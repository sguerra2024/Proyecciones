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10245" yWindow="-15" windowWidth="1029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Hoja1!$A$1:$K$9375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56" i="1"/>
  <c r="G9156"/>
  <c r="K9155"/>
  <c r="G9155"/>
  <c r="K9375"/>
  <c r="G9375"/>
  <c r="K9374"/>
  <c r="G9374"/>
  <c r="K9373"/>
  <c r="G9373"/>
  <c r="K9144"/>
  <c r="G9144"/>
  <c r="K9143"/>
  <c r="G9143"/>
  <c r="K9372"/>
  <c r="G9372"/>
  <c r="K9371"/>
  <c r="G9371"/>
  <c r="K9370"/>
  <c r="G9370"/>
  <c r="K9369"/>
  <c r="G9369"/>
  <c r="K9368"/>
  <c r="G9368"/>
  <c r="K9367"/>
  <c r="G9367"/>
  <c r="K9366"/>
  <c r="G9366"/>
  <c r="K9365"/>
  <c r="G9365"/>
  <c r="K9364"/>
  <c r="G9364"/>
  <c r="K9363"/>
  <c r="G9363"/>
  <c r="K9362"/>
  <c r="G9362"/>
  <c r="K9361"/>
  <c r="G9361"/>
  <c r="K9360"/>
  <c r="G9360"/>
  <c r="K9359"/>
  <c r="G9359"/>
  <c r="K9358"/>
  <c r="G9358"/>
  <c r="K9357"/>
  <c r="G9357"/>
  <c r="K9356"/>
  <c r="G9356"/>
  <c r="K9355"/>
  <c r="G9355"/>
  <c r="K9354"/>
  <c r="G9354"/>
  <c r="K9353"/>
  <c r="G9353"/>
  <c r="K9352"/>
  <c r="G9352"/>
  <c r="K9351"/>
  <c r="G9351"/>
  <c r="K9350"/>
  <c r="G9350"/>
  <c r="K9349"/>
  <c r="G9349"/>
  <c r="K9348"/>
  <c r="G9348"/>
  <c r="K9347"/>
  <c r="G9347"/>
  <c r="K9346"/>
  <c r="G9346"/>
  <c r="K9345"/>
  <c r="G9345"/>
  <c r="K9344"/>
  <c r="G9344"/>
  <c r="K9343"/>
  <c r="G9343"/>
  <c r="K9342"/>
  <c r="G9342"/>
  <c r="K9341"/>
  <c r="G9341"/>
  <c r="K9340"/>
  <c r="G9340"/>
  <c r="K9339"/>
  <c r="G9339"/>
  <c r="K9338"/>
  <c r="G9338"/>
  <c r="K9337"/>
  <c r="G9337"/>
  <c r="K9336"/>
  <c r="G9336"/>
  <c r="K9335"/>
  <c r="G9335"/>
  <c r="K9334"/>
  <c r="G9334"/>
  <c r="K9333"/>
  <c r="G9333"/>
  <c r="K9332"/>
  <c r="G9332"/>
  <c r="K9331"/>
  <c r="G9331"/>
  <c r="K9330"/>
  <c r="G9330"/>
  <c r="K9329"/>
  <c r="G9329"/>
  <c r="K9328"/>
  <c r="G9328"/>
  <c r="K9327"/>
  <c r="G9327"/>
  <c r="K9326"/>
  <c r="G9326"/>
  <c r="K9325"/>
  <c r="G9325"/>
  <c r="K9324"/>
  <c r="G9324"/>
  <c r="K9323"/>
  <c r="G9323"/>
  <c r="K9322"/>
  <c r="G9322"/>
  <c r="K9321"/>
  <c r="G9321"/>
  <c r="K9320"/>
  <c r="G9320"/>
  <c r="K9319"/>
  <c r="G9319"/>
  <c r="K9318"/>
  <c r="G9318"/>
  <c r="K9317"/>
  <c r="G9317"/>
  <c r="K9316"/>
  <c r="G9316"/>
  <c r="K9315"/>
  <c r="G9315"/>
  <c r="K9314"/>
  <c r="G9314"/>
  <c r="K9313"/>
  <c r="G9313"/>
  <c r="K9312"/>
  <c r="G9312"/>
  <c r="K9311"/>
  <c r="G9311"/>
  <c r="K9310"/>
  <c r="G9310"/>
  <c r="K9309"/>
  <c r="G9309"/>
  <c r="K9308"/>
  <c r="G9308"/>
  <c r="K9307"/>
  <c r="G9307"/>
  <c r="K9306"/>
  <c r="G9306"/>
  <c r="K9305"/>
  <c r="G9305"/>
  <c r="K9304"/>
  <c r="G9304"/>
  <c r="K9303"/>
  <c r="G9303"/>
  <c r="K9302"/>
  <c r="G9302"/>
  <c r="K9301"/>
  <c r="G9301"/>
  <c r="K9300"/>
  <c r="G9300"/>
  <c r="K9299"/>
  <c r="G9299"/>
  <c r="K9298"/>
  <c r="G9298"/>
  <c r="K9297"/>
  <c r="G9297"/>
  <c r="K9296"/>
  <c r="G9296"/>
  <c r="K9295"/>
  <c r="G9295"/>
  <c r="K9294"/>
  <c r="G9294"/>
  <c r="K9293"/>
  <c r="G9293"/>
  <c r="K9292"/>
  <c r="G9292"/>
  <c r="K9291"/>
  <c r="G9291"/>
  <c r="K9290"/>
  <c r="G9290"/>
  <c r="K9289"/>
  <c r="G9289"/>
  <c r="K9288"/>
  <c r="G9288"/>
  <c r="K9287"/>
  <c r="G9287"/>
  <c r="K9286"/>
  <c r="G9286"/>
  <c r="K9285"/>
  <c r="G9285"/>
  <c r="K9284"/>
  <c r="G9284"/>
  <c r="K9283"/>
  <c r="G9283"/>
  <c r="K9282"/>
  <c r="G9282"/>
  <c r="K9281"/>
  <c r="G9281"/>
  <c r="K9280"/>
  <c r="G9280"/>
  <c r="K9279"/>
  <c r="G9279"/>
  <c r="K9278"/>
  <c r="G9278"/>
  <c r="K9277"/>
  <c r="G9277"/>
  <c r="K9276"/>
  <c r="G9276"/>
  <c r="K9275"/>
  <c r="G9275"/>
  <c r="K9274"/>
  <c r="G9274"/>
  <c r="K9273"/>
  <c r="G9273"/>
  <c r="K9272"/>
  <c r="G9272"/>
  <c r="K9271"/>
  <c r="G9271"/>
  <c r="K9270"/>
  <c r="G9270"/>
  <c r="K9269"/>
  <c r="G9269"/>
  <c r="K9268"/>
  <c r="G9268"/>
  <c r="K9267"/>
  <c r="G9267"/>
  <c r="K9265" l="1"/>
  <c r="G9265"/>
  <c r="K9264"/>
  <c r="G9264"/>
  <c r="K9263"/>
  <c r="G9263"/>
  <c r="K9262"/>
  <c r="G9262"/>
  <c r="K9261"/>
  <c r="G9261"/>
  <c r="K9260"/>
  <c r="G9260"/>
  <c r="K9259"/>
  <c r="G9259"/>
  <c r="K9258"/>
  <c r="G9258"/>
  <c r="K9257"/>
  <c r="G9257"/>
  <c r="K9256"/>
  <c r="G9256"/>
  <c r="K9255"/>
  <c r="G9255"/>
  <c r="K9254"/>
  <c r="G9254"/>
  <c r="K9253"/>
  <c r="G9253"/>
  <c r="K9252"/>
  <c r="G9252"/>
  <c r="K9251"/>
  <c r="G9251"/>
  <c r="K9250"/>
  <c r="G9250"/>
  <c r="K9249"/>
  <c r="G9249"/>
  <c r="K9248"/>
  <c r="G9248"/>
  <c r="K9247"/>
  <c r="G9247"/>
  <c r="K9246"/>
  <c r="G9246"/>
  <c r="K9245"/>
  <c r="G9245"/>
  <c r="K9244"/>
  <c r="G9244"/>
  <c r="K9243"/>
  <c r="G9243"/>
  <c r="K9242"/>
  <c r="G9242"/>
  <c r="K9241"/>
  <c r="G9241"/>
  <c r="K9240"/>
  <c r="G9240"/>
  <c r="K9239"/>
  <c r="G9239"/>
  <c r="K9238"/>
  <c r="G9238"/>
  <c r="K9237"/>
  <c r="G9237"/>
  <c r="K9236"/>
  <c r="G9236"/>
  <c r="K9235"/>
  <c r="G9235"/>
  <c r="K9234"/>
  <c r="G9234"/>
  <c r="K9233"/>
  <c r="G9233"/>
  <c r="K9232"/>
  <c r="G9232"/>
  <c r="K9231"/>
  <c r="G9231"/>
  <c r="K9230"/>
  <c r="G9230"/>
  <c r="K9229"/>
  <c r="G9229"/>
  <c r="K9228"/>
  <c r="G9228"/>
  <c r="K9227"/>
  <c r="G9227"/>
  <c r="K9226"/>
  <c r="G9226"/>
  <c r="K9225"/>
  <c r="G9225"/>
  <c r="K9224"/>
  <c r="G9224"/>
  <c r="K9223"/>
  <c r="G9223"/>
  <c r="K9222"/>
  <c r="G9222"/>
  <c r="K9221"/>
  <c r="G9221"/>
  <c r="K9220"/>
  <c r="G9220"/>
  <c r="K9219"/>
  <c r="G9219"/>
  <c r="K9218"/>
  <c r="G9218"/>
  <c r="K9217"/>
  <c r="G9217"/>
  <c r="K9216"/>
  <c r="G9216"/>
  <c r="K9215"/>
  <c r="G9215"/>
  <c r="K9214"/>
  <c r="G9214"/>
  <c r="K9213"/>
  <c r="G9213"/>
  <c r="K9212"/>
  <c r="G9212"/>
  <c r="K9211"/>
  <c r="G9211"/>
  <c r="K9210"/>
  <c r="G9210"/>
  <c r="K9209"/>
  <c r="G9209"/>
  <c r="K9208"/>
  <c r="G9208"/>
  <c r="K9207"/>
  <c r="G9207"/>
  <c r="K9206"/>
  <c r="G9206"/>
  <c r="K9205"/>
  <c r="G9205"/>
  <c r="K9204"/>
  <c r="G9204"/>
  <c r="K9203"/>
  <c r="G9203"/>
  <c r="K9202"/>
  <c r="G9202"/>
  <c r="K9201"/>
  <c r="G9201"/>
  <c r="K9200"/>
  <c r="G9200"/>
  <c r="K9199"/>
  <c r="G9199"/>
  <c r="K9198"/>
  <c r="G9198"/>
  <c r="K9197"/>
  <c r="G9197"/>
  <c r="K9196"/>
  <c r="G9196"/>
  <c r="K9195"/>
  <c r="G9195"/>
  <c r="K9194"/>
  <c r="G9194"/>
  <c r="K9193"/>
  <c r="G9193"/>
  <c r="K9192"/>
  <c r="G9192"/>
  <c r="K9191"/>
  <c r="G9191"/>
  <c r="K9190"/>
  <c r="G9190"/>
  <c r="K9189"/>
  <c r="G9189"/>
  <c r="K9188"/>
  <c r="G9188"/>
  <c r="K9187"/>
  <c r="G9187"/>
  <c r="K9186"/>
  <c r="G9186"/>
  <c r="K9185"/>
  <c r="G9185"/>
  <c r="K9184"/>
  <c r="G9184"/>
  <c r="K9183"/>
  <c r="G9183"/>
  <c r="K9182"/>
  <c r="G9182"/>
  <c r="K9181"/>
  <c r="G9181"/>
  <c r="K9180"/>
  <c r="G9180"/>
  <c r="K9179"/>
  <c r="G9179"/>
  <c r="K9178"/>
  <c r="G9178"/>
  <c r="K9177"/>
  <c r="G9177"/>
  <c r="K9176"/>
  <c r="G9176"/>
  <c r="K9175"/>
  <c r="G9175"/>
  <c r="K9174"/>
  <c r="G9174"/>
  <c r="K9173"/>
  <c r="G9173"/>
  <c r="K9172"/>
  <c r="G9172"/>
  <c r="K9171"/>
  <c r="G9171"/>
  <c r="K9170"/>
  <c r="G9170"/>
  <c r="K9169"/>
  <c r="G9169"/>
  <c r="K9168"/>
  <c r="G9168"/>
  <c r="K9167"/>
  <c r="G9167"/>
  <c r="K9166"/>
  <c r="G9166"/>
  <c r="K9165"/>
  <c r="G9165"/>
  <c r="K9164"/>
  <c r="G9164"/>
  <c r="K9163"/>
  <c r="G9163"/>
  <c r="K9162"/>
  <c r="G9162"/>
  <c r="K9161"/>
  <c r="G9161"/>
  <c r="K9160"/>
  <c r="G9160"/>
  <c r="K9159"/>
  <c r="G9159"/>
  <c r="K9158"/>
  <c r="G9158"/>
  <c r="K9157"/>
  <c r="G9157"/>
  <c r="K9154"/>
  <c r="G9154"/>
  <c r="K9153"/>
  <c r="G9153"/>
  <c r="K9152"/>
  <c r="G9152"/>
  <c r="K9151"/>
  <c r="G9151"/>
  <c r="G9150"/>
  <c r="H9150" s="1"/>
  <c r="K9150" s="1"/>
  <c r="G9149"/>
  <c r="H9149" s="1"/>
  <c r="K9149" s="1"/>
  <c r="K9148"/>
  <c r="G9148"/>
  <c r="K9147"/>
  <c r="G9147"/>
  <c r="K9146"/>
  <c r="G9146"/>
  <c r="K9145"/>
  <c r="G9145"/>
  <c r="K9142"/>
  <c r="G9142"/>
  <c r="K9141"/>
  <c r="G9141"/>
  <c r="K9140"/>
  <c r="G9140"/>
  <c r="K9139"/>
  <c r="G9139"/>
  <c r="G9138"/>
  <c r="H9138" s="1"/>
  <c r="K9138" s="1"/>
  <c r="G9137"/>
  <c r="H9137" s="1"/>
  <c r="K9137" s="1"/>
  <c r="K9136"/>
  <c r="G9136"/>
  <c r="K9135"/>
  <c r="G9135"/>
  <c r="K9133"/>
  <c r="G9133"/>
  <c r="K9134"/>
  <c r="G9134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G8702"/>
  <c r="H8702" s="1"/>
  <c r="K8702" s="1"/>
  <c r="G8701"/>
  <c r="H8701" s="1"/>
  <c r="K8701" s="1"/>
  <c r="G8700"/>
  <c r="H8700" s="1"/>
  <c r="K8700" s="1"/>
  <c r="G8699"/>
  <c r="H8699" s="1"/>
  <c r="K8699" s="1"/>
  <c r="G8698"/>
  <c r="H8698" s="1"/>
  <c r="K8698" s="1"/>
  <c r="G8697"/>
  <c r="H8697" s="1"/>
  <c r="K8697" s="1"/>
  <c r="G8696"/>
  <c r="H8696" s="1"/>
  <c r="K8696" s="1"/>
  <c r="G8695"/>
  <c r="H8695" s="1"/>
  <c r="K8695" s="1"/>
  <c r="G8694"/>
  <c r="H8694" s="1"/>
  <c r="K8694" s="1"/>
  <c r="G8693"/>
  <c r="H8693" s="1"/>
  <c r="K8693" s="1"/>
  <c r="G8692"/>
  <c r="H8692" s="1"/>
  <c r="K8692" s="1"/>
  <c r="G8691"/>
  <c r="H8691" s="1"/>
  <c r="K8691" s="1"/>
  <c r="G8690"/>
  <c r="H8690" s="1"/>
  <c r="K8690" s="1"/>
  <c r="G8689"/>
  <c r="H8689" s="1"/>
  <c r="K8689" s="1"/>
  <c r="G8688"/>
  <c r="H8688" s="1"/>
  <c r="K8688" s="1"/>
  <c r="G8687"/>
  <c r="H8687" s="1"/>
  <c r="K8687" s="1"/>
  <c r="G8686"/>
  <c r="H8686" s="1"/>
  <c r="K8686" s="1"/>
  <c r="G8685"/>
  <c r="H8685" s="1"/>
  <c r="K8685" s="1"/>
  <c r="G8684"/>
  <c r="H8684" s="1"/>
  <c r="K8684" s="1"/>
  <c r="G8683"/>
  <c r="H8683" s="1"/>
  <c r="K8683" s="1"/>
  <c r="G8682"/>
  <c r="H8682" s="1"/>
  <c r="K8682" s="1"/>
  <c r="G8681"/>
  <c r="H8681" s="1"/>
  <c r="K8681" s="1"/>
  <c r="G8680"/>
  <c r="H8680" s="1"/>
  <c r="K8680" s="1"/>
  <c r="G8679"/>
  <c r="H8679" s="1"/>
  <c r="K8679" s="1"/>
  <c r="G8678"/>
  <c r="H8678" s="1"/>
  <c r="K8678" s="1"/>
  <c r="G8677"/>
  <c r="H8677" s="1"/>
  <c r="K8677" s="1"/>
  <c r="G8676"/>
  <c r="H8676" s="1"/>
  <c r="K8676" s="1"/>
  <c r="G8675"/>
  <c r="H8675" s="1"/>
  <c r="K8675" s="1"/>
  <c r="G8674"/>
  <c r="H8674" s="1"/>
  <c r="K8674" s="1"/>
  <c r="G8673"/>
  <c r="H8673" s="1"/>
  <c r="K8673" s="1"/>
  <c r="G8672"/>
  <c r="H8672" s="1"/>
  <c r="K8672" s="1"/>
  <c r="G8671"/>
  <c r="H8671" s="1"/>
  <c r="K8671" s="1"/>
  <c r="G8670"/>
  <c r="H8670" s="1"/>
  <c r="K8670" s="1"/>
  <c r="G8669"/>
  <c r="H8669" s="1"/>
  <c r="K8669" s="1"/>
  <c r="G8668"/>
  <c r="H8668" s="1"/>
  <c r="K8668" s="1"/>
  <c r="G8667"/>
  <c r="H8667" s="1"/>
  <c r="K8667" s="1"/>
  <c r="G8666"/>
  <c r="H8666" s="1"/>
  <c r="K8666" s="1"/>
  <c r="G8665"/>
  <c r="H8665" s="1"/>
  <c r="K8665" s="1"/>
  <c r="G8664"/>
  <c r="H8664" s="1"/>
  <c r="K8664" s="1"/>
  <c r="G8663"/>
  <c r="H8663" s="1"/>
  <c r="K8663" s="1"/>
  <c r="G8662"/>
  <c r="H8662" s="1"/>
  <c r="K8662" s="1"/>
  <c r="G8661"/>
  <c r="H8661" s="1"/>
  <c r="K8661" s="1"/>
  <c r="G8660"/>
  <c r="H8660" s="1"/>
  <c r="K8660" s="1"/>
  <c r="G8659"/>
  <c r="H8659" s="1"/>
  <c r="K8659" s="1"/>
  <c r="G8658"/>
  <c r="H8658" s="1"/>
  <c r="K8658" s="1"/>
  <c r="G8657"/>
  <c r="H8657" s="1"/>
  <c r="K8657" s="1"/>
  <c r="G8656"/>
  <c r="H8656" s="1"/>
  <c r="K8656" s="1"/>
  <c r="G8655"/>
  <c r="H8655" s="1"/>
  <c r="K8655" s="1"/>
  <c r="G8654"/>
  <c r="H8654" s="1"/>
  <c r="K8654" s="1"/>
  <c r="G8653"/>
  <c r="H8653" s="1"/>
  <c r="K8653" s="1"/>
  <c r="G8652"/>
  <c r="H8652" s="1"/>
  <c r="K8652" s="1"/>
  <c r="G8651"/>
  <c r="H8651" s="1"/>
  <c r="K8651" s="1"/>
  <c r="G8650"/>
  <c r="H8650" s="1"/>
  <c r="K8650" s="1"/>
  <c r="G8649"/>
  <c r="H8649" s="1"/>
  <c r="K8649" s="1"/>
  <c r="G8648"/>
  <c r="H8648" s="1"/>
  <c r="K8648" s="1"/>
  <c r="G8647"/>
  <c r="H8647" s="1"/>
  <c r="K8647" s="1"/>
  <c r="G8646"/>
  <c r="H8646" s="1"/>
  <c r="K8646" s="1"/>
  <c r="G8645"/>
  <c r="H8645" s="1"/>
  <c r="K8645" s="1"/>
  <c r="G8644"/>
  <c r="H8644" s="1"/>
  <c r="K8644" s="1"/>
  <c r="G8643"/>
  <c r="H8643" s="1"/>
  <c r="K8643" s="1"/>
  <c r="G8642"/>
  <c r="H8642" s="1"/>
  <c r="K8642" s="1"/>
  <c r="G8641"/>
  <c r="H8641" s="1"/>
  <c r="K8641" s="1"/>
  <c r="G8640"/>
  <c r="H8640" s="1"/>
  <c r="K8640" s="1"/>
  <c r="G8639"/>
  <c r="H8639" s="1"/>
  <c r="K8639" s="1"/>
  <c r="G8638"/>
  <c r="H8638" s="1"/>
  <c r="K8638" s="1"/>
  <c r="G8637"/>
  <c r="H8637" s="1"/>
  <c r="K8637" s="1"/>
  <c r="G8636"/>
  <c r="H8636" s="1"/>
  <c r="K8636" s="1"/>
  <c r="G8635"/>
  <c r="H8635" s="1"/>
  <c r="K8635" s="1"/>
  <c r="G8634"/>
  <c r="H8634" s="1"/>
  <c r="K8634" s="1"/>
  <c r="G8633"/>
  <c r="H8633" s="1"/>
  <c r="K8633" s="1"/>
  <c r="G8632"/>
  <c r="H8632" s="1"/>
  <c r="K8632" s="1"/>
  <c r="G8631"/>
  <c r="H8631" s="1"/>
  <c r="K8631" s="1"/>
  <c r="G8630"/>
  <c r="H8630" s="1"/>
  <c r="K8630" s="1"/>
  <c r="G8629"/>
  <c r="H8629" s="1"/>
  <c r="K8629" s="1"/>
  <c r="G8628"/>
  <c r="H8628" s="1"/>
  <c r="K8628" s="1"/>
  <c r="G8627"/>
  <c r="H8627" s="1"/>
  <c r="K8627" s="1"/>
  <c r="G8626"/>
  <c r="H8626" s="1"/>
  <c r="K8626" s="1"/>
  <c r="G8625"/>
  <c r="H8625" s="1"/>
  <c r="K8625" s="1"/>
  <c r="G8624"/>
  <c r="H8624" s="1"/>
  <c r="K8624" s="1"/>
  <c r="G8623"/>
  <c r="H8623" s="1"/>
  <c r="K8623" s="1"/>
  <c r="G8622"/>
  <c r="H8622" s="1"/>
  <c r="K8622" s="1"/>
  <c r="G8621"/>
  <c r="H8621" s="1"/>
  <c r="K8621" s="1"/>
  <c r="G8620"/>
  <c r="H8620" s="1"/>
  <c r="K8620" s="1"/>
  <c r="G8619"/>
  <c r="H8619" s="1"/>
  <c r="K8619" s="1"/>
  <c r="G8618"/>
  <c r="H8618" s="1"/>
  <c r="K8618" s="1"/>
  <c r="G8617"/>
  <c r="H8617" s="1"/>
  <c r="K8617" s="1"/>
  <c r="G8616"/>
  <c r="H8616" s="1"/>
  <c r="K8616" s="1"/>
  <c r="G8615"/>
  <c r="H8615" s="1"/>
  <c r="K8615" s="1"/>
  <c r="G8614"/>
  <c r="H8614" s="1"/>
  <c r="K8614" s="1"/>
  <c r="G8613"/>
  <c r="H8613" s="1"/>
  <c r="K8613" s="1"/>
  <c r="G8612"/>
  <c r="H8612" s="1"/>
  <c r="K8612" s="1"/>
  <c r="G8611"/>
  <c r="H8611" s="1"/>
  <c r="K8611" s="1"/>
  <c r="G8610"/>
  <c r="H8610" s="1"/>
  <c r="K8610" s="1"/>
  <c r="G8609"/>
  <c r="H8609" s="1"/>
  <c r="K8609" s="1"/>
  <c r="G8608"/>
  <c r="H8608" s="1"/>
  <c r="K8608" s="1"/>
  <c r="G8607"/>
  <c r="H8607" s="1"/>
  <c r="K8607" s="1"/>
  <c r="G8606"/>
  <c r="H8606" s="1"/>
  <c r="K8606" s="1"/>
  <c r="G8605"/>
  <c r="H8605" s="1"/>
  <c r="K8605" s="1"/>
  <c r="G8604"/>
  <c r="H8604" s="1"/>
  <c r="K8604" s="1"/>
  <c r="G8603"/>
  <c r="H8603" s="1"/>
  <c r="K8603" s="1"/>
  <c r="G8602"/>
  <c r="H8602" s="1"/>
  <c r="K8602" s="1"/>
  <c r="G8601"/>
  <c r="H8601" s="1"/>
  <c r="K8601" s="1"/>
  <c r="G8600"/>
  <c r="H8600" s="1"/>
  <c r="K8600" s="1"/>
  <c r="G8599"/>
  <c r="H8599" s="1"/>
  <c r="K8599" s="1"/>
  <c r="G8598"/>
  <c r="H8598" s="1"/>
  <c r="K8598" s="1"/>
  <c r="G8597" l="1"/>
  <c r="H8597" s="1"/>
  <c r="K8597" s="1"/>
  <c r="G8596"/>
  <c r="H8596" s="1"/>
  <c r="K8596" s="1"/>
  <c r="G8595"/>
  <c r="H8595" s="1"/>
  <c r="K8595" s="1"/>
  <c r="G8594"/>
  <c r="H8594" s="1"/>
  <c r="G8593"/>
  <c r="H8593" s="1"/>
  <c r="K8593" s="1"/>
  <c r="G8592"/>
  <c r="H8592" s="1"/>
  <c r="G8591"/>
  <c r="H8591" s="1"/>
  <c r="G8590"/>
  <c r="H8590" s="1"/>
  <c r="G8589"/>
  <c r="H8589" s="1"/>
  <c r="K8589" s="1"/>
  <c r="G8588"/>
  <c r="H8588" s="1"/>
  <c r="K8588" s="1"/>
  <c r="G8587"/>
  <c r="H8587" s="1"/>
  <c r="K8587" s="1"/>
  <c r="G8586"/>
  <c r="H8586" s="1"/>
  <c r="G8585"/>
  <c r="H8585" s="1"/>
  <c r="K8585" s="1"/>
  <c r="G8584"/>
  <c r="H8584" s="1"/>
  <c r="G8583"/>
  <c r="H8583" s="1"/>
  <c r="G8582"/>
  <c r="H8582" s="1"/>
  <c r="G8581"/>
  <c r="H8581" s="1"/>
  <c r="K8581" s="1"/>
  <c r="G8580"/>
  <c r="H8580" s="1"/>
  <c r="K8580" s="1"/>
  <c r="G8579"/>
  <c r="H8579" s="1"/>
  <c r="K8579" s="1"/>
  <c r="G8578"/>
  <c r="H8578" s="1"/>
  <c r="K8578" s="1"/>
  <c r="G8577"/>
  <c r="H8577" s="1"/>
  <c r="K8577" s="1"/>
  <c r="G8576"/>
  <c r="H8576" s="1"/>
  <c r="G8575"/>
  <c r="H8575" s="1"/>
  <c r="K8575" s="1"/>
  <c r="G8574"/>
  <c r="H8574" s="1"/>
  <c r="G8573"/>
  <c r="H8573" s="1"/>
  <c r="K8573" s="1"/>
  <c r="G8572"/>
  <c r="H8572" s="1"/>
  <c r="K8572" s="1"/>
  <c r="G8571"/>
  <c r="H8571" s="1"/>
  <c r="K8571" s="1"/>
  <c r="G8570"/>
  <c r="H8570" s="1"/>
  <c r="G8569"/>
  <c r="H8569" s="1"/>
  <c r="K8569" s="1"/>
  <c r="G8568"/>
  <c r="H8568" s="1"/>
  <c r="G8567"/>
  <c r="H8567" s="1"/>
  <c r="G8566"/>
  <c r="H8566" s="1"/>
  <c r="G8565"/>
  <c r="H8565" s="1"/>
  <c r="K8565" s="1"/>
  <c r="G8564"/>
  <c r="H8564" s="1"/>
  <c r="K8564" s="1"/>
  <c r="G8563"/>
  <c r="H8563" s="1"/>
  <c r="G8562"/>
  <c r="H8562" s="1"/>
  <c r="G8561"/>
  <c r="H8561" s="1"/>
  <c r="K8561" s="1"/>
  <c r="G8560"/>
  <c r="H8560" s="1"/>
  <c r="G8559"/>
  <c r="H8559" s="1"/>
  <c r="G8558"/>
  <c r="H8558" s="1"/>
  <c r="G8557"/>
  <c r="H8557" s="1"/>
  <c r="K8557" s="1"/>
  <c r="G8556"/>
  <c r="H8556" s="1"/>
  <c r="K8556" s="1"/>
  <c r="G8555"/>
  <c r="H8555" s="1"/>
  <c r="K8555" s="1"/>
  <c r="G8554"/>
  <c r="H8554" s="1"/>
  <c r="G8553"/>
  <c r="H8553" s="1"/>
  <c r="K8553" s="1"/>
  <c r="G8552"/>
  <c r="H8552" s="1"/>
  <c r="G8551"/>
  <c r="H8551" s="1"/>
  <c r="K8551" s="1"/>
  <c r="G8550"/>
  <c r="H8550" s="1"/>
  <c r="G8549"/>
  <c r="H8549" s="1"/>
  <c r="K8549" s="1"/>
  <c r="G8548"/>
  <c r="H8548" s="1"/>
  <c r="K8548" s="1"/>
  <c r="G8547"/>
  <c r="H8547" s="1"/>
  <c r="K8547" s="1"/>
  <c r="G8546"/>
  <c r="H8546" s="1"/>
  <c r="G8545"/>
  <c r="H8545" s="1"/>
  <c r="K8545" s="1"/>
  <c r="G8544"/>
  <c r="H8544" s="1"/>
  <c r="G8543"/>
  <c r="H8543" s="1"/>
  <c r="K8543" s="1"/>
  <c r="G8542"/>
  <c r="H8542" s="1"/>
  <c r="G8541"/>
  <c r="H8541" s="1"/>
  <c r="K8541" s="1"/>
  <c r="G8540"/>
  <c r="H8540" s="1"/>
  <c r="K8540" s="1"/>
  <c r="G8539"/>
  <c r="H8539" s="1"/>
  <c r="K8539" s="1"/>
  <c r="G8538"/>
  <c r="H8538" s="1"/>
  <c r="G8537"/>
  <c r="H8537" s="1"/>
  <c r="K8537" s="1"/>
  <c r="G8536"/>
  <c r="H8536" s="1"/>
  <c r="G8535"/>
  <c r="H8535" s="1"/>
  <c r="G8534"/>
  <c r="H8534" s="1"/>
  <c r="G8533"/>
  <c r="H8533" s="1"/>
  <c r="K8533" s="1"/>
  <c r="G8532"/>
  <c r="H8532" s="1"/>
  <c r="K8532" s="1"/>
  <c r="G8531"/>
  <c r="H8531" s="1"/>
  <c r="K8531" s="1"/>
  <c r="G8530"/>
  <c r="H8530" s="1"/>
  <c r="G8529"/>
  <c r="H8529" s="1"/>
  <c r="G8528"/>
  <c r="H8528" s="1"/>
  <c r="G8527"/>
  <c r="H8527" s="1"/>
  <c r="G8526"/>
  <c r="H8526" s="1"/>
  <c r="G8525"/>
  <c r="H8525" s="1"/>
  <c r="K8525" s="1"/>
  <c r="G8524"/>
  <c r="H8524" s="1"/>
  <c r="K8524" s="1"/>
  <c r="G8523"/>
  <c r="H8523" s="1"/>
  <c r="K8523" s="1"/>
  <c r="G8522"/>
  <c r="H8522" s="1"/>
  <c r="K8522" s="1"/>
  <c r="G8521"/>
  <c r="H8521" s="1"/>
  <c r="G8520"/>
  <c r="H8520" s="1"/>
  <c r="G8519"/>
  <c r="H8519" s="1"/>
  <c r="K8519" s="1"/>
  <c r="G8518"/>
  <c r="H8518" s="1"/>
  <c r="G8517"/>
  <c r="H8517" s="1"/>
  <c r="K8517" s="1"/>
  <c r="G8516"/>
  <c r="H8516" s="1"/>
  <c r="K8516" s="1"/>
  <c r="G8515"/>
  <c r="H8515" s="1"/>
  <c r="K8515" s="1"/>
  <c r="G8514"/>
  <c r="H8514" s="1"/>
  <c r="K8514" s="1"/>
  <c r="G8513"/>
  <c r="H8513" s="1"/>
  <c r="K8513" s="1"/>
  <c r="G8512"/>
  <c r="H8512" s="1"/>
  <c r="K8512" s="1"/>
  <c r="G8511"/>
  <c r="H8511" s="1"/>
  <c r="K8511" s="1"/>
  <c r="G8510"/>
  <c r="H8510" s="1"/>
  <c r="G8509"/>
  <c r="H8509" s="1"/>
  <c r="K8509" s="1"/>
  <c r="G8508"/>
  <c r="H8508" s="1"/>
  <c r="K8508" s="1"/>
  <c r="G8507"/>
  <c r="H8507" s="1"/>
  <c r="K8507" s="1"/>
  <c r="G8506"/>
  <c r="H8506" s="1"/>
  <c r="G8505"/>
  <c r="H8505" s="1"/>
  <c r="K8505" s="1"/>
  <c r="G8504"/>
  <c r="H8504" s="1"/>
  <c r="G8503"/>
  <c r="H8503" s="1"/>
  <c r="K8503" s="1"/>
  <c r="G8502"/>
  <c r="H8502" s="1"/>
  <c r="G8501"/>
  <c r="H8501" s="1"/>
  <c r="K8501" s="1"/>
  <c r="G8500"/>
  <c r="H8500" s="1"/>
  <c r="K8500" s="1"/>
  <c r="G8499"/>
  <c r="H8499" s="1"/>
  <c r="K8499" s="1"/>
  <c r="G8498"/>
  <c r="H8498" s="1"/>
  <c r="G8497"/>
  <c r="H8497" s="1"/>
  <c r="G8496"/>
  <c r="H8496" s="1"/>
  <c r="K8496" s="1"/>
  <c r="G8495"/>
  <c r="H8495" s="1"/>
  <c r="K8495" s="1"/>
  <c r="G8494"/>
  <c r="H8494" s="1"/>
  <c r="G8493"/>
  <c r="H8493" s="1"/>
  <c r="K8493" s="1"/>
  <c r="G8492"/>
  <c r="H8492" s="1"/>
  <c r="K8492" s="1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H8385" s="1"/>
  <c r="K8385" s="1"/>
  <c r="G8384"/>
  <c r="H8384" s="1"/>
  <c r="K8384" s="1"/>
  <c r="G8383"/>
  <c r="H8383" s="1"/>
  <c r="K8383" s="1"/>
  <c r="G8382"/>
  <c r="H8382" s="1"/>
  <c r="K8382" s="1"/>
  <c r="G8381"/>
  <c r="H8381" s="1"/>
  <c r="K8381" s="1"/>
  <c r="G8380"/>
  <c r="H8380" s="1"/>
  <c r="K8380" s="1"/>
  <c r="G8379"/>
  <c r="H8379" s="1"/>
  <c r="K8379" s="1"/>
  <c r="G8378"/>
  <c r="H8378" s="1"/>
  <c r="G8377"/>
  <c r="H8377" s="1"/>
  <c r="K8377" s="1"/>
  <c r="G8376"/>
  <c r="H8376" s="1"/>
  <c r="G8375"/>
  <c r="H8375" s="1"/>
  <c r="K8375" s="1"/>
  <c r="G8374"/>
  <c r="H8374" s="1"/>
  <c r="G8373"/>
  <c r="H8373" s="1"/>
  <c r="K8373" s="1"/>
  <c r="G8372"/>
  <c r="H8372" s="1"/>
  <c r="K8372" s="1"/>
  <c r="G8371"/>
  <c r="H8371" s="1"/>
  <c r="K8371" s="1"/>
  <c r="G8370"/>
  <c r="H8370" s="1"/>
  <c r="K8370" s="1"/>
  <c r="G8369"/>
  <c r="H8369" s="1"/>
  <c r="K8369" s="1"/>
  <c r="G8368"/>
  <c r="H8368" s="1"/>
  <c r="K8368" s="1"/>
  <c r="G8367"/>
  <c r="H8367" s="1"/>
  <c r="K8367" s="1"/>
  <c r="G8366"/>
  <c r="H8366" s="1"/>
  <c r="K8366" s="1"/>
  <c r="G8365"/>
  <c r="H8365" s="1"/>
  <c r="K8365" s="1"/>
  <c r="G8364"/>
  <c r="H8364" s="1"/>
  <c r="K8364" s="1"/>
  <c r="G8363"/>
  <c r="H8363" s="1"/>
  <c r="K8363" s="1"/>
  <c r="G8362"/>
  <c r="H8362" s="1"/>
  <c r="G8361"/>
  <c r="H8361" s="1"/>
  <c r="K8361" s="1"/>
  <c r="G8360"/>
  <c r="H8360" s="1"/>
  <c r="K8360" s="1"/>
  <c r="G8359"/>
  <c r="H8359" s="1"/>
  <c r="K8359" s="1"/>
  <c r="G8358"/>
  <c r="H8358" s="1"/>
  <c r="K8358" s="1"/>
  <c r="G8357"/>
  <c r="H8357" s="1"/>
  <c r="K8357" s="1"/>
  <c r="G8356"/>
  <c r="H8356" s="1"/>
  <c r="K8356" s="1"/>
  <c r="G8355"/>
  <c r="H8355" s="1"/>
  <c r="K8355" s="1"/>
  <c r="G8354"/>
  <c r="H8354" s="1"/>
  <c r="K8354" s="1"/>
  <c r="G8353"/>
  <c r="H8353" s="1"/>
  <c r="K8353" s="1"/>
  <c r="G8352"/>
  <c r="H8352" s="1"/>
  <c r="G8351"/>
  <c r="H8351" s="1"/>
  <c r="K8351" s="1"/>
  <c r="G8350"/>
  <c r="H8350" s="1"/>
  <c r="K8350" s="1"/>
  <c r="G8349"/>
  <c r="H8349" s="1"/>
  <c r="K8349" s="1"/>
  <c r="G8348"/>
  <c r="H8348" s="1"/>
  <c r="K8348" s="1"/>
  <c r="G8347"/>
  <c r="H8347" s="1"/>
  <c r="K8347" s="1"/>
  <c r="G8346"/>
  <c r="H8346" s="1"/>
  <c r="K8346" s="1"/>
  <c r="G8345"/>
  <c r="H8345" s="1"/>
  <c r="K8345" s="1"/>
  <c r="G8344"/>
  <c r="H8344" s="1"/>
  <c r="K8344" s="1"/>
  <c r="G8343"/>
  <c r="H8343" s="1"/>
  <c r="K8343" s="1"/>
  <c r="G8342"/>
  <c r="H8342" s="1"/>
  <c r="K8342" s="1"/>
  <c r="G8341"/>
  <c r="H8341" s="1"/>
  <c r="K8341" s="1"/>
  <c r="G8340"/>
  <c r="H8340" s="1"/>
  <c r="K8340" s="1"/>
  <c r="G8339"/>
  <c r="H8339" s="1"/>
  <c r="K8339" s="1"/>
  <c r="G8338"/>
  <c r="H8338" s="1"/>
  <c r="K8338" s="1"/>
  <c r="G8337"/>
  <c r="H8337" s="1"/>
  <c r="K8337" s="1"/>
  <c r="G8336"/>
  <c r="H8336" s="1"/>
  <c r="K8336" s="1"/>
  <c r="G8335"/>
  <c r="H8335" s="1"/>
  <c r="K8335" s="1"/>
  <c r="G8334"/>
  <c r="H8334" s="1"/>
  <c r="K8334" s="1"/>
  <c r="G8333"/>
  <c r="H8333" s="1"/>
  <c r="K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G8327"/>
  <c r="H8327" s="1"/>
  <c r="K8327" s="1"/>
  <c r="G8326"/>
  <c r="H8326" s="1"/>
  <c r="K8326" s="1"/>
  <c r="G8325"/>
  <c r="H8325" s="1"/>
  <c r="K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K8320" s="1"/>
  <c r="G8319"/>
  <c r="H8319" s="1"/>
  <c r="K8319" s="1"/>
  <c r="G8318"/>
  <c r="H8318" s="1"/>
  <c r="K8318" s="1"/>
  <c r="G8317"/>
  <c r="H8317" s="1"/>
  <c r="K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K8312" s="1"/>
  <c r="G8311"/>
  <c r="H8311" s="1"/>
  <c r="K8311" s="1"/>
  <c r="G8310"/>
  <c r="H8310" s="1"/>
  <c r="K8310" s="1"/>
  <c r="G8309"/>
  <c r="H8309" s="1"/>
  <c r="K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K8304" s="1"/>
  <c r="G8303"/>
  <c r="H8303" s="1"/>
  <c r="K8303" s="1"/>
  <c r="G8302"/>
  <c r="H8302" s="1"/>
  <c r="K8302" s="1"/>
  <c r="G8301"/>
  <c r="H8301" s="1"/>
  <c r="K8301" s="1"/>
  <c r="G8300"/>
  <c r="H8300" s="1"/>
  <c r="K8300" s="1"/>
  <c r="G8299"/>
  <c r="H8299" s="1"/>
  <c r="K8299" s="1"/>
  <c r="G8298"/>
  <c r="H8298" s="1"/>
  <c r="K8298" s="1"/>
  <c r="G8297"/>
  <c r="H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H8195" s="1"/>
  <c r="K8195" s="1"/>
  <c r="G8194"/>
  <c r="H8194" s="1"/>
  <c r="K8194" s="1"/>
  <c r="G8193"/>
  <c r="H8193" s="1"/>
  <c r="K8193" s="1"/>
  <c r="G8192"/>
  <c r="H8192" s="1"/>
  <c r="K8192" s="1"/>
  <c r="G8191"/>
  <c r="H8191" s="1"/>
  <c r="K8191" s="1"/>
  <c r="G8190"/>
  <c r="H8190" s="1"/>
  <c r="K8190" s="1"/>
  <c r="G8189"/>
  <c r="H8189" s="1"/>
  <c r="K8189" s="1"/>
  <c r="G8188"/>
  <c r="H8188" s="1"/>
  <c r="K8188" s="1"/>
  <c r="G8187"/>
  <c r="H8187" s="1"/>
  <c r="K8187" s="1"/>
  <c r="G8186"/>
  <c r="H8186" s="1"/>
  <c r="K8186" s="1"/>
  <c r="G8185"/>
  <c r="H8185" s="1"/>
  <c r="K8185" s="1"/>
  <c r="G8184"/>
  <c r="H8184" s="1"/>
  <c r="K8184" s="1"/>
  <c r="G8183"/>
  <c r="H8183" s="1"/>
  <c r="K8183" s="1"/>
  <c r="G8182"/>
  <c r="H8182" s="1"/>
  <c r="K8182" s="1"/>
  <c r="G8181"/>
  <c r="H8181" s="1"/>
  <c r="K8181" s="1"/>
  <c r="G8180"/>
  <c r="H8180" s="1"/>
  <c r="K8180" s="1"/>
  <c r="G8179"/>
  <c r="H8179" s="1"/>
  <c r="K8179" s="1"/>
  <c r="G8178"/>
  <c r="H8178" s="1"/>
  <c r="K8178" s="1"/>
  <c r="G8177"/>
  <c r="H8177" s="1"/>
  <c r="K8177" s="1"/>
  <c r="G8176"/>
  <c r="H8176" s="1"/>
  <c r="K8176" s="1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594"/>
  <c r="K8592"/>
  <c r="K8591"/>
  <c r="K8590"/>
  <c r="K8586"/>
  <c r="K8584"/>
  <c r="K8583"/>
  <c r="K8582"/>
  <c r="K8576"/>
  <c r="K8574"/>
  <c r="K8570"/>
  <c r="K8568"/>
  <c r="K8567"/>
  <c r="K8566"/>
  <c r="K8563"/>
  <c r="K8562"/>
  <c r="K8560"/>
  <c r="K8559"/>
  <c r="K8558"/>
  <c r="K8554"/>
  <c r="K8552"/>
  <c r="K8550"/>
  <c r="K8546"/>
  <c r="K8544"/>
  <c r="K8542"/>
  <c r="K8538"/>
  <c r="K8536"/>
  <c r="K8535"/>
  <c r="K8534"/>
  <c r="K8530"/>
  <c r="K8529"/>
  <c r="K8528"/>
  <c r="K8527"/>
  <c r="K8526"/>
  <c r="K8521"/>
  <c r="K8520"/>
  <c r="K8518"/>
  <c r="K8510"/>
  <c r="K8506"/>
  <c r="K8504"/>
  <c r="K8502"/>
  <c r="K8498"/>
  <c r="K8497"/>
  <c r="K8494"/>
  <c r="K8378"/>
  <c r="K8376"/>
  <c r="K8374"/>
  <c r="K8362"/>
  <c r="K8352"/>
  <c r="K8328"/>
  <c r="K8297"/>
  <c r="K8282"/>
  <c r="H8391" l="1"/>
  <c r="K8391" s="1"/>
  <c r="H8399"/>
  <c r="K8399" s="1"/>
  <c r="H8407"/>
  <c r="K8407" s="1"/>
  <c r="H8415"/>
  <c r="K8415" s="1"/>
  <c r="H8423"/>
  <c r="K8423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390"/>
  <c r="K8390" s="1"/>
  <c r="H8398"/>
  <c r="K8398" s="1"/>
  <c r="H8406"/>
  <c r="K8406" s="1"/>
  <c r="H8414"/>
  <c r="K8414" s="1"/>
  <c r="H8422"/>
  <c r="K8422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389"/>
  <c r="K8389" s="1"/>
  <c r="H8397"/>
  <c r="K8397" s="1"/>
  <c r="H8405"/>
  <c r="K8405" s="1"/>
  <c r="H8413"/>
  <c r="K8413" s="1"/>
  <c r="H8421"/>
  <c r="K8421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388"/>
  <c r="K8388" s="1"/>
  <c r="H8396"/>
  <c r="K8396" s="1"/>
  <c r="H8404"/>
  <c r="K8404" s="1"/>
  <c r="H8412"/>
  <c r="K8412" s="1"/>
  <c r="H8420"/>
  <c r="K8420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387"/>
  <c r="K8387" s="1"/>
  <c r="H8395"/>
  <c r="K8395" s="1"/>
  <c r="H8403"/>
  <c r="K8403" s="1"/>
  <c r="H8411"/>
  <c r="K8411" s="1"/>
  <c r="H8419"/>
  <c r="K8419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386"/>
  <c r="K8386" s="1"/>
  <c r="H8394"/>
  <c r="K8394" s="1"/>
  <c r="H8402"/>
  <c r="K8402" s="1"/>
  <c r="H8410"/>
  <c r="K8410" s="1"/>
  <c r="H8418"/>
  <c r="K8418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393"/>
  <c r="K8393" s="1"/>
  <c r="H8401"/>
  <c r="K8401" s="1"/>
  <c r="H8409"/>
  <c r="K8409" s="1"/>
  <c r="H8417"/>
  <c r="K8417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392"/>
  <c r="K8392" s="1"/>
  <c r="H8400"/>
  <c r="K8400" s="1"/>
  <c r="H8408"/>
  <c r="K8408" s="1"/>
  <c r="H8416"/>
  <c r="K8416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132"/>
  <c r="K8132" s="1"/>
  <c r="H8073"/>
  <c r="H8081"/>
  <c r="K8081" s="1"/>
  <c r="H8089"/>
  <c r="H8096"/>
  <c r="H8103"/>
  <c r="K8103" s="1"/>
  <c r="H8110"/>
  <c r="K8110" s="1"/>
  <c r="H8117"/>
  <c r="H8125"/>
  <c r="H8138"/>
  <c r="H8146"/>
  <c r="H8154"/>
  <c r="K8154" s="1"/>
  <c r="H8162"/>
  <c r="K8162" s="1"/>
  <c r="H8170"/>
  <c r="H8104"/>
  <c r="H8171"/>
  <c r="K8171" s="1"/>
  <c r="H8072"/>
  <c r="K8072" s="1"/>
  <c r="H8080"/>
  <c r="K8080" s="1"/>
  <c r="H8088"/>
  <c r="K8088" s="1"/>
  <c r="H8102"/>
  <c r="K8102" s="1"/>
  <c r="H8109"/>
  <c r="K8109" s="1"/>
  <c r="H8116"/>
  <c r="K8116" s="1"/>
  <c r="H8124"/>
  <c r="K8124" s="1"/>
  <c r="H8131"/>
  <c r="K8131" s="1"/>
  <c r="H8137"/>
  <c r="K8137" s="1"/>
  <c r="H8145"/>
  <c r="K8145" s="1"/>
  <c r="H8153"/>
  <c r="K8153" s="1"/>
  <c r="H8161"/>
  <c r="K8161" s="1"/>
  <c r="H8169"/>
  <c r="K8169" s="1"/>
  <c r="H8097"/>
  <c r="K8097" s="1"/>
  <c r="H8163"/>
  <c r="K8163" s="1"/>
  <c r="H8079"/>
  <c r="K8079" s="1"/>
  <c r="H8087"/>
  <c r="K8087" s="1"/>
  <c r="H8095"/>
  <c r="K8095" s="1"/>
  <c r="H8101"/>
  <c r="K8101" s="1"/>
  <c r="H8108"/>
  <c r="K8108" s="1"/>
  <c r="H8115"/>
  <c r="K8115" s="1"/>
  <c r="H8123"/>
  <c r="K8123" s="1"/>
  <c r="H8130"/>
  <c r="K8130" s="1"/>
  <c r="H8136"/>
  <c r="K8136" s="1"/>
  <c r="H8144"/>
  <c r="K8144" s="1"/>
  <c r="H8152"/>
  <c r="K8152" s="1"/>
  <c r="H8160"/>
  <c r="K8160" s="1"/>
  <c r="H8168"/>
  <c r="K8168" s="1"/>
  <c r="H8090"/>
  <c r="H8155"/>
  <c r="H8078"/>
  <c r="H8086"/>
  <c r="K8086" s="1"/>
  <c r="H8094"/>
  <c r="H8114"/>
  <c r="H8122"/>
  <c r="H8129"/>
  <c r="H8143"/>
  <c r="H8151"/>
  <c r="K8151" s="1"/>
  <c r="H8159"/>
  <c r="H8167"/>
  <c r="H8175"/>
  <c r="H8147"/>
  <c r="H8077"/>
  <c r="K8077" s="1"/>
  <c r="H8085"/>
  <c r="K8085" s="1"/>
  <c r="H8093"/>
  <c r="K8093" s="1"/>
  <c r="H8100"/>
  <c r="K8100" s="1"/>
  <c r="H8107"/>
  <c r="K8107" s="1"/>
  <c r="H8113"/>
  <c r="K8113" s="1"/>
  <c r="H8121"/>
  <c r="K8121" s="1"/>
  <c r="H8135"/>
  <c r="K8135" s="1"/>
  <c r="H8142"/>
  <c r="K8142" s="1"/>
  <c r="H8150"/>
  <c r="K8150" s="1"/>
  <c r="H8158"/>
  <c r="K8158" s="1"/>
  <c r="H8166"/>
  <c r="K8166" s="1"/>
  <c r="H8174"/>
  <c r="K8174" s="1"/>
  <c r="H8074"/>
  <c r="K8074" s="1"/>
  <c r="H8118"/>
  <c r="H8139"/>
  <c r="H8076"/>
  <c r="K8076" s="1"/>
  <c r="H8084"/>
  <c r="K8084" s="1"/>
  <c r="H8092"/>
  <c r="K8092" s="1"/>
  <c r="H8099"/>
  <c r="K8099" s="1"/>
  <c r="H8106"/>
  <c r="K8106" s="1"/>
  <c r="H8112"/>
  <c r="K8112" s="1"/>
  <c r="H8120"/>
  <c r="K8120" s="1"/>
  <c r="H8128"/>
  <c r="K8128" s="1"/>
  <c r="H8134"/>
  <c r="K8134" s="1"/>
  <c r="H8141"/>
  <c r="K8141" s="1"/>
  <c r="H8149"/>
  <c r="K8149" s="1"/>
  <c r="H8157"/>
  <c r="K8157" s="1"/>
  <c r="H8165"/>
  <c r="K8165" s="1"/>
  <c r="H8173"/>
  <c r="K8173" s="1"/>
  <c r="H8082"/>
  <c r="H8126"/>
  <c r="K8126" s="1"/>
  <c r="H8075"/>
  <c r="K8075" s="1"/>
  <c r="H8083"/>
  <c r="K8083" s="1"/>
  <c r="H8091"/>
  <c r="K8091" s="1"/>
  <c r="H8098"/>
  <c r="K8098" s="1"/>
  <c r="H8105"/>
  <c r="K8105" s="1"/>
  <c r="H8111"/>
  <c r="K8111" s="1"/>
  <c r="H8119"/>
  <c r="K8119" s="1"/>
  <c r="H8127"/>
  <c r="K8127" s="1"/>
  <c r="H8133"/>
  <c r="K8133" s="1"/>
  <c r="H8140"/>
  <c r="K8140" s="1"/>
  <c r="H8148"/>
  <c r="K8148" s="1"/>
  <c r="H8156"/>
  <c r="K8156" s="1"/>
  <c r="H8164"/>
  <c r="K8164" s="1"/>
  <c r="H8172"/>
  <c r="K8172" s="1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089" l="1"/>
  <c r="K8096"/>
  <c r="K8090"/>
  <c r="K8170"/>
  <c r="K8129"/>
  <c r="K8117"/>
  <c r="K8159"/>
  <c r="K8147"/>
  <c r="K8078"/>
  <c r="K8114"/>
  <c r="K8143"/>
  <c r="K8082"/>
  <c r="K8175"/>
  <c r="K8138"/>
  <c r="K8167"/>
  <c r="K8125"/>
  <c r="K8094"/>
  <c r="K8155"/>
  <c r="K8139"/>
  <c r="K8122"/>
  <c r="K8104"/>
  <c r="K8073"/>
  <c r="K8118"/>
  <c r="K8146"/>
</calcChain>
</file>

<file path=xl/sharedStrings.xml><?xml version="1.0" encoding="utf-8"?>
<sst xmlns="http://schemas.openxmlformats.org/spreadsheetml/2006/main" count="37508" uniqueCount="118">
  <si>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</si>
  <si>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</si>
  <si>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</si>
  <si>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</si>
  <si>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</si>
  <si>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</si>
  <si>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</si>
  <si>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</si>
  <si>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</si>
  <si>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</si>
  <si>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</si>
  <si>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</si>
  <si>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</si>
  <si>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</si>
  <si>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</si>
  <si>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</si>
  <si>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</si>
  <si>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</si>
  <si>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</si>
  <si>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</si>
  <si>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</si>
  <si>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</si>
  <si>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</si>
  <si>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</si>
  <si>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</si>
  <si>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</si>
  <si>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</si>
  <si>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</si>
  <si>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</si>
  <si>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</si>
  <si>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</si>
  <si>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</si>
  <si>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</si>
  <si>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</si>
  <si>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</si>
  <si>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</si>
  <si>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</si>
  <si>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</si>
  <si>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</si>
  <si>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</si>
  <si>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</si>
  <si>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</si>
  <si>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</si>
  <si>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</si>
  <si>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</si>
  <si>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</si>
  <si>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</si>
  <si>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</si>
  <si>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</si>
  <si>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</si>
  <si>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</si>
  <si>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</si>
  <si>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</si>
  <si>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</si>
  <si>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</si>
  <si>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</si>
  <si>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</si>
  <si>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</si>
  <si>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</si>
  <si>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</si>
  <si>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</si>
  <si>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</si>
  <si>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</si>
  <si>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</si>
  <si>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</si>
  <si>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</si>
  <si>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</si>
  <si>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</si>
  <si>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</si>
  <si>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</si>
  <si>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</si>
  <si>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</si>
  <si>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</si>
  <si>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</si>
  <si>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</si>
  <si>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</si>
  <si>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</si>
  <si>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</si>
  <si>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</si>
  <si>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</si>
  <si>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</si>
  <si>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</si>
  <si>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</si>
  <si>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</si>
  <si>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</si>
  <si>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</si>
  <si>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</si>
  <si>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</si>
  <si>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</si>
  <si>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</si>
  <si>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</si>
  <si>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</si>
  <si>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</si>
  <si>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</si>
  <si>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</si>
  <si>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</si>
  <si>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</si>
  <si>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</si>
  <si>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</si>
  <si>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</si>
  <si>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</si>
  <si>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</si>
  <si>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</si>
  <si>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</si>
  <si>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</si>
  <si>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</si>
  <si>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</si>
  <si>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</si>
  <si>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</si>
  <si>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</si>
  <si>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</si>
  <si>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</si>
  <si>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</si>
  <si>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</si>
  <si>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</si>
  <si>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</si>
  <si>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</si>
  <si>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021PISTACHIO KISS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</si>
</sst>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  <xf numFmtId="3" fontId="0" fillId="0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7100</v>
          </cell>
        </row>
        <row r="3">
          <cell r="G3" t="str">
            <v>004BELLINA</v>
          </cell>
          <cell r="H3">
            <v>1830</v>
          </cell>
        </row>
        <row r="4">
          <cell r="G4" t="str">
            <v>005ELBA</v>
          </cell>
          <cell r="H4">
            <v>6660</v>
          </cell>
        </row>
        <row r="5">
          <cell r="G5" t="str">
            <v>005HOT BUBBLES</v>
          </cell>
          <cell r="H5">
            <v>1340</v>
          </cell>
        </row>
        <row r="6">
          <cell r="G6" t="str">
            <v>005SUSPIRO</v>
          </cell>
          <cell r="H6">
            <v>3300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12160</v>
          </cell>
        </row>
        <row r="9">
          <cell r="G9" t="str">
            <v>014FRUITY BUBBLES</v>
          </cell>
          <cell r="H9">
            <v>4250</v>
          </cell>
        </row>
        <row r="10">
          <cell r="G10" t="str">
            <v>015FELLINI</v>
          </cell>
          <cell r="H10">
            <v>6540</v>
          </cell>
        </row>
        <row r="11">
          <cell r="G11" t="str">
            <v>016GOOD PEACH</v>
          </cell>
          <cell r="H11">
            <v>4320</v>
          </cell>
        </row>
        <row r="12">
          <cell r="G12" t="str">
            <v>016GOOD YELLOW</v>
          </cell>
          <cell r="H12">
            <v>4980</v>
          </cell>
        </row>
        <row r="13">
          <cell r="G13" t="str">
            <v>017ORANGE STAR</v>
          </cell>
          <cell r="H13">
            <v>2200</v>
          </cell>
        </row>
        <row r="14">
          <cell r="G14" t="str">
            <v>018COSMO</v>
          </cell>
          <cell r="H14">
            <v>2875</v>
          </cell>
        </row>
        <row r="15">
          <cell r="G15" t="str">
            <v>018RUBICON</v>
          </cell>
          <cell r="H15">
            <v>5250</v>
          </cell>
        </row>
        <row r="16">
          <cell r="G16" t="str">
            <v>019BELLINA</v>
          </cell>
          <cell r="H16">
            <v>1590</v>
          </cell>
        </row>
        <row r="17">
          <cell r="G17" t="str">
            <v>020SUMMER DANCE</v>
          </cell>
          <cell r="H17">
            <v>3375</v>
          </cell>
        </row>
        <row r="18">
          <cell r="G18" t="str">
            <v>021ELEGANT ROSEVER</v>
          </cell>
          <cell r="H18">
            <v>840</v>
          </cell>
        </row>
        <row r="19">
          <cell r="G19" t="str">
            <v>021FLAME CLUB</v>
          </cell>
          <cell r="H19">
            <v>1250</v>
          </cell>
        </row>
        <row r="20">
          <cell r="G20" t="str">
            <v>021KELLY</v>
          </cell>
          <cell r="H20">
            <v>650</v>
          </cell>
        </row>
        <row r="21">
          <cell r="G21" t="str">
            <v>021LEILA</v>
          </cell>
          <cell r="H21">
            <v>1300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1520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2460</v>
          </cell>
        </row>
        <row r="26">
          <cell r="G26" t="str">
            <v>022MIRABEL</v>
          </cell>
          <cell r="H26">
            <v>1840</v>
          </cell>
        </row>
        <row r="27">
          <cell r="G27" t="str">
            <v>030MIRABEL</v>
          </cell>
          <cell r="H27">
            <v>6820</v>
          </cell>
        </row>
        <row r="28">
          <cell r="G28" t="str">
            <v>030SOMERSET</v>
          </cell>
          <cell r="H28">
            <v>3600</v>
          </cell>
        </row>
        <row r="29">
          <cell r="G29" t="str">
            <v>03182989</v>
          </cell>
          <cell r="H29">
            <v>2720</v>
          </cell>
        </row>
        <row r="30">
          <cell r="G30" t="str">
            <v>031RUBICON</v>
          </cell>
          <cell r="H30">
            <v>3930</v>
          </cell>
        </row>
        <row r="31">
          <cell r="G31" t="str">
            <v>031SOMERSET</v>
          </cell>
          <cell r="H31">
            <v>720</v>
          </cell>
        </row>
        <row r="32">
          <cell r="G32" t="str">
            <v>031VELVET BLOSSOMS</v>
          </cell>
          <cell r="H32">
            <v>800</v>
          </cell>
        </row>
        <row r="33">
          <cell r="G33" t="str">
            <v>032ELBA</v>
          </cell>
          <cell r="H33">
            <v>4800</v>
          </cell>
        </row>
        <row r="34">
          <cell r="G34" t="str">
            <v>032MIRABEL</v>
          </cell>
          <cell r="H34">
            <v>3820</v>
          </cell>
        </row>
        <row r="35">
          <cell r="G35" t="str">
            <v>033CREAMY FOLIES</v>
          </cell>
          <cell r="H35">
            <v>1410</v>
          </cell>
        </row>
        <row r="36">
          <cell r="G36" t="str">
            <v>033HOT BUBBLES</v>
          </cell>
          <cell r="H36">
            <v>4240</v>
          </cell>
        </row>
        <row r="37">
          <cell r="G37" t="str">
            <v>001BELIEVE IN PINK</v>
          </cell>
          <cell r="H37">
            <v>1260</v>
          </cell>
        </row>
        <row r="38">
          <cell r="G38" t="str">
            <v>001EXPLORER</v>
          </cell>
          <cell r="H38">
            <v>5700</v>
          </cell>
        </row>
        <row r="39">
          <cell r="G39" t="str">
            <v>001GRACE KELLY</v>
          </cell>
          <cell r="H39">
            <v>1950</v>
          </cell>
        </row>
        <row r="40">
          <cell r="G40" t="str">
            <v>001LIGHT HOUSE</v>
          </cell>
          <cell r="H40">
            <v>2760</v>
          </cell>
        </row>
        <row r="41">
          <cell r="G41" t="str">
            <v>001LUMIA</v>
          </cell>
          <cell r="H41">
            <v>2040</v>
          </cell>
        </row>
        <row r="42">
          <cell r="G42" t="str">
            <v>001MOMENTUM</v>
          </cell>
          <cell r="H42">
            <v>4275</v>
          </cell>
        </row>
        <row r="43">
          <cell r="G43" t="str">
            <v>002SUMMER ROMANCE</v>
          </cell>
          <cell r="H43">
            <v>1200</v>
          </cell>
        </row>
        <row r="44">
          <cell r="G44" t="str">
            <v>002SWEETNESS</v>
          </cell>
          <cell r="H44">
            <v>5790</v>
          </cell>
        </row>
        <row r="45">
          <cell r="G45" t="str">
            <v>003CABARET</v>
          </cell>
          <cell r="H45">
            <v>8850</v>
          </cell>
        </row>
        <row r="46">
          <cell r="G46" t="str">
            <v>003DEEP PURPLE</v>
          </cell>
          <cell r="H46">
            <v>14310</v>
          </cell>
        </row>
        <row r="47">
          <cell r="G47" t="str">
            <v>003EXPLORER</v>
          </cell>
          <cell r="H47">
            <v>3075</v>
          </cell>
        </row>
        <row r="48">
          <cell r="G48" t="str">
            <v>003JOCKER</v>
          </cell>
          <cell r="H48">
            <v>1300</v>
          </cell>
        </row>
        <row r="49">
          <cell r="G49" t="str">
            <v>003QUICKSAND</v>
          </cell>
          <cell r="H49">
            <v>2040</v>
          </cell>
        </row>
        <row r="50">
          <cell r="G50" t="str">
            <v>004COTOPAXI</v>
          </cell>
          <cell r="H50">
            <v>2010</v>
          </cell>
        </row>
        <row r="51">
          <cell r="G51" t="str">
            <v>004DEEP PURPLE</v>
          </cell>
          <cell r="H51">
            <v>21360</v>
          </cell>
        </row>
        <row r="52">
          <cell r="G52" t="str">
            <v>004HOT EXPLORER</v>
          </cell>
          <cell r="H52">
            <v>3900</v>
          </cell>
        </row>
        <row r="53">
          <cell r="G53" t="str">
            <v>004HOT MERENGUE</v>
          </cell>
          <cell r="H53">
            <v>3210</v>
          </cell>
        </row>
        <row r="54">
          <cell r="G54" t="str">
            <v>004SWEETNESS</v>
          </cell>
          <cell r="H54">
            <v>510</v>
          </cell>
        </row>
        <row r="55">
          <cell r="G55" t="str">
            <v>005EXPLORER</v>
          </cell>
          <cell r="H55">
            <v>1925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2350</v>
          </cell>
        </row>
        <row r="58">
          <cell r="G58" t="str">
            <v>005VENDELA</v>
          </cell>
          <cell r="H58">
            <v>1680</v>
          </cell>
        </row>
        <row r="59">
          <cell r="G59" t="str">
            <v>006ATOMIC</v>
          </cell>
          <cell r="H59">
            <v>1275</v>
          </cell>
        </row>
        <row r="60">
          <cell r="G60" t="str">
            <v>006EXPLORER</v>
          </cell>
          <cell r="H60">
            <v>8050</v>
          </cell>
        </row>
        <row r="61">
          <cell r="G61" t="str">
            <v>006MONDIAL</v>
          </cell>
          <cell r="H61">
            <v>6625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8100</v>
          </cell>
        </row>
        <row r="64">
          <cell r="G64" t="str">
            <v>007REDIANT</v>
          </cell>
          <cell r="H64">
            <v>1920</v>
          </cell>
        </row>
        <row r="65">
          <cell r="G65" t="str">
            <v>007SUMMER ROMANCE</v>
          </cell>
          <cell r="H65">
            <v>225</v>
          </cell>
        </row>
        <row r="66">
          <cell r="G66" t="str">
            <v>007VENDELA</v>
          </cell>
          <cell r="H66">
            <v>9210</v>
          </cell>
        </row>
        <row r="67">
          <cell r="G67" t="str">
            <v>008DEEP PURPLE</v>
          </cell>
          <cell r="H67">
            <v>8190</v>
          </cell>
        </row>
        <row r="68">
          <cell r="G68" t="str">
            <v>008FREEDOM</v>
          </cell>
          <cell r="H68">
            <v>4380</v>
          </cell>
        </row>
        <row r="69">
          <cell r="G69" t="str">
            <v>008JOCKER</v>
          </cell>
          <cell r="H69">
            <v>5500</v>
          </cell>
        </row>
        <row r="70">
          <cell r="G70" t="str">
            <v>008LUMIA</v>
          </cell>
          <cell r="H70">
            <v>3240</v>
          </cell>
        </row>
        <row r="71">
          <cell r="G71" t="str">
            <v>010COOLDOWN</v>
          </cell>
          <cell r="H71">
            <v>3520</v>
          </cell>
        </row>
        <row r="72">
          <cell r="G72" t="str">
            <v>010VIOLET HILL</v>
          </cell>
          <cell r="H72">
            <v>6180</v>
          </cell>
        </row>
        <row r="73">
          <cell r="G73" t="str">
            <v>011BRIGHTON</v>
          </cell>
          <cell r="H73">
            <v>3325</v>
          </cell>
        </row>
        <row r="74">
          <cell r="G74" t="str">
            <v>011CANDLELIGHT</v>
          </cell>
          <cell r="H74">
            <v>7180</v>
          </cell>
        </row>
        <row r="75">
          <cell r="G75" t="str">
            <v>011CAYENNE</v>
          </cell>
          <cell r="H75">
            <v>1650</v>
          </cell>
        </row>
        <row r="76">
          <cell r="G76" t="str">
            <v>011LUMIA</v>
          </cell>
          <cell r="H76">
            <v>1890</v>
          </cell>
        </row>
        <row r="77">
          <cell r="G77" t="str">
            <v>011STARDUST</v>
          </cell>
          <cell r="H77">
            <v>3800</v>
          </cell>
        </row>
        <row r="78">
          <cell r="G78" t="str">
            <v>012DEEP PURPLE</v>
          </cell>
          <cell r="H78">
            <v>22050</v>
          </cell>
        </row>
        <row r="79">
          <cell r="G79" t="str">
            <v>012LIGHT HOUSE</v>
          </cell>
          <cell r="H79">
            <v>2040</v>
          </cell>
        </row>
        <row r="80">
          <cell r="G80" t="str">
            <v>013COUNTRY BLUES</v>
          </cell>
          <cell r="H80">
            <v>1240</v>
          </cell>
        </row>
        <row r="81">
          <cell r="G81" t="str">
            <v>013LORRAINE</v>
          </cell>
          <cell r="H81">
            <v>4175</v>
          </cell>
        </row>
        <row r="82">
          <cell r="G82" t="str">
            <v>013LUMIA</v>
          </cell>
          <cell r="H82">
            <v>900</v>
          </cell>
        </row>
        <row r="83">
          <cell r="G83" t="str">
            <v>013VENDELA</v>
          </cell>
          <cell r="H83">
            <v>13380</v>
          </cell>
        </row>
        <row r="84">
          <cell r="G84" t="str">
            <v>014STARDUST</v>
          </cell>
          <cell r="H84">
            <v>7475</v>
          </cell>
        </row>
        <row r="85">
          <cell r="G85" t="str">
            <v>015JOCKER</v>
          </cell>
          <cell r="H85">
            <v>6175</v>
          </cell>
        </row>
        <row r="86">
          <cell r="G86" t="str">
            <v>016DREAM IN PEACH</v>
          </cell>
          <cell r="H86">
            <v>2400</v>
          </cell>
        </row>
        <row r="87">
          <cell r="G87" t="str">
            <v>016NINA</v>
          </cell>
          <cell r="H87">
            <v>4900</v>
          </cell>
        </row>
        <row r="88">
          <cell r="G88" t="str">
            <v>017FREEDOM</v>
          </cell>
          <cell r="H88">
            <v>5880</v>
          </cell>
        </row>
        <row r="89">
          <cell r="G89" t="str">
            <v>017GOLDFINCH</v>
          </cell>
          <cell r="H89">
            <v>3325</v>
          </cell>
        </row>
        <row r="90">
          <cell r="G90" t="str">
            <v>018BRIGHTON</v>
          </cell>
          <cell r="H90">
            <v>2700</v>
          </cell>
        </row>
        <row r="91">
          <cell r="G91" t="str">
            <v>019BRIGHTON</v>
          </cell>
          <cell r="H91">
            <v>8350</v>
          </cell>
        </row>
        <row r="92">
          <cell r="G92" t="str">
            <v>019TABATHA</v>
          </cell>
          <cell r="H92">
            <v>2610</v>
          </cell>
        </row>
        <row r="93">
          <cell r="G93" t="str">
            <v>020BRIGHTON</v>
          </cell>
          <cell r="H93">
            <v>6700</v>
          </cell>
        </row>
        <row r="94">
          <cell r="G94" t="str">
            <v>020TYCOON</v>
          </cell>
          <cell r="H94">
            <v>1380</v>
          </cell>
        </row>
        <row r="95">
          <cell r="G95" t="str">
            <v>021SHOW GIRL</v>
          </cell>
          <cell r="H95">
            <v>1475</v>
          </cell>
        </row>
        <row r="96">
          <cell r="G96" t="str">
            <v>022CORAL REEF</v>
          </cell>
          <cell r="H96">
            <v>2725</v>
          </cell>
        </row>
        <row r="97">
          <cell r="G97" t="str">
            <v>023COTOPAXI</v>
          </cell>
          <cell r="H97">
            <v>6570</v>
          </cell>
        </row>
        <row r="98">
          <cell r="G98" t="str">
            <v>023FRUTTETO</v>
          </cell>
          <cell r="H98">
            <v>8490</v>
          </cell>
        </row>
        <row r="99">
          <cell r="G99" t="str">
            <v>024COTOPAXI</v>
          </cell>
          <cell r="H99">
            <v>3150</v>
          </cell>
        </row>
        <row r="100">
          <cell r="G100" t="str">
            <v>024SWEETNESS</v>
          </cell>
          <cell r="H100">
            <v>1950</v>
          </cell>
        </row>
        <row r="101">
          <cell r="G101" t="str">
            <v>024TYCOON</v>
          </cell>
          <cell r="H101">
            <v>4230</v>
          </cell>
        </row>
        <row r="102">
          <cell r="G102" t="str">
            <v>025PINK MONDIAL</v>
          </cell>
          <cell r="H102">
            <v>5700</v>
          </cell>
        </row>
        <row r="103">
          <cell r="G103" t="str">
            <v>026LOLA</v>
          </cell>
          <cell r="H103">
            <v>6300</v>
          </cell>
        </row>
        <row r="104">
          <cell r="G104" t="str">
            <v>026PALOMA</v>
          </cell>
          <cell r="H104">
            <v>7150</v>
          </cell>
        </row>
        <row r="105">
          <cell r="G105" t="str">
            <v>027SATISFACTION</v>
          </cell>
          <cell r="H105">
            <v>5460</v>
          </cell>
        </row>
        <row r="106">
          <cell r="G106" t="str">
            <v>027TIFFANY</v>
          </cell>
          <cell r="H106">
            <v>4590</v>
          </cell>
        </row>
        <row r="107">
          <cell r="G107" t="str">
            <v>028COTOPAXI</v>
          </cell>
          <cell r="H107">
            <v>5850</v>
          </cell>
        </row>
        <row r="108">
          <cell r="G108" t="str">
            <v>028DEEP PURPLE</v>
          </cell>
          <cell r="H108">
            <v>9150</v>
          </cell>
        </row>
        <row r="109">
          <cell r="G109" t="str">
            <v>029PINK FLOYD</v>
          </cell>
          <cell r="H109">
            <v>3875</v>
          </cell>
        </row>
        <row r="110">
          <cell r="G110" t="str">
            <v>030EXPLORER</v>
          </cell>
          <cell r="H110">
            <v>3725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8440</v>
          </cell>
        </row>
        <row r="3">
          <cell r="G3" t="str">
            <v>004BELLINA</v>
          </cell>
          <cell r="H3">
            <v>1965</v>
          </cell>
        </row>
        <row r="4">
          <cell r="G4" t="str">
            <v>005ELBA</v>
          </cell>
          <cell r="H4">
            <v>5700</v>
          </cell>
        </row>
        <row r="5">
          <cell r="G5" t="str">
            <v>005HOT BUBBLES</v>
          </cell>
          <cell r="H5">
            <v>1080</v>
          </cell>
        </row>
        <row r="6">
          <cell r="G6" t="str">
            <v>005SUSPIRO</v>
          </cell>
          <cell r="H6">
            <v>3090</v>
          </cell>
        </row>
        <row r="7">
          <cell r="G7" t="str">
            <v>007SNOW BUBBLES</v>
          </cell>
          <cell r="H7">
            <v>1580</v>
          </cell>
        </row>
        <row r="8">
          <cell r="G8" t="str">
            <v>009HOT BUBBLES</v>
          </cell>
          <cell r="H8">
            <v>7400</v>
          </cell>
        </row>
        <row r="9">
          <cell r="G9" t="str">
            <v>014FRUITY BUBBLES</v>
          </cell>
          <cell r="H9">
            <v>4425</v>
          </cell>
        </row>
        <row r="10">
          <cell r="G10" t="str">
            <v>015FELLINI</v>
          </cell>
          <cell r="H10">
            <v>7680</v>
          </cell>
        </row>
        <row r="11">
          <cell r="G11" t="str">
            <v>016GOOD PEACH</v>
          </cell>
          <cell r="H11">
            <v>3360</v>
          </cell>
        </row>
        <row r="12">
          <cell r="G12" t="str">
            <v>016GOOD YELLOW</v>
          </cell>
          <cell r="H12">
            <v>4680</v>
          </cell>
        </row>
        <row r="13">
          <cell r="G13" t="str">
            <v>017ORANGE STAR</v>
          </cell>
          <cell r="H13">
            <v>1800</v>
          </cell>
        </row>
        <row r="14">
          <cell r="G14" t="str">
            <v>018COSMO</v>
          </cell>
          <cell r="H14">
            <v>5275</v>
          </cell>
        </row>
        <row r="15">
          <cell r="G15" t="str">
            <v>018RUBICON</v>
          </cell>
          <cell r="H15">
            <v>3540</v>
          </cell>
        </row>
        <row r="16">
          <cell r="G16" t="str">
            <v>019BELLINA</v>
          </cell>
          <cell r="H16">
            <v>1740</v>
          </cell>
        </row>
        <row r="17">
          <cell r="G17" t="str">
            <v>020SUMMER DANCE</v>
          </cell>
          <cell r="H17">
            <v>3675</v>
          </cell>
        </row>
        <row r="18">
          <cell r="G18" t="str">
            <v>021ELEGANT ROSEVER</v>
          </cell>
          <cell r="H18">
            <v>540</v>
          </cell>
        </row>
        <row r="19">
          <cell r="G19" t="str">
            <v>021FLAME CLUB</v>
          </cell>
          <cell r="H19">
            <v>1450</v>
          </cell>
        </row>
        <row r="20">
          <cell r="G20" t="str">
            <v>021KELLY</v>
          </cell>
          <cell r="H20">
            <v>450</v>
          </cell>
        </row>
        <row r="21">
          <cell r="G21" t="str">
            <v>021LEILA</v>
          </cell>
          <cell r="H21">
            <v>700</v>
          </cell>
        </row>
        <row r="22">
          <cell r="G22" t="str">
            <v>021PISTACHIO KISS</v>
          </cell>
          <cell r="H22">
            <v>75</v>
          </cell>
        </row>
        <row r="23">
          <cell r="G23" t="str">
            <v>021SNOW BUBBLES</v>
          </cell>
          <cell r="H23">
            <v>2440</v>
          </cell>
        </row>
        <row r="24">
          <cell r="G24" t="str">
            <v>022FRUITY BUBBLES</v>
          </cell>
          <cell r="H24">
            <v>4650</v>
          </cell>
        </row>
        <row r="25">
          <cell r="G25" t="str">
            <v>022GOOD PEACH</v>
          </cell>
          <cell r="H25">
            <v>2070</v>
          </cell>
        </row>
        <row r="26">
          <cell r="G26" t="str">
            <v>022MIRABEL</v>
          </cell>
          <cell r="H26">
            <v>2180</v>
          </cell>
        </row>
        <row r="27">
          <cell r="G27" t="str">
            <v>030MIRABEL</v>
          </cell>
          <cell r="H27">
            <v>4980</v>
          </cell>
        </row>
        <row r="28">
          <cell r="G28" t="str">
            <v>030SOMERSET</v>
          </cell>
          <cell r="H28">
            <v>4000</v>
          </cell>
        </row>
        <row r="29">
          <cell r="G29" t="str">
            <v>03182989</v>
          </cell>
          <cell r="H29">
            <v>780</v>
          </cell>
        </row>
        <row r="30">
          <cell r="G30" t="str">
            <v>031RUBICON</v>
          </cell>
          <cell r="H30">
            <v>2700</v>
          </cell>
        </row>
        <row r="31">
          <cell r="G31" t="str">
            <v>031SOMERSET</v>
          </cell>
          <cell r="H31">
            <v>960</v>
          </cell>
        </row>
        <row r="32">
          <cell r="G32" t="str">
            <v>031VELVET BLOSSOMS</v>
          </cell>
          <cell r="H32">
            <v>760</v>
          </cell>
        </row>
        <row r="33">
          <cell r="G33" t="str">
            <v>032ELBA</v>
          </cell>
          <cell r="H33">
            <v>3090</v>
          </cell>
        </row>
        <row r="34">
          <cell r="G34" t="str">
            <v>032MIRABEL</v>
          </cell>
          <cell r="H34">
            <v>1880</v>
          </cell>
        </row>
        <row r="35">
          <cell r="G35" t="str">
            <v>033CREAMY FOLIES</v>
          </cell>
          <cell r="H35">
            <v>780</v>
          </cell>
        </row>
        <row r="36">
          <cell r="G36" t="str">
            <v>033HOT BUBBLES</v>
          </cell>
          <cell r="H36">
            <v>5780</v>
          </cell>
        </row>
        <row r="37">
          <cell r="G37" t="str">
            <v>001BELIEVE IN PINK</v>
          </cell>
          <cell r="H37">
            <v>1350</v>
          </cell>
        </row>
        <row r="38">
          <cell r="G38" t="str">
            <v>001EXPLORER</v>
          </cell>
          <cell r="H38">
            <v>4000</v>
          </cell>
        </row>
        <row r="39">
          <cell r="G39" t="str">
            <v>001GRACE KELLY</v>
          </cell>
          <cell r="H39">
            <v>2430</v>
          </cell>
        </row>
        <row r="40">
          <cell r="G40" t="str">
            <v>001LIGHT HOUSE</v>
          </cell>
          <cell r="H40">
            <v>2850</v>
          </cell>
        </row>
        <row r="41">
          <cell r="G41" t="str">
            <v>001LUMIA</v>
          </cell>
          <cell r="H41">
            <v>3300</v>
          </cell>
        </row>
        <row r="42">
          <cell r="G42" t="str">
            <v>001MOMENTUM</v>
          </cell>
          <cell r="H42">
            <v>5275</v>
          </cell>
        </row>
        <row r="43">
          <cell r="G43" t="str">
            <v>002SUMMER ROMANCE</v>
          </cell>
          <cell r="H43">
            <v>1275</v>
          </cell>
        </row>
        <row r="44">
          <cell r="G44" t="str">
            <v>002SWEETNESS</v>
          </cell>
          <cell r="H44">
            <v>6870</v>
          </cell>
        </row>
        <row r="45">
          <cell r="G45" t="str">
            <v>003CABARET</v>
          </cell>
          <cell r="H45">
            <v>6870</v>
          </cell>
        </row>
        <row r="46">
          <cell r="G46" t="str">
            <v>003DEEP PURPLE</v>
          </cell>
          <cell r="H46">
            <v>8820</v>
          </cell>
        </row>
        <row r="47">
          <cell r="G47" t="str">
            <v>003EXPLORER</v>
          </cell>
          <cell r="H47">
            <v>2125</v>
          </cell>
        </row>
        <row r="48">
          <cell r="G48" t="str">
            <v>003JOCKER</v>
          </cell>
          <cell r="H48">
            <v>1125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900</v>
          </cell>
        </row>
        <row r="51">
          <cell r="G51" t="str">
            <v>004DEEP PURPLE</v>
          </cell>
          <cell r="H51">
            <v>12060</v>
          </cell>
        </row>
        <row r="52">
          <cell r="G52" t="str">
            <v>004HOT EXPLORER</v>
          </cell>
          <cell r="H52">
            <v>1675</v>
          </cell>
        </row>
        <row r="53">
          <cell r="G53" t="str">
            <v>004HOT MERENGUE</v>
          </cell>
          <cell r="H53">
            <v>2610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1425</v>
          </cell>
        </row>
        <row r="56">
          <cell r="G56" t="str">
            <v>005GOLDFINCH</v>
          </cell>
          <cell r="H56">
            <v>900</v>
          </cell>
        </row>
        <row r="57">
          <cell r="G57" t="str">
            <v>005JOCKER</v>
          </cell>
          <cell r="H57">
            <v>2375</v>
          </cell>
        </row>
        <row r="58">
          <cell r="G58" t="str">
            <v>005VENDELA</v>
          </cell>
          <cell r="H58">
            <v>1710</v>
          </cell>
        </row>
        <row r="59">
          <cell r="G59" t="str">
            <v>006ATOMIC</v>
          </cell>
          <cell r="H59">
            <v>950</v>
          </cell>
        </row>
        <row r="60">
          <cell r="G60" t="str">
            <v>006EXPLORER</v>
          </cell>
          <cell r="H60">
            <v>5100</v>
          </cell>
        </row>
        <row r="61">
          <cell r="G61" t="str">
            <v>006MONDIAL</v>
          </cell>
          <cell r="H61">
            <v>9500</v>
          </cell>
        </row>
        <row r="62">
          <cell r="G62" t="str">
            <v>007BELIEVE IN PINK</v>
          </cell>
          <cell r="H62">
            <v>0</v>
          </cell>
        </row>
        <row r="63">
          <cell r="G63" t="str">
            <v>007COTOPAXI</v>
          </cell>
          <cell r="H63">
            <v>5850</v>
          </cell>
        </row>
        <row r="64">
          <cell r="G64" t="str">
            <v>007REDIANT</v>
          </cell>
          <cell r="H64">
            <v>2160</v>
          </cell>
        </row>
        <row r="65">
          <cell r="G65" t="str">
            <v>007SUMMER ROMANCE</v>
          </cell>
          <cell r="H65">
            <v>400</v>
          </cell>
        </row>
        <row r="66">
          <cell r="G66" t="str">
            <v>007VENDELA</v>
          </cell>
          <cell r="H66">
            <v>10650</v>
          </cell>
        </row>
        <row r="67">
          <cell r="G67" t="str">
            <v>008DEEP PURPLE</v>
          </cell>
          <cell r="H67">
            <v>5670</v>
          </cell>
        </row>
        <row r="68">
          <cell r="G68" t="str">
            <v>008FREEDOM</v>
          </cell>
          <cell r="H68">
            <v>2610</v>
          </cell>
        </row>
        <row r="69">
          <cell r="G69" t="str">
            <v>008JOCKER</v>
          </cell>
          <cell r="H69">
            <v>5750</v>
          </cell>
        </row>
        <row r="70">
          <cell r="G70" t="str">
            <v>008LUMIA</v>
          </cell>
          <cell r="H70">
            <v>2850</v>
          </cell>
        </row>
        <row r="71">
          <cell r="G71" t="str">
            <v>010COOLDOWN</v>
          </cell>
          <cell r="H71">
            <v>3825</v>
          </cell>
        </row>
        <row r="72">
          <cell r="G72" t="str">
            <v>010VIOLET HILL</v>
          </cell>
          <cell r="H72">
            <v>5850</v>
          </cell>
        </row>
        <row r="73">
          <cell r="G73" t="str">
            <v>011BRIGHTON</v>
          </cell>
          <cell r="H73">
            <v>3550</v>
          </cell>
        </row>
        <row r="74">
          <cell r="G74" t="str">
            <v>011CANDLELIGHT</v>
          </cell>
          <cell r="H74">
            <v>4640</v>
          </cell>
        </row>
        <row r="75">
          <cell r="G75" t="str">
            <v>011CAYENNE</v>
          </cell>
          <cell r="H75">
            <v>1530</v>
          </cell>
        </row>
        <row r="76">
          <cell r="G76" t="str">
            <v>011LUMIA</v>
          </cell>
          <cell r="H76">
            <v>2640</v>
          </cell>
        </row>
        <row r="77">
          <cell r="G77" t="str">
            <v>011STARDUST</v>
          </cell>
          <cell r="H77">
            <v>4525</v>
          </cell>
        </row>
        <row r="78">
          <cell r="G78" t="str">
            <v>012DEEP PURPLE</v>
          </cell>
          <cell r="H78">
            <v>19410</v>
          </cell>
        </row>
        <row r="79">
          <cell r="G79" t="str">
            <v>012LIGHT HOUSE</v>
          </cell>
          <cell r="H79">
            <v>2100</v>
          </cell>
        </row>
        <row r="80">
          <cell r="G80" t="str">
            <v>013COUNTRY BLUES</v>
          </cell>
          <cell r="H80">
            <v>1400</v>
          </cell>
        </row>
        <row r="81">
          <cell r="G81" t="str">
            <v>013LORRAINE</v>
          </cell>
          <cell r="H81">
            <v>4025</v>
          </cell>
        </row>
        <row r="82">
          <cell r="G82" t="str">
            <v>013LUMIA</v>
          </cell>
          <cell r="H82">
            <v>960</v>
          </cell>
        </row>
        <row r="83">
          <cell r="G83" t="str">
            <v>013VENDELA</v>
          </cell>
          <cell r="H83">
            <v>12150</v>
          </cell>
        </row>
        <row r="84">
          <cell r="G84" t="str">
            <v>014STARDUST</v>
          </cell>
          <cell r="H84">
            <v>8575</v>
          </cell>
        </row>
        <row r="85">
          <cell r="G85" t="str">
            <v>015JOCKER</v>
          </cell>
          <cell r="H85">
            <v>6750</v>
          </cell>
        </row>
        <row r="86">
          <cell r="G86" t="str">
            <v>016DREAM IN PEACH</v>
          </cell>
          <cell r="H86">
            <v>1800</v>
          </cell>
        </row>
        <row r="87">
          <cell r="G87" t="str">
            <v>016NINA</v>
          </cell>
          <cell r="H87">
            <v>3300</v>
          </cell>
        </row>
        <row r="88">
          <cell r="G88" t="str">
            <v>017FREEDOM</v>
          </cell>
          <cell r="H88">
            <v>5400</v>
          </cell>
        </row>
        <row r="89">
          <cell r="G89" t="str">
            <v>017GOLDFINCH</v>
          </cell>
          <cell r="H89">
            <v>3725</v>
          </cell>
        </row>
        <row r="90">
          <cell r="G90" t="str">
            <v>018BRIGHTON</v>
          </cell>
          <cell r="H90">
            <v>2475</v>
          </cell>
        </row>
        <row r="91">
          <cell r="G91" t="str">
            <v>019BRIGHTON</v>
          </cell>
          <cell r="H91">
            <v>9375</v>
          </cell>
        </row>
        <row r="92">
          <cell r="G92" t="str">
            <v>019TABATHA</v>
          </cell>
          <cell r="H92">
            <v>2490</v>
          </cell>
        </row>
        <row r="93">
          <cell r="G93" t="str">
            <v>020BRIGHTON</v>
          </cell>
          <cell r="H93">
            <v>5500</v>
          </cell>
        </row>
        <row r="94">
          <cell r="G94" t="str">
            <v>020TYCOON</v>
          </cell>
          <cell r="H94">
            <v>1350</v>
          </cell>
        </row>
        <row r="95">
          <cell r="G95" t="str">
            <v>021SHOW GIRL</v>
          </cell>
          <cell r="H95">
            <v>1200</v>
          </cell>
        </row>
        <row r="96">
          <cell r="G96" t="str">
            <v>022CORAL REEF</v>
          </cell>
          <cell r="H96">
            <v>2375</v>
          </cell>
        </row>
        <row r="97">
          <cell r="G97" t="str">
            <v>023COTOPAXI</v>
          </cell>
          <cell r="H97">
            <v>6330</v>
          </cell>
        </row>
        <row r="98">
          <cell r="G98" t="str">
            <v>023FRUTTETO</v>
          </cell>
          <cell r="H98">
            <v>6960</v>
          </cell>
        </row>
        <row r="99">
          <cell r="G99" t="str">
            <v>024COTOPAXI</v>
          </cell>
          <cell r="H99">
            <v>4440</v>
          </cell>
        </row>
        <row r="100">
          <cell r="G100" t="str">
            <v>024SWEETNESS</v>
          </cell>
          <cell r="H100">
            <v>2220</v>
          </cell>
        </row>
        <row r="101">
          <cell r="G101" t="str">
            <v>024TYCOON</v>
          </cell>
          <cell r="H101">
            <v>5070</v>
          </cell>
        </row>
        <row r="102">
          <cell r="G102" t="str">
            <v>025PINK MONDIAL</v>
          </cell>
          <cell r="H102">
            <v>7400</v>
          </cell>
        </row>
        <row r="103">
          <cell r="G103" t="str">
            <v>026LOLA</v>
          </cell>
          <cell r="H103">
            <v>3400</v>
          </cell>
        </row>
        <row r="104">
          <cell r="G104" t="str">
            <v>026PALOMA</v>
          </cell>
          <cell r="H104">
            <v>4675</v>
          </cell>
        </row>
        <row r="105">
          <cell r="G105" t="str">
            <v>027SATISFACTION</v>
          </cell>
          <cell r="H105">
            <v>7230</v>
          </cell>
        </row>
        <row r="106">
          <cell r="G106" t="str">
            <v>027TIFFANY</v>
          </cell>
          <cell r="H106">
            <v>6360</v>
          </cell>
        </row>
        <row r="107">
          <cell r="G107" t="str">
            <v>028COTOPAXI</v>
          </cell>
          <cell r="H107">
            <v>5010</v>
          </cell>
        </row>
        <row r="108">
          <cell r="G108" t="str">
            <v>028DEEP PURPLE</v>
          </cell>
          <cell r="H108">
            <v>7260</v>
          </cell>
        </row>
        <row r="109">
          <cell r="G109" t="str">
            <v>029PINK FLOYD</v>
          </cell>
          <cell r="H109">
            <v>4350</v>
          </cell>
        </row>
        <row r="110">
          <cell r="G110" t="str">
            <v>030EXPLORER</v>
          </cell>
          <cell r="H110">
            <v>2600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375"/>
  <sheetViews>
    <sheetView tabSelected="1" topLeftCell="A8981" zoomScaleNormal="100" workbookViewId="0">
      <selection activeCell="H9157" sqref="H9157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0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0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7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60</v>
      </c>
      <c r="G5745" t="str">
        <f t="shared" si="233"/>
        <v>001LIGHT HOUSE</v>
      </c>
      <c r="H5745" s="5">
        <v>2340</v>
      </c>
      <c r="I5745" s="6">
        <v>1056.7586206473827</v>
      </c>
      <c r="J5745" s="5">
        <v>8000</v>
      </c>
      <c r="K5745" s="6">
        <f t="shared" si="235"/>
        <v>2.2143183450601884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61</v>
      </c>
      <c r="G5746" t="str">
        <f t="shared" si="233"/>
        <v>001LUMIA</v>
      </c>
      <c r="H5746" s="5">
        <v>2040</v>
      </c>
      <c r="I5746" s="6">
        <v>1109.596551679753</v>
      </c>
      <c r="J5746" s="5">
        <v>8400</v>
      </c>
      <c r="K5746" s="6">
        <f t="shared" si="235"/>
        <v>1.8385060740426453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62</v>
      </c>
      <c r="G5747" t="str">
        <f t="shared" si="233"/>
        <v>001MOMENTUM</v>
      </c>
      <c r="H5747" s="5">
        <v>2800</v>
      </c>
      <c r="I5747" s="6">
        <v>1902.1655171652881</v>
      </c>
      <c r="J5747" s="5">
        <v>14400</v>
      </c>
      <c r="K5747" s="6">
        <f t="shared" si="235"/>
        <v>1.4720064971910092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12</v>
      </c>
      <c r="F5748" t="s">
        <v>63</v>
      </c>
      <c r="G5748" t="str">
        <f t="shared" si="233"/>
        <v>002SUMMER ROMANCE</v>
      </c>
      <c r="H5748" s="5">
        <v>1700</v>
      </c>
      <c r="I5748" s="6">
        <v>951.10714281909407</v>
      </c>
      <c r="J5748" s="5">
        <v>7200</v>
      </c>
      <c r="K5748" s="6">
        <f t="shared" si="234"/>
        <v>1.7873906350457822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64</v>
      </c>
      <c r="G5749" t="str">
        <f t="shared" si="233"/>
        <v>002SWEETNESS</v>
      </c>
      <c r="H5749" s="5">
        <v>8850</v>
      </c>
      <c r="I5749" s="6">
        <v>3804.4285712763772</v>
      </c>
      <c r="J5749" s="5">
        <v>28800</v>
      </c>
      <c r="K5749" s="6">
        <f t="shared" si="234"/>
        <v>2.3262363411992895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65</v>
      </c>
      <c r="F5750" t="s">
        <v>66</v>
      </c>
      <c r="G5750" t="str">
        <f t="shared" si="233"/>
        <v>003CABARET</v>
      </c>
      <c r="H5750" s="5">
        <v>6090</v>
      </c>
      <c r="I5750" s="6">
        <v>2641.8965516184649</v>
      </c>
      <c r="J5750" s="5">
        <v>20000</v>
      </c>
      <c r="K5750" s="6">
        <f t="shared" si="234"/>
        <v>2.3051621746011124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67</v>
      </c>
      <c r="G5751" t="str">
        <f t="shared" si="233"/>
        <v>003DEEP PURPLE</v>
      </c>
      <c r="H5751" s="5">
        <v>13380</v>
      </c>
      <c r="I5751" s="6">
        <v>3592.9793102010913</v>
      </c>
      <c r="J5751" s="5">
        <v>26044</v>
      </c>
      <c r="K5751" s="6">
        <f t="shared" si="234"/>
        <v>3.7239290418433137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57</v>
      </c>
      <c r="G5752" t="str">
        <f t="shared" si="233"/>
        <v>003EXPLORER</v>
      </c>
      <c r="H5752" s="5">
        <v>2100</v>
      </c>
      <c r="I5752" s="6">
        <v>1268.1103447768633</v>
      </c>
      <c r="J5752" s="5">
        <v>9600</v>
      </c>
      <c r="K5752" s="6">
        <f t="shared" si="234"/>
        <v>1.6560073093398793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68</v>
      </c>
      <c r="G5753" t="str">
        <f t="shared" si="233"/>
        <v>003JOCKER</v>
      </c>
      <c r="H5753" s="5">
        <v>925</v>
      </c>
      <c r="I5753" s="6">
        <v>528.37931032368999</v>
      </c>
      <c r="J5753" s="5">
        <v>4000</v>
      </c>
      <c r="K5753" s="6">
        <f t="shared" si="234"/>
        <v>1.7506362984450252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69</v>
      </c>
      <c r="G5754" t="str">
        <f t="shared" si="233"/>
        <v>003QUICKSAND</v>
      </c>
      <c r="H5754" s="5">
        <v>1560</v>
      </c>
      <c r="I5754" s="6">
        <v>1162.4344827121247</v>
      </c>
      <c r="J5754" s="5">
        <v>8800</v>
      </c>
      <c r="K5754" s="6">
        <f t="shared" si="234"/>
        <v>1.3420111182182917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14</v>
      </c>
      <c r="F5755" t="s">
        <v>70</v>
      </c>
      <c r="G5755" t="str">
        <f t="shared" si="233"/>
        <v>004COTOPAXI</v>
      </c>
      <c r="H5755" s="5">
        <v>1350</v>
      </c>
      <c r="I5755" s="6">
        <v>528.3915024419166</v>
      </c>
      <c r="J5755" s="5">
        <v>4000</v>
      </c>
      <c r="K5755" s="6">
        <f t="shared" si="234"/>
        <v>2.5549237521063253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67</v>
      </c>
      <c r="G5756" t="str">
        <f t="shared" si="233"/>
        <v>004DEEP PURPLE</v>
      </c>
      <c r="H5756" s="5">
        <v>13290</v>
      </c>
      <c r="I5756" s="6">
        <v>3910.1071427007282</v>
      </c>
      <c r="J5756" s="5">
        <v>29260</v>
      </c>
      <c r="K5756" s="6">
        <f t="shared" si="234"/>
        <v>3.3988838451164636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71</v>
      </c>
      <c r="G5757" t="str">
        <f t="shared" si="233"/>
        <v>004HOT EXPLORER</v>
      </c>
      <c r="H5757" s="5">
        <v>2525</v>
      </c>
      <c r="I5757" s="6">
        <v>1902.2142856381945</v>
      </c>
      <c r="J5757" s="5">
        <v>14400</v>
      </c>
      <c r="K5757" s="6">
        <f t="shared" si="234"/>
        <v>1.3274003980854661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72</v>
      </c>
      <c r="G5758" t="str">
        <f t="shared" si="233"/>
        <v>004HOT MERENGUE</v>
      </c>
      <c r="H5758" s="5">
        <v>2940</v>
      </c>
      <c r="I5758" s="6">
        <v>1162.4642856677858</v>
      </c>
      <c r="J5758" s="5">
        <v>8800</v>
      </c>
      <c r="K5758" s="6">
        <f t="shared" si="234"/>
        <v>2.5291099573963223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64</v>
      </c>
      <c r="G5759" t="str">
        <f t="shared" si="233"/>
        <v>004SWEETNESS</v>
      </c>
      <c r="H5759" s="5">
        <v>270</v>
      </c>
      <c r="I5759" s="6">
        <v>317.03571427303262</v>
      </c>
      <c r="J5759" s="5">
        <v>2400</v>
      </c>
      <c r="K5759" s="6">
        <f t="shared" si="234"/>
        <v>0.85163906728651639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16</v>
      </c>
      <c r="F5760" t="s">
        <v>57</v>
      </c>
      <c r="G5760" t="str">
        <f t="shared" si="233"/>
        <v>005EXPLORER</v>
      </c>
      <c r="H5760" s="5">
        <v>1625</v>
      </c>
      <c r="I5760" s="6">
        <v>951.10714281875391</v>
      </c>
      <c r="J5760" s="5">
        <v>7200</v>
      </c>
      <c r="K5760" s="6">
        <f t="shared" si="234"/>
        <v>1.7085351658531969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73</v>
      </c>
      <c r="G5761" t="str">
        <f t="shared" si="233"/>
        <v>005GOLDFINCH</v>
      </c>
      <c r="H5761" s="5">
        <v>1125</v>
      </c>
      <c r="I5761" s="6">
        <v>898.26785710660101</v>
      </c>
      <c r="J5761" s="5">
        <v>6800</v>
      </c>
      <c r="K5761" s="6">
        <f t="shared" si="234"/>
        <v>1.2524103930688593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68</v>
      </c>
      <c r="G5762" t="str">
        <f t="shared" si="233"/>
        <v>005JOCKER</v>
      </c>
      <c r="H5762" s="5">
        <v>2375</v>
      </c>
      <c r="I5762" s="6">
        <v>1162.4642856673661</v>
      </c>
      <c r="J5762" s="5">
        <v>8800</v>
      </c>
      <c r="K5762" s="6">
        <f t="shared" si="234"/>
        <v>2.0430735200062702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74</v>
      </c>
      <c r="G5763" t="str">
        <f t="shared" si="233"/>
        <v>005VENDELA</v>
      </c>
      <c r="H5763" s="5">
        <v>1830</v>
      </c>
      <c r="I5763" s="6">
        <v>686.91071425798896</v>
      </c>
      <c r="J5763" s="5">
        <v>5200</v>
      </c>
      <c r="K5763" s="6">
        <f t="shared" si="234"/>
        <v>2.6641016976664762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75</v>
      </c>
      <c r="F5764" t="s">
        <v>76</v>
      </c>
      <c r="G5764" t="str">
        <f t="shared" si="233"/>
        <v>006ATOMIC</v>
      </c>
      <c r="H5764" s="5">
        <v>1450</v>
      </c>
      <c r="I5764" s="6">
        <v>845.428571394752</v>
      </c>
      <c r="J5764" s="5">
        <v>6400</v>
      </c>
      <c r="K5764" s="6">
        <f t="shared" si="234"/>
        <v>1.7151064549520154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57</v>
      </c>
      <c r="G5765" t="str">
        <f t="shared" si="233"/>
        <v>006EXPLORER</v>
      </c>
      <c r="H5765" s="5">
        <v>7575</v>
      </c>
      <c r="I5765" s="6">
        <v>3910.1071427007355</v>
      </c>
      <c r="J5765" s="5">
        <v>29600</v>
      </c>
      <c r="K5765" s="6">
        <f t="shared" si="234"/>
        <v>1.9372870674760845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77</v>
      </c>
      <c r="G5766" t="str">
        <f t="shared" si="233"/>
        <v>006MONDIAL</v>
      </c>
      <c r="H5766" s="5">
        <v>4925</v>
      </c>
      <c r="I5766" s="6">
        <v>4015.7857141250793</v>
      </c>
      <c r="J5766" s="5">
        <v>30400</v>
      </c>
      <c r="K5766" s="6">
        <f t="shared" si="234"/>
        <v>1.2264100603468111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20</v>
      </c>
      <c r="F5767" t="s">
        <v>70</v>
      </c>
      <c r="G5767" t="str">
        <f t="shared" si="233"/>
        <v>007COTOPAXI</v>
      </c>
      <c r="H5767" s="5">
        <v>8880</v>
      </c>
      <c r="I5767" s="6">
        <v>2747.5751230427709</v>
      </c>
      <c r="J5767" s="5">
        <v>20800</v>
      </c>
      <c r="K5767" s="6">
        <f t="shared" si="234"/>
        <v>3.2319407485994214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78</v>
      </c>
      <c r="G5768" t="str">
        <f t="shared" si="233"/>
        <v>007REDIANT</v>
      </c>
      <c r="H5768" s="5">
        <v>2280</v>
      </c>
      <c r="I5768" s="6">
        <v>1056.75862064738</v>
      </c>
      <c r="J5768" s="5">
        <v>9600</v>
      </c>
      <c r="K5768" s="6">
        <f t="shared" si="234"/>
        <v>2.1575409515971122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63</v>
      </c>
      <c r="G5769" t="str">
        <f t="shared" si="233"/>
        <v>007SUMMER ROMANCE</v>
      </c>
      <c r="H5769" s="5">
        <v>300</v>
      </c>
      <c r="I5769" s="6">
        <v>369.86551722658481</v>
      </c>
      <c r="J5769" s="5">
        <v>3080</v>
      </c>
      <c r="K5769" s="6">
        <f t="shared" si="234"/>
        <v>0.811105620901166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74</v>
      </c>
      <c r="G5770" t="str">
        <f t="shared" si="233"/>
        <v>007VENDELA</v>
      </c>
      <c r="H5770" s="5">
        <v>10890</v>
      </c>
      <c r="I5770" s="6">
        <v>3592.9793102011122</v>
      </c>
      <c r="J5770" s="5">
        <v>27820</v>
      </c>
      <c r="K5770" s="6">
        <f t="shared" si="234"/>
        <v>3.0309108569262668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79</v>
      </c>
      <c r="F5771" t="s">
        <v>67</v>
      </c>
      <c r="G5771" t="str">
        <f t="shared" ref="G5771:G5834" si="236">+E5771&amp;F5771</f>
        <v>008DEEP PURPLE</v>
      </c>
      <c r="H5771" s="5">
        <v>7260</v>
      </c>
      <c r="I5771" s="6">
        <v>1585.2222221588099</v>
      </c>
      <c r="J5771" s="5">
        <v>11490</v>
      </c>
      <c r="K5771" s="6">
        <f t="shared" si="234"/>
        <v>4.5797995375771876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81</v>
      </c>
      <c r="G5772" t="str">
        <f t="shared" si="236"/>
        <v>008FREEDOM</v>
      </c>
      <c r="H5772" s="5">
        <v>3540</v>
      </c>
      <c r="I5772" s="6">
        <v>2219.311111022334</v>
      </c>
      <c r="J5772" s="5">
        <v>16800</v>
      </c>
      <c r="K5772" s="6">
        <f t="shared" si="234"/>
        <v>1.5950895673970134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68</v>
      </c>
      <c r="G5773" t="str">
        <f t="shared" si="236"/>
        <v>008JOCKER</v>
      </c>
      <c r="H5773" s="5">
        <v>4250</v>
      </c>
      <c r="I5773" s="6">
        <v>2959.0814813631118</v>
      </c>
      <c r="J5773" s="5">
        <v>22400</v>
      </c>
      <c r="K5773" s="6">
        <f t="shared" si="234"/>
        <v>1.4362564960672262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61</v>
      </c>
      <c r="G5774" t="str">
        <f t="shared" si="236"/>
        <v>008LUMIA</v>
      </c>
      <c r="H5774" s="5">
        <v>5700</v>
      </c>
      <c r="I5774" s="6">
        <v>1796.5851851133182</v>
      </c>
      <c r="J5774" s="5">
        <v>13600</v>
      </c>
      <c r="K5774" s="6">
        <f t="shared" si="234"/>
        <v>3.1726856300668409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82</v>
      </c>
      <c r="F5775" t="s">
        <v>83</v>
      </c>
      <c r="G5775" t="str">
        <f t="shared" si="236"/>
        <v>010COOLDOWN</v>
      </c>
      <c r="H5775" s="5">
        <v>2475</v>
      </c>
      <c r="I5775" s="6">
        <v>1912.3542857142861</v>
      </c>
      <c r="J5775" s="5">
        <v>16320</v>
      </c>
      <c r="K5775" s="6">
        <f t="shared" si="234"/>
        <v>1.2942162540115099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84</v>
      </c>
      <c r="G5776" t="str">
        <f t="shared" si="236"/>
        <v>010VIOLET HILL</v>
      </c>
      <c r="H5776" s="5">
        <v>4200</v>
      </c>
      <c r="I5776" s="6">
        <v>2812.2857142428579</v>
      </c>
      <c r="J5776" s="5">
        <v>20000</v>
      </c>
      <c r="K5776" s="6">
        <f t="shared" si="234"/>
        <v>1.4934471198033132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85</v>
      </c>
      <c r="F5777" t="s">
        <v>86</v>
      </c>
      <c r="G5777" t="str">
        <f t="shared" si="236"/>
        <v>011BRIGHTON</v>
      </c>
      <c r="H5777" s="5">
        <v>2325</v>
      </c>
      <c r="I5777" s="6">
        <v>1768.8376470588223</v>
      </c>
      <c r="J5777" s="5">
        <v>12800</v>
      </c>
      <c r="K5777" s="6">
        <f t="shared" si="234"/>
        <v>1.3144224987895017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87</v>
      </c>
      <c r="G5778" t="str">
        <f t="shared" si="236"/>
        <v>011CANDLELIGHT</v>
      </c>
      <c r="H5778" s="5">
        <v>2820</v>
      </c>
      <c r="I5778" s="6">
        <v>2263.7999998868127</v>
      </c>
      <c r="J5778" s="5">
        <v>17920</v>
      </c>
      <c r="K5778" s="6">
        <f t="shared" si="234"/>
        <v>1.2456930824900594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88</v>
      </c>
      <c r="G5779" t="str">
        <f t="shared" si="236"/>
        <v>011CAYENNE</v>
      </c>
      <c r="H5779" s="5">
        <v>1260</v>
      </c>
      <c r="I5779" s="6">
        <v>994.97117647058747</v>
      </c>
      <c r="J5779" s="5">
        <v>7200</v>
      </c>
      <c r="K5779" s="6">
        <f t="shared" si="234"/>
        <v>1.2663683429197781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61</v>
      </c>
      <c r="G5780" t="str">
        <f t="shared" si="236"/>
        <v>011LUMIA</v>
      </c>
      <c r="H5780" s="5">
        <v>1710</v>
      </c>
      <c r="I5780" s="6">
        <v>994.97117647058747</v>
      </c>
      <c r="J5780" s="5">
        <v>7920</v>
      </c>
      <c r="K5780" s="6">
        <f t="shared" si="234"/>
        <v>1.7186427511054132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89</v>
      </c>
      <c r="G5781" t="str">
        <f t="shared" si="236"/>
        <v>011STARDUST</v>
      </c>
      <c r="H5781" s="5">
        <v>2500</v>
      </c>
      <c r="I5781" s="6">
        <v>2263.7999998868127</v>
      </c>
      <c r="J5781" s="5">
        <v>17920</v>
      </c>
      <c r="K5781" s="6">
        <f t="shared" ref="K5781:K5842" si="237">+H5781/I5781</f>
        <v>1.1043378390869323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90</v>
      </c>
      <c r="F5782" t="s">
        <v>67</v>
      </c>
      <c r="G5782" t="str">
        <f t="shared" si="236"/>
        <v>012DEEP PURPLE</v>
      </c>
      <c r="H5782" s="5">
        <v>15180</v>
      </c>
      <c r="I5782" s="6">
        <v>6727.0499997982479</v>
      </c>
      <c r="J5782" s="5">
        <v>49210</v>
      </c>
      <c r="K5782" s="6">
        <f t="shared" si="237"/>
        <v>2.2565611970262247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60</v>
      </c>
      <c r="G5783" t="str">
        <f t="shared" si="236"/>
        <v>012LIGHT HOUSE</v>
      </c>
      <c r="H5783" s="5">
        <v>1500</v>
      </c>
      <c r="I5783" s="6">
        <v>994.95</v>
      </c>
      <c r="J5783" s="5">
        <v>7200</v>
      </c>
      <c r="K5783" s="6">
        <f t="shared" si="237"/>
        <v>1.5076134479119554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91</v>
      </c>
      <c r="F5784" t="s">
        <v>92</v>
      </c>
      <c r="G5784" t="str">
        <f t="shared" si="236"/>
        <v>013COUNTRY BLUES</v>
      </c>
      <c r="H5784" s="5">
        <v>1825</v>
      </c>
      <c r="I5784" s="6">
        <v>831.6</v>
      </c>
      <c r="J5784" s="5">
        <v>6300</v>
      </c>
      <c r="K5784" s="6">
        <f t="shared" si="237"/>
        <v>2.1945646945646944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93</v>
      </c>
      <c r="G5785" t="str">
        <f t="shared" si="236"/>
        <v>013LORRAINE</v>
      </c>
      <c r="H5785" s="5">
        <v>4900</v>
      </c>
      <c r="I5785" s="6">
        <v>1267.2</v>
      </c>
      <c r="J5785" s="5">
        <v>9600</v>
      </c>
      <c r="K5785" s="6">
        <f t="shared" si="237"/>
        <v>3.8667929292929291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61</v>
      </c>
      <c r="G5786" t="str">
        <f t="shared" si="236"/>
        <v>013LUMIA</v>
      </c>
      <c r="H5786" s="5">
        <v>930</v>
      </c>
      <c r="I5786" s="6">
        <v>316.8</v>
      </c>
      <c r="J5786" s="5">
        <v>2400</v>
      </c>
      <c r="K5786" s="6">
        <f t="shared" si="237"/>
        <v>2.9356060606060606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74</v>
      </c>
      <c r="G5787" t="str">
        <f t="shared" si="236"/>
        <v>013VENDELA</v>
      </c>
      <c r="H5787" s="5">
        <v>10890</v>
      </c>
      <c r="I5787" s="6">
        <v>3603.6</v>
      </c>
      <c r="J5787" s="5">
        <v>27296</v>
      </c>
      <c r="K5787" s="6">
        <f t="shared" si="237"/>
        <v>3.0219780219780219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23</v>
      </c>
      <c r="F5788" t="s">
        <v>89</v>
      </c>
      <c r="G5788" t="str">
        <f t="shared" si="236"/>
        <v>014STARDUST</v>
      </c>
      <c r="H5788" s="5">
        <v>6400</v>
      </c>
      <c r="I5788" s="6">
        <v>3682.8</v>
      </c>
      <c r="J5788" s="5">
        <v>27900</v>
      </c>
      <c r="K5788" s="6">
        <f t="shared" si="237"/>
        <v>1.7378081894210926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25</v>
      </c>
      <c r="F5789" t="s">
        <v>68</v>
      </c>
      <c r="G5789" t="str">
        <f t="shared" si="236"/>
        <v>015JOCKER</v>
      </c>
      <c r="H5789" s="5">
        <v>4100</v>
      </c>
      <c r="I5789" s="6">
        <v>2376</v>
      </c>
      <c r="J5789" s="5">
        <v>18000</v>
      </c>
      <c r="K5789" s="6">
        <f t="shared" si="237"/>
        <v>1.7255892255892256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27</v>
      </c>
      <c r="F5790" t="s">
        <v>94</v>
      </c>
      <c r="G5790" t="str">
        <f t="shared" si="236"/>
        <v>016DREAM IN PEACH</v>
      </c>
      <c r="H5790" s="5">
        <v>1560</v>
      </c>
      <c r="I5790" s="6">
        <v>950.4</v>
      </c>
      <c r="J5790" s="5">
        <v>7200</v>
      </c>
      <c r="K5790" s="6">
        <f t="shared" si="237"/>
        <v>1.6414141414141414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95</v>
      </c>
      <c r="G5791" t="str">
        <f t="shared" si="236"/>
        <v>016NINA</v>
      </c>
      <c r="H5791" s="5">
        <v>3275</v>
      </c>
      <c r="I5791" s="6">
        <v>1346.4</v>
      </c>
      <c r="J5791" s="5">
        <v>10200</v>
      </c>
      <c r="K5791" s="6">
        <f t="shared" si="237"/>
        <v>2.4324123588829472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30</v>
      </c>
      <c r="F5792" t="s">
        <v>81</v>
      </c>
      <c r="G5792" t="str">
        <f t="shared" si="236"/>
        <v>017FREEDOM</v>
      </c>
      <c r="H5792" s="5">
        <v>4320</v>
      </c>
      <c r="I5792" s="6">
        <v>2851.2</v>
      </c>
      <c r="J5792" s="5">
        <v>21600</v>
      </c>
      <c r="K5792" s="6">
        <f t="shared" si="237"/>
        <v>1.5151515151515151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73</v>
      </c>
      <c r="G5793" t="str">
        <f t="shared" si="236"/>
        <v>017GOLDFINCH</v>
      </c>
      <c r="H5793" s="5">
        <v>1750</v>
      </c>
      <c r="I5793" s="6">
        <v>2138.4</v>
      </c>
      <c r="J5793" s="5">
        <v>16200</v>
      </c>
      <c r="K5793" s="6">
        <f t="shared" si="237"/>
        <v>0.81836887392442947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32</v>
      </c>
      <c r="F5794" t="s">
        <v>86</v>
      </c>
      <c r="G5794" t="str">
        <f t="shared" si="236"/>
        <v>018BRIGHTON</v>
      </c>
      <c r="H5794" s="5">
        <v>1500</v>
      </c>
      <c r="I5794" s="6">
        <v>963.6</v>
      </c>
      <c r="J5794" s="5">
        <v>7570</v>
      </c>
      <c r="K5794" s="6">
        <f t="shared" si="237"/>
        <v>1.5566625155666252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35</v>
      </c>
      <c r="F5795" t="s">
        <v>86</v>
      </c>
      <c r="G5795" t="str">
        <f t="shared" si="236"/>
        <v>019BRIGHTON</v>
      </c>
      <c r="H5795" s="5">
        <v>7175</v>
      </c>
      <c r="I5795" s="6">
        <v>3168</v>
      </c>
      <c r="J5795" s="5">
        <v>24000</v>
      </c>
      <c r="K5795" s="6">
        <f t="shared" si="237"/>
        <v>2.2648358585858586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96</v>
      </c>
      <c r="G5796" t="str">
        <f t="shared" si="236"/>
        <v>019TABATHA</v>
      </c>
      <c r="H5796" s="5">
        <v>2520</v>
      </c>
      <c r="I5796" s="6">
        <v>1188</v>
      </c>
      <c r="J5796" s="5">
        <v>9000</v>
      </c>
      <c r="K5796" s="6">
        <f t="shared" si="237"/>
        <v>2.1212121212121211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36</v>
      </c>
      <c r="F5797" t="s">
        <v>86</v>
      </c>
      <c r="G5797" t="str">
        <f t="shared" si="236"/>
        <v>020BRIGHTON</v>
      </c>
      <c r="H5797" s="5">
        <v>3725</v>
      </c>
      <c r="I5797" s="6">
        <v>2732.4</v>
      </c>
      <c r="J5797" s="5">
        <v>20700</v>
      </c>
      <c r="K5797" s="6">
        <f t="shared" si="237"/>
        <v>1.3632703850095154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97</v>
      </c>
      <c r="G5798" t="str">
        <f t="shared" si="236"/>
        <v>020TYCOON</v>
      </c>
      <c r="H5798" s="5">
        <v>1020</v>
      </c>
      <c r="I5798" s="6">
        <v>673.2</v>
      </c>
      <c r="J5798" s="5">
        <v>5100</v>
      </c>
      <c r="K5798" s="6">
        <f t="shared" si="237"/>
        <v>1.5151515151515151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38</v>
      </c>
      <c r="F5799" t="s">
        <v>98</v>
      </c>
      <c r="G5799" t="str">
        <f t="shared" si="236"/>
        <v>021SHOW GIRL</v>
      </c>
      <c r="H5799" s="5">
        <v>1625</v>
      </c>
      <c r="I5799" s="6">
        <v>1100.4749999999999</v>
      </c>
      <c r="J5799" s="5">
        <v>8000</v>
      </c>
      <c r="K5799" s="6">
        <f t="shared" si="237"/>
        <v>1.4766350893932167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43</v>
      </c>
      <c r="F5800" t="s">
        <v>99</v>
      </c>
      <c r="G5800" t="str">
        <f t="shared" si="236"/>
        <v>022CORAL REEF</v>
      </c>
      <c r="H5800" s="5">
        <v>3825</v>
      </c>
      <c r="I5800" s="6">
        <v>1287</v>
      </c>
      <c r="J5800" s="5">
        <v>9400</v>
      </c>
      <c r="K5800" s="6">
        <f t="shared" si="237"/>
        <v>2.9720279720279721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100</v>
      </c>
      <c r="F5801" t="s">
        <v>70</v>
      </c>
      <c r="G5801" t="str">
        <f t="shared" si="236"/>
        <v>023COTOPAXI</v>
      </c>
      <c r="H5801" s="5">
        <v>11040</v>
      </c>
      <c r="I5801" s="6">
        <v>2641.14</v>
      </c>
      <c r="J5801" s="5">
        <v>19200</v>
      </c>
      <c r="K5801" s="6">
        <f t="shared" si="237"/>
        <v>4.1800131761284902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101</v>
      </c>
      <c r="G5802" t="str">
        <f t="shared" si="236"/>
        <v>023FRUTTETO</v>
      </c>
      <c r="H5802" s="5">
        <v>10650</v>
      </c>
      <c r="I5802" s="6">
        <v>2641.14</v>
      </c>
      <c r="J5802" s="5">
        <v>19200</v>
      </c>
      <c r="K5802" s="6">
        <f t="shared" si="237"/>
        <v>4.0323496671891688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102</v>
      </c>
      <c r="F5803" t="s">
        <v>70</v>
      </c>
      <c r="G5803" t="str">
        <f t="shared" si="236"/>
        <v>024COTOPAXI</v>
      </c>
      <c r="H5803" s="5">
        <v>4920</v>
      </c>
      <c r="I5803" s="6">
        <v>1430.6174906250001</v>
      </c>
      <c r="J5803" s="5">
        <v>10400</v>
      </c>
      <c r="K5803" s="6">
        <f t="shared" si="237"/>
        <v>3.4390744082477127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64</v>
      </c>
      <c r="G5804" t="str">
        <f t="shared" si="236"/>
        <v>024SWEETNESS</v>
      </c>
      <c r="H5804" s="5">
        <v>2910</v>
      </c>
      <c r="I5804" s="6">
        <v>1430.6175000000001</v>
      </c>
      <c r="J5804" s="5">
        <v>10400</v>
      </c>
      <c r="K5804" s="6">
        <f t="shared" si="237"/>
        <v>2.034086679353496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97</v>
      </c>
      <c r="G5805" t="str">
        <f t="shared" si="236"/>
        <v>024TYCOON</v>
      </c>
      <c r="H5805" s="5">
        <v>5670</v>
      </c>
      <c r="I5805" s="6">
        <v>2861.2350000000001</v>
      </c>
      <c r="J5805" s="5">
        <v>20800</v>
      </c>
      <c r="K5805" s="6">
        <f t="shared" si="237"/>
        <v>1.9816617649371686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103</v>
      </c>
      <c r="F5806" t="s">
        <v>104</v>
      </c>
      <c r="G5806" t="str">
        <f t="shared" si="236"/>
        <v>025PINK MONDIAL</v>
      </c>
      <c r="H5806" s="5">
        <v>4700</v>
      </c>
      <c r="I5806" s="6">
        <v>3071.9505625000002</v>
      </c>
      <c r="J5806" s="5">
        <v>22400</v>
      </c>
      <c r="K5806" s="6">
        <f t="shared" si="237"/>
        <v>1.5299725384171119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45</v>
      </c>
      <c r="F5807" t="s">
        <v>105</v>
      </c>
      <c r="G5807" t="str">
        <f t="shared" si="236"/>
        <v>026LOLA</v>
      </c>
      <c r="H5807" s="5">
        <v>6775</v>
      </c>
      <c r="I5807" s="6">
        <v>1097.125</v>
      </c>
      <c r="J5807" s="5">
        <v>8000</v>
      </c>
      <c r="K5807" s="6">
        <f t="shared" si="237"/>
        <v>6.1752307166457792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106</v>
      </c>
      <c r="G5808" t="str">
        <f t="shared" si="236"/>
        <v>026PALOMA</v>
      </c>
      <c r="H5808" s="5">
        <v>7325</v>
      </c>
      <c r="I5808" s="6">
        <v>2852.5250000000001</v>
      </c>
      <c r="J5808" s="5">
        <v>20800</v>
      </c>
      <c r="K5808" s="6">
        <f t="shared" si="237"/>
        <v>2.5679003689713498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107</v>
      </c>
      <c r="F5809" t="s">
        <v>108</v>
      </c>
      <c r="G5809" t="str">
        <f t="shared" si="236"/>
        <v>027SATISFACTION</v>
      </c>
      <c r="H5809" s="5">
        <v>4950</v>
      </c>
      <c r="I5809" s="6">
        <v>2633.1</v>
      </c>
      <c r="J5809" s="5">
        <v>19200</v>
      </c>
      <c r="K5809" s="6">
        <f t="shared" si="237"/>
        <v>1.8799134100489918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109</v>
      </c>
      <c r="G5810" t="str">
        <f t="shared" si="236"/>
        <v>027TIFFANY</v>
      </c>
      <c r="H5810" s="5">
        <v>4470</v>
      </c>
      <c r="I5810" s="6">
        <v>2633.1</v>
      </c>
      <c r="J5810" s="5">
        <v>19200</v>
      </c>
      <c r="K5810" s="6">
        <f t="shared" si="237"/>
        <v>1.6976187763472714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110</v>
      </c>
      <c r="F5811" t="s">
        <v>70</v>
      </c>
      <c r="G5811" t="str">
        <f t="shared" si="236"/>
        <v>028COTOPAXI</v>
      </c>
      <c r="H5811" s="5">
        <v>10110</v>
      </c>
      <c r="I5811" s="6">
        <v>2852.5250000000001</v>
      </c>
      <c r="J5811" s="5">
        <v>20800</v>
      </c>
      <c r="K5811" s="6">
        <f t="shared" si="237"/>
        <v>3.5442283590853716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67</v>
      </c>
      <c r="G5812" t="str">
        <f t="shared" si="236"/>
        <v>028DEEP PURPLE</v>
      </c>
      <c r="H5812" s="5">
        <v>5970</v>
      </c>
      <c r="I5812" s="6">
        <v>2852.5250000000001</v>
      </c>
      <c r="J5812" s="5">
        <v>20800</v>
      </c>
      <c r="K5812" s="6">
        <f t="shared" si="237"/>
        <v>2.0928826215370591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111</v>
      </c>
      <c r="F5813" t="s">
        <v>112</v>
      </c>
      <c r="G5813" t="str">
        <f t="shared" si="236"/>
        <v>029PINK FLOYD</v>
      </c>
      <c r="H5813" s="5">
        <v>4600</v>
      </c>
      <c r="I5813" s="6">
        <v>3071.95</v>
      </c>
      <c r="J5813" s="5">
        <v>22400</v>
      </c>
      <c r="K5813" s="6">
        <f t="shared" si="237"/>
        <v>1.4974202054069892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47</v>
      </c>
      <c r="F5814" t="s">
        <v>57</v>
      </c>
      <c r="G5814" t="str">
        <f t="shared" si="236"/>
        <v>030EXPLORER</v>
      </c>
      <c r="H5814" s="5">
        <v>3325</v>
      </c>
      <c r="I5814" s="6">
        <v>1645.6875</v>
      </c>
      <c r="J5814" s="5">
        <v>12000</v>
      </c>
      <c r="K5814" s="6">
        <f t="shared" si="237"/>
        <v>2.0204321901940676</v>
      </c>
    </row>
    <row r="5815" spans="1:11">
      <c r="A5815" s="4">
        <v>2026</v>
      </c>
      <c r="B5815">
        <v>2</v>
      </c>
      <c r="C5815" t="s">
        <v>10</v>
      </c>
      <c r="D5815" t="s">
        <v>11</v>
      </c>
      <c r="E5815" t="s">
        <v>12</v>
      </c>
      <c r="F5815" t="s">
        <v>13</v>
      </c>
      <c r="G5815" t="str">
        <f t="shared" si="236"/>
        <v>002SOMERSET</v>
      </c>
      <c r="H5815" s="5">
        <v>7940</v>
      </c>
      <c r="I5815" s="6">
        <v>4121.4642855494085</v>
      </c>
      <c r="J5815" s="5">
        <v>31200</v>
      </c>
      <c r="K5815" s="6">
        <f t="shared" si="237"/>
        <v>1.92649977044301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14</v>
      </c>
      <c r="F5816" t="s">
        <v>15</v>
      </c>
      <c r="G5816" t="str">
        <f t="shared" si="236"/>
        <v>004BELLINA</v>
      </c>
      <c r="H5816" s="5">
        <v>1755</v>
      </c>
      <c r="I5816" s="6">
        <v>1056.7857142434418</v>
      </c>
      <c r="J5816" s="5">
        <v>8000</v>
      </c>
      <c r="K5816" s="6">
        <f t="shared" si="237"/>
        <v>1.6606961812087073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16</v>
      </c>
      <c r="F5817" t="s">
        <v>17</v>
      </c>
      <c r="G5817" t="str">
        <f t="shared" si="236"/>
        <v>005ELBA</v>
      </c>
      <c r="H5817" s="5">
        <v>4200</v>
      </c>
      <c r="I5817" s="6">
        <v>2641.9642856076484</v>
      </c>
      <c r="J5817" s="5">
        <v>19996</v>
      </c>
      <c r="K5817" s="6">
        <f t="shared" si="237"/>
        <v>1.5897262589354062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18</v>
      </c>
      <c r="G5818" t="str">
        <f t="shared" si="236"/>
        <v>005HOT BUBBLES</v>
      </c>
      <c r="H5818" s="5">
        <v>940</v>
      </c>
      <c r="I5818" s="6">
        <v>528.39285712153003</v>
      </c>
      <c r="J5818" s="5">
        <v>4000</v>
      </c>
      <c r="K5818" s="6">
        <f t="shared" si="237"/>
        <v>1.778979384999144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19</v>
      </c>
      <c r="G5819" t="str">
        <f t="shared" si="236"/>
        <v>005SUSPIRO</v>
      </c>
      <c r="H5819" s="5">
        <v>3840</v>
      </c>
      <c r="I5819" s="6">
        <v>1902.2142856375078</v>
      </c>
      <c r="J5819" s="5">
        <v>14400</v>
      </c>
      <c r="K5819" s="6">
        <f t="shared" si="237"/>
        <v>2.0187000113465468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20</v>
      </c>
      <c r="F5820" t="s">
        <v>21</v>
      </c>
      <c r="G5820" t="str">
        <f t="shared" si="236"/>
        <v>007SNOW BUBBLES</v>
      </c>
      <c r="H5820" s="5">
        <v>500</v>
      </c>
      <c r="I5820" s="6">
        <v>634.05652706821195</v>
      </c>
      <c r="J5820" s="5">
        <v>4800</v>
      </c>
      <c r="K5820" s="6">
        <f t="shared" si="237"/>
        <v>0.78857322439677346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22</v>
      </c>
      <c r="F5821" t="s">
        <v>18</v>
      </c>
      <c r="G5821" t="str">
        <f t="shared" si="236"/>
        <v>009HOT BUBBLES</v>
      </c>
      <c r="H5821" s="5">
        <v>6900</v>
      </c>
      <c r="I5821" s="6">
        <v>4487.9999999102474</v>
      </c>
      <c r="J5821" s="5">
        <v>31740</v>
      </c>
      <c r="K5821" s="6">
        <f t="shared" si="237"/>
        <v>1.5374331551109601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23</v>
      </c>
      <c r="F5822" t="s">
        <v>24</v>
      </c>
      <c r="G5822" t="str">
        <f t="shared" si="236"/>
        <v>014FRUITY BUBBLES</v>
      </c>
      <c r="H5822" s="5">
        <v>5125</v>
      </c>
      <c r="I5822" s="6">
        <v>1702.8</v>
      </c>
      <c r="J5822" s="5">
        <v>12900</v>
      </c>
      <c r="K5822" s="6">
        <f t="shared" si="237"/>
        <v>3.0097486492835333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25</v>
      </c>
      <c r="F5823" t="s">
        <v>26</v>
      </c>
      <c r="G5823" t="str">
        <f t="shared" si="236"/>
        <v>015FELLINI</v>
      </c>
      <c r="H5823" s="5">
        <v>4600</v>
      </c>
      <c r="I5823" s="6">
        <v>3009.6</v>
      </c>
      <c r="J5823" s="5">
        <v>22800</v>
      </c>
      <c r="K5823" s="6">
        <f t="shared" si="237"/>
        <v>1.5284423179160023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27</v>
      </c>
      <c r="F5824" t="s">
        <v>28</v>
      </c>
      <c r="G5824" t="str">
        <f t="shared" si="236"/>
        <v>016GOOD PEACH</v>
      </c>
      <c r="H5824" s="5">
        <v>4140</v>
      </c>
      <c r="I5824" s="6">
        <v>1386</v>
      </c>
      <c r="J5824" s="5">
        <v>10500</v>
      </c>
      <c r="K5824" s="6">
        <f t="shared" si="237"/>
        <v>2.9870129870129869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29</v>
      </c>
      <c r="G5825" t="str">
        <f t="shared" si="236"/>
        <v>016GOOD YELLOW</v>
      </c>
      <c r="H5825" s="5">
        <v>3540</v>
      </c>
      <c r="I5825" s="6">
        <v>1386</v>
      </c>
      <c r="J5825" s="5">
        <v>10500</v>
      </c>
      <c r="K5825" s="6">
        <f t="shared" si="237"/>
        <v>2.554112554112554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30</v>
      </c>
      <c r="F5826" t="s">
        <v>31</v>
      </c>
      <c r="G5826" t="str">
        <f t="shared" si="236"/>
        <v>017ORANGE STAR</v>
      </c>
      <c r="H5826" s="5">
        <v>1325</v>
      </c>
      <c r="I5826" s="6">
        <v>1029.5999999999999</v>
      </c>
      <c r="J5826" s="5">
        <v>7800</v>
      </c>
      <c r="K5826" s="6">
        <f t="shared" si="237"/>
        <v>1.2869075369075371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32</v>
      </c>
      <c r="F5827" t="s">
        <v>33</v>
      </c>
      <c r="G5827" t="str">
        <f t="shared" si="236"/>
        <v>018COSMO</v>
      </c>
      <c r="H5827" s="5">
        <v>2725</v>
      </c>
      <c r="I5827" s="6">
        <v>2653.2</v>
      </c>
      <c r="J5827" s="5">
        <v>20100</v>
      </c>
      <c r="K5827" s="6">
        <f t="shared" si="237"/>
        <v>1.0270616613900196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34</v>
      </c>
      <c r="G5828" t="str">
        <f t="shared" si="236"/>
        <v>018RUBICON</v>
      </c>
      <c r="H5828" s="5">
        <v>2820</v>
      </c>
      <c r="I5828" s="6">
        <v>1768.8</v>
      </c>
      <c r="J5828" s="5">
        <v>13400</v>
      </c>
      <c r="K5828" s="6">
        <f t="shared" si="237"/>
        <v>1.5943012211668928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35</v>
      </c>
      <c r="F5829" t="s">
        <v>15</v>
      </c>
      <c r="G5829" t="str">
        <f t="shared" si="236"/>
        <v>019BELLINA</v>
      </c>
      <c r="H5829" s="5">
        <v>1410</v>
      </c>
      <c r="I5829" s="6">
        <v>1029.5999999999999</v>
      </c>
      <c r="J5829" s="5">
        <v>7800</v>
      </c>
      <c r="K5829" s="6">
        <f t="shared" si="237"/>
        <v>1.3694638694638697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36</v>
      </c>
      <c r="F5830" t="s">
        <v>37</v>
      </c>
      <c r="G5830" t="str">
        <f t="shared" si="236"/>
        <v>020SUMMER DANCE</v>
      </c>
      <c r="H5830" s="5">
        <v>3275</v>
      </c>
      <c r="I5830" s="6">
        <v>1346.4</v>
      </c>
      <c r="J5830" s="5">
        <v>10200</v>
      </c>
      <c r="K5830" s="6">
        <f t="shared" si="237"/>
        <v>2.4324123588829472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38</v>
      </c>
      <c r="F5831" t="s">
        <v>39</v>
      </c>
      <c r="G5831" t="str">
        <f t="shared" si="236"/>
        <v>021ELEGANT ROSEVER</v>
      </c>
      <c r="H5831" s="5">
        <v>1470</v>
      </c>
      <c r="I5831" s="6">
        <v>440.18999062500001</v>
      </c>
      <c r="J5831" s="5">
        <v>3200</v>
      </c>
      <c r="K5831" s="6">
        <f t="shared" si="237"/>
        <v>3.3394671194427503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40</v>
      </c>
      <c r="G5832" t="str">
        <f t="shared" si="236"/>
        <v>021FLAME CLUB</v>
      </c>
      <c r="H5832" s="5">
        <v>1525</v>
      </c>
      <c r="I5832" s="6">
        <v>880.38</v>
      </c>
      <c r="J5832" s="5">
        <v>6400</v>
      </c>
      <c r="K5832" s="6">
        <f t="shared" si="237"/>
        <v>1.7322065471728116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41</v>
      </c>
      <c r="G5833" t="str">
        <f t="shared" si="236"/>
        <v>021KELLY</v>
      </c>
      <c r="H5833" s="5">
        <v>800</v>
      </c>
      <c r="I5833" s="6">
        <v>330.14249999999998</v>
      </c>
      <c r="J5833" s="5">
        <v>2400</v>
      </c>
      <c r="K5833" s="6">
        <f t="shared" si="237"/>
        <v>2.423196044132458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42</v>
      </c>
      <c r="G5834" t="str">
        <f t="shared" si="236"/>
        <v>021LEILA</v>
      </c>
      <c r="H5834" s="5">
        <v>3975</v>
      </c>
      <c r="I5834" s="6">
        <v>1430.6175000000001</v>
      </c>
      <c r="J5834" s="5">
        <v>10400</v>
      </c>
      <c r="K5834" s="6">
        <f t="shared" si="237"/>
        <v>2.7785204640653425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21</v>
      </c>
      <c r="G5835" t="str">
        <f t="shared" ref="G5835:G5894" si="238">+E5835&amp;F5835</f>
        <v>021SNOW BUBBLES</v>
      </c>
      <c r="H5835" s="5">
        <v>2080</v>
      </c>
      <c r="I5835" s="6">
        <v>1287.0000000000018</v>
      </c>
      <c r="J5835" s="5">
        <v>9400</v>
      </c>
      <c r="K5835" s="6">
        <f t="shared" si="237"/>
        <v>1.6161616161616139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43</v>
      </c>
      <c r="F5836" t="s">
        <v>24</v>
      </c>
      <c r="G5836" t="str">
        <f t="shared" si="238"/>
        <v>022FRUITY BUBBLES</v>
      </c>
      <c r="H5836" s="5">
        <v>7700</v>
      </c>
      <c r="I5836" s="6">
        <v>2641.14</v>
      </c>
      <c r="J5836" s="5">
        <v>19200</v>
      </c>
      <c r="K5836" s="6">
        <f t="shared" si="237"/>
        <v>2.9154077405968635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28</v>
      </c>
      <c r="G5837" t="str">
        <f t="shared" si="238"/>
        <v>022GOOD PEACH</v>
      </c>
      <c r="H5837" s="5">
        <v>3270</v>
      </c>
      <c r="I5837" s="6">
        <v>880.38</v>
      </c>
      <c r="J5837" s="5">
        <v>6400</v>
      </c>
      <c r="K5837" s="6">
        <f t="shared" si="237"/>
        <v>3.7143051863967833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44</v>
      </c>
      <c r="G5838" t="str">
        <f t="shared" si="238"/>
        <v>022MIRABEL</v>
      </c>
      <c r="H5838" s="5">
        <v>2980</v>
      </c>
      <c r="I5838" s="6">
        <v>880.38</v>
      </c>
      <c r="J5838" s="5">
        <v>6400</v>
      </c>
      <c r="K5838" s="6">
        <f t="shared" si="237"/>
        <v>3.3849019741475272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47</v>
      </c>
      <c r="F5839" t="s">
        <v>44</v>
      </c>
      <c r="G5839" t="str">
        <f t="shared" si="238"/>
        <v>030MIRABEL</v>
      </c>
      <c r="H5839" s="5">
        <v>5920</v>
      </c>
      <c r="I5839" s="6">
        <v>2413.6749943750001</v>
      </c>
      <c r="J5839" s="5">
        <v>17600</v>
      </c>
      <c r="K5839" s="6">
        <f t="shared" si="237"/>
        <v>2.4526914409754377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13</v>
      </c>
      <c r="G5840" t="str">
        <f t="shared" si="238"/>
        <v>030SOMERSET</v>
      </c>
      <c r="H5840" s="5">
        <v>2540</v>
      </c>
      <c r="I5840" s="6">
        <v>1645.6875</v>
      </c>
      <c r="J5840" s="5">
        <v>12000</v>
      </c>
      <c r="K5840" s="6">
        <f t="shared" si="237"/>
        <v>1.5434278986745662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48</v>
      </c>
      <c r="F5841" t="s">
        <v>49</v>
      </c>
      <c r="G5841" t="str">
        <f t="shared" si="238"/>
        <v>03182989</v>
      </c>
      <c r="H5841" s="5">
        <v>1300</v>
      </c>
      <c r="I5841" s="6">
        <v>726.32013058333712</v>
      </c>
      <c r="J5841" s="5">
        <v>5712</v>
      </c>
      <c r="K5841" s="6">
        <f t="shared" si="237"/>
        <v>1.7898443747606407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34</v>
      </c>
      <c r="G5842" t="str">
        <f t="shared" si="238"/>
        <v>031RUBICON</v>
      </c>
      <c r="H5842" s="5">
        <v>1920</v>
      </c>
      <c r="I5842" s="6">
        <v>924.39958333667107</v>
      </c>
      <c r="J5842" s="5">
        <v>6720</v>
      </c>
      <c r="K5842" s="6">
        <f t="shared" si="237"/>
        <v>2.0770238699909993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13</v>
      </c>
      <c r="G5843" t="str">
        <f t="shared" si="238"/>
        <v>031SOMERSET</v>
      </c>
      <c r="H5843" s="5">
        <v>60</v>
      </c>
      <c r="I5843" s="6">
        <v>1122.485208333339</v>
      </c>
      <c r="J5843" s="5">
        <v>8160</v>
      </c>
      <c r="K5843" s="6">
        <f t="shared" ref="K5843:K5904" si="239">+H5843/I5843</f>
        <v>5.3452820183784631E-2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50</v>
      </c>
      <c r="G5844" t="str">
        <f t="shared" si="238"/>
        <v>031VELVET BLOSSOMS</v>
      </c>
      <c r="H5844" s="5">
        <v>560</v>
      </c>
      <c r="I5844" s="6">
        <v>396.17125000000198</v>
      </c>
      <c r="J5844" s="5">
        <v>2880</v>
      </c>
      <c r="K5844" s="6">
        <f t="shared" si="239"/>
        <v>1.4135301337489714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51</v>
      </c>
      <c r="F5845" t="s">
        <v>17</v>
      </c>
      <c r="G5845" t="str">
        <f t="shared" si="238"/>
        <v>032ELBA</v>
      </c>
      <c r="H5845" s="5">
        <v>3270</v>
      </c>
      <c r="I5845" s="6">
        <v>1535.9749999999999</v>
      </c>
      <c r="J5845" s="5">
        <v>11200</v>
      </c>
      <c r="K5845" s="6">
        <f t="shared" si="239"/>
        <v>2.1289409007308064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44</v>
      </c>
      <c r="G5846" t="str">
        <f t="shared" si="238"/>
        <v>032MIRABEL</v>
      </c>
      <c r="H5846" s="5">
        <v>2820</v>
      </c>
      <c r="I5846" s="6">
        <v>1535.9749999999999</v>
      </c>
      <c r="J5846" s="5">
        <v>11200</v>
      </c>
      <c r="K5846" s="6">
        <f t="shared" si="239"/>
        <v>1.8359673822816127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52</v>
      </c>
      <c r="F5847" t="s">
        <v>53</v>
      </c>
      <c r="G5847" t="str">
        <f t="shared" si="238"/>
        <v>033CREAMY FOLIES</v>
      </c>
      <c r="H5847" s="5">
        <v>870</v>
      </c>
      <c r="I5847" s="6">
        <v>594.25687500000299</v>
      </c>
      <c r="J5847" s="5">
        <v>4320</v>
      </c>
      <c r="K5847" s="6">
        <f t="shared" si="239"/>
        <v>1.4640133528114347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18</v>
      </c>
      <c r="G5848" t="str">
        <f t="shared" si="238"/>
        <v>033HOT BUBBLES</v>
      </c>
      <c r="H5848" s="5">
        <v>4960</v>
      </c>
      <c r="I5848" s="6">
        <v>2575.1131250013459</v>
      </c>
      <c r="J5848" s="5">
        <v>18720</v>
      </c>
      <c r="K5848" s="6">
        <f t="shared" si="239"/>
        <v>1.9261289734591398</v>
      </c>
    </row>
    <row r="5849" spans="1:11">
      <c r="A5849" s="4">
        <v>2026</v>
      </c>
      <c r="B5849">
        <v>2</v>
      </c>
      <c r="C5849" t="s">
        <v>54</v>
      </c>
      <c r="D5849" t="s">
        <v>11</v>
      </c>
      <c r="E5849" t="s">
        <v>55</v>
      </c>
      <c r="F5849" t="s">
        <v>56</v>
      </c>
      <c r="G5849" t="str">
        <f t="shared" si="238"/>
        <v>001BELIEVE IN PINK</v>
      </c>
      <c r="H5849" s="5">
        <v>1080</v>
      </c>
      <c r="I5849" s="6">
        <v>528.37931032368999</v>
      </c>
      <c r="J5849" s="5">
        <v>4000</v>
      </c>
      <c r="K5849" s="6">
        <f t="shared" ref="K5849:K5854" si="240">IFERROR(H5849/I5849,"")</f>
        <v>2.0439861646709483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57</v>
      </c>
      <c r="G5850" t="str">
        <f t="shared" si="238"/>
        <v>001EXPLORER</v>
      </c>
      <c r="H5850" s="5">
        <v>4800</v>
      </c>
      <c r="I5850" s="6">
        <v>2272.0310343918732</v>
      </c>
      <c r="J5850" s="5">
        <v>17200</v>
      </c>
      <c r="K5850" s="6">
        <f t="shared" si="240"/>
        <v>2.1126471986262976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58</v>
      </c>
      <c r="G5851" t="str">
        <f t="shared" si="238"/>
        <v>001GRACE KELLY</v>
      </c>
      <c r="H5851" s="5">
        <v>1830</v>
      </c>
      <c r="I5851" s="6">
        <v>1162.4344827121224</v>
      </c>
      <c r="J5851" s="5">
        <v>8800</v>
      </c>
      <c r="K5851" s="6">
        <f t="shared" si="240"/>
        <v>1.5742822732945376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60</v>
      </c>
      <c r="G5852" t="str">
        <f t="shared" si="238"/>
        <v>001LIGHT HOUSE</v>
      </c>
      <c r="H5852" s="5">
        <v>1980</v>
      </c>
      <c r="I5852" s="6">
        <v>1056.7586206473827</v>
      </c>
      <c r="J5852" s="5">
        <v>8000</v>
      </c>
      <c r="K5852" s="6">
        <f t="shared" si="240"/>
        <v>1.8736539842816979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61</v>
      </c>
      <c r="G5853" t="str">
        <f t="shared" si="238"/>
        <v>001LUMIA</v>
      </c>
      <c r="H5853" s="5">
        <v>2130</v>
      </c>
      <c r="I5853" s="6">
        <v>1109.596551679753</v>
      </c>
      <c r="J5853" s="5">
        <v>8400</v>
      </c>
      <c r="K5853" s="6">
        <f t="shared" si="240"/>
        <v>1.919616636132762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62</v>
      </c>
      <c r="G5854" t="str">
        <f t="shared" si="238"/>
        <v>001MOMENTUM</v>
      </c>
      <c r="H5854" s="5">
        <v>3075</v>
      </c>
      <c r="I5854" s="6">
        <v>1902.1655171652881</v>
      </c>
      <c r="J5854" s="5">
        <v>14400</v>
      </c>
      <c r="K5854" s="6">
        <f t="shared" si="240"/>
        <v>1.6165785638794119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12</v>
      </c>
      <c r="F5855" t="s">
        <v>63</v>
      </c>
      <c r="G5855" t="str">
        <f t="shared" si="238"/>
        <v>002SUMMER ROMANCE</v>
      </c>
      <c r="H5855" s="5">
        <v>1525</v>
      </c>
      <c r="I5855" s="6">
        <v>951.10714281909407</v>
      </c>
      <c r="J5855" s="5">
        <v>7200</v>
      </c>
      <c r="K5855" s="6">
        <f t="shared" si="239"/>
        <v>1.6033945402616576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12</v>
      </c>
      <c r="F5856" t="s">
        <v>64</v>
      </c>
      <c r="G5856" t="str">
        <f t="shared" si="238"/>
        <v>002SWEETNESS</v>
      </c>
      <c r="H5856" s="5">
        <v>7470</v>
      </c>
      <c r="I5856" s="6">
        <v>3804.4285712763772</v>
      </c>
      <c r="J5856" s="5">
        <v>28800</v>
      </c>
      <c r="K5856" s="6">
        <f t="shared" si="239"/>
        <v>1.9635011829105868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65</v>
      </c>
      <c r="F5857" t="s">
        <v>66</v>
      </c>
      <c r="G5857" t="str">
        <f t="shared" si="238"/>
        <v>003CABARET</v>
      </c>
      <c r="H5857" s="5">
        <v>6690</v>
      </c>
      <c r="I5857" s="6">
        <v>2641.8965516184649</v>
      </c>
      <c r="J5857" s="5">
        <v>20000</v>
      </c>
      <c r="K5857" s="6">
        <f t="shared" si="239"/>
        <v>2.5322717484534385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65</v>
      </c>
      <c r="F5858" t="s">
        <v>67</v>
      </c>
      <c r="G5858" t="str">
        <f t="shared" si="238"/>
        <v>003DEEP PURPLE</v>
      </c>
      <c r="H5858" s="5">
        <v>14010</v>
      </c>
      <c r="I5858" s="6">
        <v>3592.9793102010913</v>
      </c>
      <c r="J5858" s="5">
        <v>26044</v>
      </c>
      <c r="K5858" s="6">
        <f t="shared" si="239"/>
        <v>3.8992709922440079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57</v>
      </c>
      <c r="G5859" t="str">
        <f t="shared" si="238"/>
        <v>003EXPLORER</v>
      </c>
      <c r="H5859" s="5">
        <v>2175</v>
      </c>
      <c r="I5859" s="6">
        <v>1268.1103447768633</v>
      </c>
      <c r="J5859" s="5">
        <v>9600</v>
      </c>
      <c r="K5859" s="6">
        <f t="shared" si="239"/>
        <v>1.7151504275305893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68</v>
      </c>
      <c r="G5860" t="str">
        <f t="shared" si="238"/>
        <v>003JOCKER</v>
      </c>
      <c r="H5860" s="5">
        <v>800</v>
      </c>
      <c r="I5860" s="6">
        <v>528.37931032368999</v>
      </c>
      <c r="J5860" s="5">
        <v>4000</v>
      </c>
      <c r="K5860" s="6">
        <f t="shared" si="239"/>
        <v>1.5140638256821841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69</v>
      </c>
      <c r="G5861" t="str">
        <f t="shared" si="238"/>
        <v>003QUICKSAND</v>
      </c>
      <c r="H5861" s="5">
        <v>1770</v>
      </c>
      <c r="I5861" s="6">
        <v>1162.4344827121247</v>
      </c>
      <c r="J5861" s="5">
        <v>8800</v>
      </c>
      <c r="K5861" s="6">
        <f t="shared" si="239"/>
        <v>1.5226664610553695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14</v>
      </c>
      <c r="F5862" t="s">
        <v>70</v>
      </c>
      <c r="G5862" t="str">
        <f t="shared" si="238"/>
        <v>004COTOPAXI</v>
      </c>
      <c r="H5862" s="5">
        <v>1020</v>
      </c>
      <c r="I5862" s="6">
        <v>528.3915024419166</v>
      </c>
      <c r="J5862" s="5">
        <v>4000</v>
      </c>
      <c r="K5862" s="6">
        <f t="shared" si="239"/>
        <v>1.930386834924779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14</v>
      </c>
      <c r="F5863" t="s">
        <v>67</v>
      </c>
      <c r="G5863" t="str">
        <f t="shared" si="238"/>
        <v>004DEEP PURPLE</v>
      </c>
      <c r="H5863" s="5">
        <v>16980</v>
      </c>
      <c r="I5863" s="6">
        <v>3910.1071427007282</v>
      </c>
      <c r="J5863" s="5">
        <v>29260</v>
      </c>
      <c r="K5863" s="6">
        <f t="shared" si="239"/>
        <v>4.3425920007582812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71</v>
      </c>
      <c r="G5864" t="str">
        <f t="shared" si="238"/>
        <v>004HOT EXPLORER</v>
      </c>
      <c r="H5864" s="5">
        <v>2375</v>
      </c>
      <c r="I5864" s="6">
        <v>1902.2142856381945</v>
      </c>
      <c r="J5864" s="5">
        <v>14400</v>
      </c>
      <c r="K5864" s="6">
        <f t="shared" si="239"/>
        <v>1.2485449288922701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72</v>
      </c>
      <c r="G5865" t="str">
        <f t="shared" si="238"/>
        <v>004HOT MERENGUE</v>
      </c>
      <c r="H5865" s="5">
        <v>3480</v>
      </c>
      <c r="I5865" s="6">
        <v>1162.4642856677858</v>
      </c>
      <c r="J5865" s="5">
        <v>8800</v>
      </c>
      <c r="K5865" s="6">
        <f t="shared" si="239"/>
        <v>2.9936403577344222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64</v>
      </c>
      <c r="G5866" t="str">
        <f t="shared" si="238"/>
        <v>004SWEETNESS</v>
      </c>
      <c r="H5866" s="5">
        <v>450</v>
      </c>
      <c r="I5866" s="6">
        <v>317.03571427303262</v>
      </c>
      <c r="J5866" s="5">
        <v>2400</v>
      </c>
      <c r="K5866" s="6">
        <f t="shared" si="239"/>
        <v>1.4193984454775272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16</v>
      </c>
      <c r="F5867" t="s">
        <v>57</v>
      </c>
      <c r="G5867" t="str">
        <f t="shared" si="238"/>
        <v>005EXPLORER</v>
      </c>
      <c r="H5867" s="5">
        <v>2175</v>
      </c>
      <c r="I5867" s="6">
        <v>951.10714281875391</v>
      </c>
      <c r="J5867" s="5">
        <v>7200</v>
      </c>
      <c r="K5867" s="6">
        <f t="shared" si="239"/>
        <v>2.2868086066035098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16</v>
      </c>
      <c r="F5868" t="s">
        <v>73</v>
      </c>
      <c r="G5868" t="str">
        <f t="shared" si="238"/>
        <v>005GOLDFINCH</v>
      </c>
      <c r="H5868" s="5">
        <v>1100</v>
      </c>
      <c r="I5868" s="6">
        <v>898.26785710660101</v>
      </c>
      <c r="J5868" s="5">
        <v>6800</v>
      </c>
      <c r="K5868" s="6">
        <f t="shared" si="239"/>
        <v>1.2245790510006622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68</v>
      </c>
      <c r="G5869" t="str">
        <f t="shared" si="238"/>
        <v>005JOCKER</v>
      </c>
      <c r="H5869" s="5">
        <v>1950</v>
      </c>
      <c r="I5869" s="6">
        <v>1162.4642856673661</v>
      </c>
      <c r="J5869" s="5">
        <v>8800</v>
      </c>
      <c r="K5869" s="6">
        <f t="shared" si="239"/>
        <v>1.6774708901104112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74</v>
      </c>
      <c r="G5870" t="str">
        <f t="shared" si="238"/>
        <v>005VENDELA</v>
      </c>
      <c r="H5870" s="5">
        <v>1140</v>
      </c>
      <c r="I5870" s="6">
        <v>686.91071425798896</v>
      </c>
      <c r="J5870" s="5">
        <v>5200</v>
      </c>
      <c r="K5870" s="6">
        <f t="shared" si="239"/>
        <v>1.6596043362512474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75</v>
      </c>
      <c r="F5871" t="s">
        <v>76</v>
      </c>
      <c r="G5871" t="str">
        <f t="shared" si="238"/>
        <v>006ATOMIC</v>
      </c>
      <c r="H5871" s="5">
        <v>1175</v>
      </c>
      <c r="I5871" s="6">
        <v>845.428571394752</v>
      </c>
      <c r="J5871" s="5">
        <v>6400</v>
      </c>
      <c r="K5871" s="6">
        <f t="shared" si="239"/>
        <v>1.3898276445300815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75</v>
      </c>
      <c r="F5872" t="s">
        <v>57</v>
      </c>
      <c r="G5872" t="str">
        <f t="shared" si="238"/>
        <v>006EXPLORER</v>
      </c>
      <c r="H5872" s="5">
        <v>6825</v>
      </c>
      <c r="I5872" s="6">
        <v>3910.1071427007355</v>
      </c>
      <c r="J5872" s="5">
        <v>29600</v>
      </c>
      <c r="K5872" s="6">
        <f t="shared" si="239"/>
        <v>1.7454764667358782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77</v>
      </c>
      <c r="G5873" t="str">
        <f t="shared" si="238"/>
        <v>006MONDIAL</v>
      </c>
      <c r="H5873" s="5">
        <v>7050</v>
      </c>
      <c r="I5873" s="6">
        <v>4015.7857141250793</v>
      </c>
      <c r="J5873" s="5">
        <v>30400</v>
      </c>
      <c r="K5873" s="6">
        <f t="shared" si="239"/>
        <v>1.7555717615116786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20</v>
      </c>
      <c r="F5874" t="s">
        <v>70</v>
      </c>
      <c r="G5874" t="str">
        <f t="shared" si="238"/>
        <v>007COTOPAXI</v>
      </c>
      <c r="H5874" s="5">
        <v>4860</v>
      </c>
      <c r="I5874" s="6">
        <v>2747.5751230427709</v>
      </c>
      <c r="J5874" s="5">
        <v>20800</v>
      </c>
      <c r="K5874" s="6">
        <f t="shared" si="239"/>
        <v>1.7688324367334671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20</v>
      </c>
      <c r="F5875" t="s">
        <v>78</v>
      </c>
      <c r="G5875" t="str">
        <f t="shared" si="238"/>
        <v>007REDIANT</v>
      </c>
      <c r="H5875" s="5">
        <v>1470</v>
      </c>
      <c r="I5875" s="6">
        <v>1056.75862064738</v>
      </c>
      <c r="J5875" s="5">
        <v>9600</v>
      </c>
      <c r="K5875" s="6">
        <f t="shared" si="239"/>
        <v>1.3910461398455065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63</v>
      </c>
      <c r="G5876" t="str">
        <f t="shared" si="238"/>
        <v>007SUMMER ROMANCE</v>
      </c>
      <c r="H5876" s="5">
        <v>175</v>
      </c>
      <c r="I5876" s="6">
        <v>369.86551722658481</v>
      </c>
      <c r="J5876" s="5">
        <v>3080</v>
      </c>
      <c r="K5876" s="6">
        <f t="shared" si="239"/>
        <v>0.47314494552568021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74</v>
      </c>
      <c r="G5877" t="str">
        <f t="shared" si="238"/>
        <v>007VENDELA</v>
      </c>
      <c r="H5877" s="5">
        <v>7500</v>
      </c>
      <c r="I5877" s="6">
        <v>3592.9793102011122</v>
      </c>
      <c r="J5877" s="5">
        <v>27820</v>
      </c>
      <c r="K5877" s="6">
        <f t="shared" si="239"/>
        <v>2.0874041714368228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79</v>
      </c>
      <c r="F5878" t="s">
        <v>67</v>
      </c>
      <c r="G5878" t="str">
        <f t="shared" si="238"/>
        <v>008DEEP PURPLE</v>
      </c>
      <c r="H5878" s="5">
        <v>5340</v>
      </c>
      <c r="I5878" s="6">
        <v>1585.2222221588099</v>
      </c>
      <c r="J5878" s="5">
        <v>11490</v>
      </c>
      <c r="K5878" s="6">
        <f t="shared" si="239"/>
        <v>3.3686128830113202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79</v>
      </c>
      <c r="F5879" t="s">
        <v>81</v>
      </c>
      <c r="G5879" t="str">
        <f t="shared" si="238"/>
        <v>008FREEDOM</v>
      </c>
      <c r="H5879" s="5">
        <v>3120</v>
      </c>
      <c r="I5879" s="6">
        <v>2219.311111022334</v>
      </c>
      <c r="J5879" s="5">
        <v>16800</v>
      </c>
      <c r="K5879" s="6">
        <f t="shared" si="239"/>
        <v>1.4058416526210966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68</v>
      </c>
      <c r="G5880" t="str">
        <f t="shared" si="238"/>
        <v>008JOCKER</v>
      </c>
      <c r="H5880" s="5">
        <v>3625</v>
      </c>
      <c r="I5880" s="6">
        <v>2959.0814813631118</v>
      </c>
      <c r="J5880" s="5">
        <v>22400</v>
      </c>
      <c r="K5880" s="6">
        <f t="shared" si="239"/>
        <v>1.2250423054691046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61</v>
      </c>
      <c r="G5881" t="str">
        <f t="shared" si="238"/>
        <v>008LUMIA</v>
      </c>
      <c r="H5881" s="5">
        <v>1560</v>
      </c>
      <c r="I5881" s="6">
        <v>1796.5851851133182</v>
      </c>
      <c r="J5881" s="5">
        <v>13600</v>
      </c>
      <c r="K5881" s="6">
        <f t="shared" si="239"/>
        <v>0.86831396191303012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82</v>
      </c>
      <c r="F5882" t="s">
        <v>83</v>
      </c>
      <c r="G5882" t="str">
        <f t="shared" si="238"/>
        <v>010COOLDOWN</v>
      </c>
      <c r="H5882" s="5">
        <v>1900</v>
      </c>
      <c r="I5882" s="6">
        <v>1912.3542857142861</v>
      </c>
      <c r="J5882" s="5">
        <v>16320</v>
      </c>
      <c r="K5882" s="6">
        <f t="shared" si="239"/>
        <v>0.99353975055429045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82</v>
      </c>
      <c r="F5883" t="s">
        <v>84</v>
      </c>
      <c r="G5883" t="str">
        <f t="shared" si="238"/>
        <v>010VIOLET HILL</v>
      </c>
      <c r="H5883" s="5">
        <v>3120</v>
      </c>
      <c r="I5883" s="6">
        <v>2812.2857142428579</v>
      </c>
      <c r="J5883" s="5">
        <v>20000</v>
      </c>
      <c r="K5883" s="6">
        <f t="shared" si="239"/>
        <v>1.1094178604253184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85</v>
      </c>
      <c r="F5884" t="s">
        <v>86</v>
      </c>
      <c r="G5884" t="str">
        <f t="shared" si="238"/>
        <v>011BRIGHTON</v>
      </c>
      <c r="H5884" s="5">
        <v>2725</v>
      </c>
      <c r="I5884" s="6">
        <v>1768.8376470588223</v>
      </c>
      <c r="J5884" s="5">
        <v>12800</v>
      </c>
      <c r="K5884" s="6">
        <f t="shared" si="239"/>
        <v>1.5405597028823192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85</v>
      </c>
      <c r="F5885" t="s">
        <v>87</v>
      </c>
      <c r="G5885" t="str">
        <f t="shared" si="238"/>
        <v>011CANDLELIGHT</v>
      </c>
      <c r="H5885" s="5">
        <v>2800</v>
      </c>
      <c r="I5885" s="6">
        <v>2263.7999998868127</v>
      </c>
      <c r="J5885" s="5">
        <v>17920</v>
      </c>
      <c r="K5885" s="6">
        <f t="shared" si="239"/>
        <v>1.236858379777364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88</v>
      </c>
      <c r="G5886" t="str">
        <f t="shared" si="238"/>
        <v>011CAYENNE</v>
      </c>
      <c r="H5886" s="5">
        <v>1530</v>
      </c>
      <c r="I5886" s="6">
        <v>994.97117647058747</v>
      </c>
      <c r="J5886" s="5">
        <v>7200</v>
      </c>
      <c r="K5886" s="6">
        <f t="shared" si="239"/>
        <v>1.5377329878311592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61</v>
      </c>
      <c r="G5887" t="str">
        <f t="shared" si="238"/>
        <v>011LUMIA</v>
      </c>
      <c r="H5887" s="5">
        <v>2100</v>
      </c>
      <c r="I5887" s="6">
        <v>994.97117647058747</v>
      </c>
      <c r="J5887" s="5">
        <v>7920</v>
      </c>
      <c r="K5887" s="6">
        <f t="shared" si="239"/>
        <v>2.1106139048662969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89</v>
      </c>
      <c r="G5888" t="str">
        <f t="shared" si="238"/>
        <v>011STARDUST</v>
      </c>
      <c r="H5888" s="5">
        <v>2350</v>
      </c>
      <c r="I5888" s="6">
        <v>2263.7999998868127</v>
      </c>
      <c r="J5888" s="5">
        <v>17920</v>
      </c>
      <c r="K5888" s="6">
        <f t="shared" si="239"/>
        <v>1.0380775687417163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90</v>
      </c>
      <c r="F5889" t="s">
        <v>67</v>
      </c>
      <c r="G5889" t="str">
        <f t="shared" si="238"/>
        <v>012DEEP PURPLE</v>
      </c>
      <c r="H5889" s="5">
        <v>12510</v>
      </c>
      <c r="I5889" s="6">
        <v>6727.0499997982479</v>
      </c>
      <c r="J5889" s="5">
        <v>49210</v>
      </c>
      <c r="K5889" s="6">
        <f t="shared" si="239"/>
        <v>1.8596561643476992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90</v>
      </c>
      <c r="F5890" t="s">
        <v>60</v>
      </c>
      <c r="G5890" t="str">
        <f t="shared" si="238"/>
        <v>012LIGHT HOUSE</v>
      </c>
      <c r="H5890" s="5">
        <v>1440</v>
      </c>
      <c r="I5890" s="6">
        <v>994.95</v>
      </c>
      <c r="J5890" s="5">
        <v>7200</v>
      </c>
      <c r="K5890" s="6">
        <f t="shared" si="239"/>
        <v>1.447308909995477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91</v>
      </c>
      <c r="F5891" t="s">
        <v>92</v>
      </c>
      <c r="G5891" t="str">
        <f t="shared" si="238"/>
        <v>013COUNTRY BLUES</v>
      </c>
      <c r="H5891" s="5">
        <v>900</v>
      </c>
      <c r="I5891" s="6">
        <v>831.6</v>
      </c>
      <c r="J5891" s="5">
        <v>6300</v>
      </c>
      <c r="K5891" s="6">
        <f t="shared" si="239"/>
        <v>1.0822510822510822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91</v>
      </c>
      <c r="F5892" t="s">
        <v>93</v>
      </c>
      <c r="G5892" t="str">
        <f t="shared" si="238"/>
        <v>013LORRAINE</v>
      </c>
      <c r="H5892" s="5">
        <v>2350</v>
      </c>
      <c r="I5892" s="6">
        <v>1267.2</v>
      </c>
      <c r="J5892" s="5">
        <v>9600</v>
      </c>
      <c r="K5892" s="6">
        <f t="shared" si="239"/>
        <v>1.8544823232323231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61</v>
      </c>
      <c r="G5893" t="str">
        <f t="shared" si="238"/>
        <v>013LUMIA</v>
      </c>
      <c r="H5893" s="5">
        <v>660</v>
      </c>
      <c r="I5893" s="6">
        <v>316.8</v>
      </c>
      <c r="J5893" s="5">
        <v>2400</v>
      </c>
      <c r="K5893" s="6">
        <f t="shared" si="239"/>
        <v>2.083333333333333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74</v>
      </c>
      <c r="G5894" t="str">
        <f t="shared" si="238"/>
        <v>013VENDELA</v>
      </c>
      <c r="H5894" s="5">
        <v>7710</v>
      </c>
      <c r="I5894" s="6">
        <v>3603.6</v>
      </c>
      <c r="J5894" s="5">
        <v>27296</v>
      </c>
      <c r="K5894" s="6">
        <f t="shared" si="239"/>
        <v>2.1395271395271398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23</v>
      </c>
      <c r="F5895" t="s">
        <v>89</v>
      </c>
      <c r="G5895" t="str">
        <f t="shared" ref="G5895:G5955" si="241">+E5895&amp;F5895</f>
        <v>014STARDUST</v>
      </c>
      <c r="H5895" s="5">
        <v>3875</v>
      </c>
      <c r="I5895" s="6">
        <v>3682.8</v>
      </c>
      <c r="J5895" s="5">
        <v>27900</v>
      </c>
      <c r="K5895" s="6">
        <f t="shared" si="239"/>
        <v>1.0521885521885521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25</v>
      </c>
      <c r="F5896" t="s">
        <v>68</v>
      </c>
      <c r="G5896" t="str">
        <f t="shared" si="241"/>
        <v>015JOCKER</v>
      </c>
      <c r="H5896" s="5">
        <v>3325</v>
      </c>
      <c r="I5896" s="6">
        <v>2376</v>
      </c>
      <c r="J5896" s="5">
        <v>18000</v>
      </c>
      <c r="K5896" s="6">
        <f t="shared" si="239"/>
        <v>1.3994107744107744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27</v>
      </c>
      <c r="F5897" t="s">
        <v>94</v>
      </c>
      <c r="G5897" t="str">
        <f t="shared" si="241"/>
        <v>016DREAM IN PEACH</v>
      </c>
      <c r="H5897" s="5">
        <v>1230</v>
      </c>
      <c r="I5897" s="6">
        <v>950.4</v>
      </c>
      <c r="J5897" s="5">
        <v>7200</v>
      </c>
      <c r="K5897" s="6">
        <f t="shared" si="239"/>
        <v>1.2941919191919191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27</v>
      </c>
      <c r="F5898" t="s">
        <v>95</v>
      </c>
      <c r="G5898" t="str">
        <f t="shared" si="241"/>
        <v>016NINA</v>
      </c>
      <c r="H5898" s="5">
        <v>1875</v>
      </c>
      <c r="I5898" s="6">
        <v>1346.4</v>
      </c>
      <c r="J5898" s="5">
        <v>10200</v>
      </c>
      <c r="K5898" s="6">
        <f t="shared" si="239"/>
        <v>1.392602495543672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30</v>
      </c>
      <c r="F5899" t="s">
        <v>81</v>
      </c>
      <c r="G5899" t="str">
        <f t="shared" si="241"/>
        <v>017FREEDOM</v>
      </c>
      <c r="H5899" s="5">
        <v>5190</v>
      </c>
      <c r="I5899" s="6">
        <v>2851.2</v>
      </c>
      <c r="J5899" s="5">
        <v>21600</v>
      </c>
      <c r="K5899" s="6">
        <f t="shared" si="239"/>
        <v>1.8202861952861955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30</v>
      </c>
      <c r="F5900" t="s">
        <v>73</v>
      </c>
      <c r="G5900" t="str">
        <f t="shared" si="241"/>
        <v>017GOLDFINCH</v>
      </c>
      <c r="H5900" s="5">
        <v>1400</v>
      </c>
      <c r="I5900" s="6">
        <v>2138.4</v>
      </c>
      <c r="J5900" s="5">
        <v>16200</v>
      </c>
      <c r="K5900" s="6">
        <f t="shared" si="239"/>
        <v>0.6546950991395436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32</v>
      </c>
      <c r="F5901" t="s">
        <v>86</v>
      </c>
      <c r="G5901" t="str">
        <f t="shared" si="241"/>
        <v>018BRIGHTON</v>
      </c>
      <c r="H5901" s="5">
        <v>1750</v>
      </c>
      <c r="I5901" s="6">
        <v>963.6</v>
      </c>
      <c r="J5901" s="5">
        <v>7570</v>
      </c>
      <c r="K5901" s="6">
        <f t="shared" si="239"/>
        <v>1.8161062681610627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35</v>
      </c>
      <c r="F5902" t="s">
        <v>86</v>
      </c>
      <c r="G5902" t="str">
        <f t="shared" si="241"/>
        <v>019BRIGHTON</v>
      </c>
      <c r="H5902" s="5">
        <v>7000</v>
      </c>
      <c r="I5902" s="6">
        <v>3168</v>
      </c>
      <c r="J5902" s="5">
        <v>24000</v>
      </c>
      <c r="K5902" s="6">
        <f t="shared" si="239"/>
        <v>2.2095959595959598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35</v>
      </c>
      <c r="F5903" t="s">
        <v>96</v>
      </c>
      <c r="G5903" t="str">
        <f t="shared" si="241"/>
        <v>019TABATHA</v>
      </c>
      <c r="H5903" s="5">
        <v>2100</v>
      </c>
      <c r="I5903" s="6">
        <v>1188</v>
      </c>
      <c r="J5903" s="5">
        <v>9000</v>
      </c>
      <c r="K5903" s="6">
        <f t="shared" si="239"/>
        <v>1.7676767676767677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36</v>
      </c>
      <c r="F5904" t="s">
        <v>86</v>
      </c>
      <c r="G5904" t="str">
        <f t="shared" si="241"/>
        <v>020BRIGHTON</v>
      </c>
      <c r="H5904" s="5">
        <v>3475</v>
      </c>
      <c r="I5904" s="6">
        <v>2732.4</v>
      </c>
      <c r="J5904" s="5">
        <v>20700</v>
      </c>
      <c r="K5904" s="6">
        <f t="shared" si="239"/>
        <v>1.2717757282974673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36</v>
      </c>
      <c r="F5905" t="s">
        <v>97</v>
      </c>
      <c r="G5905" t="str">
        <f t="shared" si="241"/>
        <v>020TYCOON</v>
      </c>
      <c r="H5905" s="5">
        <v>1020</v>
      </c>
      <c r="I5905" s="6">
        <v>673.2</v>
      </c>
      <c r="J5905" s="5">
        <v>5100</v>
      </c>
      <c r="K5905" s="6">
        <f t="shared" ref="K5905:K5964" si="242">+H5905/I5905</f>
        <v>1.5151515151515151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38</v>
      </c>
      <c r="F5906" t="s">
        <v>98</v>
      </c>
      <c r="G5906" t="str">
        <f t="shared" si="241"/>
        <v>021SHOW GIRL</v>
      </c>
      <c r="H5906" s="5">
        <v>1125</v>
      </c>
      <c r="I5906" s="6">
        <v>1100.4749999999999</v>
      </c>
      <c r="J5906" s="5">
        <v>8000</v>
      </c>
      <c r="K5906" s="6">
        <f t="shared" si="242"/>
        <v>1.0222858311183809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43</v>
      </c>
      <c r="F5907" t="s">
        <v>99</v>
      </c>
      <c r="G5907" t="str">
        <f t="shared" si="241"/>
        <v>022CORAL REEF</v>
      </c>
      <c r="H5907" s="5">
        <v>2575</v>
      </c>
      <c r="I5907" s="6">
        <v>1287</v>
      </c>
      <c r="J5907" s="5">
        <v>9400</v>
      </c>
      <c r="K5907" s="6">
        <f t="shared" si="242"/>
        <v>2.0007770007770009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100</v>
      </c>
      <c r="F5908" t="s">
        <v>70</v>
      </c>
      <c r="G5908" t="str">
        <f t="shared" si="241"/>
        <v>023COTOPAXI</v>
      </c>
      <c r="H5908" s="5">
        <v>5220</v>
      </c>
      <c r="I5908" s="6">
        <v>2641.14</v>
      </c>
      <c r="J5908" s="5">
        <v>19200</v>
      </c>
      <c r="K5908" s="6">
        <f t="shared" si="242"/>
        <v>1.9764192734955361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100</v>
      </c>
      <c r="F5909" t="s">
        <v>101</v>
      </c>
      <c r="G5909" t="str">
        <f t="shared" si="241"/>
        <v>023FRUTTETO</v>
      </c>
      <c r="H5909" s="5">
        <v>8430</v>
      </c>
      <c r="I5909" s="6">
        <v>2641.14</v>
      </c>
      <c r="J5909" s="5">
        <v>19200</v>
      </c>
      <c r="K5909" s="6">
        <f t="shared" si="242"/>
        <v>3.191803539380722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102</v>
      </c>
      <c r="F5910" t="s">
        <v>70</v>
      </c>
      <c r="G5910" t="str">
        <f t="shared" si="241"/>
        <v>024COTOPAXI</v>
      </c>
      <c r="H5910" s="5">
        <v>3390</v>
      </c>
      <c r="I5910" s="6">
        <v>1430.6174906250001</v>
      </c>
      <c r="J5910" s="5">
        <v>10400</v>
      </c>
      <c r="K5910" s="6">
        <f t="shared" si="242"/>
        <v>2.3696061471462899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102</v>
      </c>
      <c r="F5911" t="s">
        <v>64</v>
      </c>
      <c r="G5911" t="str">
        <f t="shared" si="241"/>
        <v>024SWEETNESS</v>
      </c>
      <c r="H5911" s="5">
        <v>2400</v>
      </c>
      <c r="I5911" s="6">
        <v>1430.6175000000001</v>
      </c>
      <c r="J5911" s="5">
        <v>10400</v>
      </c>
      <c r="K5911" s="6">
        <f t="shared" si="242"/>
        <v>1.6775972613224708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97</v>
      </c>
      <c r="G5912" t="str">
        <f t="shared" si="241"/>
        <v>024TYCOON</v>
      </c>
      <c r="H5912" s="5">
        <v>5490</v>
      </c>
      <c r="I5912" s="6">
        <v>2861.2350000000001</v>
      </c>
      <c r="J5912" s="5">
        <v>20800</v>
      </c>
      <c r="K5912" s="6">
        <f t="shared" si="242"/>
        <v>1.9187518676375761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103</v>
      </c>
      <c r="F5913" t="s">
        <v>104</v>
      </c>
      <c r="G5913" t="str">
        <f t="shared" si="241"/>
        <v>025PINK MONDIAL</v>
      </c>
      <c r="H5913" s="5">
        <v>4125</v>
      </c>
      <c r="I5913" s="6">
        <v>3071.9505625000002</v>
      </c>
      <c r="J5913" s="5">
        <v>22400</v>
      </c>
      <c r="K5913" s="6">
        <f t="shared" si="242"/>
        <v>1.3427950470150185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45</v>
      </c>
      <c r="F5914" t="s">
        <v>105</v>
      </c>
      <c r="G5914" t="str">
        <f t="shared" si="241"/>
        <v>026LOLA</v>
      </c>
      <c r="H5914" s="5">
        <v>5075</v>
      </c>
      <c r="I5914" s="6">
        <v>1097.125</v>
      </c>
      <c r="J5914" s="5">
        <v>8000</v>
      </c>
      <c r="K5914" s="6">
        <f t="shared" si="242"/>
        <v>4.6257263301811555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45</v>
      </c>
      <c r="F5915" t="s">
        <v>106</v>
      </c>
      <c r="G5915" t="str">
        <f t="shared" si="241"/>
        <v>026PALOMA</v>
      </c>
      <c r="H5915" s="5">
        <v>4675</v>
      </c>
      <c r="I5915" s="6">
        <v>2852.5250000000001</v>
      </c>
      <c r="J5915" s="5">
        <v>20800</v>
      </c>
      <c r="K5915" s="6">
        <f t="shared" si="242"/>
        <v>1.638898870299121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107</v>
      </c>
      <c r="F5916" t="s">
        <v>108</v>
      </c>
      <c r="G5916" t="str">
        <f t="shared" si="241"/>
        <v>027SATISFACTION</v>
      </c>
      <c r="H5916" s="5">
        <v>5100</v>
      </c>
      <c r="I5916" s="6">
        <v>2633.1</v>
      </c>
      <c r="J5916" s="5">
        <v>19200</v>
      </c>
      <c r="K5916" s="6">
        <f t="shared" si="242"/>
        <v>1.9368804830807793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107</v>
      </c>
      <c r="F5917" t="s">
        <v>109</v>
      </c>
      <c r="G5917" t="str">
        <f t="shared" si="241"/>
        <v>027TIFFANY</v>
      </c>
      <c r="H5917" s="5">
        <v>5100</v>
      </c>
      <c r="I5917" s="6">
        <v>2633.1</v>
      </c>
      <c r="J5917" s="5">
        <v>19200</v>
      </c>
      <c r="K5917" s="6">
        <f t="shared" si="242"/>
        <v>1.9368804830807793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110</v>
      </c>
      <c r="F5918" t="s">
        <v>70</v>
      </c>
      <c r="G5918" t="str">
        <f t="shared" si="241"/>
        <v>028COTOPAXI</v>
      </c>
      <c r="H5918" s="5">
        <v>6090</v>
      </c>
      <c r="I5918" s="6">
        <v>2852.5250000000001</v>
      </c>
      <c r="J5918" s="5">
        <v>20800</v>
      </c>
      <c r="K5918" s="6">
        <f t="shared" si="242"/>
        <v>2.1349506139297638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110</v>
      </c>
      <c r="F5919" t="s">
        <v>67</v>
      </c>
      <c r="G5919" t="str">
        <f t="shared" si="241"/>
        <v>028DEEP PURPLE</v>
      </c>
      <c r="H5919" s="5">
        <v>7440</v>
      </c>
      <c r="I5919" s="6">
        <v>2852.5250000000001</v>
      </c>
      <c r="J5919" s="5">
        <v>20800</v>
      </c>
      <c r="K5919" s="6">
        <f t="shared" si="242"/>
        <v>2.6082155283476918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111</v>
      </c>
      <c r="F5920" t="s">
        <v>112</v>
      </c>
      <c r="G5920" t="str">
        <f t="shared" si="241"/>
        <v>029PINK FLOYD</v>
      </c>
      <c r="H5920" s="5">
        <v>4450</v>
      </c>
      <c r="I5920" s="6">
        <v>3071.95</v>
      </c>
      <c r="J5920" s="5">
        <v>22400</v>
      </c>
      <c r="K5920" s="6">
        <f t="shared" si="242"/>
        <v>1.4485912856654568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47</v>
      </c>
      <c r="F5921" t="s">
        <v>57</v>
      </c>
      <c r="G5921" t="str">
        <f t="shared" si="241"/>
        <v>030EXPLORER</v>
      </c>
      <c r="H5921" s="5">
        <v>3275</v>
      </c>
      <c r="I5921" s="6">
        <v>1645.6875</v>
      </c>
      <c r="J5921" s="5">
        <v>12000</v>
      </c>
      <c r="K5921" s="6">
        <f t="shared" si="242"/>
        <v>1.9900497512437811</v>
      </c>
    </row>
    <row r="5922" spans="1:11">
      <c r="A5922" s="4">
        <v>2026</v>
      </c>
      <c r="B5922">
        <v>3</v>
      </c>
      <c r="C5922" t="s">
        <v>10</v>
      </c>
      <c r="D5922" t="s">
        <v>11</v>
      </c>
      <c r="E5922" t="s">
        <v>12</v>
      </c>
      <c r="F5922" t="s">
        <v>13</v>
      </c>
      <c r="G5922" t="str">
        <f t="shared" si="241"/>
        <v>002SOMERSET</v>
      </c>
      <c r="H5922" s="5">
        <v>6020</v>
      </c>
      <c r="I5922" s="6">
        <v>4121.4642855494085</v>
      </c>
      <c r="J5922" s="5">
        <v>31200</v>
      </c>
      <c r="K5922" s="6">
        <f t="shared" si="242"/>
        <v>1.4606459216708969</v>
      </c>
    </row>
    <row r="5923" spans="1:11">
      <c r="A5923" s="4">
        <v>2026</v>
      </c>
      <c r="B5923">
        <v>3</v>
      </c>
      <c r="C5923" t="s">
        <v>10</v>
      </c>
      <c r="D5923" t="s">
        <v>11</v>
      </c>
      <c r="E5923" t="s">
        <v>14</v>
      </c>
      <c r="F5923" t="s">
        <v>15</v>
      </c>
      <c r="G5923" t="str">
        <f t="shared" si="241"/>
        <v>004BELLINA</v>
      </c>
      <c r="H5923" s="5">
        <v>2280</v>
      </c>
      <c r="I5923" s="6">
        <v>1056.7857142434418</v>
      </c>
      <c r="J5923" s="5">
        <v>8000</v>
      </c>
      <c r="K5923" s="6">
        <f t="shared" si="242"/>
        <v>2.1574856371258417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16</v>
      </c>
      <c r="F5924" t="s">
        <v>17</v>
      </c>
      <c r="G5924" t="str">
        <f t="shared" si="241"/>
        <v>005ELBA</v>
      </c>
      <c r="H5924" s="5">
        <v>4020</v>
      </c>
      <c r="I5924" s="6">
        <v>2641.9642856076484</v>
      </c>
      <c r="J5924" s="5">
        <v>19996</v>
      </c>
      <c r="K5924" s="6">
        <f t="shared" si="242"/>
        <v>1.5215951335524602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16</v>
      </c>
      <c r="F5925" t="s">
        <v>18</v>
      </c>
      <c r="G5925" t="str">
        <f t="shared" si="241"/>
        <v>005HOT BUBBLES</v>
      </c>
      <c r="H5925" s="5">
        <v>960</v>
      </c>
      <c r="I5925" s="6">
        <v>528.39285712153003</v>
      </c>
      <c r="J5925" s="5">
        <v>4000</v>
      </c>
      <c r="K5925" s="6">
        <f t="shared" si="242"/>
        <v>1.8168300102118917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19</v>
      </c>
      <c r="G5926" t="str">
        <f t="shared" si="241"/>
        <v>005SUSPIRO</v>
      </c>
      <c r="H5926" s="5">
        <v>3510</v>
      </c>
      <c r="I5926" s="6">
        <v>1902.2142856375078</v>
      </c>
      <c r="J5926" s="5">
        <v>14400</v>
      </c>
      <c r="K5926" s="6">
        <f t="shared" si="242"/>
        <v>1.8452179791214527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20</v>
      </c>
      <c r="F5927" t="s">
        <v>21</v>
      </c>
      <c r="G5927" t="str">
        <f t="shared" si="241"/>
        <v>007SNOW BUBBLES</v>
      </c>
      <c r="H5927" s="5">
        <v>580</v>
      </c>
      <c r="I5927" s="6">
        <v>634.05652706821195</v>
      </c>
      <c r="J5927" s="5">
        <v>4800</v>
      </c>
      <c r="K5927" s="6">
        <f t="shared" si="242"/>
        <v>0.91474494030025733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22</v>
      </c>
      <c r="F5928" t="s">
        <v>18</v>
      </c>
      <c r="G5928" t="str">
        <f t="shared" si="241"/>
        <v>009HOT BUBBLES</v>
      </c>
      <c r="H5928" s="5">
        <v>5380</v>
      </c>
      <c r="I5928" s="6">
        <v>4487.9999999102474</v>
      </c>
      <c r="J5928" s="5">
        <v>31740</v>
      </c>
      <c r="K5928" s="6">
        <f t="shared" si="242"/>
        <v>1.1987522281879659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23</v>
      </c>
      <c r="F5929" t="s">
        <v>24</v>
      </c>
      <c r="G5929" t="str">
        <f t="shared" si="241"/>
        <v>014FRUITY BUBBLES</v>
      </c>
      <c r="H5929" s="5">
        <v>3725</v>
      </c>
      <c r="I5929" s="6">
        <v>1702.8</v>
      </c>
      <c r="J5929" s="5">
        <v>12900</v>
      </c>
      <c r="K5929" s="6">
        <f t="shared" si="242"/>
        <v>2.1875734085036411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25</v>
      </c>
      <c r="F5930" t="s">
        <v>26</v>
      </c>
      <c r="G5930" t="str">
        <f t="shared" si="241"/>
        <v>015FELLINI</v>
      </c>
      <c r="H5930" s="5">
        <v>3960</v>
      </c>
      <c r="I5930" s="6">
        <v>3009.6</v>
      </c>
      <c r="J5930" s="5">
        <v>22800</v>
      </c>
      <c r="K5930" s="6">
        <f t="shared" si="242"/>
        <v>1.3157894736842106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27</v>
      </c>
      <c r="F5931" t="s">
        <v>28</v>
      </c>
      <c r="G5931" t="str">
        <f t="shared" si="241"/>
        <v>016GOOD PEACH</v>
      </c>
      <c r="H5931" s="5">
        <v>3030</v>
      </c>
      <c r="I5931" s="6">
        <v>1386</v>
      </c>
      <c r="J5931" s="5">
        <v>10500</v>
      </c>
      <c r="K5931" s="6">
        <f t="shared" si="242"/>
        <v>2.1861471861471862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27</v>
      </c>
      <c r="F5932" t="s">
        <v>29</v>
      </c>
      <c r="G5932" t="str">
        <f t="shared" si="241"/>
        <v>016GOOD YELLOW</v>
      </c>
      <c r="H5932" s="5">
        <v>3390</v>
      </c>
      <c r="I5932" s="6">
        <v>1386</v>
      </c>
      <c r="J5932" s="5">
        <v>10500</v>
      </c>
      <c r="K5932" s="6">
        <f t="shared" si="242"/>
        <v>2.445887445887446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30</v>
      </c>
      <c r="F5933" t="s">
        <v>31</v>
      </c>
      <c r="G5933" t="str">
        <f t="shared" si="241"/>
        <v>017ORANGE STAR</v>
      </c>
      <c r="H5933" s="5">
        <v>1575</v>
      </c>
      <c r="I5933" s="6">
        <v>1029.5999999999999</v>
      </c>
      <c r="J5933" s="5">
        <v>7800</v>
      </c>
      <c r="K5933" s="6">
        <f t="shared" si="242"/>
        <v>1.5297202797202798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32</v>
      </c>
      <c r="F5934" t="s">
        <v>33</v>
      </c>
      <c r="G5934" t="str">
        <f t="shared" si="241"/>
        <v>018COSMO</v>
      </c>
      <c r="H5934" s="5">
        <v>1925</v>
      </c>
      <c r="I5934" s="6">
        <v>2653.2</v>
      </c>
      <c r="J5934" s="5">
        <v>20100</v>
      </c>
      <c r="K5934" s="6">
        <f t="shared" si="242"/>
        <v>0.72553897180762861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32</v>
      </c>
      <c r="F5935" t="s">
        <v>34</v>
      </c>
      <c r="G5935" t="str">
        <f t="shared" si="241"/>
        <v>018RUBICON</v>
      </c>
      <c r="H5935" s="5">
        <v>2670</v>
      </c>
      <c r="I5935" s="6">
        <v>1768.8</v>
      </c>
      <c r="J5935" s="5">
        <v>13400</v>
      </c>
      <c r="K5935" s="6">
        <f t="shared" si="242"/>
        <v>1.5094979647218454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35</v>
      </c>
      <c r="F5936" t="s">
        <v>15</v>
      </c>
      <c r="G5936" t="str">
        <f t="shared" si="241"/>
        <v>019BELLINA</v>
      </c>
      <c r="H5936" s="5">
        <v>1110</v>
      </c>
      <c r="I5936" s="6">
        <v>1029.5999999999999</v>
      </c>
      <c r="J5936" s="5">
        <v>7800</v>
      </c>
      <c r="K5936" s="6">
        <f t="shared" si="242"/>
        <v>1.0780885780885783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36</v>
      </c>
      <c r="F5937" t="s">
        <v>37</v>
      </c>
      <c r="G5937" t="str">
        <f t="shared" si="241"/>
        <v>020SUMMER DANCE</v>
      </c>
      <c r="H5937" s="5">
        <v>3000</v>
      </c>
      <c r="I5937" s="6">
        <v>1346.4</v>
      </c>
      <c r="J5937" s="5">
        <v>10200</v>
      </c>
      <c r="K5937" s="6">
        <f t="shared" si="242"/>
        <v>2.2281639928698751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38</v>
      </c>
      <c r="F5938" t="s">
        <v>39</v>
      </c>
      <c r="G5938" t="str">
        <f t="shared" si="241"/>
        <v>021ELEGANT ROSEVER</v>
      </c>
      <c r="H5938" s="5">
        <v>1020</v>
      </c>
      <c r="I5938" s="6">
        <v>440.18999062500001</v>
      </c>
      <c r="J5938" s="5">
        <v>3200</v>
      </c>
      <c r="K5938" s="6">
        <f t="shared" si="242"/>
        <v>2.3171812665521125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38</v>
      </c>
      <c r="F5939" t="s">
        <v>40</v>
      </c>
      <c r="G5939" t="str">
        <f t="shared" si="241"/>
        <v>021FLAME CLUB</v>
      </c>
      <c r="H5939" s="5">
        <v>1400</v>
      </c>
      <c r="I5939" s="6">
        <v>880.38</v>
      </c>
      <c r="J5939" s="5">
        <v>6400</v>
      </c>
      <c r="K5939" s="6">
        <f t="shared" si="242"/>
        <v>1.5902224039619255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41</v>
      </c>
      <c r="G5940" t="str">
        <f t="shared" si="241"/>
        <v>021KELLY</v>
      </c>
      <c r="H5940" s="5">
        <v>475</v>
      </c>
      <c r="I5940" s="6">
        <v>330.14249999999998</v>
      </c>
      <c r="J5940" s="5">
        <v>2400</v>
      </c>
      <c r="K5940" s="6">
        <f t="shared" si="242"/>
        <v>1.4387726512036469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42</v>
      </c>
      <c r="G5941" t="str">
        <f t="shared" si="241"/>
        <v>021LEILA</v>
      </c>
      <c r="H5941" s="5">
        <v>3000</v>
      </c>
      <c r="I5941" s="6">
        <v>1430.6175000000001</v>
      </c>
      <c r="J5941" s="5">
        <v>10400</v>
      </c>
      <c r="K5941" s="6">
        <f t="shared" si="242"/>
        <v>2.0969965766530887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21</v>
      </c>
      <c r="G5942" t="str">
        <f t="shared" si="241"/>
        <v>021SNOW BUBBLES</v>
      </c>
      <c r="H5942" s="5">
        <v>2300</v>
      </c>
      <c r="I5942" s="6">
        <v>1287.0000000000018</v>
      </c>
      <c r="J5942" s="5">
        <v>9400</v>
      </c>
      <c r="K5942" s="6">
        <f t="shared" si="242"/>
        <v>1.7871017871017845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43</v>
      </c>
      <c r="F5943" t="s">
        <v>24</v>
      </c>
      <c r="G5943" t="str">
        <f t="shared" si="241"/>
        <v>022FRUITY BUBBLES</v>
      </c>
      <c r="H5943" s="5">
        <v>6800</v>
      </c>
      <c r="I5943" s="6">
        <v>2641.14</v>
      </c>
      <c r="J5943" s="5">
        <v>19200</v>
      </c>
      <c r="K5943" s="6">
        <f t="shared" si="242"/>
        <v>2.5746457968907368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43</v>
      </c>
      <c r="F5944" t="s">
        <v>28</v>
      </c>
      <c r="G5944" t="str">
        <f t="shared" si="241"/>
        <v>022GOOD PEACH</v>
      </c>
      <c r="H5944" s="5">
        <v>3240</v>
      </c>
      <c r="I5944" s="6">
        <v>880.38</v>
      </c>
      <c r="J5944" s="5">
        <v>6400</v>
      </c>
      <c r="K5944" s="6">
        <f t="shared" si="242"/>
        <v>3.6802289920261706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44</v>
      </c>
      <c r="G5945" t="str">
        <f t="shared" si="241"/>
        <v>022MIRABEL</v>
      </c>
      <c r="H5945" s="5">
        <v>3000</v>
      </c>
      <c r="I5945" s="6">
        <v>880.38</v>
      </c>
      <c r="J5945" s="5">
        <v>6400</v>
      </c>
      <c r="K5945" s="6">
        <f t="shared" si="242"/>
        <v>3.4076194370612689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47</v>
      </c>
      <c r="F5946" t="s">
        <v>44</v>
      </c>
      <c r="G5946" t="str">
        <f t="shared" si="241"/>
        <v>030MIRABEL</v>
      </c>
      <c r="H5946" s="5">
        <v>3780</v>
      </c>
      <c r="I5946" s="6">
        <v>2413.6749943750001</v>
      </c>
      <c r="J5946" s="5">
        <v>17600</v>
      </c>
      <c r="K5946" s="6">
        <f t="shared" si="242"/>
        <v>1.566076629541749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47</v>
      </c>
      <c r="F5947" t="s">
        <v>13</v>
      </c>
      <c r="G5947" t="str">
        <f t="shared" si="241"/>
        <v>030SOMERSET</v>
      </c>
      <c r="H5947" s="5">
        <v>2260</v>
      </c>
      <c r="I5947" s="6">
        <v>1645.6875</v>
      </c>
      <c r="J5947" s="5">
        <v>12000</v>
      </c>
      <c r="K5947" s="6">
        <f t="shared" si="242"/>
        <v>1.3732862405529604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48</v>
      </c>
      <c r="F5948" t="s">
        <v>49</v>
      </c>
      <c r="G5948" t="str">
        <f t="shared" si="241"/>
        <v>03182989</v>
      </c>
      <c r="H5948" s="5">
        <v>840</v>
      </c>
      <c r="I5948" s="6">
        <v>726.32013058333712</v>
      </c>
      <c r="J5948" s="5">
        <v>5712</v>
      </c>
      <c r="K5948" s="6">
        <f t="shared" si="242"/>
        <v>1.156514826768414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48</v>
      </c>
      <c r="F5949" t="s">
        <v>34</v>
      </c>
      <c r="G5949" t="str">
        <f t="shared" si="241"/>
        <v>031RUBICON</v>
      </c>
      <c r="H5949" s="5">
        <v>1770</v>
      </c>
      <c r="I5949" s="6">
        <v>924.39958333667107</v>
      </c>
      <c r="J5949" s="5">
        <v>6720</v>
      </c>
      <c r="K5949" s="6">
        <f t="shared" si="242"/>
        <v>1.9147563801479526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50</v>
      </c>
      <c r="G5950" t="str">
        <f t="shared" si="241"/>
        <v>031VELVET BLOSSOMS</v>
      </c>
      <c r="H5950" s="5">
        <v>360</v>
      </c>
      <c r="I5950" s="6">
        <v>396.17125000000198</v>
      </c>
      <c r="J5950" s="5">
        <v>2880</v>
      </c>
      <c r="K5950" s="6">
        <f t="shared" si="242"/>
        <v>0.90869794312433882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51</v>
      </c>
      <c r="F5951" t="s">
        <v>17</v>
      </c>
      <c r="G5951" t="str">
        <f t="shared" si="241"/>
        <v>032ELBA</v>
      </c>
      <c r="H5951" s="5">
        <v>2040</v>
      </c>
      <c r="I5951" s="6">
        <v>1535.9749999999999</v>
      </c>
      <c r="J5951" s="5">
        <v>11200</v>
      </c>
      <c r="K5951" s="6">
        <f t="shared" si="242"/>
        <v>1.3281466169696774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51</v>
      </c>
      <c r="F5952" t="s">
        <v>44</v>
      </c>
      <c r="G5952" t="str">
        <f t="shared" si="241"/>
        <v>032MIRABEL</v>
      </c>
      <c r="H5952" s="5">
        <v>3320</v>
      </c>
      <c r="I5952" s="6">
        <v>1535.9749999999999</v>
      </c>
      <c r="J5952" s="5">
        <v>11200</v>
      </c>
      <c r="K5952" s="6">
        <f t="shared" si="242"/>
        <v>2.1614935138918279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52</v>
      </c>
      <c r="F5953" t="s">
        <v>53</v>
      </c>
      <c r="G5953" t="str">
        <f t="shared" si="241"/>
        <v>033CREAMY FOLIES</v>
      </c>
      <c r="H5953" s="5">
        <v>630</v>
      </c>
      <c r="I5953" s="6">
        <v>594.25687500000299</v>
      </c>
      <c r="J5953" s="5">
        <v>4320</v>
      </c>
      <c r="K5953" s="6">
        <f t="shared" si="242"/>
        <v>1.0601476003117285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52</v>
      </c>
      <c r="F5954" t="s">
        <v>18</v>
      </c>
      <c r="G5954" t="str">
        <f t="shared" si="241"/>
        <v>033HOT BUBBLES</v>
      </c>
      <c r="H5954" s="5">
        <v>3720</v>
      </c>
      <c r="I5954" s="6">
        <v>2575.1131250013459</v>
      </c>
      <c r="J5954" s="5">
        <v>18720</v>
      </c>
      <c r="K5954" s="6">
        <f t="shared" si="242"/>
        <v>1.444596730094355</v>
      </c>
    </row>
    <row r="5955" spans="1:11">
      <c r="A5955" s="4">
        <v>2026</v>
      </c>
      <c r="B5955">
        <v>3</v>
      </c>
      <c r="C5955" t="s">
        <v>54</v>
      </c>
      <c r="D5955" t="s">
        <v>11</v>
      </c>
      <c r="E5955" t="s">
        <v>55</v>
      </c>
      <c r="F5955" t="s">
        <v>56</v>
      </c>
      <c r="G5955" t="str">
        <f t="shared" si="241"/>
        <v>001BELIEVE IN PINK</v>
      </c>
      <c r="H5955" s="5">
        <v>900</v>
      </c>
      <c r="I5955" s="6">
        <v>528.37931032368999</v>
      </c>
      <c r="J5955" s="5">
        <v>4000</v>
      </c>
      <c r="K5955" s="6">
        <f t="shared" ref="K5955:K5960" si="243">IFERROR(H5955/I5955,"")</f>
        <v>1.7033218038924571</v>
      </c>
    </row>
    <row r="5956" spans="1:11">
      <c r="A5956" s="4">
        <v>2026</v>
      </c>
      <c r="B5956">
        <v>3</v>
      </c>
      <c r="C5956" t="s">
        <v>54</v>
      </c>
      <c r="D5956" t="s">
        <v>11</v>
      </c>
      <c r="E5956" t="s">
        <v>55</v>
      </c>
      <c r="F5956" t="s">
        <v>57</v>
      </c>
      <c r="G5956" t="str">
        <f t="shared" ref="G5956:G6017" si="244">+E5956&amp;F5956</f>
        <v>001EXPLORER</v>
      </c>
      <c r="H5956" s="5">
        <v>3925</v>
      </c>
      <c r="I5956" s="6">
        <v>2272.0310343918732</v>
      </c>
      <c r="J5956" s="5">
        <v>17200</v>
      </c>
      <c r="K5956" s="6">
        <f t="shared" si="243"/>
        <v>1.7275292197100454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58</v>
      </c>
      <c r="G5957" t="str">
        <f t="shared" si="244"/>
        <v>001GRACE KELLY</v>
      </c>
      <c r="H5957" s="5">
        <v>1290</v>
      </c>
      <c r="I5957" s="6">
        <v>1162.4344827121224</v>
      </c>
      <c r="J5957" s="5">
        <v>8800</v>
      </c>
      <c r="K5957" s="6">
        <f t="shared" si="243"/>
        <v>1.109739963142051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60</v>
      </c>
      <c r="G5958" t="str">
        <f t="shared" si="244"/>
        <v>001LIGHT HOUSE</v>
      </c>
      <c r="H5958" s="5">
        <v>1560</v>
      </c>
      <c r="I5958" s="6">
        <v>1056.7586206473827</v>
      </c>
      <c r="J5958" s="5">
        <v>8000</v>
      </c>
      <c r="K5958" s="6">
        <f t="shared" si="243"/>
        <v>1.4762122300401257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61</v>
      </c>
      <c r="G5959" t="str">
        <f t="shared" si="244"/>
        <v>001LUMIA</v>
      </c>
      <c r="H5959" s="5">
        <v>2730</v>
      </c>
      <c r="I5959" s="6">
        <v>1109.596551679753</v>
      </c>
      <c r="J5959" s="5">
        <v>8400</v>
      </c>
      <c r="K5959" s="6">
        <f t="shared" si="243"/>
        <v>2.4603537167335401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62</v>
      </c>
      <c r="G5960" t="str">
        <f t="shared" si="244"/>
        <v>001MOMENTUM</v>
      </c>
      <c r="H5960" s="5">
        <v>3550</v>
      </c>
      <c r="I5960" s="6">
        <v>1902.1655171652881</v>
      </c>
      <c r="J5960" s="5">
        <v>14400</v>
      </c>
      <c r="K5960" s="6">
        <f t="shared" si="243"/>
        <v>1.8662939517957438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12</v>
      </c>
      <c r="F5961" t="s">
        <v>63</v>
      </c>
      <c r="G5961" t="str">
        <f t="shared" si="244"/>
        <v>002SUMMER ROMANCE</v>
      </c>
      <c r="H5961" s="5">
        <v>1075</v>
      </c>
      <c r="I5961" s="6">
        <v>951.10714281909407</v>
      </c>
      <c r="J5961" s="5">
        <v>7200</v>
      </c>
      <c r="K5961" s="6">
        <f t="shared" si="242"/>
        <v>1.13026172510248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12</v>
      </c>
      <c r="F5962" t="s">
        <v>64</v>
      </c>
      <c r="G5962" t="str">
        <f t="shared" si="244"/>
        <v>002SWEETNESS</v>
      </c>
      <c r="H5962" s="5">
        <v>7440</v>
      </c>
      <c r="I5962" s="6">
        <v>3804.4285712763772</v>
      </c>
      <c r="J5962" s="5">
        <v>28800</v>
      </c>
      <c r="K5962" s="6">
        <f t="shared" si="242"/>
        <v>1.9556156359912671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65</v>
      </c>
      <c r="F5963" t="s">
        <v>66</v>
      </c>
      <c r="G5963" t="str">
        <f t="shared" si="244"/>
        <v>003CABARET</v>
      </c>
      <c r="H5963" s="5">
        <v>6720</v>
      </c>
      <c r="I5963" s="6">
        <v>2641.8965516184649</v>
      </c>
      <c r="J5963" s="5">
        <v>20000</v>
      </c>
      <c r="K5963" s="6">
        <f t="shared" si="242"/>
        <v>2.5436272271460547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65</v>
      </c>
      <c r="F5964" t="s">
        <v>67</v>
      </c>
      <c r="G5964" t="str">
        <f t="shared" si="244"/>
        <v>003DEEP PURPLE</v>
      </c>
      <c r="H5964" s="5">
        <v>12840</v>
      </c>
      <c r="I5964" s="6">
        <v>3592.9793102010913</v>
      </c>
      <c r="J5964" s="5">
        <v>26044</v>
      </c>
      <c r="K5964" s="6">
        <f t="shared" si="242"/>
        <v>3.5736359414998615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65</v>
      </c>
      <c r="F5965" t="s">
        <v>57</v>
      </c>
      <c r="G5965" t="str">
        <f t="shared" si="244"/>
        <v>003EXPLORER</v>
      </c>
      <c r="H5965" s="5">
        <v>2775</v>
      </c>
      <c r="I5965" s="6">
        <v>1268.1103447768633</v>
      </c>
      <c r="J5965" s="5">
        <v>9600</v>
      </c>
      <c r="K5965" s="6">
        <f t="shared" ref="K5965:K6027" si="245">+H5965/I5965</f>
        <v>2.1882953730562691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68</v>
      </c>
      <c r="G5966" t="str">
        <f t="shared" si="244"/>
        <v>003JOCKER</v>
      </c>
      <c r="H5966" s="5">
        <v>725</v>
      </c>
      <c r="I5966" s="6">
        <v>528.37931032368999</v>
      </c>
      <c r="J5966" s="5">
        <v>4000</v>
      </c>
      <c r="K5966" s="6">
        <f t="shared" si="245"/>
        <v>1.3721203420244794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69</v>
      </c>
      <c r="G5967" t="str">
        <f t="shared" si="244"/>
        <v>003QUICKSAND</v>
      </c>
      <c r="H5967" s="5">
        <v>2730</v>
      </c>
      <c r="I5967" s="6">
        <v>1162.4344827121247</v>
      </c>
      <c r="J5967" s="5">
        <v>8800</v>
      </c>
      <c r="K5967" s="6">
        <f t="shared" si="245"/>
        <v>2.3485194568820105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14</v>
      </c>
      <c r="F5968" t="s">
        <v>70</v>
      </c>
      <c r="G5968" t="str">
        <f t="shared" si="244"/>
        <v>004COTOPAXI</v>
      </c>
      <c r="H5968" s="5">
        <v>900</v>
      </c>
      <c r="I5968" s="6">
        <v>528.3915024419166</v>
      </c>
      <c r="J5968" s="5">
        <v>4000</v>
      </c>
      <c r="K5968" s="6">
        <f t="shared" si="245"/>
        <v>1.7032825014042168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14</v>
      </c>
      <c r="F5969" t="s">
        <v>67</v>
      </c>
      <c r="G5969" t="str">
        <f t="shared" si="244"/>
        <v>004DEEP PURPLE</v>
      </c>
      <c r="H5969" s="5">
        <v>15510</v>
      </c>
      <c r="I5969" s="6">
        <v>3910.1071427007282</v>
      </c>
      <c r="J5969" s="5">
        <v>29260</v>
      </c>
      <c r="K5969" s="6">
        <f t="shared" si="245"/>
        <v>3.9666432233074755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14</v>
      </c>
      <c r="F5970" t="s">
        <v>71</v>
      </c>
      <c r="G5970" t="str">
        <f t="shared" si="244"/>
        <v>004HOT EXPLORER</v>
      </c>
      <c r="H5970" s="5">
        <v>2850</v>
      </c>
      <c r="I5970" s="6">
        <v>1902.2142856381945</v>
      </c>
      <c r="J5970" s="5">
        <v>14400</v>
      </c>
      <c r="K5970" s="6">
        <f t="shared" si="245"/>
        <v>1.4982539146707241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72</v>
      </c>
      <c r="G5971" t="str">
        <f t="shared" si="244"/>
        <v>004HOT MERENGUE</v>
      </c>
      <c r="H5971" s="5">
        <v>2850</v>
      </c>
      <c r="I5971" s="6">
        <v>1162.4642856677858</v>
      </c>
      <c r="J5971" s="5">
        <v>8800</v>
      </c>
      <c r="K5971" s="6">
        <f t="shared" si="245"/>
        <v>2.4516882240066389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64</v>
      </c>
      <c r="G5972" t="str">
        <f t="shared" si="244"/>
        <v>004SWEETNESS</v>
      </c>
      <c r="H5972" s="5">
        <v>570</v>
      </c>
      <c r="I5972" s="6">
        <v>317.03571427303262</v>
      </c>
      <c r="J5972" s="5">
        <v>2400</v>
      </c>
      <c r="K5972" s="6">
        <f t="shared" si="245"/>
        <v>1.7979046976048678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16</v>
      </c>
      <c r="F5973" t="s">
        <v>57</v>
      </c>
      <c r="G5973" t="str">
        <f t="shared" si="244"/>
        <v>005EXPLORER</v>
      </c>
      <c r="H5973" s="5">
        <v>2425</v>
      </c>
      <c r="I5973" s="6">
        <v>951.10714281875391</v>
      </c>
      <c r="J5973" s="5">
        <v>7200</v>
      </c>
      <c r="K5973" s="6">
        <f t="shared" si="245"/>
        <v>2.5496601705809248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16</v>
      </c>
      <c r="F5974" t="s">
        <v>73</v>
      </c>
      <c r="G5974" t="str">
        <f t="shared" si="244"/>
        <v>005GOLDFINCH</v>
      </c>
      <c r="H5974" s="5">
        <v>1000</v>
      </c>
      <c r="I5974" s="6">
        <v>898.26785710660101</v>
      </c>
      <c r="J5974" s="5">
        <v>6800</v>
      </c>
      <c r="K5974" s="6">
        <f t="shared" si="245"/>
        <v>1.1132536827278747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16</v>
      </c>
      <c r="F5975" t="s">
        <v>68</v>
      </c>
      <c r="G5975" t="str">
        <f t="shared" si="244"/>
        <v>005JOCKER</v>
      </c>
      <c r="H5975" s="5">
        <v>1700</v>
      </c>
      <c r="I5975" s="6">
        <v>1162.4642856673661</v>
      </c>
      <c r="J5975" s="5">
        <v>8800</v>
      </c>
      <c r="K5975" s="6">
        <f t="shared" si="245"/>
        <v>1.4624105195834354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74</v>
      </c>
      <c r="G5976" t="str">
        <f t="shared" si="244"/>
        <v>005VENDELA</v>
      </c>
      <c r="H5976" s="5">
        <v>1170</v>
      </c>
      <c r="I5976" s="6">
        <v>686.91071425798896</v>
      </c>
      <c r="J5976" s="5">
        <v>5200</v>
      </c>
      <c r="K5976" s="6">
        <f t="shared" si="245"/>
        <v>1.7032781345736485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75</v>
      </c>
      <c r="F5977" t="s">
        <v>76</v>
      </c>
      <c r="G5977" t="str">
        <f t="shared" si="244"/>
        <v>006ATOMIC</v>
      </c>
      <c r="H5977" s="5">
        <v>1125</v>
      </c>
      <c r="I5977" s="6">
        <v>845.428571394752</v>
      </c>
      <c r="J5977" s="5">
        <v>6400</v>
      </c>
      <c r="K5977" s="6">
        <f t="shared" si="245"/>
        <v>1.3306860426351843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75</v>
      </c>
      <c r="F5978" t="s">
        <v>57</v>
      </c>
      <c r="G5978" t="str">
        <f t="shared" si="244"/>
        <v>006EXPLORER</v>
      </c>
      <c r="H5978" s="5">
        <v>5625</v>
      </c>
      <c r="I5978" s="6">
        <v>3910.1071427007355</v>
      </c>
      <c r="J5978" s="5">
        <v>29600</v>
      </c>
      <c r="K5978" s="6">
        <f t="shared" si="245"/>
        <v>1.438579505551548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75</v>
      </c>
      <c r="F5979" t="s">
        <v>77</v>
      </c>
      <c r="G5979" t="str">
        <f t="shared" si="244"/>
        <v>006MONDIAL</v>
      </c>
      <c r="H5979" s="5">
        <v>5950</v>
      </c>
      <c r="I5979" s="6">
        <v>4015.7857141250793</v>
      </c>
      <c r="J5979" s="5">
        <v>30400</v>
      </c>
      <c r="K5979" s="6">
        <f t="shared" si="245"/>
        <v>1.4816527632616296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20</v>
      </c>
      <c r="F5980" t="s">
        <v>70</v>
      </c>
      <c r="G5980" t="str">
        <f t="shared" si="244"/>
        <v>007COTOPAXI</v>
      </c>
      <c r="H5980" s="5">
        <v>3840</v>
      </c>
      <c r="I5980" s="6">
        <v>2747.5751230427709</v>
      </c>
      <c r="J5980" s="5">
        <v>20800</v>
      </c>
      <c r="K5980" s="6">
        <f t="shared" si="245"/>
        <v>1.3975959993943443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20</v>
      </c>
      <c r="F5981" t="s">
        <v>78</v>
      </c>
      <c r="G5981" t="str">
        <f t="shared" si="244"/>
        <v>007REDIANT</v>
      </c>
      <c r="H5981" s="5">
        <v>1080</v>
      </c>
      <c r="I5981" s="6">
        <v>1056.75862064738</v>
      </c>
      <c r="J5981" s="5">
        <v>9600</v>
      </c>
      <c r="K5981" s="6">
        <f t="shared" si="245"/>
        <v>1.0219930823354741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20</v>
      </c>
      <c r="F5982" t="s">
        <v>63</v>
      </c>
      <c r="G5982" t="str">
        <f t="shared" si="244"/>
        <v>007SUMMER ROMANCE</v>
      </c>
      <c r="H5982" s="5">
        <v>150</v>
      </c>
      <c r="I5982" s="6">
        <v>369.86551722658481</v>
      </c>
      <c r="J5982" s="5">
        <v>3080</v>
      </c>
      <c r="K5982" s="6">
        <f t="shared" si="245"/>
        <v>0.405552810450583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74</v>
      </c>
      <c r="G5983" t="str">
        <f t="shared" si="244"/>
        <v>007VENDELA</v>
      </c>
      <c r="H5983" s="5">
        <v>8700</v>
      </c>
      <c r="I5983" s="6">
        <v>3592.9793102011122</v>
      </c>
      <c r="J5983" s="5">
        <v>27820</v>
      </c>
      <c r="K5983" s="6">
        <f t="shared" si="245"/>
        <v>2.4213888388667146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79</v>
      </c>
      <c r="F5984" t="s">
        <v>67</v>
      </c>
      <c r="G5984" t="str">
        <f t="shared" si="244"/>
        <v>008DEEP PURPLE</v>
      </c>
      <c r="H5984" s="5">
        <v>6330</v>
      </c>
      <c r="I5984" s="6">
        <v>1585.2222221588099</v>
      </c>
      <c r="J5984" s="5">
        <v>11490</v>
      </c>
      <c r="K5984" s="6">
        <f t="shared" si="245"/>
        <v>3.9931310017718458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79</v>
      </c>
      <c r="F5985" t="s">
        <v>81</v>
      </c>
      <c r="G5985" t="str">
        <f t="shared" si="244"/>
        <v>008FREEDOM</v>
      </c>
      <c r="H5985" s="5">
        <v>4830</v>
      </c>
      <c r="I5985" s="6">
        <v>2219.311111022334</v>
      </c>
      <c r="J5985" s="5">
        <v>16800</v>
      </c>
      <c r="K5985" s="6">
        <f t="shared" si="245"/>
        <v>2.1763510199230436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79</v>
      </c>
      <c r="F5986" t="s">
        <v>68</v>
      </c>
      <c r="G5986" t="str">
        <f t="shared" si="244"/>
        <v>008JOCKER</v>
      </c>
      <c r="H5986" s="5">
        <v>4725</v>
      </c>
      <c r="I5986" s="6">
        <v>2959.0814813631118</v>
      </c>
      <c r="J5986" s="5">
        <v>22400</v>
      </c>
      <c r="K5986" s="6">
        <f t="shared" si="245"/>
        <v>1.5967792809217984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61</v>
      </c>
      <c r="G5987" t="str">
        <f t="shared" si="244"/>
        <v>008LUMIA</v>
      </c>
      <c r="H5987" s="5">
        <v>300</v>
      </c>
      <c r="I5987" s="6">
        <v>1796.5851851133182</v>
      </c>
      <c r="J5987" s="5">
        <v>13600</v>
      </c>
      <c r="K5987" s="6">
        <f t="shared" si="245"/>
        <v>0.16698345421404426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82</v>
      </c>
      <c r="F5988" t="s">
        <v>83</v>
      </c>
      <c r="G5988" t="str">
        <f t="shared" si="244"/>
        <v>010COOLDOWN</v>
      </c>
      <c r="H5988" s="5">
        <v>2225</v>
      </c>
      <c r="I5988" s="6">
        <v>1912.3542857142861</v>
      </c>
      <c r="J5988" s="5">
        <v>16320</v>
      </c>
      <c r="K5988" s="6">
        <f t="shared" si="245"/>
        <v>1.1634873394648928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82</v>
      </c>
      <c r="F5989" t="s">
        <v>84</v>
      </c>
      <c r="G5989" t="str">
        <f t="shared" si="244"/>
        <v>010VIOLET HILL</v>
      </c>
      <c r="H5989" s="5">
        <v>3210</v>
      </c>
      <c r="I5989" s="6">
        <v>2812.2857142428579</v>
      </c>
      <c r="J5989" s="5">
        <v>20000</v>
      </c>
      <c r="K5989" s="6">
        <f t="shared" si="245"/>
        <v>1.141420298706818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85</v>
      </c>
      <c r="F5990" t="s">
        <v>86</v>
      </c>
      <c r="G5990" t="str">
        <f t="shared" si="244"/>
        <v>011BRIGHTON</v>
      </c>
      <c r="H5990" s="5">
        <v>2600</v>
      </c>
      <c r="I5990" s="6">
        <v>1768.8376470588223</v>
      </c>
      <c r="J5990" s="5">
        <v>12800</v>
      </c>
      <c r="K5990" s="6">
        <f t="shared" si="245"/>
        <v>1.4698918266033139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85</v>
      </c>
      <c r="F5991" t="s">
        <v>87</v>
      </c>
      <c r="G5991" t="str">
        <f t="shared" si="244"/>
        <v>011CANDLELIGHT</v>
      </c>
      <c r="H5991" s="5">
        <v>3020</v>
      </c>
      <c r="I5991" s="6">
        <v>2263.7999998868127</v>
      </c>
      <c r="J5991" s="5">
        <v>17920</v>
      </c>
      <c r="K5991" s="6">
        <f t="shared" si="245"/>
        <v>1.334040109617014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85</v>
      </c>
      <c r="F5992" t="s">
        <v>88</v>
      </c>
      <c r="G5992" t="str">
        <f t="shared" si="244"/>
        <v>011CAYENNE</v>
      </c>
      <c r="H5992" s="5">
        <v>1500</v>
      </c>
      <c r="I5992" s="6">
        <v>994.97117647058747</v>
      </c>
      <c r="J5992" s="5">
        <v>7200</v>
      </c>
      <c r="K5992" s="6">
        <f t="shared" si="245"/>
        <v>1.5075813606187836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61</v>
      </c>
      <c r="G5993" t="str">
        <f t="shared" si="244"/>
        <v>011LUMIA</v>
      </c>
      <c r="H5993" s="5">
        <v>1830</v>
      </c>
      <c r="I5993" s="6">
        <v>994.97117647058747</v>
      </c>
      <c r="J5993" s="5">
        <v>7920</v>
      </c>
      <c r="K5993" s="6">
        <f t="shared" si="245"/>
        <v>1.8392492599549159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89</v>
      </c>
      <c r="G5994" t="str">
        <f t="shared" si="244"/>
        <v>011STARDUST</v>
      </c>
      <c r="H5994" s="5">
        <v>2200</v>
      </c>
      <c r="I5994" s="6">
        <v>2263.7999998868127</v>
      </c>
      <c r="J5994" s="5">
        <v>17920</v>
      </c>
      <c r="K5994" s="6">
        <f t="shared" si="245"/>
        <v>0.97181729839650033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90</v>
      </c>
      <c r="F5995" t="s">
        <v>67</v>
      </c>
      <c r="G5995" t="str">
        <f t="shared" si="244"/>
        <v>012DEEP PURPLE</v>
      </c>
      <c r="H5995" s="5">
        <v>15390</v>
      </c>
      <c r="I5995" s="6">
        <v>6727.0499997982479</v>
      </c>
      <c r="J5995" s="5">
        <v>49210</v>
      </c>
      <c r="K5995" s="6">
        <f t="shared" si="245"/>
        <v>2.2877784467874571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90</v>
      </c>
      <c r="F5996" t="s">
        <v>60</v>
      </c>
      <c r="G5996" t="str">
        <f t="shared" si="244"/>
        <v>012LIGHT HOUSE</v>
      </c>
      <c r="H5996" s="5">
        <v>1290</v>
      </c>
      <c r="I5996" s="6">
        <v>994.95</v>
      </c>
      <c r="J5996" s="5">
        <v>7200</v>
      </c>
      <c r="K5996" s="6">
        <f t="shared" si="245"/>
        <v>1.2965475652042815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91</v>
      </c>
      <c r="F5997" t="s">
        <v>92</v>
      </c>
      <c r="G5997" t="str">
        <f t="shared" si="244"/>
        <v>013COUNTRY BLUES</v>
      </c>
      <c r="H5997" s="5">
        <v>1400</v>
      </c>
      <c r="I5997" s="6">
        <v>831.6</v>
      </c>
      <c r="J5997" s="5">
        <v>6300</v>
      </c>
      <c r="K5997" s="6">
        <f t="shared" si="245"/>
        <v>1.6835016835016834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91</v>
      </c>
      <c r="F5998" t="s">
        <v>93</v>
      </c>
      <c r="G5998" t="str">
        <f t="shared" si="244"/>
        <v>013LORRAINE</v>
      </c>
      <c r="H5998" s="5">
        <v>2975</v>
      </c>
      <c r="I5998" s="6">
        <v>1267.2</v>
      </c>
      <c r="J5998" s="5">
        <v>9600</v>
      </c>
      <c r="K5998" s="6">
        <f t="shared" si="245"/>
        <v>2.3476957070707072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91</v>
      </c>
      <c r="F5999" t="s">
        <v>61</v>
      </c>
      <c r="G5999" t="str">
        <f t="shared" si="244"/>
        <v>013LUMIA</v>
      </c>
      <c r="H5999" s="5">
        <v>1020</v>
      </c>
      <c r="I5999" s="6">
        <v>316.8</v>
      </c>
      <c r="J5999" s="5">
        <v>2400</v>
      </c>
      <c r="K5999" s="6">
        <f t="shared" si="245"/>
        <v>3.2196969696969697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74</v>
      </c>
      <c r="G6000" t="str">
        <f t="shared" si="244"/>
        <v>013VENDELA</v>
      </c>
      <c r="H6000" s="5">
        <v>8790</v>
      </c>
      <c r="I6000" s="6">
        <v>3603.6</v>
      </c>
      <c r="J6000" s="5">
        <v>27296</v>
      </c>
      <c r="K6000" s="6">
        <f t="shared" si="245"/>
        <v>2.4392274392274391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23</v>
      </c>
      <c r="F6001" t="s">
        <v>89</v>
      </c>
      <c r="G6001" t="str">
        <f t="shared" si="244"/>
        <v>014STARDUST</v>
      </c>
      <c r="H6001" s="5">
        <v>4150</v>
      </c>
      <c r="I6001" s="6">
        <v>3682.8</v>
      </c>
      <c r="J6001" s="5">
        <v>27900</v>
      </c>
      <c r="K6001" s="6">
        <f t="shared" si="245"/>
        <v>1.1268599978277396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25</v>
      </c>
      <c r="F6002" t="s">
        <v>68</v>
      </c>
      <c r="G6002" t="str">
        <f t="shared" si="244"/>
        <v>015JOCKER</v>
      </c>
      <c r="H6002" s="5">
        <v>3500</v>
      </c>
      <c r="I6002" s="6">
        <v>2376</v>
      </c>
      <c r="J6002" s="5">
        <v>18000</v>
      </c>
      <c r="K6002" s="6">
        <f t="shared" si="245"/>
        <v>1.473063973063973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27</v>
      </c>
      <c r="F6003" t="s">
        <v>94</v>
      </c>
      <c r="G6003" t="str">
        <f t="shared" si="244"/>
        <v>016DREAM IN PEACH</v>
      </c>
      <c r="H6003" s="5">
        <v>1020</v>
      </c>
      <c r="I6003" s="6">
        <v>950.4</v>
      </c>
      <c r="J6003" s="5">
        <v>7200</v>
      </c>
      <c r="K6003" s="6">
        <f t="shared" si="245"/>
        <v>1.0732323232323233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27</v>
      </c>
      <c r="F6004" t="s">
        <v>95</v>
      </c>
      <c r="G6004" t="str">
        <f t="shared" si="244"/>
        <v>016NINA</v>
      </c>
      <c r="H6004" s="5">
        <v>2275</v>
      </c>
      <c r="I6004" s="6">
        <v>1346.4</v>
      </c>
      <c r="J6004" s="5">
        <v>10200</v>
      </c>
      <c r="K6004" s="6">
        <f t="shared" si="245"/>
        <v>1.689691027926322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30</v>
      </c>
      <c r="F6005" t="s">
        <v>81</v>
      </c>
      <c r="G6005" t="str">
        <f t="shared" si="244"/>
        <v>017FREEDOM</v>
      </c>
      <c r="H6005" s="5">
        <v>3960</v>
      </c>
      <c r="I6005" s="6">
        <v>2851.2</v>
      </c>
      <c r="J6005" s="5">
        <v>21600</v>
      </c>
      <c r="K6005" s="6">
        <f t="shared" si="245"/>
        <v>1.3888888888888891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30</v>
      </c>
      <c r="F6006" t="s">
        <v>73</v>
      </c>
      <c r="G6006" t="str">
        <f t="shared" si="244"/>
        <v>017GOLDFINCH</v>
      </c>
      <c r="H6006" s="5">
        <v>1250</v>
      </c>
      <c r="I6006" s="6">
        <v>2138.4</v>
      </c>
      <c r="J6006" s="5">
        <v>16200</v>
      </c>
      <c r="K6006" s="6">
        <f t="shared" si="245"/>
        <v>0.58454919566030672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32</v>
      </c>
      <c r="F6007" t="s">
        <v>86</v>
      </c>
      <c r="G6007" t="str">
        <f t="shared" si="244"/>
        <v>018BRIGHTON</v>
      </c>
      <c r="H6007" s="5">
        <v>1025</v>
      </c>
      <c r="I6007" s="6">
        <v>963.6</v>
      </c>
      <c r="J6007" s="5">
        <v>7570</v>
      </c>
      <c r="K6007" s="6">
        <f t="shared" si="245"/>
        <v>1.0637193856371938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35</v>
      </c>
      <c r="F6008" t="s">
        <v>86</v>
      </c>
      <c r="G6008" t="str">
        <f t="shared" si="244"/>
        <v>019BRIGHTON</v>
      </c>
      <c r="H6008" s="5">
        <v>6050</v>
      </c>
      <c r="I6008" s="6">
        <v>3168</v>
      </c>
      <c r="J6008" s="5">
        <v>24000</v>
      </c>
      <c r="K6008" s="6">
        <f t="shared" si="245"/>
        <v>1.9097222222222223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35</v>
      </c>
      <c r="F6009" t="s">
        <v>96</v>
      </c>
      <c r="G6009" t="str">
        <f t="shared" si="244"/>
        <v>019TABATHA</v>
      </c>
      <c r="H6009" s="5">
        <v>2160</v>
      </c>
      <c r="I6009" s="6">
        <v>1188</v>
      </c>
      <c r="J6009" s="5">
        <v>9000</v>
      </c>
      <c r="K6009" s="6">
        <f t="shared" si="245"/>
        <v>1.8181818181818181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36</v>
      </c>
      <c r="F6010" t="s">
        <v>86</v>
      </c>
      <c r="G6010" t="str">
        <f t="shared" si="244"/>
        <v>020BRIGHTON</v>
      </c>
      <c r="H6010" s="5">
        <v>3300</v>
      </c>
      <c r="I6010" s="6">
        <v>2732.4</v>
      </c>
      <c r="J6010" s="5">
        <v>20700</v>
      </c>
      <c r="K6010" s="6">
        <f t="shared" si="245"/>
        <v>1.2077294685990339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36</v>
      </c>
      <c r="F6011" t="s">
        <v>97</v>
      </c>
      <c r="G6011" t="str">
        <f t="shared" si="244"/>
        <v>020TYCOON</v>
      </c>
      <c r="H6011" s="5">
        <v>990</v>
      </c>
      <c r="I6011" s="6">
        <v>673.2</v>
      </c>
      <c r="J6011" s="5">
        <v>5100</v>
      </c>
      <c r="K6011" s="6">
        <f t="shared" si="245"/>
        <v>1.4705882352941175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38</v>
      </c>
      <c r="F6012" t="s">
        <v>98</v>
      </c>
      <c r="G6012" t="str">
        <f t="shared" si="244"/>
        <v>021SHOW GIRL</v>
      </c>
      <c r="H6012" s="5">
        <v>1500</v>
      </c>
      <c r="I6012" s="6">
        <v>1100.4749999999999</v>
      </c>
      <c r="J6012" s="5">
        <v>8000</v>
      </c>
      <c r="K6012" s="6">
        <f t="shared" si="245"/>
        <v>1.3630477748245078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43</v>
      </c>
      <c r="F6013" t="s">
        <v>99</v>
      </c>
      <c r="G6013" t="str">
        <f t="shared" si="244"/>
        <v>022CORAL REEF</v>
      </c>
      <c r="H6013" s="5">
        <v>2400</v>
      </c>
      <c r="I6013" s="6">
        <v>1287</v>
      </c>
      <c r="J6013" s="5">
        <v>9400</v>
      </c>
      <c r="K6013" s="6">
        <f t="shared" si="245"/>
        <v>1.8648018648018647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100</v>
      </c>
      <c r="F6014" t="s">
        <v>70</v>
      </c>
      <c r="G6014" t="str">
        <f t="shared" si="244"/>
        <v>023COTOPAXI</v>
      </c>
      <c r="H6014" s="5">
        <v>4710</v>
      </c>
      <c r="I6014" s="6">
        <v>2641.14</v>
      </c>
      <c r="J6014" s="5">
        <v>19200</v>
      </c>
      <c r="K6014" s="6">
        <f t="shared" si="245"/>
        <v>1.7833208387287309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100</v>
      </c>
      <c r="F6015" t="s">
        <v>101</v>
      </c>
      <c r="G6015" t="str">
        <f t="shared" si="244"/>
        <v>023FRUTTETO</v>
      </c>
      <c r="H6015" s="5">
        <v>6720</v>
      </c>
      <c r="I6015" s="6">
        <v>2641.14</v>
      </c>
      <c r="J6015" s="5">
        <v>19200</v>
      </c>
      <c r="K6015" s="6">
        <f t="shared" si="245"/>
        <v>2.544355846339081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102</v>
      </c>
      <c r="F6016" t="s">
        <v>70</v>
      </c>
      <c r="G6016" t="str">
        <f t="shared" si="244"/>
        <v>024COTOPAXI</v>
      </c>
      <c r="H6016" s="5">
        <v>3660</v>
      </c>
      <c r="I6016" s="6">
        <v>1430.6174906250001</v>
      </c>
      <c r="J6016" s="5">
        <v>10400</v>
      </c>
      <c r="K6016" s="6">
        <f t="shared" si="245"/>
        <v>2.5583358402818352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102</v>
      </c>
      <c r="F6017" t="s">
        <v>64</v>
      </c>
      <c r="G6017" t="str">
        <f t="shared" si="244"/>
        <v>024SWEETNESS</v>
      </c>
      <c r="H6017" s="5">
        <v>2910</v>
      </c>
      <c r="I6017" s="6">
        <v>1430.6175000000001</v>
      </c>
      <c r="J6017" s="5">
        <v>10400</v>
      </c>
      <c r="K6017" s="6">
        <f t="shared" si="245"/>
        <v>2.034086679353496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102</v>
      </c>
      <c r="F6018" t="s">
        <v>97</v>
      </c>
      <c r="G6018" t="str">
        <f t="shared" ref="G6018:G6078" si="246">+E6018&amp;F6018</f>
        <v>024TYCOON</v>
      </c>
      <c r="H6018" s="5">
        <v>5880</v>
      </c>
      <c r="I6018" s="6">
        <v>2861.2350000000001</v>
      </c>
      <c r="J6018" s="5">
        <v>20800</v>
      </c>
      <c r="K6018" s="6">
        <f t="shared" si="245"/>
        <v>2.0550566451200267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103</v>
      </c>
      <c r="F6019" t="s">
        <v>104</v>
      </c>
      <c r="G6019" t="str">
        <f t="shared" si="246"/>
        <v>025PINK MONDIAL</v>
      </c>
      <c r="H6019" s="5">
        <v>4400</v>
      </c>
      <c r="I6019" s="6">
        <v>3071.9505625000002</v>
      </c>
      <c r="J6019" s="5">
        <v>22400</v>
      </c>
      <c r="K6019" s="6">
        <f t="shared" si="245"/>
        <v>1.4323147168160197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45</v>
      </c>
      <c r="F6020" t="s">
        <v>105</v>
      </c>
      <c r="G6020" t="str">
        <f t="shared" si="246"/>
        <v>026LOLA</v>
      </c>
      <c r="H6020" s="5">
        <v>6450</v>
      </c>
      <c r="I6020" s="6">
        <v>1097.125</v>
      </c>
      <c r="J6020" s="5">
        <v>8000</v>
      </c>
      <c r="K6020" s="6">
        <f t="shared" si="245"/>
        <v>5.8790019368804831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45</v>
      </c>
      <c r="F6021" t="s">
        <v>106</v>
      </c>
      <c r="G6021" t="str">
        <f t="shared" si="246"/>
        <v>026PALOMA</v>
      </c>
      <c r="H6021" s="5">
        <v>7425</v>
      </c>
      <c r="I6021" s="6">
        <v>2852.5250000000001</v>
      </c>
      <c r="J6021" s="5">
        <v>20800</v>
      </c>
      <c r="K6021" s="6">
        <f t="shared" si="245"/>
        <v>2.602957029298604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107</v>
      </c>
      <c r="F6022" t="s">
        <v>108</v>
      </c>
      <c r="G6022" t="str">
        <f t="shared" si="246"/>
        <v>027SATISFACTION</v>
      </c>
      <c r="H6022" s="5">
        <v>3690</v>
      </c>
      <c r="I6022" s="6">
        <v>2633.1</v>
      </c>
      <c r="J6022" s="5">
        <v>19200</v>
      </c>
      <c r="K6022" s="6">
        <f t="shared" si="245"/>
        <v>1.4013899965819756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107</v>
      </c>
      <c r="F6023" t="s">
        <v>109</v>
      </c>
      <c r="G6023" t="str">
        <f t="shared" si="246"/>
        <v>027TIFFANY</v>
      </c>
      <c r="H6023" s="5">
        <v>3420</v>
      </c>
      <c r="I6023" s="6">
        <v>2633.1</v>
      </c>
      <c r="J6023" s="5">
        <v>19200</v>
      </c>
      <c r="K6023" s="6">
        <f t="shared" si="245"/>
        <v>1.2988492651247578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110</v>
      </c>
      <c r="F6024" t="s">
        <v>70</v>
      </c>
      <c r="G6024" t="str">
        <f t="shared" si="246"/>
        <v>028COTOPAXI</v>
      </c>
      <c r="H6024" s="5">
        <v>3660</v>
      </c>
      <c r="I6024" s="6">
        <v>2852.5250000000001</v>
      </c>
      <c r="J6024" s="5">
        <v>20800</v>
      </c>
      <c r="K6024" s="6">
        <f t="shared" si="245"/>
        <v>1.2830737679774935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110</v>
      </c>
      <c r="F6025" t="s">
        <v>67</v>
      </c>
      <c r="G6025" t="str">
        <f t="shared" si="246"/>
        <v>028DEEP PURPLE</v>
      </c>
      <c r="H6025" s="5">
        <v>8130</v>
      </c>
      <c r="I6025" s="6">
        <v>2852.5250000000001</v>
      </c>
      <c r="J6025" s="5">
        <v>20800</v>
      </c>
      <c r="K6025" s="6">
        <f t="shared" si="245"/>
        <v>2.8501064846057438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111</v>
      </c>
      <c r="F6026" t="s">
        <v>112</v>
      </c>
      <c r="G6026" t="str">
        <f t="shared" si="246"/>
        <v>029PINK FLOYD</v>
      </c>
      <c r="H6026" s="5">
        <v>3625</v>
      </c>
      <c r="I6026" s="6">
        <v>3071.95</v>
      </c>
      <c r="J6026" s="5">
        <v>22400</v>
      </c>
      <c r="K6026" s="6">
        <f t="shared" si="245"/>
        <v>1.1800322270870294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47</v>
      </c>
      <c r="F6027" t="s">
        <v>57</v>
      </c>
      <c r="G6027" t="str">
        <f t="shared" si="246"/>
        <v>030EXPLORER</v>
      </c>
      <c r="H6027" s="5">
        <v>2800</v>
      </c>
      <c r="I6027" s="6">
        <v>1645.6875</v>
      </c>
      <c r="J6027" s="5">
        <v>12000</v>
      </c>
      <c r="K6027" s="6">
        <f t="shared" si="245"/>
        <v>1.7014165812160571</v>
      </c>
    </row>
    <row r="6028" spans="1:11">
      <c r="A6028" s="4">
        <v>2026</v>
      </c>
      <c r="B6028">
        <v>4</v>
      </c>
      <c r="C6028" t="s">
        <v>10</v>
      </c>
      <c r="D6028" t="s">
        <v>11</v>
      </c>
      <c r="E6028" t="s">
        <v>12</v>
      </c>
      <c r="F6028" t="s">
        <v>13</v>
      </c>
      <c r="G6028" t="str">
        <f t="shared" si="246"/>
        <v>002SOMERSET</v>
      </c>
      <c r="H6028" s="5">
        <v>11220</v>
      </c>
      <c r="I6028" s="6">
        <v>4121.4642855494085</v>
      </c>
      <c r="J6028" s="5">
        <v>31200</v>
      </c>
      <c r="K6028" s="6">
        <f t="shared" ref="K6028:K6087" si="247">+H6028/I6028</f>
        <v>2.7223334287620369</v>
      </c>
    </row>
    <row r="6029" spans="1:11">
      <c r="A6029" s="4">
        <v>2026</v>
      </c>
      <c r="B6029">
        <v>4</v>
      </c>
      <c r="C6029" t="s">
        <v>10</v>
      </c>
      <c r="D6029" t="s">
        <v>11</v>
      </c>
      <c r="E6029" t="s">
        <v>14</v>
      </c>
      <c r="F6029" t="s">
        <v>15</v>
      </c>
      <c r="G6029" t="str">
        <f t="shared" si="246"/>
        <v>004BELLINA</v>
      </c>
      <c r="H6029" s="5">
        <v>3300</v>
      </c>
      <c r="I6029" s="6">
        <v>1056.7857142434418</v>
      </c>
      <c r="J6029" s="5">
        <v>8000</v>
      </c>
      <c r="K6029" s="6">
        <f t="shared" si="247"/>
        <v>3.1226765800505607</v>
      </c>
    </row>
    <row r="6030" spans="1:11">
      <c r="A6030" s="4">
        <v>2026</v>
      </c>
      <c r="B6030">
        <v>4</v>
      </c>
      <c r="C6030" t="s">
        <v>10</v>
      </c>
      <c r="D6030" t="s">
        <v>11</v>
      </c>
      <c r="E6030" t="s">
        <v>16</v>
      </c>
      <c r="F6030" t="s">
        <v>17</v>
      </c>
      <c r="G6030" t="str">
        <f t="shared" si="246"/>
        <v>005ELBA</v>
      </c>
      <c r="H6030" s="5">
        <v>11670</v>
      </c>
      <c r="I6030" s="6">
        <v>2641.9642856076484</v>
      </c>
      <c r="J6030" s="5">
        <v>19996</v>
      </c>
      <c r="K6030" s="6">
        <f t="shared" si="247"/>
        <v>4.4171679623276647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16</v>
      </c>
      <c r="F6031" t="s">
        <v>18</v>
      </c>
      <c r="G6031" t="str">
        <f t="shared" si="246"/>
        <v>005HOT BUBBLES</v>
      </c>
      <c r="H6031" s="5">
        <v>2160</v>
      </c>
      <c r="I6031" s="6">
        <v>528.39285712153003</v>
      </c>
      <c r="J6031" s="5">
        <v>4000</v>
      </c>
      <c r="K6031" s="6">
        <f t="shared" si="247"/>
        <v>4.0878675229767563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16</v>
      </c>
      <c r="F6032" t="s">
        <v>19</v>
      </c>
      <c r="G6032" t="str">
        <f t="shared" si="246"/>
        <v>005SUSPIRO</v>
      </c>
      <c r="H6032" s="5">
        <v>6000</v>
      </c>
      <c r="I6032" s="6">
        <v>1902.2142856375078</v>
      </c>
      <c r="J6032" s="5">
        <v>14400</v>
      </c>
      <c r="K6032" s="6">
        <f t="shared" si="247"/>
        <v>3.1542187677289788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20</v>
      </c>
      <c r="F6033" t="s">
        <v>21</v>
      </c>
      <c r="G6033" t="str">
        <f t="shared" si="246"/>
        <v>007SNOW BUBBLES</v>
      </c>
      <c r="H6033" s="5">
        <v>2660</v>
      </c>
      <c r="I6033" s="6">
        <v>634.05652706821195</v>
      </c>
      <c r="J6033" s="5">
        <v>4800</v>
      </c>
      <c r="K6033" s="6">
        <f t="shared" si="247"/>
        <v>4.1952095537908347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22</v>
      </c>
      <c r="F6034" t="s">
        <v>18</v>
      </c>
      <c r="G6034" t="str">
        <f t="shared" si="246"/>
        <v>009HOT BUBBLES</v>
      </c>
      <c r="H6034" s="5">
        <v>16320</v>
      </c>
      <c r="I6034" s="6">
        <v>4487.9999999102474</v>
      </c>
      <c r="J6034" s="5">
        <v>31740</v>
      </c>
      <c r="K6034" s="6">
        <f t="shared" si="247"/>
        <v>3.6363636364363576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23</v>
      </c>
      <c r="F6035" t="s">
        <v>24</v>
      </c>
      <c r="G6035" t="str">
        <f t="shared" si="246"/>
        <v>014FRUITY BUBBLES</v>
      </c>
      <c r="H6035" s="5">
        <v>5450</v>
      </c>
      <c r="I6035" s="6">
        <v>1702.8</v>
      </c>
      <c r="J6035" s="5">
        <v>12900</v>
      </c>
      <c r="K6035" s="6">
        <f t="shared" si="247"/>
        <v>3.2006107587502939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25</v>
      </c>
      <c r="F6036" t="s">
        <v>26</v>
      </c>
      <c r="G6036" t="str">
        <f t="shared" si="246"/>
        <v>015FELLINI</v>
      </c>
      <c r="H6036" s="5">
        <v>6380</v>
      </c>
      <c r="I6036" s="6">
        <v>3009.6</v>
      </c>
      <c r="J6036" s="5">
        <v>22800</v>
      </c>
      <c r="K6036" s="6">
        <f t="shared" si="247"/>
        <v>2.1198830409356724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27</v>
      </c>
      <c r="F6037" t="s">
        <v>28</v>
      </c>
      <c r="G6037" t="str">
        <f t="shared" si="246"/>
        <v>016GOOD PEACH</v>
      </c>
      <c r="H6037" s="5">
        <v>5460</v>
      </c>
      <c r="I6037" s="6">
        <v>1386</v>
      </c>
      <c r="J6037" s="5">
        <v>10500</v>
      </c>
      <c r="K6037" s="6">
        <f t="shared" si="247"/>
        <v>3.9393939393939394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27</v>
      </c>
      <c r="F6038" t="s">
        <v>29</v>
      </c>
      <c r="G6038" t="str">
        <f t="shared" si="246"/>
        <v>016GOOD YELLOW</v>
      </c>
      <c r="H6038" s="5">
        <v>5580</v>
      </c>
      <c r="I6038" s="6">
        <v>1386</v>
      </c>
      <c r="J6038" s="5">
        <v>10500</v>
      </c>
      <c r="K6038" s="6">
        <f t="shared" si="247"/>
        <v>4.0259740259740262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30</v>
      </c>
      <c r="F6039" t="s">
        <v>31</v>
      </c>
      <c r="G6039" t="str">
        <f t="shared" si="246"/>
        <v>017ORANGE STAR</v>
      </c>
      <c r="H6039" s="5">
        <v>3325</v>
      </c>
      <c r="I6039" s="6">
        <v>1029.5999999999999</v>
      </c>
      <c r="J6039" s="5">
        <v>7800</v>
      </c>
      <c r="K6039" s="6">
        <f t="shared" si="247"/>
        <v>3.2294094794094796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32</v>
      </c>
      <c r="F6040" t="s">
        <v>33</v>
      </c>
      <c r="G6040" t="str">
        <f t="shared" si="246"/>
        <v>018COSMO</v>
      </c>
      <c r="H6040" s="5">
        <v>3850</v>
      </c>
      <c r="I6040" s="6">
        <v>2653.2</v>
      </c>
      <c r="J6040" s="5">
        <v>20100</v>
      </c>
      <c r="K6040" s="6">
        <f t="shared" si="247"/>
        <v>1.4510779436152572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32</v>
      </c>
      <c r="F6041" t="s">
        <v>34</v>
      </c>
      <c r="G6041" t="str">
        <f t="shared" si="246"/>
        <v>018RUBICON</v>
      </c>
      <c r="H6041" s="5">
        <v>5250</v>
      </c>
      <c r="I6041" s="6">
        <v>1768.8</v>
      </c>
      <c r="J6041" s="5">
        <v>13400</v>
      </c>
      <c r="K6041" s="6">
        <f t="shared" si="247"/>
        <v>2.9681139755766623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35</v>
      </c>
      <c r="F6042" t="s">
        <v>15</v>
      </c>
      <c r="G6042" t="str">
        <f t="shared" si="246"/>
        <v>019BELLINA</v>
      </c>
      <c r="H6042" s="5">
        <v>2310</v>
      </c>
      <c r="I6042" s="6">
        <v>1029.5999999999999</v>
      </c>
      <c r="J6042" s="5">
        <v>7800</v>
      </c>
      <c r="K6042" s="6">
        <f t="shared" si="247"/>
        <v>2.2435897435897436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36</v>
      </c>
      <c r="F6043" t="s">
        <v>37</v>
      </c>
      <c r="G6043" t="str">
        <f t="shared" si="246"/>
        <v>020SUMMER DANCE</v>
      </c>
      <c r="H6043" s="5">
        <v>6200</v>
      </c>
      <c r="I6043" s="6">
        <v>1346.4</v>
      </c>
      <c r="J6043" s="5">
        <v>10200</v>
      </c>
      <c r="K6043" s="6">
        <f t="shared" si="247"/>
        <v>4.6048722519310754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38</v>
      </c>
      <c r="F6044" t="s">
        <v>39</v>
      </c>
      <c r="G6044" t="str">
        <f t="shared" si="246"/>
        <v>021ELEGANT ROSEVER</v>
      </c>
      <c r="H6044" s="5">
        <v>1290</v>
      </c>
      <c r="I6044" s="6">
        <v>440.18999062500001</v>
      </c>
      <c r="J6044" s="5">
        <v>3200</v>
      </c>
      <c r="K6044" s="6">
        <f t="shared" si="247"/>
        <v>2.9305527782864953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38</v>
      </c>
      <c r="F6045" t="s">
        <v>40</v>
      </c>
      <c r="G6045" t="str">
        <f t="shared" si="246"/>
        <v>021FLAME CLUB</v>
      </c>
      <c r="H6045" s="5">
        <v>2025</v>
      </c>
      <c r="I6045" s="6">
        <v>880.38</v>
      </c>
      <c r="J6045" s="5">
        <v>6400</v>
      </c>
      <c r="K6045" s="6">
        <f t="shared" si="247"/>
        <v>2.3001431200163567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38</v>
      </c>
      <c r="F6046" t="s">
        <v>41</v>
      </c>
      <c r="G6046" t="str">
        <f t="shared" si="246"/>
        <v>021KELLY</v>
      </c>
      <c r="H6046" s="5">
        <v>575</v>
      </c>
      <c r="I6046" s="6">
        <v>330.14249999999998</v>
      </c>
      <c r="J6046" s="5">
        <v>2400</v>
      </c>
      <c r="K6046" s="6">
        <f t="shared" si="247"/>
        <v>1.7416721567202043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42</v>
      </c>
      <c r="G6047" t="str">
        <f t="shared" si="246"/>
        <v>021LEILA</v>
      </c>
      <c r="H6047" s="5">
        <v>2950</v>
      </c>
      <c r="I6047" s="6">
        <v>1430.6175000000001</v>
      </c>
      <c r="J6047" s="5">
        <v>10400</v>
      </c>
      <c r="K6047" s="6">
        <f t="shared" si="247"/>
        <v>2.0620466337088703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21</v>
      </c>
      <c r="G6048" t="str">
        <f t="shared" si="246"/>
        <v>021SNOW BUBBLES</v>
      </c>
      <c r="H6048" s="5">
        <v>3760</v>
      </c>
      <c r="I6048" s="6">
        <v>1287.0000000000018</v>
      </c>
      <c r="J6048" s="5">
        <v>9400</v>
      </c>
      <c r="K6048" s="6">
        <f t="shared" si="247"/>
        <v>2.9215229215229175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43</v>
      </c>
      <c r="F6049" t="s">
        <v>24</v>
      </c>
      <c r="G6049" t="str">
        <f t="shared" si="246"/>
        <v>022FRUITY BUBBLES</v>
      </c>
      <c r="H6049" s="5">
        <v>8925</v>
      </c>
      <c r="I6049" s="6">
        <v>2641.14</v>
      </c>
      <c r="J6049" s="5">
        <v>19200</v>
      </c>
      <c r="K6049" s="6">
        <f t="shared" si="247"/>
        <v>3.3792226084190919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43</v>
      </c>
      <c r="F6050" t="s">
        <v>28</v>
      </c>
      <c r="G6050" t="str">
        <f t="shared" si="246"/>
        <v>022GOOD PEACH</v>
      </c>
      <c r="H6050" s="5">
        <v>3510</v>
      </c>
      <c r="I6050" s="6">
        <v>880.38</v>
      </c>
      <c r="J6050" s="5">
        <v>6400</v>
      </c>
      <c r="K6050" s="6">
        <f t="shared" si="247"/>
        <v>3.9869147413616846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43</v>
      </c>
      <c r="F6051" t="s">
        <v>44</v>
      </c>
      <c r="G6051" t="str">
        <f t="shared" si="246"/>
        <v>022MIRABEL</v>
      </c>
      <c r="H6051" s="5">
        <v>2560</v>
      </c>
      <c r="I6051" s="6">
        <v>880.38</v>
      </c>
      <c r="J6051" s="5">
        <v>6400</v>
      </c>
      <c r="K6051" s="6">
        <f t="shared" si="247"/>
        <v>2.9078352529589497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47</v>
      </c>
      <c r="F6052" t="s">
        <v>44</v>
      </c>
      <c r="G6052" t="str">
        <f t="shared" si="246"/>
        <v>030MIRABEL</v>
      </c>
      <c r="H6052" s="5">
        <v>6180</v>
      </c>
      <c r="I6052" s="6">
        <v>2413.6749943750001</v>
      </c>
      <c r="J6052" s="5">
        <v>17600</v>
      </c>
      <c r="K6052" s="6">
        <f t="shared" si="247"/>
        <v>2.5604109975047642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47</v>
      </c>
      <c r="F6053" t="s">
        <v>13</v>
      </c>
      <c r="G6053" t="str">
        <f t="shared" si="246"/>
        <v>030SOMERSET</v>
      </c>
      <c r="H6053" s="5">
        <v>4860</v>
      </c>
      <c r="I6053" s="6">
        <v>1645.6875</v>
      </c>
      <c r="J6053" s="5">
        <v>12000</v>
      </c>
      <c r="K6053" s="6">
        <f t="shared" si="247"/>
        <v>2.9531730659678708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48</v>
      </c>
      <c r="F6054" t="s">
        <v>49</v>
      </c>
      <c r="G6054" t="str">
        <f t="shared" si="246"/>
        <v>03182989</v>
      </c>
      <c r="H6054" s="5">
        <v>1180</v>
      </c>
      <c r="I6054" s="6">
        <v>726.32013058333712</v>
      </c>
      <c r="J6054" s="5">
        <v>5712</v>
      </c>
      <c r="K6054" s="6">
        <f t="shared" si="247"/>
        <v>1.6246279709365816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48</v>
      </c>
      <c r="F6055" t="s">
        <v>34</v>
      </c>
      <c r="G6055" t="str">
        <f t="shared" si="246"/>
        <v>031RUBICON</v>
      </c>
      <c r="H6055" s="5">
        <v>2610</v>
      </c>
      <c r="I6055" s="6">
        <v>924.39958333667107</v>
      </c>
      <c r="J6055" s="5">
        <v>6720</v>
      </c>
      <c r="K6055" s="6">
        <f t="shared" si="247"/>
        <v>2.823454323269015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48</v>
      </c>
      <c r="F6056" t="s">
        <v>13</v>
      </c>
      <c r="G6056" t="str">
        <f t="shared" si="246"/>
        <v>031SOMERSET</v>
      </c>
      <c r="H6056" s="5">
        <v>540</v>
      </c>
      <c r="I6056" s="6">
        <v>1122.485208333339</v>
      </c>
      <c r="J6056" s="5">
        <v>8160</v>
      </c>
      <c r="K6056" s="6">
        <f t="shared" si="247"/>
        <v>0.48107538165406172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50</v>
      </c>
      <c r="G6057" t="str">
        <f t="shared" si="246"/>
        <v>031VELVET BLOSSOMS</v>
      </c>
      <c r="H6057" s="5">
        <v>1040</v>
      </c>
      <c r="I6057" s="6">
        <v>396.17125000000198</v>
      </c>
      <c r="J6057" s="5">
        <v>2880</v>
      </c>
      <c r="K6057" s="6">
        <f t="shared" si="247"/>
        <v>2.6251273912480899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51</v>
      </c>
      <c r="F6058" t="s">
        <v>17</v>
      </c>
      <c r="G6058" t="str">
        <f t="shared" si="246"/>
        <v>032ELBA</v>
      </c>
      <c r="H6058" s="5">
        <v>4740</v>
      </c>
      <c r="I6058" s="6">
        <v>1535.9749999999999</v>
      </c>
      <c r="J6058" s="5">
        <v>11200</v>
      </c>
      <c r="K6058" s="6">
        <f t="shared" si="247"/>
        <v>3.0859877276648384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51</v>
      </c>
      <c r="F6059" t="s">
        <v>44</v>
      </c>
      <c r="G6059" t="str">
        <f t="shared" si="246"/>
        <v>032MIRABEL</v>
      </c>
      <c r="H6059" s="5">
        <v>4720</v>
      </c>
      <c r="I6059" s="6">
        <v>1535.9749999999999</v>
      </c>
      <c r="J6059" s="5">
        <v>11200</v>
      </c>
      <c r="K6059" s="6">
        <f t="shared" si="247"/>
        <v>3.07296668240043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52</v>
      </c>
      <c r="F6060" t="s">
        <v>53</v>
      </c>
      <c r="G6060" t="str">
        <f t="shared" si="246"/>
        <v>033CREAMY FOLIES</v>
      </c>
      <c r="H6060" s="5">
        <v>870</v>
      </c>
      <c r="I6060" s="6">
        <v>594.25687500000299</v>
      </c>
      <c r="J6060" s="5">
        <v>4320</v>
      </c>
      <c r="K6060" s="6">
        <f t="shared" si="247"/>
        <v>1.4640133528114347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52</v>
      </c>
      <c r="F6061" t="s">
        <v>18</v>
      </c>
      <c r="G6061" t="str">
        <f t="shared" si="246"/>
        <v>033HOT BUBBLES</v>
      </c>
      <c r="H6061" s="5">
        <v>6500</v>
      </c>
      <c r="I6061" s="6">
        <v>2575.1131250013459</v>
      </c>
      <c r="J6061" s="5">
        <v>18720</v>
      </c>
      <c r="K6061" s="6">
        <f t="shared" si="247"/>
        <v>2.5241609531218567</v>
      </c>
    </row>
    <row r="6062" spans="1:11">
      <c r="A6062" s="4">
        <v>2026</v>
      </c>
      <c r="B6062">
        <v>4</v>
      </c>
      <c r="C6062" t="s">
        <v>54</v>
      </c>
      <c r="D6062" t="s">
        <v>11</v>
      </c>
      <c r="E6062" t="s">
        <v>55</v>
      </c>
      <c r="F6062" t="s">
        <v>56</v>
      </c>
      <c r="G6062" t="str">
        <f t="shared" si="246"/>
        <v>001BELIEVE IN PINK</v>
      </c>
      <c r="H6062" s="5">
        <v>2310</v>
      </c>
      <c r="I6062" s="6">
        <v>528.37931032368999</v>
      </c>
      <c r="J6062" s="5">
        <v>4000</v>
      </c>
      <c r="K6062" s="6">
        <f t="shared" ref="K6062:K6067" si="248">IFERROR(H6062/I6062,"")</f>
        <v>4.3718592966573064</v>
      </c>
    </row>
    <row r="6063" spans="1:11">
      <c r="A6063" s="4">
        <v>2026</v>
      </c>
      <c r="B6063">
        <v>4</v>
      </c>
      <c r="C6063" t="s">
        <v>54</v>
      </c>
      <c r="D6063" t="s">
        <v>11</v>
      </c>
      <c r="E6063" t="s">
        <v>55</v>
      </c>
      <c r="F6063" t="s">
        <v>57</v>
      </c>
      <c r="G6063" t="str">
        <f t="shared" si="246"/>
        <v>001EXPLORER</v>
      </c>
      <c r="H6063" s="5">
        <v>6225</v>
      </c>
      <c r="I6063" s="6">
        <v>2272.0310343918732</v>
      </c>
      <c r="J6063" s="5">
        <v>17200</v>
      </c>
      <c r="K6063" s="6">
        <f t="shared" si="248"/>
        <v>2.7398393357184796</v>
      </c>
    </row>
    <row r="6064" spans="1:11">
      <c r="A6064" s="4">
        <v>2026</v>
      </c>
      <c r="B6064">
        <v>4</v>
      </c>
      <c r="C6064" t="s">
        <v>54</v>
      </c>
      <c r="D6064" t="s">
        <v>11</v>
      </c>
      <c r="E6064" t="s">
        <v>55</v>
      </c>
      <c r="F6064" t="s">
        <v>58</v>
      </c>
      <c r="G6064" t="str">
        <f t="shared" si="246"/>
        <v>001GRACE KELLY</v>
      </c>
      <c r="H6064" s="5">
        <v>2670</v>
      </c>
      <c r="I6064" s="6">
        <v>1162.4344827121224</v>
      </c>
      <c r="J6064" s="5">
        <v>8800</v>
      </c>
      <c r="K6064" s="6">
        <f t="shared" si="248"/>
        <v>2.2969036446428501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60</v>
      </c>
      <c r="G6065" t="str">
        <f t="shared" si="246"/>
        <v>001LIGHT HOUSE</v>
      </c>
      <c r="H6065" s="5">
        <v>3900</v>
      </c>
      <c r="I6065" s="6">
        <v>1056.7586206473827</v>
      </c>
      <c r="J6065" s="5">
        <v>8000</v>
      </c>
      <c r="K6065" s="6">
        <f t="shared" si="248"/>
        <v>3.6905305751003139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61</v>
      </c>
      <c r="G6066" t="str">
        <f t="shared" si="246"/>
        <v>001LUMIA</v>
      </c>
      <c r="H6066" s="5">
        <v>6330</v>
      </c>
      <c r="I6066" s="6">
        <v>1109.596551679753</v>
      </c>
      <c r="J6066" s="5">
        <v>8400</v>
      </c>
      <c r="K6066" s="6">
        <f t="shared" si="248"/>
        <v>5.7047762003382081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62</v>
      </c>
      <c r="G6067" t="str">
        <f t="shared" si="246"/>
        <v>001MOMENTUM</v>
      </c>
      <c r="H6067" s="5">
        <v>5675</v>
      </c>
      <c r="I6067" s="6">
        <v>1902.1655171652881</v>
      </c>
      <c r="J6067" s="5">
        <v>14400</v>
      </c>
      <c r="K6067" s="6">
        <f t="shared" si="248"/>
        <v>2.9834417398424917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12</v>
      </c>
      <c r="F6068" t="s">
        <v>63</v>
      </c>
      <c r="G6068" t="str">
        <f t="shared" si="246"/>
        <v>002SUMMER ROMANCE</v>
      </c>
      <c r="H6068" s="5">
        <v>1425</v>
      </c>
      <c r="I6068" s="6">
        <v>951.10714281909407</v>
      </c>
      <c r="J6068" s="5">
        <v>7200</v>
      </c>
      <c r="K6068" s="6">
        <f t="shared" si="247"/>
        <v>1.4982539146707292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12</v>
      </c>
      <c r="F6069" t="s">
        <v>64</v>
      </c>
      <c r="G6069" t="str">
        <f t="shared" si="246"/>
        <v>002SWEETNESS</v>
      </c>
      <c r="H6069" s="5">
        <v>12000</v>
      </c>
      <c r="I6069" s="6">
        <v>3804.4285712763772</v>
      </c>
      <c r="J6069" s="5">
        <v>28800</v>
      </c>
      <c r="K6069" s="6">
        <f t="shared" si="247"/>
        <v>3.1542187677278504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65</v>
      </c>
      <c r="F6070" t="s">
        <v>66</v>
      </c>
      <c r="G6070" t="str">
        <f t="shared" si="246"/>
        <v>003CABARET</v>
      </c>
      <c r="H6070" s="5">
        <v>10440</v>
      </c>
      <c r="I6070" s="6">
        <v>2641.8965516184649</v>
      </c>
      <c r="J6070" s="5">
        <v>20000</v>
      </c>
      <c r="K6070" s="6">
        <f t="shared" si="247"/>
        <v>3.951706585030478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65</v>
      </c>
      <c r="F6071" t="s">
        <v>67</v>
      </c>
      <c r="G6071" t="str">
        <f t="shared" si="246"/>
        <v>003DEEP PURPLE</v>
      </c>
      <c r="H6071" s="5">
        <v>16830</v>
      </c>
      <c r="I6071" s="6">
        <v>3592.9793102010913</v>
      </c>
      <c r="J6071" s="5">
        <v>26044</v>
      </c>
      <c r="K6071" s="6">
        <f t="shared" si="247"/>
        <v>4.6841349607042577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65</v>
      </c>
      <c r="F6072" t="s">
        <v>57</v>
      </c>
      <c r="G6072" t="str">
        <f t="shared" si="246"/>
        <v>003EXPLORER</v>
      </c>
      <c r="H6072" s="5">
        <v>3125</v>
      </c>
      <c r="I6072" s="6">
        <v>1268.1103447768633</v>
      </c>
      <c r="J6072" s="5">
        <v>9600</v>
      </c>
      <c r="K6072" s="6">
        <f t="shared" si="247"/>
        <v>2.4642965912795822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65</v>
      </c>
      <c r="F6073" t="s">
        <v>68</v>
      </c>
      <c r="G6073" t="str">
        <f t="shared" si="246"/>
        <v>003JOCKER</v>
      </c>
      <c r="H6073" s="5">
        <v>1500</v>
      </c>
      <c r="I6073" s="6">
        <v>528.37931032368999</v>
      </c>
      <c r="J6073" s="5">
        <v>4000</v>
      </c>
      <c r="K6073" s="6">
        <f t="shared" si="247"/>
        <v>2.838869673154095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69</v>
      </c>
      <c r="G6074" t="str">
        <f t="shared" si="246"/>
        <v>003QUICKSAND</v>
      </c>
      <c r="H6074" s="5">
        <v>2730</v>
      </c>
      <c r="I6074" s="6">
        <v>1162.4344827121247</v>
      </c>
      <c r="J6074" s="5">
        <v>8800</v>
      </c>
      <c r="K6074" s="6">
        <f t="shared" si="247"/>
        <v>2.3485194568820105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14</v>
      </c>
      <c r="F6075" t="s">
        <v>70</v>
      </c>
      <c r="G6075" t="str">
        <f t="shared" si="246"/>
        <v>004COTOPAXI</v>
      </c>
      <c r="H6075" s="5">
        <v>1860</v>
      </c>
      <c r="I6075" s="6">
        <v>528.3915024419166</v>
      </c>
      <c r="J6075" s="5">
        <v>4000</v>
      </c>
      <c r="K6075" s="6">
        <f t="shared" si="247"/>
        <v>3.5201171695687146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14</v>
      </c>
      <c r="F6076" t="s">
        <v>67</v>
      </c>
      <c r="G6076" t="str">
        <f t="shared" si="246"/>
        <v>004DEEP PURPLE</v>
      </c>
      <c r="H6076" s="5">
        <v>21360</v>
      </c>
      <c r="I6076" s="6">
        <v>3910.1071427007282</v>
      </c>
      <c r="J6076" s="5">
        <v>29260</v>
      </c>
      <c r="K6076" s="6">
        <f t="shared" si="247"/>
        <v>5.4627659090810878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14</v>
      </c>
      <c r="F6077" t="s">
        <v>71</v>
      </c>
      <c r="G6077" t="str">
        <f t="shared" si="246"/>
        <v>004HOT EXPLORER</v>
      </c>
      <c r="H6077" s="5">
        <v>3275</v>
      </c>
      <c r="I6077" s="6">
        <v>1902.2142856381945</v>
      </c>
      <c r="J6077" s="5">
        <v>14400</v>
      </c>
      <c r="K6077" s="6">
        <f t="shared" si="247"/>
        <v>1.7216777440514461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14</v>
      </c>
      <c r="F6078" t="s">
        <v>72</v>
      </c>
      <c r="G6078" t="str">
        <f t="shared" si="246"/>
        <v>004HOT MERENGUE</v>
      </c>
      <c r="H6078" s="5">
        <v>4080</v>
      </c>
      <c r="I6078" s="6">
        <v>1162.4642856677858</v>
      </c>
      <c r="J6078" s="5">
        <v>8800</v>
      </c>
      <c r="K6078" s="6">
        <f t="shared" si="247"/>
        <v>3.5097852469989776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64</v>
      </c>
      <c r="G6079" t="str">
        <f t="shared" ref="G6079:G6141" si="249">+E6079&amp;F6079</f>
        <v>004SWEETNESS</v>
      </c>
      <c r="H6079" s="5">
        <v>840</v>
      </c>
      <c r="I6079" s="6">
        <v>317.03571427303262</v>
      </c>
      <c r="J6079" s="5">
        <v>2400</v>
      </c>
      <c r="K6079" s="6">
        <f t="shared" si="247"/>
        <v>2.649543764891384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16</v>
      </c>
      <c r="F6080" t="s">
        <v>57</v>
      </c>
      <c r="G6080" t="str">
        <f t="shared" si="249"/>
        <v>005EXPLORER</v>
      </c>
      <c r="H6080" s="5">
        <v>3800</v>
      </c>
      <c r="I6080" s="6">
        <v>951.10714281875391</v>
      </c>
      <c r="J6080" s="5">
        <v>7200</v>
      </c>
      <c r="K6080" s="6">
        <f t="shared" si="247"/>
        <v>3.9953437724567067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16</v>
      </c>
      <c r="F6081" t="s">
        <v>73</v>
      </c>
      <c r="G6081" t="str">
        <f t="shared" si="249"/>
        <v>005GOLDFINCH</v>
      </c>
      <c r="H6081" s="5">
        <v>2500</v>
      </c>
      <c r="I6081" s="6">
        <v>898.26785710660101</v>
      </c>
      <c r="J6081" s="5">
        <v>6800</v>
      </c>
      <c r="K6081" s="6">
        <f t="shared" si="247"/>
        <v>2.7831342068196872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16</v>
      </c>
      <c r="F6082" t="s">
        <v>68</v>
      </c>
      <c r="G6082" t="str">
        <f t="shared" si="249"/>
        <v>005JOCKER</v>
      </c>
      <c r="H6082" s="5">
        <v>3725</v>
      </c>
      <c r="I6082" s="6">
        <v>1162.4642856673661</v>
      </c>
      <c r="J6082" s="5">
        <v>8800</v>
      </c>
      <c r="K6082" s="6">
        <f t="shared" si="247"/>
        <v>3.2043995208519394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16</v>
      </c>
      <c r="F6083" t="s">
        <v>74</v>
      </c>
      <c r="G6083" t="str">
        <f t="shared" si="249"/>
        <v>005VENDELA</v>
      </c>
      <c r="H6083" s="5">
        <v>2310</v>
      </c>
      <c r="I6083" s="6">
        <v>686.91071425798896</v>
      </c>
      <c r="J6083" s="5">
        <v>5200</v>
      </c>
      <c r="K6083" s="6">
        <f t="shared" si="247"/>
        <v>3.3628824708248959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75</v>
      </c>
      <c r="F6084" t="s">
        <v>76</v>
      </c>
      <c r="G6084" t="str">
        <f t="shared" si="249"/>
        <v>006ATOMIC</v>
      </c>
      <c r="H6084" s="5">
        <v>3125</v>
      </c>
      <c r="I6084" s="6">
        <v>845.428571394752</v>
      </c>
      <c r="J6084" s="5">
        <v>6400</v>
      </c>
      <c r="K6084" s="6">
        <f t="shared" si="247"/>
        <v>3.6963501184310679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75</v>
      </c>
      <c r="F6085" t="s">
        <v>57</v>
      </c>
      <c r="G6085" t="str">
        <f t="shared" si="249"/>
        <v>006EXPLORER</v>
      </c>
      <c r="H6085" s="5">
        <v>13100</v>
      </c>
      <c r="I6085" s="6">
        <v>3910.1071427007355</v>
      </c>
      <c r="J6085" s="5">
        <v>29600</v>
      </c>
      <c r="K6085" s="6">
        <f t="shared" si="247"/>
        <v>3.3502918262622718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75</v>
      </c>
      <c r="F6086" t="s">
        <v>77</v>
      </c>
      <c r="G6086" t="str">
        <f t="shared" si="249"/>
        <v>006MONDIAL</v>
      </c>
      <c r="H6086" s="5">
        <v>10425</v>
      </c>
      <c r="I6086" s="6">
        <v>4015.7857141250793</v>
      </c>
      <c r="J6086" s="5">
        <v>30400</v>
      </c>
      <c r="K6086" s="6">
        <f t="shared" si="247"/>
        <v>2.5960050515970567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20</v>
      </c>
      <c r="F6087" t="s">
        <v>70</v>
      </c>
      <c r="G6087" t="str">
        <f t="shared" si="249"/>
        <v>007COTOPAXI</v>
      </c>
      <c r="H6087" s="5">
        <v>11850</v>
      </c>
      <c r="I6087" s="6">
        <v>2747.5751230427709</v>
      </c>
      <c r="J6087" s="5">
        <v>20800</v>
      </c>
      <c r="K6087" s="6">
        <f t="shared" si="247"/>
        <v>4.3128939043809842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20</v>
      </c>
      <c r="F6088" t="s">
        <v>78</v>
      </c>
      <c r="G6088" t="str">
        <f t="shared" si="249"/>
        <v>007REDIANT</v>
      </c>
      <c r="H6088" s="5">
        <v>1440</v>
      </c>
      <c r="I6088" s="6">
        <v>1056.75862064738</v>
      </c>
      <c r="J6088" s="5">
        <v>9600</v>
      </c>
      <c r="K6088" s="6">
        <f t="shared" ref="K6088:K6151" si="250">+H6088/I6088</f>
        <v>1.3626574431139657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20</v>
      </c>
      <c r="F6089" t="s">
        <v>63</v>
      </c>
      <c r="G6089" t="str">
        <f t="shared" si="249"/>
        <v>007SUMMER ROMANCE</v>
      </c>
      <c r="H6089" s="5">
        <v>350</v>
      </c>
      <c r="I6089" s="6">
        <v>369.86551722658481</v>
      </c>
      <c r="J6089" s="5">
        <v>3080</v>
      </c>
      <c r="K6089" s="6">
        <f t="shared" si="250"/>
        <v>0.94628989105136041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20</v>
      </c>
      <c r="F6090" t="s">
        <v>74</v>
      </c>
      <c r="G6090" t="str">
        <f t="shared" si="249"/>
        <v>007VENDELA</v>
      </c>
      <c r="H6090" s="5">
        <v>16530</v>
      </c>
      <c r="I6090" s="6">
        <v>3592.9793102011122</v>
      </c>
      <c r="J6090" s="5">
        <v>27820</v>
      </c>
      <c r="K6090" s="6">
        <f t="shared" si="250"/>
        <v>4.6006387938467572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79</v>
      </c>
      <c r="F6091" t="s">
        <v>67</v>
      </c>
      <c r="G6091" t="str">
        <f t="shared" si="249"/>
        <v>008DEEP PURPLE</v>
      </c>
      <c r="H6091" s="5">
        <v>15030</v>
      </c>
      <c r="I6091" s="6">
        <v>1585.2222221588099</v>
      </c>
      <c r="J6091" s="5">
        <v>11490</v>
      </c>
      <c r="K6091" s="6">
        <f t="shared" si="250"/>
        <v>9.4813205302734342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79</v>
      </c>
      <c r="F6092" t="s">
        <v>81</v>
      </c>
      <c r="G6092" t="str">
        <f t="shared" si="249"/>
        <v>008FREEDOM</v>
      </c>
      <c r="H6092" s="5">
        <v>9690</v>
      </c>
      <c r="I6092" s="6">
        <v>2219.311111022334</v>
      </c>
      <c r="J6092" s="5">
        <v>16800</v>
      </c>
      <c r="K6092" s="6">
        <f t="shared" si="250"/>
        <v>4.366219748044367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79</v>
      </c>
      <c r="F6093" t="s">
        <v>68</v>
      </c>
      <c r="G6093" t="str">
        <f t="shared" si="249"/>
        <v>008JOCKER</v>
      </c>
      <c r="H6093" s="5">
        <v>10400</v>
      </c>
      <c r="I6093" s="6">
        <v>2959.0814813631118</v>
      </c>
      <c r="J6093" s="5">
        <v>22400</v>
      </c>
      <c r="K6093" s="6">
        <f t="shared" si="250"/>
        <v>3.5146041315527419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79</v>
      </c>
      <c r="F6094" t="s">
        <v>61</v>
      </c>
      <c r="G6094" t="str">
        <f t="shared" si="249"/>
        <v>008LUMIA</v>
      </c>
      <c r="H6094" s="5">
        <v>540</v>
      </c>
      <c r="I6094" s="6">
        <v>1796.5851851133182</v>
      </c>
      <c r="J6094" s="5">
        <v>13600</v>
      </c>
      <c r="K6094" s="6">
        <f t="shared" si="250"/>
        <v>0.30057021758527969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82</v>
      </c>
      <c r="F6095" t="s">
        <v>83</v>
      </c>
      <c r="G6095" t="str">
        <f t="shared" si="249"/>
        <v>010COOLDOWN</v>
      </c>
      <c r="H6095" s="5">
        <v>4325</v>
      </c>
      <c r="I6095" s="6">
        <v>1912.3542857142861</v>
      </c>
      <c r="J6095" s="5">
        <v>16320</v>
      </c>
      <c r="K6095" s="6">
        <f t="shared" si="250"/>
        <v>2.2616102216564768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82</v>
      </c>
      <c r="F6096" t="s">
        <v>84</v>
      </c>
      <c r="G6096" t="str">
        <f t="shared" si="249"/>
        <v>010VIOLET HILL</v>
      </c>
      <c r="H6096" s="5">
        <v>6420</v>
      </c>
      <c r="I6096" s="6">
        <v>2812.2857142428579</v>
      </c>
      <c r="J6096" s="5">
        <v>20000</v>
      </c>
      <c r="K6096" s="6">
        <f t="shared" si="250"/>
        <v>2.2828405974136361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85</v>
      </c>
      <c r="F6097" t="s">
        <v>86</v>
      </c>
      <c r="G6097" t="str">
        <f t="shared" si="249"/>
        <v>011BRIGHTON</v>
      </c>
      <c r="H6097" s="5">
        <v>4450</v>
      </c>
      <c r="I6097" s="6">
        <v>1768.8376470588223</v>
      </c>
      <c r="J6097" s="5">
        <v>12800</v>
      </c>
      <c r="K6097" s="6">
        <f t="shared" si="250"/>
        <v>2.5157763955325949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85</v>
      </c>
      <c r="F6098" t="s">
        <v>87</v>
      </c>
      <c r="G6098" t="str">
        <f t="shared" si="249"/>
        <v>011CANDLELIGHT</v>
      </c>
      <c r="H6098" s="5">
        <v>5760</v>
      </c>
      <c r="I6098" s="6">
        <v>2263.7999998868127</v>
      </c>
      <c r="J6098" s="5">
        <v>17920</v>
      </c>
      <c r="K6098" s="6">
        <f t="shared" si="250"/>
        <v>2.5443943812562919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85</v>
      </c>
      <c r="F6099" t="s">
        <v>88</v>
      </c>
      <c r="G6099" t="str">
        <f t="shared" si="249"/>
        <v>011CAYENNE</v>
      </c>
      <c r="H6099" s="5">
        <v>2310</v>
      </c>
      <c r="I6099" s="6">
        <v>994.97117647058747</v>
      </c>
      <c r="J6099" s="5">
        <v>7200</v>
      </c>
      <c r="K6099" s="6">
        <f t="shared" si="250"/>
        <v>2.3216752953529265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85</v>
      </c>
      <c r="F6100" t="s">
        <v>61</v>
      </c>
      <c r="G6100" t="str">
        <f t="shared" si="249"/>
        <v>011LUMIA</v>
      </c>
      <c r="H6100" s="5">
        <v>4140</v>
      </c>
      <c r="I6100" s="6">
        <v>994.97117647058747</v>
      </c>
      <c r="J6100" s="5">
        <v>7920</v>
      </c>
      <c r="K6100" s="6">
        <f t="shared" si="250"/>
        <v>4.1609245553078429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89</v>
      </c>
      <c r="G6101" t="str">
        <f t="shared" si="249"/>
        <v>011STARDUST</v>
      </c>
      <c r="H6101" s="5">
        <v>3050</v>
      </c>
      <c r="I6101" s="6">
        <v>2263.7999998868127</v>
      </c>
      <c r="J6101" s="5">
        <v>17920</v>
      </c>
      <c r="K6101" s="6">
        <f t="shared" si="250"/>
        <v>1.3472921636860573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90</v>
      </c>
      <c r="F6102" t="s">
        <v>67</v>
      </c>
      <c r="G6102" t="str">
        <f t="shared" si="249"/>
        <v>012DEEP PURPLE</v>
      </c>
      <c r="H6102" s="5">
        <v>34740</v>
      </c>
      <c r="I6102" s="6">
        <v>6727.0499997982479</v>
      </c>
      <c r="J6102" s="5">
        <v>49210</v>
      </c>
      <c r="K6102" s="6">
        <f t="shared" si="250"/>
        <v>5.1642250319295817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90</v>
      </c>
      <c r="F6103" t="s">
        <v>60</v>
      </c>
      <c r="G6103" t="str">
        <f t="shared" si="249"/>
        <v>012LIGHT HOUSE</v>
      </c>
      <c r="H6103" s="5">
        <v>2100</v>
      </c>
      <c r="I6103" s="6">
        <v>994.95</v>
      </c>
      <c r="J6103" s="5">
        <v>7200</v>
      </c>
      <c r="K6103" s="6">
        <f t="shared" si="250"/>
        <v>2.1106588270767372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91</v>
      </c>
      <c r="F6104" t="s">
        <v>92</v>
      </c>
      <c r="G6104" t="str">
        <f t="shared" si="249"/>
        <v>013COUNTRY BLUES</v>
      </c>
      <c r="H6104" s="5">
        <v>2525</v>
      </c>
      <c r="I6104" s="6">
        <v>831.6</v>
      </c>
      <c r="J6104" s="5">
        <v>6300</v>
      </c>
      <c r="K6104" s="6">
        <f t="shared" si="250"/>
        <v>3.0363155363155361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91</v>
      </c>
      <c r="F6105" t="s">
        <v>93</v>
      </c>
      <c r="G6105" t="str">
        <f t="shared" si="249"/>
        <v>013LORRAINE</v>
      </c>
      <c r="H6105" s="5">
        <v>5475</v>
      </c>
      <c r="I6105" s="6">
        <v>1267.2</v>
      </c>
      <c r="J6105" s="5">
        <v>9600</v>
      </c>
      <c r="K6105" s="6">
        <f t="shared" si="250"/>
        <v>4.3205492424242422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91</v>
      </c>
      <c r="F6106" t="s">
        <v>61</v>
      </c>
      <c r="G6106" t="str">
        <f t="shared" si="249"/>
        <v>013LUMIA</v>
      </c>
      <c r="H6106" s="5">
        <v>1650</v>
      </c>
      <c r="I6106" s="6">
        <v>316.8</v>
      </c>
      <c r="J6106" s="5">
        <v>2400</v>
      </c>
      <c r="K6106" s="6">
        <f t="shared" si="250"/>
        <v>5.208333333333333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91</v>
      </c>
      <c r="F6107" t="s">
        <v>74</v>
      </c>
      <c r="G6107" t="str">
        <f t="shared" si="249"/>
        <v>013VENDELA</v>
      </c>
      <c r="H6107" s="5">
        <v>14400</v>
      </c>
      <c r="I6107" s="6">
        <v>3603.6</v>
      </c>
      <c r="J6107" s="5">
        <v>27296</v>
      </c>
      <c r="K6107" s="6">
        <f t="shared" si="250"/>
        <v>3.9960039960039961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23</v>
      </c>
      <c r="F6108" t="s">
        <v>89</v>
      </c>
      <c r="G6108" t="str">
        <f t="shared" si="249"/>
        <v>014STARDUST</v>
      </c>
      <c r="H6108" s="5">
        <v>8850</v>
      </c>
      <c r="I6108" s="6">
        <v>3682.8</v>
      </c>
      <c r="J6108" s="5">
        <v>27900</v>
      </c>
      <c r="K6108" s="6">
        <f t="shared" si="250"/>
        <v>2.4030628869338546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25</v>
      </c>
      <c r="F6109" t="s">
        <v>68</v>
      </c>
      <c r="G6109" t="str">
        <f t="shared" si="249"/>
        <v>015JOCKER</v>
      </c>
      <c r="H6109" s="5">
        <v>8425</v>
      </c>
      <c r="I6109" s="6">
        <v>2376</v>
      </c>
      <c r="J6109" s="5">
        <v>18000</v>
      </c>
      <c r="K6109" s="6">
        <f t="shared" si="250"/>
        <v>3.5458754208754208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27</v>
      </c>
      <c r="F6110" t="s">
        <v>94</v>
      </c>
      <c r="G6110" t="str">
        <f t="shared" si="249"/>
        <v>016DREAM IN PEACH</v>
      </c>
      <c r="H6110" s="5">
        <v>2130</v>
      </c>
      <c r="I6110" s="6">
        <v>950.4</v>
      </c>
      <c r="J6110" s="5">
        <v>7200</v>
      </c>
      <c r="K6110" s="6">
        <f t="shared" si="250"/>
        <v>2.2411616161616164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27</v>
      </c>
      <c r="F6111" t="s">
        <v>95</v>
      </c>
      <c r="G6111" t="str">
        <f t="shared" si="249"/>
        <v>016NINA</v>
      </c>
      <c r="H6111" s="5">
        <v>4675</v>
      </c>
      <c r="I6111" s="6">
        <v>1346.4</v>
      </c>
      <c r="J6111" s="5">
        <v>10200</v>
      </c>
      <c r="K6111" s="6">
        <f t="shared" si="250"/>
        <v>3.4722222222222219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30</v>
      </c>
      <c r="F6112" t="s">
        <v>81</v>
      </c>
      <c r="G6112" t="str">
        <f t="shared" si="249"/>
        <v>017FREEDOM</v>
      </c>
      <c r="H6112" s="5">
        <v>8280</v>
      </c>
      <c r="I6112" s="6">
        <v>2851.2</v>
      </c>
      <c r="J6112" s="5">
        <v>21600</v>
      </c>
      <c r="K6112" s="6">
        <f t="shared" si="250"/>
        <v>2.9040404040404044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30</v>
      </c>
      <c r="F6113" t="s">
        <v>73</v>
      </c>
      <c r="G6113" t="str">
        <f t="shared" si="249"/>
        <v>017GOLDFINCH</v>
      </c>
      <c r="H6113" s="5">
        <v>4275</v>
      </c>
      <c r="I6113" s="6">
        <v>2138.4</v>
      </c>
      <c r="J6113" s="5">
        <v>16200</v>
      </c>
      <c r="K6113" s="6">
        <f t="shared" si="250"/>
        <v>1.9991582491582491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32</v>
      </c>
      <c r="F6114" t="s">
        <v>86</v>
      </c>
      <c r="G6114" t="str">
        <f t="shared" si="249"/>
        <v>018BRIGHTON</v>
      </c>
      <c r="H6114" s="5">
        <v>2925</v>
      </c>
      <c r="I6114" s="6">
        <v>963.6</v>
      </c>
      <c r="J6114" s="5">
        <v>7570</v>
      </c>
      <c r="K6114" s="6">
        <f t="shared" si="250"/>
        <v>3.035491905354919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35</v>
      </c>
      <c r="F6115" t="s">
        <v>86</v>
      </c>
      <c r="G6115" t="str">
        <f t="shared" si="249"/>
        <v>019BRIGHTON</v>
      </c>
      <c r="H6115" s="5">
        <v>9950</v>
      </c>
      <c r="I6115" s="6">
        <v>3168</v>
      </c>
      <c r="J6115" s="5">
        <v>24000</v>
      </c>
      <c r="K6115" s="6">
        <f t="shared" si="250"/>
        <v>3.1407828282828283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35</v>
      </c>
      <c r="F6116" t="s">
        <v>96</v>
      </c>
      <c r="G6116" t="str">
        <f t="shared" si="249"/>
        <v>019TABATHA</v>
      </c>
      <c r="H6116" s="5">
        <v>2310</v>
      </c>
      <c r="I6116" s="6">
        <v>1188</v>
      </c>
      <c r="J6116" s="5">
        <v>9000</v>
      </c>
      <c r="K6116" s="6">
        <f t="shared" si="250"/>
        <v>1.9444444444444444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36</v>
      </c>
      <c r="F6117" t="s">
        <v>86</v>
      </c>
      <c r="G6117" t="str">
        <f t="shared" si="249"/>
        <v>020BRIGHTON</v>
      </c>
      <c r="H6117" s="5">
        <v>7725</v>
      </c>
      <c r="I6117" s="6">
        <v>2732.4</v>
      </c>
      <c r="J6117" s="5">
        <v>20700</v>
      </c>
      <c r="K6117" s="6">
        <f t="shared" si="250"/>
        <v>2.8271848924022835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36</v>
      </c>
      <c r="F6118" t="s">
        <v>97</v>
      </c>
      <c r="G6118" t="str">
        <f t="shared" si="249"/>
        <v>020TYCOON</v>
      </c>
      <c r="H6118" s="5">
        <v>2250</v>
      </c>
      <c r="I6118" s="6">
        <v>673.2</v>
      </c>
      <c r="J6118" s="5">
        <v>5100</v>
      </c>
      <c r="K6118" s="6">
        <f t="shared" si="250"/>
        <v>3.3422459893048124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38</v>
      </c>
      <c r="F6119" t="s">
        <v>98</v>
      </c>
      <c r="G6119" t="str">
        <f t="shared" si="249"/>
        <v>021SHOW GIRL</v>
      </c>
      <c r="H6119" s="5">
        <v>1625</v>
      </c>
      <c r="I6119" s="6">
        <v>1100.4749999999999</v>
      </c>
      <c r="J6119" s="5">
        <v>8000</v>
      </c>
      <c r="K6119" s="6">
        <f t="shared" si="250"/>
        <v>1.4766350893932167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43</v>
      </c>
      <c r="F6120" t="s">
        <v>99</v>
      </c>
      <c r="G6120" t="str">
        <f t="shared" si="249"/>
        <v>022CORAL REEF</v>
      </c>
      <c r="H6120" s="5">
        <v>2900</v>
      </c>
      <c r="I6120" s="6">
        <v>1287</v>
      </c>
      <c r="J6120" s="5">
        <v>9400</v>
      </c>
      <c r="K6120" s="6">
        <f t="shared" si="250"/>
        <v>2.2533022533022531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100</v>
      </c>
      <c r="F6121" t="s">
        <v>70</v>
      </c>
      <c r="G6121" t="str">
        <f t="shared" si="249"/>
        <v>023COTOPAXI</v>
      </c>
      <c r="H6121" s="5">
        <v>11760</v>
      </c>
      <c r="I6121" s="6">
        <v>2641.14</v>
      </c>
      <c r="J6121" s="5">
        <v>19200</v>
      </c>
      <c r="K6121" s="6">
        <f t="shared" si="250"/>
        <v>4.4526227310933919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100</v>
      </c>
      <c r="F6122" t="s">
        <v>101</v>
      </c>
      <c r="G6122" t="str">
        <f t="shared" si="249"/>
        <v>023FRUTTETO</v>
      </c>
      <c r="H6122" s="5">
        <v>14130</v>
      </c>
      <c r="I6122" s="6">
        <v>2641.14</v>
      </c>
      <c r="J6122" s="5">
        <v>19200</v>
      </c>
      <c r="K6122" s="6">
        <f t="shared" si="250"/>
        <v>5.349962516186193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102</v>
      </c>
      <c r="F6123" t="s">
        <v>70</v>
      </c>
      <c r="G6123" t="str">
        <f t="shared" si="249"/>
        <v>024COTOPAXI</v>
      </c>
      <c r="H6123" s="5">
        <v>7200</v>
      </c>
      <c r="I6123" s="6">
        <v>1430.6174906250001</v>
      </c>
      <c r="J6123" s="5">
        <v>10400</v>
      </c>
      <c r="K6123" s="6">
        <f t="shared" si="250"/>
        <v>5.0327918169478725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102</v>
      </c>
      <c r="F6124" t="s">
        <v>64</v>
      </c>
      <c r="G6124" t="str">
        <f t="shared" si="249"/>
        <v>024SWEETNESS</v>
      </c>
      <c r="H6124" s="5">
        <v>3930</v>
      </c>
      <c r="I6124" s="6">
        <v>1430.6175000000001</v>
      </c>
      <c r="J6124" s="5">
        <v>10400</v>
      </c>
      <c r="K6124" s="6">
        <f t="shared" si="250"/>
        <v>2.7470655154155459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102</v>
      </c>
      <c r="F6125" t="s">
        <v>97</v>
      </c>
      <c r="G6125" t="str">
        <f t="shared" si="249"/>
        <v>024TYCOON</v>
      </c>
      <c r="H6125" s="5">
        <v>8850</v>
      </c>
      <c r="I6125" s="6">
        <v>2861.2350000000001</v>
      </c>
      <c r="J6125" s="5">
        <v>20800</v>
      </c>
      <c r="K6125" s="6">
        <f t="shared" si="250"/>
        <v>3.0930699505633057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103</v>
      </c>
      <c r="F6126" t="s">
        <v>104</v>
      </c>
      <c r="G6126" t="str">
        <f t="shared" si="249"/>
        <v>025PINK MONDIAL</v>
      </c>
      <c r="H6126" s="5">
        <v>6125</v>
      </c>
      <c r="I6126" s="6">
        <v>3071.9505625000002</v>
      </c>
      <c r="J6126" s="5">
        <v>22400</v>
      </c>
      <c r="K6126" s="6">
        <f t="shared" si="250"/>
        <v>1.9938471910223001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45</v>
      </c>
      <c r="F6127" t="s">
        <v>105</v>
      </c>
      <c r="G6127" t="str">
        <f t="shared" si="249"/>
        <v>026LOLA</v>
      </c>
      <c r="H6127" s="5">
        <v>10900</v>
      </c>
      <c r="I6127" s="6">
        <v>1097.125</v>
      </c>
      <c r="J6127" s="5">
        <v>8000</v>
      </c>
      <c r="K6127" s="6">
        <f t="shared" si="250"/>
        <v>9.9350575367437628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45</v>
      </c>
      <c r="F6128" t="s">
        <v>106</v>
      </c>
      <c r="G6128" t="str">
        <f t="shared" si="249"/>
        <v>026PALOMA</v>
      </c>
      <c r="H6128" s="5">
        <v>8275</v>
      </c>
      <c r="I6128" s="6">
        <v>2852.5250000000001</v>
      </c>
      <c r="J6128" s="5">
        <v>20800</v>
      </c>
      <c r="K6128" s="6">
        <f t="shared" si="250"/>
        <v>2.9009386420802623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107</v>
      </c>
      <c r="F6129" t="s">
        <v>108</v>
      </c>
      <c r="G6129" t="str">
        <f t="shared" si="249"/>
        <v>027SATISFACTION</v>
      </c>
      <c r="H6129" s="5">
        <v>8820</v>
      </c>
      <c r="I6129" s="6">
        <v>2633.1</v>
      </c>
      <c r="J6129" s="5">
        <v>19200</v>
      </c>
      <c r="K6129" s="6">
        <f t="shared" si="250"/>
        <v>3.3496638942691126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107</v>
      </c>
      <c r="F6130" t="s">
        <v>109</v>
      </c>
      <c r="G6130" t="str">
        <f t="shared" si="249"/>
        <v>027TIFFANY</v>
      </c>
      <c r="H6130" s="5">
        <v>8040</v>
      </c>
      <c r="I6130" s="6">
        <v>2633.1</v>
      </c>
      <c r="J6130" s="5">
        <v>19200</v>
      </c>
      <c r="K6130" s="6">
        <f t="shared" si="250"/>
        <v>3.053435114503817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110</v>
      </c>
      <c r="F6131" t="s">
        <v>70</v>
      </c>
      <c r="G6131" t="str">
        <f t="shared" si="249"/>
        <v>028COTOPAXI</v>
      </c>
      <c r="H6131" s="5">
        <v>11580</v>
      </c>
      <c r="I6131" s="6">
        <v>2852.5250000000001</v>
      </c>
      <c r="J6131" s="5">
        <v>20800</v>
      </c>
      <c r="K6131" s="6">
        <f t="shared" si="250"/>
        <v>4.0595612658960043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110</v>
      </c>
      <c r="F6132" t="s">
        <v>67</v>
      </c>
      <c r="G6132" t="str">
        <f t="shared" si="249"/>
        <v>028DEEP PURPLE</v>
      </c>
      <c r="H6132" s="5">
        <v>16020</v>
      </c>
      <c r="I6132" s="6">
        <v>2852.5250000000001</v>
      </c>
      <c r="J6132" s="5">
        <v>20800</v>
      </c>
      <c r="K6132" s="6">
        <f t="shared" si="250"/>
        <v>5.6160769844260781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111</v>
      </c>
      <c r="F6133" t="s">
        <v>112</v>
      </c>
      <c r="G6133" t="str">
        <f t="shared" si="249"/>
        <v>029PINK FLOYD</v>
      </c>
      <c r="H6133" s="5">
        <v>6700</v>
      </c>
      <c r="I6133" s="6">
        <v>3071.95</v>
      </c>
      <c r="J6133" s="5">
        <v>22400</v>
      </c>
      <c r="K6133" s="6">
        <f t="shared" si="250"/>
        <v>2.1810250817884409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47</v>
      </c>
      <c r="F6134" t="s">
        <v>57</v>
      </c>
      <c r="G6134" t="str">
        <f t="shared" si="249"/>
        <v>030EXPLORER</v>
      </c>
      <c r="H6134" s="5">
        <v>4125</v>
      </c>
      <c r="I6134" s="6">
        <v>1645.6875</v>
      </c>
      <c r="J6134" s="5">
        <v>12000</v>
      </c>
      <c r="K6134" s="6">
        <f t="shared" si="250"/>
        <v>2.5065512133986556</v>
      </c>
    </row>
    <row r="6135" spans="1:11">
      <c r="A6135" s="4">
        <v>2026</v>
      </c>
      <c r="B6135">
        <v>5</v>
      </c>
      <c r="C6135" t="s">
        <v>10</v>
      </c>
      <c r="D6135" t="s">
        <v>11</v>
      </c>
      <c r="E6135" t="s">
        <v>12</v>
      </c>
      <c r="F6135" t="s">
        <v>13</v>
      </c>
      <c r="G6135" t="str">
        <f t="shared" si="249"/>
        <v>002SOMERSET</v>
      </c>
      <c r="H6135" s="5">
        <v>15020</v>
      </c>
      <c r="I6135" s="6">
        <v>4121.4642855494085</v>
      </c>
      <c r="J6135" s="5">
        <v>31200</v>
      </c>
      <c r="K6135" s="6">
        <f t="shared" si="250"/>
        <v>3.6443358377901776</v>
      </c>
    </row>
    <row r="6136" spans="1:11">
      <c r="A6136" s="4">
        <v>2026</v>
      </c>
      <c r="B6136">
        <v>5</v>
      </c>
      <c r="C6136" t="s">
        <v>10</v>
      </c>
      <c r="D6136" t="s">
        <v>11</v>
      </c>
      <c r="E6136" t="s">
        <v>14</v>
      </c>
      <c r="F6136" t="s">
        <v>15</v>
      </c>
      <c r="G6136" t="str">
        <f t="shared" si="249"/>
        <v>004BELLINA</v>
      </c>
      <c r="H6136" s="5">
        <v>2520</v>
      </c>
      <c r="I6136" s="6">
        <v>1056.7857142434418</v>
      </c>
      <c r="J6136" s="5">
        <v>8000</v>
      </c>
      <c r="K6136" s="6">
        <f t="shared" si="250"/>
        <v>2.3845893884022464</v>
      </c>
    </row>
    <row r="6137" spans="1:11">
      <c r="A6137" s="4">
        <v>2026</v>
      </c>
      <c r="B6137">
        <v>5</v>
      </c>
      <c r="C6137" t="s">
        <v>10</v>
      </c>
      <c r="D6137" t="s">
        <v>11</v>
      </c>
      <c r="E6137" t="s">
        <v>16</v>
      </c>
      <c r="F6137" t="s">
        <v>17</v>
      </c>
      <c r="G6137" t="str">
        <f t="shared" si="249"/>
        <v>005ELBA</v>
      </c>
      <c r="H6137" s="5">
        <v>13200</v>
      </c>
      <c r="I6137" s="6">
        <v>2641.9642856076484</v>
      </c>
      <c r="J6137" s="5">
        <v>19996</v>
      </c>
      <c r="K6137" s="6">
        <f t="shared" si="250"/>
        <v>4.9962825280827055</v>
      </c>
    </row>
    <row r="6138" spans="1:11">
      <c r="A6138" s="4">
        <v>2026</v>
      </c>
      <c r="B6138">
        <v>5</v>
      </c>
      <c r="C6138" t="s">
        <v>10</v>
      </c>
      <c r="D6138" t="s">
        <v>11</v>
      </c>
      <c r="E6138" t="s">
        <v>16</v>
      </c>
      <c r="F6138" t="s">
        <v>18</v>
      </c>
      <c r="G6138" t="str">
        <f t="shared" si="249"/>
        <v>005HOT BUBBLES</v>
      </c>
      <c r="H6138" s="5">
        <v>2800</v>
      </c>
      <c r="I6138" s="6">
        <v>528.39285712153003</v>
      </c>
      <c r="J6138" s="5">
        <v>4000</v>
      </c>
      <c r="K6138" s="6">
        <f t="shared" si="250"/>
        <v>5.2990875297846838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16</v>
      </c>
      <c r="F6139" t="s">
        <v>19</v>
      </c>
      <c r="G6139" t="str">
        <f t="shared" si="249"/>
        <v>005SUSPIRO</v>
      </c>
      <c r="H6139" s="5">
        <v>14160</v>
      </c>
      <c r="I6139" s="6">
        <v>1902.2142856375078</v>
      </c>
      <c r="J6139" s="5">
        <v>14400</v>
      </c>
      <c r="K6139" s="6">
        <f t="shared" si="250"/>
        <v>7.4439562918403901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20</v>
      </c>
      <c r="F6140" t="s">
        <v>21</v>
      </c>
      <c r="G6140" t="str">
        <f t="shared" si="249"/>
        <v>007SNOW BUBBLES</v>
      </c>
      <c r="H6140" s="5">
        <v>2440</v>
      </c>
      <c r="I6140" s="6">
        <v>634.05652706821195</v>
      </c>
      <c r="J6140" s="5">
        <v>4800</v>
      </c>
      <c r="K6140" s="6">
        <f t="shared" si="250"/>
        <v>3.8482373350562549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22</v>
      </c>
      <c r="F6141" t="s">
        <v>18</v>
      </c>
      <c r="G6141" t="str">
        <f t="shared" si="249"/>
        <v>009HOT BUBBLES</v>
      </c>
      <c r="H6141" s="5">
        <v>18660</v>
      </c>
      <c r="I6141" s="6">
        <v>4487.9999999102474</v>
      </c>
      <c r="J6141" s="5">
        <v>31740</v>
      </c>
      <c r="K6141" s="6">
        <f t="shared" si="250"/>
        <v>4.1577540107783353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23</v>
      </c>
      <c r="F6142" t="s">
        <v>24</v>
      </c>
      <c r="G6142" t="str">
        <f t="shared" ref="G6142:G6201" si="251">+E6142&amp;F6142</f>
        <v>014FRUITY BUBBLES</v>
      </c>
      <c r="H6142" s="5">
        <v>7800</v>
      </c>
      <c r="I6142" s="6">
        <v>1702.8</v>
      </c>
      <c r="J6142" s="5">
        <v>12900</v>
      </c>
      <c r="K6142" s="6">
        <f t="shared" si="250"/>
        <v>4.5806906272022552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25</v>
      </c>
      <c r="F6143" t="s">
        <v>26</v>
      </c>
      <c r="G6143" t="str">
        <f t="shared" si="251"/>
        <v>015FELLINI</v>
      </c>
      <c r="H6143" s="5">
        <v>9320</v>
      </c>
      <c r="I6143" s="6">
        <v>3009.6</v>
      </c>
      <c r="J6143" s="5">
        <v>22800</v>
      </c>
      <c r="K6143" s="6">
        <f t="shared" si="250"/>
        <v>3.0967570441254653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27</v>
      </c>
      <c r="F6144" t="s">
        <v>28</v>
      </c>
      <c r="G6144" t="str">
        <f t="shared" si="251"/>
        <v>016GOOD PEACH</v>
      </c>
      <c r="H6144" s="5">
        <v>6090</v>
      </c>
      <c r="I6144" s="6">
        <v>1386</v>
      </c>
      <c r="J6144" s="5">
        <v>10500</v>
      </c>
      <c r="K6144" s="6">
        <f t="shared" si="250"/>
        <v>4.3939393939393936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27</v>
      </c>
      <c r="F6145" t="s">
        <v>29</v>
      </c>
      <c r="G6145" t="str">
        <f t="shared" si="251"/>
        <v>016GOOD YELLOW</v>
      </c>
      <c r="H6145" s="5">
        <v>6420</v>
      </c>
      <c r="I6145" s="6">
        <v>1386</v>
      </c>
      <c r="J6145" s="5">
        <v>10500</v>
      </c>
      <c r="K6145" s="6">
        <f t="shared" si="250"/>
        <v>4.6320346320346317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30</v>
      </c>
      <c r="F6146" t="s">
        <v>31</v>
      </c>
      <c r="G6146" t="str">
        <f t="shared" si="251"/>
        <v>017ORANGE STAR</v>
      </c>
      <c r="H6146" s="5">
        <v>2775</v>
      </c>
      <c r="I6146" s="6">
        <v>1029.5999999999999</v>
      </c>
      <c r="J6146" s="5">
        <v>7800</v>
      </c>
      <c r="K6146" s="6">
        <f t="shared" si="250"/>
        <v>2.6952214452214456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32</v>
      </c>
      <c r="F6147" t="s">
        <v>33</v>
      </c>
      <c r="G6147" t="str">
        <f t="shared" si="251"/>
        <v>018COSMO</v>
      </c>
      <c r="H6147" s="5">
        <v>7850</v>
      </c>
      <c r="I6147" s="6">
        <v>2653.2</v>
      </c>
      <c r="J6147" s="5">
        <v>20100</v>
      </c>
      <c r="K6147" s="6">
        <f t="shared" si="250"/>
        <v>2.9586913915272128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32</v>
      </c>
      <c r="F6148" t="s">
        <v>34</v>
      </c>
      <c r="G6148" t="str">
        <f t="shared" si="251"/>
        <v>018RUBICON</v>
      </c>
      <c r="H6148" s="5">
        <v>6600</v>
      </c>
      <c r="I6148" s="6">
        <v>1768.8</v>
      </c>
      <c r="J6148" s="5">
        <v>13400</v>
      </c>
      <c r="K6148" s="6">
        <f t="shared" si="250"/>
        <v>3.7313432835820897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35</v>
      </c>
      <c r="F6149" t="s">
        <v>15</v>
      </c>
      <c r="G6149" t="str">
        <f t="shared" si="251"/>
        <v>019BELLINA</v>
      </c>
      <c r="H6149" s="5">
        <v>4110</v>
      </c>
      <c r="I6149" s="6">
        <v>1029.5999999999999</v>
      </c>
      <c r="J6149" s="5">
        <v>7800</v>
      </c>
      <c r="K6149" s="6">
        <f t="shared" si="250"/>
        <v>3.9918414918414924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36</v>
      </c>
      <c r="F6150" t="s">
        <v>37</v>
      </c>
      <c r="G6150" t="str">
        <f t="shared" si="251"/>
        <v>020SUMMER DANCE</v>
      </c>
      <c r="H6150" s="5">
        <v>5700</v>
      </c>
      <c r="I6150" s="6">
        <v>1346.4</v>
      </c>
      <c r="J6150" s="5">
        <v>10200</v>
      </c>
      <c r="K6150" s="6">
        <f t="shared" si="250"/>
        <v>4.2335115864527628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38</v>
      </c>
      <c r="F6151" t="s">
        <v>39</v>
      </c>
      <c r="G6151" t="str">
        <f t="shared" si="251"/>
        <v>021ELEGANT ROSEVER</v>
      </c>
      <c r="H6151" s="5">
        <v>1350</v>
      </c>
      <c r="I6151" s="6">
        <v>440.18999062500001</v>
      </c>
      <c r="J6151" s="5">
        <v>3200</v>
      </c>
      <c r="K6151" s="6">
        <f t="shared" si="250"/>
        <v>3.0668575586719133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38</v>
      </c>
      <c r="F6152" t="s">
        <v>40</v>
      </c>
      <c r="G6152" t="str">
        <f t="shared" si="251"/>
        <v>021FLAME CLUB</v>
      </c>
      <c r="H6152" s="5">
        <v>3100</v>
      </c>
      <c r="I6152" s="6">
        <v>880.38</v>
      </c>
      <c r="J6152" s="5">
        <v>6400</v>
      </c>
      <c r="K6152" s="6">
        <f t="shared" ref="K6152:K6211" si="252">+H6152/I6152</f>
        <v>3.5212067516299781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38</v>
      </c>
      <c r="F6153" t="s">
        <v>41</v>
      </c>
      <c r="G6153" t="str">
        <f t="shared" si="251"/>
        <v>021KELLY</v>
      </c>
      <c r="H6153" s="5">
        <v>725</v>
      </c>
      <c r="I6153" s="6">
        <v>330.14249999999998</v>
      </c>
      <c r="J6153" s="5">
        <v>2400</v>
      </c>
      <c r="K6153" s="6">
        <f t="shared" si="252"/>
        <v>2.1960214149950401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38</v>
      </c>
      <c r="F6154" t="s">
        <v>42</v>
      </c>
      <c r="G6154" t="str">
        <f t="shared" si="251"/>
        <v>021LEILA</v>
      </c>
      <c r="H6154" s="5">
        <v>4725</v>
      </c>
      <c r="I6154" s="6">
        <v>1430.6175000000001</v>
      </c>
      <c r="J6154" s="5">
        <v>10400</v>
      </c>
      <c r="K6154" s="6">
        <f t="shared" si="252"/>
        <v>3.3027696082286142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21</v>
      </c>
      <c r="G6155" t="str">
        <f t="shared" si="251"/>
        <v>021SNOW BUBBLES</v>
      </c>
      <c r="H6155" s="5">
        <v>6880</v>
      </c>
      <c r="I6155" s="6">
        <v>1287.0000000000018</v>
      </c>
      <c r="J6155" s="5">
        <v>9400</v>
      </c>
      <c r="K6155" s="6">
        <f t="shared" si="252"/>
        <v>5.3457653457653382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43</v>
      </c>
      <c r="F6156" t="s">
        <v>24</v>
      </c>
      <c r="G6156" t="str">
        <f t="shared" si="251"/>
        <v>022FRUITY BUBBLES</v>
      </c>
      <c r="H6156" s="5">
        <v>14725</v>
      </c>
      <c r="I6156" s="6">
        <v>2641.14</v>
      </c>
      <c r="J6156" s="5">
        <v>19200</v>
      </c>
      <c r="K6156" s="6">
        <f t="shared" si="252"/>
        <v>5.5752440234141316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43</v>
      </c>
      <c r="F6157" t="s">
        <v>28</v>
      </c>
      <c r="G6157" t="str">
        <f t="shared" si="251"/>
        <v>022GOOD PEACH</v>
      </c>
      <c r="H6157" s="5">
        <v>3840</v>
      </c>
      <c r="I6157" s="6">
        <v>880.38</v>
      </c>
      <c r="J6157" s="5">
        <v>6400</v>
      </c>
      <c r="K6157" s="6">
        <f t="shared" si="252"/>
        <v>4.3617528794384244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43</v>
      </c>
      <c r="F6158" t="s">
        <v>44</v>
      </c>
      <c r="G6158" t="str">
        <f t="shared" si="251"/>
        <v>022MIRABEL</v>
      </c>
      <c r="H6158" s="5">
        <v>3240</v>
      </c>
      <c r="I6158" s="6">
        <v>880.38</v>
      </c>
      <c r="J6158" s="5">
        <v>6400</v>
      </c>
      <c r="K6158" s="6">
        <f t="shared" si="252"/>
        <v>3.6802289920261706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47</v>
      </c>
      <c r="F6159" t="s">
        <v>44</v>
      </c>
      <c r="G6159" t="str">
        <f t="shared" si="251"/>
        <v>030MIRABEL</v>
      </c>
      <c r="H6159" s="5">
        <v>8720</v>
      </c>
      <c r="I6159" s="6">
        <v>2413.6749943750001</v>
      </c>
      <c r="J6159" s="5">
        <v>17600</v>
      </c>
      <c r="K6159" s="6">
        <f t="shared" si="252"/>
        <v>3.6127482035989553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47</v>
      </c>
      <c r="F6160" t="s">
        <v>13</v>
      </c>
      <c r="G6160" t="str">
        <f t="shared" si="251"/>
        <v>030SOMERSET</v>
      </c>
      <c r="H6160" s="5">
        <v>4600</v>
      </c>
      <c r="I6160" s="6">
        <v>1645.6875</v>
      </c>
      <c r="J6160" s="5">
        <v>12000</v>
      </c>
      <c r="K6160" s="6">
        <f t="shared" si="252"/>
        <v>2.7951843834263794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48</v>
      </c>
      <c r="F6161" t="s">
        <v>49</v>
      </c>
      <c r="G6161" t="str">
        <f t="shared" si="251"/>
        <v>03182989</v>
      </c>
      <c r="H6161" s="5">
        <v>1440</v>
      </c>
      <c r="I6161" s="6">
        <v>726.32013058333712</v>
      </c>
      <c r="J6161" s="5">
        <v>5712</v>
      </c>
      <c r="K6161" s="6">
        <f t="shared" si="252"/>
        <v>1.9825968458887098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48</v>
      </c>
      <c r="F6162" t="s">
        <v>34</v>
      </c>
      <c r="G6162" t="str">
        <f t="shared" si="251"/>
        <v>031RUBICON</v>
      </c>
      <c r="H6162" s="5">
        <v>4410</v>
      </c>
      <c r="I6162" s="6">
        <v>924.39958333667107</v>
      </c>
      <c r="J6162" s="5">
        <v>6720</v>
      </c>
      <c r="K6162" s="6">
        <f t="shared" si="252"/>
        <v>4.7706642013855767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48</v>
      </c>
      <c r="F6163" t="s">
        <v>13</v>
      </c>
      <c r="G6163" t="str">
        <f t="shared" si="251"/>
        <v>031SOMERSET</v>
      </c>
      <c r="H6163" s="5">
        <v>560</v>
      </c>
      <c r="I6163" s="6">
        <v>1122.485208333339</v>
      </c>
      <c r="J6163" s="5">
        <v>8160</v>
      </c>
      <c r="K6163" s="6">
        <f t="shared" si="252"/>
        <v>0.49889298838198992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48</v>
      </c>
      <c r="F6164" t="s">
        <v>50</v>
      </c>
      <c r="G6164" t="str">
        <f t="shared" si="251"/>
        <v>031VELVET BLOSSOMS</v>
      </c>
      <c r="H6164" s="5">
        <v>2040</v>
      </c>
      <c r="I6164" s="6">
        <v>396.17125000000198</v>
      </c>
      <c r="J6164" s="5">
        <v>2880</v>
      </c>
      <c r="K6164" s="6">
        <f t="shared" si="252"/>
        <v>5.1492883443712527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51</v>
      </c>
      <c r="F6165" t="s">
        <v>17</v>
      </c>
      <c r="G6165" t="str">
        <f t="shared" si="251"/>
        <v>032ELBA</v>
      </c>
      <c r="H6165" s="5">
        <v>4200</v>
      </c>
      <c r="I6165" s="6">
        <v>1535.9749999999999</v>
      </c>
      <c r="J6165" s="5">
        <v>11200</v>
      </c>
      <c r="K6165" s="6">
        <f t="shared" si="252"/>
        <v>2.734419505525806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51</v>
      </c>
      <c r="F6166" t="s">
        <v>44</v>
      </c>
      <c r="G6166" t="str">
        <f t="shared" si="251"/>
        <v>032MIRABEL</v>
      </c>
      <c r="H6166" s="5">
        <v>4120</v>
      </c>
      <c r="I6166" s="6">
        <v>1535.9749999999999</v>
      </c>
      <c r="J6166" s="5">
        <v>11200</v>
      </c>
      <c r="K6166" s="6">
        <f t="shared" si="252"/>
        <v>2.682335324468172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52</v>
      </c>
      <c r="F6167" t="s">
        <v>53</v>
      </c>
      <c r="G6167" t="str">
        <f t="shared" si="251"/>
        <v>033CREAMY FOLIES</v>
      </c>
      <c r="H6167" s="5">
        <v>1440</v>
      </c>
      <c r="I6167" s="6">
        <v>594.25687500000299</v>
      </c>
      <c r="J6167" s="5">
        <v>4320</v>
      </c>
      <c r="K6167" s="6">
        <f t="shared" si="252"/>
        <v>2.4231945149982366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52</v>
      </c>
      <c r="F6168" t="s">
        <v>18</v>
      </c>
      <c r="G6168" t="str">
        <f t="shared" si="251"/>
        <v>033HOT BUBBLES</v>
      </c>
      <c r="H6168" s="5">
        <v>7680</v>
      </c>
      <c r="I6168" s="6">
        <v>2575.1131250013459</v>
      </c>
      <c r="J6168" s="5">
        <v>18720</v>
      </c>
      <c r="K6168" s="6">
        <f t="shared" si="252"/>
        <v>2.9823932492270551</v>
      </c>
    </row>
    <row r="6169" spans="1:11">
      <c r="A6169" s="4">
        <v>2026</v>
      </c>
      <c r="B6169">
        <v>5</v>
      </c>
      <c r="C6169" t="s">
        <v>54</v>
      </c>
      <c r="D6169" t="s">
        <v>11</v>
      </c>
      <c r="E6169" t="s">
        <v>55</v>
      </c>
      <c r="F6169" t="s">
        <v>56</v>
      </c>
      <c r="G6169" t="str">
        <f t="shared" si="251"/>
        <v>001BELIEVE IN PINK</v>
      </c>
      <c r="H6169" s="5">
        <v>2160</v>
      </c>
      <c r="I6169" s="6">
        <v>528.37931032368999</v>
      </c>
      <c r="J6169" s="5">
        <v>4000</v>
      </c>
      <c r="K6169" s="6">
        <f t="shared" ref="K6169:K6174" si="253">IFERROR(H6169/I6169,"")</f>
        <v>4.0879723293418966</v>
      </c>
    </row>
    <row r="6170" spans="1:11">
      <c r="A6170" s="4">
        <v>2026</v>
      </c>
      <c r="B6170">
        <v>5</v>
      </c>
      <c r="C6170" t="s">
        <v>54</v>
      </c>
      <c r="D6170" t="s">
        <v>11</v>
      </c>
      <c r="E6170" t="s">
        <v>55</v>
      </c>
      <c r="F6170" t="s">
        <v>57</v>
      </c>
      <c r="G6170" t="str">
        <f t="shared" si="251"/>
        <v>001EXPLORER</v>
      </c>
      <c r="H6170" s="5">
        <v>6975</v>
      </c>
      <c r="I6170" s="6">
        <v>2272.0310343918732</v>
      </c>
      <c r="J6170" s="5">
        <v>17200</v>
      </c>
      <c r="K6170" s="6">
        <f t="shared" si="253"/>
        <v>3.0699404605038385</v>
      </c>
    </row>
    <row r="6171" spans="1:11">
      <c r="A6171" s="4">
        <v>2026</v>
      </c>
      <c r="B6171">
        <v>5</v>
      </c>
      <c r="C6171" t="s">
        <v>54</v>
      </c>
      <c r="D6171" t="s">
        <v>11</v>
      </c>
      <c r="E6171" t="s">
        <v>55</v>
      </c>
      <c r="F6171" t="s">
        <v>58</v>
      </c>
      <c r="G6171" t="str">
        <f t="shared" si="251"/>
        <v>001GRACE KELLY</v>
      </c>
      <c r="H6171" s="5">
        <v>4650</v>
      </c>
      <c r="I6171" s="6">
        <v>1162.4344827121224</v>
      </c>
      <c r="J6171" s="5">
        <v>8800</v>
      </c>
      <c r="K6171" s="6">
        <f t="shared" si="253"/>
        <v>4.0002254485353008</v>
      </c>
    </row>
    <row r="6172" spans="1:11">
      <c r="A6172" s="4">
        <v>2026</v>
      </c>
      <c r="B6172">
        <v>5</v>
      </c>
      <c r="C6172" t="s">
        <v>54</v>
      </c>
      <c r="D6172" t="s">
        <v>11</v>
      </c>
      <c r="E6172" t="s">
        <v>55</v>
      </c>
      <c r="F6172" t="s">
        <v>60</v>
      </c>
      <c r="G6172" t="str">
        <f t="shared" si="251"/>
        <v>001LIGHT HOUSE</v>
      </c>
      <c r="H6172" s="5">
        <v>4890</v>
      </c>
      <c r="I6172" s="6">
        <v>1056.7586206473827</v>
      </c>
      <c r="J6172" s="5">
        <v>8000</v>
      </c>
      <c r="K6172" s="6">
        <f t="shared" si="253"/>
        <v>4.6273575672411633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61</v>
      </c>
      <c r="G6173" t="str">
        <f t="shared" si="251"/>
        <v>001LUMIA</v>
      </c>
      <c r="H6173" s="5">
        <v>4380</v>
      </c>
      <c r="I6173" s="6">
        <v>1109.596551679753</v>
      </c>
      <c r="J6173" s="5">
        <v>8400</v>
      </c>
      <c r="K6173" s="6">
        <f t="shared" si="253"/>
        <v>3.9473806883856799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62</v>
      </c>
      <c r="G6174" t="str">
        <f t="shared" si="251"/>
        <v>001MOMENTUM</v>
      </c>
      <c r="H6174" s="5">
        <v>9150</v>
      </c>
      <c r="I6174" s="6">
        <v>1902.1655171652881</v>
      </c>
      <c r="J6174" s="5">
        <v>14400</v>
      </c>
      <c r="K6174" s="6">
        <f t="shared" si="253"/>
        <v>4.8103069461777617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12</v>
      </c>
      <c r="F6175" t="s">
        <v>63</v>
      </c>
      <c r="G6175" t="str">
        <f t="shared" si="251"/>
        <v>002SUMMER ROMANCE</v>
      </c>
      <c r="H6175" s="5">
        <v>1525</v>
      </c>
      <c r="I6175" s="6">
        <v>951.10714281909407</v>
      </c>
      <c r="J6175" s="5">
        <v>7200</v>
      </c>
      <c r="K6175" s="6">
        <f t="shared" si="252"/>
        <v>1.6033945402616576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12</v>
      </c>
      <c r="F6176" t="s">
        <v>64</v>
      </c>
      <c r="G6176" t="str">
        <f t="shared" si="251"/>
        <v>002SWEETNESS</v>
      </c>
      <c r="H6176" s="5">
        <v>14640</v>
      </c>
      <c r="I6176" s="6">
        <v>3804.4285712763772</v>
      </c>
      <c r="J6176" s="5">
        <v>28800</v>
      </c>
      <c r="K6176" s="6">
        <f t="shared" si="252"/>
        <v>3.848146896627977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65</v>
      </c>
      <c r="F6177" t="s">
        <v>66</v>
      </c>
      <c r="G6177" t="str">
        <f t="shared" si="251"/>
        <v>003CABARET</v>
      </c>
      <c r="H6177" s="5">
        <v>13110</v>
      </c>
      <c r="I6177" s="6">
        <v>2641.8965516184649</v>
      </c>
      <c r="J6177" s="5">
        <v>20000</v>
      </c>
      <c r="K6177" s="6">
        <f t="shared" si="252"/>
        <v>4.9623441886733302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65</v>
      </c>
      <c r="F6178" t="s">
        <v>67</v>
      </c>
      <c r="G6178" t="str">
        <f t="shared" si="251"/>
        <v>003DEEP PURPLE</v>
      </c>
      <c r="H6178" s="5">
        <v>19560</v>
      </c>
      <c r="I6178" s="6">
        <v>3592.9793102010913</v>
      </c>
      <c r="J6178" s="5">
        <v>26044</v>
      </c>
      <c r="K6178" s="6">
        <f t="shared" si="252"/>
        <v>5.4439500791072657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65</v>
      </c>
      <c r="F6179" t="s">
        <v>57</v>
      </c>
      <c r="G6179" t="str">
        <f t="shared" si="251"/>
        <v>003EXPLORER</v>
      </c>
      <c r="H6179" s="5">
        <v>2800</v>
      </c>
      <c r="I6179" s="6">
        <v>1268.1103447768633</v>
      </c>
      <c r="J6179" s="5">
        <v>9600</v>
      </c>
      <c r="K6179" s="6">
        <f t="shared" si="252"/>
        <v>2.2080097457865056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65</v>
      </c>
      <c r="F6180" t="s">
        <v>68</v>
      </c>
      <c r="G6180" t="str">
        <f t="shared" si="251"/>
        <v>003JOCKER</v>
      </c>
      <c r="H6180" s="5">
        <v>2475</v>
      </c>
      <c r="I6180" s="6">
        <v>528.37931032368999</v>
      </c>
      <c r="J6180" s="5">
        <v>4000</v>
      </c>
      <c r="K6180" s="6">
        <f t="shared" si="252"/>
        <v>4.6841349607042568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65</v>
      </c>
      <c r="F6181" t="s">
        <v>69</v>
      </c>
      <c r="G6181" t="str">
        <f t="shared" si="251"/>
        <v>003QUICKSAND</v>
      </c>
      <c r="H6181" s="5">
        <v>3420</v>
      </c>
      <c r="I6181" s="6">
        <v>1162.4344827121247</v>
      </c>
      <c r="J6181" s="5">
        <v>8800</v>
      </c>
      <c r="K6181" s="6">
        <f t="shared" si="252"/>
        <v>2.942101297632409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14</v>
      </c>
      <c r="F6182" t="s">
        <v>70</v>
      </c>
      <c r="G6182" t="str">
        <f t="shared" si="251"/>
        <v>004COTOPAXI</v>
      </c>
      <c r="H6182" s="5">
        <v>1290</v>
      </c>
      <c r="I6182" s="6">
        <v>528.3915024419166</v>
      </c>
      <c r="J6182" s="5">
        <v>4000</v>
      </c>
      <c r="K6182" s="6">
        <f t="shared" si="252"/>
        <v>2.4413715853460438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14</v>
      </c>
      <c r="F6183" t="s">
        <v>67</v>
      </c>
      <c r="G6183" t="str">
        <f t="shared" si="251"/>
        <v>004DEEP PURPLE</v>
      </c>
      <c r="H6183" s="5">
        <v>21330</v>
      </c>
      <c r="I6183" s="6">
        <v>3910.1071427007282</v>
      </c>
      <c r="J6183" s="5">
        <v>29260</v>
      </c>
      <c r="K6183" s="6">
        <f t="shared" si="252"/>
        <v>5.4550934850514796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14</v>
      </c>
      <c r="F6184" t="s">
        <v>71</v>
      </c>
      <c r="G6184" t="str">
        <f t="shared" si="251"/>
        <v>004HOT EXPLORER</v>
      </c>
      <c r="H6184" s="5">
        <v>3775</v>
      </c>
      <c r="I6184" s="6">
        <v>1902.2142856381945</v>
      </c>
      <c r="J6184" s="5">
        <v>14400</v>
      </c>
      <c r="K6184" s="6">
        <f t="shared" si="252"/>
        <v>1.9845293080287663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14</v>
      </c>
      <c r="F6185" t="s">
        <v>72</v>
      </c>
      <c r="G6185" t="str">
        <f t="shared" si="251"/>
        <v>004HOT MERENGUE</v>
      </c>
      <c r="H6185" s="5">
        <v>3780</v>
      </c>
      <c r="I6185" s="6">
        <v>1162.4642856677858</v>
      </c>
      <c r="J6185" s="5">
        <v>8800</v>
      </c>
      <c r="K6185" s="6">
        <f t="shared" si="252"/>
        <v>3.2517128023667001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14</v>
      </c>
      <c r="F6186" t="s">
        <v>64</v>
      </c>
      <c r="G6186" t="str">
        <f t="shared" si="251"/>
        <v>004SWEETNESS</v>
      </c>
      <c r="H6186" s="5">
        <v>1290</v>
      </c>
      <c r="I6186" s="6">
        <v>317.03571427303262</v>
      </c>
      <c r="J6186" s="5">
        <v>2400</v>
      </c>
      <c r="K6186" s="6">
        <f t="shared" si="252"/>
        <v>4.0689422103689115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16</v>
      </c>
      <c r="F6187" t="s">
        <v>57</v>
      </c>
      <c r="G6187" t="str">
        <f t="shared" si="251"/>
        <v>005EXPLORER</v>
      </c>
      <c r="H6187" s="5">
        <v>3950</v>
      </c>
      <c r="I6187" s="6">
        <v>951.10714281875391</v>
      </c>
      <c r="J6187" s="5">
        <v>7200</v>
      </c>
      <c r="K6187" s="6">
        <f t="shared" si="252"/>
        <v>4.1530547108431559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16</v>
      </c>
      <c r="F6188" t="s">
        <v>73</v>
      </c>
      <c r="G6188" t="str">
        <f t="shared" si="251"/>
        <v>005GOLDFINCH</v>
      </c>
      <c r="H6188" s="5">
        <v>3550</v>
      </c>
      <c r="I6188" s="6">
        <v>898.26785710660101</v>
      </c>
      <c r="J6188" s="5">
        <v>6800</v>
      </c>
      <c r="K6188" s="6">
        <f t="shared" si="252"/>
        <v>3.9520505736839557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16</v>
      </c>
      <c r="F6189" t="s">
        <v>68</v>
      </c>
      <c r="G6189" t="str">
        <f t="shared" si="251"/>
        <v>005JOCKER</v>
      </c>
      <c r="H6189" s="5">
        <v>4400</v>
      </c>
      <c r="I6189" s="6">
        <v>1162.4642856673661</v>
      </c>
      <c r="J6189" s="5">
        <v>8800</v>
      </c>
      <c r="K6189" s="6">
        <f t="shared" si="252"/>
        <v>3.7850625212747744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16</v>
      </c>
      <c r="F6190" t="s">
        <v>74</v>
      </c>
      <c r="G6190" t="str">
        <f t="shared" si="251"/>
        <v>005VENDELA</v>
      </c>
      <c r="H6190" s="5">
        <v>2100</v>
      </c>
      <c r="I6190" s="6">
        <v>686.91071425798896</v>
      </c>
      <c r="J6190" s="5">
        <v>5200</v>
      </c>
      <c r="K6190" s="6">
        <f t="shared" si="252"/>
        <v>3.0571658825680874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75</v>
      </c>
      <c r="F6191" t="s">
        <v>76</v>
      </c>
      <c r="G6191" t="str">
        <f t="shared" si="251"/>
        <v>006ATOMIC</v>
      </c>
      <c r="H6191" s="5">
        <v>2375</v>
      </c>
      <c r="I6191" s="6">
        <v>845.428571394752</v>
      </c>
      <c r="J6191" s="5">
        <v>6400</v>
      </c>
      <c r="K6191" s="6">
        <f t="shared" si="252"/>
        <v>2.8092260900076114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75</v>
      </c>
      <c r="F6192" t="s">
        <v>57</v>
      </c>
      <c r="G6192" t="str">
        <f t="shared" si="251"/>
        <v>006EXPLORER</v>
      </c>
      <c r="H6192" s="5">
        <v>11250</v>
      </c>
      <c r="I6192" s="6">
        <v>3910.1071427007355</v>
      </c>
      <c r="J6192" s="5">
        <v>29600</v>
      </c>
      <c r="K6192" s="6">
        <f t="shared" si="252"/>
        <v>2.877159011103096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75</v>
      </c>
      <c r="F6193" t="s">
        <v>77</v>
      </c>
      <c r="G6193" t="str">
        <f t="shared" si="251"/>
        <v>006MONDIAL</v>
      </c>
      <c r="H6193" s="5">
        <v>16575</v>
      </c>
      <c r="I6193" s="6">
        <v>4015.7857141250793</v>
      </c>
      <c r="J6193" s="5">
        <v>30400</v>
      </c>
      <c r="K6193" s="6">
        <f t="shared" si="252"/>
        <v>4.127461269085968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20</v>
      </c>
      <c r="F6194" t="s">
        <v>70</v>
      </c>
      <c r="G6194" t="str">
        <f t="shared" si="251"/>
        <v>007COTOPAXI</v>
      </c>
      <c r="H6194" s="5">
        <v>11190</v>
      </c>
      <c r="I6194" s="6">
        <v>2747.5751230427709</v>
      </c>
      <c r="J6194" s="5">
        <v>20800</v>
      </c>
      <c r="K6194" s="6">
        <f t="shared" si="252"/>
        <v>4.0726820919850812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20</v>
      </c>
      <c r="F6195" t="s">
        <v>78</v>
      </c>
      <c r="G6195" t="str">
        <f t="shared" si="251"/>
        <v>007REDIANT</v>
      </c>
      <c r="H6195" s="5">
        <v>1440</v>
      </c>
      <c r="I6195" s="6">
        <v>1056.75862064738</v>
      </c>
      <c r="J6195" s="5">
        <v>9600</v>
      </c>
      <c r="K6195" s="6">
        <f t="shared" si="252"/>
        <v>1.3626574431139657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20</v>
      </c>
      <c r="F6196" t="s">
        <v>63</v>
      </c>
      <c r="G6196" t="str">
        <f t="shared" si="251"/>
        <v>007SUMMER ROMANCE</v>
      </c>
      <c r="H6196" s="5">
        <v>300</v>
      </c>
      <c r="I6196" s="6">
        <v>369.86551722658481</v>
      </c>
      <c r="J6196" s="5">
        <v>3080</v>
      </c>
      <c r="K6196" s="6">
        <f t="shared" si="252"/>
        <v>0.811105620901166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20</v>
      </c>
      <c r="F6197" t="s">
        <v>74</v>
      </c>
      <c r="G6197" t="str">
        <f t="shared" si="251"/>
        <v>007VENDELA</v>
      </c>
      <c r="H6197" s="5">
        <v>16440</v>
      </c>
      <c r="I6197" s="6">
        <v>3592.9793102011122</v>
      </c>
      <c r="J6197" s="5">
        <v>27820</v>
      </c>
      <c r="K6197" s="6">
        <f t="shared" si="252"/>
        <v>4.5755899437895158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79</v>
      </c>
      <c r="F6198" t="s">
        <v>67</v>
      </c>
      <c r="G6198" t="str">
        <f t="shared" si="251"/>
        <v>008DEEP PURPLE</v>
      </c>
      <c r="H6198" s="5">
        <v>12030</v>
      </c>
      <c r="I6198" s="6">
        <v>1585.2222221588099</v>
      </c>
      <c r="J6198" s="5">
        <v>11490</v>
      </c>
      <c r="K6198" s="6">
        <f t="shared" si="252"/>
        <v>7.588841382514266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79</v>
      </c>
      <c r="F6199" t="s">
        <v>81</v>
      </c>
      <c r="G6199" t="str">
        <f t="shared" si="251"/>
        <v>008FREEDOM</v>
      </c>
      <c r="H6199" s="5">
        <v>9240</v>
      </c>
      <c r="I6199" s="6">
        <v>2219.311111022334</v>
      </c>
      <c r="J6199" s="5">
        <v>16800</v>
      </c>
      <c r="K6199" s="6">
        <f t="shared" si="252"/>
        <v>4.1634541250701709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79</v>
      </c>
      <c r="F6200" t="s">
        <v>68</v>
      </c>
      <c r="G6200" t="str">
        <f t="shared" si="251"/>
        <v>008JOCKER</v>
      </c>
      <c r="H6200" s="5">
        <v>12375</v>
      </c>
      <c r="I6200" s="6">
        <v>2959.0814813631118</v>
      </c>
      <c r="J6200" s="5">
        <v>22400</v>
      </c>
      <c r="K6200" s="6">
        <f t="shared" si="252"/>
        <v>4.1820409738428053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79</v>
      </c>
      <c r="F6201" t="s">
        <v>61</v>
      </c>
      <c r="G6201" t="str">
        <f t="shared" si="251"/>
        <v>008LUMIA</v>
      </c>
      <c r="H6201" s="5">
        <v>1890</v>
      </c>
      <c r="I6201" s="6">
        <v>1796.5851851133182</v>
      </c>
      <c r="J6201" s="5">
        <v>13600</v>
      </c>
      <c r="K6201" s="6">
        <f t="shared" si="252"/>
        <v>1.051995761548479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82</v>
      </c>
      <c r="F6202" t="s">
        <v>83</v>
      </c>
      <c r="G6202" t="str">
        <f t="shared" ref="G6202:G6264" si="254">+E6202&amp;F6202</f>
        <v>010COOLDOWN</v>
      </c>
      <c r="H6202" s="5">
        <v>7025</v>
      </c>
      <c r="I6202" s="6">
        <v>1912.3542857142861</v>
      </c>
      <c r="J6202" s="5">
        <v>16320</v>
      </c>
      <c r="K6202" s="6">
        <f t="shared" si="252"/>
        <v>3.6734824987599421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82</v>
      </c>
      <c r="F6203" t="s">
        <v>84</v>
      </c>
      <c r="G6203" t="str">
        <f t="shared" si="254"/>
        <v>010VIOLET HILL</v>
      </c>
      <c r="H6203" s="5">
        <v>5850</v>
      </c>
      <c r="I6203" s="6">
        <v>2812.2857142428579</v>
      </c>
      <c r="J6203" s="5">
        <v>20000</v>
      </c>
      <c r="K6203" s="6">
        <f t="shared" si="252"/>
        <v>2.0801584882974722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85</v>
      </c>
      <c r="F6204" t="s">
        <v>86</v>
      </c>
      <c r="G6204" t="str">
        <f t="shared" si="254"/>
        <v>011BRIGHTON</v>
      </c>
      <c r="H6204" s="5">
        <v>6725</v>
      </c>
      <c r="I6204" s="6">
        <v>1768.8376470588223</v>
      </c>
      <c r="J6204" s="5">
        <v>12800</v>
      </c>
      <c r="K6204" s="6">
        <f t="shared" si="252"/>
        <v>3.8019317438104943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85</v>
      </c>
      <c r="F6205" t="s">
        <v>87</v>
      </c>
      <c r="G6205" t="str">
        <f t="shared" si="254"/>
        <v>011CANDLELIGHT</v>
      </c>
      <c r="H6205" s="5">
        <v>6000</v>
      </c>
      <c r="I6205" s="6">
        <v>2263.7999998868127</v>
      </c>
      <c r="J6205" s="5">
        <v>17920</v>
      </c>
      <c r="K6205" s="6">
        <f t="shared" si="252"/>
        <v>2.6504108138086373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85</v>
      </c>
      <c r="F6206" t="s">
        <v>88</v>
      </c>
      <c r="G6206" t="str">
        <f t="shared" si="254"/>
        <v>011CAYENNE</v>
      </c>
      <c r="H6206" s="5">
        <v>2820</v>
      </c>
      <c r="I6206" s="6">
        <v>994.97117647058747</v>
      </c>
      <c r="J6206" s="5">
        <v>7200</v>
      </c>
      <c r="K6206" s="6">
        <f t="shared" si="252"/>
        <v>2.8342529579633129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85</v>
      </c>
      <c r="F6207" t="s">
        <v>61</v>
      </c>
      <c r="G6207" t="str">
        <f t="shared" si="254"/>
        <v>011LUMIA</v>
      </c>
      <c r="H6207" s="5">
        <v>3810</v>
      </c>
      <c r="I6207" s="6">
        <v>994.97117647058747</v>
      </c>
      <c r="J6207" s="5">
        <v>7920</v>
      </c>
      <c r="K6207" s="6">
        <f t="shared" si="252"/>
        <v>3.8292566559717103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85</v>
      </c>
      <c r="F6208" t="s">
        <v>89</v>
      </c>
      <c r="G6208" t="str">
        <f t="shared" si="254"/>
        <v>011STARDUST</v>
      </c>
      <c r="H6208" s="5">
        <v>3650</v>
      </c>
      <c r="I6208" s="6">
        <v>2263.7999998868127</v>
      </c>
      <c r="J6208" s="5">
        <v>17920</v>
      </c>
      <c r="K6208" s="6">
        <f t="shared" si="252"/>
        <v>1.612333245066921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90</v>
      </c>
      <c r="F6209" t="s">
        <v>67</v>
      </c>
      <c r="G6209" t="str">
        <f t="shared" si="254"/>
        <v>012DEEP PURPLE</v>
      </c>
      <c r="H6209" s="5">
        <v>32910</v>
      </c>
      <c r="I6209" s="6">
        <v>6727.0499997982479</v>
      </c>
      <c r="J6209" s="5">
        <v>49210</v>
      </c>
      <c r="K6209" s="6">
        <f t="shared" si="252"/>
        <v>4.8921889982959854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90</v>
      </c>
      <c r="F6210" t="s">
        <v>60</v>
      </c>
      <c r="G6210" t="str">
        <f t="shared" si="254"/>
        <v>012LIGHT HOUSE</v>
      </c>
      <c r="H6210" s="5">
        <v>3960</v>
      </c>
      <c r="I6210" s="6">
        <v>994.95</v>
      </c>
      <c r="J6210" s="5">
        <v>7200</v>
      </c>
      <c r="K6210" s="6">
        <f t="shared" si="252"/>
        <v>3.9800995024875618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91</v>
      </c>
      <c r="F6211" t="s">
        <v>92</v>
      </c>
      <c r="G6211" t="str">
        <f t="shared" si="254"/>
        <v>013COUNTRY BLUES</v>
      </c>
      <c r="H6211" s="5">
        <v>1800</v>
      </c>
      <c r="I6211" s="6">
        <v>831.6</v>
      </c>
      <c r="J6211" s="5">
        <v>6300</v>
      </c>
      <c r="K6211" s="6">
        <f t="shared" si="252"/>
        <v>2.1645021645021645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91</v>
      </c>
      <c r="F6212" t="s">
        <v>93</v>
      </c>
      <c r="G6212" t="str">
        <f t="shared" si="254"/>
        <v>013LORRAINE</v>
      </c>
      <c r="H6212" s="5">
        <v>7350</v>
      </c>
      <c r="I6212" s="6">
        <v>1267.2</v>
      </c>
      <c r="J6212" s="5">
        <v>9600</v>
      </c>
      <c r="K6212" s="6">
        <f t="shared" ref="K6212:K6273" si="255">+H6212/I6212</f>
        <v>5.8001893939393936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91</v>
      </c>
      <c r="F6213" t="s">
        <v>61</v>
      </c>
      <c r="G6213" t="str">
        <f t="shared" si="254"/>
        <v>013LUMIA</v>
      </c>
      <c r="H6213" s="5">
        <v>2250</v>
      </c>
      <c r="I6213" s="6">
        <v>316.8</v>
      </c>
      <c r="J6213" s="5">
        <v>2400</v>
      </c>
      <c r="K6213" s="6">
        <f t="shared" si="255"/>
        <v>7.1022727272727266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91</v>
      </c>
      <c r="F6214" t="s">
        <v>74</v>
      </c>
      <c r="G6214" t="str">
        <f t="shared" si="254"/>
        <v>013VENDELA</v>
      </c>
      <c r="H6214" s="5">
        <v>12480</v>
      </c>
      <c r="I6214" s="6">
        <v>3603.6</v>
      </c>
      <c r="J6214" s="5">
        <v>27296</v>
      </c>
      <c r="K6214" s="6">
        <f t="shared" si="255"/>
        <v>3.4632034632034632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23</v>
      </c>
      <c r="F6215" t="s">
        <v>89</v>
      </c>
      <c r="G6215" t="str">
        <f t="shared" si="254"/>
        <v>014STARDUST</v>
      </c>
      <c r="H6215" s="5">
        <v>11075</v>
      </c>
      <c r="I6215" s="6">
        <v>3682.8</v>
      </c>
      <c r="J6215" s="5">
        <v>27900</v>
      </c>
      <c r="K6215" s="6">
        <f t="shared" si="255"/>
        <v>3.0072227652872812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25</v>
      </c>
      <c r="F6216" t="s">
        <v>68</v>
      </c>
      <c r="G6216" t="str">
        <f t="shared" si="254"/>
        <v>015JOCKER</v>
      </c>
      <c r="H6216" s="5">
        <v>15700</v>
      </c>
      <c r="I6216" s="6">
        <v>2376</v>
      </c>
      <c r="J6216" s="5">
        <v>18000</v>
      </c>
      <c r="K6216" s="6">
        <f t="shared" si="255"/>
        <v>6.6077441077441081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27</v>
      </c>
      <c r="F6217" t="s">
        <v>94</v>
      </c>
      <c r="G6217" t="str">
        <f t="shared" si="254"/>
        <v>016DREAM IN PEACH</v>
      </c>
      <c r="H6217" s="5">
        <v>3420</v>
      </c>
      <c r="I6217" s="6">
        <v>950.4</v>
      </c>
      <c r="J6217" s="5">
        <v>7200</v>
      </c>
      <c r="K6217" s="6">
        <f t="shared" si="255"/>
        <v>3.5984848484848486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27</v>
      </c>
      <c r="F6218" t="s">
        <v>95</v>
      </c>
      <c r="G6218" t="str">
        <f t="shared" si="254"/>
        <v>016NINA</v>
      </c>
      <c r="H6218" s="5">
        <v>6075</v>
      </c>
      <c r="I6218" s="6">
        <v>1346.4</v>
      </c>
      <c r="J6218" s="5">
        <v>10200</v>
      </c>
      <c r="K6218" s="6">
        <f t="shared" si="255"/>
        <v>4.512032085561497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30</v>
      </c>
      <c r="F6219" t="s">
        <v>81</v>
      </c>
      <c r="G6219" t="str">
        <f t="shared" si="254"/>
        <v>017FREEDOM</v>
      </c>
      <c r="H6219" s="5">
        <v>11160</v>
      </c>
      <c r="I6219" s="6">
        <v>2851.2</v>
      </c>
      <c r="J6219" s="5">
        <v>21600</v>
      </c>
      <c r="K6219" s="6">
        <f t="shared" si="255"/>
        <v>3.9141414141414144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30</v>
      </c>
      <c r="F6220" t="s">
        <v>73</v>
      </c>
      <c r="G6220" t="str">
        <f t="shared" si="254"/>
        <v>017GOLDFINCH</v>
      </c>
      <c r="H6220" s="5">
        <v>6350</v>
      </c>
      <c r="I6220" s="6">
        <v>2138.4</v>
      </c>
      <c r="J6220" s="5">
        <v>16200</v>
      </c>
      <c r="K6220" s="6">
        <f t="shared" si="255"/>
        <v>2.9695099139543584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32</v>
      </c>
      <c r="F6221" t="s">
        <v>86</v>
      </c>
      <c r="G6221" t="str">
        <f t="shared" si="254"/>
        <v>018BRIGHTON</v>
      </c>
      <c r="H6221" s="5">
        <v>4250</v>
      </c>
      <c r="I6221" s="6">
        <v>963.6</v>
      </c>
      <c r="J6221" s="5">
        <v>7570</v>
      </c>
      <c r="K6221" s="6">
        <f t="shared" si="255"/>
        <v>4.410543794105438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35</v>
      </c>
      <c r="F6222" t="s">
        <v>86</v>
      </c>
      <c r="G6222" t="str">
        <f t="shared" si="254"/>
        <v>019BRIGHTON</v>
      </c>
      <c r="H6222" s="5">
        <v>16350</v>
      </c>
      <c r="I6222" s="6">
        <v>3168</v>
      </c>
      <c r="J6222" s="5">
        <v>24000</v>
      </c>
      <c r="K6222" s="6">
        <f t="shared" si="255"/>
        <v>5.1609848484848486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35</v>
      </c>
      <c r="F6223" t="s">
        <v>96</v>
      </c>
      <c r="G6223" t="str">
        <f t="shared" si="254"/>
        <v>019TABATHA</v>
      </c>
      <c r="H6223" s="5">
        <v>4440</v>
      </c>
      <c r="I6223" s="6">
        <v>1188</v>
      </c>
      <c r="J6223" s="5">
        <v>9000</v>
      </c>
      <c r="K6223" s="6">
        <f t="shared" si="255"/>
        <v>3.7373737373737375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36</v>
      </c>
      <c r="F6224" t="s">
        <v>86</v>
      </c>
      <c r="G6224" t="str">
        <f t="shared" si="254"/>
        <v>020BRIGHTON</v>
      </c>
      <c r="H6224" s="5">
        <v>10950</v>
      </c>
      <c r="I6224" s="6">
        <v>2732.4</v>
      </c>
      <c r="J6224" s="5">
        <v>20700</v>
      </c>
      <c r="K6224" s="6">
        <f t="shared" si="255"/>
        <v>4.0074659639877028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36</v>
      </c>
      <c r="F6225" t="s">
        <v>97</v>
      </c>
      <c r="G6225" t="str">
        <f t="shared" si="254"/>
        <v>020TYCOON</v>
      </c>
      <c r="H6225" s="5">
        <v>1710</v>
      </c>
      <c r="I6225" s="6">
        <v>673.2</v>
      </c>
      <c r="J6225" s="5">
        <v>5100</v>
      </c>
      <c r="K6225" s="6">
        <f t="shared" si="255"/>
        <v>2.5401069518716577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38</v>
      </c>
      <c r="F6226" t="s">
        <v>98</v>
      </c>
      <c r="G6226" t="str">
        <f t="shared" si="254"/>
        <v>021SHOW GIRL</v>
      </c>
      <c r="H6226" s="5">
        <v>1700</v>
      </c>
      <c r="I6226" s="6">
        <v>1100.4749999999999</v>
      </c>
      <c r="J6226" s="5">
        <v>8000</v>
      </c>
      <c r="K6226" s="6">
        <f t="shared" si="255"/>
        <v>1.5447874781344422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43</v>
      </c>
      <c r="F6227" t="s">
        <v>99</v>
      </c>
      <c r="G6227" t="str">
        <f t="shared" si="254"/>
        <v>022CORAL REEF</v>
      </c>
      <c r="H6227" s="5">
        <v>3475</v>
      </c>
      <c r="I6227" s="6">
        <v>1287</v>
      </c>
      <c r="J6227" s="5">
        <v>9400</v>
      </c>
      <c r="K6227" s="6">
        <f t="shared" si="255"/>
        <v>2.7000777000777001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100</v>
      </c>
      <c r="F6228" t="s">
        <v>70</v>
      </c>
      <c r="G6228" t="str">
        <f t="shared" si="254"/>
        <v>023COTOPAXI</v>
      </c>
      <c r="H6228" s="5">
        <v>10410</v>
      </c>
      <c r="I6228" s="6">
        <v>2641.14</v>
      </c>
      <c r="J6228" s="5">
        <v>19200</v>
      </c>
      <c r="K6228" s="6">
        <f t="shared" si="255"/>
        <v>3.9414798155342012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100</v>
      </c>
      <c r="F6229" t="s">
        <v>101</v>
      </c>
      <c r="G6229" t="str">
        <f t="shared" si="254"/>
        <v>023FRUTTETO</v>
      </c>
      <c r="H6229" s="5">
        <v>18870</v>
      </c>
      <c r="I6229" s="6">
        <v>2641.14</v>
      </c>
      <c r="J6229" s="5">
        <v>19200</v>
      </c>
      <c r="K6229" s="6">
        <f t="shared" si="255"/>
        <v>7.1446420863717943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102</v>
      </c>
      <c r="F6230" t="s">
        <v>70</v>
      </c>
      <c r="G6230" t="str">
        <f t="shared" si="254"/>
        <v>024COTOPAXI</v>
      </c>
      <c r="H6230" s="5">
        <v>5880</v>
      </c>
      <c r="I6230" s="6">
        <v>1430.6174906250001</v>
      </c>
      <c r="J6230" s="5">
        <v>10400</v>
      </c>
      <c r="K6230" s="6">
        <f t="shared" si="255"/>
        <v>4.110113317174096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102</v>
      </c>
      <c r="F6231" t="s">
        <v>64</v>
      </c>
      <c r="G6231" t="str">
        <f t="shared" si="254"/>
        <v>024SWEETNESS</v>
      </c>
      <c r="H6231" s="5">
        <v>3930</v>
      </c>
      <c r="I6231" s="6">
        <v>1430.6175000000001</v>
      </c>
      <c r="J6231" s="5">
        <v>10400</v>
      </c>
      <c r="K6231" s="6">
        <f t="shared" si="255"/>
        <v>2.7470655154155459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102</v>
      </c>
      <c r="F6232" t="s">
        <v>97</v>
      </c>
      <c r="G6232" t="str">
        <f t="shared" si="254"/>
        <v>024TYCOON</v>
      </c>
      <c r="H6232" s="5">
        <v>7350</v>
      </c>
      <c r="I6232" s="6">
        <v>2861.2350000000001</v>
      </c>
      <c r="J6232" s="5">
        <v>20800</v>
      </c>
      <c r="K6232" s="6">
        <f t="shared" si="255"/>
        <v>2.5688208064000335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103</v>
      </c>
      <c r="F6233" t="s">
        <v>104</v>
      </c>
      <c r="G6233" t="str">
        <f t="shared" si="254"/>
        <v>025PINK MONDIAL</v>
      </c>
      <c r="H6233" s="5">
        <v>10400</v>
      </c>
      <c r="I6233" s="6">
        <v>3071.9505625000002</v>
      </c>
      <c r="J6233" s="5">
        <v>22400</v>
      </c>
      <c r="K6233" s="6">
        <f t="shared" si="255"/>
        <v>3.3854711488378646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45</v>
      </c>
      <c r="F6234" t="s">
        <v>105</v>
      </c>
      <c r="G6234" t="str">
        <f t="shared" si="254"/>
        <v>026LOLA</v>
      </c>
      <c r="H6234" s="5">
        <v>7550</v>
      </c>
      <c r="I6234" s="6">
        <v>1097.125</v>
      </c>
      <c r="J6234" s="5">
        <v>8000</v>
      </c>
      <c r="K6234" s="6">
        <f t="shared" si="255"/>
        <v>6.8816224222399454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45</v>
      </c>
      <c r="F6235" t="s">
        <v>106</v>
      </c>
      <c r="G6235" t="str">
        <f t="shared" si="254"/>
        <v>026PALOMA</v>
      </c>
      <c r="H6235" s="5">
        <v>11325</v>
      </c>
      <c r="I6235" s="6">
        <v>2852.5250000000001</v>
      </c>
      <c r="J6235" s="5">
        <v>20800</v>
      </c>
      <c r="K6235" s="6">
        <f t="shared" si="255"/>
        <v>3.970166782061507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107</v>
      </c>
      <c r="F6236" t="s">
        <v>108</v>
      </c>
      <c r="G6236" t="str">
        <f t="shared" si="254"/>
        <v>027SATISFACTION</v>
      </c>
      <c r="H6236" s="5">
        <v>15390</v>
      </c>
      <c r="I6236" s="6">
        <v>2633.1</v>
      </c>
      <c r="J6236" s="5">
        <v>19200</v>
      </c>
      <c r="K6236" s="6">
        <f t="shared" si="255"/>
        <v>5.8448216930614105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107</v>
      </c>
      <c r="F6237" t="s">
        <v>109</v>
      </c>
      <c r="G6237" t="str">
        <f t="shared" si="254"/>
        <v>027TIFFANY</v>
      </c>
      <c r="H6237" s="5">
        <v>13200</v>
      </c>
      <c r="I6237" s="6">
        <v>2633.1</v>
      </c>
      <c r="J6237" s="5">
        <v>19200</v>
      </c>
      <c r="K6237" s="6">
        <f t="shared" si="255"/>
        <v>5.0131024267973112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110</v>
      </c>
      <c r="F6238" t="s">
        <v>70</v>
      </c>
      <c r="G6238" t="str">
        <f t="shared" si="254"/>
        <v>028COTOPAXI</v>
      </c>
      <c r="H6238" s="5">
        <v>9120</v>
      </c>
      <c r="I6238" s="6">
        <v>2852.5250000000001</v>
      </c>
      <c r="J6238" s="5">
        <v>20800</v>
      </c>
      <c r="K6238" s="6">
        <f t="shared" si="255"/>
        <v>3.1971674218455579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110</v>
      </c>
      <c r="F6239" t="s">
        <v>67</v>
      </c>
      <c r="G6239" t="str">
        <f t="shared" si="254"/>
        <v>028DEEP PURPLE</v>
      </c>
      <c r="H6239" s="5">
        <v>18480</v>
      </c>
      <c r="I6239" s="6">
        <v>2852.5250000000001</v>
      </c>
      <c r="J6239" s="5">
        <v>20800</v>
      </c>
      <c r="K6239" s="6">
        <f t="shared" si="255"/>
        <v>6.4784708284765253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111</v>
      </c>
      <c r="F6240" t="s">
        <v>112</v>
      </c>
      <c r="G6240" t="str">
        <f t="shared" si="254"/>
        <v>029PINK FLOYD</v>
      </c>
      <c r="H6240" s="5">
        <v>6500</v>
      </c>
      <c r="I6240" s="6">
        <v>3071.95</v>
      </c>
      <c r="J6240" s="5">
        <v>22400</v>
      </c>
      <c r="K6240" s="6">
        <f t="shared" si="255"/>
        <v>2.1159198554663976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47</v>
      </c>
      <c r="F6241" t="s">
        <v>57</v>
      </c>
      <c r="G6241" t="str">
        <f t="shared" si="254"/>
        <v>030EXPLORER</v>
      </c>
      <c r="H6241" s="5">
        <v>3575</v>
      </c>
      <c r="I6241" s="6">
        <v>1645.6875</v>
      </c>
      <c r="J6241" s="5">
        <v>12000</v>
      </c>
      <c r="K6241" s="6">
        <f t="shared" si="255"/>
        <v>2.1723443849455015</v>
      </c>
    </row>
    <row r="6242" spans="1:11">
      <c r="A6242" s="4">
        <v>2026</v>
      </c>
      <c r="B6242">
        <v>6</v>
      </c>
      <c r="C6242" t="s">
        <v>10</v>
      </c>
      <c r="D6242" t="s">
        <v>11</v>
      </c>
      <c r="E6242" t="s">
        <v>12</v>
      </c>
      <c r="F6242" t="s">
        <v>13</v>
      </c>
      <c r="G6242" t="str">
        <f t="shared" si="254"/>
        <v>002SOMERSET</v>
      </c>
      <c r="H6242" s="5">
        <v>8000</v>
      </c>
      <c r="I6242" s="6">
        <v>4121.4642855494085</v>
      </c>
      <c r="J6242" s="5">
        <v>31200</v>
      </c>
      <c r="K6242" s="6">
        <f t="shared" si="255"/>
        <v>1.9410577032171386</v>
      </c>
    </row>
    <row r="6243" spans="1:11">
      <c r="A6243" s="4">
        <v>2026</v>
      </c>
      <c r="B6243">
        <v>6</v>
      </c>
      <c r="C6243" t="s">
        <v>10</v>
      </c>
      <c r="D6243" t="s">
        <v>11</v>
      </c>
      <c r="E6243" t="s">
        <v>14</v>
      </c>
      <c r="F6243" t="s">
        <v>15</v>
      </c>
      <c r="G6243" t="str">
        <f t="shared" si="254"/>
        <v>004BELLINA</v>
      </c>
      <c r="H6243" s="5">
        <v>1680</v>
      </c>
      <c r="I6243" s="6">
        <v>1056.7857142434418</v>
      </c>
      <c r="J6243" s="5">
        <v>8000</v>
      </c>
      <c r="K6243" s="6">
        <f t="shared" si="255"/>
        <v>1.5897262589348309</v>
      </c>
    </row>
    <row r="6244" spans="1:11">
      <c r="A6244" s="4">
        <v>2026</v>
      </c>
      <c r="B6244">
        <v>6</v>
      </c>
      <c r="C6244" t="s">
        <v>10</v>
      </c>
      <c r="D6244" t="s">
        <v>11</v>
      </c>
      <c r="E6244" t="s">
        <v>16</v>
      </c>
      <c r="F6244" t="s">
        <v>17</v>
      </c>
      <c r="G6244" t="str">
        <f t="shared" si="254"/>
        <v>005ELBA</v>
      </c>
      <c r="H6244" s="5">
        <v>10260</v>
      </c>
      <c r="I6244" s="6">
        <v>2641.9642856076484</v>
      </c>
      <c r="J6244" s="5">
        <v>19996</v>
      </c>
      <c r="K6244" s="6">
        <f t="shared" si="255"/>
        <v>3.883474146827921</v>
      </c>
    </row>
    <row r="6245" spans="1:11">
      <c r="A6245" s="4">
        <v>2026</v>
      </c>
      <c r="B6245">
        <v>6</v>
      </c>
      <c r="C6245" t="s">
        <v>10</v>
      </c>
      <c r="D6245" t="s">
        <v>11</v>
      </c>
      <c r="E6245" t="s">
        <v>16</v>
      </c>
      <c r="F6245" t="s">
        <v>18</v>
      </c>
      <c r="G6245" t="str">
        <f t="shared" si="254"/>
        <v>005HOT BUBBLES</v>
      </c>
      <c r="H6245" s="5">
        <v>1360</v>
      </c>
      <c r="I6245" s="6">
        <v>528.39285712153003</v>
      </c>
      <c r="J6245" s="5">
        <v>4000</v>
      </c>
      <c r="K6245" s="6">
        <f t="shared" si="255"/>
        <v>2.5738425144668464</v>
      </c>
    </row>
    <row r="6246" spans="1:11">
      <c r="A6246" s="4">
        <v>2026</v>
      </c>
      <c r="B6246">
        <v>6</v>
      </c>
      <c r="C6246" t="s">
        <v>10</v>
      </c>
      <c r="D6246" t="s">
        <v>11</v>
      </c>
      <c r="E6246" t="s">
        <v>16</v>
      </c>
      <c r="F6246" t="s">
        <v>19</v>
      </c>
      <c r="G6246" t="str">
        <f t="shared" si="254"/>
        <v>005SUSPIRO</v>
      </c>
      <c r="H6246" s="5">
        <v>8520</v>
      </c>
      <c r="I6246" s="6">
        <v>1902.2142856375078</v>
      </c>
      <c r="J6246" s="5">
        <v>14400</v>
      </c>
      <c r="K6246" s="6">
        <f t="shared" si="255"/>
        <v>4.4789906501751497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20</v>
      </c>
      <c r="F6247" t="s">
        <v>21</v>
      </c>
      <c r="G6247" t="str">
        <f t="shared" si="254"/>
        <v>007SNOW BUBBLES</v>
      </c>
      <c r="H6247" s="5">
        <v>1160</v>
      </c>
      <c r="I6247" s="6">
        <v>634.05652706821195</v>
      </c>
      <c r="J6247" s="5">
        <v>4800</v>
      </c>
      <c r="K6247" s="6">
        <f t="shared" si="255"/>
        <v>1.8294898806005147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22</v>
      </c>
      <c r="F6248" t="s">
        <v>18</v>
      </c>
      <c r="G6248" t="str">
        <f t="shared" si="254"/>
        <v>009HOT BUBBLES</v>
      </c>
      <c r="H6248" s="5">
        <v>7340</v>
      </c>
      <c r="I6248" s="6">
        <v>4487.9999999102474</v>
      </c>
      <c r="J6248" s="5">
        <v>31740</v>
      </c>
      <c r="K6248" s="6">
        <f t="shared" si="255"/>
        <v>1.6354723707991952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23</v>
      </c>
      <c r="F6249" t="s">
        <v>24</v>
      </c>
      <c r="G6249" t="str">
        <f t="shared" si="254"/>
        <v>014FRUITY BUBBLES</v>
      </c>
      <c r="H6249" s="5">
        <v>3800</v>
      </c>
      <c r="I6249" s="6">
        <v>1702.8</v>
      </c>
      <c r="J6249" s="5">
        <v>12900</v>
      </c>
      <c r="K6249" s="6">
        <f t="shared" si="255"/>
        <v>2.231618510688278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25</v>
      </c>
      <c r="F6250" t="s">
        <v>26</v>
      </c>
      <c r="G6250" t="str">
        <f t="shared" si="254"/>
        <v>015FELLINI</v>
      </c>
      <c r="H6250" s="5">
        <v>6420</v>
      </c>
      <c r="I6250" s="6">
        <v>3009.6</v>
      </c>
      <c r="J6250" s="5">
        <v>22800</v>
      </c>
      <c r="K6250" s="6">
        <f t="shared" si="255"/>
        <v>2.1331738437001597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27</v>
      </c>
      <c r="F6251" t="s">
        <v>28</v>
      </c>
      <c r="G6251" t="str">
        <f t="shared" si="254"/>
        <v>016GOOD PEACH</v>
      </c>
      <c r="H6251" s="5">
        <v>2910</v>
      </c>
      <c r="I6251" s="6">
        <v>1386</v>
      </c>
      <c r="J6251" s="5">
        <v>10500</v>
      </c>
      <c r="K6251" s="6">
        <f t="shared" si="255"/>
        <v>2.0995670995670994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27</v>
      </c>
      <c r="F6252" t="s">
        <v>29</v>
      </c>
      <c r="G6252" t="str">
        <f t="shared" si="254"/>
        <v>016GOOD YELLOW</v>
      </c>
      <c r="H6252" s="5">
        <v>3090</v>
      </c>
      <c r="I6252" s="6">
        <v>1386</v>
      </c>
      <c r="J6252" s="5">
        <v>10500</v>
      </c>
      <c r="K6252" s="6">
        <f t="shared" si="255"/>
        <v>2.2294372294372296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30</v>
      </c>
      <c r="F6253" t="s">
        <v>31</v>
      </c>
      <c r="G6253" t="str">
        <f t="shared" si="254"/>
        <v>017ORANGE STAR</v>
      </c>
      <c r="H6253" s="5">
        <v>1800</v>
      </c>
      <c r="I6253" s="6">
        <v>1029.5999999999999</v>
      </c>
      <c r="J6253" s="5">
        <v>7800</v>
      </c>
      <c r="K6253" s="6">
        <f t="shared" si="255"/>
        <v>1.7482517482517483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32</v>
      </c>
      <c r="F6254" t="s">
        <v>33</v>
      </c>
      <c r="G6254" t="str">
        <f t="shared" si="254"/>
        <v>018COSMO</v>
      </c>
      <c r="H6254" s="5">
        <v>5375</v>
      </c>
      <c r="I6254" s="6">
        <v>2653.2</v>
      </c>
      <c r="J6254" s="5">
        <v>20100</v>
      </c>
      <c r="K6254" s="6">
        <f t="shared" si="255"/>
        <v>2.0258555706316903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32</v>
      </c>
      <c r="F6255" t="s">
        <v>34</v>
      </c>
      <c r="G6255" t="str">
        <f t="shared" si="254"/>
        <v>018RUBICON</v>
      </c>
      <c r="H6255" s="5">
        <v>3270</v>
      </c>
      <c r="I6255" s="6">
        <v>1768.8</v>
      </c>
      <c r="J6255" s="5">
        <v>13400</v>
      </c>
      <c r="K6255" s="6">
        <f t="shared" si="255"/>
        <v>1.8487109905020354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35</v>
      </c>
      <c r="F6256" t="s">
        <v>15</v>
      </c>
      <c r="G6256" t="str">
        <f t="shared" si="254"/>
        <v>019BELLINA</v>
      </c>
      <c r="H6256" s="5">
        <v>2700</v>
      </c>
      <c r="I6256" s="6">
        <v>1029.5999999999999</v>
      </c>
      <c r="J6256" s="5">
        <v>7800</v>
      </c>
      <c r="K6256" s="6">
        <f t="shared" si="255"/>
        <v>2.6223776223776225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36</v>
      </c>
      <c r="F6257" t="s">
        <v>37</v>
      </c>
      <c r="G6257" t="str">
        <f t="shared" si="254"/>
        <v>020SUMMER DANCE</v>
      </c>
      <c r="H6257" s="5">
        <v>2850</v>
      </c>
      <c r="I6257" s="6">
        <v>1346.4</v>
      </c>
      <c r="J6257" s="5">
        <v>10200</v>
      </c>
      <c r="K6257" s="6">
        <f t="shared" si="255"/>
        <v>2.1167557932263814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38</v>
      </c>
      <c r="F6258" t="s">
        <v>39</v>
      </c>
      <c r="G6258" t="str">
        <f t="shared" si="254"/>
        <v>021ELEGANT ROSEVER</v>
      </c>
      <c r="H6258" s="5">
        <v>600</v>
      </c>
      <c r="I6258" s="6">
        <v>440.18999062500001</v>
      </c>
      <c r="J6258" s="5">
        <v>3200</v>
      </c>
      <c r="K6258" s="6">
        <f t="shared" si="255"/>
        <v>1.3630478038541838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38</v>
      </c>
      <c r="F6259" t="s">
        <v>40</v>
      </c>
      <c r="G6259" t="str">
        <f t="shared" si="254"/>
        <v>021FLAME CLUB</v>
      </c>
      <c r="H6259" s="5">
        <v>2200</v>
      </c>
      <c r="I6259" s="6">
        <v>880.38</v>
      </c>
      <c r="J6259" s="5">
        <v>6400</v>
      </c>
      <c r="K6259" s="6">
        <f t="shared" si="255"/>
        <v>2.4989209205115972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38</v>
      </c>
      <c r="F6260" t="s">
        <v>41</v>
      </c>
      <c r="G6260" t="str">
        <f t="shared" si="254"/>
        <v>021KELLY</v>
      </c>
      <c r="H6260" s="5">
        <v>525</v>
      </c>
      <c r="I6260" s="6">
        <v>330.14249999999998</v>
      </c>
      <c r="J6260" s="5">
        <v>2400</v>
      </c>
      <c r="K6260" s="6">
        <f t="shared" si="255"/>
        <v>1.5902224039619257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38</v>
      </c>
      <c r="F6261" t="s">
        <v>42</v>
      </c>
      <c r="G6261" t="str">
        <f t="shared" si="254"/>
        <v>021LEILA</v>
      </c>
      <c r="H6261" s="5">
        <v>5750</v>
      </c>
      <c r="I6261" s="6">
        <v>1430.6175000000001</v>
      </c>
      <c r="J6261" s="5">
        <v>10400</v>
      </c>
      <c r="K6261" s="6">
        <f t="shared" si="255"/>
        <v>4.0192434385850859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38</v>
      </c>
      <c r="F6262" t="s">
        <v>21</v>
      </c>
      <c r="G6262" t="str">
        <f t="shared" si="254"/>
        <v>021SNOW BUBBLES</v>
      </c>
      <c r="H6262" s="5">
        <v>5360</v>
      </c>
      <c r="I6262" s="6">
        <v>1287.0000000000018</v>
      </c>
      <c r="J6262" s="5">
        <v>9400</v>
      </c>
      <c r="K6262" s="6">
        <f t="shared" si="255"/>
        <v>4.1647241647241584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43</v>
      </c>
      <c r="F6263" t="s">
        <v>24</v>
      </c>
      <c r="G6263" t="str">
        <f t="shared" si="254"/>
        <v>022FRUITY BUBBLES</v>
      </c>
      <c r="H6263" s="5">
        <v>6350</v>
      </c>
      <c r="I6263" s="6">
        <v>2641.14</v>
      </c>
      <c r="J6263" s="5">
        <v>19200</v>
      </c>
      <c r="K6263" s="6">
        <f t="shared" si="255"/>
        <v>2.4042648250376732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43</v>
      </c>
      <c r="F6264" t="s">
        <v>28</v>
      </c>
      <c r="G6264" t="str">
        <f t="shared" si="254"/>
        <v>022GOOD PEACH</v>
      </c>
      <c r="H6264" s="5">
        <v>2820</v>
      </c>
      <c r="I6264" s="6">
        <v>880.38</v>
      </c>
      <c r="J6264" s="5">
        <v>6400</v>
      </c>
      <c r="K6264" s="6">
        <f t="shared" si="255"/>
        <v>3.2031622708375931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43</v>
      </c>
      <c r="F6265" t="s">
        <v>44</v>
      </c>
      <c r="G6265" t="str">
        <f t="shared" ref="G6265:G6325" si="256">+E6265&amp;F6265</f>
        <v>022MIRABEL</v>
      </c>
      <c r="H6265" s="5">
        <v>2240</v>
      </c>
      <c r="I6265" s="6">
        <v>880.38</v>
      </c>
      <c r="J6265" s="5">
        <v>6400</v>
      </c>
      <c r="K6265" s="6">
        <f t="shared" si="255"/>
        <v>2.544355846339081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47</v>
      </c>
      <c r="F6266" t="s">
        <v>44</v>
      </c>
      <c r="G6266" t="str">
        <f t="shared" si="256"/>
        <v>030MIRABEL</v>
      </c>
      <c r="H6266" s="5">
        <v>3860</v>
      </c>
      <c r="I6266" s="6">
        <v>2413.6749943750001</v>
      </c>
      <c r="J6266" s="5">
        <v>17600</v>
      </c>
      <c r="K6266" s="6">
        <f t="shared" si="255"/>
        <v>1.5992211084738495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47</v>
      </c>
      <c r="F6267" t="s">
        <v>13</v>
      </c>
      <c r="G6267" t="str">
        <f t="shared" si="256"/>
        <v>030SOMERSET</v>
      </c>
      <c r="H6267" s="5">
        <v>2980</v>
      </c>
      <c r="I6267" s="6">
        <v>1645.6875</v>
      </c>
      <c r="J6267" s="5">
        <v>12000</v>
      </c>
      <c r="K6267" s="6">
        <f t="shared" si="255"/>
        <v>1.8107933614370895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48</v>
      </c>
      <c r="F6268" t="s">
        <v>49</v>
      </c>
      <c r="G6268" t="str">
        <f t="shared" si="256"/>
        <v>03182989</v>
      </c>
      <c r="H6268" s="5">
        <v>600</v>
      </c>
      <c r="I6268" s="6">
        <v>726.32013058333712</v>
      </c>
      <c r="J6268" s="5">
        <v>5712</v>
      </c>
      <c r="K6268" s="6">
        <f t="shared" si="255"/>
        <v>0.82608201912029577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48</v>
      </c>
      <c r="F6269" t="s">
        <v>34</v>
      </c>
      <c r="G6269" t="str">
        <f t="shared" si="256"/>
        <v>031RUBICON</v>
      </c>
      <c r="H6269" s="5">
        <v>2340</v>
      </c>
      <c r="I6269" s="6">
        <v>924.39958333667107</v>
      </c>
      <c r="J6269" s="5">
        <v>6720</v>
      </c>
      <c r="K6269" s="6">
        <f t="shared" si="255"/>
        <v>2.5313728415515304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48</v>
      </c>
      <c r="F6270" t="s">
        <v>13</v>
      </c>
      <c r="G6270" t="str">
        <f t="shared" si="256"/>
        <v>031SOMERSET</v>
      </c>
      <c r="H6270" s="5">
        <v>780</v>
      </c>
      <c r="I6270" s="6">
        <v>1122.485208333339</v>
      </c>
      <c r="J6270" s="5">
        <v>8160</v>
      </c>
      <c r="K6270" s="6">
        <f t="shared" si="255"/>
        <v>0.69488666238920027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48</v>
      </c>
      <c r="F6271" t="s">
        <v>50</v>
      </c>
      <c r="G6271" t="str">
        <f t="shared" si="256"/>
        <v>031VELVET BLOSSOMS</v>
      </c>
      <c r="H6271" s="5">
        <v>640</v>
      </c>
      <c r="I6271" s="6">
        <v>396.17125000000198</v>
      </c>
      <c r="J6271" s="5">
        <v>2880</v>
      </c>
      <c r="K6271" s="6">
        <f t="shared" si="255"/>
        <v>1.6154630099988245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51</v>
      </c>
      <c r="F6272" t="s">
        <v>17</v>
      </c>
      <c r="G6272" t="str">
        <f t="shared" si="256"/>
        <v>032ELBA</v>
      </c>
      <c r="H6272" s="5">
        <v>2670</v>
      </c>
      <c r="I6272" s="6">
        <v>1535.9749999999999</v>
      </c>
      <c r="J6272" s="5">
        <v>11200</v>
      </c>
      <c r="K6272" s="6">
        <f t="shared" si="255"/>
        <v>1.7383095427985482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51</v>
      </c>
      <c r="F6273" t="s">
        <v>44</v>
      </c>
      <c r="G6273" t="str">
        <f t="shared" si="256"/>
        <v>032MIRABEL</v>
      </c>
      <c r="H6273" s="5">
        <v>2440</v>
      </c>
      <c r="I6273" s="6">
        <v>1535.9749999999999</v>
      </c>
      <c r="J6273" s="5">
        <v>11200</v>
      </c>
      <c r="K6273" s="6">
        <f t="shared" si="255"/>
        <v>1.5885675222578493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52</v>
      </c>
      <c r="F6274" t="s">
        <v>53</v>
      </c>
      <c r="G6274" t="str">
        <f t="shared" si="256"/>
        <v>033CREAMY FOLIES</v>
      </c>
      <c r="H6274" s="5">
        <v>1050</v>
      </c>
      <c r="I6274" s="6">
        <v>594.25687500000299</v>
      </c>
      <c r="J6274" s="5">
        <v>4320</v>
      </c>
      <c r="K6274" s="6">
        <f t="shared" ref="K6274:K6335" si="257">+H6274/I6274</f>
        <v>1.7669126671862143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52</v>
      </c>
      <c r="F6275" t="s">
        <v>18</v>
      </c>
      <c r="G6275" t="str">
        <f t="shared" si="256"/>
        <v>033HOT BUBBLES</v>
      </c>
      <c r="H6275" s="5">
        <v>3480</v>
      </c>
      <c r="I6275" s="6">
        <v>2575.1131250013459</v>
      </c>
      <c r="J6275" s="5">
        <v>18720</v>
      </c>
      <c r="K6275" s="6">
        <f t="shared" si="257"/>
        <v>1.3513969410560094</v>
      </c>
    </row>
    <row r="6276" spans="1:11">
      <c r="A6276" s="4">
        <v>2026</v>
      </c>
      <c r="B6276">
        <v>6</v>
      </c>
      <c r="C6276" t="s">
        <v>54</v>
      </c>
      <c r="D6276" t="s">
        <v>11</v>
      </c>
      <c r="E6276" t="s">
        <v>55</v>
      </c>
      <c r="F6276" t="s">
        <v>56</v>
      </c>
      <c r="G6276" t="str">
        <f t="shared" si="256"/>
        <v>001BELIEVE IN PINK</v>
      </c>
      <c r="H6276" s="5">
        <v>1230</v>
      </c>
      <c r="I6276" s="6">
        <v>528.37931032368999</v>
      </c>
      <c r="J6276" s="5">
        <v>4000</v>
      </c>
      <c r="K6276" s="6">
        <f t="shared" ref="K6276:K6281" si="258">IFERROR(H6276/I6276,"")</f>
        <v>2.3278731319863581</v>
      </c>
    </row>
    <row r="6277" spans="1:11">
      <c r="A6277" s="4">
        <v>2026</v>
      </c>
      <c r="B6277">
        <v>6</v>
      </c>
      <c r="C6277" t="s">
        <v>54</v>
      </c>
      <c r="D6277" t="s">
        <v>11</v>
      </c>
      <c r="E6277" t="s">
        <v>55</v>
      </c>
      <c r="F6277" t="s">
        <v>57</v>
      </c>
      <c r="G6277" t="str">
        <f t="shared" si="256"/>
        <v>001EXPLORER</v>
      </c>
      <c r="H6277" s="5">
        <v>4475</v>
      </c>
      <c r="I6277" s="6">
        <v>2272.0310343918732</v>
      </c>
      <c r="J6277" s="5">
        <v>17200</v>
      </c>
      <c r="K6277" s="6">
        <f t="shared" si="258"/>
        <v>1.9696033778859754</v>
      </c>
    </row>
    <row r="6278" spans="1:11">
      <c r="A6278" s="4">
        <v>2026</v>
      </c>
      <c r="B6278">
        <v>6</v>
      </c>
      <c r="C6278" t="s">
        <v>54</v>
      </c>
      <c r="D6278" t="s">
        <v>11</v>
      </c>
      <c r="E6278" t="s">
        <v>55</v>
      </c>
      <c r="F6278" t="s">
        <v>58</v>
      </c>
      <c r="G6278" t="str">
        <f t="shared" si="256"/>
        <v>001GRACE KELLY</v>
      </c>
      <c r="H6278" s="5">
        <v>2130</v>
      </c>
      <c r="I6278" s="6">
        <v>1162.4344827121224</v>
      </c>
      <c r="J6278" s="5">
        <v>8800</v>
      </c>
      <c r="K6278" s="6">
        <f t="shared" si="258"/>
        <v>1.8323613344903635</v>
      </c>
    </row>
    <row r="6279" spans="1:11">
      <c r="A6279" s="4">
        <v>2026</v>
      </c>
      <c r="B6279">
        <v>6</v>
      </c>
      <c r="C6279" t="s">
        <v>54</v>
      </c>
      <c r="D6279" t="s">
        <v>11</v>
      </c>
      <c r="E6279" t="s">
        <v>55</v>
      </c>
      <c r="F6279" t="s">
        <v>60</v>
      </c>
      <c r="G6279" t="str">
        <f t="shared" si="256"/>
        <v>001LIGHT HOUSE</v>
      </c>
      <c r="H6279" s="5">
        <v>2490</v>
      </c>
      <c r="I6279" s="6">
        <v>1056.7586206473827</v>
      </c>
      <c r="J6279" s="5">
        <v>8000</v>
      </c>
      <c r="K6279" s="6">
        <f t="shared" si="258"/>
        <v>2.3562618287178929</v>
      </c>
    </row>
    <row r="6280" spans="1:11">
      <c r="A6280" s="4">
        <v>2026</v>
      </c>
      <c r="B6280">
        <v>6</v>
      </c>
      <c r="C6280" t="s">
        <v>54</v>
      </c>
      <c r="D6280" t="s">
        <v>11</v>
      </c>
      <c r="E6280" t="s">
        <v>55</v>
      </c>
      <c r="F6280" t="s">
        <v>61</v>
      </c>
      <c r="G6280" t="str">
        <f t="shared" si="256"/>
        <v>001LUMIA</v>
      </c>
      <c r="H6280" s="5">
        <v>1950</v>
      </c>
      <c r="I6280" s="6">
        <v>1109.596551679753</v>
      </c>
      <c r="J6280" s="5">
        <v>8400</v>
      </c>
      <c r="K6280" s="6">
        <f t="shared" si="258"/>
        <v>1.7573955119525286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62</v>
      </c>
      <c r="G6281" t="str">
        <f t="shared" si="256"/>
        <v>001MOMENTUM</v>
      </c>
      <c r="H6281" s="5">
        <v>5700</v>
      </c>
      <c r="I6281" s="6">
        <v>1902.1655171652881</v>
      </c>
      <c r="J6281" s="5">
        <v>14400</v>
      </c>
      <c r="K6281" s="6">
        <f t="shared" si="258"/>
        <v>2.9965846549959827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12</v>
      </c>
      <c r="F6282" t="s">
        <v>63</v>
      </c>
      <c r="G6282" t="str">
        <f t="shared" si="256"/>
        <v>002SUMMER ROMANCE</v>
      </c>
      <c r="H6282" s="5">
        <v>2150</v>
      </c>
      <c r="I6282" s="6">
        <v>951.10714281909407</v>
      </c>
      <c r="J6282" s="5">
        <v>7200</v>
      </c>
      <c r="K6282" s="6">
        <f t="shared" si="257"/>
        <v>2.26052345020496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12</v>
      </c>
      <c r="F6283" t="s">
        <v>64</v>
      </c>
      <c r="G6283" t="str">
        <f t="shared" si="256"/>
        <v>002SWEETNESS</v>
      </c>
      <c r="H6283" s="5">
        <v>7170</v>
      </c>
      <c r="I6283" s="6">
        <v>3804.4285712763772</v>
      </c>
      <c r="J6283" s="5">
        <v>28800</v>
      </c>
      <c r="K6283" s="6">
        <f t="shared" si="257"/>
        <v>1.8846457137173904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65</v>
      </c>
      <c r="F6284" t="s">
        <v>66</v>
      </c>
      <c r="G6284" t="str">
        <f t="shared" si="256"/>
        <v>003CABARET</v>
      </c>
      <c r="H6284" s="5">
        <v>9540</v>
      </c>
      <c r="I6284" s="6">
        <v>2641.8965516184649</v>
      </c>
      <c r="J6284" s="5">
        <v>20000</v>
      </c>
      <c r="K6284" s="6">
        <f t="shared" si="257"/>
        <v>3.6110422242519888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65</v>
      </c>
      <c r="F6285" t="s">
        <v>67</v>
      </c>
      <c r="G6285" t="str">
        <f t="shared" si="256"/>
        <v>003DEEP PURPLE</v>
      </c>
      <c r="H6285" s="5">
        <v>8340</v>
      </c>
      <c r="I6285" s="6">
        <v>3592.9793102010913</v>
      </c>
      <c r="J6285" s="5">
        <v>26044</v>
      </c>
      <c r="K6285" s="6">
        <f t="shared" si="257"/>
        <v>2.3211934386377604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65</v>
      </c>
      <c r="F6286" t="s">
        <v>57</v>
      </c>
      <c r="G6286" t="str">
        <f t="shared" si="256"/>
        <v>003EXPLORER</v>
      </c>
      <c r="H6286" s="5">
        <v>1950</v>
      </c>
      <c r="I6286" s="6">
        <v>1268.1103447768633</v>
      </c>
      <c r="J6286" s="5">
        <v>9600</v>
      </c>
      <c r="K6286" s="6">
        <f t="shared" si="257"/>
        <v>1.5377210729584594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65</v>
      </c>
      <c r="F6287" t="s">
        <v>68</v>
      </c>
      <c r="G6287" t="str">
        <f t="shared" si="256"/>
        <v>003JOCKER</v>
      </c>
      <c r="H6287" s="5">
        <v>1500</v>
      </c>
      <c r="I6287" s="6">
        <v>528.37931032368999</v>
      </c>
      <c r="J6287" s="5">
        <v>4000</v>
      </c>
      <c r="K6287" s="6">
        <f t="shared" si="257"/>
        <v>2.838869673154095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65</v>
      </c>
      <c r="F6288" t="s">
        <v>69</v>
      </c>
      <c r="G6288" t="str">
        <f t="shared" si="256"/>
        <v>003QUICKSAND</v>
      </c>
      <c r="H6288" s="5">
        <v>3060</v>
      </c>
      <c r="I6288" s="6">
        <v>1162.4344827121247</v>
      </c>
      <c r="J6288" s="5">
        <v>8800</v>
      </c>
      <c r="K6288" s="6">
        <f t="shared" si="257"/>
        <v>2.6324064241974185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14</v>
      </c>
      <c r="F6289" t="s">
        <v>70</v>
      </c>
      <c r="G6289" t="str">
        <f t="shared" si="256"/>
        <v>004COTOPAXI</v>
      </c>
      <c r="H6289" s="5">
        <v>1110</v>
      </c>
      <c r="I6289" s="6">
        <v>528.3915024419166</v>
      </c>
      <c r="J6289" s="5">
        <v>4000</v>
      </c>
      <c r="K6289" s="6">
        <f t="shared" si="257"/>
        <v>2.1007150850652008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14</v>
      </c>
      <c r="F6290" t="s">
        <v>67</v>
      </c>
      <c r="G6290" t="str">
        <f t="shared" si="256"/>
        <v>004DEEP PURPLE</v>
      </c>
      <c r="H6290" s="5">
        <v>13470</v>
      </c>
      <c r="I6290" s="6">
        <v>3910.1071427007282</v>
      </c>
      <c r="J6290" s="5">
        <v>29260</v>
      </c>
      <c r="K6290" s="6">
        <f t="shared" si="257"/>
        <v>3.4449183892941133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14</v>
      </c>
      <c r="F6291" t="s">
        <v>71</v>
      </c>
      <c r="G6291" t="str">
        <f t="shared" si="256"/>
        <v>004HOT EXPLORER</v>
      </c>
      <c r="H6291" s="5">
        <v>2025</v>
      </c>
      <c r="I6291" s="6">
        <v>1902.2142856381945</v>
      </c>
      <c r="J6291" s="5">
        <v>14400</v>
      </c>
      <c r="K6291" s="6">
        <f t="shared" si="257"/>
        <v>1.0645488341081462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14</v>
      </c>
      <c r="F6292" t="s">
        <v>72</v>
      </c>
      <c r="G6292" t="str">
        <f t="shared" si="256"/>
        <v>004HOT MERENGUE</v>
      </c>
      <c r="H6292" s="5">
        <v>2820</v>
      </c>
      <c r="I6292" s="6">
        <v>1162.4642856677858</v>
      </c>
      <c r="J6292" s="5">
        <v>8800</v>
      </c>
      <c r="K6292" s="6">
        <f t="shared" si="257"/>
        <v>2.4258809795434111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14</v>
      </c>
      <c r="F6293" t="s">
        <v>64</v>
      </c>
      <c r="G6293" t="str">
        <f t="shared" si="256"/>
        <v>004SWEETNESS</v>
      </c>
      <c r="H6293" s="5">
        <v>930</v>
      </c>
      <c r="I6293" s="6">
        <v>317.03571427303262</v>
      </c>
      <c r="J6293" s="5">
        <v>2400</v>
      </c>
      <c r="K6293" s="6">
        <f t="shared" si="257"/>
        <v>2.9334234539868898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16</v>
      </c>
      <c r="F6294" t="s">
        <v>57</v>
      </c>
      <c r="G6294" t="str">
        <f t="shared" si="256"/>
        <v>005EXPLORER</v>
      </c>
      <c r="H6294" s="5">
        <v>1950</v>
      </c>
      <c r="I6294" s="6">
        <v>951.10714281875391</v>
      </c>
      <c r="J6294" s="5">
        <v>7200</v>
      </c>
      <c r="K6294" s="6">
        <f t="shared" si="257"/>
        <v>2.0502421990238364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16</v>
      </c>
      <c r="F6295" t="s">
        <v>73</v>
      </c>
      <c r="G6295" t="str">
        <f t="shared" si="256"/>
        <v>005GOLDFINCH</v>
      </c>
      <c r="H6295" s="5">
        <v>1250</v>
      </c>
      <c r="I6295" s="6">
        <v>898.26785710660101</v>
      </c>
      <c r="J6295" s="5">
        <v>6800</v>
      </c>
      <c r="K6295" s="6">
        <f t="shared" si="257"/>
        <v>1.3915671034098436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16</v>
      </c>
      <c r="F6296" t="s">
        <v>68</v>
      </c>
      <c r="G6296" t="str">
        <f t="shared" si="256"/>
        <v>005JOCKER</v>
      </c>
      <c r="H6296" s="5">
        <v>2650</v>
      </c>
      <c r="I6296" s="6">
        <v>1162.4642856673661</v>
      </c>
      <c r="J6296" s="5">
        <v>8800</v>
      </c>
      <c r="K6296" s="6">
        <f t="shared" si="257"/>
        <v>2.2796399275859436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16</v>
      </c>
      <c r="F6297" t="s">
        <v>74</v>
      </c>
      <c r="G6297" t="str">
        <f t="shared" si="256"/>
        <v>005VENDELA</v>
      </c>
      <c r="H6297" s="5">
        <v>1290</v>
      </c>
      <c r="I6297" s="6">
        <v>686.91071425798896</v>
      </c>
      <c r="J6297" s="5">
        <v>5200</v>
      </c>
      <c r="K6297" s="6">
        <f t="shared" si="257"/>
        <v>1.8779733278632535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75</v>
      </c>
      <c r="F6298" t="s">
        <v>76</v>
      </c>
      <c r="G6298" t="str">
        <f t="shared" si="256"/>
        <v>006ATOMIC</v>
      </c>
      <c r="H6298" s="5">
        <v>1200</v>
      </c>
      <c r="I6298" s="6">
        <v>845.428571394752</v>
      </c>
      <c r="J6298" s="5">
        <v>6400</v>
      </c>
      <c r="K6298" s="6">
        <f t="shared" si="257"/>
        <v>1.4193984454775301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75</v>
      </c>
      <c r="F6299" t="s">
        <v>57</v>
      </c>
      <c r="G6299" t="str">
        <f t="shared" si="256"/>
        <v>006EXPLORER</v>
      </c>
      <c r="H6299" s="5">
        <v>7850</v>
      </c>
      <c r="I6299" s="6">
        <v>3910.1071427007355</v>
      </c>
      <c r="J6299" s="5">
        <v>29600</v>
      </c>
      <c r="K6299" s="6">
        <f t="shared" si="257"/>
        <v>2.007617621080827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75</v>
      </c>
      <c r="F6300" t="s">
        <v>77</v>
      </c>
      <c r="G6300" t="str">
        <f t="shared" si="256"/>
        <v>006MONDIAL</v>
      </c>
      <c r="H6300" s="5">
        <v>11100</v>
      </c>
      <c r="I6300" s="6">
        <v>4015.7857141250793</v>
      </c>
      <c r="J6300" s="5">
        <v>30400</v>
      </c>
      <c r="K6300" s="6">
        <f t="shared" si="257"/>
        <v>2.7640917096141324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20</v>
      </c>
      <c r="F6301" t="s">
        <v>70</v>
      </c>
      <c r="G6301" t="str">
        <f t="shared" si="256"/>
        <v>007COTOPAXI</v>
      </c>
      <c r="H6301" s="5">
        <v>6420</v>
      </c>
      <c r="I6301" s="6">
        <v>2747.5751230427709</v>
      </c>
      <c r="J6301" s="5">
        <v>20800</v>
      </c>
      <c r="K6301" s="6">
        <f t="shared" si="257"/>
        <v>2.3366058114874195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20</v>
      </c>
      <c r="F6302" t="s">
        <v>78</v>
      </c>
      <c r="G6302" t="str">
        <f t="shared" si="256"/>
        <v>007REDIANT</v>
      </c>
      <c r="H6302" s="5">
        <v>2010</v>
      </c>
      <c r="I6302" s="6">
        <v>1056.75862064738</v>
      </c>
      <c r="J6302" s="5">
        <v>9600</v>
      </c>
      <c r="K6302" s="6">
        <f t="shared" si="257"/>
        <v>1.9020426810132438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20</v>
      </c>
      <c r="F6303" t="s">
        <v>63</v>
      </c>
      <c r="G6303" t="str">
        <f t="shared" si="256"/>
        <v>007SUMMER ROMANCE</v>
      </c>
      <c r="H6303" s="5">
        <v>475</v>
      </c>
      <c r="I6303" s="6">
        <v>369.86551722658481</v>
      </c>
      <c r="J6303" s="5">
        <v>3080</v>
      </c>
      <c r="K6303" s="6">
        <f t="shared" si="257"/>
        <v>1.2842505664268462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20</v>
      </c>
      <c r="F6304" t="s">
        <v>74</v>
      </c>
      <c r="G6304" t="str">
        <f t="shared" si="256"/>
        <v>007VENDELA</v>
      </c>
      <c r="H6304" s="5">
        <v>9960</v>
      </c>
      <c r="I6304" s="6">
        <v>3592.9793102011122</v>
      </c>
      <c r="J6304" s="5">
        <v>27820</v>
      </c>
      <c r="K6304" s="6">
        <f t="shared" si="257"/>
        <v>2.7720727396681006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79</v>
      </c>
      <c r="F6305" t="s">
        <v>67</v>
      </c>
      <c r="G6305" t="str">
        <f t="shared" si="256"/>
        <v>008DEEP PURPLE</v>
      </c>
      <c r="H6305" s="5">
        <v>4290</v>
      </c>
      <c r="I6305" s="6">
        <v>1585.2222221588099</v>
      </c>
      <c r="J6305" s="5">
        <v>11490</v>
      </c>
      <c r="K6305" s="6">
        <f t="shared" si="257"/>
        <v>2.706245181295611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79</v>
      </c>
      <c r="F6306" t="s">
        <v>81</v>
      </c>
      <c r="G6306" t="str">
        <f t="shared" si="256"/>
        <v>008FREEDOM</v>
      </c>
      <c r="H6306" s="5">
        <v>5880</v>
      </c>
      <c r="I6306" s="6">
        <v>2219.311111022334</v>
      </c>
      <c r="J6306" s="5">
        <v>16800</v>
      </c>
      <c r="K6306" s="6">
        <f t="shared" si="257"/>
        <v>2.6494708068628361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79</v>
      </c>
      <c r="F6307" t="s">
        <v>68</v>
      </c>
      <c r="G6307" t="str">
        <f t="shared" si="256"/>
        <v>008JOCKER</v>
      </c>
      <c r="H6307" s="5">
        <v>6900</v>
      </c>
      <c r="I6307" s="6">
        <v>2959.0814813631118</v>
      </c>
      <c r="J6307" s="5">
        <v>22400</v>
      </c>
      <c r="K6307" s="6">
        <f t="shared" si="257"/>
        <v>2.3318046642032613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79</v>
      </c>
      <c r="F6308" t="s">
        <v>61</v>
      </c>
      <c r="G6308" t="str">
        <f t="shared" si="256"/>
        <v>008LUMIA</v>
      </c>
      <c r="H6308" s="5">
        <v>1260</v>
      </c>
      <c r="I6308" s="6">
        <v>1796.5851851133182</v>
      </c>
      <c r="J6308" s="5">
        <v>13600</v>
      </c>
      <c r="K6308" s="6">
        <f t="shared" si="257"/>
        <v>0.70133050769898586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82</v>
      </c>
      <c r="F6309" t="s">
        <v>83</v>
      </c>
      <c r="G6309" t="str">
        <f t="shared" si="256"/>
        <v>010COOLDOWN</v>
      </c>
      <c r="H6309" s="5">
        <v>2350</v>
      </c>
      <c r="I6309" s="6">
        <v>1912.3542857142861</v>
      </c>
      <c r="J6309" s="5">
        <v>16320</v>
      </c>
      <c r="K6309" s="6">
        <f t="shared" si="257"/>
        <v>1.2288517967382013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82</v>
      </c>
      <c r="F6310" t="s">
        <v>84</v>
      </c>
      <c r="G6310" t="str">
        <f t="shared" si="256"/>
        <v>010VIOLET HILL</v>
      </c>
      <c r="H6310" s="5">
        <v>6000</v>
      </c>
      <c r="I6310" s="6">
        <v>2812.2857142428579</v>
      </c>
      <c r="J6310" s="5">
        <v>20000</v>
      </c>
      <c r="K6310" s="6">
        <f t="shared" si="257"/>
        <v>2.1334958854333048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85</v>
      </c>
      <c r="F6311" t="s">
        <v>86</v>
      </c>
      <c r="G6311" t="str">
        <f t="shared" si="256"/>
        <v>011BRIGHTON</v>
      </c>
      <c r="H6311" s="5">
        <v>4850</v>
      </c>
      <c r="I6311" s="6">
        <v>1768.8376470588223</v>
      </c>
      <c r="J6311" s="5">
        <v>12800</v>
      </c>
      <c r="K6311" s="6">
        <f t="shared" si="257"/>
        <v>2.7419135996254123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85</v>
      </c>
      <c r="F6312" t="s">
        <v>87</v>
      </c>
      <c r="G6312" t="str">
        <f t="shared" si="256"/>
        <v>011CANDLELIGHT</v>
      </c>
      <c r="H6312" s="5">
        <v>3580</v>
      </c>
      <c r="I6312" s="6">
        <v>2263.7999998868127</v>
      </c>
      <c r="J6312" s="5">
        <v>17920</v>
      </c>
      <c r="K6312" s="6">
        <f t="shared" si="257"/>
        <v>1.581411785572487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85</v>
      </c>
      <c r="F6313" t="s">
        <v>88</v>
      </c>
      <c r="G6313" t="str">
        <f t="shared" si="256"/>
        <v>011CAYENNE</v>
      </c>
      <c r="H6313" s="5">
        <v>1320</v>
      </c>
      <c r="I6313" s="6">
        <v>994.97117647058747</v>
      </c>
      <c r="J6313" s="5">
        <v>7200</v>
      </c>
      <c r="K6313" s="6">
        <f t="shared" si="257"/>
        <v>1.3266715973445296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85</v>
      </c>
      <c r="F6314" t="s">
        <v>61</v>
      </c>
      <c r="G6314" t="str">
        <f t="shared" si="256"/>
        <v>011LUMIA</v>
      </c>
      <c r="H6314" s="5">
        <v>2130</v>
      </c>
      <c r="I6314" s="6">
        <v>994.97117647058747</v>
      </c>
      <c r="J6314" s="5">
        <v>7920</v>
      </c>
      <c r="K6314" s="6">
        <f t="shared" si="257"/>
        <v>2.1407655320786727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85</v>
      </c>
      <c r="F6315" t="s">
        <v>89</v>
      </c>
      <c r="G6315" t="str">
        <f t="shared" si="256"/>
        <v>011STARDUST</v>
      </c>
      <c r="H6315" s="5">
        <v>3425</v>
      </c>
      <c r="I6315" s="6">
        <v>2263.7999998868127</v>
      </c>
      <c r="J6315" s="5">
        <v>17920</v>
      </c>
      <c r="K6315" s="6">
        <f t="shared" si="257"/>
        <v>1.5129428395490971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90</v>
      </c>
      <c r="F6316" t="s">
        <v>67</v>
      </c>
      <c r="G6316" t="str">
        <f t="shared" si="256"/>
        <v>012DEEP PURPLE</v>
      </c>
      <c r="H6316" s="5">
        <v>15900</v>
      </c>
      <c r="I6316" s="6">
        <v>6727.0499997982479</v>
      </c>
      <c r="J6316" s="5">
        <v>49210</v>
      </c>
      <c r="K6316" s="6">
        <f t="shared" si="257"/>
        <v>2.3635917676361644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90</v>
      </c>
      <c r="F6317" t="s">
        <v>60</v>
      </c>
      <c r="G6317" t="str">
        <f t="shared" si="256"/>
        <v>012LIGHT HOUSE</v>
      </c>
      <c r="H6317" s="5">
        <v>2310</v>
      </c>
      <c r="I6317" s="6">
        <v>994.95</v>
      </c>
      <c r="J6317" s="5">
        <v>7200</v>
      </c>
      <c r="K6317" s="6">
        <f t="shared" si="257"/>
        <v>2.3217247097844114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91</v>
      </c>
      <c r="F6318" t="s">
        <v>92</v>
      </c>
      <c r="G6318" t="str">
        <f t="shared" si="256"/>
        <v>013COUNTRY BLUES</v>
      </c>
      <c r="H6318" s="5">
        <v>875</v>
      </c>
      <c r="I6318" s="6">
        <v>831.6</v>
      </c>
      <c r="J6318" s="5">
        <v>6300</v>
      </c>
      <c r="K6318" s="6">
        <f t="shared" si="257"/>
        <v>1.0521885521885521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91</v>
      </c>
      <c r="F6319" t="s">
        <v>93</v>
      </c>
      <c r="G6319" t="str">
        <f t="shared" si="256"/>
        <v>013LORRAINE</v>
      </c>
      <c r="H6319" s="5">
        <v>3425</v>
      </c>
      <c r="I6319" s="6">
        <v>1267.2</v>
      </c>
      <c r="J6319" s="5">
        <v>9600</v>
      </c>
      <c r="K6319" s="6">
        <f t="shared" si="257"/>
        <v>2.7028093434343434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91</v>
      </c>
      <c r="F6320" t="s">
        <v>61</v>
      </c>
      <c r="G6320" t="str">
        <f t="shared" si="256"/>
        <v>013LUMIA</v>
      </c>
      <c r="H6320" s="5">
        <v>690</v>
      </c>
      <c r="I6320" s="6">
        <v>316.8</v>
      </c>
      <c r="J6320" s="5">
        <v>2400</v>
      </c>
      <c r="K6320" s="6">
        <f t="shared" si="257"/>
        <v>2.1780303030303028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91</v>
      </c>
      <c r="F6321" t="s">
        <v>74</v>
      </c>
      <c r="G6321" t="str">
        <f t="shared" si="256"/>
        <v>013VENDELA</v>
      </c>
      <c r="H6321" s="5">
        <v>8010</v>
      </c>
      <c r="I6321" s="6">
        <v>3603.6</v>
      </c>
      <c r="J6321" s="5">
        <v>27296</v>
      </c>
      <c r="K6321" s="6">
        <f t="shared" si="257"/>
        <v>2.2227772227772227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23</v>
      </c>
      <c r="F6322" t="s">
        <v>89</v>
      </c>
      <c r="G6322" t="str">
        <f t="shared" si="256"/>
        <v>014STARDUST</v>
      </c>
      <c r="H6322" s="5">
        <v>10775</v>
      </c>
      <c r="I6322" s="6">
        <v>3682.8</v>
      </c>
      <c r="J6322" s="5">
        <v>27900</v>
      </c>
      <c r="K6322" s="6">
        <f t="shared" si="257"/>
        <v>2.9257630064081677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25</v>
      </c>
      <c r="F6323" t="s">
        <v>68</v>
      </c>
      <c r="G6323" t="str">
        <f t="shared" si="256"/>
        <v>015JOCKER</v>
      </c>
      <c r="H6323" s="5">
        <v>8350</v>
      </c>
      <c r="I6323" s="6">
        <v>2376</v>
      </c>
      <c r="J6323" s="5">
        <v>18000</v>
      </c>
      <c r="K6323" s="6">
        <f t="shared" si="257"/>
        <v>3.5143097643097643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27</v>
      </c>
      <c r="F6324" t="s">
        <v>94</v>
      </c>
      <c r="G6324" t="str">
        <f t="shared" si="256"/>
        <v>016DREAM IN PEACH</v>
      </c>
      <c r="H6324" s="5">
        <v>2130</v>
      </c>
      <c r="I6324" s="6">
        <v>950.4</v>
      </c>
      <c r="J6324" s="5">
        <v>7200</v>
      </c>
      <c r="K6324" s="6">
        <f t="shared" si="257"/>
        <v>2.2411616161616164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27</v>
      </c>
      <c r="F6325" t="s">
        <v>95</v>
      </c>
      <c r="G6325" t="str">
        <f t="shared" si="256"/>
        <v>016NINA</v>
      </c>
      <c r="H6325" s="5">
        <v>2950</v>
      </c>
      <c r="I6325" s="6">
        <v>1346.4</v>
      </c>
      <c r="J6325" s="5">
        <v>10200</v>
      </c>
      <c r="K6325" s="6">
        <f t="shared" si="257"/>
        <v>2.191027926322044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30</v>
      </c>
      <c r="F6326" t="s">
        <v>81</v>
      </c>
      <c r="G6326" t="str">
        <f t="shared" ref="G6326:G6386" si="259">+E6326&amp;F6326</f>
        <v>017FREEDOM</v>
      </c>
      <c r="H6326" s="5">
        <v>10440</v>
      </c>
      <c r="I6326" s="6">
        <v>2851.2</v>
      </c>
      <c r="J6326" s="5">
        <v>21600</v>
      </c>
      <c r="K6326" s="6">
        <f t="shared" si="257"/>
        <v>3.6616161616161618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30</v>
      </c>
      <c r="F6327" t="s">
        <v>73</v>
      </c>
      <c r="G6327" t="str">
        <f t="shared" si="259"/>
        <v>017GOLDFINCH</v>
      </c>
      <c r="H6327" s="5">
        <v>5625</v>
      </c>
      <c r="I6327" s="6">
        <v>2138.4</v>
      </c>
      <c r="J6327" s="5">
        <v>16200</v>
      </c>
      <c r="K6327" s="6">
        <f t="shared" si="257"/>
        <v>2.6304713804713802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32</v>
      </c>
      <c r="F6328" t="s">
        <v>86</v>
      </c>
      <c r="G6328" t="str">
        <f t="shared" si="259"/>
        <v>018BRIGHTON</v>
      </c>
      <c r="H6328" s="5">
        <v>3075</v>
      </c>
      <c r="I6328" s="6">
        <v>963.6</v>
      </c>
      <c r="J6328" s="5">
        <v>7570</v>
      </c>
      <c r="K6328" s="6">
        <f t="shared" si="257"/>
        <v>3.1911581569115817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35</v>
      </c>
      <c r="F6329" t="s">
        <v>86</v>
      </c>
      <c r="G6329" t="str">
        <f t="shared" si="259"/>
        <v>019BRIGHTON</v>
      </c>
      <c r="H6329" s="5">
        <v>10275</v>
      </c>
      <c r="I6329" s="6">
        <v>3168</v>
      </c>
      <c r="J6329" s="5">
        <v>24000</v>
      </c>
      <c r="K6329" s="6">
        <f t="shared" si="257"/>
        <v>3.2433712121212119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35</v>
      </c>
      <c r="F6330" t="s">
        <v>96</v>
      </c>
      <c r="G6330" t="str">
        <f t="shared" si="259"/>
        <v>019TABATHA</v>
      </c>
      <c r="H6330" s="5">
        <v>3810</v>
      </c>
      <c r="I6330" s="6">
        <v>1188</v>
      </c>
      <c r="J6330" s="5">
        <v>9000</v>
      </c>
      <c r="K6330" s="6">
        <f t="shared" si="257"/>
        <v>3.2070707070707072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36</v>
      </c>
      <c r="F6331" t="s">
        <v>86</v>
      </c>
      <c r="G6331" t="str">
        <f t="shared" si="259"/>
        <v>020BRIGHTON</v>
      </c>
      <c r="H6331" s="5">
        <v>6825</v>
      </c>
      <c r="I6331" s="6">
        <v>2732.4</v>
      </c>
      <c r="J6331" s="5">
        <v>20700</v>
      </c>
      <c r="K6331" s="6">
        <f t="shared" si="257"/>
        <v>2.497804128238911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36</v>
      </c>
      <c r="F6332" t="s">
        <v>97</v>
      </c>
      <c r="G6332" t="str">
        <f t="shared" si="259"/>
        <v>020TYCOON</v>
      </c>
      <c r="H6332" s="5">
        <v>1200</v>
      </c>
      <c r="I6332" s="6">
        <v>673.2</v>
      </c>
      <c r="J6332" s="5">
        <v>5100</v>
      </c>
      <c r="K6332" s="6">
        <f t="shared" si="257"/>
        <v>1.7825311942959001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38</v>
      </c>
      <c r="F6333" t="s">
        <v>98</v>
      </c>
      <c r="G6333" t="str">
        <f t="shared" si="259"/>
        <v>021SHOW GIRL</v>
      </c>
      <c r="H6333" s="5">
        <v>1650</v>
      </c>
      <c r="I6333" s="6">
        <v>1100.4749999999999</v>
      </c>
      <c r="J6333" s="5">
        <v>8000</v>
      </c>
      <c r="K6333" s="6">
        <f t="shared" si="257"/>
        <v>1.4993525523069584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43</v>
      </c>
      <c r="F6334" t="s">
        <v>99</v>
      </c>
      <c r="G6334" t="str">
        <f t="shared" si="259"/>
        <v>022CORAL REEF</v>
      </c>
      <c r="H6334" s="5">
        <v>1900</v>
      </c>
      <c r="I6334" s="6">
        <v>1287</v>
      </c>
      <c r="J6334" s="5">
        <v>9400</v>
      </c>
      <c r="K6334" s="6">
        <f t="shared" si="257"/>
        <v>1.4763014763014763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100</v>
      </c>
      <c r="F6335" t="s">
        <v>70</v>
      </c>
      <c r="G6335" t="str">
        <f t="shared" si="259"/>
        <v>023COTOPAXI</v>
      </c>
      <c r="H6335" s="5">
        <v>6060</v>
      </c>
      <c r="I6335" s="6">
        <v>2641.14</v>
      </c>
      <c r="J6335" s="5">
        <v>19200</v>
      </c>
      <c r="K6335" s="6">
        <f t="shared" si="257"/>
        <v>2.2944637542879214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100</v>
      </c>
      <c r="F6336" t="s">
        <v>101</v>
      </c>
      <c r="G6336" t="str">
        <f t="shared" si="259"/>
        <v>023FRUTTETO</v>
      </c>
      <c r="H6336" s="5">
        <v>8700</v>
      </c>
      <c r="I6336" s="6">
        <v>2641.14</v>
      </c>
      <c r="J6336" s="5">
        <v>19200</v>
      </c>
      <c r="K6336" s="6">
        <f t="shared" ref="K6336:K6396" si="260">+H6336/I6336</f>
        <v>3.2940321224925602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102</v>
      </c>
      <c r="F6337" t="s">
        <v>70</v>
      </c>
      <c r="G6337" t="str">
        <f t="shared" si="259"/>
        <v>024COTOPAXI</v>
      </c>
      <c r="H6337" s="5">
        <v>2490</v>
      </c>
      <c r="I6337" s="6">
        <v>1430.6174906250001</v>
      </c>
      <c r="J6337" s="5">
        <v>10400</v>
      </c>
      <c r="K6337" s="6">
        <f t="shared" si="260"/>
        <v>1.7405071700278059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102</v>
      </c>
      <c r="F6338" t="s">
        <v>64</v>
      </c>
      <c r="G6338" t="str">
        <f t="shared" si="259"/>
        <v>024SWEETNESS</v>
      </c>
      <c r="H6338" s="5">
        <v>2010</v>
      </c>
      <c r="I6338" s="6">
        <v>1430.6175000000001</v>
      </c>
      <c r="J6338" s="5">
        <v>10400</v>
      </c>
      <c r="K6338" s="6">
        <f t="shared" si="260"/>
        <v>1.4049877063575693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102</v>
      </c>
      <c r="F6339" t="s">
        <v>97</v>
      </c>
      <c r="G6339" t="str">
        <f t="shared" si="259"/>
        <v>024TYCOON</v>
      </c>
      <c r="H6339" s="5">
        <v>5340</v>
      </c>
      <c r="I6339" s="6">
        <v>2861.2350000000001</v>
      </c>
      <c r="J6339" s="5">
        <v>20800</v>
      </c>
      <c r="K6339" s="6">
        <f t="shared" si="260"/>
        <v>1.8663269532212488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103</v>
      </c>
      <c r="F6340" t="s">
        <v>104</v>
      </c>
      <c r="G6340" t="str">
        <f t="shared" si="259"/>
        <v>025PINK MONDIAL</v>
      </c>
      <c r="H6340" s="5">
        <v>7900</v>
      </c>
      <c r="I6340" s="6">
        <v>3071.9505625000002</v>
      </c>
      <c r="J6340" s="5">
        <v>22400</v>
      </c>
      <c r="K6340" s="6">
        <f t="shared" si="260"/>
        <v>2.5716559688287624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45</v>
      </c>
      <c r="F6341" t="s">
        <v>105</v>
      </c>
      <c r="G6341" t="str">
        <f t="shared" si="259"/>
        <v>026LOLA</v>
      </c>
      <c r="H6341" s="5">
        <v>3075</v>
      </c>
      <c r="I6341" s="6">
        <v>1097.125</v>
      </c>
      <c r="J6341" s="5">
        <v>8000</v>
      </c>
      <c r="K6341" s="6">
        <f t="shared" si="260"/>
        <v>2.8027799931639512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45</v>
      </c>
      <c r="F6342" t="s">
        <v>106</v>
      </c>
      <c r="G6342" t="str">
        <f t="shared" si="259"/>
        <v>026PALOMA</v>
      </c>
      <c r="H6342" s="5">
        <v>2900</v>
      </c>
      <c r="I6342" s="6">
        <v>2852.5250000000001</v>
      </c>
      <c r="J6342" s="5">
        <v>20800</v>
      </c>
      <c r="K6342" s="6">
        <f t="shared" si="260"/>
        <v>1.0166431494903638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107</v>
      </c>
      <c r="F6343" t="s">
        <v>108</v>
      </c>
      <c r="G6343" t="str">
        <f t="shared" si="259"/>
        <v>027SATISFACTION</v>
      </c>
      <c r="H6343" s="5">
        <v>7110</v>
      </c>
      <c r="I6343" s="6">
        <v>2633.1</v>
      </c>
      <c r="J6343" s="5">
        <v>19200</v>
      </c>
      <c r="K6343" s="6">
        <f t="shared" si="260"/>
        <v>2.7002392617067335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107</v>
      </c>
      <c r="F6344" t="s">
        <v>109</v>
      </c>
      <c r="G6344" t="str">
        <f t="shared" si="259"/>
        <v>027TIFFANY</v>
      </c>
      <c r="H6344" s="5">
        <v>6270</v>
      </c>
      <c r="I6344" s="6">
        <v>2633.1</v>
      </c>
      <c r="J6344" s="5">
        <v>19200</v>
      </c>
      <c r="K6344" s="6">
        <f t="shared" si="260"/>
        <v>2.3812236527287229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110</v>
      </c>
      <c r="F6345" t="s">
        <v>70</v>
      </c>
      <c r="G6345" t="str">
        <f t="shared" si="259"/>
        <v>028COTOPAXI</v>
      </c>
      <c r="H6345" s="5">
        <v>5670</v>
      </c>
      <c r="I6345" s="6">
        <v>2852.5250000000001</v>
      </c>
      <c r="J6345" s="5">
        <v>20800</v>
      </c>
      <c r="K6345" s="6">
        <f t="shared" si="260"/>
        <v>1.9877126405552974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110</v>
      </c>
      <c r="F6346" t="s">
        <v>67</v>
      </c>
      <c r="G6346" t="str">
        <f t="shared" si="259"/>
        <v>028DEEP PURPLE</v>
      </c>
      <c r="H6346" s="5">
        <v>8250</v>
      </c>
      <c r="I6346" s="6">
        <v>2852.5250000000001</v>
      </c>
      <c r="J6346" s="5">
        <v>20800</v>
      </c>
      <c r="K6346" s="6">
        <f t="shared" si="260"/>
        <v>2.8921744769984485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111</v>
      </c>
      <c r="F6347" t="s">
        <v>112</v>
      </c>
      <c r="G6347" t="str">
        <f t="shared" si="259"/>
        <v>029PINK FLOYD</v>
      </c>
      <c r="H6347" s="5">
        <v>4125</v>
      </c>
      <c r="I6347" s="6">
        <v>3071.95</v>
      </c>
      <c r="J6347" s="5">
        <v>22400</v>
      </c>
      <c r="K6347" s="6">
        <f t="shared" si="260"/>
        <v>1.3427952928921369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47</v>
      </c>
      <c r="F6348" t="s">
        <v>57</v>
      </c>
      <c r="G6348" t="str">
        <f t="shared" si="259"/>
        <v>030EXPLORER</v>
      </c>
      <c r="H6348" s="5">
        <v>2925</v>
      </c>
      <c r="I6348" s="6">
        <v>1645.6875</v>
      </c>
      <c r="J6348" s="5">
        <v>12000</v>
      </c>
      <c r="K6348" s="6">
        <f t="shared" si="260"/>
        <v>1.7773726785917741</v>
      </c>
    </row>
    <row r="6349" spans="1:11">
      <c r="A6349" s="4">
        <v>2026</v>
      </c>
      <c r="B6349">
        <v>7</v>
      </c>
      <c r="C6349" t="s">
        <v>10</v>
      </c>
      <c r="D6349" t="s">
        <v>11</v>
      </c>
      <c r="E6349" t="s">
        <v>12</v>
      </c>
      <c r="F6349" t="s">
        <v>13</v>
      </c>
      <c r="G6349" t="str">
        <f t="shared" si="259"/>
        <v>002SOMERSET</v>
      </c>
      <c r="H6349" s="5">
        <v>9840</v>
      </c>
      <c r="I6349" s="6">
        <v>4121.4642855494085</v>
      </c>
      <c r="J6349" s="5">
        <v>31200</v>
      </c>
      <c r="K6349" s="6">
        <f t="shared" si="260"/>
        <v>2.3875009749570806</v>
      </c>
    </row>
    <row r="6350" spans="1:11">
      <c r="A6350" s="4">
        <v>2026</v>
      </c>
      <c r="B6350">
        <v>7</v>
      </c>
      <c r="C6350" t="s">
        <v>10</v>
      </c>
      <c r="D6350" t="s">
        <v>11</v>
      </c>
      <c r="E6350" t="s">
        <v>14</v>
      </c>
      <c r="F6350" t="s">
        <v>15</v>
      </c>
      <c r="G6350" t="str">
        <f t="shared" si="259"/>
        <v>004BELLINA</v>
      </c>
      <c r="H6350" s="5">
        <v>1890</v>
      </c>
      <c r="I6350" s="6">
        <v>1056.7857142434418</v>
      </c>
      <c r="J6350" s="5">
        <v>8000</v>
      </c>
      <c r="K6350" s="6">
        <f t="shared" si="260"/>
        <v>1.7884420413016848</v>
      </c>
    </row>
    <row r="6351" spans="1:11">
      <c r="A6351" s="4">
        <v>2026</v>
      </c>
      <c r="B6351">
        <v>7</v>
      </c>
      <c r="C6351" t="s">
        <v>10</v>
      </c>
      <c r="D6351" t="s">
        <v>11</v>
      </c>
      <c r="E6351" t="s">
        <v>16</v>
      </c>
      <c r="F6351" t="s">
        <v>17</v>
      </c>
      <c r="G6351" t="str">
        <f t="shared" si="259"/>
        <v>005ELBA</v>
      </c>
      <c r="H6351" s="5">
        <v>10230</v>
      </c>
      <c r="I6351" s="6">
        <v>2641.9642856076484</v>
      </c>
      <c r="J6351" s="5">
        <v>19996</v>
      </c>
      <c r="K6351" s="6">
        <f t="shared" si="260"/>
        <v>3.8721189592640965</v>
      </c>
    </row>
    <row r="6352" spans="1:11">
      <c r="A6352" s="4">
        <v>2026</v>
      </c>
      <c r="B6352">
        <v>7</v>
      </c>
      <c r="C6352" t="s">
        <v>10</v>
      </c>
      <c r="D6352" t="s">
        <v>11</v>
      </c>
      <c r="E6352" t="s">
        <v>16</v>
      </c>
      <c r="F6352" t="s">
        <v>18</v>
      </c>
      <c r="G6352" t="str">
        <f t="shared" si="259"/>
        <v>005HOT BUBBLES</v>
      </c>
      <c r="H6352" s="5">
        <v>1500</v>
      </c>
      <c r="I6352" s="6">
        <v>528.39285712153003</v>
      </c>
      <c r="J6352" s="5">
        <v>4000</v>
      </c>
      <c r="K6352" s="6">
        <f t="shared" si="260"/>
        <v>2.8387968909560808</v>
      </c>
    </row>
    <row r="6353" spans="1:11">
      <c r="A6353" s="4">
        <v>2026</v>
      </c>
      <c r="B6353">
        <v>7</v>
      </c>
      <c r="C6353" t="s">
        <v>10</v>
      </c>
      <c r="D6353" t="s">
        <v>11</v>
      </c>
      <c r="E6353" t="s">
        <v>16</v>
      </c>
      <c r="F6353" t="s">
        <v>19</v>
      </c>
      <c r="G6353" t="str">
        <f t="shared" si="259"/>
        <v>005SUSPIRO</v>
      </c>
      <c r="H6353" s="5">
        <v>7140</v>
      </c>
      <c r="I6353" s="6">
        <v>1902.2142856375078</v>
      </c>
      <c r="J6353" s="5">
        <v>14400</v>
      </c>
      <c r="K6353" s="6">
        <f t="shared" si="260"/>
        <v>3.7535203335974852</v>
      </c>
    </row>
    <row r="6354" spans="1:11">
      <c r="A6354" s="4">
        <v>2026</v>
      </c>
      <c r="B6354">
        <v>7</v>
      </c>
      <c r="C6354" t="s">
        <v>10</v>
      </c>
      <c r="D6354" t="s">
        <v>11</v>
      </c>
      <c r="E6354" t="s">
        <v>20</v>
      </c>
      <c r="F6354" t="s">
        <v>21</v>
      </c>
      <c r="G6354" t="str">
        <f t="shared" si="259"/>
        <v>007SNOW BUBBLES</v>
      </c>
      <c r="H6354" s="5">
        <v>980</v>
      </c>
      <c r="I6354" s="6">
        <v>634.05652706821195</v>
      </c>
      <c r="J6354" s="5">
        <v>4800</v>
      </c>
      <c r="K6354" s="6">
        <f t="shared" si="260"/>
        <v>1.5456035198176761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22</v>
      </c>
      <c r="F6355" t="s">
        <v>18</v>
      </c>
      <c r="G6355" t="str">
        <f t="shared" si="259"/>
        <v>009HOT BUBBLES</v>
      </c>
      <c r="H6355" s="5">
        <v>8500</v>
      </c>
      <c r="I6355" s="6">
        <v>4487.9999999102474</v>
      </c>
      <c r="J6355" s="5">
        <v>31740</v>
      </c>
      <c r="K6355" s="6">
        <f t="shared" si="260"/>
        <v>1.8939393939772695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23</v>
      </c>
      <c r="F6356" t="s">
        <v>24</v>
      </c>
      <c r="G6356" t="str">
        <f t="shared" si="259"/>
        <v>014FRUITY BUBBLES</v>
      </c>
      <c r="H6356" s="5">
        <v>3000</v>
      </c>
      <c r="I6356" s="6">
        <v>1702.8</v>
      </c>
      <c r="J6356" s="5">
        <v>12900</v>
      </c>
      <c r="K6356" s="6">
        <f t="shared" si="260"/>
        <v>1.7618040873854828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25</v>
      </c>
      <c r="F6357" t="s">
        <v>26</v>
      </c>
      <c r="G6357" t="str">
        <f t="shared" si="259"/>
        <v>015FELLINI</v>
      </c>
      <c r="H6357" s="5">
        <v>7660</v>
      </c>
      <c r="I6357" s="6">
        <v>3009.6</v>
      </c>
      <c r="J6357" s="5">
        <v>22800</v>
      </c>
      <c r="K6357" s="6">
        <f t="shared" si="260"/>
        <v>2.5451887293992557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27</v>
      </c>
      <c r="F6358" t="s">
        <v>28</v>
      </c>
      <c r="G6358" t="str">
        <f t="shared" si="259"/>
        <v>016GOOD PEACH</v>
      </c>
      <c r="H6358" s="5">
        <v>3630</v>
      </c>
      <c r="I6358" s="6">
        <v>1386</v>
      </c>
      <c r="J6358" s="5">
        <v>10500</v>
      </c>
      <c r="K6358" s="6">
        <f t="shared" si="260"/>
        <v>2.6190476190476191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27</v>
      </c>
      <c r="F6359" t="s">
        <v>29</v>
      </c>
      <c r="G6359" t="str">
        <f t="shared" si="259"/>
        <v>016GOOD YELLOW</v>
      </c>
      <c r="H6359" s="5">
        <v>3060</v>
      </c>
      <c r="I6359" s="6">
        <v>1386</v>
      </c>
      <c r="J6359" s="5">
        <v>10500</v>
      </c>
      <c r="K6359" s="6">
        <f t="shared" si="260"/>
        <v>2.2077922077922079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30</v>
      </c>
      <c r="F6360" t="s">
        <v>31</v>
      </c>
      <c r="G6360" t="str">
        <f t="shared" si="259"/>
        <v>017ORANGE STAR</v>
      </c>
      <c r="H6360" s="5">
        <v>2000</v>
      </c>
      <c r="I6360" s="6">
        <v>1029.5999999999999</v>
      </c>
      <c r="J6360" s="5">
        <v>7800</v>
      </c>
      <c r="K6360" s="6">
        <f t="shared" si="260"/>
        <v>1.9425019425019427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32</v>
      </c>
      <c r="F6361" t="s">
        <v>33</v>
      </c>
      <c r="G6361" t="str">
        <f t="shared" si="259"/>
        <v>018COSMO</v>
      </c>
      <c r="H6361" s="5">
        <v>5350</v>
      </c>
      <c r="I6361" s="6">
        <v>2653.2</v>
      </c>
      <c r="J6361" s="5">
        <v>20100</v>
      </c>
      <c r="K6361" s="6">
        <f t="shared" si="260"/>
        <v>2.0164329865822403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32</v>
      </c>
      <c r="F6362" t="s">
        <v>34</v>
      </c>
      <c r="G6362" t="str">
        <f t="shared" si="259"/>
        <v>018RUBICON</v>
      </c>
      <c r="H6362" s="5">
        <v>3660</v>
      </c>
      <c r="I6362" s="6">
        <v>1768.8</v>
      </c>
      <c r="J6362" s="5">
        <v>13400</v>
      </c>
      <c r="K6362" s="6">
        <f t="shared" si="260"/>
        <v>2.0691994572591588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35</v>
      </c>
      <c r="F6363" t="s">
        <v>15</v>
      </c>
      <c r="G6363" t="str">
        <f t="shared" si="259"/>
        <v>019BELLINA</v>
      </c>
      <c r="H6363" s="5">
        <v>2640</v>
      </c>
      <c r="I6363" s="6">
        <v>1029.5999999999999</v>
      </c>
      <c r="J6363" s="5">
        <v>7800</v>
      </c>
      <c r="K6363" s="6">
        <f t="shared" si="260"/>
        <v>2.5641025641025643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36</v>
      </c>
      <c r="F6364" t="s">
        <v>37</v>
      </c>
      <c r="G6364" t="str">
        <f t="shared" si="259"/>
        <v>020SUMMER DANCE</v>
      </c>
      <c r="H6364" s="5">
        <v>2475</v>
      </c>
      <c r="I6364" s="6">
        <v>1346.4</v>
      </c>
      <c r="J6364" s="5">
        <v>10200</v>
      </c>
      <c r="K6364" s="6">
        <f t="shared" si="260"/>
        <v>1.838235294117647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38</v>
      </c>
      <c r="F6365" t="s">
        <v>39</v>
      </c>
      <c r="G6365" t="str">
        <f t="shared" si="259"/>
        <v>021ELEGANT ROSEVER</v>
      </c>
      <c r="H6365" s="5">
        <v>840</v>
      </c>
      <c r="I6365" s="6">
        <v>440.18999062500001</v>
      </c>
      <c r="J6365" s="5">
        <v>3200</v>
      </c>
      <c r="K6365" s="6">
        <f t="shared" si="260"/>
        <v>1.9082669253958573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38</v>
      </c>
      <c r="F6366" t="s">
        <v>40</v>
      </c>
      <c r="G6366" t="str">
        <f t="shared" si="259"/>
        <v>021FLAME CLUB</v>
      </c>
      <c r="H6366" s="5">
        <v>2725</v>
      </c>
      <c r="I6366" s="6">
        <v>880.38</v>
      </c>
      <c r="J6366" s="5">
        <v>6400</v>
      </c>
      <c r="K6366" s="6">
        <f t="shared" si="260"/>
        <v>3.0952543219973192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38</v>
      </c>
      <c r="F6367" t="s">
        <v>41</v>
      </c>
      <c r="G6367" t="str">
        <f t="shared" si="259"/>
        <v>021KELLY</v>
      </c>
      <c r="H6367" s="5">
        <v>975</v>
      </c>
      <c r="I6367" s="6">
        <v>330.14249999999998</v>
      </c>
      <c r="J6367" s="5">
        <v>2400</v>
      </c>
      <c r="K6367" s="6">
        <f t="shared" si="260"/>
        <v>2.9532701787864331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38</v>
      </c>
      <c r="F6368" t="s">
        <v>42</v>
      </c>
      <c r="G6368" t="str">
        <f t="shared" si="259"/>
        <v>021LEILA</v>
      </c>
      <c r="H6368" s="5">
        <v>8825</v>
      </c>
      <c r="I6368" s="6">
        <v>1430.6175000000001</v>
      </c>
      <c r="J6368" s="5">
        <v>10400</v>
      </c>
      <c r="K6368" s="6">
        <f t="shared" si="260"/>
        <v>6.1686649296545024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38</v>
      </c>
      <c r="F6369" t="s">
        <v>21</v>
      </c>
      <c r="G6369" t="str">
        <f t="shared" si="259"/>
        <v>021SNOW BUBBLES</v>
      </c>
      <c r="H6369" s="5">
        <v>4260</v>
      </c>
      <c r="I6369" s="6">
        <v>1287.0000000000018</v>
      </c>
      <c r="J6369" s="5">
        <v>9400</v>
      </c>
      <c r="K6369" s="6">
        <f t="shared" si="260"/>
        <v>3.3100233100233054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43</v>
      </c>
      <c r="F6370" t="s">
        <v>24</v>
      </c>
      <c r="G6370" t="str">
        <f t="shared" si="259"/>
        <v>022FRUITY BUBBLES</v>
      </c>
      <c r="H6370" s="5">
        <v>5725</v>
      </c>
      <c r="I6370" s="6">
        <v>2641.14</v>
      </c>
      <c r="J6370" s="5">
        <v>19200</v>
      </c>
      <c r="K6370" s="6">
        <f t="shared" si="260"/>
        <v>2.1676245863528627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43</v>
      </c>
      <c r="F6371" t="s">
        <v>28</v>
      </c>
      <c r="G6371" t="str">
        <f t="shared" si="259"/>
        <v>022GOOD PEACH</v>
      </c>
      <c r="H6371" s="5">
        <v>2550</v>
      </c>
      <c r="I6371" s="6">
        <v>880.38</v>
      </c>
      <c r="J6371" s="5">
        <v>6400</v>
      </c>
      <c r="K6371" s="6">
        <f t="shared" si="260"/>
        <v>2.8964765215020787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43</v>
      </c>
      <c r="F6372" t="s">
        <v>44</v>
      </c>
      <c r="G6372" t="str">
        <f t="shared" si="259"/>
        <v>022MIRABEL</v>
      </c>
      <c r="H6372" s="5">
        <v>1520</v>
      </c>
      <c r="I6372" s="6">
        <v>880.38</v>
      </c>
      <c r="J6372" s="5">
        <v>6400</v>
      </c>
      <c r="K6372" s="6">
        <f t="shared" si="260"/>
        <v>1.7265271814443763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47</v>
      </c>
      <c r="F6373" t="s">
        <v>44</v>
      </c>
      <c r="G6373" t="str">
        <f t="shared" si="259"/>
        <v>030MIRABEL</v>
      </c>
      <c r="H6373" s="5">
        <v>3260</v>
      </c>
      <c r="I6373" s="6">
        <v>2413.6749943750001</v>
      </c>
      <c r="J6373" s="5">
        <v>17600</v>
      </c>
      <c r="K6373" s="6">
        <f t="shared" si="260"/>
        <v>1.3506375164830957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47</v>
      </c>
      <c r="F6374" t="s">
        <v>13</v>
      </c>
      <c r="G6374" t="str">
        <f t="shared" si="259"/>
        <v>030SOMERSET</v>
      </c>
      <c r="H6374" s="5">
        <v>3780</v>
      </c>
      <c r="I6374" s="6">
        <v>1645.6875</v>
      </c>
      <c r="J6374" s="5">
        <v>12000</v>
      </c>
      <c r="K6374" s="6">
        <f t="shared" si="260"/>
        <v>2.296912384641677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48</v>
      </c>
      <c r="F6375" t="s">
        <v>49</v>
      </c>
      <c r="G6375" t="str">
        <f t="shared" si="259"/>
        <v>03182989</v>
      </c>
      <c r="H6375" s="5">
        <v>920</v>
      </c>
      <c r="I6375" s="6">
        <v>726.32013058333712</v>
      </c>
      <c r="J6375" s="5">
        <v>5712</v>
      </c>
      <c r="K6375" s="6">
        <f t="shared" si="260"/>
        <v>1.2666590959844535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48</v>
      </c>
      <c r="F6376" t="s">
        <v>34</v>
      </c>
      <c r="G6376" t="str">
        <f t="shared" si="259"/>
        <v>031RUBICON</v>
      </c>
      <c r="H6376" s="5">
        <v>2910</v>
      </c>
      <c r="I6376" s="6">
        <v>924.39958333667107</v>
      </c>
      <c r="J6376" s="5">
        <v>6720</v>
      </c>
      <c r="K6376" s="6">
        <f t="shared" si="260"/>
        <v>3.1479893029551085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48</v>
      </c>
      <c r="F6377" t="s">
        <v>13</v>
      </c>
      <c r="G6377" t="str">
        <f t="shared" si="259"/>
        <v>031SOMERSET</v>
      </c>
      <c r="H6377" s="5">
        <v>2080</v>
      </c>
      <c r="I6377" s="6">
        <v>1122.485208333339</v>
      </c>
      <c r="J6377" s="5">
        <v>8160</v>
      </c>
      <c r="K6377" s="6">
        <f t="shared" si="260"/>
        <v>1.8530310997045341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48</v>
      </c>
      <c r="F6378" t="s">
        <v>50</v>
      </c>
      <c r="G6378" t="str">
        <f t="shared" si="259"/>
        <v>031VELVET BLOSSOMS</v>
      </c>
      <c r="H6378" s="5">
        <v>500</v>
      </c>
      <c r="I6378" s="6">
        <v>396.17125000000198</v>
      </c>
      <c r="J6378" s="5">
        <v>2880</v>
      </c>
      <c r="K6378" s="6">
        <f t="shared" si="260"/>
        <v>1.2620804765615816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51</v>
      </c>
      <c r="F6379" t="s">
        <v>17</v>
      </c>
      <c r="G6379" t="str">
        <f t="shared" si="259"/>
        <v>032ELBA</v>
      </c>
      <c r="H6379" s="5">
        <v>2550</v>
      </c>
      <c r="I6379" s="6">
        <v>1535.9749999999999</v>
      </c>
      <c r="J6379" s="5">
        <v>11200</v>
      </c>
      <c r="K6379" s="6">
        <f t="shared" si="260"/>
        <v>1.6601832712120967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51</v>
      </c>
      <c r="F6380" t="s">
        <v>44</v>
      </c>
      <c r="G6380" t="str">
        <f t="shared" si="259"/>
        <v>032MIRABEL</v>
      </c>
      <c r="H6380" s="5">
        <v>1820</v>
      </c>
      <c r="I6380" s="6">
        <v>1535.9749999999999</v>
      </c>
      <c r="J6380" s="5">
        <v>11200</v>
      </c>
      <c r="K6380" s="6">
        <f t="shared" si="260"/>
        <v>1.1849151190611826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52</v>
      </c>
      <c r="F6381" t="s">
        <v>53</v>
      </c>
      <c r="G6381" t="str">
        <f t="shared" si="259"/>
        <v>033CREAMY FOLIES</v>
      </c>
      <c r="H6381" s="5">
        <v>900</v>
      </c>
      <c r="I6381" s="6">
        <v>594.25687500000299</v>
      </c>
      <c r="J6381" s="5">
        <v>4320</v>
      </c>
      <c r="K6381" s="6">
        <f t="shared" si="260"/>
        <v>1.5144965718738979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52</v>
      </c>
      <c r="F6382" t="s">
        <v>18</v>
      </c>
      <c r="G6382" t="str">
        <f t="shared" si="259"/>
        <v>033HOT BUBBLES</v>
      </c>
      <c r="H6382" s="5">
        <v>3400</v>
      </c>
      <c r="I6382" s="6">
        <v>2575.1131250013459</v>
      </c>
      <c r="J6382" s="5">
        <v>18720</v>
      </c>
      <c r="K6382" s="6">
        <f t="shared" si="260"/>
        <v>1.3203303447098942</v>
      </c>
    </row>
    <row r="6383" spans="1:11">
      <c r="A6383" s="4">
        <v>2026</v>
      </c>
      <c r="B6383">
        <v>7</v>
      </c>
      <c r="C6383" t="s">
        <v>54</v>
      </c>
      <c r="D6383" t="s">
        <v>11</v>
      </c>
      <c r="E6383" t="s">
        <v>55</v>
      </c>
      <c r="F6383" t="s">
        <v>56</v>
      </c>
      <c r="G6383" t="str">
        <f t="shared" si="259"/>
        <v>001BELIEVE IN PINK</v>
      </c>
      <c r="H6383" s="5">
        <v>1260</v>
      </c>
      <c r="I6383" s="6">
        <v>528.37931032368999</v>
      </c>
      <c r="J6383" s="5">
        <v>4000</v>
      </c>
      <c r="K6383" s="6">
        <f t="shared" ref="K6383:K6388" si="261">IFERROR(H6383/I6383,"")</f>
        <v>2.3846505254494397</v>
      </c>
    </row>
    <row r="6384" spans="1:11">
      <c r="A6384" s="4">
        <v>2026</v>
      </c>
      <c r="B6384">
        <v>7</v>
      </c>
      <c r="C6384" t="s">
        <v>54</v>
      </c>
      <c r="D6384" t="s">
        <v>11</v>
      </c>
      <c r="E6384" t="s">
        <v>55</v>
      </c>
      <c r="F6384" t="s">
        <v>57</v>
      </c>
      <c r="G6384" t="str">
        <f t="shared" si="259"/>
        <v>001EXPLORER</v>
      </c>
      <c r="H6384" s="5">
        <v>3375</v>
      </c>
      <c r="I6384" s="6">
        <v>2272.0310343918732</v>
      </c>
      <c r="J6384" s="5">
        <v>17200</v>
      </c>
      <c r="K6384" s="6">
        <f t="shared" si="261"/>
        <v>1.4854550615341156</v>
      </c>
    </row>
    <row r="6385" spans="1:11">
      <c r="A6385" s="4">
        <v>2026</v>
      </c>
      <c r="B6385">
        <v>7</v>
      </c>
      <c r="C6385" t="s">
        <v>54</v>
      </c>
      <c r="D6385" t="s">
        <v>11</v>
      </c>
      <c r="E6385" t="s">
        <v>55</v>
      </c>
      <c r="F6385" t="s">
        <v>58</v>
      </c>
      <c r="G6385" t="str">
        <f t="shared" si="259"/>
        <v>001GRACE KELLY</v>
      </c>
      <c r="H6385" s="5">
        <v>2250</v>
      </c>
      <c r="I6385" s="6">
        <v>1162.4344827121224</v>
      </c>
      <c r="J6385" s="5">
        <v>8800</v>
      </c>
      <c r="K6385" s="6">
        <f t="shared" si="261"/>
        <v>1.9355929589686938</v>
      </c>
    </row>
    <row r="6386" spans="1:11">
      <c r="A6386" s="4">
        <v>2026</v>
      </c>
      <c r="B6386">
        <v>7</v>
      </c>
      <c r="C6386" t="s">
        <v>54</v>
      </c>
      <c r="D6386" t="s">
        <v>11</v>
      </c>
      <c r="E6386" t="s">
        <v>55</v>
      </c>
      <c r="F6386" t="s">
        <v>60</v>
      </c>
      <c r="G6386" t="str">
        <f t="shared" si="259"/>
        <v>001LIGHT HOUSE</v>
      </c>
      <c r="H6386" s="5">
        <v>1890</v>
      </c>
      <c r="I6386" s="6">
        <v>1056.7586206473827</v>
      </c>
      <c r="J6386" s="5">
        <v>8000</v>
      </c>
      <c r="K6386" s="6">
        <f t="shared" si="261"/>
        <v>1.7884878940870752</v>
      </c>
    </row>
    <row r="6387" spans="1:11">
      <c r="A6387" s="4">
        <v>2026</v>
      </c>
      <c r="B6387">
        <v>7</v>
      </c>
      <c r="C6387" t="s">
        <v>54</v>
      </c>
      <c r="D6387" t="s">
        <v>11</v>
      </c>
      <c r="E6387" t="s">
        <v>55</v>
      </c>
      <c r="F6387" t="s">
        <v>61</v>
      </c>
      <c r="G6387" t="str">
        <f t="shared" ref="G6387:G6449" si="262">+E6387&amp;F6387</f>
        <v>001LUMIA</v>
      </c>
      <c r="H6387" s="5">
        <v>2130</v>
      </c>
      <c r="I6387" s="6">
        <v>1109.596551679753</v>
      </c>
      <c r="J6387" s="5">
        <v>8400</v>
      </c>
      <c r="K6387" s="6">
        <f t="shared" si="261"/>
        <v>1.919616636132762</v>
      </c>
    </row>
    <row r="6388" spans="1:11">
      <c r="A6388" s="4">
        <v>2026</v>
      </c>
      <c r="B6388">
        <v>7</v>
      </c>
      <c r="C6388" t="s">
        <v>54</v>
      </c>
      <c r="D6388" t="s">
        <v>11</v>
      </c>
      <c r="E6388" t="s">
        <v>55</v>
      </c>
      <c r="F6388" t="s">
        <v>62</v>
      </c>
      <c r="G6388" t="str">
        <f t="shared" si="262"/>
        <v>001MOMENTUM</v>
      </c>
      <c r="H6388" s="5">
        <v>5425</v>
      </c>
      <c r="I6388" s="6">
        <v>1902.1655171652881</v>
      </c>
      <c r="J6388" s="5">
        <v>14400</v>
      </c>
      <c r="K6388" s="6">
        <f t="shared" si="261"/>
        <v>2.8520125883075802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12</v>
      </c>
      <c r="F6389" t="s">
        <v>63</v>
      </c>
      <c r="G6389" t="str">
        <f t="shared" si="262"/>
        <v>002SUMMER ROMANCE</v>
      </c>
      <c r="H6389" s="5">
        <v>2550</v>
      </c>
      <c r="I6389" s="6">
        <v>951.10714281909407</v>
      </c>
      <c r="J6389" s="5">
        <v>7200</v>
      </c>
      <c r="K6389" s="6">
        <f t="shared" si="260"/>
        <v>2.6810859525686732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12</v>
      </c>
      <c r="F6390" t="s">
        <v>64</v>
      </c>
      <c r="G6390" t="str">
        <f t="shared" si="262"/>
        <v>002SWEETNESS</v>
      </c>
      <c r="H6390" s="5">
        <v>6990</v>
      </c>
      <c r="I6390" s="6">
        <v>3804.4285712763772</v>
      </c>
      <c r="J6390" s="5">
        <v>28800</v>
      </c>
      <c r="K6390" s="6">
        <f t="shared" si="260"/>
        <v>1.8373324322014728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65</v>
      </c>
      <c r="F6391" t="s">
        <v>66</v>
      </c>
      <c r="G6391" t="str">
        <f t="shared" si="262"/>
        <v>003CABARET</v>
      </c>
      <c r="H6391" s="5">
        <v>5490</v>
      </c>
      <c r="I6391" s="6">
        <v>2641.8965516184649</v>
      </c>
      <c r="J6391" s="5">
        <v>20000</v>
      </c>
      <c r="K6391" s="6">
        <f t="shared" si="260"/>
        <v>2.0780526007487858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65</v>
      </c>
      <c r="F6392" t="s">
        <v>67</v>
      </c>
      <c r="G6392" t="str">
        <f t="shared" si="262"/>
        <v>003DEEP PURPLE</v>
      </c>
      <c r="H6392" s="5">
        <v>7530</v>
      </c>
      <c r="I6392" s="6">
        <v>3592.9793102010913</v>
      </c>
      <c r="J6392" s="5">
        <v>26044</v>
      </c>
      <c r="K6392" s="6">
        <f t="shared" si="260"/>
        <v>2.0957537881225825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65</v>
      </c>
      <c r="F6393" t="s">
        <v>57</v>
      </c>
      <c r="G6393" t="str">
        <f t="shared" si="262"/>
        <v>003EXPLORER</v>
      </c>
      <c r="H6393" s="5">
        <v>1375</v>
      </c>
      <c r="I6393" s="6">
        <v>1268.1103447768633</v>
      </c>
      <c r="J6393" s="5">
        <v>9600</v>
      </c>
      <c r="K6393" s="6">
        <f t="shared" si="260"/>
        <v>1.0842905001630163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65</v>
      </c>
      <c r="F6394" t="s">
        <v>68</v>
      </c>
      <c r="G6394" t="str">
        <f t="shared" si="262"/>
        <v>003JOCKER</v>
      </c>
      <c r="H6394" s="5">
        <v>1400</v>
      </c>
      <c r="I6394" s="6">
        <v>528.37931032368999</v>
      </c>
      <c r="J6394" s="5">
        <v>4000</v>
      </c>
      <c r="K6394" s="6">
        <f t="shared" si="260"/>
        <v>2.6496116949438222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65</v>
      </c>
      <c r="F6395" t="s">
        <v>69</v>
      </c>
      <c r="G6395" t="str">
        <f t="shared" si="262"/>
        <v>003QUICKSAND</v>
      </c>
      <c r="H6395" s="5">
        <v>1980</v>
      </c>
      <c r="I6395" s="6">
        <v>1162.4344827121247</v>
      </c>
      <c r="J6395" s="5">
        <v>8800</v>
      </c>
      <c r="K6395" s="6">
        <f t="shared" si="260"/>
        <v>1.7033218038924471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14</v>
      </c>
      <c r="F6396" t="s">
        <v>70</v>
      </c>
      <c r="G6396" t="str">
        <f t="shared" si="262"/>
        <v>004COTOPAXI</v>
      </c>
      <c r="H6396" s="5">
        <v>900</v>
      </c>
      <c r="I6396" s="6">
        <v>528.3915024419166</v>
      </c>
      <c r="J6396" s="5">
        <v>4000</v>
      </c>
      <c r="K6396" s="6">
        <f t="shared" si="260"/>
        <v>1.7032825014042168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14</v>
      </c>
      <c r="F6397" t="s">
        <v>67</v>
      </c>
      <c r="G6397" t="str">
        <f t="shared" si="262"/>
        <v>004DEEP PURPLE</v>
      </c>
      <c r="H6397" s="5">
        <v>9600</v>
      </c>
      <c r="I6397" s="6">
        <v>3910.1071427007282</v>
      </c>
      <c r="J6397" s="5">
        <v>29260</v>
      </c>
      <c r="K6397" s="6">
        <f t="shared" ref="K6397:K6459" si="263">+H6397/I6397</f>
        <v>2.4551756894746464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14</v>
      </c>
      <c r="F6398" t="s">
        <v>71</v>
      </c>
      <c r="G6398" t="str">
        <f t="shared" si="262"/>
        <v>004HOT EXPLORER</v>
      </c>
      <c r="H6398" s="5">
        <v>2550</v>
      </c>
      <c r="I6398" s="6">
        <v>1902.2142856381945</v>
      </c>
      <c r="J6398" s="5">
        <v>14400</v>
      </c>
      <c r="K6398" s="6">
        <f t="shared" si="263"/>
        <v>1.3405429762843322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14</v>
      </c>
      <c r="F6399" t="s">
        <v>72</v>
      </c>
      <c r="G6399" t="str">
        <f t="shared" si="262"/>
        <v>004HOT MERENGUE</v>
      </c>
      <c r="H6399" s="5">
        <v>3180</v>
      </c>
      <c r="I6399" s="6">
        <v>1162.4642856677858</v>
      </c>
      <c r="J6399" s="5">
        <v>8800</v>
      </c>
      <c r="K6399" s="6">
        <f t="shared" si="263"/>
        <v>2.7355679131021446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14</v>
      </c>
      <c r="F6400" t="s">
        <v>64</v>
      </c>
      <c r="G6400" t="str">
        <f t="shared" si="262"/>
        <v>004SWEETNESS</v>
      </c>
      <c r="H6400" s="5">
        <v>540</v>
      </c>
      <c r="I6400" s="6">
        <v>317.03571427303262</v>
      </c>
      <c r="J6400" s="5">
        <v>2400</v>
      </c>
      <c r="K6400" s="6">
        <f t="shared" si="263"/>
        <v>1.7032781345730328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16</v>
      </c>
      <c r="F6401" t="s">
        <v>57</v>
      </c>
      <c r="G6401" t="str">
        <f t="shared" si="262"/>
        <v>005EXPLORER</v>
      </c>
      <c r="H6401" s="5">
        <v>1325</v>
      </c>
      <c r="I6401" s="6">
        <v>951.10714281875391</v>
      </c>
      <c r="J6401" s="5">
        <v>7200</v>
      </c>
      <c r="K6401" s="6">
        <f t="shared" si="263"/>
        <v>1.3931132890802991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16</v>
      </c>
      <c r="F6402" t="s">
        <v>73</v>
      </c>
      <c r="G6402" t="str">
        <f t="shared" si="262"/>
        <v>005GOLDFINCH</v>
      </c>
      <c r="H6402" s="5">
        <v>1375</v>
      </c>
      <c r="I6402" s="6">
        <v>898.26785710660101</v>
      </c>
      <c r="J6402" s="5">
        <v>6800</v>
      </c>
      <c r="K6402" s="6">
        <f t="shared" si="263"/>
        <v>1.5307238137508279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16</v>
      </c>
      <c r="F6403" t="s">
        <v>68</v>
      </c>
      <c r="G6403" t="str">
        <f t="shared" si="262"/>
        <v>005JOCKER</v>
      </c>
      <c r="H6403" s="5">
        <v>2375</v>
      </c>
      <c r="I6403" s="6">
        <v>1162.4642856673661</v>
      </c>
      <c r="J6403" s="5">
        <v>8800</v>
      </c>
      <c r="K6403" s="6">
        <f t="shared" si="263"/>
        <v>2.0430735200062702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16</v>
      </c>
      <c r="F6404" t="s">
        <v>74</v>
      </c>
      <c r="G6404" t="str">
        <f t="shared" si="262"/>
        <v>005VENDELA</v>
      </c>
      <c r="H6404" s="5">
        <v>1650</v>
      </c>
      <c r="I6404" s="6">
        <v>686.91071425798896</v>
      </c>
      <c r="J6404" s="5">
        <v>5200</v>
      </c>
      <c r="K6404" s="6">
        <f t="shared" si="263"/>
        <v>2.4020589077320684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75</v>
      </c>
      <c r="F6405" t="s">
        <v>76</v>
      </c>
      <c r="G6405" t="str">
        <f t="shared" si="262"/>
        <v>006ATOMIC</v>
      </c>
      <c r="H6405" s="5">
        <v>1050</v>
      </c>
      <c r="I6405" s="6">
        <v>845.428571394752</v>
      </c>
      <c r="J6405" s="5">
        <v>6400</v>
      </c>
      <c r="K6405" s="6">
        <f t="shared" si="263"/>
        <v>1.2419736397928387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75</v>
      </c>
      <c r="F6406" t="s">
        <v>57</v>
      </c>
      <c r="G6406" t="str">
        <f t="shared" si="262"/>
        <v>006EXPLORER</v>
      </c>
      <c r="H6406" s="5">
        <v>6350</v>
      </c>
      <c r="I6406" s="6">
        <v>3910.1071427007355</v>
      </c>
      <c r="J6406" s="5">
        <v>29600</v>
      </c>
      <c r="K6406" s="6">
        <f t="shared" si="263"/>
        <v>1.6239964196004142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75</v>
      </c>
      <c r="F6407" t="s">
        <v>77</v>
      </c>
      <c r="G6407" t="str">
        <f t="shared" si="262"/>
        <v>006MONDIAL</v>
      </c>
      <c r="H6407" s="5">
        <v>9650</v>
      </c>
      <c r="I6407" s="6">
        <v>4015.7857141250793</v>
      </c>
      <c r="J6407" s="5">
        <v>30400</v>
      </c>
      <c r="K6407" s="6">
        <f t="shared" si="263"/>
        <v>2.4030166664663404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20</v>
      </c>
      <c r="F6408" t="s">
        <v>70</v>
      </c>
      <c r="G6408" t="str">
        <f t="shared" si="262"/>
        <v>007COTOPAXI</v>
      </c>
      <c r="H6408" s="5">
        <v>4800</v>
      </c>
      <c r="I6408" s="6">
        <v>2747.5751230427709</v>
      </c>
      <c r="J6408" s="5">
        <v>20800</v>
      </c>
      <c r="K6408" s="6">
        <f t="shared" si="263"/>
        <v>1.7469949992429303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20</v>
      </c>
      <c r="F6409" t="s">
        <v>78</v>
      </c>
      <c r="G6409" t="str">
        <f t="shared" si="262"/>
        <v>007REDIANT</v>
      </c>
      <c r="H6409" s="5">
        <v>1110</v>
      </c>
      <c r="I6409" s="6">
        <v>1056.75862064738</v>
      </c>
      <c r="J6409" s="5">
        <v>9600</v>
      </c>
      <c r="K6409" s="6">
        <f t="shared" si="263"/>
        <v>1.0503817790670151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20</v>
      </c>
      <c r="F6410" t="s">
        <v>63</v>
      </c>
      <c r="G6410" t="str">
        <f t="shared" si="262"/>
        <v>007SUMMER ROMANCE</v>
      </c>
      <c r="H6410" s="5">
        <v>875</v>
      </c>
      <c r="I6410" s="6">
        <v>369.86551722658481</v>
      </c>
      <c r="J6410" s="5">
        <v>3080</v>
      </c>
      <c r="K6410" s="6">
        <f t="shared" si="263"/>
        <v>2.3657247276284008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20</v>
      </c>
      <c r="F6411" t="s">
        <v>74</v>
      </c>
      <c r="G6411" t="str">
        <f t="shared" si="262"/>
        <v>007VENDELA</v>
      </c>
      <c r="H6411" s="5">
        <v>8340</v>
      </c>
      <c r="I6411" s="6">
        <v>3592.9793102011122</v>
      </c>
      <c r="J6411" s="5">
        <v>27820</v>
      </c>
      <c r="K6411" s="6">
        <f t="shared" si="263"/>
        <v>2.3211934386377471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79</v>
      </c>
      <c r="F6412" t="s">
        <v>67</v>
      </c>
      <c r="G6412" t="str">
        <f t="shared" si="262"/>
        <v>008DEEP PURPLE</v>
      </c>
      <c r="H6412" s="5">
        <v>3720</v>
      </c>
      <c r="I6412" s="6">
        <v>1585.2222221588099</v>
      </c>
      <c r="J6412" s="5">
        <v>11490</v>
      </c>
      <c r="K6412" s="6">
        <f t="shared" si="263"/>
        <v>2.3466741432213691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79</v>
      </c>
      <c r="F6413" t="s">
        <v>81</v>
      </c>
      <c r="G6413" t="str">
        <f t="shared" si="262"/>
        <v>008FREEDOM</v>
      </c>
      <c r="H6413" s="5">
        <v>3090</v>
      </c>
      <c r="I6413" s="6">
        <v>2219.311111022334</v>
      </c>
      <c r="J6413" s="5">
        <v>16800</v>
      </c>
      <c r="K6413" s="6">
        <f t="shared" si="263"/>
        <v>1.3923239444228168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79</v>
      </c>
      <c r="F6414" t="s">
        <v>68</v>
      </c>
      <c r="G6414" t="str">
        <f t="shared" si="262"/>
        <v>008JOCKER</v>
      </c>
      <c r="H6414" s="5">
        <v>7275</v>
      </c>
      <c r="I6414" s="6">
        <v>2959.0814813631118</v>
      </c>
      <c r="J6414" s="5">
        <v>22400</v>
      </c>
      <c r="K6414" s="6">
        <f t="shared" si="263"/>
        <v>2.458533178562134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79</v>
      </c>
      <c r="F6415" t="s">
        <v>61</v>
      </c>
      <c r="G6415" t="str">
        <f t="shared" si="262"/>
        <v>008LUMIA</v>
      </c>
      <c r="H6415" s="5">
        <v>690</v>
      </c>
      <c r="I6415" s="6">
        <v>1796.5851851133182</v>
      </c>
      <c r="J6415" s="5">
        <v>13600</v>
      </c>
      <c r="K6415" s="6">
        <f t="shared" si="263"/>
        <v>0.38406194469230182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82</v>
      </c>
      <c r="F6416" t="s">
        <v>83</v>
      </c>
      <c r="G6416" t="str">
        <f t="shared" si="262"/>
        <v>010COOLDOWN</v>
      </c>
      <c r="H6416" s="5">
        <v>2700</v>
      </c>
      <c r="I6416" s="6">
        <v>1912.3542857142861</v>
      </c>
      <c r="J6416" s="5">
        <v>16320</v>
      </c>
      <c r="K6416" s="6">
        <f t="shared" si="263"/>
        <v>1.4118722771034653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82</v>
      </c>
      <c r="F6417" t="s">
        <v>84</v>
      </c>
      <c r="G6417" t="str">
        <f t="shared" si="262"/>
        <v>010VIOLET HILL</v>
      </c>
      <c r="H6417" s="5">
        <v>9780</v>
      </c>
      <c r="I6417" s="6">
        <v>2812.2857142428579</v>
      </c>
      <c r="J6417" s="5">
        <v>20000</v>
      </c>
      <c r="K6417" s="6">
        <f t="shared" si="263"/>
        <v>3.4775982932562868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85</v>
      </c>
      <c r="F6418" t="s">
        <v>86</v>
      </c>
      <c r="G6418" t="str">
        <f t="shared" si="262"/>
        <v>011BRIGHTON</v>
      </c>
      <c r="H6418" s="5">
        <v>3500</v>
      </c>
      <c r="I6418" s="6">
        <v>1768.8376470588223</v>
      </c>
      <c r="J6418" s="5">
        <v>12800</v>
      </c>
      <c r="K6418" s="6">
        <f t="shared" si="263"/>
        <v>1.9787005358121532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85</v>
      </c>
      <c r="F6419" t="s">
        <v>87</v>
      </c>
      <c r="G6419" t="str">
        <f t="shared" si="262"/>
        <v>011CANDLELIGHT</v>
      </c>
      <c r="H6419" s="5">
        <v>3980</v>
      </c>
      <c r="I6419" s="6">
        <v>2263.7999998868127</v>
      </c>
      <c r="J6419" s="5">
        <v>17920</v>
      </c>
      <c r="K6419" s="6">
        <f t="shared" si="263"/>
        <v>1.758105839826396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85</v>
      </c>
      <c r="F6420" t="s">
        <v>88</v>
      </c>
      <c r="G6420" t="str">
        <f t="shared" si="262"/>
        <v>011CAYENNE</v>
      </c>
      <c r="H6420" s="5">
        <v>1380</v>
      </c>
      <c r="I6420" s="6">
        <v>994.97117647058747</v>
      </c>
      <c r="J6420" s="5">
        <v>7200</v>
      </c>
      <c r="K6420" s="6">
        <f t="shared" si="263"/>
        <v>1.3869748517692808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85</v>
      </c>
      <c r="F6421" t="s">
        <v>61</v>
      </c>
      <c r="G6421" t="str">
        <f t="shared" si="262"/>
        <v>011LUMIA</v>
      </c>
      <c r="H6421" s="5">
        <v>1470</v>
      </c>
      <c r="I6421" s="6">
        <v>994.97117647058747</v>
      </c>
      <c r="J6421" s="5">
        <v>7920</v>
      </c>
      <c r="K6421" s="6">
        <f t="shared" si="263"/>
        <v>1.4774297334064079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85</v>
      </c>
      <c r="F6422" t="s">
        <v>89</v>
      </c>
      <c r="G6422" t="str">
        <f t="shared" si="262"/>
        <v>011STARDUST</v>
      </c>
      <c r="H6422" s="5">
        <v>5175</v>
      </c>
      <c r="I6422" s="6">
        <v>2263.7999998868127</v>
      </c>
      <c r="J6422" s="5">
        <v>17920</v>
      </c>
      <c r="K6422" s="6">
        <f t="shared" si="263"/>
        <v>2.2859793269099495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90</v>
      </c>
      <c r="F6423" t="s">
        <v>67</v>
      </c>
      <c r="G6423" t="str">
        <f t="shared" si="262"/>
        <v>012DEEP PURPLE</v>
      </c>
      <c r="H6423" s="5">
        <v>15270</v>
      </c>
      <c r="I6423" s="6">
        <v>6727.0499997982479</v>
      </c>
      <c r="J6423" s="5">
        <v>49210</v>
      </c>
      <c r="K6423" s="6">
        <f t="shared" si="263"/>
        <v>2.2699400183524672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90</v>
      </c>
      <c r="F6424" t="s">
        <v>60</v>
      </c>
      <c r="G6424" t="str">
        <f t="shared" si="262"/>
        <v>012LIGHT HOUSE</v>
      </c>
      <c r="H6424" s="5">
        <v>1950</v>
      </c>
      <c r="I6424" s="6">
        <v>994.95</v>
      </c>
      <c r="J6424" s="5">
        <v>7200</v>
      </c>
      <c r="K6424" s="6">
        <f t="shared" si="263"/>
        <v>1.9598974822855419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91</v>
      </c>
      <c r="F6425" t="s">
        <v>92</v>
      </c>
      <c r="G6425" t="str">
        <f t="shared" si="262"/>
        <v>013COUNTRY BLUES</v>
      </c>
      <c r="H6425" s="5">
        <v>1225</v>
      </c>
      <c r="I6425" s="6">
        <v>831.6</v>
      </c>
      <c r="J6425" s="5">
        <v>6300</v>
      </c>
      <c r="K6425" s="6">
        <f t="shared" si="263"/>
        <v>1.473063973063973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91</v>
      </c>
      <c r="F6426" t="s">
        <v>93</v>
      </c>
      <c r="G6426" t="str">
        <f t="shared" si="262"/>
        <v>013LORRAINE</v>
      </c>
      <c r="H6426" s="5">
        <v>2975</v>
      </c>
      <c r="I6426" s="6">
        <v>1267.2</v>
      </c>
      <c r="J6426" s="5">
        <v>9600</v>
      </c>
      <c r="K6426" s="6">
        <f t="shared" si="263"/>
        <v>2.3476957070707072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91</v>
      </c>
      <c r="F6427" t="s">
        <v>61</v>
      </c>
      <c r="G6427" t="str">
        <f t="shared" si="262"/>
        <v>013LUMIA</v>
      </c>
      <c r="H6427" s="5">
        <v>570</v>
      </c>
      <c r="I6427" s="6">
        <v>316.8</v>
      </c>
      <c r="J6427" s="5">
        <v>2400</v>
      </c>
      <c r="K6427" s="6">
        <f t="shared" si="263"/>
        <v>1.7992424242424241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91</v>
      </c>
      <c r="F6428" t="s">
        <v>74</v>
      </c>
      <c r="G6428" t="str">
        <f t="shared" si="262"/>
        <v>013VENDELA</v>
      </c>
      <c r="H6428" s="5">
        <v>8370</v>
      </c>
      <c r="I6428" s="6">
        <v>3603.6</v>
      </c>
      <c r="J6428" s="5">
        <v>27296</v>
      </c>
      <c r="K6428" s="6">
        <f t="shared" si="263"/>
        <v>2.3226773226773227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23</v>
      </c>
      <c r="F6429" t="s">
        <v>89</v>
      </c>
      <c r="G6429" t="str">
        <f t="shared" si="262"/>
        <v>014STARDUST</v>
      </c>
      <c r="H6429" s="5">
        <v>10475</v>
      </c>
      <c r="I6429" s="6">
        <v>3682.8</v>
      </c>
      <c r="J6429" s="5">
        <v>27900</v>
      </c>
      <c r="K6429" s="6">
        <f t="shared" si="263"/>
        <v>2.8443032475290537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25</v>
      </c>
      <c r="F6430" t="s">
        <v>68</v>
      </c>
      <c r="G6430" t="str">
        <f t="shared" si="262"/>
        <v>015JOCKER</v>
      </c>
      <c r="H6430" s="5">
        <v>6300</v>
      </c>
      <c r="I6430" s="6">
        <v>2376</v>
      </c>
      <c r="J6430" s="5">
        <v>18000</v>
      </c>
      <c r="K6430" s="6">
        <f t="shared" si="263"/>
        <v>2.6515151515151514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27</v>
      </c>
      <c r="F6431" t="s">
        <v>94</v>
      </c>
      <c r="G6431" t="str">
        <f t="shared" si="262"/>
        <v>016DREAM IN PEACH</v>
      </c>
      <c r="H6431" s="5">
        <v>2550</v>
      </c>
      <c r="I6431" s="6">
        <v>950.4</v>
      </c>
      <c r="J6431" s="5">
        <v>7200</v>
      </c>
      <c r="K6431" s="6">
        <f t="shared" si="263"/>
        <v>2.683080808080808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27</v>
      </c>
      <c r="F6432" t="s">
        <v>95</v>
      </c>
      <c r="G6432" t="str">
        <f t="shared" si="262"/>
        <v>016NINA</v>
      </c>
      <c r="H6432" s="5">
        <v>2900</v>
      </c>
      <c r="I6432" s="6">
        <v>1346.4</v>
      </c>
      <c r="J6432" s="5">
        <v>10200</v>
      </c>
      <c r="K6432" s="6">
        <f t="shared" si="263"/>
        <v>2.1538918597742125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30</v>
      </c>
      <c r="F6433" t="s">
        <v>81</v>
      </c>
      <c r="G6433" t="str">
        <f t="shared" si="262"/>
        <v>017FREEDOM</v>
      </c>
      <c r="H6433" s="5">
        <v>3570</v>
      </c>
      <c r="I6433" s="6">
        <v>2851.2</v>
      </c>
      <c r="J6433" s="5">
        <v>21600</v>
      </c>
      <c r="K6433" s="6">
        <f t="shared" si="263"/>
        <v>1.2521043771043772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30</v>
      </c>
      <c r="F6434" t="s">
        <v>73</v>
      </c>
      <c r="G6434" t="str">
        <f t="shared" si="262"/>
        <v>017GOLDFINCH</v>
      </c>
      <c r="H6434" s="5">
        <v>4700</v>
      </c>
      <c r="I6434" s="6">
        <v>2138.4</v>
      </c>
      <c r="J6434" s="5">
        <v>16200</v>
      </c>
      <c r="K6434" s="6">
        <f t="shared" si="263"/>
        <v>2.1979049756827536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32</v>
      </c>
      <c r="F6435" t="s">
        <v>86</v>
      </c>
      <c r="G6435" t="str">
        <f t="shared" si="262"/>
        <v>018BRIGHTON</v>
      </c>
      <c r="H6435" s="5">
        <v>2675</v>
      </c>
      <c r="I6435" s="6">
        <v>963.6</v>
      </c>
      <c r="J6435" s="5">
        <v>7570</v>
      </c>
      <c r="K6435" s="6">
        <f t="shared" si="263"/>
        <v>2.7760481527604814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35</v>
      </c>
      <c r="F6436" t="s">
        <v>86</v>
      </c>
      <c r="G6436" t="str">
        <f t="shared" si="262"/>
        <v>019BRIGHTON</v>
      </c>
      <c r="H6436" s="5">
        <v>7175</v>
      </c>
      <c r="I6436" s="6">
        <v>3168</v>
      </c>
      <c r="J6436" s="5">
        <v>24000</v>
      </c>
      <c r="K6436" s="6">
        <f t="shared" si="263"/>
        <v>2.2648358585858586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35</v>
      </c>
      <c r="F6437" t="s">
        <v>96</v>
      </c>
      <c r="G6437" t="str">
        <f t="shared" si="262"/>
        <v>019TABATHA</v>
      </c>
      <c r="H6437" s="5">
        <v>3690</v>
      </c>
      <c r="I6437" s="6">
        <v>1188</v>
      </c>
      <c r="J6437" s="5">
        <v>9000</v>
      </c>
      <c r="K6437" s="6">
        <f t="shared" si="263"/>
        <v>3.106060606060606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36</v>
      </c>
      <c r="F6438" t="s">
        <v>86</v>
      </c>
      <c r="G6438" t="str">
        <f t="shared" si="262"/>
        <v>020BRIGHTON</v>
      </c>
      <c r="H6438" s="5">
        <v>4850</v>
      </c>
      <c r="I6438" s="6">
        <v>2732.4</v>
      </c>
      <c r="J6438" s="5">
        <v>20700</v>
      </c>
      <c r="K6438" s="6">
        <f t="shared" si="263"/>
        <v>1.7749963402137314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36</v>
      </c>
      <c r="F6439" t="s">
        <v>97</v>
      </c>
      <c r="G6439" t="str">
        <f t="shared" si="262"/>
        <v>020TYCOON</v>
      </c>
      <c r="H6439" s="5">
        <v>1500</v>
      </c>
      <c r="I6439" s="6">
        <v>673.2</v>
      </c>
      <c r="J6439" s="5">
        <v>5100</v>
      </c>
      <c r="K6439" s="6">
        <f t="shared" si="263"/>
        <v>2.2281639928698751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38</v>
      </c>
      <c r="F6440" t="s">
        <v>98</v>
      </c>
      <c r="G6440" t="str">
        <f t="shared" si="262"/>
        <v>021SHOW GIRL</v>
      </c>
      <c r="H6440" s="5">
        <v>2600</v>
      </c>
      <c r="I6440" s="6">
        <v>1100.4749999999999</v>
      </c>
      <c r="J6440" s="5">
        <v>8000</v>
      </c>
      <c r="K6440" s="6">
        <f t="shared" si="263"/>
        <v>2.3626161430291468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43</v>
      </c>
      <c r="F6441" t="s">
        <v>99</v>
      </c>
      <c r="G6441" t="str">
        <f t="shared" si="262"/>
        <v>022CORAL REEF</v>
      </c>
      <c r="H6441" s="5">
        <v>1525</v>
      </c>
      <c r="I6441" s="6">
        <v>1287</v>
      </c>
      <c r="J6441" s="5">
        <v>9400</v>
      </c>
      <c r="K6441" s="6">
        <f t="shared" si="263"/>
        <v>1.184926184926185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100</v>
      </c>
      <c r="F6442" t="s">
        <v>70</v>
      </c>
      <c r="G6442" t="str">
        <f t="shared" si="262"/>
        <v>023COTOPAXI</v>
      </c>
      <c r="H6442" s="5">
        <v>5160</v>
      </c>
      <c r="I6442" s="6">
        <v>2641.14</v>
      </c>
      <c r="J6442" s="5">
        <v>19200</v>
      </c>
      <c r="K6442" s="6">
        <f t="shared" si="263"/>
        <v>1.9537018105817943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100</v>
      </c>
      <c r="F6443" t="s">
        <v>101</v>
      </c>
      <c r="G6443" t="str">
        <f t="shared" si="262"/>
        <v>023FRUTTETO</v>
      </c>
      <c r="H6443" s="5">
        <v>6540</v>
      </c>
      <c r="I6443" s="6">
        <v>2641.14</v>
      </c>
      <c r="J6443" s="5">
        <v>19200</v>
      </c>
      <c r="K6443" s="6">
        <f t="shared" si="263"/>
        <v>2.4762034575978555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102</v>
      </c>
      <c r="F6444" t="s">
        <v>70</v>
      </c>
      <c r="G6444" t="str">
        <f t="shared" si="262"/>
        <v>024COTOPAXI</v>
      </c>
      <c r="H6444" s="5">
        <v>2550</v>
      </c>
      <c r="I6444" s="6">
        <v>1430.6174906250001</v>
      </c>
      <c r="J6444" s="5">
        <v>10400</v>
      </c>
      <c r="K6444" s="6">
        <f t="shared" si="263"/>
        <v>1.7824471018357049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102</v>
      </c>
      <c r="F6445" t="s">
        <v>64</v>
      </c>
      <c r="G6445" t="str">
        <f t="shared" si="262"/>
        <v>024SWEETNESS</v>
      </c>
      <c r="H6445" s="5">
        <v>1590</v>
      </c>
      <c r="I6445" s="6">
        <v>1430.6175000000001</v>
      </c>
      <c r="J6445" s="5">
        <v>10400</v>
      </c>
      <c r="K6445" s="6">
        <f t="shared" si="263"/>
        <v>1.1114081856261369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102</v>
      </c>
      <c r="F6446" t="s">
        <v>97</v>
      </c>
      <c r="G6446" t="str">
        <f t="shared" si="262"/>
        <v>024TYCOON</v>
      </c>
      <c r="H6446" s="5">
        <v>8580</v>
      </c>
      <c r="I6446" s="6">
        <v>2861.2350000000001</v>
      </c>
      <c r="J6446" s="5">
        <v>20800</v>
      </c>
      <c r="K6446" s="6">
        <f t="shared" si="263"/>
        <v>2.9987051046139164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103</v>
      </c>
      <c r="F6447" t="s">
        <v>104</v>
      </c>
      <c r="G6447" t="str">
        <f t="shared" si="262"/>
        <v>025PINK MONDIAL</v>
      </c>
      <c r="H6447" s="5">
        <v>6325</v>
      </c>
      <c r="I6447" s="6">
        <v>3071.9505625000002</v>
      </c>
      <c r="J6447" s="5">
        <v>22400</v>
      </c>
      <c r="K6447" s="6">
        <f t="shared" si="263"/>
        <v>2.0589524054230282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45</v>
      </c>
      <c r="F6448" t="s">
        <v>105</v>
      </c>
      <c r="G6448" t="str">
        <f t="shared" si="262"/>
        <v>026LOLA</v>
      </c>
      <c r="H6448" s="5">
        <v>2375</v>
      </c>
      <c r="I6448" s="6">
        <v>1097.125</v>
      </c>
      <c r="J6448" s="5">
        <v>8000</v>
      </c>
      <c r="K6448" s="6">
        <f t="shared" si="263"/>
        <v>2.1647487752079297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45</v>
      </c>
      <c r="F6449" t="s">
        <v>106</v>
      </c>
      <c r="G6449" t="str">
        <f t="shared" si="262"/>
        <v>026PALOMA</v>
      </c>
      <c r="H6449" s="5">
        <v>4475</v>
      </c>
      <c r="I6449" s="6">
        <v>2852.5250000000001</v>
      </c>
      <c r="J6449" s="5">
        <v>20800</v>
      </c>
      <c r="K6449" s="6">
        <f t="shared" si="263"/>
        <v>1.568785549644613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107</v>
      </c>
      <c r="F6450" t="s">
        <v>108</v>
      </c>
      <c r="G6450" t="str">
        <f t="shared" ref="G6450:G6510" si="264">+E6450&amp;F6450</f>
        <v>027SATISFACTION</v>
      </c>
      <c r="H6450" s="5">
        <v>6990</v>
      </c>
      <c r="I6450" s="6">
        <v>2633.1</v>
      </c>
      <c r="J6450" s="5">
        <v>19200</v>
      </c>
      <c r="K6450" s="6">
        <f t="shared" si="263"/>
        <v>2.6546656032813036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107</v>
      </c>
      <c r="F6451" t="s">
        <v>109</v>
      </c>
      <c r="G6451" t="str">
        <f t="shared" si="264"/>
        <v>027TIFFANY</v>
      </c>
      <c r="H6451" s="5">
        <v>7470</v>
      </c>
      <c r="I6451" s="6">
        <v>2633.1</v>
      </c>
      <c r="J6451" s="5">
        <v>19200</v>
      </c>
      <c r="K6451" s="6">
        <f t="shared" si="263"/>
        <v>2.8369602369830238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110</v>
      </c>
      <c r="F6452" t="s">
        <v>70</v>
      </c>
      <c r="G6452" t="str">
        <f t="shared" si="264"/>
        <v>028COTOPAXI</v>
      </c>
      <c r="H6452" s="5">
        <v>5280</v>
      </c>
      <c r="I6452" s="6">
        <v>2852.5250000000001</v>
      </c>
      <c r="J6452" s="5">
        <v>20800</v>
      </c>
      <c r="K6452" s="6">
        <f t="shared" si="263"/>
        <v>1.850991665279007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110</v>
      </c>
      <c r="F6453" t="s">
        <v>67</v>
      </c>
      <c r="G6453" t="str">
        <f t="shared" si="264"/>
        <v>028DEEP PURPLE</v>
      </c>
      <c r="H6453" s="5">
        <v>9480</v>
      </c>
      <c r="I6453" s="6">
        <v>2852.5250000000001</v>
      </c>
      <c r="J6453" s="5">
        <v>20800</v>
      </c>
      <c r="K6453" s="6">
        <f t="shared" si="263"/>
        <v>3.3233713990236717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111</v>
      </c>
      <c r="F6454" t="s">
        <v>112</v>
      </c>
      <c r="G6454" t="str">
        <f t="shared" si="264"/>
        <v>029PINK FLOYD</v>
      </c>
      <c r="H6454" s="5">
        <v>3975</v>
      </c>
      <c r="I6454" s="6">
        <v>3071.95</v>
      </c>
      <c r="J6454" s="5">
        <v>22400</v>
      </c>
      <c r="K6454" s="6">
        <f t="shared" si="263"/>
        <v>1.2939663731506048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47</v>
      </c>
      <c r="F6455" t="s">
        <v>57</v>
      </c>
      <c r="G6455" t="str">
        <f t="shared" si="264"/>
        <v>030EXPLORER</v>
      </c>
      <c r="H6455" s="5">
        <v>2050</v>
      </c>
      <c r="I6455" s="6">
        <v>1645.6875</v>
      </c>
      <c r="J6455" s="5">
        <v>12000</v>
      </c>
      <c r="K6455" s="6">
        <f t="shared" si="263"/>
        <v>1.245679996961756</v>
      </c>
    </row>
    <row r="6456" spans="1:11">
      <c r="A6456" s="4">
        <v>2026</v>
      </c>
      <c r="B6456">
        <v>8</v>
      </c>
      <c r="C6456" t="s">
        <v>10</v>
      </c>
      <c r="D6456" t="s">
        <v>11</v>
      </c>
      <c r="E6456" t="s">
        <v>12</v>
      </c>
      <c r="F6456" t="s">
        <v>13</v>
      </c>
      <c r="G6456" t="str">
        <f t="shared" si="264"/>
        <v>002SOMERSET</v>
      </c>
      <c r="H6456" s="5">
        <v>8240</v>
      </c>
      <c r="I6456" s="6">
        <v>4121.4642855494085</v>
      </c>
      <c r="J6456" s="5">
        <v>31200</v>
      </c>
      <c r="K6456" s="6">
        <f t="shared" si="263"/>
        <v>1.9992894343136527</v>
      </c>
    </row>
    <row r="6457" spans="1:11">
      <c r="A6457" s="4">
        <v>2026</v>
      </c>
      <c r="B6457">
        <v>8</v>
      </c>
      <c r="C6457" t="s">
        <v>10</v>
      </c>
      <c r="D6457" t="s">
        <v>11</v>
      </c>
      <c r="E6457" t="s">
        <v>14</v>
      </c>
      <c r="F6457" t="s">
        <v>15</v>
      </c>
      <c r="G6457" t="str">
        <f t="shared" si="264"/>
        <v>004BELLINA</v>
      </c>
      <c r="H6457" s="5">
        <v>1410</v>
      </c>
      <c r="I6457" s="6">
        <v>1056.7857142434418</v>
      </c>
      <c r="J6457" s="5">
        <v>8000</v>
      </c>
      <c r="K6457" s="6">
        <f t="shared" si="263"/>
        <v>1.3342345387488759</v>
      </c>
    </row>
    <row r="6458" spans="1:11">
      <c r="A6458" s="4">
        <v>2026</v>
      </c>
      <c r="B6458">
        <v>8</v>
      </c>
      <c r="C6458" t="s">
        <v>10</v>
      </c>
      <c r="D6458" t="s">
        <v>11</v>
      </c>
      <c r="E6458" t="s">
        <v>16</v>
      </c>
      <c r="F6458" t="s">
        <v>17</v>
      </c>
      <c r="G6458" t="str">
        <f t="shared" si="264"/>
        <v>005ELBA</v>
      </c>
      <c r="H6458" s="5">
        <v>9930</v>
      </c>
      <c r="I6458" s="6">
        <v>2641.9642856076484</v>
      </c>
      <c r="J6458" s="5">
        <v>19996</v>
      </c>
      <c r="K6458" s="6">
        <f t="shared" si="263"/>
        <v>3.7585670836258531</v>
      </c>
    </row>
    <row r="6459" spans="1:11">
      <c r="A6459" s="4">
        <v>2026</v>
      </c>
      <c r="B6459">
        <v>8</v>
      </c>
      <c r="C6459" t="s">
        <v>10</v>
      </c>
      <c r="D6459" t="s">
        <v>11</v>
      </c>
      <c r="E6459" t="s">
        <v>16</v>
      </c>
      <c r="F6459" t="s">
        <v>18</v>
      </c>
      <c r="G6459" t="str">
        <f t="shared" si="264"/>
        <v>005HOT BUBBLES</v>
      </c>
      <c r="H6459" s="5">
        <v>1160</v>
      </c>
      <c r="I6459" s="6">
        <v>528.39285712153003</v>
      </c>
      <c r="J6459" s="5">
        <v>4000</v>
      </c>
      <c r="K6459" s="6">
        <f t="shared" si="263"/>
        <v>2.1953362623393691</v>
      </c>
    </row>
    <row r="6460" spans="1:11">
      <c r="A6460" s="4">
        <v>2026</v>
      </c>
      <c r="B6460">
        <v>8</v>
      </c>
      <c r="C6460" t="s">
        <v>10</v>
      </c>
      <c r="D6460" t="s">
        <v>11</v>
      </c>
      <c r="E6460" t="s">
        <v>16</v>
      </c>
      <c r="F6460" t="s">
        <v>19</v>
      </c>
      <c r="G6460" t="str">
        <f t="shared" si="264"/>
        <v>005SUSPIRO</v>
      </c>
      <c r="H6460" s="5">
        <v>4050</v>
      </c>
      <c r="I6460" s="6">
        <v>1902.2142856375078</v>
      </c>
      <c r="J6460" s="5">
        <v>14400</v>
      </c>
      <c r="K6460" s="6">
        <f t="shared" ref="K6460:K6519" si="265">+H6460/I6460</f>
        <v>2.129097668217061</v>
      </c>
    </row>
    <row r="6461" spans="1:11">
      <c r="A6461" s="4">
        <v>2026</v>
      </c>
      <c r="B6461">
        <v>8</v>
      </c>
      <c r="C6461" t="s">
        <v>10</v>
      </c>
      <c r="D6461" t="s">
        <v>11</v>
      </c>
      <c r="E6461" t="s">
        <v>20</v>
      </c>
      <c r="F6461" t="s">
        <v>21</v>
      </c>
      <c r="G6461" t="str">
        <f t="shared" si="264"/>
        <v>007SNOW BUBBLES</v>
      </c>
      <c r="H6461" s="5">
        <v>700</v>
      </c>
      <c r="I6461" s="6">
        <v>634.05652706821195</v>
      </c>
      <c r="J6461" s="5">
        <v>4800</v>
      </c>
      <c r="K6461" s="6">
        <f t="shared" si="265"/>
        <v>1.104002514155483</v>
      </c>
    </row>
    <row r="6462" spans="1:11">
      <c r="A6462" s="4">
        <v>2026</v>
      </c>
      <c r="B6462">
        <v>8</v>
      </c>
      <c r="C6462" t="s">
        <v>10</v>
      </c>
      <c r="D6462" t="s">
        <v>11</v>
      </c>
      <c r="E6462" t="s">
        <v>22</v>
      </c>
      <c r="F6462" t="s">
        <v>18</v>
      </c>
      <c r="G6462" t="str">
        <f t="shared" si="264"/>
        <v>009HOT BUBBLES</v>
      </c>
      <c r="H6462" s="5">
        <v>7940</v>
      </c>
      <c r="I6462" s="6">
        <v>4487.9999999102474</v>
      </c>
      <c r="J6462" s="5">
        <v>31740</v>
      </c>
      <c r="K6462" s="6">
        <f t="shared" si="265"/>
        <v>1.7691622103740612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23</v>
      </c>
      <c r="F6463" t="s">
        <v>24</v>
      </c>
      <c r="G6463" t="str">
        <f t="shared" si="264"/>
        <v>014FRUITY BUBBLES</v>
      </c>
      <c r="H6463" s="5">
        <v>2550</v>
      </c>
      <c r="I6463" s="6">
        <v>1702.8</v>
      </c>
      <c r="J6463" s="5">
        <v>12900</v>
      </c>
      <c r="K6463" s="6">
        <f t="shared" si="265"/>
        <v>1.4975334742776603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25</v>
      </c>
      <c r="F6464" t="s">
        <v>26</v>
      </c>
      <c r="G6464" t="str">
        <f t="shared" si="264"/>
        <v>015FELLINI</v>
      </c>
      <c r="H6464" s="5">
        <v>6900</v>
      </c>
      <c r="I6464" s="6">
        <v>3009.6</v>
      </c>
      <c r="J6464" s="5">
        <v>22800</v>
      </c>
      <c r="K6464" s="6">
        <f t="shared" si="265"/>
        <v>2.2926634768740031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27</v>
      </c>
      <c r="F6465" t="s">
        <v>28</v>
      </c>
      <c r="G6465" t="str">
        <f t="shared" si="264"/>
        <v>016GOOD PEACH</v>
      </c>
      <c r="H6465" s="5">
        <v>3600</v>
      </c>
      <c r="I6465" s="6">
        <v>1386</v>
      </c>
      <c r="J6465" s="5">
        <v>10500</v>
      </c>
      <c r="K6465" s="6">
        <f t="shared" si="265"/>
        <v>2.5974025974025974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27</v>
      </c>
      <c r="F6466" t="s">
        <v>29</v>
      </c>
      <c r="G6466" t="str">
        <f t="shared" si="264"/>
        <v>016GOOD YELLOW</v>
      </c>
      <c r="H6466" s="5">
        <v>3150</v>
      </c>
      <c r="I6466" s="6">
        <v>1386</v>
      </c>
      <c r="J6466" s="5">
        <v>10500</v>
      </c>
      <c r="K6466" s="6">
        <f t="shared" si="265"/>
        <v>2.2727272727272729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30</v>
      </c>
      <c r="F6467" t="s">
        <v>31</v>
      </c>
      <c r="G6467" t="str">
        <f t="shared" si="264"/>
        <v>017ORANGE STAR</v>
      </c>
      <c r="H6467" s="5">
        <v>1625</v>
      </c>
      <c r="I6467" s="6">
        <v>1029.5999999999999</v>
      </c>
      <c r="J6467" s="5">
        <v>7800</v>
      </c>
      <c r="K6467" s="6">
        <f t="shared" si="265"/>
        <v>1.5782828282828285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32</v>
      </c>
      <c r="F6468" t="s">
        <v>33</v>
      </c>
      <c r="G6468" t="str">
        <f t="shared" si="264"/>
        <v>018COSMO</v>
      </c>
      <c r="H6468" s="5">
        <v>4300</v>
      </c>
      <c r="I6468" s="6">
        <v>2653.2</v>
      </c>
      <c r="J6468" s="5">
        <v>20100</v>
      </c>
      <c r="K6468" s="6">
        <f t="shared" si="265"/>
        <v>1.6206844565053522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32</v>
      </c>
      <c r="F6469" t="s">
        <v>34</v>
      </c>
      <c r="G6469" t="str">
        <f t="shared" si="264"/>
        <v>018RUBICON</v>
      </c>
      <c r="H6469" s="5">
        <v>3600</v>
      </c>
      <c r="I6469" s="6">
        <v>1768.8</v>
      </c>
      <c r="J6469" s="5">
        <v>13400</v>
      </c>
      <c r="K6469" s="6">
        <f t="shared" si="265"/>
        <v>2.0352781546811398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35</v>
      </c>
      <c r="F6470" t="s">
        <v>15</v>
      </c>
      <c r="G6470" t="str">
        <f t="shared" si="264"/>
        <v>019BELLINA</v>
      </c>
      <c r="H6470" s="5">
        <v>2235</v>
      </c>
      <c r="I6470" s="6">
        <v>1029.5999999999999</v>
      </c>
      <c r="J6470" s="5">
        <v>7800</v>
      </c>
      <c r="K6470" s="6">
        <f t="shared" si="265"/>
        <v>2.170745920745921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36</v>
      </c>
      <c r="F6471" t="s">
        <v>37</v>
      </c>
      <c r="G6471" t="str">
        <f t="shared" si="264"/>
        <v>020SUMMER DANCE</v>
      </c>
      <c r="H6471" s="5">
        <v>2200</v>
      </c>
      <c r="I6471" s="6">
        <v>1346.4</v>
      </c>
      <c r="J6471" s="5">
        <v>10200</v>
      </c>
      <c r="K6471" s="6">
        <f t="shared" si="265"/>
        <v>1.6339869281045751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38</v>
      </c>
      <c r="F6472" t="s">
        <v>39</v>
      </c>
      <c r="G6472" t="str">
        <f t="shared" si="264"/>
        <v>021ELEGANT ROSEVER</v>
      </c>
      <c r="H6472" s="5">
        <v>510</v>
      </c>
      <c r="I6472" s="6">
        <v>440.18999062500001</v>
      </c>
      <c r="J6472" s="5">
        <v>3200</v>
      </c>
      <c r="K6472" s="6">
        <f t="shared" si="265"/>
        <v>1.1585906332760563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38</v>
      </c>
      <c r="F6473" t="s">
        <v>40</v>
      </c>
      <c r="G6473" t="str">
        <f t="shared" si="264"/>
        <v>021FLAME CLUB</v>
      </c>
      <c r="H6473" s="5">
        <v>1725</v>
      </c>
      <c r="I6473" s="6">
        <v>880.38</v>
      </c>
      <c r="J6473" s="5">
        <v>6400</v>
      </c>
      <c r="K6473" s="6">
        <f t="shared" si="265"/>
        <v>1.9593811763102298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38</v>
      </c>
      <c r="F6474" t="s">
        <v>41</v>
      </c>
      <c r="G6474" t="str">
        <f t="shared" si="264"/>
        <v>021KELLY</v>
      </c>
      <c r="H6474" s="5">
        <v>975</v>
      </c>
      <c r="I6474" s="6">
        <v>330.14249999999998</v>
      </c>
      <c r="J6474" s="5">
        <v>2400</v>
      </c>
      <c r="K6474" s="6">
        <f t="shared" si="265"/>
        <v>2.9532701787864331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38</v>
      </c>
      <c r="F6475" t="s">
        <v>42</v>
      </c>
      <c r="G6475" t="str">
        <f t="shared" si="264"/>
        <v>021LEILA</v>
      </c>
      <c r="H6475" s="5">
        <v>9450</v>
      </c>
      <c r="I6475" s="6">
        <v>1430.6175000000001</v>
      </c>
      <c r="J6475" s="5">
        <v>10400</v>
      </c>
      <c r="K6475" s="6">
        <f t="shared" si="265"/>
        <v>6.6055392164572284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38</v>
      </c>
      <c r="F6476" t="s">
        <v>21</v>
      </c>
      <c r="G6476" t="str">
        <f t="shared" si="264"/>
        <v>021SNOW BUBBLES</v>
      </c>
      <c r="H6476" s="5">
        <v>2620</v>
      </c>
      <c r="I6476" s="6">
        <v>1287.0000000000018</v>
      </c>
      <c r="J6476" s="5">
        <v>9400</v>
      </c>
      <c r="K6476" s="6">
        <f t="shared" si="265"/>
        <v>2.0357420357420328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43</v>
      </c>
      <c r="F6477" t="s">
        <v>24</v>
      </c>
      <c r="G6477" t="str">
        <f t="shared" si="264"/>
        <v>022FRUITY BUBBLES</v>
      </c>
      <c r="H6477" s="5">
        <v>4350</v>
      </c>
      <c r="I6477" s="6">
        <v>2641.14</v>
      </c>
      <c r="J6477" s="5">
        <v>19200</v>
      </c>
      <c r="K6477" s="6">
        <f t="shared" si="265"/>
        <v>1.6470160612462801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43</v>
      </c>
      <c r="F6478" t="s">
        <v>28</v>
      </c>
      <c r="G6478" t="str">
        <f t="shared" si="264"/>
        <v>022GOOD PEACH</v>
      </c>
      <c r="H6478" s="5">
        <v>2430</v>
      </c>
      <c r="I6478" s="6">
        <v>880.38</v>
      </c>
      <c r="J6478" s="5">
        <v>6400</v>
      </c>
      <c r="K6478" s="6">
        <f t="shared" si="265"/>
        <v>2.7601717440196278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43</v>
      </c>
      <c r="F6479" t="s">
        <v>44</v>
      </c>
      <c r="G6479" t="str">
        <f t="shared" si="264"/>
        <v>022MIRABEL</v>
      </c>
      <c r="H6479" s="5">
        <v>1100</v>
      </c>
      <c r="I6479" s="6">
        <v>880.38</v>
      </c>
      <c r="J6479" s="5">
        <v>6400</v>
      </c>
      <c r="K6479" s="6">
        <f t="shared" si="265"/>
        <v>1.2494604602557986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47</v>
      </c>
      <c r="F6480" t="s">
        <v>44</v>
      </c>
      <c r="G6480" t="str">
        <f t="shared" si="264"/>
        <v>030MIRABEL</v>
      </c>
      <c r="H6480" s="5">
        <v>4500</v>
      </c>
      <c r="I6480" s="6">
        <v>2413.6749943750001</v>
      </c>
      <c r="J6480" s="5">
        <v>17600</v>
      </c>
      <c r="K6480" s="6">
        <f t="shared" si="265"/>
        <v>1.8643769399306536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47</v>
      </c>
      <c r="F6481" t="s">
        <v>13</v>
      </c>
      <c r="G6481" t="str">
        <f t="shared" si="264"/>
        <v>030SOMERSET</v>
      </c>
      <c r="H6481" s="5">
        <v>3660</v>
      </c>
      <c r="I6481" s="6">
        <v>1645.6875</v>
      </c>
      <c r="J6481" s="5">
        <v>12000</v>
      </c>
      <c r="K6481" s="6">
        <f t="shared" si="265"/>
        <v>2.2239945311609888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48</v>
      </c>
      <c r="F6482" t="s">
        <v>49</v>
      </c>
      <c r="G6482" t="str">
        <f t="shared" si="264"/>
        <v>03182989</v>
      </c>
      <c r="H6482" s="5">
        <v>1380</v>
      </c>
      <c r="I6482" s="6">
        <v>726.32013058333712</v>
      </c>
      <c r="J6482" s="5">
        <v>5712</v>
      </c>
      <c r="K6482" s="6">
        <f t="shared" si="265"/>
        <v>1.8999886439766802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48</v>
      </c>
      <c r="F6483" t="s">
        <v>34</v>
      </c>
      <c r="G6483" t="str">
        <f t="shared" si="264"/>
        <v>031RUBICON</v>
      </c>
      <c r="H6483" s="5">
        <v>2880</v>
      </c>
      <c r="I6483" s="6">
        <v>924.39958333667107</v>
      </c>
      <c r="J6483" s="5">
        <v>6720</v>
      </c>
      <c r="K6483" s="6">
        <f t="shared" si="265"/>
        <v>3.1155358049864992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48</v>
      </c>
      <c r="F6484" t="s">
        <v>13</v>
      </c>
      <c r="G6484" t="str">
        <f t="shared" si="264"/>
        <v>031SOMERSET</v>
      </c>
      <c r="H6484" s="5">
        <v>2760</v>
      </c>
      <c r="I6484" s="6">
        <v>1122.485208333339</v>
      </c>
      <c r="J6484" s="5">
        <v>8160</v>
      </c>
      <c r="K6484" s="6">
        <f t="shared" si="265"/>
        <v>2.4588297284540932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48</v>
      </c>
      <c r="F6485" t="s">
        <v>50</v>
      </c>
      <c r="G6485" t="str">
        <f t="shared" si="264"/>
        <v>031VELVET BLOSSOMS</v>
      </c>
      <c r="H6485" s="5">
        <v>520</v>
      </c>
      <c r="I6485" s="6">
        <v>396.17125000000198</v>
      </c>
      <c r="J6485" s="5">
        <v>2880</v>
      </c>
      <c r="K6485" s="6">
        <f t="shared" si="265"/>
        <v>1.312563695624045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51</v>
      </c>
      <c r="F6486" t="s">
        <v>17</v>
      </c>
      <c r="G6486" t="str">
        <f t="shared" si="264"/>
        <v>032ELBA</v>
      </c>
      <c r="H6486" s="5">
        <v>3090</v>
      </c>
      <c r="I6486" s="6">
        <v>1535.9749999999999</v>
      </c>
      <c r="J6486" s="5">
        <v>11200</v>
      </c>
      <c r="K6486" s="6">
        <f t="shared" si="265"/>
        <v>2.0117514933511287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51</v>
      </c>
      <c r="F6487" t="s">
        <v>44</v>
      </c>
      <c r="G6487" t="str">
        <f t="shared" si="264"/>
        <v>032MIRABEL</v>
      </c>
      <c r="H6487" s="5">
        <v>1880</v>
      </c>
      <c r="I6487" s="6">
        <v>1535.9749999999999</v>
      </c>
      <c r="J6487" s="5">
        <v>11200</v>
      </c>
      <c r="K6487" s="6">
        <f t="shared" si="265"/>
        <v>1.2239782548544085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52</v>
      </c>
      <c r="F6488" t="s">
        <v>53</v>
      </c>
      <c r="G6488" t="str">
        <f t="shared" si="264"/>
        <v>033CREAMY FOLIES</v>
      </c>
      <c r="H6488" s="5">
        <v>1140</v>
      </c>
      <c r="I6488" s="6">
        <v>594.25687500000299</v>
      </c>
      <c r="J6488" s="5">
        <v>4320</v>
      </c>
      <c r="K6488" s="6">
        <f t="shared" si="265"/>
        <v>1.9183623243736041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52</v>
      </c>
      <c r="F6489" t="s">
        <v>18</v>
      </c>
      <c r="G6489" t="str">
        <f t="shared" si="264"/>
        <v>033HOT BUBBLES</v>
      </c>
      <c r="H6489" s="5">
        <v>3480</v>
      </c>
      <c r="I6489" s="6">
        <v>2575.1131250013459</v>
      </c>
      <c r="J6489" s="5">
        <v>18720</v>
      </c>
      <c r="K6489" s="6">
        <f t="shared" si="265"/>
        <v>1.3513969410560094</v>
      </c>
    </row>
    <row r="6490" spans="1:11">
      <c r="A6490" s="4">
        <v>2026</v>
      </c>
      <c r="B6490">
        <v>8</v>
      </c>
      <c r="C6490" t="s">
        <v>54</v>
      </c>
      <c r="D6490" t="s">
        <v>11</v>
      </c>
      <c r="E6490" t="s">
        <v>55</v>
      </c>
      <c r="F6490" t="s">
        <v>56</v>
      </c>
      <c r="G6490" t="str">
        <f t="shared" si="264"/>
        <v>001BELIEVE IN PINK</v>
      </c>
      <c r="H6490" s="5">
        <v>1410</v>
      </c>
      <c r="I6490" s="6">
        <v>528.37931032368999</v>
      </c>
      <c r="J6490" s="5">
        <v>4000</v>
      </c>
      <c r="K6490" s="6">
        <f t="shared" ref="K6490:K6495" si="266">IFERROR(H6490/I6490,"")</f>
        <v>2.6685374927648495</v>
      </c>
    </row>
    <row r="6491" spans="1:11">
      <c r="A6491" s="4">
        <v>2026</v>
      </c>
      <c r="B6491">
        <v>8</v>
      </c>
      <c r="C6491" t="s">
        <v>54</v>
      </c>
      <c r="D6491" t="s">
        <v>11</v>
      </c>
      <c r="E6491" t="s">
        <v>55</v>
      </c>
      <c r="F6491" t="s">
        <v>57</v>
      </c>
      <c r="G6491" t="str">
        <f t="shared" si="264"/>
        <v>001EXPLORER</v>
      </c>
      <c r="H6491" s="5">
        <v>3625</v>
      </c>
      <c r="I6491" s="6">
        <v>2272.0310343918732</v>
      </c>
      <c r="J6491" s="5">
        <v>17200</v>
      </c>
      <c r="K6491" s="6">
        <f t="shared" si="266"/>
        <v>1.5954887697959017</v>
      </c>
    </row>
    <row r="6492" spans="1:11">
      <c r="A6492" s="4">
        <v>2026</v>
      </c>
      <c r="B6492">
        <v>8</v>
      </c>
      <c r="C6492" t="s">
        <v>54</v>
      </c>
      <c r="D6492" t="s">
        <v>11</v>
      </c>
      <c r="E6492" t="s">
        <v>55</v>
      </c>
      <c r="F6492" t="s">
        <v>58</v>
      </c>
      <c r="G6492" t="str">
        <f t="shared" si="264"/>
        <v>001GRACE KELLY</v>
      </c>
      <c r="H6492" s="5">
        <v>2760</v>
      </c>
      <c r="I6492" s="6">
        <v>1162.4344827121224</v>
      </c>
      <c r="J6492" s="5">
        <v>8800</v>
      </c>
      <c r="K6492" s="6">
        <f t="shared" si="266"/>
        <v>2.3743273630015977</v>
      </c>
    </row>
    <row r="6493" spans="1:11">
      <c r="A6493" s="4">
        <v>2026</v>
      </c>
      <c r="B6493">
        <v>8</v>
      </c>
      <c r="C6493" t="s">
        <v>54</v>
      </c>
      <c r="D6493" t="s">
        <v>11</v>
      </c>
      <c r="E6493" t="s">
        <v>55</v>
      </c>
      <c r="F6493" t="s">
        <v>60</v>
      </c>
      <c r="G6493" t="str">
        <f t="shared" si="264"/>
        <v>001LIGHT HOUSE</v>
      </c>
      <c r="H6493" s="5">
        <v>2190</v>
      </c>
      <c r="I6493" s="6">
        <v>1056.7586206473827</v>
      </c>
      <c r="J6493" s="5">
        <v>8000</v>
      </c>
      <c r="K6493" s="6">
        <f t="shared" si="266"/>
        <v>2.0723748614024839</v>
      </c>
    </row>
    <row r="6494" spans="1:11">
      <c r="A6494" s="4">
        <v>2026</v>
      </c>
      <c r="B6494">
        <v>8</v>
      </c>
      <c r="C6494" t="s">
        <v>54</v>
      </c>
      <c r="D6494" t="s">
        <v>11</v>
      </c>
      <c r="E6494" t="s">
        <v>55</v>
      </c>
      <c r="F6494" t="s">
        <v>61</v>
      </c>
      <c r="G6494" t="str">
        <f t="shared" si="264"/>
        <v>001LUMIA</v>
      </c>
      <c r="H6494" s="5">
        <v>1680</v>
      </c>
      <c r="I6494" s="6">
        <v>1109.596551679753</v>
      </c>
      <c r="J6494" s="5">
        <v>8400</v>
      </c>
      <c r="K6494" s="6">
        <f t="shared" si="266"/>
        <v>1.5140638256821786</v>
      </c>
    </row>
    <row r="6495" spans="1:11">
      <c r="A6495" s="4">
        <v>2026</v>
      </c>
      <c r="B6495">
        <v>8</v>
      </c>
      <c r="C6495" t="s">
        <v>54</v>
      </c>
      <c r="D6495" t="s">
        <v>11</v>
      </c>
      <c r="E6495" t="s">
        <v>55</v>
      </c>
      <c r="F6495" t="s">
        <v>62</v>
      </c>
      <c r="G6495" t="str">
        <f t="shared" si="264"/>
        <v>001MOMENTUM</v>
      </c>
      <c r="H6495" s="5">
        <v>4675</v>
      </c>
      <c r="I6495" s="6">
        <v>1902.1655171652881</v>
      </c>
      <c r="J6495" s="5">
        <v>14400</v>
      </c>
      <c r="K6495" s="6">
        <f t="shared" si="266"/>
        <v>2.4577251337028456</v>
      </c>
    </row>
    <row r="6496" spans="1:11">
      <c r="A6496" s="4">
        <v>2026</v>
      </c>
      <c r="B6496">
        <v>8</v>
      </c>
      <c r="C6496" t="s">
        <v>54</v>
      </c>
      <c r="D6496" t="s">
        <v>11</v>
      </c>
      <c r="E6496" t="s">
        <v>12</v>
      </c>
      <c r="F6496" t="s">
        <v>63</v>
      </c>
      <c r="G6496" t="str">
        <f t="shared" si="264"/>
        <v>002SUMMER ROMANCE</v>
      </c>
      <c r="H6496" s="5">
        <v>1925</v>
      </c>
      <c r="I6496" s="6">
        <v>951.10714281909407</v>
      </c>
      <c r="J6496" s="5">
        <v>7200</v>
      </c>
      <c r="K6496" s="6">
        <f t="shared" si="265"/>
        <v>2.023957042625371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12</v>
      </c>
      <c r="F6497" t="s">
        <v>64</v>
      </c>
      <c r="G6497" t="str">
        <f t="shared" si="264"/>
        <v>002SWEETNESS</v>
      </c>
      <c r="H6497" s="5">
        <v>8220</v>
      </c>
      <c r="I6497" s="6">
        <v>3804.4285712763772</v>
      </c>
      <c r="J6497" s="5">
        <v>28800</v>
      </c>
      <c r="K6497" s="6">
        <f t="shared" si="265"/>
        <v>2.1606398558935775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65</v>
      </c>
      <c r="F6498" t="s">
        <v>66</v>
      </c>
      <c r="G6498" t="str">
        <f t="shared" si="264"/>
        <v>003CABARET</v>
      </c>
      <c r="H6498" s="5">
        <v>7170</v>
      </c>
      <c r="I6498" s="6">
        <v>2641.8965516184649</v>
      </c>
      <c r="J6498" s="5">
        <v>20000</v>
      </c>
      <c r="K6498" s="6">
        <f t="shared" si="265"/>
        <v>2.7139594075352997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65</v>
      </c>
      <c r="F6499" t="s">
        <v>67</v>
      </c>
      <c r="G6499" t="str">
        <f t="shared" si="264"/>
        <v>003DEEP PURPLE</v>
      </c>
      <c r="H6499" s="5">
        <v>10050</v>
      </c>
      <c r="I6499" s="6">
        <v>3592.9793102010913</v>
      </c>
      <c r="J6499" s="5">
        <v>26044</v>
      </c>
      <c r="K6499" s="6">
        <f t="shared" si="265"/>
        <v>2.797121589725359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65</v>
      </c>
      <c r="F6500" t="s">
        <v>57</v>
      </c>
      <c r="G6500" t="str">
        <f t="shared" si="264"/>
        <v>003EXPLORER</v>
      </c>
      <c r="H6500" s="5">
        <v>1750</v>
      </c>
      <c r="I6500" s="6">
        <v>1268.1103447768633</v>
      </c>
      <c r="J6500" s="5">
        <v>9600</v>
      </c>
      <c r="K6500" s="6">
        <f t="shared" si="265"/>
        <v>1.3800060911165661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65</v>
      </c>
      <c r="F6501" t="s">
        <v>68</v>
      </c>
      <c r="G6501" t="str">
        <f t="shared" si="264"/>
        <v>003JOCKER</v>
      </c>
      <c r="H6501" s="5">
        <v>1075</v>
      </c>
      <c r="I6501" s="6">
        <v>528.37931032368999</v>
      </c>
      <c r="J6501" s="5">
        <v>4000</v>
      </c>
      <c r="K6501" s="6">
        <f t="shared" si="265"/>
        <v>2.0345232657604346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65</v>
      </c>
      <c r="F6502" t="s">
        <v>69</v>
      </c>
      <c r="G6502" t="str">
        <f t="shared" si="264"/>
        <v>003QUICKSAND</v>
      </c>
      <c r="H6502" s="5">
        <v>2130</v>
      </c>
      <c r="I6502" s="6">
        <v>1162.4344827121247</v>
      </c>
      <c r="J6502" s="5">
        <v>8800</v>
      </c>
      <c r="K6502" s="6">
        <f t="shared" si="265"/>
        <v>1.83236133449036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14</v>
      </c>
      <c r="F6503" t="s">
        <v>70</v>
      </c>
      <c r="G6503" t="str">
        <f t="shared" si="264"/>
        <v>004COTOPAXI</v>
      </c>
      <c r="H6503" s="5">
        <v>540</v>
      </c>
      <c r="I6503" s="6">
        <v>528.3915024419166</v>
      </c>
      <c r="J6503" s="5">
        <v>4000</v>
      </c>
      <c r="K6503" s="6">
        <f t="shared" si="265"/>
        <v>1.02196950084253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14</v>
      </c>
      <c r="F6504" t="s">
        <v>67</v>
      </c>
      <c r="G6504" t="str">
        <f t="shared" si="264"/>
        <v>004DEEP PURPLE</v>
      </c>
      <c r="H6504" s="5">
        <v>9780</v>
      </c>
      <c r="I6504" s="6">
        <v>3910.1071427007282</v>
      </c>
      <c r="J6504" s="5">
        <v>29260</v>
      </c>
      <c r="K6504" s="6">
        <f t="shared" si="265"/>
        <v>2.5012102336522961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14</v>
      </c>
      <c r="F6505" t="s">
        <v>71</v>
      </c>
      <c r="G6505" t="str">
        <f t="shared" si="264"/>
        <v>004HOT EXPLORER</v>
      </c>
      <c r="H6505" s="5">
        <v>3525</v>
      </c>
      <c r="I6505" s="6">
        <v>1902.2142856381945</v>
      </c>
      <c r="J6505" s="5">
        <v>14400</v>
      </c>
      <c r="K6505" s="6">
        <f t="shared" si="265"/>
        <v>1.8531035260401063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14</v>
      </c>
      <c r="F6506" t="s">
        <v>72</v>
      </c>
      <c r="G6506" t="str">
        <f t="shared" si="264"/>
        <v>004HOT MERENGUE</v>
      </c>
      <c r="H6506" s="5">
        <v>3660</v>
      </c>
      <c r="I6506" s="6">
        <v>1162.4642856677858</v>
      </c>
      <c r="J6506" s="5">
        <v>8800</v>
      </c>
      <c r="K6506" s="6">
        <f t="shared" si="265"/>
        <v>3.1484838245137889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14</v>
      </c>
      <c r="F6507" t="s">
        <v>64</v>
      </c>
      <c r="G6507" t="str">
        <f t="shared" si="264"/>
        <v>004SWEETNESS</v>
      </c>
      <c r="H6507" s="5">
        <v>840</v>
      </c>
      <c r="I6507" s="6">
        <v>317.03571427303262</v>
      </c>
      <c r="J6507" s="5">
        <v>2400</v>
      </c>
      <c r="K6507" s="6">
        <f t="shared" si="265"/>
        <v>2.649543764891384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16</v>
      </c>
      <c r="F6508" t="s">
        <v>57</v>
      </c>
      <c r="G6508" t="str">
        <f t="shared" si="264"/>
        <v>005EXPLORER</v>
      </c>
      <c r="H6508" s="5">
        <v>1625</v>
      </c>
      <c r="I6508" s="6">
        <v>951.10714281875391</v>
      </c>
      <c r="J6508" s="5">
        <v>7200</v>
      </c>
      <c r="K6508" s="6">
        <f t="shared" si="265"/>
        <v>1.7085351658531969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16</v>
      </c>
      <c r="F6509" t="s">
        <v>73</v>
      </c>
      <c r="G6509" t="str">
        <f t="shared" si="264"/>
        <v>005GOLDFINCH</v>
      </c>
      <c r="H6509" s="5">
        <v>1050</v>
      </c>
      <c r="I6509" s="6">
        <v>898.26785710660101</v>
      </c>
      <c r="J6509" s="5">
        <v>6800</v>
      </c>
      <c r="K6509" s="6">
        <f t="shared" si="265"/>
        <v>1.1689163668642686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16</v>
      </c>
      <c r="F6510" t="s">
        <v>68</v>
      </c>
      <c r="G6510" t="str">
        <f t="shared" si="264"/>
        <v>005JOCKER</v>
      </c>
      <c r="H6510" s="5">
        <v>1800</v>
      </c>
      <c r="I6510" s="6">
        <v>1162.4642856673661</v>
      </c>
      <c r="J6510" s="5">
        <v>8800</v>
      </c>
      <c r="K6510" s="6">
        <f t="shared" si="265"/>
        <v>1.5484346677942258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16</v>
      </c>
      <c r="F6511" t="s">
        <v>74</v>
      </c>
      <c r="G6511" t="str">
        <f t="shared" ref="G6511:G6573" si="267">+E6511&amp;F6511</f>
        <v>005VENDELA</v>
      </c>
      <c r="H6511" s="5">
        <v>1680</v>
      </c>
      <c r="I6511" s="6">
        <v>686.91071425798896</v>
      </c>
      <c r="J6511" s="5">
        <v>5200</v>
      </c>
      <c r="K6511" s="6">
        <f t="shared" si="265"/>
        <v>2.4457327060544696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75</v>
      </c>
      <c r="F6512" t="s">
        <v>76</v>
      </c>
      <c r="G6512" t="str">
        <f t="shared" si="267"/>
        <v>006ATOMIC</v>
      </c>
      <c r="H6512" s="5">
        <v>1250</v>
      </c>
      <c r="I6512" s="6">
        <v>845.428571394752</v>
      </c>
      <c r="J6512" s="5">
        <v>6400</v>
      </c>
      <c r="K6512" s="6">
        <f t="shared" si="265"/>
        <v>1.4785400473724271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75</v>
      </c>
      <c r="F6513" t="s">
        <v>57</v>
      </c>
      <c r="G6513" t="str">
        <f t="shared" si="267"/>
        <v>006EXPLORER</v>
      </c>
      <c r="H6513" s="5">
        <v>6225</v>
      </c>
      <c r="I6513" s="6">
        <v>3910.1071427007355</v>
      </c>
      <c r="J6513" s="5">
        <v>29600</v>
      </c>
      <c r="K6513" s="6">
        <f t="shared" si="265"/>
        <v>1.592027986143713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75</v>
      </c>
      <c r="F6514" t="s">
        <v>77</v>
      </c>
      <c r="G6514" t="str">
        <f t="shared" si="267"/>
        <v>006MONDIAL</v>
      </c>
      <c r="H6514" s="5">
        <v>7025</v>
      </c>
      <c r="I6514" s="6">
        <v>4015.7857141250793</v>
      </c>
      <c r="J6514" s="5">
        <v>30400</v>
      </c>
      <c r="K6514" s="6">
        <f t="shared" si="265"/>
        <v>1.7493463297332685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20</v>
      </c>
      <c r="F6515" t="s">
        <v>70</v>
      </c>
      <c r="G6515" t="str">
        <f t="shared" si="267"/>
        <v>007COTOPAXI</v>
      </c>
      <c r="H6515" s="5">
        <v>5100</v>
      </c>
      <c r="I6515" s="6">
        <v>2747.5751230427709</v>
      </c>
      <c r="J6515" s="5">
        <v>20800</v>
      </c>
      <c r="K6515" s="6">
        <f t="shared" si="265"/>
        <v>1.8561821866956136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20</v>
      </c>
      <c r="F6516" t="s">
        <v>78</v>
      </c>
      <c r="G6516" t="str">
        <f t="shared" si="267"/>
        <v>007REDIANT</v>
      </c>
      <c r="H6516" s="5">
        <v>1560</v>
      </c>
      <c r="I6516" s="6">
        <v>1056.75862064738</v>
      </c>
      <c r="J6516" s="5">
        <v>9600</v>
      </c>
      <c r="K6516" s="6">
        <f t="shared" si="265"/>
        <v>1.4762122300401295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20</v>
      </c>
      <c r="F6517" t="s">
        <v>63</v>
      </c>
      <c r="G6517" t="str">
        <f t="shared" si="267"/>
        <v>007SUMMER ROMANCE</v>
      </c>
      <c r="H6517" s="5">
        <v>1000</v>
      </c>
      <c r="I6517" s="6">
        <v>369.86551722658481</v>
      </c>
      <c r="J6517" s="5">
        <v>3080</v>
      </c>
      <c r="K6517" s="6">
        <f t="shared" si="265"/>
        <v>2.7036854030038868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20</v>
      </c>
      <c r="F6518" t="s">
        <v>74</v>
      </c>
      <c r="G6518" t="str">
        <f t="shared" si="267"/>
        <v>007VENDELA</v>
      </c>
      <c r="H6518" s="5">
        <v>7830</v>
      </c>
      <c r="I6518" s="6">
        <v>3592.9793102011122</v>
      </c>
      <c r="J6518" s="5">
        <v>27820</v>
      </c>
      <c r="K6518" s="6">
        <f t="shared" si="265"/>
        <v>2.179249954980043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79</v>
      </c>
      <c r="F6519" t="s">
        <v>67</v>
      </c>
      <c r="G6519" t="str">
        <f t="shared" si="267"/>
        <v>008DEEP PURPLE</v>
      </c>
      <c r="H6519" s="5">
        <v>3210</v>
      </c>
      <c r="I6519" s="6">
        <v>1585.2222221588099</v>
      </c>
      <c r="J6519" s="5">
        <v>11490</v>
      </c>
      <c r="K6519" s="6">
        <f t="shared" si="265"/>
        <v>2.0249526881023105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79</v>
      </c>
      <c r="F6520" t="s">
        <v>81</v>
      </c>
      <c r="G6520" t="str">
        <f t="shared" si="267"/>
        <v>008FREEDOM</v>
      </c>
      <c r="H6520" s="5">
        <v>4500</v>
      </c>
      <c r="I6520" s="6">
        <v>2219.311111022334</v>
      </c>
      <c r="J6520" s="5">
        <v>16800</v>
      </c>
      <c r="K6520" s="6">
        <f t="shared" ref="K6520:K6582" si="268">+H6520/I6520</f>
        <v>2.0276562297419662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79</v>
      </c>
      <c r="F6521" t="s">
        <v>68</v>
      </c>
      <c r="G6521" t="str">
        <f t="shared" si="267"/>
        <v>008JOCKER</v>
      </c>
      <c r="H6521" s="5">
        <v>5700</v>
      </c>
      <c r="I6521" s="6">
        <v>2959.0814813631118</v>
      </c>
      <c r="J6521" s="5">
        <v>22400</v>
      </c>
      <c r="K6521" s="6">
        <f t="shared" si="268"/>
        <v>1.926273418254868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79</v>
      </c>
      <c r="F6522" t="s">
        <v>61</v>
      </c>
      <c r="G6522" t="str">
        <f t="shared" si="267"/>
        <v>008LUMIA</v>
      </c>
      <c r="H6522" s="5">
        <v>360</v>
      </c>
      <c r="I6522" s="6">
        <v>1796.5851851133182</v>
      </c>
      <c r="J6522" s="5">
        <v>13600</v>
      </c>
      <c r="K6522" s="6">
        <f t="shared" si="268"/>
        <v>0.20038014505685312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82</v>
      </c>
      <c r="F6523" t="s">
        <v>83</v>
      </c>
      <c r="G6523" t="str">
        <f t="shared" si="267"/>
        <v>010COOLDOWN</v>
      </c>
      <c r="H6523" s="5">
        <v>2975</v>
      </c>
      <c r="I6523" s="6">
        <v>1912.3542857142861</v>
      </c>
      <c r="J6523" s="5">
        <v>16320</v>
      </c>
      <c r="K6523" s="6">
        <f t="shared" si="268"/>
        <v>1.5556740831047442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82</v>
      </c>
      <c r="F6524" t="s">
        <v>84</v>
      </c>
      <c r="G6524" t="str">
        <f t="shared" si="267"/>
        <v>010VIOLET HILL</v>
      </c>
      <c r="H6524" s="5">
        <v>5730</v>
      </c>
      <c r="I6524" s="6">
        <v>2812.2857142428579</v>
      </c>
      <c r="J6524" s="5">
        <v>20000</v>
      </c>
      <c r="K6524" s="6">
        <f t="shared" si="268"/>
        <v>2.0374885705888062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85</v>
      </c>
      <c r="F6525" t="s">
        <v>86</v>
      </c>
      <c r="G6525" t="str">
        <f t="shared" si="267"/>
        <v>011BRIGHTON</v>
      </c>
      <c r="H6525" s="5">
        <v>3125</v>
      </c>
      <c r="I6525" s="6">
        <v>1768.8376470588223</v>
      </c>
      <c r="J6525" s="5">
        <v>12800</v>
      </c>
      <c r="K6525" s="6">
        <f t="shared" si="268"/>
        <v>1.7666969069751368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85</v>
      </c>
      <c r="F6526" t="s">
        <v>87</v>
      </c>
      <c r="G6526" t="str">
        <f t="shared" si="267"/>
        <v>011CANDLELIGHT</v>
      </c>
      <c r="H6526" s="5">
        <v>3940</v>
      </c>
      <c r="I6526" s="6">
        <v>2263.7999998868127</v>
      </c>
      <c r="J6526" s="5">
        <v>17920</v>
      </c>
      <c r="K6526" s="6">
        <f t="shared" si="268"/>
        <v>1.740436434401005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85</v>
      </c>
      <c r="F6527" t="s">
        <v>88</v>
      </c>
      <c r="G6527" t="str">
        <f t="shared" si="267"/>
        <v>011CAYENNE</v>
      </c>
      <c r="H6527" s="5">
        <v>1410</v>
      </c>
      <c r="I6527" s="6">
        <v>994.97117647058747</v>
      </c>
      <c r="J6527" s="5">
        <v>7200</v>
      </c>
      <c r="K6527" s="6">
        <f t="shared" si="268"/>
        <v>1.4171264789816564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85</v>
      </c>
      <c r="F6528" t="s">
        <v>61</v>
      </c>
      <c r="G6528" t="str">
        <f t="shared" si="267"/>
        <v>011LUMIA</v>
      </c>
      <c r="H6528" s="5">
        <v>1380</v>
      </c>
      <c r="I6528" s="6">
        <v>994.97117647058747</v>
      </c>
      <c r="J6528" s="5">
        <v>7920</v>
      </c>
      <c r="K6528" s="6">
        <f t="shared" si="268"/>
        <v>1.3869748517692808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85</v>
      </c>
      <c r="F6529" t="s">
        <v>89</v>
      </c>
      <c r="G6529" t="str">
        <f t="shared" si="267"/>
        <v>011STARDUST</v>
      </c>
      <c r="H6529" s="5">
        <v>4675</v>
      </c>
      <c r="I6529" s="6">
        <v>2263.7999998868127</v>
      </c>
      <c r="J6529" s="5">
        <v>17920</v>
      </c>
      <c r="K6529" s="6">
        <f t="shared" si="268"/>
        <v>2.0651117590925634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90</v>
      </c>
      <c r="F6530" t="s">
        <v>67</v>
      </c>
      <c r="G6530" t="str">
        <f t="shared" si="267"/>
        <v>012DEEP PURPLE</v>
      </c>
      <c r="H6530" s="5">
        <v>15570</v>
      </c>
      <c r="I6530" s="6">
        <v>6727.0499997982479</v>
      </c>
      <c r="J6530" s="5">
        <v>49210</v>
      </c>
      <c r="K6530" s="6">
        <f t="shared" si="268"/>
        <v>2.314536089439942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90</v>
      </c>
      <c r="F6531" t="s">
        <v>60</v>
      </c>
      <c r="G6531" t="str">
        <f t="shared" si="267"/>
        <v>012LIGHT HOUSE</v>
      </c>
      <c r="H6531" s="5">
        <v>1290</v>
      </c>
      <c r="I6531" s="6">
        <v>994.95</v>
      </c>
      <c r="J6531" s="5">
        <v>7200</v>
      </c>
      <c r="K6531" s="6">
        <f t="shared" si="268"/>
        <v>1.2965475652042815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91</v>
      </c>
      <c r="F6532" t="s">
        <v>92</v>
      </c>
      <c r="G6532" t="str">
        <f t="shared" si="267"/>
        <v>013COUNTRY BLUES</v>
      </c>
      <c r="H6532" s="5">
        <v>1175</v>
      </c>
      <c r="I6532" s="6">
        <v>831.6</v>
      </c>
      <c r="J6532" s="5">
        <v>6300</v>
      </c>
      <c r="K6532" s="6">
        <f t="shared" si="268"/>
        <v>1.4129389129389129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91</v>
      </c>
      <c r="F6533" t="s">
        <v>93</v>
      </c>
      <c r="G6533" t="str">
        <f t="shared" si="267"/>
        <v>013LORRAINE</v>
      </c>
      <c r="H6533" s="5">
        <v>2100</v>
      </c>
      <c r="I6533" s="6">
        <v>1267.2</v>
      </c>
      <c r="J6533" s="5">
        <v>9600</v>
      </c>
      <c r="K6533" s="6">
        <f t="shared" si="268"/>
        <v>1.6571969696969697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91</v>
      </c>
      <c r="F6534" t="s">
        <v>61</v>
      </c>
      <c r="G6534" t="str">
        <f t="shared" si="267"/>
        <v>013LUMIA</v>
      </c>
      <c r="H6534" s="5">
        <v>360</v>
      </c>
      <c r="I6534" s="6">
        <v>316.8</v>
      </c>
      <c r="J6534" s="5">
        <v>2400</v>
      </c>
      <c r="K6534" s="6">
        <f t="shared" si="268"/>
        <v>1.1363636363636362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91</v>
      </c>
      <c r="F6535" t="s">
        <v>74</v>
      </c>
      <c r="G6535" t="str">
        <f t="shared" si="267"/>
        <v>013VENDELA</v>
      </c>
      <c r="H6535" s="5">
        <v>8280</v>
      </c>
      <c r="I6535" s="6">
        <v>3603.6</v>
      </c>
      <c r="J6535" s="5">
        <v>27296</v>
      </c>
      <c r="K6535" s="6">
        <f t="shared" si="268"/>
        <v>2.2977022977022976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23</v>
      </c>
      <c r="F6536" t="s">
        <v>89</v>
      </c>
      <c r="G6536" t="str">
        <f t="shared" si="267"/>
        <v>014STARDUST</v>
      </c>
      <c r="H6536" s="5">
        <v>5875</v>
      </c>
      <c r="I6536" s="6">
        <v>3682.8</v>
      </c>
      <c r="J6536" s="5">
        <v>27900</v>
      </c>
      <c r="K6536" s="6">
        <f t="shared" si="268"/>
        <v>1.5952536113826437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25</v>
      </c>
      <c r="F6537" t="s">
        <v>68</v>
      </c>
      <c r="G6537" t="str">
        <f t="shared" si="267"/>
        <v>015JOCKER</v>
      </c>
      <c r="H6537" s="5">
        <v>3925</v>
      </c>
      <c r="I6537" s="6">
        <v>2376</v>
      </c>
      <c r="J6537" s="5">
        <v>18000</v>
      </c>
      <c r="K6537" s="6">
        <f t="shared" si="268"/>
        <v>1.651936026936027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27</v>
      </c>
      <c r="F6538" t="s">
        <v>94</v>
      </c>
      <c r="G6538" t="str">
        <f t="shared" si="267"/>
        <v>016DREAM IN PEACH</v>
      </c>
      <c r="H6538" s="5">
        <v>1680</v>
      </c>
      <c r="I6538" s="6">
        <v>950.4</v>
      </c>
      <c r="J6538" s="5">
        <v>7200</v>
      </c>
      <c r="K6538" s="6">
        <f t="shared" si="268"/>
        <v>1.7676767676767677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27</v>
      </c>
      <c r="F6539" t="s">
        <v>95</v>
      </c>
      <c r="G6539" t="str">
        <f t="shared" si="267"/>
        <v>016NINA</v>
      </c>
      <c r="H6539" s="5">
        <v>3025</v>
      </c>
      <c r="I6539" s="6">
        <v>1346.4</v>
      </c>
      <c r="J6539" s="5">
        <v>10200</v>
      </c>
      <c r="K6539" s="6">
        <f t="shared" si="268"/>
        <v>2.2467320261437909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30</v>
      </c>
      <c r="F6540" t="s">
        <v>81</v>
      </c>
      <c r="G6540" t="str">
        <f t="shared" si="267"/>
        <v>017FREEDOM</v>
      </c>
      <c r="H6540" s="5">
        <v>6030</v>
      </c>
      <c r="I6540" s="6">
        <v>2851.2</v>
      </c>
      <c r="J6540" s="5">
        <v>21600</v>
      </c>
      <c r="K6540" s="6">
        <f t="shared" si="268"/>
        <v>2.1148989898989901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30</v>
      </c>
      <c r="F6541" t="s">
        <v>73</v>
      </c>
      <c r="G6541" t="str">
        <f t="shared" si="267"/>
        <v>017GOLDFINCH</v>
      </c>
      <c r="H6541" s="5">
        <v>3950</v>
      </c>
      <c r="I6541" s="6">
        <v>2138.4</v>
      </c>
      <c r="J6541" s="5">
        <v>16200</v>
      </c>
      <c r="K6541" s="6">
        <f t="shared" si="268"/>
        <v>1.8471754582865694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32</v>
      </c>
      <c r="F6542" t="s">
        <v>86</v>
      </c>
      <c r="G6542" t="str">
        <f t="shared" si="267"/>
        <v>018BRIGHTON</v>
      </c>
      <c r="H6542" s="5">
        <v>2675</v>
      </c>
      <c r="I6542" s="6">
        <v>963.6</v>
      </c>
      <c r="J6542" s="5">
        <v>7570</v>
      </c>
      <c r="K6542" s="6">
        <f t="shared" si="268"/>
        <v>2.7760481527604814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35</v>
      </c>
      <c r="F6543" t="s">
        <v>86</v>
      </c>
      <c r="G6543" t="str">
        <f t="shared" si="267"/>
        <v>019BRIGHTON</v>
      </c>
      <c r="H6543" s="5">
        <v>6925</v>
      </c>
      <c r="I6543" s="6">
        <v>3168</v>
      </c>
      <c r="J6543" s="5">
        <v>24000</v>
      </c>
      <c r="K6543" s="6">
        <f t="shared" si="268"/>
        <v>2.1859217171717171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35</v>
      </c>
      <c r="F6544" t="s">
        <v>96</v>
      </c>
      <c r="G6544" t="str">
        <f t="shared" si="267"/>
        <v>019TABATHA</v>
      </c>
      <c r="H6544" s="5">
        <v>2790</v>
      </c>
      <c r="I6544" s="6">
        <v>1188</v>
      </c>
      <c r="J6544" s="5">
        <v>9000</v>
      </c>
      <c r="K6544" s="6">
        <f t="shared" si="268"/>
        <v>2.3484848484848486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36</v>
      </c>
      <c r="F6545" t="s">
        <v>86</v>
      </c>
      <c r="G6545" t="str">
        <f t="shared" si="267"/>
        <v>020BRIGHTON</v>
      </c>
      <c r="H6545" s="5">
        <v>5125</v>
      </c>
      <c r="I6545" s="6">
        <v>2732.4</v>
      </c>
      <c r="J6545" s="5">
        <v>20700</v>
      </c>
      <c r="K6545" s="6">
        <f t="shared" si="268"/>
        <v>1.8756404625969842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36</v>
      </c>
      <c r="F6546" t="s">
        <v>97</v>
      </c>
      <c r="G6546" t="str">
        <f t="shared" si="267"/>
        <v>020TYCOON</v>
      </c>
      <c r="H6546" s="5">
        <v>1620</v>
      </c>
      <c r="I6546" s="6">
        <v>673.2</v>
      </c>
      <c r="J6546" s="5">
        <v>5100</v>
      </c>
      <c r="K6546" s="6">
        <f t="shared" si="268"/>
        <v>2.4064171122994651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38</v>
      </c>
      <c r="F6547" t="s">
        <v>98</v>
      </c>
      <c r="G6547" t="str">
        <f t="shared" si="267"/>
        <v>021SHOW GIRL</v>
      </c>
      <c r="H6547" s="5">
        <v>3075</v>
      </c>
      <c r="I6547" s="6">
        <v>1100.4749999999999</v>
      </c>
      <c r="J6547" s="5">
        <v>8000</v>
      </c>
      <c r="K6547" s="6">
        <f t="shared" si="268"/>
        <v>2.794247938390241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43</v>
      </c>
      <c r="F6548" t="s">
        <v>99</v>
      </c>
      <c r="G6548" t="str">
        <f t="shared" si="267"/>
        <v>022CORAL REEF</v>
      </c>
      <c r="H6548" s="5">
        <v>2925</v>
      </c>
      <c r="I6548" s="6">
        <v>1287</v>
      </c>
      <c r="J6548" s="5">
        <v>9400</v>
      </c>
      <c r="K6548" s="6">
        <f t="shared" si="268"/>
        <v>2.2727272727272729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100</v>
      </c>
      <c r="F6549" t="s">
        <v>70</v>
      </c>
      <c r="G6549" t="str">
        <f t="shared" si="267"/>
        <v>023COTOPAXI</v>
      </c>
      <c r="H6549" s="5">
        <v>9660</v>
      </c>
      <c r="I6549" s="6">
        <v>2641.14</v>
      </c>
      <c r="J6549" s="5">
        <v>19200</v>
      </c>
      <c r="K6549" s="6">
        <f t="shared" si="268"/>
        <v>3.6575115291124289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100</v>
      </c>
      <c r="F6550" t="s">
        <v>101</v>
      </c>
      <c r="G6550" t="str">
        <f t="shared" si="267"/>
        <v>023FRUTTETO</v>
      </c>
      <c r="H6550" s="5">
        <v>5760</v>
      </c>
      <c r="I6550" s="6">
        <v>2641.14</v>
      </c>
      <c r="J6550" s="5">
        <v>19200</v>
      </c>
      <c r="K6550" s="6">
        <f t="shared" si="268"/>
        <v>2.1808764397192122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102</v>
      </c>
      <c r="F6551" t="s">
        <v>70</v>
      </c>
      <c r="G6551" t="str">
        <f t="shared" si="267"/>
        <v>024COTOPAXI</v>
      </c>
      <c r="H6551" s="5">
        <v>4350</v>
      </c>
      <c r="I6551" s="6">
        <v>1430.6174906250001</v>
      </c>
      <c r="J6551" s="5">
        <v>10400</v>
      </c>
      <c r="K6551" s="6">
        <f t="shared" si="268"/>
        <v>3.0406450560726728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102</v>
      </c>
      <c r="F6552" t="s">
        <v>64</v>
      </c>
      <c r="G6552" t="str">
        <f t="shared" si="267"/>
        <v>024SWEETNESS</v>
      </c>
      <c r="H6552" s="5">
        <v>1950</v>
      </c>
      <c r="I6552" s="6">
        <v>1430.6175000000001</v>
      </c>
      <c r="J6552" s="5">
        <v>10400</v>
      </c>
      <c r="K6552" s="6">
        <f t="shared" si="268"/>
        <v>1.3630477748245076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102</v>
      </c>
      <c r="F6553" t="s">
        <v>97</v>
      </c>
      <c r="G6553" t="str">
        <f t="shared" si="267"/>
        <v>024TYCOON</v>
      </c>
      <c r="H6553" s="5">
        <v>5520</v>
      </c>
      <c r="I6553" s="6">
        <v>2861.2350000000001</v>
      </c>
      <c r="J6553" s="5">
        <v>20800</v>
      </c>
      <c r="K6553" s="6">
        <f t="shared" si="268"/>
        <v>1.9292368505208415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103</v>
      </c>
      <c r="F6554" t="s">
        <v>104</v>
      </c>
      <c r="G6554" t="str">
        <f t="shared" si="267"/>
        <v>025PINK MONDIAL</v>
      </c>
      <c r="H6554" s="5">
        <v>4550</v>
      </c>
      <c r="I6554" s="6">
        <v>3071.9505625000002</v>
      </c>
      <c r="J6554" s="5">
        <v>22400</v>
      </c>
      <c r="K6554" s="6">
        <f t="shared" si="268"/>
        <v>1.4811436276165657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45</v>
      </c>
      <c r="F6555" t="s">
        <v>105</v>
      </c>
      <c r="G6555" t="str">
        <f t="shared" si="267"/>
        <v>026LOLA</v>
      </c>
      <c r="H6555" s="5">
        <v>3325</v>
      </c>
      <c r="I6555" s="6">
        <v>1097.125</v>
      </c>
      <c r="J6555" s="5">
        <v>8000</v>
      </c>
      <c r="K6555" s="6">
        <f t="shared" si="268"/>
        <v>3.0306482852911016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45</v>
      </c>
      <c r="F6556" t="s">
        <v>106</v>
      </c>
      <c r="G6556" t="str">
        <f t="shared" si="267"/>
        <v>026PALOMA</v>
      </c>
      <c r="H6556" s="5">
        <v>4200</v>
      </c>
      <c r="I6556" s="6">
        <v>2852.5250000000001</v>
      </c>
      <c r="J6556" s="5">
        <v>20800</v>
      </c>
      <c r="K6556" s="6">
        <f t="shared" si="268"/>
        <v>1.4723797337446647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107</v>
      </c>
      <c r="F6557" t="s">
        <v>108</v>
      </c>
      <c r="G6557" t="str">
        <f t="shared" si="267"/>
        <v>027SATISFACTION</v>
      </c>
      <c r="H6557" s="5">
        <v>5640</v>
      </c>
      <c r="I6557" s="6">
        <v>2633.1</v>
      </c>
      <c r="J6557" s="5">
        <v>19200</v>
      </c>
      <c r="K6557" s="6">
        <f t="shared" si="268"/>
        <v>2.1419619459952148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107</v>
      </c>
      <c r="F6558" t="s">
        <v>109</v>
      </c>
      <c r="G6558" t="str">
        <f t="shared" si="267"/>
        <v>027TIFFANY</v>
      </c>
      <c r="H6558" s="5">
        <v>5760</v>
      </c>
      <c r="I6558" s="6">
        <v>2633.1</v>
      </c>
      <c r="J6558" s="5">
        <v>19200</v>
      </c>
      <c r="K6558" s="6">
        <f t="shared" si="268"/>
        <v>2.1875356044206451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110</v>
      </c>
      <c r="F6559" t="s">
        <v>70</v>
      </c>
      <c r="G6559" t="str">
        <f t="shared" si="267"/>
        <v>028COTOPAXI</v>
      </c>
      <c r="H6559" s="5">
        <v>4560</v>
      </c>
      <c r="I6559" s="6">
        <v>2852.5250000000001</v>
      </c>
      <c r="J6559" s="5">
        <v>20800</v>
      </c>
      <c r="K6559" s="6">
        <f t="shared" si="268"/>
        <v>1.598583710922779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110</v>
      </c>
      <c r="F6560" t="s">
        <v>67</v>
      </c>
      <c r="G6560" t="str">
        <f t="shared" si="267"/>
        <v>028DEEP PURPLE</v>
      </c>
      <c r="H6560" s="5">
        <v>10110</v>
      </c>
      <c r="I6560" s="6">
        <v>2852.5250000000001</v>
      </c>
      <c r="J6560" s="5">
        <v>20800</v>
      </c>
      <c r="K6560" s="6">
        <f t="shared" si="268"/>
        <v>3.5442283590853716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111</v>
      </c>
      <c r="F6561" t="s">
        <v>112</v>
      </c>
      <c r="G6561" t="str">
        <f t="shared" si="267"/>
        <v>029PINK FLOYD</v>
      </c>
      <c r="H6561" s="5">
        <v>3150</v>
      </c>
      <c r="I6561" s="6">
        <v>3071.95</v>
      </c>
      <c r="J6561" s="5">
        <v>22400</v>
      </c>
      <c r="K6561" s="6">
        <f t="shared" si="268"/>
        <v>1.0254073145721774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47</v>
      </c>
      <c r="F6562" t="s">
        <v>57</v>
      </c>
      <c r="G6562" t="str">
        <f t="shared" si="267"/>
        <v>030EXPLORER</v>
      </c>
      <c r="H6562" s="5">
        <v>2175</v>
      </c>
      <c r="I6562" s="6">
        <v>1645.6875</v>
      </c>
      <c r="J6562" s="5">
        <v>12000</v>
      </c>
      <c r="K6562" s="6">
        <f t="shared" si="268"/>
        <v>1.321636094337473</v>
      </c>
    </row>
    <row r="6563" spans="1:11">
      <c r="A6563" s="4">
        <v>2026</v>
      </c>
      <c r="B6563">
        <v>9</v>
      </c>
      <c r="C6563" t="s">
        <v>10</v>
      </c>
      <c r="D6563" t="s">
        <v>11</v>
      </c>
      <c r="E6563" t="s">
        <v>12</v>
      </c>
      <c r="F6563" t="s">
        <v>13</v>
      </c>
      <c r="G6563" t="str">
        <f t="shared" si="267"/>
        <v>002SOMERSET</v>
      </c>
      <c r="H6563" s="5">
        <v>7420</v>
      </c>
      <c r="I6563" s="6">
        <v>4121.4642855494085</v>
      </c>
      <c r="J6563" s="5">
        <v>31200</v>
      </c>
      <c r="K6563" s="6">
        <f t="shared" si="268"/>
        <v>1.800331019733896</v>
      </c>
    </row>
    <row r="6564" spans="1:11">
      <c r="A6564" s="4">
        <v>2026</v>
      </c>
      <c r="B6564">
        <v>9</v>
      </c>
      <c r="C6564" t="s">
        <v>10</v>
      </c>
      <c r="D6564" t="s">
        <v>11</v>
      </c>
      <c r="E6564" t="s">
        <v>14</v>
      </c>
      <c r="F6564" t="s">
        <v>15</v>
      </c>
      <c r="G6564" t="str">
        <f t="shared" si="267"/>
        <v>004BELLINA</v>
      </c>
      <c r="H6564" s="5">
        <v>885</v>
      </c>
      <c r="I6564" s="6">
        <v>1056.7857142434418</v>
      </c>
      <c r="J6564" s="5">
        <v>8000</v>
      </c>
      <c r="K6564" s="6">
        <f t="shared" si="268"/>
        <v>0.83744508283174124</v>
      </c>
    </row>
    <row r="6565" spans="1:11">
      <c r="A6565" s="4">
        <v>2026</v>
      </c>
      <c r="B6565">
        <v>9</v>
      </c>
      <c r="C6565" t="s">
        <v>10</v>
      </c>
      <c r="D6565" t="s">
        <v>11</v>
      </c>
      <c r="E6565" t="s">
        <v>16</v>
      </c>
      <c r="F6565" t="s">
        <v>17</v>
      </c>
      <c r="G6565" t="str">
        <f t="shared" si="267"/>
        <v>005ELBA</v>
      </c>
      <c r="H6565" s="5">
        <v>8280</v>
      </c>
      <c r="I6565" s="6">
        <v>2641.9642856076484</v>
      </c>
      <c r="J6565" s="5">
        <v>19996</v>
      </c>
      <c r="K6565" s="6">
        <f t="shared" si="268"/>
        <v>3.1340317676155149</v>
      </c>
    </row>
    <row r="6566" spans="1:11">
      <c r="A6566" s="4">
        <v>2026</v>
      </c>
      <c r="B6566">
        <v>9</v>
      </c>
      <c r="C6566" t="s">
        <v>10</v>
      </c>
      <c r="D6566" t="s">
        <v>11</v>
      </c>
      <c r="E6566" t="s">
        <v>16</v>
      </c>
      <c r="F6566" t="s">
        <v>18</v>
      </c>
      <c r="G6566" t="str">
        <f t="shared" si="267"/>
        <v>005HOT BUBBLES</v>
      </c>
      <c r="H6566" s="5">
        <v>1000</v>
      </c>
      <c r="I6566" s="6">
        <v>528.39285712153003</v>
      </c>
      <c r="J6566" s="5">
        <v>4000</v>
      </c>
      <c r="K6566" s="6">
        <f t="shared" si="268"/>
        <v>1.8925312606373872</v>
      </c>
    </row>
    <row r="6567" spans="1:11">
      <c r="A6567" s="4">
        <v>2026</v>
      </c>
      <c r="B6567">
        <v>9</v>
      </c>
      <c r="C6567" t="s">
        <v>10</v>
      </c>
      <c r="D6567" t="s">
        <v>11</v>
      </c>
      <c r="E6567" t="s">
        <v>16</v>
      </c>
      <c r="F6567" t="s">
        <v>19</v>
      </c>
      <c r="G6567" t="str">
        <f t="shared" si="267"/>
        <v>005SUSPIRO</v>
      </c>
      <c r="H6567" s="5">
        <v>2880</v>
      </c>
      <c r="I6567" s="6">
        <v>1902.2142856375078</v>
      </c>
      <c r="J6567" s="5">
        <v>14400</v>
      </c>
      <c r="K6567" s="6">
        <f t="shared" si="268"/>
        <v>1.5140250085099098</v>
      </c>
    </row>
    <row r="6568" spans="1:11">
      <c r="A6568" s="4">
        <v>2026</v>
      </c>
      <c r="B6568">
        <v>9</v>
      </c>
      <c r="C6568" t="s">
        <v>10</v>
      </c>
      <c r="D6568" t="s">
        <v>11</v>
      </c>
      <c r="E6568" t="s">
        <v>20</v>
      </c>
      <c r="F6568" t="s">
        <v>21</v>
      </c>
      <c r="G6568" t="str">
        <f t="shared" si="267"/>
        <v>007SNOW BUBBLES</v>
      </c>
      <c r="H6568" s="5">
        <v>720</v>
      </c>
      <c r="I6568" s="6">
        <v>634.05652706821195</v>
      </c>
      <c r="J6568" s="5">
        <v>4800</v>
      </c>
      <c r="K6568" s="6">
        <f t="shared" si="268"/>
        <v>1.1355454431313539</v>
      </c>
    </row>
    <row r="6569" spans="1:11">
      <c r="A6569" s="4">
        <v>2026</v>
      </c>
      <c r="B6569">
        <v>9</v>
      </c>
      <c r="C6569" t="s">
        <v>10</v>
      </c>
      <c r="D6569" t="s">
        <v>11</v>
      </c>
      <c r="E6569" t="s">
        <v>22</v>
      </c>
      <c r="F6569" t="s">
        <v>18</v>
      </c>
      <c r="G6569" t="str">
        <f t="shared" si="267"/>
        <v>009HOT BUBBLES</v>
      </c>
      <c r="H6569" s="5">
        <v>7300</v>
      </c>
      <c r="I6569" s="6">
        <v>4487.9999999102474</v>
      </c>
      <c r="J6569" s="5">
        <v>31740</v>
      </c>
      <c r="K6569" s="6">
        <f t="shared" si="268"/>
        <v>1.6265597148275375</v>
      </c>
    </row>
    <row r="6570" spans="1:11">
      <c r="A6570" s="4">
        <v>2026</v>
      </c>
      <c r="B6570">
        <v>9</v>
      </c>
      <c r="C6570" t="s">
        <v>10</v>
      </c>
      <c r="D6570" t="s">
        <v>11</v>
      </c>
      <c r="E6570" t="s">
        <v>23</v>
      </c>
      <c r="F6570" t="s">
        <v>24</v>
      </c>
      <c r="G6570" t="str">
        <f t="shared" si="267"/>
        <v>014FRUITY BUBBLES</v>
      </c>
      <c r="H6570" s="5">
        <v>2425</v>
      </c>
      <c r="I6570" s="6">
        <v>1702.8</v>
      </c>
      <c r="J6570" s="5">
        <v>12900</v>
      </c>
      <c r="K6570" s="6">
        <f t="shared" si="268"/>
        <v>1.4241249706365986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25</v>
      </c>
      <c r="F6571" t="s">
        <v>26</v>
      </c>
      <c r="G6571" t="str">
        <f t="shared" si="267"/>
        <v>015FELLINI</v>
      </c>
      <c r="H6571" s="5">
        <v>4820</v>
      </c>
      <c r="I6571" s="6">
        <v>3009.6</v>
      </c>
      <c r="J6571" s="5">
        <v>22800</v>
      </c>
      <c r="K6571" s="6">
        <f t="shared" si="268"/>
        <v>1.6015417331206805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27</v>
      </c>
      <c r="F6572" t="s">
        <v>28</v>
      </c>
      <c r="G6572" t="str">
        <f t="shared" si="267"/>
        <v>016GOOD PEACH</v>
      </c>
      <c r="H6572" s="5">
        <v>2460</v>
      </c>
      <c r="I6572" s="6">
        <v>1386</v>
      </c>
      <c r="J6572" s="5">
        <v>10500</v>
      </c>
      <c r="K6572" s="6">
        <f t="shared" si="268"/>
        <v>1.774891774891775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27</v>
      </c>
      <c r="F6573" t="s">
        <v>29</v>
      </c>
      <c r="G6573" t="str">
        <f t="shared" si="267"/>
        <v>016GOOD YELLOW</v>
      </c>
      <c r="H6573" s="5">
        <v>2160</v>
      </c>
      <c r="I6573" s="6">
        <v>1386</v>
      </c>
      <c r="J6573" s="5">
        <v>10500</v>
      </c>
      <c r="K6573" s="6">
        <f t="shared" si="268"/>
        <v>1.5584415584415585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30</v>
      </c>
      <c r="F6574" t="s">
        <v>31</v>
      </c>
      <c r="G6574" t="str">
        <f t="shared" ref="G6574:G6633" si="269">+E6574&amp;F6574</f>
        <v>017ORANGE STAR</v>
      </c>
      <c r="H6574" s="5">
        <v>925</v>
      </c>
      <c r="I6574" s="6">
        <v>1029.5999999999999</v>
      </c>
      <c r="J6574" s="5">
        <v>7800</v>
      </c>
      <c r="K6574" s="6">
        <f t="shared" si="268"/>
        <v>0.89840714840714853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32</v>
      </c>
      <c r="F6575" t="s">
        <v>33</v>
      </c>
      <c r="G6575" t="str">
        <f t="shared" si="269"/>
        <v>018COSMO</v>
      </c>
      <c r="H6575" s="5">
        <v>4375</v>
      </c>
      <c r="I6575" s="6">
        <v>2653.2</v>
      </c>
      <c r="J6575" s="5">
        <v>20100</v>
      </c>
      <c r="K6575" s="6">
        <f t="shared" si="268"/>
        <v>1.6489522086537014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32</v>
      </c>
      <c r="F6576" t="s">
        <v>34</v>
      </c>
      <c r="G6576" t="str">
        <f t="shared" si="269"/>
        <v>018RUBICON</v>
      </c>
      <c r="H6576" s="5">
        <v>3330</v>
      </c>
      <c r="I6576" s="6">
        <v>1768.8</v>
      </c>
      <c r="J6576" s="5">
        <v>13400</v>
      </c>
      <c r="K6576" s="6">
        <f t="shared" si="268"/>
        <v>1.8826322930800543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35</v>
      </c>
      <c r="F6577" t="s">
        <v>15</v>
      </c>
      <c r="G6577" t="str">
        <f t="shared" si="269"/>
        <v>019BELLINA</v>
      </c>
      <c r="H6577" s="5">
        <v>1335</v>
      </c>
      <c r="I6577" s="6">
        <v>1029.5999999999999</v>
      </c>
      <c r="J6577" s="5">
        <v>7800</v>
      </c>
      <c r="K6577" s="6">
        <f t="shared" si="268"/>
        <v>1.2966200466200468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36</v>
      </c>
      <c r="F6578" t="s">
        <v>37</v>
      </c>
      <c r="G6578" t="str">
        <f t="shared" si="269"/>
        <v>020SUMMER DANCE</v>
      </c>
      <c r="H6578" s="5">
        <v>2250</v>
      </c>
      <c r="I6578" s="6">
        <v>1346.4</v>
      </c>
      <c r="J6578" s="5">
        <v>10200</v>
      </c>
      <c r="K6578" s="6">
        <f t="shared" si="268"/>
        <v>1.6711229946524062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38</v>
      </c>
      <c r="F6579" t="s">
        <v>39</v>
      </c>
      <c r="G6579" t="str">
        <f t="shared" si="269"/>
        <v>021ELEGANT ROSEVER</v>
      </c>
      <c r="H6579" s="5">
        <v>750</v>
      </c>
      <c r="I6579" s="6">
        <v>440.18999062500001</v>
      </c>
      <c r="J6579" s="5">
        <v>3200</v>
      </c>
      <c r="K6579" s="6">
        <f t="shared" si="268"/>
        <v>1.7038097548177298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38</v>
      </c>
      <c r="F6580" t="s">
        <v>40</v>
      </c>
      <c r="G6580" t="str">
        <f t="shared" si="269"/>
        <v>021FLAME CLUB</v>
      </c>
      <c r="H6580" s="5">
        <v>1325</v>
      </c>
      <c r="I6580" s="6">
        <v>880.38</v>
      </c>
      <c r="J6580" s="5">
        <v>6400</v>
      </c>
      <c r="K6580" s="6">
        <f t="shared" si="268"/>
        <v>1.5050319180353937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38</v>
      </c>
      <c r="F6581" t="s">
        <v>41</v>
      </c>
      <c r="G6581" t="str">
        <f t="shared" si="269"/>
        <v>021KELLY</v>
      </c>
      <c r="H6581" s="5">
        <v>575</v>
      </c>
      <c r="I6581" s="6">
        <v>330.14249999999998</v>
      </c>
      <c r="J6581" s="5">
        <v>2400</v>
      </c>
      <c r="K6581" s="6">
        <f t="shared" si="268"/>
        <v>1.7416721567202043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38</v>
      </c>
      <c r="F6582" t="s">
        <v>42</v>
      </c>
      <c r="G6582" t="str">
        <f t="shared" si="269"/>
        <v>021LEILA</v>
      </c>
      <c r="H6582" s="5">
        <v>4950</v>
      </c>
      <c r="I6582" s="6">
        <v>1430.6175000000001</v>
      </c>
      <c r="J6582" s="5">
        <v>10400</v>
      </c>
      <c r="K6582" s="6">
        <f t="shared" si="268"/>
        <v>3.4600443514775963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38</v>
      </c>
      <c r="F6583" t="s">
        <v>21</v>
      </c>
      <c r="G6583" t="str">
        <f t="shared" si="269"/>
        <v>021SNOW BUBBLES</v>
      </c>
      <c r="H6583" s="5">
        <v>2020</v>
      </c>
      <c r="I6583" s="6">
        <v>1287.0000000000018</v>
      </c>
      <c r="J6583" s="5">
        <v>9400</v>
      </c>
      <c r="K6583" s="6">
        <f t="shared" ref="K6583:K6643" si="270">+H6583/I6583</f>
        <v>1.5695415695415673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43</v>
      </c>
      <c r="F6584" t="s">
        <v>24</v>
      </c>
      <c r="G6584" t="str">
        <f t="shared" si="269"/>
        <v>022FRUITY BUBBLES</v>
      </c>
      <c r="H6584" s="5">
        <v>3650</v>
      </c>
      <c r="I6584" s="6">
        <v>2641.14</v>
      </c>
      <c r="J6584" s="5">
        <v>19200</v>
      </c>
      <c r="K6584" s="6">
        <f t="shared" si="270"/>
        <v>1.3819789939192926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43</v>
      </c>
      <c r="F6585" t="s">
        <v>28</v>
      </c>
      <c r="G6585" t="str">
        <f t="shared" si="269"/>
        <v>022GOOD PEACH</v>
      </c>
      <c r="H6585" s="5">
        <v>1800</v>
      </c>
      <c r="I6585" s="6">
        <v>880.38</v>
      </c>
      <c r="J6585" s="5">
        <v>6400</v>
      </c>
      <c r="K6585" s="6">
        <f t="shared" si="270"/>
        <v>2.0445716622367613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43</v>
      </c>
      <c r="F6586" t="s">
        <v>44</v>
      </c>
      <c r="G6586" t="str">
        <f t="shared" si="269"/>
        <v>022MIRABEL</v>
      </c>
      <c r="H6586" s="5">
        <v>1180</v>
      </c>
      <c r="I6586" s="6">
        <v>880.38</v>
      </c>
      <c r="J6586" s="5">
        <v>6400</v>
      </c>
      <c r="K6586" s="6">
        <f t="shared" si="270"/>
        <v>1.3403303119107659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47</v>
      </c>
      <c r="F6587" t="s">
        <v>44</v>
      </c>
      <c r="G6587" t="str">
        <f t="shared" si="269"/>
        <v>030MIRABEL</v>
      </c>
      <c r="H6587" s="5">
        <v>4420</v>
      </c>
      <c r="I6587" s="6">
        <v>2413.6749943750001</v>
      </c>
      <c r="J6587" s="5">
        <v>17600</v>
      </c>
      <c r="K6587" s="6">
        <f t="shared" si="270"/>
        <v>1.8312324609985531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47</v>
      </c>
      <c r="F6588" t="s">
        <v>13</v>
      </c>
      <c r="G6588" t="str">
        <f t="shared" si="269"/>
        <v>030SOMERSET</v>
      </c>
      <c r="H6588" s="5">
        <v>2700</v>
      </c>
      <c r="I6588" s="6">
        <v>1645.6875</v>
      </c>
      <c r="J6588" s="5">
        <v>12000</v>
      </c>
      <c r="K6588" s="6">
        <f t="shared" si="270"/>
        <v>1.6406517033154837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48</v>
      </c>
      <c r="F6589" t="s">
        <v>49</v>
      </c>
      <c r="G6589" t="str">
        <f t="shared" si="269"/>
        <v>03182989</v>
      </c>
      <c r="H6589" s="5">
        <v>1700</v>
      </c>
      <c r="I6589" s="6">
        <v>726.32013058333712</v>
      </c>
      <c r="J6589" s="5">
        <v>5712</v>
      </c>
      <c r="K6589" s="6">
        <f t="shared" si="270"/>
        <v>2.3405657208408379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48</v>
      </c>
      <c r="F6590" t="s">
        <v>34</v>
      </c>
      <c r="G6590" t="str">
        <f t="shared" si="269"/>
        <v>031RUBICON</v>
      </c>
      <c r="H6590" s="5">
        <v>2040</v>
      </c>
      <c r="I6590" s="6">
        <v>924.39958333667107</v>
      </c>
      <c r="J6590" s="5">
        <v>6720</v>
      </c>
      <c r="K6590" s="6">
        <f t="shared" si="270"/>
        <v>2.206837861865437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48</v>
      </c>
      <c r="F6591" t="s">
        <v>13</v>
      </c>
      <c r="G6591" t="str">
        <f t="shared" si="269"/>
        <v>031SOMERSET</v>
      </c>
      <c r="H6591" s="5">
        <v>3380</v>
      </c>
      <c r="I6591" s="6">
        <v>1122.485208333339</v>
      </c>
      <c r="J6591" s="5">
        <v>8160</v>
      </c>
      <c r="K6591" s="6">
        <f t="shared" si="270"/>
        <v>3.0111755370198678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48</v>
      </c>
      <c r="F6592" t="s">
        <v>50</v>
      </c>
      <c r="G6592" t="str">
        <f t="shared" si="269"/>
        <v>031VELVET BLOSSOMS</v>
      </c>
      <c r="H6592" s="5">
        <v>580</v>
      </c>
      <c r="I6592" s="6">
        <v>396.17125000000198</v>
      </c>
      <c r="J6592" s="5">
        <v>2880</v>
      </c>
      <c r="K6592" s="6">
        <f t="shared" si="270"/>
        <v>1.4640133528114347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51</v>
      </c>
      <c r="F6593" t="s">
        <v>17</v>
      </c>
      <c r="G6593" t="str">
        <f t="shared" si="269"/>
        <v>032ELBA</v>
      </c>
      <c r="H6593" s="5">
        <v>2610</v>
      </c>
      <c r="I6593" s="6">
        <v>1535.9749999999999</v>
      </c>
      <c r="J6593" s="5">
        <v>11200</v>
      </c>
      <c r="K6593" s="6">
        <f t="shared" si="270"/>
        <v>1.6992464070053224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51</v>
      </c>
      <c r="F6594" t="s">
        <v>44</v>
      </c>
      <c r="G6594" t="str">
        <f t="shared" si="269"/>
        <v>032MIRABEL</v>
      </c>
      <c r="H6594" s="5">
        <v>1640</v>
      </c>
      <c r="I6594" s="6">
        <v>1535.9749999999999</v>
      </c>
      <c r="J6594" s="5">
        <v>11200</v>
      </c>
      <c r="K6594" s="6">
        <f t="shared" si="270"/>
        <v>1.0677257116815053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52</v>
      </c>
      <c r="F6595" t="s">
        <v>53</v>
      </c>
      <c r="G6595" t="str">
        <f t="shared" si="269"/>
        <v>033CREAMY FOLIES</v>
      </c>
      <c r="H6595" s="5">
        <v>900</v>
      </c>
      <c r="I6595" s="6">
        <v>594.25687500000299</v>
      </c>
      <c r="J6595" s="5">
        <v>4320</v>
      </c>
      <c r="K6595" s="6">
        <f t="shared" si="270"/>
        <v>1.5144965718738979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52</v>
      </c>
      <c r="F6596" t="s">
        <v>18</v>
      </c>
      <c r="G6596" t="str">
        <f t="shared" si="269"/>
        <v>033HOT BUBBLES</v>
      </c>
      <c r="H6596" s="5">
        <v>2340</v>
      </c>
      <c r="I6596" s="6">
        <v>2575.1131250013459</v>
      </c>
      <c r="J6596" s="5">
        <v>18720</v>
      </c>
      <c r="K6596" s="6">
        <f t="shared" si="270"/>
        <v>0.90869794312386842</v>
      </c>
    </row>
    <row r="6597" spans="1:11">
      <c r="A6597" s="4">
        <v>2026</v>
      </c>
      <c r="B6597">
        <v>9</v>
      </c>
      <c r="C6597" t="s">
        <v>54</v>
      </c>
      <c r="D6597" t="s">
        <v>11</v>
      </c>
      <c r="E6597" t="s">
        <v>55</v>
      </c>
      <c r="F6597" t="s">
        <v>56</v>
      </c>
      <c r="G6597" t="str">
        <f t="shared" si="269"/>
        <v>001BELIEVE IN PINK</v>
      </c>
      <c r="H6597" s="5">
        <v>1740</v>
      </c>
      <c r="I6597" s="6">
        <v>528.37931032368999</v>
      </c>
      <c r="J6597" s="5">
        <v>4000</v>
      </c>
      <c r="K6597" s="6">
        <f t="shared" ref="K6597:K6602" si="271">IFERROR(H6597/I6597,"")</f>
        <v>3.2930888208587503</v>
      </c>
    </row>
    <row r="6598" spans="1:11">
      <c r="A6598" s="4">
        <v>2026</v>
      </c>
      <c r="B6598">
        <v>9</v>
      </c>
      <c r="C6598" t="s">
        <v>54</v>
      </c>
      <c r="D6598" t="s">
        <v>11</v>
      </c>
      <c r="E6598" t="s">
        <v>55</v>
      </c>
      <c r="F6598" t="s">
        <v>57</v>
      </c>
      <c r="G6598" t="str">
        <f t="shared" si="269"/>
        <v>001EXPLORER</v>
      </c>
      <c r="H6598" s="5">
        <v>4175</v>
      </c>
      <c r="I6598" s="6">
        <v>2272.0310343918732</v>
      </c>
      <c r="J6598" s="5">
        <v>17200</v>
      </c>
      <c r="K6598" s="6">
        <f t="shared" si="271"/>
        <v>1.8375629279718317</v>
      </c>
    </row>
    <row r="6599" spans="1:11">
      <c r="A6599" s="4">
        <v>2026</v>
      </c>
      <c r="B6599">
        <v>9</v>
      </c>
      <c r="C6599" t="s">
        <v>54</v>
      </c>
      <c r="D6599" t="s">
        <v>11</v>
      </c>
      <c r="E6599" t="s">
        <v>55</v>
      </c>
      <c r="F6599" t="s">
        <v>58</v>
      </c>
      <c r="G6599" t="str">
        <f t="shared" si="269"/>
        <v>001GRACE KELLY</v>
      </c>
      <c r="H6599" s="5">
        <v>2460</v>
      </c>
      <c r="I6599" s="6">
        <v>1162.4344827121224</v>
      </c>
      <c r="J6599" s="5">
        <v>8800</v>
      </c>
      <c r="K6599" s="6">
        <f t="shared" si="271"/>
        <v>2.1162483018057721</v>
      </c>
    </row>
    <row r="6600" spans="1:11">
      <c r="A6600" s="4">
        <v>2026</v>
      </c>
      <c r="B6600">
        <v>9</v>
      </c>
      <c r="C6600" t="s">
        <v>54</v>
      </c>
      <c r="D6600" t="s">
        <v>11</v>
      </c>
      <c r="E6600" t="s">
        <v>55</v>
      </c>
      <c r="F6600" t="s">
        <v>60</v>
      </c>
      <c r="G6600" t="str">
        <f t="shared" si="269"/>
        <v>001LIGHT HOUSE</v>
      </c>
      <c r="H6600" s="5">
        <v>2160</v>
      </c>
      <c r="I6600" s="6">
        <v>1056.7586206473827</v>
      </c>
      <c r="J6600" s="5">
        <v>8000</v>
      </c>
      <c r="K6600" s="6">
        <f t="shared" si="271"/>
        <v>2.0439861646709434</v>
      </c>
    </row>
    <row r="6601" spans="1:11">
      <c r="A6601" s="4">
        <v>2026</v>
      </c>
      <c r="B6601">
        <v>9</v>
      </c>
      <c r="C6601" t="s">
        <v>54</v>
      </c>
      <c r="D6601" t="s">
        <v>11</v>
      </c>
      <c r="E6601" t="s">
        <v>55</v>
      </c>
      <c r="F6601" t="s">
        <v>61</v>
      </c>
      <c r="G6601" t="str">
        <f t="shared" si="269"/>
        <v>001LUMIA</v>
      </c>
      <c r="H6601" s="5">
        <v>1500</v>
      </c>
      <c r="I6601" s="6">
        <v>1109.596551679753</v>
      </c>
      <c r="J6601" s="5">
        <v>8400</v>
      </c>
      <c r="K6601" s="6">
        <f t="shared" si="271"/>
        <v>1.3518427015019452</v>
      </c>
    </row>
    <row r="6602" spans="1:11">
      <c r="A6602" s="4">
        <v>2026</v>
      </c>
      <c r="B6602">
        <v>9</v>
      </c>
      <c r="C6602" t="s">
        <v>54</v>
      </c>
      <c r="D6602" t="s">
        <v>11</v>
      </c>
      <c r="E6602" t="s">
        <v>55</v>
      </c>
      <c r="F6602" t="s">
        <v>62</v>
      </c>
      <c r="G6602" t="str">
        <f t="shared" si="269"/>
        <v>001MOMENTUM</v>
      </c>
      <c r="H6602" s="5">
        <v>4925</v>
      </c>
      <c r="I6602" s="6">
        <v>1902.1655171652881</v>
      </c>
      <c r="J6602" s="5">
        <v>14400</v>
      </c>
      <c r="K6602" s="6">
        <f t="shared" si="271"/>
        <v>2.5891542852377571</v>
      </c>
    </row>
    <row r="6603" spans="1:11">
      <c r="A6603" s="4">
        <v>2026</v>
      </c>
      <c r="B6603">
        <v>9</v>
      </c>
      <c r="C6603" t="s">
        <v>54</v>
      </c>
      <c r="D6603" t="s">
        <v>11</v>
      </c>
      <c r="E6603" t="s">
        <v>12</v>
      </c>
      <c r="F6603" t="s">
        <v>63</v>
      </c>
      <c r="G6603" t="str">
        <f t="shared" si="269"/>
        <v>002SUMMER ROMANCE</v>
      </c>
      <c r="H6603" s="5">
        <v>1550</v>
      </c>
      <c r="I6603" s="6">
        <v>951.10714281909407</v>
      </c>
      <c r="J6603" s="5">
        <v>7200</v>
      </c>
      <c r="K6603" s="6">
        <f t="shared" si="270"/>
        <v>1.6296796966593896</v>
      </c>
    </row>
    <row r="6604" spans="1:11">
      <c r="A6604" s="4">
        <v>2026</v>
      </c>
      <c r="B6604">
        <v>9</v>
      </c>
      <c r="C6604" t="s">
        <v>54</v>
      </c>
      <c r="D6604" t="s">
        <v>11</v>
      </c>
      <c r="E6604" t="s">
        <v>12</v>
      </c>
      <c r="F6604" t="s">
        <v>64</v>
      </c>
      <c r="G6604" t="str">
        <f t="shared" si="269"/>
        <v>002SWEETNESS</v>
      </c>
      <c r="H6604" s="5">
        <v>6180</v>
      </c>
      <c r="I6604" s="6">
        <v>3804.4285712763772</v>
      </c>
      <c r="J6604" s="5">
        <v>28800</v>
      </c>
      <c r="K6604" s="6">
        <f t="shared" si="270"/>
        <v>1.6244226653798428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65</v>
      </c>
      <c r="F6605" t="s">
        <v>66</v>
      </c>
      <c r="G6605" t="str">
        <f t="shared" si="269"/>
        <v>003CABARET</v>
      </c>
      <c r="H6605" s="5">
        <v>4650</v>
      </c>
      <c r="I6605" s="6">
        <v>2641.8965516184649</v>
      </c>
      <c r="J6605" s="5">
        <v>20000</v>
      </c>
      <c r="K6605" s="6">
        <f t="shared" si="270"/>
        <v>1.7600991973555291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65</v>
      </c>
      <c r="F6606" t="s">
        <v>67</v>
      </c>
      <c r="G6606" t="str">
        <f t="shared" si="269"/>
        <v>003DEEP PURPLE</v>
      </c>
      <c r="H6606" s="5">
        <v>11190</v>
      </c>
      <c r="I6606" s="6">
        <v>3592.9793102010913</v>
      </c>
      <c r="J6606" s="5">
        <v>26044</v>
      </c>
      <c r="K6606" s="6">
        <f t="shared" si="270"/>
        <v>3.114407023783758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65</v>
      </c>
      <c r="F6607" t="s">
        <v>57</v>
      </c>
      <c r="G6607" t="str">
        <f t="shared" si="269"/>
        <v>003EXPLORER</v>
      </c>
      <c r="H6607" s="5">
        <v>2175</v>
      </c>
      <c r="I6607" s="6">
        <v>1268.1103447768633</v>
      </c>
      <c r="J6607" s="5">
        <v>9600</v>
      </c>
      <c r="K6607" s="6">
        <f t="shared" si="270"/>
        <v>1.7151504275305893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65</v>
      </c>
      <c r="F6608" t="s">
        <v>68</v>
      </c>
      <c r="G6608" t="str">
        <f t="shared" si="269"/>
        <v>003JOCKER</v>
      </c>
      <c r="H6608" s="5">
        <v>1000</v>
      </c>
      <c r="I6608" s="6">
        <v>528.37931032368999</v>
      </c>
      <c r="J6608" s="5">
        <v>4000</v>
      </c>
      <c r="K6608" s="6">
        <f t="shared" si="270"/>
        <v>1.8925797821027301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65</v>
      </c>
      <c r="F6609" t="s">
        <v>69</v>
      </c>
      <c r="G6609" t="str">
        <f t="shared" si="269"/>
        <v>003QUICKSAND</v>
      </c>
      <c r="H6609" s="5">
        <v>3240</v>
      </c>
      <c r="I6609" s="6">
        <v>1162.4344827121247</v>
      </c>
      <c r="J6609" s="5">
        <v>8800</v>
      </c>
      <c r="K6609" s="6">
        <f t="shared" si="270"/>
        <v>2.7872538609149138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14</v>
      </c>
      <c r="F6610" t="s">
        <v>70</v>
      </c>
      <c r="G6610" t="str">
        <f t="shared" si="269"/>
        <v>004COTOPAXI</v>
      </c>
      <c r="H6610" s="5">
        <v>480</v>
      </c>
      <c r="I6610" s="6">
        <v>528.3915024419166</v>
      </c>
      <c r="J6610" s="5">
        <v>4000</v>
      </c>
      <c r="K6610" s="6">
        <f t="shared" si="270"/>
        <v>0.9084173340822489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14</v>
      </c>
      <c r="F6611" t="s">
        <v>67</v>
      </c>
      <c r="G6611" t="str">
        <f t="shared" si="269"/>
        <v>004DEEP PURPLE</v>
      </c>
      <c r="H6611" s="5">
        <v>9180</v>
      </c>
      <c r="I6611" s="6">
        <v>3910.1071427007282</v>
      </c>
      <c r="J6611" s="5">
        <v>29260</v>
      </c>
      <c r="K6611" s="6">
        <f t="shared" si="270"/>
        <v>2.3477617530601305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14</v>
      </c>
      <c r="F6612" t="s">
        <v>71</v>
      </c>
      <c r="G6612" t="str">
        <f t="shared" si="269"/>
        <v>004HOT EXPLORER</v>
      </c>
      <c r="H6612" s="5">
        <v>3050</v>
      </c>
      <c r="I6612" s="6">
        <v>1902.2142856381945</v>
      </c>
      <c r="J6612" s="5">
        <v>14400</v>
      </c>
      <c r="K6612" s="6">
        <f t="shared" si="270"/>
        <v>1.6033945402616523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14</v>
      </c>
      <c r="F6613" t="s">
        <v>72</v>
      </c>
      <c r="G6613" t="str">
        <f t="shared" si="269"/>
        <v>004HOT MERENGUE</v>
      </c>
      <c r="H6613" s="5">
        <v>2580</v>
      </c>
      <c r="I6613" s="6">
        <v>1162.4642856677858</v>
      </c>
      <c r="J6613" s="5">
        <v>8800</v>
      </c>
      <c r="K6613" s="6">
        <f t="shared" si="270"/>
        <v>2.2194230238375892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14</v>
      </c>
      <c r="F6614" t="s">
        <v>64</v>
      </c>
      <c r="G6614" t="str">
        <f t="shared" si="269"/>
        <v>004SWEETNESS</v>
      </c>
      <c r="H6614" s="5">
        <v>480</v>
      </c>
      <c r="I6614" s="6">
        <v>317.03571427303262</v>
      </c>
      <c r="J6614" s="5">
        <v>2400</v>
      </c>
      <c r="K6614" s="6">
        <f t="shared" si="270"/>
        <v>1.5140250085093623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16</v>
      </c>
      <c r="F6615" t="s">
        <v>57</v>
      </c>
      <c r="G6615" t="str">
        <f t="shared" si="269"/>
        <v>005EXPLORER</v>
      </c>
      <c r="H6615" s="5">
        <v>1400</v>
      </c>
      <c r="I6615" s="6">
        <v>951.10714281875391</v>
      </c>
      <c r="J6615" s="5">
        <v>7200</v>
      </c>
      <c r="K6615" s="6">
        <f t="shared" si="270"/>
        <v>1.4719687582735235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16</v>
      </c>
      <c r="F6616" t="s">
        <v>73</v>
      </c>
      <c r="G6616" t="str">
        <f t="shared" si="269"/>
        <v>005GOLDFINCH</v>
      </c>
      <c r="H6616" s="5">
        <v>975</v>
      </c>
      <c r="I6616" s="6">
        <v>898.26785710660101</v>
      </c>
      <c r="J6616" s="5">
        <v>6800</v>
      </c>
      <c r="K6616" s="6">
        <f t="shared" si="270"/>
        <v>1.0854223406596779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16</v>
      </c>
      <c r="F6617" t="s">
        <v>68</v>
      </c>
      <c r="G6617" t="str">
        <f t="shared" si="269"/>
        <v>005JOCKER</v>
      </c>
      <c r="H6617" s="5">
        <v>1650</v>
      </c>
      <c r="I6617" s="6">
        <v>1162.4642856673661</v>
      </c>
      <c r="J6617" s="5">
        <v>8800</v>
      </c>
      <c r="K6617" s="6">
        <f t="shared" si="270"/>
        <v>1.4193984454780404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16</v>
      </c>
      <c r="F6618" t="s">
        <v>74</v>
      </c>
      <c r="G6618" t="str">
        <f t="shared" si="269"/>
        <v>005VENDELA</v>
      </c>
      <c r="H6618" s="5">
        <v>1920</v>
      </c>
      <c r="I6618" s="6">
        <v>686.91071425798896</v>
      </c>
      <c r="J6618" s="5">
        <v>5200</v>
      </c>
      <c r="K6618" s="6">
        <f t="shared" si="270"/>
        <v>2.7951230926336796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75</v>
      </c>
      <c r="F6619" t="s">
        <v>76</v>
      </c>
      <c r="G6619" t="str">
        <f t="shared" si="269"/>
        <v>006ATOMIC</v>
      </c>
      <c r="H6619" s="5">
        <v>1500</v>
      </c>
      <c r="I6619" s="6">
        <v>845.428571394752</v>
      </c>
      <c r="J6619" s="5">
        <v>6400</v>
      </c>
      <c r="K6619" s="6">
        <f t="shared" si="270"/>
        <v>1.7742480568469126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75</v>
      </c>
      <c r="F6620" t="s">
        <v>57</v>
      </c>
      <c r="G6620" t="str">
        <f t="shared" si="269"/>
        <v>006EXPLORER</v>
      </c>
      <c r="H6620" s="5">
        <v>5800</v>
      </c>
      <c r="I6620" s="6">
        <v>3910.1071427007355</v>
      </c>
      <c r="J6620" s="5">
        <v>29600</v>
      </c>
      <c r="K6620" s="6">
        <f t="shared" si="270"/>
        <v>1.4833353123909294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75</v>
      </c>
      <c r="F6621" t="s">
        <v>77</v>
      </c>
      <c r="G6621" t="str">
        <f t="shared" si="269"/>
        <v>006MONDIAL</v>
      </c>
      <c r="H6621" s="5">
        <v>6300</v>
      </c>
      <c r="I6621" s="6">
        <v>4015.7857141250793</v>
      </c>
      <c r="J6621" s="5">
        <v>30400</v>
      </c>
      <c r="K6621" s="6">
        <f t="shared" si="270"/>
        <v>1.5688088081593725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20</v>
      </c>
      <c r="F6622" t="s">
        <v>70</v>
      </c>
      <c r="G6622" t="str">
        <f t="shared" si="269"/>
        <v>007COTOPAXI</v>
      </c>
      <c r="H6622" s="5">
        <v>4440</v>
      </c>
      <c r="I6622" s="6">
        <v>2747.5751230427709</v>
      </c>
      <c r="J6622" s="5">
        <v>20800</v>
      </c>
      <c r="K6622" s="6">
        <f t="shared" si="270"/>
        <v>1.6159703742997107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20</v>
      </c>
      <c r="F6623" t="s">
        <v>78</v>
      </c>
      <c r="G6623" t="str">
        <f t="shared" si="269"/>
        <v>007REDIANT</v>
      </c>
      <c r="H6623" s="5">
        <v>1650</v>
      </c>
      <c r="I6623" s="6">
        <v>1056.75862064738</v>
      </c>
      <c r="J6623" s="5">
        <v>9600</v>
      </c>
      <c r="K6623" s="6">
        <f t="shared" si="270"/>
        <v>1.5613783202347522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20</v>
      </c>
      <c r="F6624" t="s">
        <v>63</v>
      </c>
      <c r="G6624" t="str">
        <f t="shared" si="269"/>
        <v>007SUMMER ROMANCE</v>
      </c>
      <c r="H6624" s="5">
        <v>1100</v>
      </c>
      <c r="I6624" s="6">
        <v>369.86551722658481</v>
      </c>
      <c r="J6624" s="5">
        <v>3080</v>
      </c>
      <c r="K6624" s="6">
        <f t="shared" si="270"/>
        <v>2.9740539433042756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20</v>
      </c>
      <c r="F6625" t="s">
        <v>74</v>
      </c>
      <c r="G6625" t="str">
        <f t="shared" si="269"/>
        <v>007VENDELA</v>
      </c>
      <c r="H6625" s="5">
        <v>11430</v>
      </c>
      <c r="I6625" s="6">
        <v>3592.9793102011122</v>
      </c>
      <c r="J6625" s="5">
        <v>27820</v>
      </c>
      <c r="K6625" s="6">
        <f t="shared" si="270"/>
        <v>3.1812039572697182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79</v>
      </c>
      <c r="F6626" t="s">
        <v>67</v>
      </c>
      <c r="G6626" t="str">
        <f t="shared" si="269"/>
        <v>008DEEP PURPLE</v>
      </c>
      <c r="H6626" s="5">
        <v>3660</v>
      </c>
      <c r="I6626" s="6">
        <v>1585.2222221588099</v>
      </c>
      <c r="J6626" s="5">
        <v>11490</v>
      </c>
      <c r="K6626" s="6">
        <f t="shared" si="270"/>
        <v>2.3088245602661859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79</v>
      </c>
      <c r="F6627" t="s">
        <v>81</v>
      </c>
      <c r="G6627" t="str">
        <f t="shared" si="269"/>
        <v>008FREEDOM</v>
      </c>
      <c r="H6627" s="5">
        <v>4770</v>
      </c>
      <c r="I6627" s="6">
        <v>2219.311111022334</v>
      </c>
      <c r="J6627" s="5">
        <v>16800</v>
      </c>
      <c r="K6627" s="6">
        <f t="shared" si="270"/>
        <v>2.1493156035264844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79</v>
      </c>
      <c r="F6628" t="s">
        <v>68</v>
      </c>
      <c r="G6628" t="str">
        <f t="shared" si="269"/>
        <v>008JOCKER</v>
      </c>
      <c r="H6628" s="5">
        <v>4275</v>
      </c>
      <c r="I6628" s="6">
        <v>2959.0814813631118</v>
      </c>
      <c r="J6628" s="5">
        <v>22400</v>
      </c>
      <c r="K6628" s="6">
        <f t="shared" si="270"/>
        <v>1.4447050636911509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79</v>
      </c>
      <c r="F6629" t="s">
        <v>61</v>
      </c>
      <c r="G6629" t="str">
        <f t="shared" si="269"/>
        <v>008LUMIA</v>
      </c>
      <c r="H6629" s="5">
        <v>420</v>
      </c>
      <c r="I6629" s="6">
        <v>1796.5851851133182</v>
      </c>
      <c r="J6629" s="5">
        <v>13600</v>
      </c>
      <c r="K6629" s="6">
        <f t="shared" si="270"/>
        <v>0.23377683589966197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82</v>
      </c>
      <c r="F6630" t="s">
        <v>83</v>
      </c>
      <c r="G6630" t="str">
        <f t="shared" si="269"/>
        <v>010COOLDOWN</v>
      </c>
      <c r="H6630" s="5">
        <v>4800</v>
      </c>
      <c r="I6630" s="6">
        <v>1912.3542857142861</v>
      </c>
      <c r="J6630" s="5">
        <v>16320</v>
      </c>
      <c r="K6630" s="6">
        <f t="shared" si="270"/>
        <v>2.5099951592950496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82</v>
      </c>
      <c r="F6631" t="s">
        <v>84</v>
      </c>
      <c r="G6631" t="str">
        <f t="shared" si="269"/>
        <v>010VIOLET HILL</v>
      </c>
      <c r="H6631" s="5">
        <v>2220</v>
      </c>
      <c r="I6631" s="6">
        <v>2812.2857142428579</v>
      </c>
      <c r="J6631" s="5">
        <v>20000</v>
      </c>
      <c r="K6631" s="6">
        <f t="shared" si="270"/>
        <v>0.78939347761032275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85</v>
      </c>
      <c r="F6632" t="s">
        <v>86</v>
      </c>
      <c r="G6632" t="str">
        <f t="shared" si="269"/>
        <v>011BRIGHTON</v>
      </c>
      <c r="H6632" s="5">
        <v>2525</v>
      </c>
      <c r="I6632" s="6">
        <v>1768.8376470588223</v>
      </c>
      <c r="J6632" s="5">
        <v>12800</v>
      </c>
      <c r="K6632" s="6">
        <f t="shared" si="270"/>
        <v>1.4274911008359106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85</v>
      </c>
      <c r="F6633" t="s">
        <v>87</v>
      </c>
      <c r="G6633" t="str">
        <f t="shared" si="269"/>
        <v>011CANDLELIGHT</v>
      </c>
      <c r="H6633" s="5">
        <v>3800</v>
      </c>
      <c r="I6633" s="6">
        <v>2263.7999998868127</v>
      </c>
      <c r="J6633" s="5">
        <v>17920</v>
      </c>
      <c r="K6633" s="6">
        <f t="shared" si="270"/>
        <v>1.678593515412137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85</v>
      </c>
      <c r="F6634" t="s">
        <v>88</v>
      </c>
      <c r="G6634" t="str">
        <f t="shared" ref="G6634:G6695" si="272">+E6634&amp;F6634</f>
        <v>011CAYENNE</v>
      </c>
      <c r="H6634" s="5">
        <v>720</v>
      </c>
      <c r="I6634" s="6">
        <v>994.97117647058747</v>
      </c>
      <c r="J6634" s="5">
        <v>7200</v>
      </c>
      <c r="K6634" s="6">
        <f t="shared" si="270"/>
        <v>0.72363905309701604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85</v>
      </c>
      <c r="F6635" t="s">
        <v>61</v>
      </c>
      <c r="G6635" t="str">
        <f t="shared" si="272"/>
        <v>011LUMIA</v>
      </c>
      <c r="H6635" s="5">
        <v>1020</v>
      </c>
      <c r="I6635" s="6">
        <v>994.97117647058747</v>
      </c>
      <c r="J6635" s="5">
        <v>7920</v>
      </c>
      <c r="K6635" s="6">
        <f t="shared" si="270"/>
        <v>1.0251553252207728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85</v>
      </c>
      <c r="F6636" t="s">
        <v>89</v>
      </c>
      <c r="G6636" t="str">
        <f t="shared" si="272"/>
        <v>011STARDUST</v>
      </c>
      <c r="H6636" s="5">
        <v>2875</v>
      </c>
      <c r="I6636" s="6">
        <v>2263.7999998868127</v>
      </c>
      <c r="J6636" s="5">
        <v>17920</v>
      </c>
      <c r="K6636" s="6">
        <f t="shared" si="270"/>
        <v>1.2699885149499721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90</v>
      </c>
      <c r="F6637" t="s">
        <v>67</v>
      </c>
      <c r="G6637" t="str">
        <f t="shared" si="272"/>
        <v>012DEEP PURPLE</v>
      </c>
      <c r="H6637" s="5">
        <v>15360</v>
      </c>
      <c r="I6637" s="6">
        <v>6727.0499997982479</v>
      </c>
      <c r="J6637" s="5">
        <v>49210</v>
      </c>
      <c r="K6637" s="6">
        <f t="shared" si="270"/>
        <v>2.2833188396787096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90</v>
      </c>
      <c r="F6638" t="s">
        <v>60</v>
      </c>
      <c r="G6638" t="str">
        <f t="shared" si="272"/>
        <v>012LIGHT HOUSE</v>
      </c>
      <c r="H6638" s="5">
        <v>1350</v>
      </c>
      <c r="I6638" s="6">
        <v>994.95</v>
      </c>
      <c r="J6638" s="5">
        <v>7200</v>
      </c>
      <c r="K6638" s="6">
        <f t="shared" si="270"/>
        <v>1.3568521031207599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91</v>
      </c>
      <c r="F6639" t="s">
        <v>92</v>
      </c>
      <c r="G6639" t="str">
        <f t="shared" si="272"/>
        <v>013COUNTRY BLUES</v>
      </c>
      <c r="H6639" s="5">
        <v>1350</v>
      </c>
      <c r="I6639" s="6">
        <v>831.6</v>
      </c>
      <c r="J6639" s="5">
        <v>6300</v>
      </c>
      <c r="K6639" s="6">
        <f t="shared" si="270"/>
        <v>1.6233766233766234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91</v>
      </c>
      <c r="F6640" t="s">
        <v>93</v>
      </c>
      <c r="G6640" t="str">
        <f t="shared" si="272"/>
        <v>013LORRAINE</v>
      </c>
      <c r="H6640" s="5">
        <v>2550</v>
      </c>
      <c r="I6640" s="6">
        <v>1267.2</v>
      </c>
      <c r="J6640" s="5">
        <v>9600</v>
      </c>
      <c r="K6640" s="6">
        <f t="shared" si="270"/>
        <v>2.012310606060606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91</v>
      </c>
      <c r="F6641" t="s">
        <v>61</v>
      </c>
      <c r="G6641" t="str">
        <f t="shared" si="272"/>
        <v>013LUMIA</v>
      </c>
      <c r="H6641" s="5">
        <v>390</v>
      </c>
      <c r="I6641" s="6">
        <v>316.8</v>
      </c>
      <c r="J6641" s="5">
        <v>2400</v>
      </c>
      <c r="K6641" s="6">
        <f t="shared" si="270"/>
        <v>1.231060606060606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91</v>
      </c>
      <c r="F6642" t="s">
        <v>74</v>
      </c>
      <c r="G6642" t="str">
        <f t="shared" si="272"/>
        <v>013VENDELA</v>
      </c>
      <c r="H6642" s="5">
        <v>10890</v>
      </c>
      <c r="I6642" s="6">
        <v>3603.6</v>
      </c>
      <c r="J6642" s="5">
        <v>27296</v>
      </c>
      <c r="K6642" s="6">
        <f t="shared" si="270"/>
        <v>3.0219780219780219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23</v>
      </c>
      <c r="F6643" t="s">
        <v>89</v>
      </c>
      <c r="G6643" t="str">
        <f t="shared" si="272"/>
        <v>014STARDUST</v>
      </c>
      <c r="H6643" s="5">
        <v>5275</v>
      </c>
      <c r="I6643" s="6">
        <v>3682.8</v>
      </c>
      <c r="J6643" s="5">
        <v>27900</v>
      </c>
      <c r="K6643" s="6">
        <f t="shared" si="270"/>
        <v>1.4323340936244162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25</v>
      </c>
      <c r="F6644" t="s">
        <v>68</v>
      </c>
      <c r="G6644" t="str">
        <f t="shared" si="272"/>
        <v>015JOCKER</v>
      </c>
      <c r="H6644" s="5">
        <v>2450</v>
      </c>
      <c r="I6644" s="6">
        <v>2376</v>
      </c>
      <c r="J6644" s="5">
        <v>18000</v>
      </c>
      <c r="K6644" s="6">
        <f t="shared" ref="K6644:K6703" si="273">+H6644/I6644</f>
        <v>1.0311447811447811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27</v>
      </c>
      <c r="F6645" t="s">
        <v>94</v>
      </c>
      <c r="G6645" t="str">
        <f t="shared" si="272"/>
        <v>016DREAM IN PEACH</v>
      </c>
      <c r="H6645" s="5">
        <v>1440</v>
      </c>
      <c r="I6645" s="6">
        <v>950.4</v>
      </c>
      <c r="J6645" s="5">
        <v>7200</v>
      </c>
      <c r="K6645" s="6">
        <f t="shared" si="273"/>
        <v>1.5151515151515151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27</v>
      </c>
      <c r="F6646" t="s">
        <v>95</v>
      </c>
      <c r="G6646" t="str">
        <f t="shared" si="272"/>
        <v>016NINA</v>
      </c>
      <c r="H6646" s="5">
        <v>2450</v>
      </c>
      <c r="I6646" s="6">
        <v>1346.4</v>
      </c>
      <c r="J6646" s="5">
        <v>10200</v>
      </c>
      <c r="K6646" s="6">
        <f t="shared" si="273"/>
        <v>1.8196672608437312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30</v>
      </c>
      <c r="F6647" t="s">
        <v>81</v>
      </c>
      <c r="G6647" t="str">
        <f t="shared" si="272"/>
        <v>017FREEDOM</v>
      </c>
      <c r="H6647" s="5">
        <v>6180</v>
      </c>
      <c r="I6647" s="6">
        <v>2851.2</v>
      </c>
      <c r="J6647" s="5">
        <v>21600</v>
      </c>
      <c r="K6647" s="6">
        <f t="shared" si="273"/>
        <v>2.1675084175084178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30</v>
      </c>
      <c r="F6648" t="s">
        <v>73</v>
      </c>
      <c r="G6648" t="str">
        <f t="shared" si="272"/>
        <v>017GOLDFINCH</v>
      </c>
      <c r="H6648" s="5">
        <v>3000</v>
      </c>
      <c r="I6648" s="6">
        <v>2138.4</v>
      </c>
      <c r="J6648" s="5">
        <v>16200</v>
      </c>
      <c r="K6648" s="6">
        <f t="shared" si="273"/>
        <v>1.4029180695847361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32</v>
      </c>
      <c r="F6649" t="s">
        <v>86</v>
      </c>
      <c r="G6649" t="str">
        <f t="shared" si="272"/>
        <v>018BRIGHTON</v>
      </c>
      <c r="H6649" s="5">
        <v>1425</v>
      </c>
      <c r="I6649" s="6">
        <v>963.6</v>
      </c>
      <c r="J6649" s="5">
        <v>7570</v>
      </c>
      <c r="K6649" s="6">
        <f t="shared" si="273"/>
        <v>1.4788293897882938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35</v>
      </c>
      <c r="F6650" t="s">
        <v>86</v>
      </c>
      <c r="G6650" t="str">
        <f t="shared" si="272"/>
        <v>019BRIGHTON</v>
      </c>
      <c r="H6650" s="5">
        <v>4700</v>
      </c>
      <c r="I6650" s="6">
        <v>3168</v>
      </c>
      <c r="J6650" s="5">
        <v>24000</v>
      </c>
      <c r="K6650" s="6">
        <f t="shared" si="273"/>
        <v>1.4835858585858586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35</v>
      </c>
      <c r="F6651" t="s">
        <v>96</v>
      </c>
      <c r="G6651" t="str">
        <f t="shared" si="272"/>
        <v>019TABATHA</v>
      </c>
      <c r="H6651" s="5">
        <v>2640</v>
      </c>
      <c r="I6651" s="6">
        <v>1188</v>
      </c>
      <c r="J6651" s="5">
        <v>9000</v>
      </c>
      <c r="K6651" s="6">
        <f t="shared" si="273"/>
        <v>2.2222222222222223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36</v>
      </c>
      <c r="F6652" t="s">
        <v>86</v>
      </c>
      <c r="G6652" t="str">
        <f t="shared" si="272"/>
        <v>020BRIGHTON</v>
      </c>
      <c r="H6652" s="5">
        <v>3500</v>
      </c>
      <c r="I6652" s="6">
        <v>2732.4</v>
      </c>
      <c r="J6652" s="5">
        <v>20700</v>
      </c>
      <c r="K6652" s="6">
        <f t="shared" si="273"/>
        <v>1.2809251939686721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36</v>
      </c>
      <c r="F6653" t="s">
        <v>97</v>
      </c>
      <c r="G6653" t="str">
        <f t="shared" si="272"/>
        <v>020TYCOON</v>
      </c>
      <c r="H6653" s="5">
        <v>810</v>
      </c>
      <c r="I6653" s="6">
        <v>673.2</v>
      </c>
      <c r="J6653" s="5">
        <v>5100</v>
      </c>
      <c r="K6653" s="6">
        <f t="shared" si="273"/>
        <v>1.2032085561497325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38</v>
      </c>
      <c r="F6654" t="s">
        <v>98</v>
      </c>
      <c r="G6654" t="str">
        <f t="shared" si="272"/>
        <v>021SHOW GIRL</v>
      </c>
      <c r="H6654" s="5">
        <v>1825</v>
      </c>
      <c r="I6654" s="6">
        <v>1100.4749999999999</v>
      </c>
      <c r="J6654" s="5">
        <v>8000</v>
      </c>
      <c r="K6654" s="6">
        <f t="shared" si="273"/>
        <v>1.6583747927031511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43</v>
      </c>
      <c r="F6655" t="s">
        <v>99</v>
      </c>
      <c r="G6655" t="str">
        <f t="shared" si="272"/>
        <v>022CORAL REEF</v>
      </c>
      <c r="H6655" s="5">
        <v>2575</v>
      </c>
      <c r="I6655" s="6">
        <v>1287</v>
      </c>
      <c r="J6655" s="5">
        <v>9400</v>
      </c>
      <c r="K6655" s="6">
        <f t="shared" si="273"/>
        <v>2.0007770007770009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100</v>
      </c>
      <c r="F6656" t="s">
        <v>70</v>
      </c>
      <c r="G6656" t="str">
        <f t="shared" si="272"/>
        <v>023COTOPAXI</v>
      </c>
      <c r="H6656" s="5">
        <v>3480</v>
      </c>
      <c r="I6656" s="6">
        <v>2641.14</v>
      </c>
      <c r="J6656" s="5">
        <v>19200</v>
      </c>
      <c r="K6656" s="6">
        <f t="shared" si="273"/>
        <v>1.317612848997024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100</v>
      </c>
      <c r="F6657" t="s">
        <v>101</v>
      </c>
      <c r="G6657" t="str">
        <f t="shared" si="272"/>
        <v>023FRUTTETO</v>
      </c>
      <c r="H6657" s="5">
        <v>3600</v>
      </c>
      <c r="I6657" s="6">
        <v>2641.14</v>
      </c>
      <c r="J6657" s="5">
        <v>19200</v>
      </c>
      <c r="K6657" s="6">
        <f t="shared" si="273"/>
        <v>1.3630477748245076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102</v>
      </c>
      <c r="F6658" t="s">
        <v>70</v>
      </c>
      <c r="G6658" t="str">
        <f t="shared" si="272"/>
        <v>024COTOPAXI</v>
      </c>
      <c r="H6658" s="5">
        <v>2430</v>
      </c>
      <c r="I6658" s="6">
        <v>1430.6174906250001</v>
      </c>
      <c r="J6658" s="5">
        <v>10400</v>
      </c>
      <c r="K6658" s="6">
        <f t="shared" si="273"/>
        <v>1.6985672382199068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102</v>
      </c>
      <c r="F6659" t="s">
        <v>64</v>
      </c>
      <c r="G6659" t="str">
        <f t="shared" si="272"/>
        <v>024SWEETNESS</v>
      </c>
      <c r="H6659" s="5">
        <v>1170</v>
      </c>
      <c r="I6659" s="6">
        <v>1430.6175000000001</v>
      </c>
      <c r="J6659" s="5">
        <v>10400</v>
      </c>
      <c r="K6659" s="6">
        <f t="shared" si="273"/>
        <v>0.81782866489470452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102</v>
      </c>
      <c r="F6660" t="s">
        <v>97</v>
      </c>
      <c r="G6660" t="str">
        <f t="shared" si="272"/>
        <v>024TYCOON</v>
      </c>
      <c r="H6660" s="5">
        <v>2340</v>
      </c>
      <c r="I6660" s="6">
        <v>2861.2350000000001</v>
      </c>
      <c r="J6660" s="5">
        <v>20800</v>
      </c>
      <c r="K6660" s="6">
        <f t="shared" si="273"/>
        <v>0.81782866489470452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103</v>
      </c>
      <c r="F6661" t="s">
        <v>104</v>
      </c>
      <c r="G6661" t="str">
        <f t="shared" si="272"/>
        <v>025PINK MONDIAL</v>
      </c>
      <c r="H6661" s="5">
        <v>4950</v>
      </c>
      <c r="I6661" s="6">
        <v>3071.9505625000002</v>
      </c>
      <c r="J6661" s="5">
        <v>22400</v>
      </c>
      <c r="K6661" s="6">
        <f t="shared" si="273"/>
        <v>1.6113540564180222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45</v>
      </c>
      <c r="F6662" t="s">
        <v>105</v>
      </c>
      <c r="G6662" t="str">
        <f t="shared" si="272"/>
        <v>026LOLA</v>
      </c>
      <c r="H6662" s="5">
        <v>3350</v>
      </c>
      <c r="I6662" s="6">
        <v>1097.125</v>
      </c>
      <c r="J6662" s="5">
        <v>8000</v>
      </c>
      <c r="K6662" s="6">
        <f t="shared" si="273"/>
        <v>3.053435114503817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45</v>
      </c>
      <c r="F6663" t="s">
        <v>106</v>
      </c>
      <c r="G6663" t="str">
        <f t="shared" si="272"/>
        <v>026PALOMA</v>
      </c>
      <c r="H6663" s="5">
        <v>4075</v>
      </c>
      <c r="I6663" s="6">
        <v>2852.5250000000001</v>
      </c>
      <c r="J6663" s="5">
        <v>20800</v>
      </c>
      <c r="K6663" s="6">
        <f t="shared" si="273"/>
        <v>1.4285589083355974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107</v>
      </c>
      <c r="F6664" t="s">
        <v>108</v>
      </c>
      <c r="G6664" t="str">
        <f t="shared" si="272"/>
        <v>027SATISFACTION</v>
      </c>
      <c r="H6664" s="5">
        <v>2730</v>
      </c>
      <c r="I6664" s="6">
        <v>2633.1</v>
      </c>
      <c r="J6664" s="5">
        <v>19200</v>
      </c>
      <c r="K6664" s="6">
        <f t="shared" si="273"/>
        <v>1.0368007291785348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107</v>
      </c>
      <c r="F6665" t="s">
        <v>109</v>
      </c>
      <c r="G6665" t="str">
        <f t="shared" si="272"/>
        <v>027TIFFANY</v>
      </c>
      <c r="H6665" s="5">
        <v>2700</v>
      </c>
      <c r="I6665" s="6">
        <v>2633.1</v>
      </c>
      <c r="J6665" s="5">
        <v>19200</v>
      </c>
      <c r="K6665" s="6">
        <f t="shared" si="273"/>
        <v>1.0254073145721774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110</v>
      </c>
      <c r="F6666" t="s">
        <v>70</v>
      </c>
      <c r="G6666" t="str">
        <f t="shared" si="272"/>
        <v>028COTOPAXI</v>
      </c>
      <c r="H6666" s="5">
        <v>4650</v>
      </c>
      <c r="I6666" s="6">
        <v>2852.5250000000001</v>
      </c>
      <c r="J6666" s="5">
        <v>20800</v>
      </c>
      <c r="K6666" s="6">
        <f t="shared" si="273"/>
        <v>1.6301347052173074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110</v>
      </c>
      <c r="F6667" t="s">
        <v>67</v>
      </c>
      <c r="G6667" t="str">
        <f t="shared" si="272"/>
        <v>028DEEP PURPLE</v>
      </c>
      <c r="H6667" s="5">
        <v>7230</v>
      </c>
      <c r="I6667" s="6">
        <v>2852.5250000000001</v>
      </c>
      <c r="J6667" s="5">
        <v>20800</v>
      </c>
      <c r="K6667" s="6">
        <f t="shared" si="273"/>
        <v>2.5345965416604588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111</v>
      </c>
      <c r="F6668" t="s">
        <v>112</v>
      </c>
      <c r="G6668" t="str">
        <f t="shared" si="272"/>
        <v>029PINK FLOYD</v>
      </c>
      <c r="H6668" s="5">
        <v>4425</v>
      </c>
      <c r="I6668" s="6">
        <v>3071.95</v>
      </c>
      <c r="J6668" s="5">
        <v>22400</v>
      </c>
      <c r="K6668" s="6">
        <f t="shared" si="273"/>
        <v>1.4404531323752015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47</v>
      </c>
      <c r="F6669" t="s">
        <v>57</v>
      </c>
      <c r="G6669" t="str">
        <f t="shared" si="272"/>
        <v>030EXPLORER</v>
      </c>
      <c r="H6669" s="5">
        <v>1825</v>
      </c>
      <c r="I6669" s="6">
        <v>1645.6875</v>
      </c>
      <c r="J6669" s="5">
        <v>12000</v>
      </c>
      <c r="K6669" s="6">
        <f t="shared" si="273"/>
        <v>1.1089590216854659</v>
      </c>
    </row>
    <row r="6670" spans="1:11">
      <c r="A6670" s="4">
        <v>2026</v>
      </c>
      <c r="B6670">
        <v>10</v>
      </c>
      <c r="C6670" t="s">
        <v>10</v>
      </c>
      <c r="D6670" t="s">
        <v>11</v>
      </c>
      <c r="E6670" t="s">
        <v>12</v>
      </c>
      <c r="F6670" t="s">
        <v>13</v>
      </c>
      <c r="G6670" t="str">
        <f t="shared" si="272"/>
        <v>002SOMERSET</v>
      </c>
      <c r="H6670" s="5">
        <v>13100</v>
      </c>
      <c r="I6670" s="6">
        <v>4121.4642855494085</v>
      </c>
      <c r="J6670" s="5">
        <v>31200</v>
      </c>
      <c r="K6670" s="6">
        <f t="shared" si="273"/>
        <v>3.1784819890180644</v>
      </c>
    </row>
    <row r="6671" spans="1:11">
      <c r="A6671" s="4">
        <v>2026</v>
      </c>
      <c r="B6671">
        <v>10</v>
      </c>
      <c r="C6671" t="s">
        <v>10</v>
      </c>
      <c r="D6671" t="s">
        <v>11</v>
      </c>
      <c r="E6671" t="s">
        <v>14</v>
      </c>
      <c r="F6671" t="s">
        <v>15</v>
      </c>
      <c r="G6671" t="str">
        <f t="shared" si="272"/>
        <v>004BELLINA</v>
      </c>
      <c r="H6671" s="5">
        <v>1380</v>
      </c>
      <c r="I6671" s="6">
        <v>1056.7857142434418</v>
      </c>
      <c r="J6671" s="5">
        <v>8000</v>
      </c>
      <c r="K6671" s="6">
        <f t="shared" si="273"/>
        <v>1.3058465698393253</v>
      </c>
    </row>
    <row r="6672" spans="1:11">
      <c r="A6672" s="4">
        <v>2026</v>
      </c>
      <c r="B6672">
        <v>10</v>
      </c>
      <c r="C6672" t="s">
        <v>10</v>
      </c>
      <c r="D6672" t="s">
        <v>11</v>
      </c>
      <c r="E6672" t="s">
        <v>16</v>
      </c>
      <c r="F6672" t="s">
        <v>17</v>
      </c>
      <c r="G6672" t="str">
        <f t="shared" si="272"/>
        <v>005ELBA</v>
      </c>
      <c r="H6672" s="5">
        <v>13950</v>
      </c>
      <c r="I6672" s="6">
        <v>2641.9642856076484</v>
      </c>
      <c r="J6672" s="5">
        <v>19996</v>
      </c>
      <c r="K6672" s="6">
        <f t="shared" si="273"/>
        <v>5.2801622171783134</v>
      </c>
    </row>
    <row r="6673" spans="1:11">
      <c r="A6673" s="4">
        <v>2026</v>
      </c>
      <c r="B6673">
        <v>10</v>
      </c>
      <c r="C6673" t="s">
        <v>10</v>
      </c>
      <c r="D6673" t="s">
        <v>11</v>
      </c>
      <c r="E6673" t="s">
        <v>16</v>
      </c>
      <c r="F6673" t="s">
        <v>18</v>
      </c>
      <c r="G6673" t="str">
        <f t="shared" si="272"/>
        <v>005HOT BUBBLES</v>
      </c>
      <c r="H6673" s="5">
        <v>1740</v>
      </c>
      <c r="I6673" s="6">
        <v>528.39285712153003</v>
      </c>
      <c r="J6673" s="5">
        <v>4000</v>
      </c>
      <c r="K6673" s="6">
        <f t="shared" si="273"/>
        <v>3.2930043935090536</v>
      </c>
    </row>
    <row r="6674" spans="1:11">
      <c r="A6674" s="4">
        <v>2026</v>
      </c>
      <c r="B6674">
        <v>10</v>
      </c>
      <c r="C6674" t="s">
        <v>10</v>
      </c>
      <c r="D6674" t="s">
        <v>11</v>
      </c>
      <c r="E6674" t="s">
        <v>16</v>
      </c>
      <c r="F6674" t="s">
        <v>19</v>
      </c>
      <c r="G6674" t="str">
        <f t="shared" si="272"/>
        <v>005SUSPIRO</v>
      </c>
      <c r="H6674" s="5">
        <v>5160</v>
      </c>
      <c r="I6674" s="6">
        <v>1902.2142856375078</v>
      </c>
      <c r="J6674" s="5">
        <v>14400</v>
      </c>
      <c r="K6674" s="6">
        <f t="shared" si="273"/>
        <v>2.7126281402469221</v>
      </c>
    </row>
    <row r="6675" spans="1:11">
      <c r="A6675" s="4">
        <v>2026</v>
      </c>
      <c r="B6675">
        <v>10</v>
      </c>
      <c r="C6675" t="s">
        <v>10</v>
      </c>
      <c r="D6675" t="s">
        <v>11</v>
      </c>
      <c r="E6675" t="s">
        <v>20</v>
      </c>
      <c r="F6675" t="s">
        <v>21</v>
      </c>
      <c r="G6675" t="str">
        <f t="shared" si="272"/>
        <v>007SNOW BUBBLES</v>
      </c>
      <c r="H6675" s="5">
        <v>1220</v>
      </c>
      <c r="I6675" s="6">
        <v>634.05652706821195</v>
      </c>
      <c r="J6675" s="5">
        <v>4800</v>
      </c>
      <c r="K6675" s="6">
        <f t="shared" si="273"/>
        <v>1.9241186675281274</v>
      </c>
    </row>
    <row r="6676" spans="1:11">
      <c r="A6676" s="4">
        <v>2026</v>
      </c>
      <c r="B6676">
        <v>10</v>
      </c>
      <c r="C6676" t="s">
        <v>10</v>
      </c>
      <c r="D6676" t="s">
        <v>11</v>
      </c>
      <c r="E6676" t="s">
        <v>22</v>
      </c>
      <c r="F6676" t="s">
        <v>18</v>
      </c>
      <c r="G6676" t="str">
        <f t="shared" si="272"/>
        <v>009HOT BUBBLES</v>
      </c>
      <c r="H6676" s="5">
        <v>11000</v>
      </c>
      <c r="I6676" s="6">
        <v>4487.9999999102474</v>
      </c>
      <c r="J6676" s="5">
        <v>31740</v>
      </c>
      <c r="K6676" s="6">
        <f t="shared" si="273"/>
        <v>2.4509803922058784</v>
      </c>
    </row>
    <row r="6677" spans="1:11">
      <c r="A6677" s="4">
        <v>2026</v>
      </c>
      <c r="B6677">
        <v>10</v>
      </c>
      <c r="C6677" t="s">
        <v>10</v>
      </c>
      <c r="D6677" t="s">
        <v>11</v>
      </c>
      <c r="E6677" t="s">
        <v>23</v>
      </c>
      <c r="F6677" t="s">
        <v>24</v>
      </c>
      <c r="G6677" t="str">
        <f t="shared" si="272"/>
        <v>014FRUITY BUBBLES</v>
      </c>
      <c r="H6677" s="5">
        <v>2150</v>
      </c>
      <c r="I6677" s="6">
        <v>1702.8</v>
      </c>
      <c r="J6677" s="5">
        <v>12900</v>
      </c>
      <c r="K6677" s="6">
        <f t="shared" si="273"/>
        <v>1.2626262626262628</v>
      </c>
    </row>
    <row r="6678" spans="1:11">
      <c r="A6678" s="4">
        <v>2026</v>
      </c>
      <c r="B6678">
        <v>10</v>
      </c>
      <c r="C6678" t="s">
        <v>10</v>
      </c>
      <c r="D6678" t="s">
        <v>11</v>
      </c>
      <c r="E6678" t="s">
        <v>25</v>
      </c>
      <c r="F6678" t="s">
        <v>26</v>
      </c>
      <c r="G6678" t="str">
        <f t="shared" si="272"/>
        <v>015FELLINI</v>
      </c>
      <c r="H6678" s="5">
        <v>7580</v>
      </c>
      <c r="I6678" s="6">
        <v>3009.6</v>
      </c>
      <c r="J6678" s="5">
        <v>22800</v>
      </c>
      <c r="K6678" s="6">
        <f t="shared" si="273"/>
        <v>2.5186071238702818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27</v>
      </c>
      <c r="F6679" t="s">
        <v>28</v>
      </c>
      <c r="G6679" t="str">
        <f t="shared" si="272"/>
        <v>016GOOD PEACH</v>
      </c>
      <c r="H6679" s="5">
        <v>3930</v>
      </c>
      <c r="I6679" s="6">
        <v>1386</v>
      </c>
      <c r="J6679" s="5">
        <v>10500</v>
      </c>
      <c r="K6679" s="6">
        <f t="shared" si="273"/>
        <v>2.8354978354978355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27</v>
      </c>
      <c r="F6680" t="s">
        <v>29</v>
      </c>
      <c r="G6680" t="str">
        <f t="shared" si="272"/>
        <v>016GOOD YELLOW</v>
      </c>
      <c r="H6680" s="5">
        <v>2070</v>
      </c>
      <c r="I6680" s="6">
        <v>1386</v>
      </c>
      <c r="J6680" s="5">
        <v>10500</v>
      </c>
      <c r="K6680" s="6">
        <f t="shared" si="273"/>
        <v>1.4935064935064934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30</v>
      </c>
      <c r="F6681" t="s">
        <v>31</v>
      </c>
      <c r="G6681" t="str">
        <f t="shared" si="272"/>
        <v>017ORANGE STAR</v>
      </c>
      <c r="H6681" s="5">
        <v>1150</v>
      </c>
      <c r="I6681" s="6">
        <v>1029.5999999999999</v>
      </c>
      <c r="J6681" s="5">
        <v>7800</v>
      </c>
      <c r="K6681" s="6">
        <f t="shared" si="273"/>
        <v>1.1169386169386171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32</v>
      </c>
      <c r="F6682" t="s">
        <v>33</v>
      </c>
      <c r="G6682" t="str">
        <f t="shared" si="272"/>
        <v>018COSMO</v>
      </c>
      <c r="H6682" s="5">
        <v>4825</v>
      </c>
      <c r="I6682" s="6">
        <v>2653.2</v>
      </c>
      <c r="J6682" s="5">
        <v>20100</v>
      </c>
      <c r="K6682" s="6">
        <f t="shared" si="273"/>
        <v>1.8185587215437964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32</v>
      </c>
      <c r="F6683" t="s">
        <v>34</v>
      </c>
      <c r="G6683" t="str">
        <f t="shared" si="272"/>
        <v>018RUBICON</v>
      </c>
      <c r="H6683" s="5">
        <v>5430</v>
      </c>
      <c r="I6683" s="6">
        <v>1768.8</v>
      </c>
      <c r="J6683" s="5">
        <v>13400</v>
      </c>
      <c r="K6683" s="6">
        <f t="shared" si="273"/>
        <v>3.0698778833107192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35</v>
      </c>
      <c r="F6684" t="s">
        <v>15</v>
      </c>
      <c r="G6684" t="str">
        <f t="shared" si="272"/>
        <v>019BELLINA</v>
      </c>
      <c r="H6684" s="5">
        <v>1860</v>
      </c>
      <c r="I6684" s="6">
        <v>1029.5999999999999</v>
      </c>
      <c r="J6684" s="5">
        <v>7800</v>
      </c>
      <c r="K6684" s="6">
        <f t="shared" si="273"/>
        <v>1.8065268065268067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36</v>
      </c>
      <c r="F6685" t="s">
        <v>37</v>
      </c>
      <c r="G6685" t="str">
        <f t="shared" si="272"/>
        <v>020SUMMER DANCE</v>
      </c>
      <c r="H6685" s="5">
        <v>3700</v>
      </c>
      <c r="I6685" s="6">
        <v>1346.4</v>
      </c>
      <c r="J6685" s="5">
        <v>10200</v>
      </c>
      <c r="K6685" s="6">
        <f t="shared" si="273"/>
        <v>2.7480689245395125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38</v>
      </c>
      <c r="F6686" t="s">
        <v>39</v>
      </c>
      <c r="G6686" t="str">
        <f t="shared" si="272"/>
        <v>021ELEGANT ROSEVER</v>
      </c>
      <c r="H6686" s="5">
        <v>1320</v>
      </c>
      <c r="I6686" s="6">
        <v>440.18999062500001</v>
      </c>
      <c r="J6686" s="5">
        <v>3200</v>
      </c>
      <c r="K6686" s="6">
        <f t="shared" si="273"/>
        <v>2.9987051684792041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38</v>
      </c>
      <c r="F6687" t="s">
        <v>40</v>
      </c>
      <c r="G6687" t="str">
        <f t="shared" si="272"/>
        <v>021FLAME CLUB</v>
      </c>
      <c r="H6687" s="5">
        <v>1375</v>
      </c>
      <c r="I6687" s="6">
        <v>880.38</v>
      </c>
      <c r="J6687" s="5">
        <v>6400</v>
      </c>
      <c r="K6687" s="6">
        <f t="shared" si="273"/>
        <v>1.5618255753197483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38</v>
      </c>
      <c r="F6688" t="s">
        <v>41</v>
      </c>
      <c r="G6688" t="str">
        <f t="shared" si="272"/>
        <v>021KELLY</v>
      </c>
      <c r="H6688" s="5">
        <v>650</v>
      </c>
      <c r="I6688" s="6">
        <v>330.14249999999998</v>
      </c>
      <c r="J6688" s="5">
        <v>2400</v>
      </c>
      <c r="K6688" s="6">
        <f t="shared" si="273"/>
        <v>1.9688467858576222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38</v>
      </c>
      <c r="F6689" t="s">
        <v>42</v>
      </c>
      <c r="G6689" t="str">
        <f t="shared" si="272"/>
        <v>021LEILA</v>
      </c>
      <c r="H6689" s="5">
        <v>1700</v>
      </c>
      <c r="I6689" s="6">
        <v>1430.6175000000001</v>
      </c>
      <c r="J6689" s="5">
        <v>5600</v>
      </c>
      <c r="K6689" s="6">
        <f t="shared" si="273"/>
        <v>1.1882980601034168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38</v>
      </c>
      <c r="F6690" t="s">
        <v>21</v>
      </c>
      <c r="G6690" t="str">
        <f t="shared" si="272"/>
        <v>021SNOW BUBBLES</v>
      </c>
      <c r="H6690" s="5">
        <v>1880</v>
      </c>
      <c r="I6690" s="6">
        <v>1287.0000000000018</v>
      </c>
      <c r="J6690" s="5">
        <v>9400</v>
      </c>
      <c r="K6690" s="6">
        <f t="shared" si="273"/>
        <v>1.4607614607614587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43</v>
      </c>
      <c r="F6691" t="s">
        <v>24</v>
      </c>
      <c r="G6691" t="str">
        <f t="shared" si="272"/>
        <v>022FRUITY BUBBLES</v>
      </c>
      <c r="H6691" s="5">
        <v>3175</v>
      </c>
      <c r="I6691" s="6">
        <v>2641.14</v>
      </c>
      <c r="J6691" s="5">
        <v>19200</v>
      </c>
      <c r="K6691" s="6">
        <f t="shared" si="273"/>
        <v>1.2021324125188366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43</v>
      </c>
      <c r="F6692" t="s">
        <v>28</v>
      </c>
      <c r="G6692" t="str">
        <f t="shared" si="272"/>
        <v>022GOOD PEACH</v>
      </c>
      <c r="H6692" s="5">
        <v>1530</v>
      </c>
      <c r="I6692" s="6">
        <v>880.38</v>
      </c>
      <c r="J6692" s="5">
        <v>6400</v>
      </c>
      <c r="K6692" s="6">
        <f t="shared" si="273"/>
        <v>1.7378859129012472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43</v>
      </c>
      <c r="F6693" t="s">
        <v>44</v>
      </c>
      <c r="G6693" t="str">
        <f t="shared" si="272"/>
        <v>022MIRABEL</v>
      </c>
      <c r="H6693" s="5">
        <v>900</v>
      </c>
      <c r="I6693" s="6">
        <v>880.38</v>
      </c>
      <c r="J6693" s="5">
        <v>6400</v>
      </c>
      <c r="K6693" s="6">
        <f t="shared" si="273"/>
        <v>1.0222858311183807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47</v>
      </c>
      <c r="F6694" t="s">
        <v>44</v>
      </c>
      <c r="G6694" t="str">
        <f t="shared" si="272"/>
        <v>030MIRABEL</v>
      </c>
      <c r="H6694" s="5">
        <v>6600</v>
      </c>
      <c r="I6694" s="6">
        <v>2413.6749943750001</v>
      </c>
      <c r="J6694" s="5">
        <v>17600</v>
      </c>
      <c r="K6694" s="6">
        <f t="shared" si="273"/>
        <v>2.7344195118982917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47</v>
      </c>
      <c r="F6695" t="s">
        <v>13</v>
      </c>
      <c r="G6695" t="str">
        <f t="shared" si="272"/>
        <v>030SOMERSET</v>
      </c>
      <c r="H6695" s="5">
        <v>4420</v>
      </c>
      <c r="I6695" s="6">
        <v>1645.6875</v>
      </c>
      <c r="J6695" s="5">
        <v>12000</v>
      </c>
      <c r="K6695" s="6">
        <f t="shared" si="273"/>
        <v>2.6858076032053475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48</v>
      </c>
      <c r="F6696" t="s">
        <v>49</v>
      </c>
      <c r="G6696" t="str">
        <f t="shared" ref="G6696:G6757" si="274">+E6696&amp;F6696</f>
        <v>03182989</v>
      </c>
      <c r="H6696" s="5">
        <v>2460</v>
      </c>
      <c r="I6696" s="6">
        <v>726.32013058333712</v>
      </c>
      <c r="J6696" s="5">
        <v>5712</v>
      </c>
      <c r="K6696" s="6">
        <f t="shared" si="273"/>
        <v>3.3869362783932124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48</v>
      </c>
      <c r="F6697" t="s">
        <v>34</v>
      </c>
      <c r="G6697" t="str">
        <f t="shared" si="274"/>
        <v>031RUBICON</v>
      </c>
      <c r="H6697" s="5">
        <v>2370</v>
      </c>
      <c r="I6697" s="6">
        <v>924.39958333667107</v>
      </c>
      <c r="J6697" s="5">
        <v>6720</v>
      </c>
      <c r="K6697" s="6">
        <f t="shared" si="273"/>
        <v>2.5638263395201402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48</v>
      </c>
      <c r="F6698" t="s">
        <v>13</v>
      </c>
      <c r="G6698" t="str">
        <f t="shared" si="274"/>
        <v>031SOMERSET</v>
      </c>
      <c r="H6698" s="5">
        <v>6580</v>
      </c>
      <c r="I6698" s="6">
        <v>1122.485208333339</v>
      </c>
      <c r="J6698" s="5">
        <v>8160</v>
      </c>
      <c r="K6698" s="6">
        <f t="shared" si="273"/>
        <v>5.8619926134883817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48</v>
      </c>
      <c r="F6699" t="s">
        <v>50</v>
      </c>
      <c r="G6699" t="str">
        <f t="shared" si="274"/>
        <v>031VELVET BLOSSOMS</v>
      </c>
      <c r="H6699" s="5">
        <v>700</v>
      </c>
      <c r="I6699" s="6">
        <v>396.17125000000198</v>
      </c>
      <c r="J6699" s="5">
        <v>2880</v>
      </c>
      <c r="K6699" s="6">
        <f t="shared" si="273"/>
        <v>1.7669126671862143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51</v>
      </c>
      <c r="F6700" t="s">
        <v>17</v>
      </c>
      <c r="G6700" t="str">
        <f t="shared" si="274"/>
        <v>032ELBA</v>
      </c>
      <c r="H6700" s="5">
        <v>3780</v>
      </c>
      <c r="I6700" s="6">
        <v>1535.9749999999999</v>
      </c>
      <c r="J6700" s="5">
        <v>11200</v>
      </c>
      <c r="K6700" s="6">
        <f t="shared" si="273"/>
        <v>2.4609775549732258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51</v>
      </c>
      <c r="F6701" t="s">
        <v>44</v>
      </c>
      <c r="G6701" t="str">
        <f t="shared" si="274"/>
        <v>032MIRABEL</v>
      </c>
      <c r="H6701" s="5">
        <v>1760</v>
      </c>
      <c r="I6701" s="6">
        <v>1535.9749999999999</v>
      </c>
      <c r="J6701" s="5">
        <v>11200</v>
      </c>
      <c r="K6701" s="6">
        <f t="shared" si="273"/>
        <v>1.145851983267957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52</v>
      </c>
      <c r="F6702" t="s">
        <v>53</v>
      </c>
      <c r="G6702" t="str">
        <f t="shared" si="274"/>
        <v>033CREAMY FOLIES</v>
      </c>
      <c r="H6702" s="5">
        <v>1080</v>
      </c>
      <c r="I6702" s="6">
        <v>594.25687500000299</v>
      </c>
      <c r="J6702" s="5">
        <v>4320</v>
      </c>
      <c r="K6702" s="6">
        <f t="shared" si="273"/>
        <v>1.8173958862486774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52</v>
      </c>
      <c r="F6703" t="s">
        <v>18</v>
      </c>
      <c r="G6703" t="str">
        <f t="shared" si="274"/>
        <v>033HOT BUBBLES</v>
      </c>
      <c r="H6703" s="5">
        <v>2860</v>
      </c>
      <c r="I6703" s="6">
        <v>2575.1131250013459</v>
      </c>
      <c r="J6703" s="5">
        <v>18720</v>
      </c>
      <c r="K6703" s="6">
        <f t="shared" si="273"/>
        <v>1.110630819373617</v>
      </c>
    </row>
    <row r="6704" spans="1:11">
      <c r="A6704" s="4">
        <v>2026</v>
      </c>
      <c r="B6704">
        <v>10</v>
      </c>
      <c r="C6704" t="s">
        <v>54</v>
      </c>
      <c r="D6704" t="s">
        <v>11</v>
      </c>
      <c r="E6704" t="s">
        <v>55</v>
      </c>
      <c r="F6704" t="s">
        <v>56</v>
      </c>
      <c r="G6704" t="str">
        <f t="shared" si="274"/>
        <v>001BELIEVE IN PINK</v>
      </c>
      <c r="H6704" s="5">
        <v>1860</v>
      </c>
      <c r="I6704" s="6">
        <v>528.37931032368999</v>
      </c>
      <c r="J6704" s="5">
        <v>4000</v>
      </c>
      <c r="K6704" s="6">
        <f t="shared" ref="K6704:K6709" si="275">IFERROR(H6704/I6704,"")</f>
        <v>3.5201983947110778</v>
      </c>
    </row>
    <row r="6705" spans="1:11">
      <c r="A6705" s="4">
        <v>2026</v>
      </c>
      <c r="B6705">
        <v>10</v>
      </c>
      <c r="C6705" t="s">
        <v>54</v>
      </c>
      <c r="D6705" t="s">
        <v>11</v>
      </c>
      <c r="E6705" t="s">
        <v>55</v>
      </c>
      <c r="F6705" t="s">
        <v>57</v>
      </c>
      <c r="G6705" t="str">
        <f t="shared" si="274"/>
        <v>001EXPLORER</v>
      </c>
      <c r="H6705" s="5">
        <v>5450</v>
      </c>
      <c r="I6705" s="6">
        <v>2272.0310343918732</v>
      </c>
      <c r="J6705" s="5">
        <v>17200</v>
      </c>
      <c r="K6705" s="6">
        <f t="shared" si="275"/>
        <v>2.3987348401069419</v>
      </c>
    </row>
    <row r="6706" spans="1:11">
      <c r="A6706" s="4">
        <v>2026</v>
      </c>
      <c r="B6706">
        <v>10</v>
      </c>
      <c r="C6706" t="s">
        <v>54</v>
      </c>
      <c r="D6706" t="s">
        <v>11</v>
      </c>
      <c r="E6706" t="s">
        <v>55</v>
      </c>
      <c r="F6706" t="s">
        <v>58</v>
      </c>
      <c r="G6706" t="str">
        <f t="shared" si="274"/>
        <v>001GRACE KELLY</v>
      </c>
      <c r="H6706" s="5">
        <v>3480</v>
      </c>
      <c r="I6706" s="6">
        <v>1162.4344827121224</v>
      </c>
      <c r="J6706" s="5">
        <v>8800</v>
      </c>
      <c r="K6706" s="6">
        <f t="shared" si="275"/>
        <v>2.9937171098715796</v>
      </c>
    </row>
    <row r="6707" spans="1:11">
      <c r="A6707" s="4">
        <v>2026</v>
      </c>
      <c r="B6707">
        <v>10</v>
      </c>
      <c r="C6707" t="s">
        <v>54</v>
      </c>
      <c r="D6707" t="s">
        <v>11</v>
      </c>
      <c r="E6707" t="s">
        <v>55</v>
      </c>
      <c r="F6707" t="s">
        <v>60</v>
      </c>
      <c r="G6707" t="str">
        <f t="shared" si="274"/>
        <v>001LIGHT HOUSE</v>
      </c>
      <c r="H6707" s="5">
        <v>2400</v>
      </c>
      <c r="I6707" s="6">
        <v>1056.7586206473827</v>
      </c>
      <c r="J6707" s="5">
        <v>8000</v>
      </c>
      <c r="K6707" s="6">
        <f t="shared" si="275"/>
        <v>2.2710957385232704</v>
      </c>
    </row>
    <row r="6708" spans="1:11">
      <c r="A6708" s="4">
        <v>2026</v>
      </c>
      <c r="B6708">
        <v>10</v>
      </c>
      <c r="C6708" t="s">
        <v>54</v>
      </c>
      <c r="D6708" t="s">
        <v>11</v>
      </c>
      <c r="E6708" t="s">
        <v>55</v>
      </c>
      <c r="F6708" t="s">
        <v>61</v>
      </c>
      <c r="G6708" t="str">
        <f t="shared" si="274"/>
        <v>001LUMIA</v>
      </c>
      <c r="H6708" s="5">
        <v>2280</v>
      </c>
      <c r="I6708" s="6">
        <v>1109.596551679753</v>
      </c>
      <c r="J6708" s="5">
        <v>8400</v>
      </c>
      <c r="K6708" s="6">
        <f t="shared" si="275"/>
        <v>2.0548009062829564</v>
      </c>
    </row>
    <row r="6709" spans="1:11">
      <c r="A6709" s="4">
        <v>2026</v>
      </c>
      <c r="B6709">
        <v>10</v>
      </c>
      <c r="C6709" t="s">
        <v>54</v>
      </c>
      <c r="D6709" t="s">
        <v>11</v>
      </c>
      <c r="E6709" t="s">
        <v>55</v>
      </c>
      <c r="F6709" t="s">
        <v>62</v>
      </c>
      <c r="G6709" t="str">
        <f t="shared" si="274"/>
        <v>001MOMENTUM</v>
      </c>
      <c r="H6709" s="5">
        <v>4850</v>
      </c>
      <c r="I6709" s="6">
        <v>1902.1655171652881</v>
      </c>
      <c r="J6709" s="5">
        <v>14400</v>
      </c>
      <c r="K6709" s="6">
        <f t="shared" si="275"/>
        <v>2.5497255397772838</v>
      </c>
    </row>
    <row r="6710" spans="1:11">
      <c r="A6710" s="4">
        <v>2026</v>
      </c>
      <c r="B6710">
        <v>10</v>
      </c>
      <c r="C6710" t="s">
        <v>54</v>
      </c>
      <c r="D6710" t="s">
        <v>11</v>
      </c>
      <c r="E6710" t="s">
        <v>12</v>
      </c>
      <c r="F6710" t="s">
        <v>63</v>
      </c>
      <c r="G6710" t="str">
        <f t="shared" si="274"/>
        <v>002SUMMER ROMANCE</v>
      </c>
      <c r="H6710" s="5">
        <v>1275</v>
      </c>
      <c r="I6710" s="6">
        <v>951.10714281909407</v>
      </c>
      <c r="J6710" s="5">
        <v>7200</v>
      </c>
      <c r="K6710" s="6">
        <f t="shared" ref="K6710:K6772" si="276">+H6710/I6710</f>
        <v>1.3405429762843366</v>
      </c>
    </row>
    <row r="6711" spans="1:11">
      <c r="A6711" s="4">
        <v>2026</v>
      </c>
      <c r="B6711">
        <v>10</v>
      </c>
      <c r="C6711" t="s">
        <v>54</v>
      </c>
      <c r="D6711" t="s">
        <v>11</v>
      </c>
      <c r="E6711" t="s">
        <v>12</v>
      </c>
      <c r="F6711" t="s">
        <v>64</v>
      </c>
      <c r="G6711" t="str">
        <f t="shared" si="274"/>
        <v>002SWEETNESS</v>
      </c>
      <c r="H6711" s="5">
        <v>7620</v>
      </c>
      <c r="I6711" s="6">
        <v>3804.4285712763772</v>
      </c>
      <c r="J6711" s="5">
        <v>28800</v>
      </c>
      <c r="K6711" s="6">
        <f t="shared" si="276"/>
        <v>2.0029289175071847</v>
      </c>
    </row>
    <row r="6712" spans="1:11">
      <c r="A6712" s="4">
        <v>2026</v>
      </c>
      <c r="B6712">
        <v>10</v>
      </c>
      <c r="C6712" t="s">
        <v>54</v>
      </c>
      <c r="D6712" t="s">
        <v>11</v>
      </c>
      <c r="E6712" t="s">
        <v>65</v>
      </c>
      <c r="F6712" t="s">
        <v>66</v>
      </c>
      <c r="G6712" t="str">
        <f t="shared" si="274"/>
        <v>003CABARET</v>
      </c>
      <c r="H6712" s="5">
        <v>5940</v>
      </c>
      <c r="I6712" s="6">
        <v>2641.8965516184649</v>
      </c>
      <c r="J6712" s="5">
        <v>20000</v>
      </c>
      <c r="K6712" s="6">
        <f t="shared" si="276"/>
        <v>2.2483847811380309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65</v>
      </c>
      <c r="F6713" t="s">
        <v>67</v>
      </c>
      <c r="G6713" t="str">
        <f t="shared" si="274"/>
        <v>003DEEP PURPLE</v>
      </c>
      <c r="H6713" s="5">
        <v>12150</v>
      </c>
      <c r="I6713" s="6">
        <v>3592.9793102010913</v>
      </c>
      <c r="J6713" s="5">
        <v>26044</v>
      </c>
      <c r="K6713" s="6">
        <f t="shared" si="276"/>
        <v>3.3815947577276728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65</v>
      </c>
      <c r="F6714" t="s">
        <v>57</v>
      </c>
      <c r="G6714" t="str">
        <f t="shared" si="274"/>
        <v>003EXPLORER</v>
      </c>
      <c r="H6714" s="5">
        <v>2625</v>
      </c>
      <c r="I6714" s="6">
        <v>1268.1103447768633</v>
      </c>
      <c r="J6714" s="5">
        <v>9600</v>
      </c>
      <c r="K6714" s="6">
        <f t="shared" si="276"/>
        <v>2.070009136674849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65</v>
      </c>
      <c r="F6715" t="s">
        <v>68</v>
      </c>
      <c r="G6715" t="str">
        <f t="shared" si="274"/>
        <v>003JOCKER</v>
      </c>
      <c r="H6715" s="5">
        <v>1400</v>
      </c>
      <c r="I6715" s="6">
        <v>528.37931032368999</v>
      </c>
      <c r="J6715" s="5">
        <v>4000</v>
      </c>
      <c r="K6715" s="6">
        <f t="shared" si="276"/>
        <v>2.6496116949438222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65</v>
      </c>
      <c r="F6716" t="s">
        <v>69</v>
      </c>
      <c r="G6716" t="str">
        <f t="shared" si="274"/>
        <v>003QUICKSAND</v>
      </c>
      <c r="H6716" s="5">
        <v>2910</v>
      </c>
      <c r="I6716" s="6">
        <v>1162.4344827121247</v>
      </c>
      <c r="J6716" s="5">
        <v>8800</v>
      </c>
      <c r="K6716" s="6">
        <f t="shared" si="276"/>
        <v>2.5033668935995057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14</v>
      </c>
      <c r="F6717" t="s">
        <v>70</v>
      </c>
      <c r="G6717" t="str">
        <f t="shared" si="274"/>
        <v>004COTOPAXI</v>
      </c>
      <c r="H6717" s="5">
        <v>630</v>
      </c>
      <c r="I6717" s="6">
        <v>528.3915024419166</v>
      </c>
      <c r="J6717" s="5">
        <v>4000</v>
      </c>
      <c r="K6717" s="6">
        <f t="shared" si="276"/>
        <v>1.1922977509829518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14</v>
      </c>
      <c r="F6718" t="s">
        <v>67</v>
      </c>
      <c r="G6718" t="str">
        <f t="shared" si="274"/>
        <v>004DEEP PURPLE</v>
      </c>
      <c r="H6718" s="5">
        <v>10290</v>
      </c>
      <c r="I6718" s="6">
        <v>3910.1071427007282</v>
      </c>
      <c r="J6718" s="5">
        <v>29260</v>
      </c>
      <c r="K6718" s="6">
        <f t="shared" si="276"/>
        <v>2.6316414421556367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14</v>
      </c>
      <c r="F6719" t="s">
        <v>71</v>
      </c>
      <c r="G6719" t="str">
        <f t="shared" si="274"/>
        <v>004HOT EXPLORER</v>
      </c>
      <c r="H6719" s="5">
        <v>4275</v>
      </c>
      <c r="I6719" s="6">
        <v>1902.2142856381945</v>
      </c>
      <c r="J6719" s="5">
        <v>14400</v>
      </c>
      <c r="K6719" s="6">
        <f t="shared" si="276"/>
        <v>2.2473808720060862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14</v>
      </c>
      <c r="F6720" t="s">
        <v>72</v>
      </c>
      <c r="G6720" t="str">
        <f t="shared" si="274"/>
        <v>004HOT MERENGUE</v>
      </c>
      <c r="H6720" s="5">
        <v>3360</v>
      </c>
      <c r="I6720" s="6">
        <v>1162.4642856677858</v>
      </c>
      <c r="J6720" s="5">
        <v>8800</v>
      </c>
      <c r="K6720" s="6">
        <f t="shared" si="276"/>
        <v>2.890411379881511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14</v>
      </c>
      <c r="F6721" t="s">
        <v>64</v>
      </c>
      <c r="G6721" t="str">
        <f t="shared" si="274"/>
        <v>004SWEETNESS</v>
      </c>
      <c r="H6721" s="5">
        <v>630</v>
      </c>
      <c r="I6721" s="6">
        <v>317.03571427303262</v>
      </c>
      <c r="J6721" s="5">
        <v>2400</v>
      </c>
      <c r="K6721" s="6">
        <f t="shared" si="276"/>
        <v>1.9871578236685381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16</v>
      </c>
      <c r="F6722" t="s">
        <v>57</v>
      </c>
      <c r="G6722" t="str">
        <f t="shared" si="274"/>
        <v>005EXPLORER</v>
      </c>
      <c r="H6722" s="5">
        <v>1275</v>
      </c>
      <c r="I6722" s="6">
        <v>951.10714281875391</v>
      </c>
      <c r="J6722" s="5">
        <v>7200</v>
      </c>
      <c r="K6722" s="6">
        <f t="shared" si="276"/>
        <v>1.340542976284816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16</v>
      </c>
      <c r="F6723" t="s">
        <v>73</v>
      </c>
      <c r="G6723" t="str">
        <f t="shared" si="274"/>
        <v>005GOLDFINCH</v>
      </c>
      <c r="H6723" s="5">
        <v>1250</v>
      </c>
      <c r="I6723" s="6">
        <v>898.26785710660101</v>
      </c>
      <c r="J6723" s="5">
        <v>6800</v>
      </c>
      <c r="K6723" s="6">
        <f t="shared" si="276"/>
        <v>1.3915671034098436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16</v>
      </c>
      <c r="F6724" t="s">
        <v>68</v>
      </c>
      <c r="G6724" t="str">
        <f t="shared" si="274"/>
        <v>005JOCKER</v>
      </c>
      <c r="H6724" s="5">
        <v>3125</v>
      </c>
      <c r="I6724" s="6">
        <v>1162.4642856673661</v>
      </c>
      <c r="J6724" s="5">
        <v>8800</v>
      </c>
      <c r="K6724" s="6">
        <f t="shared" si="276"/>
        <v>2.6882546315871974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16</v>
      </c>
      <c r="F6725" t="s">
        <v>74</v>
      </c>
      <c r="G6725" t="str">
        <f t="shared" si="274"/>
        <v>005VENDELA</v>
      </c>
      <c r="H6725" s="5">
        <v>3030</v>
      </c>
      <c r="I6725" s="6">
        <v>686.91071425798896</v>
      </c>
      <c r="J6725" s="5">
        <v>5200</v>
      </c>
      <c r="K6725" s="6">
        <f t="shared" si="276"/>
        <v>4.4110536305625256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75</v>
      </c>
      <c r="F6726" t="s">
        <v>76</v>
      </c>
      <c r="G6726" t="str">
        <f t="shared" si="274"/>
        <v>006ATOMIC</v>
      </c>
      <c r="H6726" s="5">
        <v>1600</v>
      </c>
      <c r="I6726" s="6">
        <v>845.428571394752</v>
      </c>
      <c r="J6726" s="5">
        <v>6400</v>
      </c>
      <c r="K6726" s="6">
        <f t="shared" si="276"/>
        <v>1.8925312606367066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75</v>
      </c>
      <c r="F6727" t="s">
        <v>57</v>
      </c>
      <c r="G6727" t="str">
        <f t="shared" si="274"/>
        <v>006EXPLORER</v>
      </c>
      <c r="H6727" s="5">
        <v>6225</v>
      </c>
      <c r="I6727" s="6">
        <v>3910.1071427007355</v>
      </c>
      <c r="J6727" s="5">
        <v>29600</v>
      </c>
      <c r="K6727" s="6">
        <f t="shared" si="276"/>
        <v>1.592027986143713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75</v>
      </c>
      <c r="F6728" t="s">
        <v>77</v>
      </c>
      <c r="G6728" t="str">
        <f t="shared" si="274"/>
        <v>006MONDIAL</v>
      </c>
      <c r="H6728" s="5">
        <v>8025</v>
      </c>
      <c r="I6728" s="6">
        <v>4015.7857141250793</v>
      </c>
      <c r="J6728" s="5">
        <v>30400</v>
      </c>
      <c r="K6728" s="6">
        <f t="shared" si="276"/>
        <v>1.9983636008696768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20</v>
      </c>
      <c r="F6729" t="s">
        <v>70</v>
      </c>
      <c r="G6729" t="str">
        <f t="shared" si="274"/>
        <v>007COTOPAXI</v>
      </c>
      <c r="H6729" s="5">
        <v>7890</v>
      </c>
      <c r="I6729" s="6">
        <v>2747.5751230427709</v>
      </c>
      <c r="J6729" s="5">
        <v>20800</v>
      </c>
      <c r="K6729" s="6">
        <f t="shared" si="276"/>
        <v>2.871623030005567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20</v>
      </c>
      <c r="F6730" t="s">
        <v>78</v>
      </c>
      <c r="G6730" t="str">
        <f t="shared" si="274"/>
        <v>007REDIANT</v>
      </c>
      <c r="H6730" s="5">
        <v>1890</v>
      </c>
      <c r="I6730" s="6">
        <v>1056.75862064738</v>
      </c>
      <c r="J6730" s="5">
        <v>9600</v>
      </c>
      <c r="K6730" s="6">
        <f t="shared" si="276"/>
        <v>1.7884878940870799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20</v>
      </c>
      <c r="F6731" t="s">
        <v>63</v>
      </c>
      <c r="G6731" t="str">
        <f t="shared" si="274"/>
        <v>007SUMMER ROMANCE</v>
      </c>
      <c r="H6731" s="5">
        <v>675</v>
      </c>
      <c r="I6731" s="6">
        <v>369.86551722658481</v>
      </c>
      <c r="J6731" s="5">
        <v>3080</v>
      </c>
      <c r="K6731" s="6">
        <f t="shared" si="276"/>
        <v>1.8249876470276236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20</v>
      </c>
      <c r="F6732" t="s">
        <v>74</v>
      </c>
      <c r="G6732" t="str">
        <f t="shared" si="274"/>
        <v>007VENDELA</v>
      </c>
      <c r="H6732" s="5">
        <v>15360</v>
      </c>
      <c r="I6732" s="6">
        <v>3592.9793102011122</v>
      </c>
      <c r="J6732" s="5">
        <v>27820</v>
      </c>
      <c r="K6732" s="6">
        <f t="shared" si="276"/>
        <v>4.2750037431026131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79</v>
      </c>
      <c r="F6733" t="s">
        <v>67</v>
      </c>
      <c r="G6733" t="str">
        <f t="shared" si="274"/>
        <v>008DEEP PURPLE</v>
      </c>
      <c r="H6733" s="5">
        <v>2940</v>
      </c>
      <c r="I6733" s="6">
        <v>1585.2222221588099</v>
      </c>
      <c r="J6733" s="5">
        <v>11490</v>
      </c>
      <c r="K6733" s="6">
        <f t="shared" si="276"/>
        <v>1.8546295648039852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79</v>
      </c>
      <c r="F6734" t="s">
        <v>81</v>
      </c>
      <c r="G6734" t="str">
        <f t="shared" si="274"/>
        <v>008FREEDOM</v>
      </c>
      <c r="H6734" s="5">
        <v>5460</v>
      </c>
      <c r="I6734" s="6">
        <v>2219.311111022334</v>
      </c>
      <c r="J6734" s="5">
        <v>16800</v>
      </c>
      <c r="K6734" s="6">
        <f t="shared" si="276"/>
        <v>2.4602228920869189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79</v>
      </c>
      <c r="F6735" t="s">
        <v>68</v>
      </c>
      <c r="G6735" t="str">
        <f t="shared" si="274"/>
        <v>008JOCKER</v>
      </c>
      <c r="H6735" s="5">
        <v>6800</v>
      </c>
      <c r="I6735" s="6">
        <v>2959.0814813631118</v>
      </c>
      <c r="J6735" s="5">
        <v>22400</v>
      </c>
      <c r="K6735" s="6">
        <f t="shared" si="276"/>
        <v>2.2980103937075618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79</v>
      </c>
      <c r="F6736" t="s">
        <v>61</v>
      </c>
      <c r="G6736" t="str">
        <f t="shared" si="274"/>
        <v>008LUMIA</v>
      </c>
      <c r="H6736" s="5">
        <v>630</v>
      </c>
      <c r="I6736" s="6">
        <v>1796.5851851133182</v>
      </c>
      <c r="J6736" s="5">
        <v>13600</v>
      </c>
      <c r="K6736" s="6">
        <f t="shared" si="276"/>
        <v>0.35066525384949293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82</v>
      </c>
      <c r="F6737" t="s">
        <v>83</v>
      </c>
      <c r="G6737" t="str">
        <f t="shared" si="274"/>
        <v>010COOLDOWN</v>
      </c>
      <c r="H6737" s="5">
        <v>3275</v>
      </c>
      <c r="I6737" s="6">
        <v>1912.3542857142861</v>
      </c>
      <c r="J6737" s="5">
        <v>16320</v>
      </c>
      <c r="K6737" s="6">
        <f t="shared" si="276"/>
        <v>1.7125487805606847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82</v>
      </c>
      <c r="F6738" t="s">
        <v>84</v>
      </c>
      <c r="G6738" t="str">
        <f t="shared" si="274"/>
        <v>010VIOLET HILL</v>
      </c>
      <c r="H6738" s="5">
        <v>2790</v>
      </c>
      <c r="I6738" s="6">
        <v>2812.2857142428579</v>
      </c>
      <c r="J6738" s="5">
        <v>20000</v>
      </c>
      <c r="K6738" s="6">
        <f t="shared" si="276"/>
        <v>0.99207558672648666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85</v>
      </c>
      <c r="F6739" t="s">
        <v>86</v>
      </c>
      <c r="G6739" t="str">
        <f t="shared" si="274"/>
        <v>011BRIGHTON</v>
      </c>
      <c r="H6739" s="5">
        <v>3400</v>
      </c>
      <c r="I6739" s="6">
        <v>1768.8376470588223</v>
      </c>
      <c r="J6739" s="5">
        <v>12800</v>
      </c>
      <c r="K6739" s="6">
        <f t="shared" si="276"/>
        <v>1.9221662347889488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85</v>
      </c>
      <c r="F6740" t="s">
        <v>87</v>
      </c>
      <c r="G6740" t="str">
        <f t="shared" si="274"/>
        <v>011CANDLELIGHT</v>
      </c>
      <c r="H6740" s="5">
        <v>8660</v>
      </c>
      <c r="I6740" s="6">
        <v>2263.7999998868127</v>
      </c>
      <c r="J6740" s="5">
        <v>17920</v>
      </c>
      <c r="K6740" s="6">
        <f t="shared" si="276"/>
        <v>3.8254262745971332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85</v>
      </c>
      <c r="F6741" t="s">
        <v>88</v>
      </c>
      <c r="G6741" t="str">
        <f t="shared" si="274"/>
        <v>011CAYENNE</v>
      </c>
      <c r="H6741" s="5">
        <v>1080</v>
      </c>
      <c r="I6741" s="6">
        <v>994.97117647058747</v>
      </c>
      <c r="J6741" s="5">
        <v>7200</v>
      </c>
      <c r="K6741" s="6">
        <f t="shared" si="276"/>
        <v>1.0854585796455241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85</v>
      </c>
      <c r="F6742" t="s">
        <v>61</v>
      </c>
      <c r="G6742" t="str">
        <f t="shared" si="274"/>
        <v>011LUMIA</v>
      </c>
      <c r="H6742" s="5">
        <v>2670</v>
      </c>
      <c r="I6742" s="6">
        <v>994.97117647058747</v>
      </c>
      <c r="J6742" s="5">
        <v>7920</v>
      </c>
      <c r="K6742" s="6">
        <f t="shared" si="276"/>
        <v>2.6834948219014345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85</v>
      </c>
      <c r="F6743" t="s">
        <v>89</v>
      </c>
      <c r="G6743" t="str">
        <f t="shared" si="274"/>
        <v>011STARDUST</v>
      </c>
      <c r="H6743" s="5">
        <v>4850</v>
      </c>
      <c r="I6743" s="6">
        <v>2263.7999998868127</v>
      </c>
      <c r="J6743" s="5">
        <v>17920</v>
      </c>
      <c r="K6743" s="6">
        <f t="shared" si="276"/>
        <v>2.1424154078286484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90</v>
      </c>
      <c r="F6744" t="s">
        <v>67</v>
      </c>
      <c r="G6744" t="str">
        <f t="shared" si="274"/>
        <v>012DEEP PURPLE</v>
      </c>
      <c r="H6744" s="5">
        <v>17550</v>
      </c>
      <c r="I6744" s="6">
        <v>6727.0499997982479</v>
      </c>
      <c r="J6744" s="5">
        <v>49210</v>
      </c>
      <c r="K6744" s="6">
        <f t="shared" si="276"/>
        <v>2.6088701586172758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90</v>
      </c>
      <c r="F6745" t="s">
        <v>60</v>
      </c>
      <c r="G6745" t="str">
        <f t="shared" si="274"/>
        <v>012LIGHT HOUSE</v>
      </c>
      <c r="H6745" s="5">
        <v>1620</v>
      </c>
      <c r="I6745" s="6">
        <v>994.95</v>
      </c>
      <c r="J6745" s="5">
        <v>7200</v>
      </c>
      <c r="K6745" s="6">
        <f t="shared" si="276"/>
        <v>1.6282225237449117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91</v>
      </c>
      <c r="F6746" t="s">
        <v>92</v>
      </c>
      <c r="G6746" t="str">
        <f t="shared" si="274"/>
        <v>013COUNTRY BLUES</v>
      </c>
      <c r="H6746" s="5">
        <v>2250</v>
      </c>
      <c r="I6746" s="6">
        <v>831.6</v>
      </c>
      <c r="J6746" s="5">
        <v>6300</v>
      </c>
      <c r="K6746" s="6">
        <f t="shared" si="276"/>
        <v>2.7056277056277054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91</v>
      </c>
      <c r="F6747" t="s">
        <v>93</v>
      </c>
      <c r="G6747" t="str">
        <f t="shared" si="274"/>
        <v>013LORRAINE</v>
      </c>
      <c r="H6747" s="5">
        <v>3750</v>
      </c>
      <c r="I6747" s="6">
        <v>1267.2</v>
      </c>
      <c r="J6747" s="5">
        <v>9600</v>
      </c>
      <c r="K6747" s="6">
        <f t="shared" si="276"/>
        <v>2.9592803030303028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91</v>
      </c>
      <c r="F6748" t="s">
        <v>61</v>
      </c>
      <c r="G6748" t="str">
        <f t="shared" si="274"/>
        <v>013LUMIA</v>
      </c>
      <c r="H6748" s="5">
        <v>450</v>
      </c>
      <c r="I6748" s="6">
        <v>316.8</v>
      </c>
      <c r="J6748" s="5">
        <v>2400</v>
      </c>
      <c r="K6748" s="6">
        <f t="shared" si="276"/>
        <v>1.4204545454545454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91</v>
      </c>
      <c r="F6749" t="s">
        <v>74</v>
      </c>
      <c r="G6749" t="str">
        <f t="shared" si="274"/>
        <v>013VENDELA</v>
      </c>
      <c r="H6749" s="5">
        <v>15510</v>
      </c>
      <c r="I6749" s="6">
        <v>3603.6</v>
      </c>
      <c r="J6749" s="5">
        <v>27296</v>
      </c>
      <c r="K6749" s="6">
        <f t="shared" si="276"/>
        <v>4.3040293040293038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23</v>
      </c>
      <c r="F6750" t="s">
        <v>89</v>
      </c>
      <c r="G6750" t="str">
        <f t="shared" si="274"/>
        <v>014STARDUST</v>
      </c>
      <c r="H6750" s="5">
        <v>6550</v>
      </c>
      <c r="I6750" s="6">
        <v>3682.8</v>
      </c>
      <c r="J6750" s="5">
        <v>27900</v>
      </c>
      <c r="K6750" s="6">
        <f t="shared" si="276"/>
        <v>1.7785380688606494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25</v>
      </c>
      <c r="F6751" t="s">
        <v>68</v>
      </c>
      <c r="G6751" t="str">
        <f t="shared" si="274"/>
        <v>015JOCKER</v>
      </c>
      <c r="H6751" s="5">
        <v>4600</v>
      </c>
      <c r="I6751" s="6">
        <v>2376</v>
      </c>
      <c r="J6751" s="5">
        <v>18000</v>
      </c>
      <c r="K6751" s="6">
        <f t="shared" si="276"/>
        <v>1.936026936026936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27</v>
      </c>
      <c r="F6752" t="s">
        <v>94</v>
      </c>
      <c r="G6752" t="str">
        <f t="shared" si="274"/>
        <v>016DREAM IN PEACH</v>
      </c>
      <c r="H6752" s="5">
        <v>1830</v>
      </c>
      <c r="I6752" s="6">
        <v>950.4</v>
      </c>
      <c r="J6752" s="5">
        <v>7200</v>
      </c>
      <c r="K6752" s="6">
        <f t="shared" si="276"/>
        <v>1.9255050505050506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27</v>
      </c>
      <c r="F6753" t="s">
        <v>95</v>
      </c>
      <c r="G6753" t="str">
        <f t="shared" si="274"/>
        <v>016NINA</v>
      </c>
      <c r="H6753" s="5">
        <v>3925</v>
      </c>
      <c r="I6753" s="6">
        <v>1346.4</v>
      </c>
      <c r="J6753" s="5">
        <v>10200</v>
      </c>
      <c r="K6753" s="6">
        <f t="shared" si="276"/>
        <v>2.9151812240047534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30</v>
      </c>
      <c r="F6754" t="s">
        <v>81</v>
      </c>
      <c r="G6754" t="str">
        <f t="shared" si="274"/>
        <v>017FREEDOM</v>
      </c>
      <c r="H6754" s="5">
        <v>7830</v>
      </c>
      <c r="I6754" s="6">
        <v>2851.2</v>
      </c>
      <c r="J6754" s="5">
        <v>21600</v>
      </c>
      <c r="K6754" s="6">
        <f t="shared" si="276"/>
        <v>2.7462121212121215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30</v>
      </c>
      <c r="F6755" t="s">
        <v>73</v>
      </c>
      <c r="G6755" t="str">
        <f t="shared" si="274"/>
        <v>017GOLDFINCH</v>
      </c>
      <c r="H6755" s="5">
        <v>3450</v>
      </c>
      <c r="I6755" s="6">
        <v>2138.4</v>
      </c>
      <c r="J6755" s="5">
        <v>16200</v>
      </c>
      <c r="K6755" s="6">
        <f t="shared" si="276"/>
        <v>1.6133557800224467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32</v>
      </c>
      <c r="F6756" t="s">
        <v>86</v>
      </c>
      <c r="G6756" t="str">
        <f t="shared" si="274"/>
        <v>018BRIGHTON</v>
      </c>
      <c r="H6756" s="5">
        <v>2475</v>
      </c>
      <c r="I6756" s="6">
        <v>963.6</v>
      </c>
      <c r="J6756" s="5">
        <v>7570</v>
      </c>
      <c r="K6756" s="6">
        <f t="shared" si="276"/>
        <v>2.5684931506849313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35</v>
      </c>
      <c r="F6757" t="s">
        <v>86</v>
      </c>
      <c r="G6757" t="str">
        <f t="shared" si="274"/>
        <v>019BRIGHTON</v>
      </c>
      <c r="H6757" s="5">
        <v>6575</v>
      </c>
      <c r="I6757" s="6">
        <v>3168</v>
      </c>
      <c r="J6757" s="5">
        <v>24000</v>
      </c>
      <c r="K6757" s="6">
        <f t="shared" si="276"/>
        <v>2.0754419191919191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35</v>
      </c>
      <c r="F6758" t="s">
        <v>96</v>
      </c>
      <c r="G6758" t="str">
        <f t="shared" ref="G6758:G6818" si="277">+E6758&amp;F6758</f>
        <v>019TABATHA</v>
      </c>
      <c r="H6758" s="5">
        <v>2940</v>
      </c>
      <c r="I6758" s="6">
        <v>1188</v>
      </c>
      <c r="J6758" s="5">
        <v>9000</v>
      </c>
      <c r="K6758" s="6">
        <f t="shared" si="276"/>
        <v>2.4747474747474749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36</v>
      </c>
      <c r="F6759" t="s">
        <v>86</v>
      </c>
      <c r="G6759" t="str">
        <f t="shared" si="277"/>
        <v>020BRIGHTON</v>
      </c>
      <c r="H6759" s="5">
        <v>4800</v>
      </c>
      <c r="I6759" s="6">
        <v>2732.4</v>
      </c>
      <c r="J6759" s="5">
        <v>20700</v>
      </c>
      <c r="K6759" s="6">
        <f t="shared" si="276"/>
        <v>1.7566974088713219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36</v>
      </c>
      <c r="F6760" t="s">
        <v>97</v>
      </c>
      <c r="G6760" t="str">
        <f t="shared" si="277"/>
        <v>020TYCOON</v>
      </c>
      <c r="H6760" s="5">
        <v>1140</v>
      </c>
      <c r="I6760" s="6">
        <v>673.2</v>
      </c>
      <c r="J6760" s="5">
        <v>5100</v>
      </c>
      <c r="K6760" s="6">
        <f t="shared" si="276"/>
        <v>1.6934046345811051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38</v>
      </c>
      <c r="F6761" t="s">
        <v>98</v>
      </c>
      <c r="G6761" t="str">
        <f t="shared" si="277"/>
        <v>021SHOW GIRL</v>
      </c>
      <c r="H6761" s="5">
        <v>1850</v>
      </c>
      <c r="I6761" s="6">
        <v>1100.4749999999999</v>
      </c>
      <c r="J6761" s="5">
        <v>8000</v>
      </c>
      <c r="K6761" s="6">
        <f t="shared" si="276"/>
        <v>1.6810922556168928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43</v>
      </c>
      <c r="F6762" t="s">
        <v>99</v>
      </c>
      <c r="G6762" t="str">
        <f t="shared" si="277"/>
        <v>022CORAL REEF</v>
      </c>
      <c r="H6762" s="5">
        <v>3500</v>
      </c>
      <c r="I6762" s="6">
        <v>1287</v>
      </c>
      <c r="J6762" s="5">
        <v>9400</v>
      </c>
      <c r="K6762" s="6">
        <f t="shared" si="276"/>
        <v>2.7195027195027195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100</v>
      </c>
      <c r="F6763" t="s">
        <v>70</v>
      </c>
      <c r="G6763" t="str">
        <f t="shared" si="277"/>
        <v>023COTOPAXI</v>
      </c>
      <c r="H6763" s="5">
        <v>3540</v>
      </c>
      <c r="I6763" s="6">
        <v>2641.14</v>
      </c>
      <c r="J6763" s="5">
        <v>19200</v>
      </c>
      <c r="K6763" s="6">
        <f t="shared" si="276"/>
        <v>1.3403303119107659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100</v>
      </c>
      <c r="F6764" t="s">
        <v>101</v>
      </c>
      <c r="G6764" t="str">
        <f t="shared" si="277"/>
        <v>023FRUTTETO</v>
      </c>
      <c r="H6764" s="5">
        <v>5070</v>
      </c>
      <c r="I6764" s="6">
        <v>2641.14</v>
      </c>
      <c r="J6764" s="5">
        <v>19200</v>
      </c>
      <c r="K6764" s="6">
        <f t="shared" si="276"/>
        <v>1.9196256162111816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102</v>
      </c>
      <c r="F6765" t="s">
        <v>70</v>
      </c>
      <c r="G6765" t="str">
        <f t="shared" si="277"/>
        <v>024COTOPAXI</v>
      </c>
      <c r="H6765" s="5">
        <v>1860</v>
      </c>
      <c r="I6765" s="6">
        <v>1430.6174906250001</v>
      </c>
      <c r="J6765" s="5">
        <v>10400</v>
      </c>
      <c r="K6765" s="6">
        <f t="shared" si="276"/>
        <v>1.3001378860448671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102</v>
      </c>
      <c r="F6766" t="s">
        <v>64</v>
      </c>
      <c r="G6766" t="str">
        <f t="shared" si="277"/>
        <v>024SWEETNESS</v>
      </c>
      <c r="H6766" s="5">
        <v>2160</v>
      </c>
      <c r="I6766" s="6">
        <v>1430.6175000000001</v>
      </c>
      <c r="J6766" s="5">
        <v>10400</v>
      </c>
      <c r="K6766" s="6">
        <f t="shared" si="276"/>
        <v>1.5098375351902238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102</v>
      </c>
      <c r="F6767" t="s">
        <v>97</v>
      </c>
      <c r="G6767" t="str">
        <f t="shared" si="277"/>
        <v>024TYCOON</v>
      </c>
      <c r="H6767" s="5">
        <v>3180</v>
      </c>
      <c r="I6767" s="6">
        <v>2861.2350000000001</v>
      </c>
      <c r="J6767" s="5">
        <v>20800</v>
      </c>
      <c r="K6767" s="6">
        <f t="shared" si="276"/>
        <v>1.1114081856261369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103</v>
      </c>
      <c r="F6768" t="s">
        <v>104</v>
      </c>
      <c r="G6768" t="str">
        <f t="shared" si="277"/>
        <v>025PINK MONDIAL</v>
      </c>
      <c r="H6768" s="5">
        <v>7525</v>
      </c>
      <c r="I6768" s="6">
        <v>3071.9505625000002</v>
      </c>
      <c r="J6768" s="5">
        <v>22400</v>
      </c>
      <c r="K6768" s="6">
        <f t="shared" si="276"/>
        <v>2.4495836918273972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45</v>
      </c>
      <c r="F6769" t="s">
        <v>105</v>
      </c>
      <c r="G6769" t="str">
        <f t="shared" si="277"/>
        <v>026LOLA</v>
      </c>
      <c r="H6769" s="5">
        <v>6825</v>
      </c>
      <c r="I6769" s="6">
        <v>1097.125</v>
      </c>
      <c r="J6769" s="5">
        <v>8000</v>
      </c>
      <c r="K6769" s="6">
        <f t="shared" si="276"/>
        <v>6.220804375071209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45</v>
      </c>
      <c r="F6770" t="s">
        <v>106</v>
      </c>
      <c r="G6770" t="str">
        <f t="shared" si="277"/>
        <v>026PALOMA</v>
      </c>
      <c r="H6770" s="5">
        <v>7875</v>
      </c>
      <c r="I6770" s="6">
        <v>2852.5250000000001</v>
      </c>
      <c r="J6770" s="5">
        <v>20800</v>
      </c>
      <c r="K6770" s="6">
        <f t="shared" si="276"/>
        <v>2.7607120007712465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107</v>
      </c>
      <c r="F6771" t="s">
        <v>108</v>
      </c>
      <c r="G6771" t="str">
        <f t="shared" si="277"/>
        <v>027SATISFACTION</v>
      </c>
      <c r="H6771" s="5">
        <v>6300</v>
      </c>
      <c r="I6771" s="6">
        <v>2633.1</v>
      </c>
      <c r="J6771" s="5">
        <v>19200</v>
      </c>
      <c r="K6771" s="6">
        <f t="shared" si="276"/>
        <v>2.3926170673350806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107</v>
      </c>
      <c r="F6772" t="s">
        <v>109</v>
      </c>
      <c r="G6772" t="str">
        <f t="shared" si="277"/>
        <v>027TIFFANY</v>
      </c>
      <c r="H6772" s="5">
        <v>6600</v>
      </c>
      <c r="I6772" s="6">
        <v>2633.1</v>
      </c>
      <c r="J6772" s="5">
        <v>19200</v>
      </c>
      <c r="K6772" s="6">
        <f t="shared" si="276"/>
        <v>2.5065512133986556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110</v>
      </c>
      <c r="F6773" t="s">
        <v>70</v>
      </c>
      <c r="G6773" t="str">
        <f t="shared" si="277"/>
        <v>028COTOPAXI</v>
      </c>
      <c r="H6773" s="5">
        <v>3300</v>
      </c>
      <c r="I6773" s="6">
        <v>2852.5250000000001</v>
      </c>
      <c r="J6773" s="5">
        <v>20800</v>
      </c>
      <c r="K6773" s="6">
        <f t="shared" ref="K6773:K6833" si="278">+H6773/I6773</f>
        <v>1.1568697907993795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110</v>
      </c>
      <c r="F6774" t="s">
        <v>67</v>
      </c>
      <c r="G6774" t="str">
        <f t="shared" si="277"/>
        <v>028DEEP PURPLE</v>
      </c>
      <c r="H6774" s="5">
        <v>7980</v>
      </c>
      <c r="I6774" s="6">
        <v>2852.5250000000001</v>
      </c>
      <c r="J6774" s="5">
        <v>20800</v>
      </c>
      <c r="K6774" s="6">
        <f t="shared" si="278"/>
        <v>2.7975214941148629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111</v>
      </c>
      <c r="F6775" t="s">
        <v>112</v>
      </c>
      <c r="G6775" t="str">
        <f t="shared" si="277"/>
        <v>029PINK FLOYD</v>
      </c>
      <c r="H6775" s="5">
        <v>5625</v>
      </c>
      <c r="I6775" s="6">
        <v>3071.95</v>
      </c>
      <c r="J6775" s="5">
        <v>22400</v>
      </c>
      <c r="K6775" s="6">
        <f t="shared" si="278"/>
        <v>1.8310844903074595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47</v>
      </c>
      <c r="F6776" t="s">
        <v>57</v>
      </c>
      <c r="G6776" t="str">
        <f t="shared" si="277"/>
        <v>030EXPLORER</v>
      </c>
      <c r="H6776" s="5">
        <v>3075</v>
      </c>
      <c r="I6776" s="6">
        <v>1645.6875</v>
      </c>
      <c r="J6776" s="5">
        <v>12000</v>
      </c>
      <c r="K6776" s="6">
        <f t="shared" si="278"/>
        <v>1.8685199954426341</v>
      </c>
    </row>
    <row r="6777" spans="1:11">
      <c r="A6777" s="4">
        <v>2026</v>
      </c>
      <c r="B6777">
        <v>11</v>
      </c>
      <c r="C6777" t="s">
        <v>10</v>
      </c>
      <c r="D6777" t="s">
        <v>11</v>
      </c>
      <c r="E6777" t="s">
        <v>12</v>
      </c>
      <c r="F6777" t="s">
        <v>13</v>
      </c>
      <c r="G6777" t="str">
        <f t="shared" si="277"/>
        <v>002SOMERSET</v>
      </c>
      <c r="H6777" s="5">
        <v>13980</v>
      </c>
      <c r="I6777" s="6">
        <v>4121.4642855494085</v>
      </c>
      <c r="J6777" s="5">
        <v>31200</v>
      </c>
      <c r="K6777" s="6">
        <f t="shared" si="278"/>
        <v>3.3919983363719499</v>
      </c>
    </row>
    <row r="6778" spans="1:11">
      <c r="A6778" s="4">
        <v>2026</v>
      </c>
      <c r="B6778">
        <v>11</v>
      </c>
      <c r="C6778" t="s">
        <v>10</v>
      </c>
      <c r="D6778" t="s">
        <v>11</v>
      </c>
      <c r="E6778" t="s">
        <v>14</v>
      </c>
      <c r="F6778" t="s">
        <v>15</v>
      </c>
      <c r="G6778" t="str">
        <f t="shared" si="277"/>
        <v>004BELLINA</v>
      </c>
      <c r="H6778" s="5">
        <v>2355</v>
      </c>
      <c r="I6778" s="6">
        <v>1056.7857142434418</v>
      </c>
      <c r="J6778" s="5">
        <v>8000</v>
      </c>
      <c r="K6778" s="6">
        <f t="shared" si="278"/>
        <v>2.2284555593997184</v>
      </c>
    </row>
    <row r="6779" spans="1:11">
      <c r="A6779" s="4">
        <v>2026</v>
      </c>
      <c r="B6779">
        <v>11</v>
      </c>
      <c r="C6779" t="s">
        <v>10</v>
      </c>
      <c r="D6779" t="s">
        <v>11</v>
      </c>
      <c r="E6779" t="s">
        <v>16</v>
      </c>
      <c r="F6779" t="s">
        <v>17</v>
      </c>
      <c r="G6779" t="str">
        <f t="shared" si="277"/>
        <v>005ELBA</v>
      </c>
      <c r="H6779" s="5">
        <v>11550</v>
      </c>
      <c r="I6779" s="6">
        <v>2641.9642856076484</v>
      </c>
      <c r="J6779" s="5">
        <v>19996</v>
      </c>
      <c r="K6779" s="6">
        <f t="shared" si="278"/>
        <v>4.3717472120723668</v>
      </c>
    </row>
    <row r="6780" spans="1:11">
      <c r="A6780" s="4">
        <v>2026</v>
      </c>
      <c r="B6780">
        <v>11</v>
      </c>
      <c r="C6780" t="s">
        <v>10</v>
      </c>
      <c r="D6780" t="s">
        <v>11</v>
      </c>
      <c r="E6780" t="s">
        <v>16</v>
      </c>
      <c r="F6780" t="s">
        <v>18</v>
      </c>
      <c r="G6780" t="str">
        <f t="shared" si="277"/>
        <v>005HOT BUBBLES</v>
      </c>
      <c r="H6780" s="5">
        <v>2060</v>
      </c>
      <c r="I6780" s="6">
        <v>528.39285712153003</v>
      </c>
      <c r="J6780" s="5">
        <v>4000</v>
      </c>
      <c r="K6780" s="6">
        <f t="shared" si="278"/>
        <v>3.8986143969130174</v>
      </c>
    </row>
    <row r="6781" spans="1:11">
      <c r="A6781" s="4">
        <v>2026</v>
      </c>
      <c r="B6781">
        <v>11</v>
      </c>
      <c r="C6781" t="s">
        <v>10</v>
      </c>
      <c r="D6781" t="s">
        <v>11</v>
      </c>
      <c r="E6781" t="s">
        <v>16</v>
      </c>
      <c r="F6781" t="s">
        <v>19</v>
      </c>
      <c r="G6781" t="str">
        <f t="shared" si="277"/>
        <v>005SUSPIRO</v>
      </c>
      <c r="H6781" s="5">
        <v>6270</v>
      </c>
      <c r="I6781" s="6">
        <v>1902.2142856375078</v>
      </c>
      <c r="J6781" s="5">
        <v>14400</v>
      </c>
      <c r="K6781" s="6">
        <f t="shared" si="278"/>
        <v>3.2961586122767832</v>
      </c>
    </row>
    <row r="6782" spans="1:11">
      <c r="A6782" s="4">
        <v>2026</v>
      </c>
      <c r="B6782">
        <v>11</v>
      </c>
      <c r="C6782" t="s">
        <v>10</v>
      </c>
      <c r="D6782" t="s">
        <v>11</v>
      </c>
      <c r="E6782" t="s">
        <v>20</v>
      </c>
      <c r="F6782" t="s">
        <v>21</v>
      </c>
      <c r="G6782" t="str">
        <f t="shared" si="277"/>
        <v>007SNOW BUBBLES</v>
      </c>
      <c r="H6782" s="5">
        <v>880</v>
      </c>
      <c r="I6782" s="6">
        <v>634.05652706821195</v>
      </c>
      <c r="J6782" s="5">
        <v>4800</v>
      </c>
      <c r="K6782" s="6">
        <f t="shared" si="278"/>
        <v>1.3878888749383214</v>
      </c>
    </row>
    <row r="6783" spans="1:11">
      <c r="A6783" s="4">
        <v>2026</v>
      </c>
      <c r="B6783">
        <v>11</v>
      </c>
      <c r="C6783" t="s">
        <v>10</v>
      </c>
      <c r="D6783" t="s">
        <v>11</v>
      </c>
      <c r="E6783" t="s">
        <v>22</v>
      </c>
      <c r="F6783" t="s">
        <v>18</v>
      </c>
      <c r="G6783" t="str">
        <f t="shared" si="277"/>
        <v>009HOT BUBBLES</v>
      </c>
      <c r="H6783" s="5">
        <v>16740</v>
      </c>
      <c r="I6783" s="6">
        <v>4487.9999999102474</v>
      </c>
      <c r="J6783" s="5">
        <v>31740</v>
      </c>
      <c r="K6783" s="6">
        <f t="shared" si="278"/>
        <v>3.7299465241387639</v>
      </c>
    </row>
    <row r="6784" spans="1:11">
      <c r="A6784" s="4">
        <v>2026</v>
      </c>
      <c r="B6784">
        <v>11</v>
      </c>
      <c r="C6784" t="s">
        <v>10</v>
      </c>
      <c r="D6784" t="s">
        <v>11</v>
      </c>
      <c r="E6784" t="s">
        <v>23</v>
      </c>
      <c r="F6784" t="s">
        <v>24</v>
      </c>
      <c r="G6784" t="str">
        <f t="shared" si="277"/>
        <v>014FRUITY BUBBLES</v>
      </c>
      <c r="H6784" s="5">
        <v>4775</v>
      </c>
      <c r="I6784" s="6">
        <v>1702.8</v>
      </c>
      <c r="J6784" s="5">
        <v>12900</v>
      </c>
      <c r="K6784" s="6">
        <f t="shared" si="278"/>
        <v>2.8042048390885599</v>
      </c>
    </row>
    <row r="6785" spans="1:11">
      <c r="A6785" s="4">
        <v>2026</v>
      </c>
      <c r="B6785">
        <v>11</v>
      </c>
      <c r="C6785" t="s">
        <v>10</v>
      </c>
      <c r="D6785" t="s">
        <v>11</v>
      </c>
      <c r="E6785" t="s">
        <v>25</v>
      </c>
      <c r="F6785" t="s">
        <v>26</v>
      </c>
      <c r="G6785" t="str">
        <f t="shared" si="277"/>
        <v>015FELLINI</v>
      </c>
      <c r="H6785" s="5">
        <v>5760</v>
      </c>
      <c r="I6785" s="6">
        <v>3009.6</v>
      </c>
      <c r="J6785" s="5">
        <v>22800</v>
      </c>
      <c r="K6785" s="6">
        <f t="shared" si="278"/>
        <v>1.9138755980861244</v>
      </c>
    </row>
    <row r="6786" spans="1:11">
      <c r="A6786" s="4">
        <v>2026</v>
      </c>
      <c r="B6786">
        <v>11</v>
      </c>
      <c r="C6786" t="s">
        <v>10</v>
      </c>
      <c r="D6786" t="s">
        <v>11</v>
      </c>
      <c r="E6786" t="s">
        <v>27</v>
      </c>
      <c r="F6786" t="s">
        <v>28</v>
      </c>
      <c r="G6786" t="str">
        <f t="shared" si="277"/>
        <v>016GOOD PEACH</v>
      </c>
      <c r="H6786" s="5">
        <v>4560</v>
      </c>
      <c r="I6786" s="6">
        <v>1386</v>
      </c>
      <c r="J6786" s="5">
        <v>10500</v>
      </c>
      <c r="K6786" s="6">
        <f t="shared" si="278"/>
        <v>3.2900432900432901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27</v>
      </c>
      <c r="F6787" t="s">
        <v>29</v>
      </c>
      <c r="G6787" t="str">
        <f t="shared" si="277"/>
        <v>016GOOD YELLOW</v>
      </c>
      <c r="H6787" s="5">
        <v>3600</v>
      </c>
      <c r="I6787" s="6">
        <v>1386</v>
      </c>
      <c r="J6787" s="5">
        <v>10500</v>
      </c>
      <c r="K6787" s="6">
        <f t="shared" si="278"/>
        <v>2.5974025974025974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30</v>
      </c>
      <c r="F6788" t="s">
        <v>31</v>
      </c>
      <c r="G6788" t="str">
        <f t="shared" si="277"/>
        <v>017ORANGE STAR</v>
      </c>
      <c r="H6788" s="5">
        <v>1100</v>
      </c>
      <c r="I6788" s="6">
        <v>1029.5999999999999</v>
      </c>
      <c r="J6788" s="5">
        <v>7800</v>
      </c>
      <c r="K6788" s="6">
        <f t="shared" si="278"/>
        <v>1.0683760683760686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32</v>
      </c>
      <c r="F6789" t="s">
        <v>33</v>
      </c>
      <c r="G6789" t="str">
        <f t="shared" si="277"/>
        <v>018COSMO</v>
      </c>
      <c r="H6789" s="5">
        <v>4750</v>
      </c>
      <c r="I6789" s="6">
        <v>2653.2</v>
      </c>
      <c r="J6789" s="5">
        <v>20100</v>
      </c>
      <c r="K6789" s="6">
        <f t="shared" si="278"/>
        <v>1.7902909693954472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32</v>
      </c>
      <c r="F6790" t="s">
        <v>34</v>
      </c>
      <c r="G6790" t="str">
        <f t="shared" si="277"/>
        <v>018RUBICON</v>
      </c>
      <c r="H6790" s="5">
        <v>7260</v>
      </c>
      <c r="I6790" s="6">
        <v>1768.8</v>
      </c>
      <c r="J6790" s="5">
        <v>13400</v>
      </c>
      <c r="K6790" s="6">
        <f t="shared" si="278"/>
        <v>4.1044776119402986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35</v>
      </c>
      <c r="F6791" t="s">
        <v>15</v>
      </c>
      <c r="G6791" t="str">
        <f t="shared" si="277"/>
        <v>019BELLINA</v>
      </c>
      <c r="H6791" s="5">
        <v>2280</v>
      </c>
      <c r="I6791" s="6">
        <v>1029.5999999999999</v>
      </c>
      <c r="J6791" s="5">
        <v>7800</v>
      </c>
      <c r="K6791" s="6">
        <f t="shared" si="278"/>
        <v>2.2144522144522147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36</v>
      </c>
      <c r="F6792" t="s">
        <v>37</v>
      </c>
      <c r="G6792" t="str">
        <f t="shared" si="277"/>
        <v>020SUMMER DANCE</v>
      </c>
      <c r="H6792" s="5">
        <v>4700</v>
      </c>
      <c r="I6792" s="6">
        <v>1346.4</v>
      </c>
      <c r="J6792" s="5">
        <v>10200</v>
      </c>
      <c r="K6792" s="6">
        <f t="shared" si="278"/>
        <v>3.4907902554961376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38</v>
      </c>
      <c r="F6793" t="s">
        <v>39</v>
      </c>
      <c r="G6793" t="str">
        <f t="shared" si="277"/>
        <v>021ELEGANT ROSEVER</v>
      </c>
      <c r="H6793" s="5">
        <v>870</v>
      </c>
      <c r="I6793" s="6">
        <v>440.18999062500001</v>
      </c>
      <c r="J6793" s="5">
        <v>3200</v>
      </c>
      <c r="K6793" s="6">
        <f t="shared" si="278"/>
        <v>1.9764193155885665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38</v>
      </c>
      <c r="F6794" t="s">
        <v>40</v>
      </c>
      <c r="G6794" t="str">
        <f t="shared" si="277"/>
        <v>021FLAME CLUB</v>
      </c>
      <c r="H6794" s="5">
        <v>1625</v>
      </c>
      <c r="I6794" s="6">
        <v>880.38</v>
      </c>
      <c r="J6794" s="5">
        <v>6400</v>
      </c>
      <c r="K6794" s="6">
        <f t="shared" si="278"/>
        <v>1.8457938617415208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38</v>
      </c>
      <c r="F6795" t="s">
        <v>41</v>
      </c>
      <c r="G6795" t="str">
        <f t="shared" si="277"/>
        <v>021KELLY</v>
      </c>
      <c r="H6795" s="5">
        <v>500</v>
      </c>
      <c r="I6795" s="6">
        <v>330.14249999999998</v>
      </c>
      <c r="J6795" s="5">
        <v>2400</v>
      </c>
      <c r="K6795" s="6">
        <f t="shared" si="278"/>
        <v>1.5144975275827863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38</v>
      </c>
      <c r="F6796" t="s">
        <v>42</v>
      </c>
      <c r="G6796" t="str">
        <f t="shared" si="277"/>
        <v>021LEILA</v>
      </c>
      <c r="H6796" s="5">
        <v>2175</v>
      </c>
      <c r="I6796" s="6">
        <v>1430.6175000000001</v>
      </c>
      <c r="J6796" s="5">
        <v>5600</v>
      </c>
      <c r="K6796" s="6">
        <f t="shared" si="278"/>
        <v>1.5203225180734892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38</v>
      </c>
      <c r="F6797" t="s">
        <v>21</v>
      </c>
      <c r="G6797" t="str">
        <f t="shared" si="277"/>
        <v>021SNOW BUBBLES</v>
      </c>
      <c r="H6797" s="5">
        <v>2560</v>
      </c>
      <c r="I6797" s="6">
        <v>1287.0000000000018</v>
      </c>
      <c r="J6797" s="5">
        <v>9400</v>
      </c>
      <c r="K6797" s="6">
        <f t="shared" si="278"/>
        <v>1.9891219891219862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43</v>
      </c>
      <c r="F6798" t="s">
        <v>24</v>
      </c>
      <c r="G6798" t="str">
        <f t="shared" si="277"/>
        <v>022FRUITY BUBBLES</v>
      </c>
      <c r="H6798" s="5">
        <v>5775</v>
      </c>
      <c r="I6798" s="6">
        <v>2641.14</v>
      </c>
      <c r="J6798" s="5">
        <v>19200</v>
      </c>
      <c r="K6798" s="6">
        <f t="shared" si="278"/>
        <v>2.1865558054476475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43</v>
      </c>
      <c r="F6799" t="s">
        <v>28</v>
      </c>
      <c r="G6799" t="str">
        <f t="shared" si="277"/>
        <v>022GOOD PEACH</v>
      </c>
      <c r="H6799" s="5">
        <v>2520</v>
      </c>
      <c r="I6799" s="6">
        <v>880.38</v>
      </c>
      <c r="J6799" s="5">
        <v>6400</v>
      </c>
      <c r="K6799" s="6">
        <f t="shared" si="278"/>
        <v>2.862400327131466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43</v>
      </c>
      <c r="F6800" t="s">
        <v>44</v>
      </c>
      <c r="G6800" t="str">
        <f t="shared" si="277"/>
        <v>022MIRABEL</v>
      </c>
      <c r="H6800" s="5">
        <v>1040</v>
      </c>
      <c r="I6800" s="6">
        <v>880.38</v>
      </c>
      <c r="J6800" s="5">
        <v>6400</v>
      </c>
      <c r="K6800" s="6">
        <f t="shared" si="278"/>
        <v>1.1813080715145732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47</v>
      </c>
      <c r="F6801" t="s">
        <v>44</v>
      </c>
      <c r="G6801" t="str">
        <f t="shared" si="277"/>
        <v>030MIRABEL</v>
      </c>
      <c r="H6801" s="5">
        <v>6880</v>
      </c>
      <c r="I6801" s="6">
        <v>2413.6749943750001</v>
      </c>
      <c r="J6801" s="5">
        <v>17600</v>
      </c>
      <c r="K6801" s="6">
        <f t="shared" si="278"/>
        <v>2.8504251881606435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47</v>
      </c>
      <c r="F6802" t="s">
        <v>13</v>
      </c>
      <c r="G6802" t="str">
        <f t="shared" si="277"/>
        <v>030SOMERSET</v>
      </c>
      <c r="H6802" s="5">
        <v>4160</v>
      </c>
      <c r="I6802" s="6">
        <v>1645.6875</v>
      </c>
      <c r="J6802" s="5">
        <v>12000</v>
      </c>
      <c r="K6802" s="6">
        <f t="shared" si="278"/>
        <v>2.5278189206638562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48</v>
      </c>
      <c r="F6803" t="s">
        <v>49</v>
      </c>
      <c r="G6803" t="str">
        <f t="shared" si="277"/>
        <v>03182989</v>
      </c>
      <c r="H6803" s="5">
        <v>3160</v>
      </c>
      <c r="I6803" s="6">
        <v>726.32013058333712</v>
      </c>
      <c r="J6803" s="5">
        <v>5712</v>
      </c>
      <c r="K6803" s="6">
        <f t="shared" si="278"/>
        <v>4.3506986340335576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48</v>
      </c>
      <c r="F6804" t="s">
        <v>34</v>
      </c>
      <c r="G6804" t="str">
        <f t="shared" si="277"/>
        <v>031RUBICON</v>
      </c>
      <c r="H6804" s="5">
        <v>2700</v>
      </c>
      <c r="I6804" s="6">
        <v>924.39958333667107</v>
      </c>
      <c r="J6804" s="5">
        <v>6720</v>
      </c>
      <c r="K6804" s="6">
        <f t="shared" si="278"/>
        <v>2.9208148171748429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48</v>
      </c>
      <c r="F6805" t="s">
        <v>13</v>
      </c>
      <c r="G6805" t="str">
        <f t="shared" si="277"/>
        <v>031SOMERSET</v>
      </c>
      <c r="H6805" s="5">
        <v>5100</v>
      </c>
      <c r="I6805" s="6">
        <v>1122.485208333339</v>
      </c>
      <c r="J6805" s="5">
        <v>8160</v>
      </c>
      <c r="K6805" s="6">
        <f t="shared" si="278"/>
        <v>4.5434897156216936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48</v>
      </c>
      <c r="F6806" t="s">
        <v>50</v>
      </c>
      <c r="G6806" t="str">
        <f t="shared" si="277"/>
        <v>031VELVET BLOSSOMS</v>
      </c>
      <c r="H6806" s="5">
        <v>660</v>
      </c>
      <c r="I6806" s="6">
        <v>396.17125000000198</v>
      </c>
      <c r="J6806" s="5">
        <v>2880</v>
      </c>
      <c r="K6806" s="6">
        <f t="shared" si="278"/>
        <v>1.6659462290612879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51</v>
      </c>
      <c r="F6807" t="s">
        <v>17</v>
      </c>
      <c r="G6807" t="str">
        <f t="shared" si="277"/>
        <v>032ELBA</v>
      </c>
      <c r="H6807" s="5">
        <v>3450</v>
      </c>
      <c r="I6807" s="6">
        <v>1535.9749999999999</v>
      </c>
      <c r="J6807" s="5">
        <v>11200</v>
      </c>
      <c r="K6807" s="6">
        <f t="shared" si="278"/>
        <v>2.2461303081104838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51</v>
      </c>
      <c r="F6808" t="s">
        <v>44</v>
      </c>
      <c r="G6808" t="str">
        <f t="shared" si="277"/>
        <v>032MIRABEL</v>
      </c>
      <c r="H6808" s="5">
        <v>2080</v>
      </c>
      <c r="I6808" s="6">
        <v>1535.9749999999999</v>
      </c>
      <c r="J6808" s="5">
        <v>11200</v>
      </c>
      <c r="K6808" s="6">
        <f t="shared" si="278"/>
        <v>1.3541887074984946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52</v>
      </c>
      <c r="F6809" t="s">
        <v>53</v>
      </c>
      <c r="G6809" t="str">
        <f t="shared" si="277"/>
        <v>033CREAMY FOLIES</v>
      </c>
      <c r="H6809" s="5">
        <v>1050</v>
      </c>
      <c r="I6809" s="6">
        <v>594.25687500000299</v>
      </c>
      <c r="J6809" s="5">
        <v>4320</v>
      </c>
      <c r="K6809" s="6">
        <f t="shared" si="278"/>
        <v>1.7669126671862143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52</v>
      </c>
      <c r="F6810" t="s">
        <v>18</v>
      </c>
      <c r="G6810" t="str">
        <f t="shared" si="277"/>
        <v>033HOT BUBBLES</v>
      </c>
      <c r="H6810" s="5">
        <v>3620</v>
      </c>
      <c r="I6810" s="6">
        <v>2575.1131250013459</v>
      </c>
      <c r="J6810" s="5">
        <v>18720</v>
      </c>
      <c r="K6810" s="6">
        <f t="shared" si="278"/>
        <v>1.4057634846617109</v>
      </c>
    </row>
    <row r="6811" spans="1:11">
      <c r="A6811" s="4">
        <v>2026</v>
      </c>
      <c r="B6811">
        <v>11</v>
      </c>
      <c r="C6811" t="s">
        <v>54</v>
      </c>
      <c r="D6811" t="s">
        <v>11</v>
      </c>
      <c r="E6811" t="s">
        <v>55</v>
      </c>
      <c r="F6811" t="s">
        <v>56</v>
      </c>
      <c r="G6811" t="str">
        <f t="shared" si="277"/>
        <v>001BELIEVE IN PINK</v>
      </c>
      <c r="H6811" s="5">
        <v>1230</v>
      </c>
      <c r="I6811" s="6">
        <v>528.37931032368999</v>
      </c>
      <c r="J6811" s="5">
        <v>4000</v>
      </c>
      <c r="K6811" s="6">
        <f t="shared" ref="K6811:K6816" si="279">IFERROR(H6811/I6811,"")</f>
        <v>2.3278731319863581</v>
      </c>
    </row>
    <row r="6812" spans="1:11">
      <c r="A6812" s="4">
        <v>2026</v>
      </c>
      <c r="B6812">
        <v>11</v>
      </c>
      <c r="C6812" t="s">
        <v>54</v>
      </c>
      <c r="D6812" t="s">
        <v>11</v>
      </c>
      <c r="E6812" t="s">
        <v>55</v>
      </c>
      <c r="F6812" t="s">
        <v>57</v>
      </c>
      <c r="G6812" t="str">
        <f t="shared" si="277"/>
        <v>001EXPLORER</v>
      </c>
      <c r="H6812" s="5">
        <v>6650</v>
      </c>
      <c r="I6812" s="6">
        <v>2272.0310343918732</v>
      </c>
      <c r="J6812" s="5">
        <v>17200</v>
      </c>
      <c r="K6812" s="6">
        <f t="shared" si="279"/>
        <v>2.9268966397635165</v>
      </c>
    </row>
    <row r="6813" spans="1:11">
      <c r="A6813" s="4">
        <v>2026</v>
      </c>
      <c r="B6813">
        <v>11</v>
      </c>
      <c r="C6813" t="s">
        <v>54</v>
      </c>
      <c r="D6813" t="s">
        <v>11</v>
      </c>
      <c r="E6813" t="s">
        <v>55</v>
      </c>
      <c r="F6813" t="s">
        <v>58</v>
      </c>
      <c r="G6813" t="str">
        <f t="shared" si="277"/>
        <v>001GRACE KELLY</v>
      </c>
      <c r="H6813" s="5">
        <v>2880</v>
      </c>
      <c r="I6813" s="6">
        <v>1162.4344827121224</v>
      </c>
      <c r="J6813" s="5">
        <v>8800</v>
      </c>
      <c r="K6813" s="6">
        <f t="shared" si="279"/>
        <v>2.4775589874799282</v>
      </c>
    </row>
    <row r="6814" spans="1:11">
      <c r="A6814" s="4">
        <v>2026</v>
      </c>
      <c r="B6814">
        <v>11</v>
      </c>
      <c r="C6814" t="s">
        <v>54</v>
      </c>
      <c r="D6814" t="s">
        <v>11</v>
      </c>
      <c r="E6814" t="s">
        <v>55</v>
      </c>
      <c r="F6814" t="s">
        <v>60</v>
      </c>
      <c r="G6814" t="str">
        <f t="shared" si="277"/>
        <v>001LIGHT HOUSE</v>
      </c>
      <c r="H6814" s="5">
        <v>1890</v>
      </c>
      <c r="I6814" s="6">
        <v>1056.7586206473827</v>
      </c>
      <c r="J6814" s="5">
        <v>8000</v>
      </c>
      <c r="K6814" s="6">
        <f t="shared" si="279"/>
        <v>1.7884878940870752</v>
      </c>
    </row>
    <row r="6815" spans="1:11">
      <c r="A6815" s="4">
        <v>2026</v>
      </c>
      <c r="B6815">
        <v>11</v>
      </c>
      <c r="C6815" t="s">
        <v>54</v>
      </c>
      <c r="D6815" t="s">
        <v>11</v>
      </c>
      <c r="E6815" t="s">
        <v>55</v>
      </c>
      <c r="F6815" t="s">
        <v>61</v>
      </c>
      <c r="G6815" t="str">
        <f t="shared" si="277"/>
        <v>001LUMIA</v>
      </c>
      <c r="H6815" s="5">
        <v>1650</v>
      </c>
      <c r="I6815" s="6">
        <v>1109.596551679753</v>
      </c>
      <c r="J6815" s="5">
        <v>8400</v>
      </c>
      <c r="K6815" s="6">
        <f t="shared" si="279"/>
        <v>1.4870269716521396</v>
      </c>
    </row>
    <row r="6816" spans="1:11">
      <c r="A6816" s="4">
        <v>2026</v>
      </c>
      <c r="B6816">
        <v>11</v>
      </c>
      <c r="C6816" t="s">
        <v>54</v>
      </c>
      <c r="D6816" t="s">
        <v>11</v>
      </c>
      <c r="E6816" t="s">
        <v>55</v>
      </c>
      <c r="F6816" t="s">
        <v>62</v>
      </c>
      <c r="G6816" t="str">
        <f t="shared" si="277"/>
        <v>001MOMENTUM</v>
      </c>
      <c r="H6816" s="5">
        <v>3975</v>
      </c>
      <c r="I6816" s="6">
        <v>1902.1655171652881</v>
      </c>
      <c r="J6816" s="5">
        <v>14400</v>
      </c>
      <c r="K6816" s="6">
        <f t="shared" si="279"/>
        <v>2.0897235094050934</v>
      </c>
    </row>
    <row r="6817" spans="1:11">
      <c r="A6817" s="4">
        <v>2026</v>
      </c>
      <c r="B6817">
        <v>11</v>
      </c>
      <c r="C6817" t="s">
        <v>54</v>
      </c>
      <c r="D6817" t="s">
        <v>11</v>
      </c>
      <c r="E6817" t="s">
        <v>12</v>
      </c>
      <c r="F6817" t="s">
        <v>63</v>
      </c>
      <c r="G6817" t="str">
        <f t="shared" si="277"/>
        <v>002SUMMER ROMANCE</v>
      </c>
      <c r="H6817" s="5">
        <v>1600</v>
      </c>
      <c r="I6817" s="6">
        <v>951.10714281909407</v>
      </c>
      <c r="J6817" s="5">
        <v>7200</v>
      </c>
      <c r="K6817" s="6">
        <f t="shared" si="278"/>
        <v>1.6822500094548538</v>
      </c>
    </row>
    <row r="6818" spans="1:11">
      <c r="A6818" s="4">
        <v>2026</v>
      </c>
      <c r="B6818">
        <v>11</v>
      </c>
      <c r="C6818" t="s">
        <v>54</v>
      </c>
      <c r="D6818" t="s">
        <v>11</v>
      </c>
      <c r="E6818" t="s">
        <v>12</v>
      </c>
      <c r="F6818" t="s">
        <v>64</v>
      </c>
      <c r="G6818" t="str">
        <f t="shared" si="277"/>
        <v>002SWEETNESS</v>
      </c>
      <c r="H6818" s="5">
        <v>11040</v>
      </c>
      <c r="I6818" s="6">
        <v>3804.4285712763772</v>
      </c>
      <c r="J6818" s="5">
        <v>28800</v>
      </c>
      <c r="K6818" s="6">
        <f t="shared" si="278"/>
        <v>2.9018812663096223</v>
      </c>
    </row>
    <row r="6819" spans="1:11">
      <c r="A6819" s="4">
        <v>2026</v>
      </c>
      <c r="B6819">
        <v>11</v>
      </c>
      <c r="C6819" t="s">
        <v>54</v>
      </c>
      <c r="D6819" t="s">
        <v>11</v>
      </c>
      <c r="E6819" t="s">
        <v>65</v>
      </c>
      <c r="F6819" t="s">
        <v>66</v>
      </c>
      <c r="G6819" t="str">
        <f t="shared" ref="G6819:G6881" si="280">+E6819&amp;F6819</f>
        <v>003CABARET</v>
      </c>
      <c r="H6819" s="5">
        <v>4860</v>
      </c>
      <c r="I6819" s="6">
        <v>2641.8965516184649</v>
      </c>
      <c r="J6819" s="5">
        <v>20000</v>
      </c>
      <c r="K6819" s="6">
        <f t="shared" si="278"/>
        <v>1.8395875482038433</v>
      </c>
    </row>
    <row r="6820" spans="1:11">
      <c r="A6820" s="4">
        <v>2026</v>
      </c>
      <c r="B6820">
        <v>11</v>
      </c>
      <c r="C6820" t="s">
        <v>54</v>
      </c>
      <c r="D6820" t="s">
        <v>11</v>
      </c>
      <c r="E6820" t="s">
        <v>65</v>
      </c>
      <c r="F6820" t="s">
        <v>67</v>
      </c>
      <c r="G6820" t="str">
        <f t="shared" si="280"/>
        <v>003DEEP PURPLE</v>
      </c>
      <c r="H6820" s="5">
        <v>13530</v>
      </c>
      <c r="I6820" s="6">
        <v>3592.9793102010913</v>
      </c>
      <c r="J6820" s="5">
        <v>26044</v>
      </c>
      <c r="K6820" s="6">
        <f t="shared" si="278"/>
        <v>3.7656771252720502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65</v>
      </c>
      <c r="F6821" t="s">
        <v>57</v>
      </c>
      <c r="G6821" t="str">
        <f t="shared" si="280"/>
        <v>003EXPLORER</v>
      </c>
      <c r="H6821" s="5">
        <v>3550</v>
      </c>
      <c r="I6821" s="6">
        <v>1268.1103447768633</v>
      </c>
      <c r="J6821" s="5">
        <v>9600</v>
      </c>
      <c r="K6821" s="6">
        <f t="shared" si="278"/>
        <v>2.7994409276936056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65</v>
      </c>
      <c r="F6822" t="s">
        <v>68</v>
      </c>
      <c r="G6822" t="str">
        <f t="shared" si="280"/>
        <v>003JOCKER</v>
      </c>
      <c r="H6822" s="5">
        <v>950</v>
      </c>
      <c r="I6822" s="6">
        <v>528.37931032368999</v>
      </c>
      <c r="J6822" s="5">
        <v>4000</v>
      </c>
      <c r="K6822" s="6">
        <f t="shared" si="278"/>
        <v>1.7979507929975935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65</v>
      </c>
      <c r="F6823" t="s">
        <v>69</v>
      </c>
      <c r="G6823" t="str">
        <f t="shared" si="280"/>
        <v>003QUICKSAND</v>
      </c>
      <c r="H6823" s="5">
        <v>2760</v>
      </c>
      <c r="I6823" s="6">
        <v>1162.4344827121247</v>
      </c>
      <c r="J6823" s="5">
        <v>8800</v>
      </c>
      <c r="K6823" s="6">
        <f t="shared" si="278"/>
        <v>2.3743273630015933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14</v>
      </c>
      <c r="F6824" t="s">
        <v>70</v>
      </c>
      <c r="G6824" t="str">
        <f t="shared" si="280"/>
        <v>004COTOPAXI</v>
      </c>
      <c r="H6824" s="5">
        <v>2100</v>
      </c>
      <c r="I6824" s="6">
        <v>528.3915024419166</v>
      </c>
      <c r="J6824" s="5">
        <v>4000</v>
      </c>
      <c r="K6824" s="6">
        <f t="shared" si="278"/>
        <v>3.9743258366098391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14</v>
      </c>
      <c r="F6825" t="s">
        <v>67</v>
      </c>
      <c r="G6825" t="str">
        <f t="shared" si="280"/>
        <v>004DEEP PURPLE</v>
      </c>
      <c r="H6825" s="5">
        <v>11850</v>
      </c>
      <c r="I6825" s="6">
        <v>3910.1071427007282</v>
      </c>
      <c r="J6825" s="5">
        <v>29260</v>
      </c>
      <c r="K6825" s="6">
        <f t="shared" si="278"/>
        <v>3.0306074916952666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14</v>
      </c>
      <c r="F6826" t="s">
        <v>71</v>
      </c>
      <c r="G6826" t="str">
        <f t="shared" si="280"/>
        <v>004HOT EXPLORER</v>
      </c>
      <c r="H6826" s="5">
        <v>5600</v>
      </c>
      <c r="I6826" s="6">
        <v>1902.2142856381945</v>
      </c>
      <c r="J6826" s="5">
        <v>14400</v>
      </c>
      <c r="K6826" s="6">
        <f t="shared" si="278"/>
        <v>2.9439375165459842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14</v>
      </c>
      <c r="F6827" t="s">
        <v>72</v>
      </c>
      <c r="G6827" t="str">
        <f t="shared" si="280"/>
        <v>004HOT MERENGUE</v>
      </c>
      <c r="H6827" s="5">
        <v>2730</v>
      </c>
      <c r="I6827" s="6">
        <v>1162.4642856677858</v>
      </c>
      <c r="J6827" s="5">
        <v>8800</v>
      </c>
      <c r="K6827" s="6">
        <f t="shared" si="278"/>
        <v>2.3484592461537277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14</v>
      </c>
      <c r="F6828" t="s">
        <v>64</v>
      </c>
      <c r="G6828" t="str">
        <f t="shared" si="280"/>
        <v>004SWEETNESS</v>
      </c>
      <c r="H6828" s="5">
        <v>930</v>
      </c>
      <c r="I6828" s="6">
        <v>317.03571427303262</v>
      </c>
      <c r="J6828" s="5">
        <v>2400</v>
      </c>
      <c r="K6828" s="6">
        <f t="shared" si="278"/>
        <v>2.9334234539868898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16</v>
      </c>
      <c r="F6829" t="s">
        <v>57</v>
      </c>
      <c r="G6829" t="str">
        <f t="shared" si="280"/>
        <v>005EXPLORER</v>
      </c>
      <c r="H6829" s="5">
        <v>1825</v>
      </c>
      <c r="I6829" s="6">
        <v>951.10714281875391</v>
      </c>
      <c r="J6829" s="5">
        <v>7200</v>
      </c>
      <c r="K6829" s="6">
        <f t="shared" si="278"/>
        <v>1.918816417035129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16</v>
      </c>
      <c r="F6830" t="s">
        <v>73</v>
      </c>
      <c r="G6830" t="str">
        <f t="shared" si="280"/>
        <v>005GOLDFINCH</v>
      </c>
      <c r="H6830" s="5">
        <v>825</v>
      </c>
      <c r="I6830" s="6">
        <v>898.26785710660101</v>
      </c>
      <c r="J6830" s="5">
        <v>6800</v>
      </c>
      <c r="K6830" s="6">
        <f t="shared" si="278"/>
        <v>0.91843428825049678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16</v>
      </c>
      <c r="F6831" t="s">
        <v>68</v>
      </c>
      <c r="G6831" t="str">
        <f t="shared" si="280"/>
        <v>005JOCKER</v>
      </c>
      <c r="H6831" s="5">
        <v>2925</v>
      </c>
      <c r="I6831" s="6">
        <v>1162.4642856673661</v>
      </c>
      <c r="J6831" s="5">
        <v>8800</v>
      </c>
      <c r="K6831" s="6">
        <f t="shared" si="278"/>
        <v>2.516206335165617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16</v>
      </c>
      <c r="F6832" t="s">
        <v>74</v>
      </c>
      <c r="G6832" t="str">
        <f t="shared" si="280"/>
        <v>005VENDELA</v>
      </c>
      <c r="H6832" s="5">
        <v>2670</v>
      </c>
      <c r="I6832" s="6">
        <v>686.91071425798896</v>
      </c>
      <c r="J6832" s="5">
        <v>5200</v>
      </c>
      <c r="K6832" s="6">
        <f t="shared" si="278"/>
        <v>3.886968050693711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75</v>
      </c>
      <c r="F6833" t="s">
        <v>76</v>
      </c>
      <c r="G6833" t="str">
        <f t="shared" si="280"/>
        <v>006ATOMIC</v>
      </c>
      <c r="H6833" s="5">
        <v>1175</v>
      </c>
      <c r="I6833" s="6">
        <v>845.428571394752</v>
      </c>
      <c r="J6833" s="5">
        <v>6400</v>
      </c>
      <c r="K6833" s="6">
        <f t="shared" si="278"/>
        <v>1.3898276445300815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75</v>
      </c>
      <c r="F6834" t="s">
        <v>57</v>
      </c>
      <c r="G6834" t="str">
        <f t="shared" si="280"/>
        <v>006EXPLORER</v>
      </c>
      <c r="H6834" s="5">
        <v>8250</v>
      </c>
      <c r="I6834" s="6">
        <v>3910.1071427007355</v>
      </c>
      <c r="J6834" s="5">
        <v>29600</v>
      </c>
      <c r="K6834" s="6">
        <f t="shared" ref="K6834:K6896" si="281">+H6834/I6834</f>
        <v>2.1099166081422704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75</v>
      </c>
      <c r="F6835" t="s">
        <v>77</v>
      </c>
      <c r="G6835" t="str">
        <f t="shared" si="280"/>
        <v>006MONDIAL</v>
      </c>
      <c r="H6835" s="5">
        <v>7150</v>
      </c>
      <c r="I6835" s="6">
        <v>4015.7857141250793</v>
      </c>
      <c r="J6835" s="5">
        <v>30400</v>
      </c>
      <c r="K6835" s="6">
        <f t="shared" si="281"/>
        <v>1.7804734886253195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20</v>
      </c>
      <c r="F6836" t="s">
        <v>70</v>
      </c>
      <c r="G6836" t="str">
        <f t="shared" si="280"/>
        <v>007COTOPAXI</v>
      </c>
      <c r="H6836" s="5">
        <v>8610</v>
      </c>
      <c r="I6836" s="6">
        <v>2747.5751230427709</v>
      </c>
      <c r="J6836" s="5">
        <v>20800</v>
      </c>
      <c r="K6836" s="6">
        <f t="shared" si="281"/>
        <v>3.1336722798920063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20</v>
      </c>
      <c r="F6837" t="s">
        <v>78</v>
      </c>
      <c r="G6837" t="str">
        <f t="shared" si="280"/>
        <v>007REDIANT</v>
      </c>
      <c r="H6837" s="5">
        <v>2070</v>
      </c>
      <c r="I6837" s="6">
        <v>1056.75862064738</v>
      </c>
      <c r="J6837" s="5">
        <v>9600</v>
      </c>
      <c r="K6837" s="6">
        <f t="shared" si="281"/>
        <v>1.9588200744763256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20</v>
      </c>
      <c r="F6838" t="s">
        <v>63</v>
      </c>
      <c r="G6838" t="str">
        <f t="shared" si="280"/>
        <v>007SUMMER ROMANCE</v>
      </c>
      <c r="H6838" s="5">
        <v>475</v>
      </c>
      <c r="I6838" s="6">
        <v>369.86551722658481</v>
      </c>
      <c r="J6838" s="5">
        <v>3080</v>
      </c>
      <c r="K6838" s="6">
        <f t="shared" si="281"/>
        <v>1.2842505664268462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20</v>
      </c>
      <c r="F6839" t="s">
        <v>74</v>
      </c>
      <c r="G6839" t="str">
        <f t="shared" si="280"/>
        <v>007VENDELA</v>
      </c>
      <c r="H6839" s="5">
        <v>15600</v>
      </c>
      <c r="I6839" s="6">
        <v>3592.9793102011122</v>
      </c>
      <c r="J6839" s="5">
        <v>27820</v>
      </c>
      <c r="K6839" s="6">
        <f t="shared" si="281"/>
        <v>4.3418006765885915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79</v>
      </c>
      <c r="F6840" t="s">
        <v>67</v>
      </c>
      <c r="G6840" t="str">
        <f t="shared" si="280"/>
        <v>008DEEP PURPLE</v>
      </c>
      <c r="H6840" s="5">
        <v>4800</v>
      </c>
      <c r="I6840" s="6">
        <v>1585.2222221588099</v>
      </c>
      <c r="J6840" s="5">
        <v>11490</v>
      </c>
      <c r="K6840" s="6">
        <f t="shared" si="281"/>
        <v>3.0279666364146696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79</v>
      </c>
      <c r="F6841" t="s">
        <v>81</v>
      </c>
      <c r="G6841" t="str">
        <f t="shared" si="280"/>
        <v>008FREEDOM</v>
      </c>
      <c r="H6841" s="5">
        <v>5580</v>
      </c>
      <c r="I6841" s="6">
        <v>2219.311111022334</v>
      </c>
      <c r="J6841" s="5">
        <v>16800</v>
      </c>
      <c r="K6841" s="6">
        <f t="shared" si="281"/>
        <v>2.5142937248800381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79</v>
      </c>
      <c r="F6842" t="s">
        <v>68</v>
      </c>
      <c r="G6842" t="str">
        <f t="shared" si="280"/>
        <v>008JOCKER</v>
      </c>
      <c r="H6842" s="5">
        <v>6350</v>
      </c>
      <c r="I6842" s="6">
        <v>2959.0814813631118</v>
      </c>
      <c r="J6842" s="5">
        <v>22400</v>
      </c>
      <c r="K6842" s="6">
        <f t="shared" si="281"/>
        <v>2.1459361764769143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79</v>
      </c>
      <c r="F6843" t="s">
        <v>61</v>
      </c>
      <c r="G6843" t="str">
        <f t="shared" si="280"/>
        <v>008LUMIA</v>
      </c>
      <c r="H6843" s="5">
        <v>1320</v>
      </c>
      <c r="I6843" s="6">
        <v>1796.5851851133182</v>
      </c>
      <c r="J6843" s="5">
        <v>13600</v>
      </c>
      <c r="K6843" s="6">
        <f t="shared" si="281"/>
        <v>0.7347271985417948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82</v>
      </c>
      <c r="F6844" t="s">
        <v>83</v>
      </c>
      <c r="G6844" t="str">
        <f t="shared" si="280"/>
        <v>010COOLDOWN</v>
      </c>
      <c r="H6844" s="5">
        <v>2275</v>
      </c>
      <c r="I6844" s="6">
        <v>1912.3542857142861</v>
      </c>
      <c r="J6844" s="5">
        <v>16320</v>
      </c>
      <c r="K6844" s="6">
        <f t="shared" si="281"/>
        <v>1.189633122374216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82</v>
      </c>
      <c r="F6845" t="s">
        <v>84</v>
      </c>
      <c r="G6845" t="str">
        <f t="shared" si="280"/>
        <v>010VIOLET HILL</v>
      </c>
      <c r="H6845" s="5">
        <v>3510</v>
      </c>
      <c r="I6845" s="6">
        <v>2812.2857142428579</v>
      </c>
      <c r="J6845" s="5">
        <v>20000</v>
      </c>
      <c r="K6845" s="6">
        <f t="shared" si="281"/>
        <v>1.2480950929784833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85</v>
      </c>
      <c r="F6846" t="s">
        <v>86</v>
      </c>
      <c r="G6846" t="str">
        <f t="shared" si="280"/>
        <v>011BRIGHTON</v>
      </c>
      <c r="H6846" s="5">
        <v>5025</v>
      </c>
      <c r="I6846" s="6">
        <v>1768.8376470588223</v>
      </c>
      <c r="J6846" s="5">
        <v>12800</v>
      </c>
      <c r="K6846" s="6">
        <f t="shared" si="281"/>
        <v>2.8408486264160198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85</v>
      </c>
      <c r="F6847" t="s">
        <v>87</v>
      </c>
      <c r="G6847" t="str">
        <f t="shared" si="280"/>
        <v>011CANDLELIGHT</v>
      </c>
      <c r="H6847" s="5">
        <v>6540</v>
      </c>
      <c r="I6847" s="6">
        <v>2263.7999998868127</v>
      </c>
      <c r="J6847" s="5">
        <v>17920</v>
      </c>
      <c r="K6847" s="6">
        <f t="shared" si="281"/>
        <v>2.8889477870514146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85</v>
      </c>
      <c r="F6848" t="s">
        <v>88</v>
      </c>
      <c r="G6848" t="str">
        <f t="shared" si="280"/>
        <v>011CAYENNE</v>
      </c>
      <c r="H6848" s="5">
        <v>900</v>
      </c>
      <c r="I6848" s="6">
        <v>994.97117647058747</v>
      </c>
      <c r="J6848" s="5">
        <v>7200</v>
      </c>
      <c r="K6848" s="6">
        <f t="shared" si="281"/>
        <v>0.90454881637127005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85</v>
      </c>
      <c r="F6849" t="s">
        <v>61</v>
      </c>
      <c r="G6849" t="str">
        <f t="shared" si="280"/>
        <v>011LUMIA</v>
      </c>
      <c r="H6849" s="5">
        <v>1500</v>
      </c>
      <c r="I6849" s="6">
        <v>994.97117647058747</v>
      </c>
      <c r="J6849" s="5">
        <v>7920</v>
      </c>
      <c r="K6849" s="6">
        <f t="shared" si="281"/>
        <v>1.5075813606187836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85</v>
      </c>
      <c r="F6850" t="s">
        <v>89</v>
      </c>
      <c r="G6850" t="str">
        <f t="shared" si="280"/>
        <v>011STARDUST</v>
      </c>
      <c r="H6850" s="5">
        <v>4500</v>
      </c>
      <c r="I6850" s="6">
        <v>2263.7999998868127</v>
      </c>
      <c r="J6850" s="5">
        <v>17920</v>
      </c>
      <c r="K6850" s="6">
        <f t="shared" si="281"/>
        <v>1.987808110356478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90</v>
      </c>
      <c r="F6851" t="s">
        <v>67</v>
      </c>
      <c r="G6851" t="str">
        <f t="shared" si="280"/>
        <v>012DEEP PURPLE</v>
      </c>
      <c r="H6851" s="5">
        <v>13980</v>
      </c>
      <c r="I6851" s="6">
        <v>6727.0499997982479</v>
      </c>
      <c r="J6851" s="5">
        <v>49210</v>
      </c>
      <c r="K6851" s="6">
        <f t="shared" si="281"/>
        <v>2.0781769126763256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90</v>
      </c>
      <c r="F6852" t="s">
        <v>60</v>
      </c>
      <c r="G6852" t="str">
        <f t="shared" si="280"/>
        <v>012LIGHT HOUSE</v>
      </c>
      <c r="H6852" s="5">
        <v>1800</v>
      </c>
      <c r="I6852" s="6">
        <v>994.95</v>
      </c>
      <c r="J6852" s="5">
        <v>7200</v>
      </c>
      <c r="K6852" s="6">
        <f t="shared" si="281"/>
        <v>1.8091361374943464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91</v>
      </c>
      <c r="F6853" t="s">
        <v>92</v>
      </c>
      <c r="G6853" t="str">
        <f t="shared" si="280"/>
        <v>013COUNTRY BLUES</v>
      </c>
      <c r="H6853" s="5">
        <v>2075</v>
      </c>
      <c r="I6853" s="6">
        <v>831.6</v>
      </c>
      <c r="J6853" s="5">
        <v>6300</v>
      </c>
      <c r="K6853" s="6">
        <f t="shared" si="281"/>
        <v>2.4951899951899952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91</v>
      </c>
      <c r="F6854" t="s">
        <v>93</v>
      </c>
      <c r="G6854" t="str">
        <f t="shared" si="280"/>
        <v>013LORRAINE</v>
      </c>
      <c r="H6854" s="5">
        <v>4375</v>
      </c>
      <c r="I6854" s="6">
        <v>1267.2</v>
      </c>
      <c r="J6854" s="5">
        <v>9600</v>
      </c>
      <c r="K6854" s="6">
        <f t="shared" si="281"/>
        <v>3.4524936868686869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91</v>
      </c>
      <c r="F6855" t="s">
        <v>61</v>
      </c>
      <c r="G6855" t="str">
        <f t="shared" si="280"/>
        <v>013LUMIA</v>
      </c>
      <c r="H6855" s="5">
        <v>360</v>
      </c>
      <c r="I6855" s="6">
        <v>316.8</v>
      </c>
      <c r="J6855" s="5">
        <v>2400</v>
      </c>
      <c r="K6855" s="6">
        <f t="shared" si="281"/>
        <v>1.1363636363636362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91</v>
      </c>
      <c r="F6856" t="s">
        <v>74</v>
      </c>
      <c r="G6856" t="str">
        <f t="shared" si="280"/>
        <v>013VENDELA</v>
      </c>
      <c r="H6856" s="5">
        <v>16710</v>
      </c>
      <c r="I6856" s="6">
        <v>3603.6</v>
      </c>
      <c r="J6856" s="5">
        <v>27296</v>
      </c>
      <c r="K6856" s="6">
        <f t="shared" si="281"/>
        <v>4.6370296370296371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23</v>
      </c>
      <c r="F6857" t="s">
        <v>89</v>
      </c>
      <c r="G6857" t="str">
        <f t="shared" si="280"/>
        <v>014STARDUST</v>
      </c>
      <c r="H6857" s="5">
        <v>6500</v>
      </c>
      <c r="I6857" s="6">
        <v>3682.8</v>
      </c>
      <c r="J6857" s="5">
        <v>27900</v>
      </c>
      <c r="K6857" s="6">
        <f t="shared" si="281"/>
        <v>1.7649614423807971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25</v>
      </c>
      <c r="F6858" t="s">
        <v>68</v>
      </c>
      <c r="G6858" t="str">
        <f t="shared" si="280"/>
        <v>015JOCKER</v>
      </c>
      <c r="H6858" s="5">
        <v>3050</v>
      </c>
      <c r="I6858" s="6">
        <v>2376</v>
      </c>
      <c r="J6858" s="5">
        <v>18000</v>
      </c>
      <c r="K6858" s="6">
        <f t="shared" si="281"/>
        <v>1.2836700336700337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27</v>
      </c>
      <c r="F6859" t="s">
        <v>94</v>
      </c>
      <c r="G6859" t="str">
        <f t="shared" si="280"/>
        <v>016DREAM IN PEACH</v>
      </c>
      <c r="H6859" s="5">
        <v>1950</v>
      </c>
      <c r="I6859" s="6">
        <v>950.4</v>
      </c>
      <c r="J6859" s="5">
        <v>7200</v>
      </c>
      <c r="K6859" s="6">
        <f t="shared" si="281"/>
        <v>2.0517676767676769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27</v>
      </c>
      <c r="F6860" t="s">
        <v>95</v>
      </c>
      <c r="G6860" t="str">
        <f t="shared" si="280"/>
        <v>016NINA</v>
      </c>
      <c r="H6860" s="5">
        <v>4900</v>
      </c>
      <c r="I6860" s="6">
        <v>1346.4</v>
      </c>
      <c r="J6860" s="5">
        <v>10200</v>
      </c>
      <c r="K6860" s="6">
        <f t="shared" si="281"/>
        <v>3.6393345216874624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30</v>
      </c>
      <c r="F6861" t="s">
        <v>81</v>
      </c>
      <c r="G6861" t="str">
        <f t="shared" si="280"/>
        <v>017FREEDOM</v>
      </c>
      <c r="H6861" s="5">
        <v>5760</v>
      </c>
      <c r="I6861" s="6">
        <v>2851.2</v>
      </c>
      <c r="J6861" s="5">
        <v>21600</v>
      </c>
      <c r="K6861" s="6">
        <f t="shared" si="281"/>
        <v>2.0202020202020203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30</v>
      </c>
      <c r="F6862" t="s">
        <v>73</v>
      </c>
      <c r="G6862" t="str">
        <f t="shared" si="280"/>
        <v>017GOLDFINCH</v>
      </c>
      <c r="H6862" s="5">
        <v>2500</v>
      </c>
      <c r="I6862" s="6">
        <v>2138.4</v>
      </c>
      <c r="J6862" s="5">
        <v>16200</v>
      </c>
      <c r="K6862" s="6">
        <f t="shared" si="281"/>
        <v>1.1690983913206134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32</v>
      </c>
      <c r="F6863" t="s">
        <v>86</v>
      </c>
      <c r="G6863" t="str">
        <f t="shared" si="280"/>
        <v>018BRIGHTON</v>
      </c>
      <c r="H6863" s="5">
        <v>2100</v>
      </c>
      <c r="I6863" s="6">
        <v>963.6</v>
      </c>
      <c r="J6863" s="5">
        <v>7570</v>
      </c>
      <c r="K6863" s="6">
        <f t="shared" si="281"/>
        <v>2.179327521793275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35</v>
      </c>
      <c r="F6864" t="s">
        <v>86</v>
      </c>
      <c r="G6864" t="str">
        <f t="shared" si="280"/>
        <v>019BRIGHTON</v>
      </c>
      <c r="H6864" s="5">
        <v>8150</v>
      </c>
      <c r="I6864" s="6">
        <v>3168</v>
      </c>
      <c r="J6864" s="5">
        <v>24000</v>
      </c>
      <c r="K6864" s="6">
        <f t="shared" si="281"/>
        <v>2.5726010101010099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35</v>
      </c>
      <c r="F6865" t="s">
        <v>96</v>
      </c>
      <c r="G6865" t="str">
        <f t="shared" si="280"/>
        <v>019TABATHA</v>
      </c>
      <c r="H6865" s="5">
        <v>1710</v>
      </c>
      <c r="I6865" s="6">
        <v>1188</v>
      </c>
      <c r="J6865" s="5">
        <v>9000</v>
      </c>
      <c r="K6865" s="6">
        <f t="shared" si="281"/>
        <v>1.4393939393939394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36</v>
      </c>
      <c r="F6866" t="s">
        <v>86</v>
      </c>
      <c r="G6866" t="str">
        <f t="shared" si="280"/>
        <v>020BRIGHTON</v>
      </c>
      <c r="H6866" s="5">
        <v>6225</v>
      </c>
      <c r="I6866" s="6">
        <v>2732.4</v>
      </c>
      <c r="J6866" s="5">
        <v>20700</v>
      </c>
      <c r="K6866" s="6">
        <f t="shared" si="281"/>
        <v>2.2782169521299958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36</v>
      </c>
      <c r="F6867" t="s">
        <v>97</v>
      </c>
      <c r="G6867" t="str">
        <f t="shared" si="280"/>
        <v>020TYCOON</v>
      </c>
      <c r="H6867" s="5">
        <v>1350</v>
      </c>
      <c r="I6867" s="6">
        <v>673.2</v>
      </c>
      <c r="J6867" s="5">
        <v>5100</v>
      </c>
      <c r="K6867" s="6">
        <f t="shared" si="281"/>
        <v>2.0053475935828877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38</v>
      </c>
      <c r="F6868" t="s">
        <v>98</v>
      </c>
      <c r="G6868" t="str">
        <f t="shared" si="280"/>
        <v>021SHOW GIRL</v>
      </c>
      <c r="H6868" s="5">
        <v>3075</v>
      </c>
      <c r="I6868" s="6">
        <v>1100.4749999999999</v>
      </c>
      <c r="J6868" s="5">
        <v>8000</v>
      </c>
      <c r="K6868" s="6">
        <f t="shared" si="281"/>
        <v>2.794247938390241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43</v>
      </c>
      <c r="F6869" t="s">
        <v>99</v>
      </c>
      <c r="G6869" t="str">
        <f t="shared" si="280"/>
        <v>022CORAL REEF</v>
      </c>
      <c r="H6869" s="5">
        <v>3500</v>
      </c>
      <c r="I6869" s="6">
        <v>1287</v>
      </c>
      <c r="J6869" s="5">
        <v>9400</v>
      </c>
      <c r="K6869" s="6">
        <f t="shared" si="281"/>
        <v>2.7195027195027195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100</v>
      </c>
      <c r="F6870" t="s">
        <v>70</v>
      </c>
      <c r="G6870" t="str">
        <f t="shared" si="280"/>
        <v>023COTOPAXI</v>
      </c>
      <c r="H6870" s="5">
        <v>9420</v>
      </c>
      <c r="I6870" s="6">
        <v>2641.14</v>
      </c>
      <c r="J6870" s="5">
        <v>19200</v>
      </c>
      <c r="K6870" s="6">
        <f t="shared" si="281"/>
        <v>3.5666416774574619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100</v>
      </c>
      <c r="F6871" t="s">
        <v>101</v>
      </c>
      <c r="G6871" t="str">
        <f t="shared" si="280"/>
        <v>023FRUTTETO</v>
      </c>
      <c r="H6871" s="5">
        <v>7740</v>
      </c>
      <c r="I6871" s="6">
        <v>2641.14</v>
      </c>
      <c r="J6871" s="5">
        <v>19200</v>
      </c>
      <c r="K6871" s="6">
        <f t="shared" si="281"/>
        <v>2.9305527158726914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102</v>
      </c>
      <c r="F6872" t="s">
        <v>70</v>
      </c>
      <c r="G6872" t="str">
        <f t="shared" si="280"/>
        <v>024COTOPAXI</v>
      </c>
      <c r="H6872" s="5">
        <v>3570</v>
      </c>
      <c r="I6872" s="6">
        <v>1430.6174906250001</v>
      </c>
      <c r="J6872" s="5">
        <v>10400</v>
      </c>
      <c r="K6872" s="6">
        <f t="shared" si="281"/>
        <v>2.495425942569987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102</v>
      </c>
      <c r="F6873" t="s">
        <v>64</v>
      </c>
      <c r="G6873" t="str">
        <f t="shared" si="280"/>
        <v>024SWEETNESS</v>
      </c>
      <c r="H6873" s="5">
        <v>2790</v>
      </c>
      <c r="I6873" s="6">
        <v>1430.6175000000001</v>
      </c>
      <c r="J6873" s="5">
        <v>10400</v>
      </c>
      <c r="K6873" s="6">
        <f t="shared" si="281"/>
        <v>1.9502068162873722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102</v>
      </c>
      <c r="F6874" t="s">
        <v>97</v>
      </c>
      <c r="G6874" t="str">
        <f t="shared" si="280"/>
        <v>024TYCOON</v>
      </c>
      <c r="H6874" s="5">
        <v>3960</v>
      </c>
      <c r="I6874" s="6">
        <v>2861.2350000000001</v>
      </c>
      <c r="J6874" s="5">
        <v>20800</v>
      </c>
      <c r="K6874" s="6">
        <f t="shared" si="281"/>
        <v>1.3840177405910383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103</v>
      </c>
      <c r="F6875" t="s">
        <v>104</v>
      </c>
      <c r="G6875" t="str">
        <f t="shared" si="280"/>
        <v>025PINK MONDIAL</v>
      </c>
      <c r="H6875" s="5">
        <v>4425</v>
      </c>
      <c r="I6875" s="6">
        <v>3071.9505625000002</v>
      </c>
      <c r="J6875" s="5">
        <v>22400</v>
      </c>
      <c r="K6875" s="6">
        <f t="shared" si="281"/>
        <v>1.4404528686161107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45</v>
      </c>
      <c r="F6876" t="s">
        <v>105</v>
      </c>
      <c r="G6876" t="str">
        <f t="shared" si="280"/>
        <v>026LOLA</v>
      </c>
      <c r="H6876" s="5">
        <v>4250</v>
      </c>
      <c r="I6876" s="6">
        <v>1097.125</v>
      </c>
      <c r="J6876" s="5">
        <v>8000</v>
      </c>
      <c r="K6876" s="6">
        <f t="shared" si="281"/>
        <v>3.8737609661615586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45</v>
      </c>
      <c r="F6877" t="s">
        <v>106</v>
      </c>
      <c r="G6877" t="str">
        <f t="shared" si="280"/>
        <v>026PALOMA</v>
      </c>
      <c r="H6877" s="5">
        <v>4425</v>
      </c>
      <c r="I6877" s="6">
        <v>2852.5250000000001</v>
      </c>
      <c r="J6877" s="5">
        <v>20800</v>
      </c>
      <c r="K6877" s="6">
        <f t="shared" si="281"/>
        <v>1.5512572194809862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107</v>
      </c>
      <c r="F6878" t="s">
        <v>108</v>
      </c>
      <c r="G6878" t="str">
        <f t="shared" si="280"/>
        <v>027SATISFACTION</v>
      </c>
      <c r="H6878" s="5">
        <v>4980</v>
      </c>
      <c r="I6878" s="6">
        <v>2633.1</v>
      </c>
      <c r="J6878" s="5">
        <v>19200</v>
      </c>
      <c r="K6878" s="6">
        <f t="shared" si="281"/>
        <v>1.8913068246553493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107</v>
      </c>
      <c r="F6879" t="s">
        <v>109</v>
      </c>
      <c r="G6879" t="str">
        <f t="shared" si="280"/>
        <v>027TIFFANY</v>
      </c>
      <c r="H6879" s="5">
        <v>4770</v>
      </c>
      <c r="I6879" s="6">
        <v>2633.1</v>
      </c>
      <c r="J6879" s="5">
        <v>19200</v>
      </c>
      <c r="K6879" s="6">
        <f t="shared" si="281"/>
        <v>1.8115529224108466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110</v>
      </c>
      <c r="F6880" t="s">
        <v>70</v>
      </c>
      <c r="G6880" t="str">
        <f t="shared" si="280"/>
        <v>028COTOPAXI</v>
      </c>
      <c r="H6880" s="5">
        <v>6900</v>
      </c>
      <c r="I6880" s="6">
        <v>2852.5250000000001</v>
      </c>
      <c r="J6880" s="5">
        <v>20800</v>
      </c>
      <c r="K6880" s="6">
        <f t="shared" si="281"/>
        <v>2.4189095625805206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110</v>
      </c>
      <c r="F6881" t="s">
        <v>67</v>
      </c>
      <c r="G6881" t="str">
        <f t="shared" si="280"/>
        <v>028DEEP PURPLE</v>
      </c>
      <c r="H6881" s="5">
        <v>5670</v>
      </c>
      <c r="I6881" s="6">
        <v>2852.5250000000001</v>
      </c>
      <c r="J6881" s="5">
        <v>20800</v>
      </c>
      <c r="K6881" s="6">
        <f t="shared" si="281"/>
        <v>1.9877126405552974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111</v>
      </c>
      <c r="F6882" t="s">
        <v>112</v>
      </c>
      <c r="G6882" t="str">
        <f t="shared" ref="G6882:G6943" si="282">+E6882&amp;F6882</f>
        <v>029PINK FLOYD</v>
      </c>
      <c r="H6882" s="5">
        <v>4075</v>
      </c>
      <c r="I6882" s="6">
        <v>3071.95</v>
      </c>
      <c r="J6882" s="5">
        <v>22400</v>
      </c>
      <c r="K6882" s="6">
        <f t="shared" si="281"/>
        <v>1.3265189863116262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47</v>
      </c>
      <c r="F6883" t="s">
        <v>57</v>
      </c>
      <c r="G6883" t="str">
        <f t="shared" si="282"/>
        <v>030EXPLORER</v>
      </c>
      <c r="H6883" s="5">
        <v>3625</v>
      </c>
      <c r="I6883" s="6">
        <v>1645.6875</v>
      </c>
      <c r="J6883" s="5">
        <v>12000</v>
      </c>
      <c r="K6883" s="6">
        <f t="shared" si="281"/>
        <v>2.2027268238957882</v>
      </c>
    </row>
    <row r="6884" spans="1:11">
      <c r="A6884" s="4">
        <v>2026</v>
      </c>
      <c r="B6884">
        <v>12</v>
      </c>
      <c r="C6884" t="s">
        <v>10</v>
      </c>
      <c r="D6884" t="s">
        <v>11</v>
      </c>
      <c r="E6884" t="s">
        <v>12</v>
      </c>
      <c r="F6884" t="s">
        <v>13</v>
      </c>
      <c r="G6884" t="str">
        <f t="shared" si="282"/>
        <v>002SOMERSET</v>
      </c>
      <c r="H6884" s="5">
        <v>9640</v>
      </c>
      <c r="I6884" s="6">
        <v>4121.4642855494085</v>
      </c>
      <c r="J6884" s="5">
        <v>31200</v>
      </c>
      <c r="K6884" s="6">
        <f t="shared" si="281"/>
        <v>2.338974532376652</v>
      </c>
    </row>
    <row r="6885" spans="1:11">
      <c r="A6885" s="4">
        <v>2026</v>
      </c>
      <c r="B6885">
        <v>12</v>
      </c>
      <c r="C6885" t="s">
        <v>10</v>
      </c>
      <c r="D6885" t="s">
        <v>11</v>
      </c>
      <c r="E6885" t="s">
        <v>14</v>
      </c>
      <c r="F6885" t="s">
        <v>15</v>
      </c>
      <c r="G6885" t="str">
        <f t="shared" si="282"/>
        <v>004BELLINA</v>
      </c>
      <c r="H6885" s="5">
        <v>1980</v>
      </c>
      <c r="I6885" s="6">
        <v>1056.7857142434418</v>
      </c>
      <c r="J6885" s="5">
        <v>8000</v>
      </c>
      <c r="K6885" s="6">
        <f t="shared" si="281"/>
        <v>1.8736059480303364</v>
      </c>
    </row>
    <row r="6886" spans="1:11">
      <c r="A6886" s="4">
        <v>2026</v>
      </c>
      <c r="B6886">
        <v>12</v>
      </c>
      <c r="C6886" t="s">
        <v>10</v>
      </c>
      <c r="D6886" t="s">
        <v>11</v>
      </c>
      <c r="E6886" t="s">
        <v>16</v>
      </c>
      <c r="F6886" t="s">
        <v>17</v>
      </c>
      <c r="G6886" t="str">
        <f t="shared" si="282"/>
        <v>005ELBA</v>
      </c>
      <c r="H6886" s="5">
        <v>10260</v>
      </c>
      <c r="I6886" s="6">
        <v>2641.9642856076484</v>
      </c>
      <c r="J6886" s="5">
        <v>19996</v>
      </c>
      <c r="K6886" s="6">
        <f t="shared" si="281"/>
        <v>3.883474146827921</v>
      </c>
    </row>
    <row r="6887" spans="1:11">
      <c r="A6887" s="4">
        <v>2026</v>
      </c>
      <c r="B6887">
        <v>12</v>
      </c>
      <c r="C6887" t="s">
        <v>10</v>
      </c>
      <c r="D6887" t="s">
        <v>11</v>
      </c>
      <c r="E6887" t="s">
        <v>16</v>
      </c>
      <c r="F6887" t="s">
        <v>18</v>
      </c>
      <c r="G6887" t="str">
        <f t="shared" si="282"/>
        <v>005HOT BUBBLES</v>
      </c>
      <c r="H6887" s="5">
        <v>1920</v>
      </c>
      <c r="I6887" s="6">
        <v>528.39285712153003</v>
      </c>
      <c r="J6887" s="5">
        <v>4000</v>
      </c>
      <c r="K6887" s="6">
        <f t="shared" si="281"/>
        <v>3.6336600204237834</v>
      </c>
    </row>
    <row r="6888" spans="1:11">
      <c r="A6888" s="4">
        <v>2026</v>
      </c>
      <c r="B6888">
        <v>12</v>
      </c>
      <c r="C6888" t="s">
        <v>10</v>
      </c>
      <c r="D6888" t="s">
        <v>11</v>
      </c>
      <c r="E6888" t="s">
        <v>16</v>
      </c>
      <c r="F6888" t="s">
        <v>19</v>
      </c>
      <c r="G6888" t="str">
        <f t="shared" si="282"/>
        <v>005SUSPIRO</v>
      </c>
      <c r="H6888" s="5">
        <v>4860</v>
      </c>
      <c r="I6888" s="6">
        <v>1902.2142856375078</v>
      </c>
      <c r="J6888" s="5">
        <v>14400</v>
      </c>
      <c r="K6888" s="6">
        <f t="shared" si="281"/>
        <v>2.5549172018604729</v>
      </c>
    </row>
    <row r="6889" spans="1:11">
      <c r="A6889" s="4">
        <v>2026</v>
      </c>
      <c r="B6889">
        <v>12</v>
      </c>
      <c r="C6889" t="s">
        <v>10</v>
      </c>
      <c r="D6889" t="s">
        <v>11</v>
      </c>
      <c r="E6889" t="s">
        <v>20</v>
      </c>
      <c r="F6889" t="s">
        <v>21</v>
      </c>
      <c r="G6889" t="str">
        <f t="shared" si="282"/>
        <v>007SNOW BUBBLES</v>
      </c>
      <c r="H6889" s="5">
        <v>1040</v>
      </c>
      <c r="I6889" s="6">
        <v>634.05652706821195</v>
      </c>
      <c r="J6889" s="5">
        <v>4800</v>
      </c>
      <c r="K6889" s="6">
        <f t="shared" si="281"/>
        <v>1.6402323067452889</v>
      </c>
    </row>
    <row r="6890" spans="1:11">
      <c r="A6890" s="4">
        <v>2026</v>
      </c>
      <c r="B6890">
        <v>12</v>
      </c>
      <c r="C6890" t="s">
        <v>10</v>
      </c>
      <c r="D6890" t="s">
        <v>11</v>
      </c>
      <c r="E6890" t="s">
        <v>22</v>
      </c>
      <c r="F6890" t="s">
        <v>18</v>
      </c>
      <c r="G6890" t="str">
        <f t="shared" si="282"/>
        <v>009HOT BUBBLES</v>
      </c>
      <c r="H6890" s="5">
        <v>17360</v>
      </c>
      <c r="I6890" s="6">
        <v>4487.9999999102474</v>
      </c>
      <c r="J6890" s="5">
        <v>31740</v>
      </c>
      <c r="K6890" s="6">
        <f t="shared" si="281"/>
        <v>3.8680926916994589</v>
      </c>
    </row>
    <row r="6891" spans="1:11">
      <c r="A6891" s="4">
        <v>2026</v>
      </c>
      <c r="B6891">
        <v>12</v>
      </c>
      <c r="C6891" t="s">
        <v>10</v>
      </c>
      <c r="D6891" t="s">
        <v>11</v>
      </c>
      <c r="E6891" t="s">
        <v>23</v>
      </c>
      <c r="F6891" t="s">
        <v>24</v>
      </c>
      <c r="G6891" t="str">
        <f t="shared" si="282"/>
        <v>014FRUITY BUBBLES</v>
      </c>
      <c r="H6891" s="5">
        <v>4675</v>
      </c>
      <c r="I6891" s="6">
        <v>1702.8</v>
      </c>
      <c r="J6891" s="5">
        <v>12900</v>
      </c>
      <c r="K6891" s="6">
        <f t="shared" si="281"/>
        <v>2.7454780361757107</v>
      </c>
    </row>
    <row r="6892" spans="1:11">
      <c r="A6892" s="4">
        <v>2026</v>
      </c>
      <c r="B6892">
        <v>12</v>
      </c>
      <c r="C6892" t="s">
        <v>10</v>
      </c>
      <c r="D6892" t="s">
        <v>11</v>
      </c>
      <c r="E6892" t="s">
        <v>25</v>
      </c>
      <c r="F6892" t="s">
        <v>26</v>
      </c>
      <c r="G6892" t="str">
        <f t="shared" si="282"/>
        <v>015FELLINI</v>
      </c>
      <c r="H6892" s="5">
        <v>5180</v>
      </c>
      <c r="I6892" s="6">
        <v>3009.6</v>
      </c>
      <c r="J6892" s="5">
        <v>22800</v>
      </c>
      <c r="K6892" s="6">
        <f t="shared" si="281"/>
        <v>1.7211589580010633</v>
      </c>
    </row>
    <row r="6893" spans="1:11">
      <c r="A6893" s="4">
        <v>2026</v>
      </c>
      <c r="B6893">
        <v>12</v>
      </c>
      <c r="C6893" t="s">
        <v>10</v>
      </c>
      <c r="D6893" t="s">
        <v>11</v>
      </c>
      <c r="E6893" t="s">
        <v>27</v>
      </c>
      <c r="F6893" t="s">
        <v>28</v>
      </c>
      <c r="G6893" t="str">
        <f t="shared" si="282"/>
        <v>016GOOD PEACH</v>
      </c>
      <c r="H6893" s="5">
        <v>4140</v>
      </c>
      <c r="I6893" s="6">
        <v>1386</v>
      </c>
      <c r="J6893" s="5">
        <v>10500</v>
      </c>
      <c r="K6893" s="6">
        <f t="shared" si="281"/>
        <v>2.9870129870129869</v>
      </c>
    </row>
    <row r="6894" spans="1:11">
      <c r="A6894" s="4">
        <v>2026</v>
      </c>
      <c r="B6894">
        <v>12</v>
      </c>
      <c r="C6894" t="s">
        <v>10</v>
      </c>
      <c r="D6894" t="s">
        <v>11</v>
      </c>
      <c r="E6894" t="s">
        <v>27</v>
      </c>
      <c r="F6894" t="s">
        <v>29</v>
      </c>
      <c r="G6894" t="str">
        <f t="shared" si="282"/>
        <v>016GOOD YELLOW</v>
      </c>
      <c r="H6894" s="5">
        <v>3720</v>
      </c>
      <c r="I6894" s="6">
        <v>1386</v>
      </c>
      <c r="J6894" s="5">
        <v>10500</v>
      </c>
      <c r="K6894" s="6">
        <f t="shared" si="281"/>
        <v>2.6839826839826841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30</v>
      </c>
      <c r="F6895" t="s">
        <v>31</v>
      </c>
      <c r="G6895" t="str">
        <f t="shared" si="282"/>
        <v>017ORANGE STAR</v>
      </c>
      <c r="H6895" s="5">
        <v>1525</v>
      </c>
      <c r="I6895" s="6">
        <v>1029.5999999999999</v>
      </c>
      <c r="J6895" s="5">
        <v>7800</v>
      </c>
      <c r="K6895" s="6">
        <f t="shared" si="281"/>
        <v>1.4811577311577313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32</v>
      </c>
      <c r="F6896" t="s">
        <v>33</v>
      </c>
      <c r="G6896" t="str">
        <f t="shared" si="282"/>
        <v>018COSMO</v>
      </c>
      <c r="H6896" s="5">
        <v>4025</v>
      </c>
      <c r="I6896" s="6">
        <v>2653.2</v>
      </c>
      <c r="J6896" s="5">
        <v>20100</v>
      </c>
      <c r="K6896" s="6">
        <f t="shared" si="281"/>
        <v>1.5170360319614051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32</v>
      </c>
      <c r="F6897" t="s">
        <v>34</v>
      </c>
      <c r="G6897" t="str">
        <f t="shared" si="282"/>
        <v>018RUBICON</v>
      </c>
      <c r="H6897" s="5">
        <v>7080</v>
      </c>
      <c r="I6897" s="6">
        <v>1768.8</v>
      </c>
      <c r="J6897" s="5">
        <v>13400</v>
      </c>
      <c r="K6897" s="6">
        <f t="shared" ref="K6897:K6918" si="283">+H6897/I6897</f>
        <v>4.0027137042062417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35</v>
      </c>
      <c r="F6898" t="s">
        <v>15</v>
      </c>
      <c r="G6898" t="str">
        <f t="shared" si="282"/>
        <v>019BELLINA</v>
      </c>
      <c r="H6898" s="5">
        <v>1875</v>
      </c>
      <c r="I6898" s="6">
        <v>1029.5999999999999</v>
      </c>
      <c r="J6898" s="5">
        <v>7800</v>
      </c>
      <c r="K6898" s="6">
        <f t="shared" si="283"/>
        <v>1.8210955710955712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36</v>
      </c>
      <c r="F6899" t="s">
        <v>37</v>
      </c>
      <c r="G6899" t="str">
        <f t="shared" si="282"/>
        <v>020SUMMER DANCE</v>
      </c>
      <c r="H6899" s="5">
        <v>4500</v>
      </c>
      <c r="I6899" s="6">
        <v>1346.4</v>
      </c>
      <c r="J6899" s="5">
        <v>10200</v>
      </c>
      <c r="K6899" s="6">
        <f t="shared" si="283"/>
        <v>3.3422459893048124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38</v>
      </c>
      <c r="F6900" t="s">
        <v>39</v>
      </c>
      <c r="G6900" t="str">
        <f t="shared" si="282"/>
        <v>021ELEGANT ROSEVER</v>
      </c>
      <c r="H6900" s="5">
        <v>660</v>
      </c>
      <c r="I6900" s="6">
        <v>440.18999062500001</v>
      </c>
      <c r="J6900" s="5">
        <v>3200</v>
      </c>
      <c r="K6900" s="6">
        <f t="shared" si="283"/>
        <v>1.499352584239602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38</v>
      </c>
      <c r="F6901" t="s">
        <v>40</v>
      </c>
      <c r="G6901" t="str">
        <f t="shared" si="282"/>
        <v>021FLAME CLUB</v>
      </c>
      <c r="H6901" s="5">
        <v>2000</v>
      </c>
      <c r="I6901" s="6">
        <v>880.38</v>
      </c>
      <c r="J6901" s="5">
        <v>6400</v>
      </c>
      <c r="K6901" s="6">
        <f t="shared" si="283"/>
        <v>2.2717462913741793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38</v>
      </c>
      <c r="F6902" t="s">
        <v>41</v>
      </c>
      <c r="G6902" t="str">
        <f t="shared" si="282"/>
        <v>021KELLY</v>
      </c>
      <c r="H6902" s="5">
        <v>825</v>
      </c>
      <c r="I6902" s="6">
        <v>330.14249999999998</v>
      </c>
      <c r="J6902" s="5">
        <v>2400</v>
      </c>
      <c r="K6902" s="6">
        <f t="shared" si="283"/>
        <v>2.4989209205115972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38</v>
      </c>
      <c r="F6903" t="s">
        <v>42</v>
      </c>
      <c r="G6903" t="str">
        <f t="shared" si="282"/>
        <v>021LEILA</v>
      </c>
      <c r="H6903" s="5">
        <v>2150</v>
      </c>
      <c r="I6903" s="6">
        <v>1430.6175000000001</v>
      </c>
      <c r="J6903" s="5">
        <v>5600</v>
      </c>
      <c r="K6903" s="6">
        <f t="shared" si="283"/>
        <v>1.5028475466013802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38</v>
      </c>
      <c r="F6904" t="s">
        <v>115</v>
      </c>
      <c r="G6904" t="str">
        <f t="shared" si="282"/>
        <v>021PISTACHIO KISS</v>
      </c>
      <c r="H6904" s="5">
        <v>200</v>
      </c>
      <c r="I6904" s="6">
        <v>220.095</v>
      </c>
      <c r="J6904" s="5">
        <v>6400</v>
      </c>
      <c r="K6904" s="6">
        <f t="shared" si="283"/>
        <v>0.90869851654967171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38</v>
      </c>
      <c r="F6905" t="s">
        <v>21</v>
      </c>
      <c r="G6905" t="str">
        <f t="shared" si="282"/>
        <v>021SNOW BUBBLES</v>
      </c>
      <c r="H6905" s="5">
        <v>2400</v>
      </c>
      <c r="I6905" s="6">
        <v>1287.0000000000018</v>
      </c>
      <c r="J6905" s="5">
        <v>9400</v>
      </c>
      <c r="K6905" s="6">
        <f t="shared" si="283"/>
        <v>1.8648018648018623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43</v>
      </c>
      <c r="F6906" t="s">
        <v>24</v>
      </c>
      <c r="G6906" t="str">
        <f t="shared" si="282"/>
        <v>022FRUITY BUBBLES</v>
      </c>
      <c r="H6906" s="5">
        <v>7325</v>
      </c>
      <c r="I6906" s="6">
        <v>2641.14</v>
      </c>
      <c r="J6906" s="5">
        <v>19200</v>
      </c>
      <c r="K6906" s="6">
        <f t="shared" si="283"/>
        <v>2.7734235973859773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43</v>
      </c>
      <c r="F6907" t="s">
        <v>28</v>
      </c>
      <c r="G6907" t="str">
        <f t="shared" si="282"/>
        <v>022GOOD PEACH</v>
      </c>
      <c r="H6907" s="5">
        <v>2190</v>
      </c>
      <c r="I6907" s="6">
        <v>880.38</v>
      </c>
      <c r="J6907" s="5">
        <v>6400</v>
      </c>
      <c r="K6907" s="6">
        <f t="shared" si="283"/>
        <v>2.4875621890547266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43</v>
      </c>
      <c r="F6908" t="s">
        <v>44</v>
      </c>
      <c r="G6908" t="str">
        <f t="shared" si="282"/>
        <v>022MIRABEL</v>
      </c>
      <c r="H6908" s="5">
        <v>1520</v>
      </c>
      <c r="I6908" s="6">
        <v>880.38</v>
      </c>
      <c r="J6908" s="5">
        <v>6400</v>
      </c>
      <c r="K6908" s="6">
        <f t="shared" si="283"/>
        <v>1.7265271814443763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47</v>
      </c>
      <c r="F6909" t="s">
        <v>44</v>
      </c>
      <c r="G6909" t="str">
        <f t="shared" si="282"/>
        <v>030MIRABEL</v>
      </c>
      <c r="H6909" s="5">
        <v>6220</v>
      </c>
      <c r="I6909" s="6">
        <v>2413.6749943750001</v>
      </c>
      <c r="J6909" s="5">
        <v>17600</v>
      </c>
      <c r="K6909" s="6">
        <f t="shared" si="283"/>
        <v>2.5769832369708143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47</v>
      </c>
      <c r="F6910" t="s">
        <v>13</v>
      </c>
      <c r="G6910" t="str">
        <f t="shared" si="282"/>
        <v>030SOMERSET</v>
      </c>
      <c r="H6910" s="5">
        <v>3980</v>
      </c>
      <c r="I6910" s="6">
        <v>1645.6875</v>
      </c>
      <c r="J6910" s="5">
        <v>12000</v>
      </c>
      <c r="K6910" s="6">
        <f t="shared" si="283"/>
        <v>2.4184421404428242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48</v>
      </c>
      <c r="F6911" t="s">
        <v>49</v>
      </c>
      <c r="G6911" t="str">
        <f t="shared" si="282"/>
        <v>03182989</v>
      </c>
      <c r="H6911" s="5">
        <v>4200</v>
      </c>
      <c r="I6911" s="6">
        <v>726.32013058333712</v>
      </c>
      <c r="J6911" s="5">
        <v>5712</v>
      </c>
      <c r="K6911" s="6">
        <f t="shared" si="283"/>
        <v>5.7825741338420702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48</v>
      </c>
      <c r="F6912" t="s">
        <v>34</v>
      </c>
      <c r="G6912" t="str">
        <f t="shared" si="282"/>
        <v>031RUBICON</v>
      </c>
      <c r="H6912" s="5">
        <v>3180</v>
      </c>
      <c r="I6912" s="6">
        <v>924.39958333667107</v>
      </c>
      <c r="J6912" s="5">
        <v>6720</v>
      </c>
      <c r="K6912" s="6">
        <f t="shared" si="283"/>
        <v>3.4400707846725931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48</v>
      </c>
      <c r="F6913" t="s">
        <v>13</v>
      </c>
      <c r="G6913" t="str">
        <f t="shared" si="282"/>
        <v>031SOMERSET</v>
      </c>
      <c r="H6913" s="5">
        <v>3540</v>
      </c>
      <c r="I6913" s="6">
        <v>1122.485208333339</v>
      </c>
      <c r="J6913" s="5">
        <v>8160</v>
      </c>
      <c r="K6913" s="6">
        <f t="shared" si="283"/>
        <v>3.1537163908432935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48</v>
      </c>
      <c r="F6914" t="s">
        <v>50</v>
      </c>
      <c r="G6914" t="str">
        <f t="shared" si="282"/>
        <v>031VELVET BLOSSOMS</v>
      </c>
      <c r="H6914" s="5">
        <v>660</v>
      </c>
      <c r="I6914" s="6">
        <v>396.17125000000198</v>
      </c>
      <c r="J6914" s="5">
        <v>2880</v>
      </c>
      <c r="K6914" s="6">
        <f t="shared" si="283"/>
        <v>1.6659462290612879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51</v>
      </c>
      <c r="F6915" t="s">
        <v>17</v>
      </c>
      <c r="G6915" t="str">
        <f t="shared" si="282"/>
        <v>032ELBA</v>
      </c>
      <c r="H6915" s="5">
        <v>4470</v>
      </c>
      <c r="I6915" s="6">
        <v>1535.9749999999999</v>
      </c>
      <c r="J6915" s="5">
        <v>11200</v>
      </c>
      <c r="K6915" s="6">
        <f t="shared" si="283"/>
        <v>2.9102036165953225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51</v>
      </c>
      <c r="F6916" t="s">
        <v>44</v>
      </c>
      <c r="G6916" t="str">
        <f t="shared" si="282"/>
        <v>032MIRABEL</v>
      </c>
      <c r="H6916" s="5">
        <v>2740</v>
      </c>
      <c r="I6916" s="6">
        <v>1535.9749999999999</v>
      </c>
      <c r="J6916" s="5">
        <v>11200</v>
      </c>
      <c r="K6916" s="6">
        <f t="shared" si="283"/>
        <v>1.7838832012239783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52</v>
      </c>
      <c r="F6917" t="s">
        <v>53</v>
      </c>
      <c r="G6917" t="str">
        <f t="shared" si="282"/>
        <v>033CREAMY FOLIES</v>
      </c>
      <c r="H6917" s="5">
        <v>1110</v>
      </c>
      <c r="I6917" s="6">
        <v>594.25687500000299</v>
      </c>
      <c r="J6917" s="5">
        <v>4320</v>
      </c>
      <c r="K6917" s="6">
        <f t="shared" si="283"/>
        <v>1.8678791053111408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52</v>
      </c>
      <c r="F6918" t="s">
        <v>18</v>
      </c>
      <c r="G6918" t="str">
        <f t="shared" si="282"/>
        <v>033HOT BUBBLES</v>
      </c>
      <c r="H6918" s="5">
        <v>5280</v>
      </c>
      <c r="I6918" s="6">
        <v>2575.1131250013459</v>
      </c>
      <c r="J6918" s="5">
        <v>18720</v>
      </c>
      <c r="K6918" s="6">
        <f t="shared" si="283"/>
        <v>2.0503953588436006</v>
      </c>
    </row>
    <row r="6919" spans="1:11">
      <c r="A6919" s="4">
        <v>2026</v>
      </c>
      <c r="B6919">
        <v>12</v>
      </c>
      <c r="C6919" t="s">
        <v>54</v>
      </c>
      <c r="D6919" t="s">
        <v>11</v>
      </c>
      <c r="E6919" t="s">
        <v>55</v>
      </c>
      <c r="F6919" t="s">
        <v>56</v>
      </c>
      <c r="G6919" t="str">
        <f t="shared" si="282"/>
        <v>001BELIEVE IN PINK</v>
      </c>
      <c r="H6919" s="5">
        <v>1380</v>
      </c>
      <c r="I6919" s="6">
        <v>528.37931032368999</v>
      </c>
      <c r="J6919" s="5">
        <v>4000</v>
      </c>
      <c r="K6919" s="6">
        <f t="shared" ref="K6919:K6924" si="284">IFERROR(H6919/I6919,"")</f>
        <v>2.6117600993017676</v>
      </c>
    </row>
    <row r="6920" spans="1:11">
      <c r="A6920" s="4">
        <v>2026</v>
      </c>
      <c r="B6920">
        <v>12</v>
      </c>
      <c r="C6920" t="s">
        <v>54</v>
      </c>
      <c r="D6920" t="s">
        <v>11</v>
      </c>
      <c r="E6920" t="s">
        <v>55</v>
      </c>
      <c r="F6920" t="s">
        <v>57</v>
      </c>
      <c r="G6920" t="str">
        <f t="shared" si="282"/>
        <v>001EXPLORER</v>
      </c>
      <c r="H6920" s="5">
        <v>6900</v>
      </c>
      <c r="I6920" s="6">
        <v>2272.0310343918732</v>
      </c>
      <c r="J6920" s="5">
        <v>17200</v>
      </c>
      <c r="K6920" s="6">
        <f t="shared" si="284"/>
        <v>3.0369303480253027</v>
      </c>
    </row>
    <row r="6921" spans="1:11">
      <c r="A6921" s="4">
        <v>2026</v>
      </c>
      <c r="B6921">
        <v>12</v>
      </c>
      <c r="C6921" t="s">
        <v>54</v>
      </c>
      <c r="D6921" t="s">
        <v>11</v>
      </c>
      <c r="E6921" t="s">
        <v>55</v>
      </c>
      <c r="F6921" t="s">
        <v>58</v>
      </c>
      <c r="G6921" t="str">
        <f t="shared" si="282"/>
        <v>001GRACE KELLY</v>
      </c>
      <c r="H6921" s="5">
        <v>2100</v>
      </c>
      <c r="I6921" s="6">
        <v>1162.4344827121224</v>
      </c>
      <c r="J6921" s="5">
        <v>8800</v>
      </c>
      <c r="K6921" s="6">
        <f t="shared" si="284"/>
        <v>1.8065534283707809</v>
      </c>
    </row>
    <row r="6922" spans="1:11">
      <c r="A6922" s="4">
        <v>2026</v>
      </c>
      <c r="B6922">
        <v>12</v>
      </c>
      <c r="C6922" t="s">
        <v>54</v>
      </c>
      <c r="D6922" t="s">
        <v>11</v>
      </c>
      <c r="E6922" t="s">
        <v>55</v>
      </c>
      <c r="F6922" t="s">
        <v>60</v>
      </c>
      <c r="G6922" t="str">
        <f t="shared" si="282"/>
        <v>001LIGHT HOUSE</v>
      </c>
      <c r="H6922" s="5">
        <v>1860</v>
      </c>
      <c r="I6922" s="6">
        <v>1056.7586206473827</v>
      </c>
      <c r="J6922" s="5">
        <v>8000</v>
      </c>
      <c r="K6922" s="6">
        <f t="shared" si="284"/>
        <v>1.7600991973555344</v>
      </c>
    </row>
    <row r="6923" spans="1:11">
      <c r="A6923" s="4">
        <v>2026</v>
      </c>
      <c r="B6923">
        <v>12</v>
      </c>
      <c r="C6923" t="s">
        <v>54</v>
      </c>
      <c r="D6923" t="s">
        <v>11</v>
      </c>
      <c r="E6923" t="s">
        <v>55</v>
      </c>
      <c r="F6923" t="s">
        <v>61</v>
      </c>
      <c r="G6923" t="str">
        <f t="shared" si="282"/>
        <v>001LUMIA</v>
      </c>
      <c r="H6923" s="5">
        <v>1410</v>
      </c>
      <c r="I6923" s="6">
        <v>1109.596551679753</v>
      </c>
      <c r="J6923" s="5">
        <v>8400</v>
      </c>
      <c r="K6923" s="6">
        <f t="shared" si="284"/>
        <v>1.2707321394118285</v>
      </c>
    </row>
    <row r="6924" spans="1:11">
      <c r="A6924" s="4">
        <v>2026</v>
      </c>
      <c r="B6924">
        <v>12</v>
      </c>
      <c r="C6924" t="s">
        <v>54</v>
      </c>
      <c r="D6924" t="s">
        <v>11</v>
      </c>
      <c r="E6924" t="s">
        <v>55</v>
      </c>
      <c r="F6924" t="s">
        <v>62</v>
      </c>
      <c r="G6924" t="str">
        <f t="shared" si="282"/>
        <v>001MOMENTUM</v>
      </c>
      <c r="H6924" s="5">
        <v>3175</v>
      </c>
      <c r="I6924" s="6">
        <v>1902.1655171652881</v>
      </c>
      <c r="J6924" s="5">
        <v>14400</v>
      </c>
      <c r="K6924" s="6">
        <f t="shared" si="284"/>
        <v>1.6691502244933765</v>
      </c>
    </row>
    <row r="6925" spans="1:11">
      <c r="A6925" s="4">
        <v>2026</v>
      </c>
      <c r="B6925">
        <v>12</v>
      </c>
      <c r="C6925" t="s">
        <v>54</v>
      </c>
      <c r="D6925" t="s">
        <v>11</v>
      </c>
      <c r="E6925" t="s">
        <v>12</v>
      </c>
      <c r="F6925" t="s">
        <v>63</v>
      </c>
      <c r="G6925" t="str">
        <f t="shared" si="282"/>
        <v>002SUMMER ROMANCE</v>
      </c>
      <c r="H6925" s="5">
        <v>2075</v>
      </c>
      <c r="I6925" s="6">
        <v>951.10714281909407</v>
      </c>
      <c r="J6925" s="5">
        <v>7200</v>
      </c>
      <c r="K6925" s="6">
        <f t="shared" ref="K6925:K6987" si="285">+H6925/I6925</f>
        <v>2.1816679810117634</v>
      </c>
    </row>
    <row r="6926" spans="1:11">
      <c r="A6926" s="4">
        <v>2026</v>
      </c>
      <c r="B6926">
        <v>12</v>
      </c>
      <c r="C6926" t="s">
        <v>54</v>
      </c>
      <c r="D6926" t="s">
        <v>11</v>
      </c>
      <c r="E6926" t="s">
        <v>12</v>
      </c>
      <c r="F6926" t="s">
        <v>64</v>
      </c>
      <c r="G6926" t="str">
        <f t="shared" si="282"/>
        <v>002SWEETNESS</v>
      </c>
      <c r="H6926" s="5">
        <v>6720</v>
      </c>
      <c r="I6926" s="6">
        <v>3804.4285712763772</v>
      </c>
      <c r="J6926" s="5">
        <v>28800</v>
      </c>
      <c r="K6926" s="6">
        <f t="shared" si="285"/>
        <v>1.7663625099275961</v>
      </c>
    </row>
    <row r="6927" spans="1:11">
      <c r="A6927" s="4">
        <v>2026</v>
      </c>
      <c r="B6927">
        <v>12</v>
      </c>
      <c r="C6927" t="s">
        <v>54</v>
      </c>
      <c r="D6927" t="s">
        <v>11</v>
      </c>
      <c r="E6927" t="s">
        <v>65</v>
      </c>
      <c r="F6927" t="s">
        <v>66</v>
      </c>
      <c r="G6927" t="str">
        <f t="shared" si="282"/>
        <v>003CABARET</v>
      </c>
      <c r="H6927" s="5">
        <v>4980</v>
      </c>
      <c r="I6927" s="6">
        <v>2641.8965516184649</v>
      </c>
      <c r="J6927" s="5">
        <v>20000</v>
      </c>
      <c r="K6927" s="6">
        <f t="shared" si="285"/>
        <v>1.8850094629743086</v>
      </c>
    </row>
    <row r="6928" spans="1:11">
      <c r="A6928" s="4">
        <v>2026</v>
      </c>
      <c r="B6928">
        <v>12</v>
      </c>
      <c r="C6928" t="s">
        <v>54</v>
      </c>
      <c r="D6928" t="s">
        <v>11</v>
      </c>
      <c r="E6928" t="s">
        <v>65</v>
      </c>
      <c r="F6928" t="s">
        <v>67</v>
      </c>
      <c r="G6928" t="str">
        <f t="shared" si="282"/>
        <v>003DEEP PURPLE</v>
      </c>
      <c r="H6928" s="5">
        <v>9690</v>
      </c>
      <c r="I6928" s="6">
        <v>3592.9793102010913</v>
      </c>
      <c r="J6928" s="5">
        <v>26044</v>
      </c>
      <c r="K6928" s="6">
        <f t="shared" si="285"/>
        <v>2.696926189496391</v>
      </c>
    </row>
    <row r="6929" spans="1:11">
      <c r="A6929" s="4">
        <v>2026</v>
      </c>
      <c r="B6929">
        <v>12</v>
      </c>
      <c r="C6929" t="s">
        <v>54</v>
      </c>
      <c r="D6929" t="s">
        <v>11</v>
      </c>
      <c r="E6929" t="s">
        <v>65</v>
      </c>
      <c r="F6929" t="s">
        <v>57</v>
      </c>
      <c r="G6929" t="str">
        <f t="shared" si="282"/>
        <v>003EXPLORER</v>
      </c>
      <c r="H6929" s="5">
        <v>3225</v>
      </c>
      <c r="I6929" s="6">
        <v>1268.1103447768633</v>
      </c>
      <c r="J6929" s="5">
        <v>9600</v>
      </c>
      <c r="K6929" s="6">
        <f t="shared" si="285"/>
        <v>2.543154082200529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65</v>
      </c>
      <c r="F6930" t="s">
        <v>68</v>
      </c>
      <c r="G6930" t="str">
        <f t="shared" si="282"/>
        <v>003JOCKER</v>
      </c>
      <c r="H6930" s="5">
        <v>725</v>
      </c>
      <c r="I6930" s="6">
        <v>528.37931032368999</v>
      </c>
      <c r="J6930" s="5">
        <v>4000</v>
      </c>
      <c r="K6930" s="6">
        <f t="shared" si="285"/>
        <v>1.3721203420244794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65</v>
      </c>
      <c r="F6931" t="s">
        <v>69</v>
      </c>
      <c r="G6931" t="str">
        <f t="shared" si="282"/>
        <v>003QUICKSAND</v>
      </c>
      <c r="H6931" s="5">
        <v>2010</v>
      </c>
      <c r="I6931" s="6">
        <v>1162.4344827121247</v>
      </c>
      <c r="J6931" s="5">
        <v>8800</v>
      </c>
      <c r="K6931" s="6">
        <f t="shared" si="285"/>
        <v>1.7291297100120298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14</v>
      </c>
      <c r="F6932" t="s">
        <v>70</v>
      </c>
      <c r="G6932" t="str">
        <f t="shared" si="282"/>
        <v>004COTOPAXI</v>
      </c>
      <c r="H6932" s="5">
        <v>1680</v>
      </c>
      <c r="I6932" s="6">
        <v>528.3915024419166</v>
      </c>
      <c r="J6932" s="5">
        <v>4000</v>
      </c>
      <c r="K6932" s="6">
        <f t="shared" si="285"/>
        <v>3.1794606692878711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14</v>
      </c>
      <c r="F6933" t="s">
        <v>67</v>
      </c>
      <c r="G6933" t="str">
        <f t="shared" si="282"/>
        <v>004DEEP PURPLE</v>
      </c>
      <c r="H6933" s="5">
        <v>10560</v>
      </c>
      <c r="I6933" s="6">
        <v>3910.1071427007282</v>
      </c>
      <c r="J6933" s="5">
        <v>29260</v>
      </c>
      <c r="K6933" s="6">
        <f t="shared" si="285"/>
        <v>2.7006932584221111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14</v>
      </c>
      <c r="F6934" t="s">
        <v>71</v>
      </c>
      <c r="G6934" t="str">
        <f t="shared" si="282"/>
        <v>004HOT EXPLORER</v>
      </c>
      <c r="H6934" s="5">
        <v>5275</v>
      </c>
      <c r="I6934" s="6">
        <v>1902.2142856381945</v>
      </c>
      <c r="J6934" s="5">
        <v>14400</v>
      </c>
      <c r="K6934" s="6">
        <f t="shared" si="285"/>
        <v>2.7730839999607264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14</v>
      </c>
      <c r="F6935" t="s">
        <v>72</v>
      </c>
      <c r="G6935" t="str">
        <f t="shared" si="282"/>
        <v>004HOT MERENGUE</v>
      </c>
      <c r="H6935" s="5">
        <v>3120</v>
      </c>
      <c r="I6935" s="6">
        <v>1162.4642856677858</v>
      </c>
      <c r="J6935" s="5">
        <v>8800</v>
      </c>
      <c r="K6935" s="6">
        <f t="shared" si="285"/>
        <v>2.6839534241756891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14</v>
      </c>
      <c r="F6936" t="s">
        <v>64</v>
      </c>
      <c r="G6936" t="str">
        <f t="shared" si="282"/>
        <v>004SWEETNESS</v>
      </c>
      <c r="H6936" s="5">
        <v>420</v>
      </c>
      <c r="I6936" s="6">
        <v>317.03571427303262</v>
      </c>
      <c r="J6936" s="5">
        <v>2400</v>
      </c>
      <c r="K6936" s="6">
        <f t="shared" si="285"/>
        <v>1.324771882445692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16</v>
      </c>
      <c r="F6937" t="s">
        <v>57</v>
      </c>
      <c r="G6937" t="str">
        <f t="shared" si="282"/>
        <v>005EXPLORER</v>
      </c>
      <c r="H6937" s="5">
        <v>1725</v>
      </c>
      <c r="I6937" s="6">
        <v>951.10714281875391</v>
      </c>
      <c r="J6937" s="5">
        <v>7200</v>
      </c>
      <c r="K6937" s="6">
        <f t="shared" si="285"/>
        <v>1.813675791444163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16</v>
      </c>
      <c r="F6938" t="s">
        <v>73</v>
      </c>
      <c r="G6938" t="str">
        <f t="shared" si="282"/>
        <v>005GOLDFINCH</v>
      </c>
      <c r="H6938" s="5">
        <v>900</v>
      </c>
      <c r="I6938" s="6">
        <v>898.26785710660101</v>
      </c>
      <c r="J6938" s="5">
        <v>6800</v>
      </c>
      <c r="K6938" s="6">
        <f t="shared" si="285"/>
        <v>1.0019283144550872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16</v>
      </c>
      <c r="F6939" t="s">
        <v>68</v>
      </c>
      <c r="G6939" t="str">
        <f t="shared" si="282"/>
        <v>005JOCKER</v>
      </c>
      <c r="H6939" s="5">
        <v>2050</v>
      </c>
      <c r="I6939" s="6">
        <v>1162.4642856673661</v>
      </c>
      <c r="J6939" s="5">
        <v>8800</v>
      </c>
      <c r="K6939" s="6">
        <f t="shared" si="285"/>
        <v>1.7634950383212016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16</v>
      </c>
      <c r="F6940" t="s">
        <v>74</v>
      </c>
      <c r="G6940" t="str">
        <f t="shared" si="282"/>
        <v>005VENDELA</v>
      </c>
      <c r="H6940" s="5">
        <v>1950</v>
      </c>
      <c r="I6940" s="6">
        <v>686.91071425798896</v>
      </c>
      <c r="J6940" s="5">
        <v>5200</v>
      </c>
      <c r="K6940" s="6">
        <f t="shared" si="285"/>
        <v>2.8387968909560812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75</v>
      </c>
      <c r="F6941" t="s">
        <v>76</v>
      </c>
      <c r="G6941" t="str">
        <f t="shared" si="282"/>
        <v>006ATOMIC</v>
      </c>
      <c r="H6941" s="5">
        <v>875</v>
      </c>
      <c r="I6941" s="6">
        <v>845.428571394752</v>
      </c>
      <c r="J6941" s="5">
        <v>6400</v>
      </c>
      <c r="K6941" s="6">
        <f t="shared" si="285"/>
        <v>1.034978033160699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75</v>
      </c>
      <c r="F6942" t="s">
        <v>57</v>
      </c>
      <c r="G6942" t="str">
        <f t="shared" si="282"/>
        <v>006EXPLORER</v>
      </c>
      <c r="H6942" s="5">
        <v>8725</v>
      </c>
      <c r="I6942" s="6">
        <v>3910.1071427007355</v>
      </c>
      <c r="J6942" s="5">
        <v>29600</v>
      </c>
      <c r="K6942" s="6">
        <f t="shared" si="285"/>
        <v>2.2313966552777345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75</v>
      </c>
      <c r="F6943" t="s">
        <v>77</v>
      </c>
      <c r="G6943" t="str">
        <f t="shared" si="282"/>
        <v>006MONDIAL</v>
      </c>
      <c r="H6943" s="5">
        <v>6475</v>
      </c>
      <c r="I6943" s="6">
        <v>4015.7857141250793</v>
      </c>
      <c r="J6943" s="5">
        <v>30400</v>
      </c>
      <c r="K6943" s="6">
        <f t="shared" si="285"/>
        <v>1.6123868306082438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20</v>
      </c>
      <c r="F6944" t="s">
        <v>70</v>
      </c>
      <c r="G6944" t="str">
        <f t="shared" ref="G6944:G7006" si="286">+E6944&amp;F6944</f>
        <v>007COTOPAXI</v>
      </c>
      <c r="H6944" s="5">
        <v>10470</v>
      </c>
      <c r="I6944" s="6">
        <v>2747.5751230427709</v>
      </c>
      <c r="J6944" s="5">
        <v>20800</v>
      </c>
      <c r="K6944" s="6">
        <f t="shared" si="285"/>
        <v>3.8106328420986419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20</v>
      </c>
      <c r="F6945" t="s">
        <v>78</v>
      </c>
      <c r="G6945" t="str">
        <f t="shared" si="286"/>
        <v>007REDIANT</v>
      </c>
      <c r="H6945" s="5">
        <v>1920</v>
      </c>
      <c r="I6945" s="6">
        <v>1056.75862064738</v>
      </c>
      <c r="J6945" s="5">
        <v>9600</v>
      </c>
      <c r="K6945" s="6">
        <f t="shared" si="285"/>
        <v>1.8168765908186209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20</v>
      </c>
      <c r="F6946" t="s">
        <v>63</v>
      </c>
      <c r="G6946" t="str">
        <f t="shared" si="286"/>
        <v>007SUMMER ROMANCE</v>
      </c>
      <c r="H6946" s="5">
        <v>450</v>
      </c>
      <c r="I6946" s="6">
        <v>369.86551722658481</v>
      </c>
      <c r="J6946" s="5">
        <v>3080</v>
      </c>
      <c r="K6946" s="6">
        <f t="shared" si="285"/>
        <v>1.216658431351749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20</v>
      </c>
      <c r="F6947" t="s">
        <v>74</v>
      </c>
      <c r="G6947" t="str">
        <f t="shared" si="286"/>
        <v>007VENDELA</v>
      </c>
      <c r="H6947" s="5">
        <v>11700</v>
      </c>
      <c r="I6947" s="6">
        <v>3592.9793102011122</v>
      </c>
      <c r="J6947" s="5">
        <v>27820</v>
      </c>
      <c r="K6947" s="6">
        <f t="shared" si="285"/>
        <v>3.2563505074414438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79</v>
      </c>
      <c r="F6948" t="s">
        <v>67</v>
      </c>
      <c r="G6948" t="str">
        <f t="shared" si="286"/>
        <v>008DEEP PURPLE</v>
      </c>
      <c r="H6948" s="5">
        <v>4170</v>
      </c>
      <c r="I6948" s="6">
        <v>1585.2222221588099</v>
      </c>
      <c r="J6948" s="5">
        <v>11490</v>
      </c>
      <c r="K6948" s="6">
        <f t="shared" si="285"/>
        <v>2.6305460153852445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79</v>
      </c>
      <c r="F6949" t="s">
        <v>81</v>
      </c>
      <c r="G6949" t="str">
        <f t="shared" si="286"/>
        <v>008FREEDOM</v>
      </c>
      <c r="H6949" s="5">
        <v>4410</v>
      </c>
      <c r="I6949" s="6">
        <v>2219.311111022334</v>
      </c>
      <c r="J6949" s="5">
        <v>16800</v>
      </c>
      <c r="K6949" s="6">
        <f t="shared" si="285"/>
        <v>1.9871031051471268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79</v>
      </c>
      <c r="F6950" t="s">
        <v>68</v>
      </c>
      <c r="G6950" t="str">
        <f t="shared" si="286"/>
        <v>008JOCKER</v>
      </c>
      <c r="H6950" s="5">
        <v>3975</v>
      </c>
      <c r="I6950" s="6">
        <v>2959.0814813631118</v>
      </c>
      <c r="J6950" s="5">
        <v>22400</v>
      </c>
      <c r="K6950" s="6">
        <f t="shared" si="285"/>
        <v>1.3433222522040527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79</v>
      </c>
      <c r="F6951" t="s">
        <v>61</v>
      </c>
      <c r="G6951" t="str">
        <f t="shared" si="286"/>
        <v>008LUMIA</v>
      </c>
      <c r="H6951" s="5">
        <v>3570</v>
      </c>
      <c r="I6951" s="6">
        <v>1796.5851851133182</v>
      </c>
      <c r="J6951" s="5">
        <v>13600</v>
      </c>
      <c r="K6951" s="6">
        <f t="shared" si="285"/>
        <v>1.9871031051471266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82</v>
      </c>
      <c r="F6952" t="s">
        <v>83</v>
      </c>
      <c r="G6952" t="str">
        <f t="shared" si="286"/>
        <v>010COOLDOWN</v>
      </c>
      <c r="H6952" s="5">
        <v>2300</v>
      </c>
      <c r="I6952" s="6">
        <v>1912.3542857142861</v>
      </c>
      <c r="J6952" s="5">
        <v>16320</v>
      </c>
      <c r="K6952" s="6">
        <f t="shared" si="285"/>
        <v>1.2027060138288779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82</v>
      </c>
      <c r="F6953" t="s">
        <v>84</v>
      </c>
      <c r="G6953" t="str">
        <f t="shared" si="286"/>
        <v>010VIOLET HILL</v>
      </c>
      <c r="H6953" s="5">
        <v>4050</v>
      </c>
      <c r="I6953" s="6">
        <v>2812.2857142428579</v>
      </c>
      <c r="J6953" s="5">
        <v>20000</v>
      </c>
      <c r="K6953" s="6">
        <f t="shared" si="285"/>
        <v>1.4401097226674806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85</v>
      </c>
      <c r="F6954" t="s">
        <v>86</v>
      </c>
      <c r="G6954" t="str">
        <f t="shared" si="286"/>
        <v>011BRIGHTON</v>
      </c>
      <c r="H6954" s="5">
        <v>4075</v>
      </c>
      <c r="I6954" s="6">
        <v>1768.8376470588223</v>
      </c>
      <c r="J6954" s="5">
        <v>12800</v>
      </c>
      <c r="K6954" s="6">
        <f t="shared" si="285"/>
        <v>2.3037727666955785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85</v>
      </c>
      <c r="F6955" t="s">
        <v>87</v>
      </c>
      <c r="G6955" t="str">
        <f t="shared" si="286"/>
        <v>011CANDLELIGHT</v>
      </c>
      <c r="H6955" s="5">
        <v>4340</v>
      </c>
      <c r="I6955" s="6">
        <v>2263.7999998868127</v>
      </c>
      <c r="J6955" s="5">
        <v>17920</v>
      </c>
      <c r="K6955" s="6">
        <f t="shared" si="285"/>
        <v>1.9171304886549143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85</v>
      </c>
      <c r="F6956" t="s">
        <v>88</v>
      </c>
      <c r="G6956" t="str">
        <f t="shared" si="286"/>
        <v>011CAYENNE</v>
      </c>
      <c r="H6956" s="5">
        <v>1290</v>
      </c>
      <c r="I6956" s="6">
        <v>994.97117647058747</v>
      </c>
      <c r="J6956" s="5">
        <v>7200</v>
      </c>
      <c r="K6956" s="6">
        <f t="shared" si="285"/>
        <v>1.2965199701321539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85</v>
      </c>
      <c r="F6957" t="s">
        <v>61</v>
      </c>
      <c r="G6957" t="str">
        <f t="shared" si="286"/>
        <v>011LUMIA</v>
      </c>
      <c r="H6957" s="5">
        <v>1080</v>
      </c>
      <c r="I6957" s="6">
        <v>994.97117647058747</v>
      </c>
      <c r="J6957" s="5">
        <v>7920</v>
      </c>
      <c r="K6957" s="6">
        <f t="shared" si="285"/>
        <v>1.0854585796455241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85</v>
      </c>
      <c r="F6958" t="s">
        <v>89</v>
      </c>
      <c r="G6958" t="str">
        <f t="shared" si="286"/>
        <v>011STARDUST</v>
      </c>
      <c r="H6958" s="5">
        <v>3550</v>
      </c>
      <c r="I6958" s="6">
        <v>2263.7999998868127</v>
      </c>
      <c r="J6958" s="5">
        <v>17920</v>
      </c>
      <c r="K6958" s="6">
        <f t="shared" si="285"/>
        <v>1.5681597315034437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90</v>
      </c>
      <c r="F6959" t="s">
        <v>67</v>
      </c>
      <c r="G6959" t="str">
        <f t="shared" si="286"/>
        <v>012DEEP PURPLE</v>
      </c>
      <c r="H6959" s="5">
        <v>11040</v>
      </c>
      <c r="I6959" s="6">
        <v>6727.0499997982479</v>
      </c>
      <c r="J6959" s="5">
        <v>49210</v>
      </c>
      <c r="K6959" s="6">
        <f t="shared" si="285"/>
        <v>1.6411354160190725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90</v>
      </c>
      <c r="F6960" t="s">
        <v>60</v>
      </c>
      <c r="G6960" t="str">
        <f t="shared" si="286"/>
        <v>012LIGHT HOUSE</v>
      </c>
      <c r="H6960" s="5">
        <v>1440</v>
      </c>
      <c r="I6960" s="6">
        <v>994.95</v>
      </c>
      <c r="J6960" s="5">
        <v>7200</v>
      </c>
      <c r="K6960" s="6">
        <f t="shared" si="285"/>
        <v>1.447308909995477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91</v>
      </c>
      <c r="F6961" t="s">
        <v>92</v>
      </c>
      <c r="G6961" t="str">
        <f t="shared" si="286"/>
        <v>013COUNTRY BLUES</v>
      </c>
      <c r="H6961" s="5">
        <v>1775</v>
      </c>
      <c r="I6961" s="6">
        <v>831.6</v>
      </c>
      <c r="J6961" s="5">
        <v>6300</v>
      </c>
      <c r="K6961" s="6">
        <f t="shared" si="285"/>
        <v>2.1344396344396346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91</v>
      </c>
      <c r="F6962" t="s">
        <v>93</v>
      </c>
      <c r="G6962" t="str">
        <f t="shared" si="286"/>
        <v>013LORRAINE</v>
      </c>
      <c r="H6962" s="5">
        <v>3875</v>
      </c>
      <c r="I6962" s="6">
        <v>1267.2</v>
      </c>
      <c r="J6962" s="5">
        <v>9600</v>
      </c>
      <c r="K6962" s="6">
        <f t="shared" si="285"/>
        <v>3.0579229797979797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91</v>
      </c>
      <c r="F6963" t="s">
        <v>61</v>
      </c>
      <c r="G6963" t="str">
        <f t="shared" si="286"/>
        <v>013LUMIA</v>
      </c>
      <c r="H6963" s="5">
        <v>510</v>
      </c>
      <c r="I6963" s="6">
        <v>316.8</v>
      </c>
      <c r="J6963" s="5">
        <v>2400</v>
      </c>
      <c r="K6963" s="6">
        <f t="shared" si="285"/>
        <v>1.6098484848484849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91</v>
      </c>
      <c r="F6964" t="s">
        <v>74</v>
      </c>
      <c r="G6964" t="str">
        <f t="shared" si="286"/>
        <v>013VENDELA</v>
      </c>
      <c r="H6964" s="5">
        <v>12930</v>
      </c>
      <c r="I6964" s="6">
        <v>3603.6</v>
      </c>
      <c r="J6964" s="5">
        <v>27296</v>
      </c>
      <c r="K6964" s="6">
        <f t="shared" si="285"/>
        <v>3.5880785880785884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23</v>
      </c>
      <c r="F6965" t="s">
        <v>89</v>
      </c>
      <c r="G6965" t="str">
        <f t="shared" si="286"/>
        <v>014STARDUST</v>
      </c>
      <c r="H6965" s="5">
        <v>7000</v>
      </c>
      <c r="I6965" s="6">
        <v>3682.8</v>
      </c>
      <c r="J6965" s="5">
        <v>27900</v>
      </c>
      <c r="K6965" s="6">
        <f t="shared" si="285"/>
        <v>1.90072770717932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25</v>
      </c>
      <c r="F6966" t="s">
        <v>68</v>
      </c>
      <c r="G6966" t="str">
        <f t="shared" si="286"/>
        <v>015JOCKER</v>
      </c>
      <c r="H6966" s="5">
        <v>2675</v>
      </c>
      <c r="I6966" s="6">
        <v>2376</v>
      </c>
      <c r="J6966" s="5">
        <v>18000</v>
      </c>
      <c r="K6966" s="6">
        <f t="shared" si="285"/>
        <v>1.1258417508417509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27</v>
      </c>
      <c r="F6967" t="s">
        <v>94</v>
      </c>
      <c r="G6967" t="str">
        <f t="shared" si="286"/>
        <v>016DREAM IN PEACH</v>
      </c>
      <c r="H6967" s="5">
        <v>1740</v>
      </c>
      <c r="I6967" s="6">
        <v>950.4</v>
      </c>
      <c r="J6967" s="5">
        <v>7200</v>
      </c>
      <c r="K6967" s="6">
        <f t="shared" si="285"/>
        <v>1.8308080808080809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27</v>
      </c>
      <c r="F6968" t="s">
        <v>95</v>
      </c>
      <c r="G6968" t="str">
        <f t="shared" si="286"/>
        <v>016NINA</v>
      </c>
      <c r="H6968" s="5">
        <v>2950</v>
      </c>
      <c r="I6968" s="6">
        <v>1346.4</v>
      </c>
      <c r="J6968" s="5">
        <v>10200</v>
      </c>
      <c r="K6968" s="6">
        <f t="shared" si="285"/>
        <v>2.191027926322044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30</v>
      </c>
      <c r="F6969" t="s">
        <v>81</v>
      </c>
      <c r="G6969" t="str">
        <f t="shared" si="286"/>
        <v>017FREEDOM</v>
      </c>
      <c r="H6969" s="5">
        <v>5160</v>
      </c>
      <c r="I6969" s="6">
        <v>2851.2</v>
      </c>
      <c r="J6969" s="5">
        <v>21600</v>
      </c>
      <c r="K6969" s="6">
        <f t="shared" si="285"/>
        <v>1.8097643097643099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30</v>
      </c>
      <c r="F6970" t="s">
        <v>73</v>
      </c>
      <c r="G6970" t="str">
        <f t="shared" si="286"/>
        <v>017GOLDFINCH</v>
      </c>
      <c r="H6970" s="5">
        <v>2000</v>
      </c>
      <c r="I6970" s="6">
        <v>2138.4</v>
      </c>
      <c r="J6970" s="5">
        <v>16200</v>
      </c>
      <c r="K6970" s="6">
        <f t="shared" si="285"/>
        <v>0.9352787130564908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32</v>
      </c>
      <c r="F6971" t="s">
        <v>86</v>
      </c>
      <c r="G6971" t="str">
        <f t="shared" si="286"/>
        <v>018BRIGHTON</v>
      </c>
      <c r="H6971" s="5">
        <v>2325</v>
      </c>
      <c r="I6971" s="6">
        <v>963.6</v>
      </c>
      <c r="J6971" s="5">
        <v>7570</v>
      </c>
      <c r="K6971" s="6">
        <f t="shared" si="285"/>
        <v>2.4128268991282691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35</v>
      </c>
      <c r="F6972" t="s">
        <v>86</v>
      </c>
      <c r="G6972" t="str">
        <f t="shared" si="286"/>
        <v>019BRIGHTON</v>
      </c>
      <c r="H6972" s="5">
        <v>8825</v>
      </c>
      <c r="I6972" s="6">
        <v>3168</v>
      </c>
      <c r="J6972" s="5">
        <v>24000</v>
      </c>
      <c r="K6972" s="6">
        <f t="shared" si="285"/>
        <v>2.785669191919192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35</v>
      </c>
      <c r="F6973" t="s">
        <v>96</v>
      </c>
      <c r="G6973" t="str">
        <f t="shared" si="286"/>
        <v>019TABATHA</v>
      </c>
      <c r="H6973" s="5">
        <v>1920</v>
      </c>
      <c r="I6973" s="6">
        <v>1188</v>
      </c>
      <c r="J6973" s="5">
        <v>9000</v>
      </c>
      <c r="K6973" s="6">
        <f t="shared" si="285"/>
        <v>1.6161616161616161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36</v>
      </c>
      <c r="F6974" t="s">
        <v>86</v>
      </c>
      <c r="G6974" t="str">
        <f t="shared" si="286"/>
        <v>020BRIGHTON</v>
      </c>
      <c r="H6974" s="5">
        <v>5200</v>
      </c>
      <c r="I6974" s="6">
        <v>2732.4</v>
      </c>
      <c r="J6974" s="5">
        <v>20700</v>
      </c>
      <c r="K6974" s="6">
        <f t="shared" si="285"/>
        <v>1.9030888596105986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36</v>
      </c>
      <c r="F6975" t="s">
        <v>97</v>
      </c>
      <c r="G6975" t="str">
        <f t="shared" si="286"/>
        <v>020TYCOON</v>
      </c>
      <c r="H6975" s="5">
        <v>1500</v>
      </c>
      <c r="I6975" s="6">
        <v>673.2</v>
      </c>
      <c r="J6975" s="5">
        <v>5100</v>
      </c>
      <c r="K6975" s="6">
        <f t="shared" si="285"/>
        <v>2.2281639928698751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38</v>
      </c>
      <c r="F6976" t="s">
        <v>98</v>
      </c>
      <c r="G6976" t="str">
        <f t="shared" si="286"/>
        <v>021SHOW GIRL</v>
      </c>
      <c r="H6976" s="5">
        <v>2025</v>
      </c>
      <c r="I6976" s="6">
        <v>1100.4749999999999</v>
      </c>
      <c r="J6976" s="5">
        <v>8000</v>
      </c>
      <c r="K6976" s="6">
        <f t="shared" si="285"/>
        <v>1.8401144960130855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43</v>
      </c>
      <c r="F6977" t="s">
        <v>99</v>
      </c>
      <c r="G6977" t="str">
        <f t="shared" si="286"/>
        <v>022CORAL REEF</v>
      </c>
      <c r="H6977" s="5">
        <v>3300</v>
      </c>
      <c r="I6977" s="6">
        <v>1287</v>
      </c>
      <c r="J6977" s="5">
        <v>9400</v>
      </c>
      <c r="K6977" s="6">
        <f t="shared" si="285"/>
        <v>2.5641025641025643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100</v>
      </c>
      <c r="F6978" t="s">
        <v>70</v>
      </c>
      <c r="G6978" t="str">
        <f t="shared" si="286"/>
        <v>023COTOPAXI</v>
      </c>
      <c r="H6978" s="5">
        <v>7410</v>
      </c>
      <c r="I6978" s="6">
        <v>2641.14</v>
      </c>
      <c r="J6978" s="5">
        <v>19200</v>
      </c>
      <c r="K6978" s="6">
        <f t="shared" si="285"/>
        <v>2.8056066698471116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100</v>
      </c>
      <c r="F6979" t="s">
        <v>101</v>
      </c>
      <c r="G6979" t="str">
        <f t="shared" si="286"/>
        <v>023FRUTTETO</v>
      </c>
      <c r="H6979" s="5">
        <v>6480</v>
      </c>
      <c r="I6979" s="6">
        <v>2641.14</v>
      </c>
      <c r="J6979" s="5">
        <v>19200</v>
      </c>
      <c r="K6979" s="6">
        <f t="shared" si="285"/>
        <v>2.4534859946841139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102</v>
      </c>
      <c r="F6980" t="s">
        <v>70</v>
      </c>
      <c r="G6980" t="str">
        <f t="shared" si="286"/>
        <v>024COTOPAXI</v>
      </c>
      <c r="H6980" s="5">
        <v>4140</v>
      </c>
      <c r="I6980" s="6">
        <v>1430.6174906250001</v>
      </c>
      <c r="J6980" s="5">
        <v>10400</v>
      </c>
      <c r="K6980" s="6">
        <f t="shared" si="285"/>
        <v>2.8938552947450265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102</v>
      </c>
      <c r="F6981" t="s">
        <v>64</v>
      </c>
      <c r="G6981" t="str">
        <f t="shared" si="286"/>
        <v>024SWEETNESS</v>
      </c>
      <c r="H6981" s="5">
        <v>2070</v>
      </c>
      <c r="I6981" s="6">
        <v>1430.6175000000001</v>
      </c>
      <c r="J6981" s="5">
        <v>10400</v>
      </c>
      <c r="K6981" s="6">
        <f t="shared" si="285"/>
        <v>1.4469276378906311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102</v>
      </c>
      <c r="F6982" t="s">
        <v>97</v>
      </c>
      <c r="G6982" t="str">
        <f t="shared" si="286"/>
        <v>024TYCOON</v>
      </c>
      <c r="H6982" s="5">
        <v>3450</v>
      </c>
      <c r="I6982" s="6">
        <v>2861.2350000000001</v>
      </c>
      <c r="J6982" s="5">
        <v>20800</v>
      </c>
      <c r="K6982" s="6">
        <f t="shared" si="285"/>
        <v>1.205773031575526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103</v>
      </c>
      <c r="F6983" t="s">
        <v>104</v>
      </c>
      <c r="G6983" t="str">
        <f t="shared" si="286"/>
        <v>025PINK MONDIAL</v>
      </c>
      <c r="H6983" s="5">
        <v>4625</v>
      </c>
      <c r="I6983" s="6">
        <v>3071.9505625000002</v>
      </c>
      <c r="J6983" s="5">
        <v>22400</v>
      </c>
      <c r="K6983" s="6">
        <f t="shared" si="285"/>
        <v>1.5055580830168389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45</v>
      </c>
      <c r="F6984" t="s">
        <v>105</v>
      </c>
      <c r="G6984" t="str">
        <f t="shared" si="286"/>
        <v>026LOLA</v>
      </c>
      <c r="H6984" s="5">
        <v>5525</v>
      </c>
      <c r="I6984" s="6">
        <v>1097.125</v>
      </c>
      <c r="J6984" s="5">
        <v>8000</v>
      </c>
      <c r="K6984" s="6">
        <f t="shared" si="285"/>
        <v>5.0358892560100266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45</v>
      </c>
      <c r="F6985" t="s">
        <v>106</v>
      </c>
      <c r="G6985" t="str">
        <f t="shared" si="286"/>
        <v>026PALOMA</v>
      </c>
      <c r="H6985" s="5">
        <v>4750</v>
      </c>
      <c r="I6985" s="6">
        <v>2852.5250000000001</v>
      </c>
      <c r="J6985" s="5">
        <v>20800</v>
      </c>
      <c r="K6985" s="6">
        <f t="shared" si="285"/>
        <v>1.6651913655445614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107</v>
      </c>
      <c r="F6986" t="s">
        <v>108</v>
      </c>
      <c r="G6986" t="str">
        <f t="shared" si="286"/>
        <v>027SATISFACTION</v>
      </c>
      <c r="H6986" s="5">
        <v>3720</v>
      </c>
      <c r="I6986" s="6">
        <v>2633.1</v>
      </c>
      <c r="J6986" s="5">
        <v>19200</v>
      </c>
      <c r="K6986" s="6">
        <f t="shared" si="285"/>
        <v>1.4127834111883333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107</v>
      </c>
      <c r="F6987" t="s">
        <v>109</v>
      </c>
      <c r="G6987" t="str">
        <f t="shared" si="286"/>
        <v>027TIFFANY</v>
      </c>
      <c r="H6987" s="5">
        <v>3420</v>
      </c>
      <c r="I6987" s="6">
        <v>2633.1</v>
      </c>
      <c r="J6987" s="5">
        <v>19200</v>
      </c>
      <c r="K6987" s="6">
        <f t="shared" si="285"/>
        <v>1.2988492651247578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110</v>
      </c>
      <c r="F6988" t="s">
        <v>70</v>
      </c>
      <c r="G6988" t="str">
        <f t="shared" si="286"/>
        <v>028COTOPAXI</v>
      </c>
      <c r="H6988" s="5">
        <v>7500</v>
      </c>
      <c r="I6988" s="6">
        <v>2852.5250000000001</v>
      </c>
      <c r="J6988" s="5">
        <v>20800</v>
      </c>
      <c r="K6988" s="6">
        <f t="shared" ref="K6988:K7049" si="287">+H6988/I6988</f>
        <v>2.6292495245440444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110</v>
      </c>
      <c r="F6989" t="s">
        <v>67</v>
      </c>
      <c r="G6989" t="str">
        <f t="shared" si="286"/>
        <v>028DEEP PURPLE</v>
      </c>
      <c r="H6989" s="5">
        <v>5670</v>
      </c>
      <c r="I6989" s="6">
        <v>2852.5250000000001</v>
      </c>
      <c r="J6989" s="5">
        <v>20800</v>
      </c>
      <c r="K6989" s="6">
        <f t="shared" si="287"/>
        <v>1.9877126405552974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111</v>
      </c>
      <c r="F6990" t="s">
        <v>112</v>
      </c>
      <c r="G6990" t="str">
        <f t="shared" si="286"/>
        <v>029PINK FLOYD</v>
      </c>
      <c r="H6990" s="5">
        <v>5050</v>
      </c>
      <c r="I6990" s="6">
        <v>3071.95</v>
      </c>
      <c r="J6990" s="5">
        <v>22400</v>
      </c>
      <c r="K6990" s="6">
        <f t="shared" si="287"/>
        <v>1.6439069646315858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47</v>
      </c>
      <c r="F6991" t="s">
        <v>57</v>
      </c>
      <c r="G6991" t="str">
        <f t="shared" si="286"/>
        <v>030EXPLORER</v>
      </c>
      <c r="H6991" s="5">
        <v>3300</v>
      </c>
      <c r="I6991" s="6">
        <v>1645.6875</v>
      </c>
      <c r="J6991" s="5">
        <v>12000</v>
      </c>
      <c r="K6991" s="6">
        <f t="shared" si="287"/>
        <v>2.0052409707189245</v>
      </c>
    </row>
    <row r="6992" spans="1:11">
      <c r="A6992" s="4">
        <v>2026</v>
      </c>
      <c r="B6992">
        <v>13</v>
      </c>
      <c r="C6992" t="s">
        <v>10</v>
      </c>
      <c r="D6992" t="s">
        <v>11</v>
      </c>
      <c r="E6992" t="s">
        <v>12</v>
      </c>
      <c r="F6992" t="s">
        <v>13</v>
      </c>
      <c r="G6992" t="str">
        <f t="shared" si="286"/>
        <v>002SOMERSET</v>
      </c>
      <c r="H6992" s="5">
        <v>10360</v>
      </c>
      <c r="I6992" s="6">
        <v>4121.4642855494085</v>
      </c>
      <c r="J6992" s="5">
        <v>31200</v>
      </c>
      <c r="K6992" s="6">
        <f t="shared" si="287"/>
        <v>2.5136697256661944</v>
      </c>
    </row>
    <row r="6993" spans="1:11">
      <c r="A6993" s="4">
        <v>2026</v>
      </c>
      <c r="B6993">
        <v>13</v>
      </c>
      <c r="C6993" t="s">
        <v>10</v>
      </c>
      <c r="D6993" t="s">
        <v>11</v>
      </c>
      <c r="E6993" t="s">
        <v>14</v>
      </c>
      <c r="F6993" t="s">
        <v>15</v>
      </c>
      <c r="G6993" t="str">
        <f t="shared" si="286"/>
        <v>004BELLINA</v>
      </c>
      <c r="H6993" s="5">
        <v>2235</v>
      </c>
      <c r="I6993" s="6">
        <v>1056.7857142434418</v>
      </c>
      <c r="J6993" s="5">
        <v>8000</v>
      </c>
      <c r="K6993" s="6">
        <f t="shared" si="287"/>
        <v>2.1149036837615163</v>
      </c>
    </row>
    <row r="6994" spans="1:11">
      <c r="A6994" s="4">
        <v>2026</v>
      </c>
      <c r="B6994">
        <v>13</v>
      </c>
      <c r="C6994" t="s">
        <v>10</v>
      </c>
      <c r="D6994" t="s">
        <v>11</v>
      </c>
      <c r="E6994" t="s">
        <v>16</v>
      </c>
      <c r="F6994" t="s">
        <v>17</v>
      </c>
      <c r="G6994" t="str">
        <f t="shared" si="286"/>
        <v>005ELBA</v>
      </c>
      <c r="H6994" s="5">
        <v>10530</v>
      </c>
      <c r="I6994" s="6">
        <v>2641.9642856076484</v>
      </c>
      <c r="J6994" s="5">
        <v>19996</v>
      </c>
      <c r="K6994" s="6">
        <f t="shared" si="287"/>
        <v>3.98567083490234</v>
      </c>
    </row>
    <row r="6995" spans="1:11">
      <c r="A6995" s="4">
        <v>2026</v>
      </c>
      <c r="B6995">
        <v>13</v>
      </c>
      <c r="C6995" t="s">
        <v>10</v>
      </c>
      <c r="D6995" t="s">
        <v>11</v>
      </c>
      <c r="E6995" t="s">
        <v>16</v>
      </c>
      <c r="F6995" t="s">
        <v>18</v>
      </c>
      <c r="G6995" t="str">
        <f t="shared" si="286"/>
        <v>005HOT BUBBLES</v>
      </c>
      <c r="H6995" s="5">
        <v>1440</v>
      </c>
      <c r="I6995" s="6">
        <v>528.39285712153003</v>
      </c>
      <c r="J6995" s="5">
        <v>4000</v>
      </c>
      <c r="K6995" s="6">
        <f t="shared" si="287"/>
        <v>2.7252450153178374</v>
      </c>
    </row>
    <row r="6996" spans="1:11">
      <c r="A6996" s="4">
        <v>2026</v>
      </c>
      <c r="B6996">
        <v>13</v>
      </c>
      <c r="C6996" t="s">
        <v>10</v>
      </c>
      <c r="D6996" t="s">
        <v>11</v>
      </c>
      <c r="E6996" t="s">
        <v>16</v>
      </c>
      <c r="F6996" t="s">
        <v>19</v>
      </c>
      <c r="G6996" t="str">
        <f t="shared" si="286"/>
        <v>005SUSPIRO</v>
      </c>
      <c r="H6996" s="5">
        <v>4770</v>
      </c>
      <c r="I6996" s="6">
        <v>1902.2142856375078</v>
      </c>
      <c r="J6996" s="5">
        <v>14400</v>
      </c>
      <c r="K6996" s="6">
        <f t="shared" si="287"/>
        <v>2.5076039203445384</v>
      </c>
    </row>
    <row r="6997" spans="1:11">
      <c r="A6997" s="4">
        <v>2026</v>
      </c>
      <c r="B6997">
        <v>13</v>
      </c>
      <c r="C6997" t="s">
        <v>10</v>
      </c>
      <c r="D6997" t="s">
        <v>11</v>
      </c>
      <c r="E6997" t="s">
        <v>20</v>
      </c>
      <c r="F6997" t="s">
        <v>21</v>
      </c>
      <c r="G6997" t="str">
        <f t="shared" si="286"/>
        <v>007SNOW BUBBLES</v>
      </c>
      <c r="H6997" s="5">
        <v>1100</v>
      </c>
      <c r="I6997" s="6">
        <v>634.05652706821195</v>
      </c>
      <c r="J6997" s="5">
        <v>4800</v>
      </c>
      <c r="K6997" s="6">
        <f t="shared" si="287"/>
        <v>1.7348610936729016</v>
      </c>
    </row>
    <row r="6998" spans="1:11">
      <c r="A6998" s="4">
        <v>2026</v>
      </c>
      <c r="B6998">
        <v>13</v>
      </c>
      <c r="C6998" t="s">
        <v>10</v>
      </c>
      <c r="D6998" t="s">
        <v>11</v>
      </c>
      <c r="E6998" t="s">
        <v>22</v>
      </c>
      <c r="F6998" t="s">
        <v>18</v>
      </c>
      <c r="G6998" t="str">
        <f t="shared" si="286"/>
        <v>009HOT BUBBLES</v>
      </c>
      <c r="H6998" s="5">
        <v>16560</v>
      </c>
      <c r="I6998" s="6">
        <v>4487.9999999102474</v>
      </c>
      <c r="J6998" s="5">
        <v>31740</v>
      </c>
      <c r="K6998" s="6">
        <f t="shared" si="287"/>
        <v>3.6898395722663042</v>
      </c>
    </row>
    <row r="6999" spans="1:11">
      <c r="A6999" s="4">
        <v>2026</v>
      </c>
      <c r="B6999">
        <v>13</v>
      </c>
      <c r="C6999" t="s">
        <v>10</v>
      </c>
      <c r="D6999" t="s">
        <v>11</v>
      </c>
      <c r="E6999" t="s">
        <v>23</v>
      </c>
      <c r="F6999" t="s">
        <v>24</v>
      </c>
      <c r="G6999" t="str">
        <f t="shared" si="286"/>
        <v>014FRUITY BUBBLES</v>
      </c>
      <c r="H6999" s="5">
        <v>4825</v>
      </c>
      <c r="I6999" s="6">
        <v>1702.8</v>
      </c>
      <c r="J6999" s="5">
        <v>12900</v>
      </c>
      <c r="K6999" s="6">
        <f t="shared" si="287"/>
        <v>2.8335682405449849</v>
      </c>
    </row>
    <row r="7000" spans="1:11">
      <c r="A7000" s="4">
        <v>2026</v>
      </c>
      <c r="B7000">
        <v>13</v>
      </c>
      <c r="C7000" t="s">
        <v>10</v>
      </c>
      <c r="D7000" t="s">
        <v>11</v>
      </c>
      <c r="E7000" t="s">
        <v>25</v>
      </c>
      <c r="F7000" t="s">
        <v>26</v>
      </c>
      <c r="G7000" t="str">
        <f t="shared" si="286"/>
        <v>015FELLINI</v>
      </c>
      <c r="H7000" s="5">
        <v>5100</v>
      </c>
      <c r="I7000" s="6">
        <v>3009.6</v>
      </c>
      <c r="J7000" s="5">
        <v>22800</v>
      </c>
      <c r="K7000" s="6">
        <f t="shared" si="287"/>
        <v>1.6945773524720893</v>
      </c>
    </row>
    <row r="7001" spans="1:11">
      <c r="A7001" s="4">
        <v>2026</v>
      </c>
      <c r="B7001">
        <v>13</v>
      </c>
      <c r="C7001" t="s">
        <v>10</v>
      </c>
      <c r="D7001" t="s">
        <v>11</v>
      </c>
      <c r="E7001" t="s">
        <v>27</v>
      </c>
      <c r="F7001" t="s">
        <v>28</v>
      </c>
      <c r="G7001" t="str">
        <f t="shared" si="286"/>
        <v>016GOOD PEACH</v>
      </c>
      <c r="H7001" s="5">
        <v>4290</v>
      </c>
      <c r="I7001" s="6">
        <v>1386</v>
      </c>
      <c r="J7001" s="5">
        <v>10500</v>
      </c>
      <c r="K7001" s="6">
        <f t="shared" si="287"/>
        <v>3.0952380952380953</v>
      </c>
    </row>
    <row r="7002" spans="1:11">
      <c r="A7002" s="4">
        <v>2026</v>
      </c>
      <c r="B7002">
        <v>13</v>
      </c>
      <c r="C7002" t="s">
        <v>10</v>
      </c>
      <c r="D7002" t="s">
        <v>11</v>
      </c>
      <c r="E7002" t="s">
        <v>27</v>
      </c>
      <c r="F7002" t="s">
        <v>29</v>
      </c>
      <c r="G7002" t="str">
        <f t="shared" si="286"/>
        <v>016GOOD YELLOW</v>
      </c>
      <c r="H7002" s="5">
        <v>4530</v>
      </c>
      <c r="I7002" s="6">
        <v>1386</v>
      </c>
      <c r="J7002" s="5">
        <v>10500</v>
      </c>
      <c r="K7002" s="6">
        <f t="shared" si="287"/>
        <v>3.2683982683982684</v>
      </c>
    </row>
    <row r="7003" spans="1:11">
      <c r="A7003" s="4">
        <v>2026</v>
      </c>
      <c r="B7003">
        <v>13</v>
      </c>
      <c r="C7003" t="s">
        <v>10</v>
      </c>
      <c r="D7003" t="s">
        <v>11</v>
      </c>
      <c r="E7003" t="s">
        <v>30</v>
      </c>
      <c r="F7003" t="s">
        <v>31</v>
      </c>
      <c r="G7003" t="str">
        <f t="shared" si="286"/>
        <v>017ORANGE STAR</v>
      </c>
      <c r="H7003" s="5">
        <v>1750</v>
      </c>
      <c r="I7003" s="6">
        <v>1029.5999999999999</v>
      </c>
      <c r="J7003" s="5">
        <v>7800</v>
      </c>
      <c r="K7003" s="6">
        <f t="shared" si="287"/>
        <v>1.6996891996891998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32</v>
      </c>
      <c r="F7004" t="s">
        <v>33</v>
      </c>
      <c r="G7004" t="str">
        <f t="shared" si="286"/>
        <v>018COSMO</v>
      </c>
      <c r="H7004" s="5">
        <v>4075</v>
      </c>
      <c r="I7004" s="6">
        <v>2653.2</v>
      </c>
      <c r="J7004" s="5">
        <v>20100</v>
      </c>
      <c r="K7004" s="6">
        <f t="shared" si="287"/>
        <v>1.5358812000603046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32</v>
      </c>
      <c r="F7005" t="s">
        <v>34</v>
      </c>
      <c r="G7005" t="str">
        <f t="shared" si="286"/>
        <v>018RUBICON</v>
      </c>
      <c r="H7005" s="5">
        <v>7380</v>
      </c>
      <c r="I7005" s="6">
        <v>1768.8</v>
      </c>
      <c r="J7005" s="5">
        <v>13400</v>
      </c>
      <c r="K7005" s="6">
        <f t="shared" si="287"/>
        <v>4.1723202170963365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35</v>
      </c>
      <c r="F7006" t="s">
        <v>15</v>
      </c>
      <c r="G7006" t="str">
        <f t="shared" si="286"/>
        <v>019BELLINA</v>
      </c>
      <c r="H7006" s="5">
        <v>2070</v>
      </c>
      <c r="I7006" s="6">
        <v>1029.5999999999999</v>
      </c>
      <c r="J7006" s="5">
        <v>7800</v>
      </c>
      <c r="K7006" s="6">
        <f t="shared" si="287"/>
        <v>2.0104895104895109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36</v>
      </c>
      <c r="F7007" t="s">
        <v>37</v>
      </c>
      <c r="G7007" t="str">
        <f t="shared" ref="G7007:G7067" si="288">+E7007&amp;F7007</f>
        <v>020SUMMER DANCE</v>
      </c>
      <c r="H7007" s="5">
        <v>4100</v>
      </c>
      <c r="I7007" s="6">
        <v>1346.4</v>
      </c>
      <c r="J7007" s="5">
        <v>10200</v>
      </c>
      <c r="K7007" s="6">
        <f t="shared" si="287"/>
        <v>3.0451574569221624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38</v>
      </c>
      <c r="F7008" t="s">
        <v>39</v>
      </c>
      <c r="G7008" t="str">
        <f t="shared" si="288"/>
        <v>021ELEGANT ROSEVER</v>
      </c>
      <c r="H7008" s="5">
        <v>1230</v>
      </c>
      <c r="I7008" s="6">
        <v>440.18999062500001</v>
      </c>
      <c r="J7008" s="5">
        <v>3200</v>
      </c>
      <c r="K7008" s="6">
        <f t="shared" si="287"/>
        <v>2.7942479979010768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38</v>
      </c>
      <c r="F7009" t="s">
        <v>40</v>
      </c>
      <c r="G7009" t="str">
        <f t="shared" si="288"/>
        <v>021FLAME CLUB</v>
      </c>
      <c r="H7009" s="5">
        <v>1550</v>
      </c>
      <c r="I7009" s="6">
        <v>880.38</v>
      </c>
      <c r="J7009" s="5">
        <v>6400</v>
      </c>
      <c r="K7009" s="6">
        <f t="shared" si="287"/>
        <v>1.760603375814989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38</v>
      </c>
      <c r="F7010" t="s">
        <v>41</v>
      </c>
      <c r="G7010" t="str">
        <f t="shared" si="288"/>
        <v>021KELLY</v>
      </c>
      <c r="H7010" s="5">
        <v>900</v>
      </c>
      <c r="I7010" s="6">
        <v>330.14249999999998</v>
      </c>
      <c r="J7010" s="5">
        <v>2400</v>
      </c>
      <c r="K7010" s="6">
        <f t="shared" si="287"/>
        <v>2.7260955496490151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38</v>
      </c>
      <c r="F7011" t="s">
        <v>42</v>
      </c>
      <c r="G7011" t="str">
        <f t="shared" si="288"/>
        <v>021LEILA</v>
      </c>
      <c r="H7011" s="5">
        <v>1675</v>
      </c>
      <c r="I7011" s="6">
        <v>1430.6175000000001</v>
      </c>
      <c r="J7011" s="5">
        <v>5600</v>
      </c>
      <c r="K7011" s="6">
        <f t="shared" si="287"/>
        <v>1.1708230886313078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38</v>
      </c>
      <c r="F7012" t="s">
        <v>115</v>
      </c>
      <c r="G7012" t="str">
        <f t="shared" si="288"/>
        <v>021PISTACHIO KISS</v>
      </c>
      <c r="H7012" s="5">
        <v>125</v>
      </c>
      <c r="I7012" s="6">
        <v>220.095</v>
      </c>
      <c r="J7012" s="5">
        <v>6400</v>
      </c>
      <c r="K7012" s="6">
        <f t="shared" si="287"/>
        <v>0.56793657284354482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38</v>
      </c>
      <c r="F7013" t="s">
        <v>21</v>
      </c>
      <c r="G7013" t="str">
        <f t="shared" si="288"/>
        <v>021SNOW BUBBLES</v>
      </c>
      <c r="H7013" s="5">
        <v>1780</v>
      </c>
      <c r="I7013" s="6">
        <v>1287.0000000000018</v>
      </c>
      <c r="J7013" s="5">
        <v>9400</v>
      </c>
      <c r="K7013" s="6">
        <f t="shared" si="287"/>
        <v>1.3830613830613812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43</v>
      </c>
      <c r="F7014" t="s">
        <v>24</v>
      </c>
      <c r="G7014" t="str">
        <f t="shared" si="288"/>
        <v>022FRUITY BUBBLES</v>
      </c>
      <c r="H7014" s="5">
        <v>5725</v>
      </c>
      <c r="I7014" s="6">
        <v>2641.14</v>
      </c>
      <c r="J7014" s="5">
        <v>19200</v>
      </c>
      <c r="K7014" s="6">
        <f t="shared" si="287"/>
        <v>2.1676245863528627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43</v>
      </c>
      <c r="F7015" t="s">
        <v>28</v>
      </c>
      <c r="G7015" t="str">
        <f t="shared" si="288"/>
        <v>022GOOD PEACH</v>
      </c>
      <c r="H7015" s="5">
        <v>2370</v>
      </c>
      <c r="I7015" s="6">
        <v>880.38</v>
      </c>
      <c r="J7015" s="5">
        <v>6400</v>
      </c>
      <c r="K7015" s="6">
        <f t="shared" si="287"/>
        <v>2.6920193552784024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43</v>
      </c>
      <c r="F7016" t="s">
        <v>44</v>
      </c>
      <c r="G7016" t="str">
        <f t="shared" si="288"/>
        <v>022MIRABEL</v>
      </c>
      <c r="H7016" s="5">
        <v>1480</v>
      </c>
      <c r="I7016" s="6">
        <v>880.38</v>
      </c>
      <c r="J7016" s="5">
        <v>6400</v>
      </c>
      <c r="K7016" s="6">
        <f t="shared" si="287"/>
        <v>1.6810922556168928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47</v>
      </c>
      <c r="F7017" t="s">
        <v>44</v>
      </c>
      <c r="G7017" t="str">
        <f t="shared" si="288"/>
        <v>030MIRABEL</v>
      </c>
      <c r="H7017" s="5">
        <v>7640</v>
      </c>
      <c r="I7017" s="6">
        <v>2413.6749943750001</v>
      </c>
      <c r="J7017" s="5">
        <v>17600</v>
      </c>
      <c r="K7017" s="6">
        <f t="shared" si="287"/>
        <v>3.1652977380155982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47</v>
      </c>
      <c r="F7018" t="s">
        <v>13</v>
      </c>
      <c r="G7018" t="str">
        <f t="shared" si="288"/>
        <v>030SOMERSET</v>
      </c>
      <c r="H7018" s="5">
        <v>3880</v>
      </c>
      <c r="I7018" s="6">
        <v>1645.6875</v>
      </c>
      <c r="J7018" s="5">
        <v>12000</v>
      </c>
      <c r="K7018" s="6">
        <f t="shared" si="287"/>
        <v>2.3576772625422504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48</v>
      </c>
      <c r="F7019" t="s">
        <v>49</v>
      </c>
      <c r="G7019" t="str">
        <f t="shared" si="288"/>
        <v>03182989</v>
      </c>
      <c r="H7019" s="5">
        <v>4420</v>
      </c>
      <c r="I7019" s="6">
        <v>726.32013058333712</v>
      </c>
      <c r="J7019" s="5">
        <v>5712</v>
      </c>
      <c r="K7019" s="6">
        <f t="shared" si="287"/>
        <v>6.0854708741861785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48</v>
      </c>
      <c r="F7020" t="s">
        <v>34</v>
      </c>
      <c r="G7020" t="str">
        <f t="shared" si="288"/>
        <v>031RUBICON</v>
      </c>
      <c r="H7020" s="5">
        <v>3720</v>
      </c>
      <c r="I7020" s="6">
        <v>924.39958333667107</v>
      </c>
      <c r="J7020" s="5">
        <v>6720</v>
      </c>
      <c r="K7020" s="6">
        <f t="shared" si="287"/>
        <v>4.0242337481075614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48</v>
      </c>
      <c r="F7021" t="s">
        <v>13</v>
      </c>
      <c r="G7021" t="str">
        <f t="shared" si="288"/>
        <v>031SOMERSET</v>
      </c>
      <c r="H7021" s="5">
        <v>980</v>
      </c>
      <c r="I7021" s="6">
        <v>1122.485208333339</v>
      </c>
      <c r="J7021" s="5">
        <v>8160</v>
      </c>
      <c r="K7021" s="6">
        <f t="shared" si="287"/>
        <v>0.87306272966848231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48</v>
      </c>
      <c r="F7022" t="s">
        <v>50</v>
      </c>
      <c r="G7022" t="str">
        <f t="shared" si="288"/>
        <v>031VELVET BLOSSOMS</v>
      </c>
      <c r="H7022" s="5">
        <v>960</v>
      </c>
      <c r="I7022" s="6">
        <v>396.17125000000198</v>
      </c>
      <c r="J7022" s="5">
        <v>2880</v>
      </c>
      <c r="K7022" s="6">
        <f t="shared" si="287"/>
        <v>2.4231945149982366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51</v>
      </c>
      <c r="F7023" t="s">
        <v>17</v>
      </c>
      <c r="G7023" t="str">
        <f t="shared" si="288"/>
        <v>032ELBA</v>
      </c>
      <c r="H7023" s="5">
        <v>5340</v>
      </c>
      <c r="I7023" s="6">
        <v>1535.9749999999999</v>
      </c>
      <c r="J7023" s="5">
        <v>11200</v>
      </c>
      <c r="K7023" s="6">
        <f t="shared" si="287"/>
        <v>3.4766190855970964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51</v>
      </c>
      <c r="F7024" t="s">
        <v>44</v>
      </c>
      <c r="G7024" t="str">
        <f t="shared" si="288"/>
        <v>032MIRABEL</v>
      </c>
      <c r="H7024" s="5">
        <v>3280</v>
      </c>
      <c r="I7024" s="6">
        <v>1535.9749999999999</v>
      </c>
      <c r="J7024" s="5">
        <v>11200</v>
      </c>
      <c r="K7024" s="6">
        <f t="shared" si="287"/>
        <v>2.1354514233630106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52</v>
      </c>
      <c r="F7025" t="s">
        <v>53</v>
      </c>
      <c r="G7025" t="str">
        <f t="shared" si="288"/>
        <v>033CREAMY FOLIES</v>
      </c>
      <c r="H7025" s="5">
        <v>1320</v>
      </c>
      <c r="I7025" s="6">
        <v>594.25687500000299</v>
      </c>
      <c r="J7025" s="5">
        <v>4320</v>
      </c>
      <c r="K7025" s="6">
        <f t="shared" si="287"/>
        <v>2.2212616387483837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52</v>
      </c>
      <c r="F7026" t="s">
        <v>18</v>
      </c>
      <c r="G7026" t="str">
        <f t="shared" si="288"/>
        <v>033HOT BUBBLES</v>
      </c>
      <c r="H7026" s="5">
        <v>6020</v>
      </c>
      <c r="I7026" s="6">
        <v>2575.1131250013459</v>
      </c>
      <c r="J7026" s="5">
        <v>18720</v>
      </c>
      <c r="K7026" s="6">
        <f t="shared" si="287"/>
        <v>2.3377613750451656</v>
      </c>
    </row>
    <row r="7027" spans="1:11">
      <c r="A7027" s="4">
        <v>2026</v>
      </c>
      <c r="B7027">
        <v>13</v>
      </c>
      <c r="C7027" t="s">
        <v>54</v>
      </c>
      <c r="D7027" t="s">
        <v>11</v>
      </c>
      <c r="E7027" t="s">
        <v>55</v>
      </c>
      <c r="F7027" t="s">
        <v>56</v>
      </c>
      <c r="G7027" t="str">
        <f t="shared" si="288"/>
        <v>001BELIEVE IN PINK</v>
      </c>
      <c r="H7027" s="5">
        <v>990</v>
      </c>
      <c r="I7027" s="6">
        <v>528.37931032368999</v>
      </c>
      <c r="J7027" s="5">
        <v>4000</v>
      </c>
      <c r="K7027" s="6">
        <f t="shared" ref="K7027:K7032" si="289">IFERROR(H7027/I7027,"")</f>
        <v>1.8736539842817028</v>
      </c>
    </row>
    <row r="7028" spans="1:11">
      <c r="A7028" s="4">
        <v>2026</v>
      </c>
      <c r="B7028">
        <v>13</v>
      </c>
      <c r="C7028" t="s">
        <v>54</v>
      </c>
      <c r="D7028" t="s">
        <v>11</v>
      </c>
      <c r="E7028" t="s">
        <v>55</v>
      </c>
      <c r="F7028" t="s">
        <v>57</v>
      </c>
      <c r="G7028" t="str">
        <f t="shared" si="288"/>
        <v>001EXPLORER</v>
      </c>
      <c r="H7028" s="5">
        <v>6100</v>
      </c>
      <c r="I7028" s="6">
        <v>2272.0310343918732</v>
      </c>
      <c r="J7028" s="5">
        <v>17200</v>
      </c>
      <c r="K7028" s="6">
        <f t="shared" si="289"/>
        <v>2.6848224815875863</v>
      </c>
    </row>
    <row r="7029" spans="1:11">
      <c r="A7029" s="4">
        <v>2026</v>
      </c>
      <c r="B7029">
        <v>13</v>
      </c>
      <c r="C7029" t="s">
        <v>54</v>
      </c>
      <c r="D7029" t="s">
        <v>11</v>
      </c>
      <c r="E7029" t="s">
        <v>55</v>
      </c>
      <c r="F7029" t="s">
        <v>58</v>
      </c>
      <c r="G7029" t="str">
        <f t="shared" si="288"/>
        <v>001GRACE KELLY</v>
      </c>
      <c r="H7029" s="5">
        <v>2490</v>
      </c>
      <c r="I7029" s="6">
        <v>1162.4344827121224</v>
      </c>
      <c r="J7029" s="5">
        <v>8800</v>
      </c>
      <c r="K7029" s="6">
        <f t="shared" si="289"/>
        <v>2.1420562079253544</v>
      </c>
    </row>
    <row r="7030" spans="1:11">
      <c r="A7030" s="4">
        <v>2026</v>
      </c>
      <c r="B7030">
        <v>13</v>
      </c>
      <c r="C7030" t="s">
        <v>54</v>
      </c>
      <c r="D7030" t="s">
        <v>11</v>
      </c>
      <c r="E7030" t="s">
        <v>55</v>
      </c>
      <c r="F7030" t="s">
        <v>60</v>
      </c>
      <c r="G7030" t="str">
        <f t="shared" si="288"/>
        <v>001LIGHT HOUSE</v>
      </c>
      <c r="H7030" s="5">
        <v>2310</v>
      </c>
      <c r="I7030" s="6">
        <v>1056.7586206473827</v>
      </c>
      <c r="J7030" s="5">
        <v>8000</v>
      </c>
      <c r="K7030" s="6">
        <f t="shared" si="289"/>
        <v>2.1859296483286474</v>
      </c>
    </row>
    <row r="7031" spans="1:11">
      <c r="A7031" s="4">
        <v>2026</v>
      </c>
      <c r="B7031">
        <v>13</v>
      </c>
      <c r="C7031" t="s">
        <v>54</v>
      </c>
      <c r="D7031" t="s">
        <v>11</v>
      </c>
      <c r="E7031" t="s">
        <v>55</v>
      </c>
      <c r="F7031" t="s">
        <v>61</v>
      </c>
      <c r="G7031" t="str">
        <f t="shared" si="288"/>
        <v>001LUMIA</v>
      </c>
      <c r="H7031" s="5">
        <v>1830</v>
      </c>
      <c r="I7031" s="6">
        <v>1109.596551679753</v>
      </c>
      <c r="J7031" s="5">
        <v>8400</v>
      </c>
      <c r="K7031" s="6">
        <f t="shared" si="289"/>
        <v>1.649248095832373</v>
      </c>
    </row>
    <row r="7032" spans="1:11">
      <c r="A7032" s="4">
        <v>2026</v>
      </c>
      <c r="B7032">
        <v>13</v>
      </c>
      <c r="C7032" t="s">
        <v>54</v>
      </c>
      <c r="D7032" t="s">
        <v>11</v>
      </c>
      <c r="E7032" t="s">
        <v>55</v>
      </c>
      <c r="F7032" t="s">
        <v>62</v>
      </c>
      <c r="G7032" t="str">
        <f t="shared" si="288"/>
        <v>001MOMENTUM</v>
      </c>
      <c r="H7032" s="5">
        <v>3125</v>
      </c>
      <c r="I7032" s="6">
        <v>1902.1655171652881</v>
      </c>
      <c r="J7032" s="5">
        <v>14400</v>
      </c>
      <c r="K7032" s="6">
        <f t="shared" si="289"/>
        <v>1.6428643941863941</v>
      </c>
    </row>
    <row r="7033" spans="1:11">
      <c r="A7033" s="4">
        <v>2026</v>
      </c>
      <c r="B7033">
        <v>13</v>
      </c>
      <c r="C7033" t="s">
        <v>54</v>
      </c>
      <c r="D7033" t="s">
        <v>11</v>
      </c>
      <c r="E7033" t="s">
        <v>12</v>
      </c>
      <c r="F7033" t="s">
        <v>63</v>
      </c>
      <c r="G7033" t="str">
        <f t="shared" si="288"/>
        <v>002SUMMER ROMANCE</v>
      </c>
      <c r="H7033" s="5">
        <v>1700</v>
      </c>
      <c r="I7033" s="6">
        <v>951.10714281909407</v>
      </c>
      <c r="J7033" s="5">
        <v>7200</v>
      </c>
      <c r="K7033" s="6">
        <f t="shared" si="287"/>
        <v>1.7873906350457822</v>
      </c>
    </row>
    <row r="7034" spans="1:11">
      <c r="A7034" s="4">
        <v>2026</v>
      </c>
      <c r="B7034">
        <v>13</v>
      </c>
      <c r="C7034" t="s">
        <v>54</v>
      </c>
      <c r="D7034" t="s">
        <v>11</v>
      </c>
      <c r="E7034" t="s">
        <v>12</v>
      </c>
      <c r="F7034" t="s">
        <v>64</v>
      </c>
      <c r="G7034" t="str">
        <f t="shared" si="288"/>
        <v>002SWEETNESS</v>
      </c>
      <c r="H7034" s="5">
        <v>8520</v>
      </c>
      <c r="I7034" s="6">
        <v>3804.4285712763772</v>
      </c>
      <c r="J7034" s="5">
        <v>28800</v>
      </c>
      <c r="K7034" s="6">
        <f t="shared" si="287"/>
        <v>2.2394953250867737</v>
      </c>
    </row>
    <row r="7035" spans="1:11">
      <c r="A7035" s="4">
        <v>2026</v>
      </c>
      <c r="B7035">
        <v>13</v>
      </c>
      <c r="C7035" t="s">
        <v>54</v>
      </c>
      <c r="D7035" t="s">
        <v>11</v>
      </c>
      <c r="E7035" t="s">
        <v>65</v>
      </c>
      <c r="F7035" t="s">
        <v>66</v>
      </c>
      <c r="G7035" t="str">
        <f t="shared" si="288"/>
        <v>003CABARET</v>
      </c>
      <c r="H7035" s="5">
        <v>7440</v>
      </c>
      <c r="I7035" s="6">
        <v>2641.8965516184649</v>
      </c>
      <c r="J7035" s="5">
        <v>20000</v>
      </c>
      <c r="K7035" s="6">
        <f t="shared" si="287"/>
        <v>2.8161587157688466</v>
      </c>
    </row>
    <row r="7036" spans="1:11">
      <c r="A7036" s="4">
        <v>2026</v>
      </c>
      <c r="B7036">
        <v>13</v>
      </c>
      <c r="C7036" t="s">
        <v>54</v>
      </c>
      <c r="D7036" t="s">
        <v>11</v>
      </c>
      <c r="E7036" t="s">
        <v>65</v>
      </c>
      <c r="F7036" t="s">
        <v>67</v>
      </c>
      <c r="G7036" t="str">
        <f t="shared" si="288"/>
        <v>003DEEP PURPLE</v>
      </c>
      <c r="H7036" s="5">
        <v>14280</v>
      </c>
      <c r="I7036" s="6">
        <v>3592.9793102010913</v>
      </c>
      <c r="J7036" s="5">
        <v>26044</v>
      </c>
      <c r="K7036" s="6">
        <f t="shared" si="287"/>
        <v>3.974417542415734</v>
      </c>
    </row>
    <row r="7037" spans="1:11">
      <c r="A7037" s="4">
        <v>2026</v>
      </c>
      <c r="B7037">
        <v>13</v>
      </c>
      <c r="C7037" t="s">
        <v>54</v>
      </c>
      <c r="D7037" t="s">
        <v>11</v>
      </c>
      <c r="E7037" t="s">
        <v>65</v>
      </c>
      <c r="F7037" t="s">
        <v>57</v>
      </c>
      <c r="G7037" t="str">
        <f t="shared" si="288"/>
        <v>003EXPLORER</v>
      </c>
      <c r="H7037" s="5">
        <v>4050</v>
      </c>
      <c r="I7037" s="6">
        <v>1268.1103447768633</v>
      </c>
      <c r="J7037" s="5">
        <v>9600</v>
      </c>
      <c r="K7037" s="6">
        <f t="shared" si="287"/>
        <v>3.1937283822983389</v>
      </c>
    </row>
    <row r="7038" spans="1:11">
      <c r="A7038" s="4">
        <v>2026</v>
      </c>
      <c r="B7038">
        <v>13</v>
      </c>
      <c r="C7038" t="s">
        <v>54</v>
      </c>
      <c r="D7038" t="s">
        <v>11</v>
      </c>
      <c r="E7038" t="s">
        <v>65</v>
      </c>
      <c r="F7038" t="s">
        <v>68</v>
      </c>
      <c r="G7038" t="str">
        <f t="shared" si="288"/>
        <v>003JOCKER</v>
      </c>
      <c r="H7038" s="5">
        <v>950</v>
      </c>
      <c r="I7038" s="6">
        <v>528.37931032368999</v>
      </c>
      <c r="J7038" s="5">
        <v>4000</v>
      </c>
      <c r="K7038" s="6">
        <f t="shared" si="287"/>
        <v>1.7979507929975935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65</v>
      </c>
      <c r="F7039" t="s">
        <v>69</v>
      </c>
      <c r="G7039" t="str">
        <f t="shared" si="288"/>
        <v>003QUICKSAND</v>
      </c>
      <c r="H7039" s="5">
        <v>2070</v>
      </c>
      <c r="I7039" s="6">
        <v>1162.4344827121247</v>
      </c>
      <c r="J7039" s="5">
        <v>8800</v>
      </c>
      <c r="K7039" s="6">
        <f t="shared" si="287"/>
        <v>1.7807455222511948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14</v>
      </c>
      <c r="F7040" t="s">
        <v>70</v>
      </c>
      <c r="G7040" t="str">
        <f t="shared" si="288"/>
        <v>004COTOPAXI</v>
      </c>
      <c r="H7040" s="5">
        <v>2400</v>
      </c>
      <c r="I7040" s="6">
        <v>528.3915024419166</v>
      </c>
      <c r="J7040" s="5">
        <v>4000</v>
      </c>
      <c r="K7040" s="6">
        <f t="shared" si="287"/>
        <v>4.542086670411245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14</v>
      </c>
      <c r="F7041" t="s">
        <v>67</v>
      </c>
      <c r="G7041" t="str">
        <f t="shared" si="288"/>
        <v>004DEEP PURPLE</v>
      </c>
      <c r="H7041" s="5">
        <v>17670</v>
      </c>
      <c r="I7041" s="6">
        <v>3910.1071427007282</v>
      </c>
      <c r="J7041" s="5">
        <v>29260</v>
      </c>
      <c r="K7041" s="6">
        <f t="shared" si="287"/>
        <v>4.5190577534392711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14</v>
      </c>
      <c r="F7042" t="s">
        <v>71</v>
      </c>
      <c r="G7042" t="str">
        <f t="shared" si="288"/>
        <v>004HOT EXPLORER</v>
      </c>
      <c r="H7042" s="5">
        <v>6525</v>
      </c>
      <c r="I7042" s="6">
        <v>1902.2142856381945</v>
      </c>
      <c r="J7042" s="5">
        <v>14400</v>
      </c>
      <c r="K7042" s="6">
        <f t="shared" si="287"/>
        <v>3.4302129099040264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14</v>
      </c>
      <c r="F7043" t="s">
        <v>72</v>
      </c>
      <c r="G7043" t="str">
        <f t="shared" si="288"/>
        <v>004HOT MERENGUE</v>
      </c>
      <c r="H7043" s="5">
        <v>4440</v>
      </c>
      <c r="I7043" s="6">
        <v>1162.4642856677858</v>
      </c>
      <c r="J7043" s="5">
        <v>8800</v>
      </c>
      <c r="K7043" s="6">
        <f t="shared" si="287"/>
        <v>3.8194721805577112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14</v>
      </c>
      <c r="F7044" t="s">
        <v>64</v>
      </c>
      <c r="G7044" t="str">
        <f t="shared" si="288"/>
        <v>004SWEETNESS</v>
      </c>
      <c r="H7044" s="5">
        <v>720</v>
      </c>
      <c r="I7044" s="6">
        <v>317.03571427303262</v>
      </c>
      <c r="J7044" s="5">
        <v>2400</v>
      </c>
      <c r="K7044" s="6">
        <f t="shared" si="287"/>
        <v>2.2710375127640434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16</v>
      </c>
      <c r="F7045" t="s">
        <v>57</v>
      </c>
      <c r="G7045" t="str">
        <f t="shared" si="288"/>
        <v>005EXPLORER</v>
      </c>
      <c r="H7045" s="5">
        <v>1975</v>
      </c>
      <c r="I7045" s="6">
        <v>951.10714281875391</v>
      </c>
      <c r="J7045" s="5">
        <v>7200</v>
      </c>
      <c r="K7045" s="6">
        <f t="shared" si="287"/>
        <v>2.076527355421578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16</v>
      </c>
      <c r="F7046" t="s">
        <v>73</v>
      </c>
      <c r="G7046" t="str">
        <f t="shared" si="288"/>
        <v>005GOLDFINCH</v>
      </c>
      <c r="H7046" s="5">
        <v>900</v>
      </c>
      <c r="I7046" s="6">
        <v>898.26785710660101</v>
      </c>
      <c r="J7046" s="5">
        <v>6800</v>
      </c>
      <c r="K7046" s="6">
        <f t="shared" si="287"/>
        <v>1.0019283144550872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16</v>
      </c>
      <c r="F7047" t="s">
        <v>68</v>
      </c>
      <c r="G7047" t="str">
        <f t="shared" si="288"/>
        <v>005JOCKER</v>
      </c>
      <c r="H7047" s="5">
        <v>2250</v>
      </c>
      <c r="I7047" s="6">
        <v>1162.4642856673661</v>
      </c>
      <c r="J7047" s="5">
        <v>8800</v>
      </c>
      <c r="K7047" s="6">
        <f t="shared" si="287"/>
        <v>1.9355433347427822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16</v>
      </c>
      <c r="F7048" t="s">
        <v>74</v>
      </c>
      <c r="G7048" t="str">
        <f t="shared" si="288"/>
        <v>005VENDELA</v>
      </c>
      <c r="H7048" s="5">
        <v>1650</v>
      </c>
      <c r="I7048" s="6">
        <v>686.91071425798896</v>
      </c>
      <c r="J7048" s="5">
        <v>5200</v>
      </c>
      <c r="K7048" s="6">
        <f t="shared" si="287"/>
        <v>2.4020589077320684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75</v>
      </c>
      <c r="F7049" t="s">
        <v>76</v>
      </c>
      <c r="G7049" t="str">
        <f t="shared" si="288"/>
        <v>006ATOMIC</v>
      </c>
      <c r="H7049" s="5">
        <v>1000</v>
      </c>
      <c r="I7049" s="6">
        <v>845.428571394752</v>
      </c>
      <c r="J7049" s="5">
        <v>6400</v>
      </c>
      <c r="K7049" s="6">
        <f t="shared" si="287"/>
        <v>1.1828320378979418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75</v>
      </c>
      <c r="F7050" t="s">
        <v>57</v>
      </c>
      <c r="G7050" t="str">
        <f t="shared" si="288"/>
        <v>006EXPLORER</v>
      </c>
      <c r="H7050" s="5">
        <v>9725</v>
      </c>
      <c r="I7050" s="6">
        <v>3910.1071427007355</v>
      </c>
      <c r="J7050" s="5">
        <v>29600</v>
      </c>
      <c r="K7050" s="6">
        <f t="shared" ref="K7050:K7112" si="290">+H7050/I7050</f>
        <v>2.4871441229313427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75</v>
      </c>
      <c r="F7051" t="s">
        <v>77</v>
      </c>
      <c r="G7051" t="str">
        <f t="shared" si="288"/>
        <v>006MONDIAL</v>
      </c>
      <c r="H7051" s="5">
        <v>6900</v>
      </c>
      <c r="I7051" s="6">
        <v>4015.7857141250793</v>
      </c>
      <c r="J7051" s="5">
        <v>30400</v>
      </c>
      <c r="K7051" s="6">
        <f t="shared" si="290"/>
        <v>1.7182191708412176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20</v>
      </c>
      <c r="F7052" t="s">
        <v>70</v>
      </c>
      <c r="G7052" t="str">
        <f t="shared" si="288"/>
        <v>007COTOPAXI</v>
      </c>
      <c r="H7052" s="5">
        <v>9780</v>
      </c>
      <c r="I7052" s="6">
        <v>2747.5751230427709</v>
      </c>
      <c r="J7052" s="5">
        <v>20800</v>
      </c>
      <c r="K7052" s="6">
        <f t="shared" si="290"/>
        <v>3.5595023109574706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20</v>
      </c>
      <c r="F7053" t="s">
        <v>78</v>
      </c>
      <c r="G7053" t="str">
        <f t="shared" si="288"/>
        <v>007REDIANT</v>
      </c>
      <c r="H7053" s="5">
        <v>2760</v>
      </c>
      <c r="I7053" s="6">
        <v>1056.75862064738</v>
      </c>
      <c r="J7053" s="5">
        <v>9600</v>
      </c>
      <c r="K7053" s="6">
        <f t="shared" si="290"/>
        <v>2.6117600993017676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20</v>
      </c>
      <c r="F7054" t="s">
        <v>63</v>
      </c>
      <c r="G7054" t="str">
        <f t="shared" si="288"/>
        <v>007SUMMER ROMANCE</v>
      </c>
      <c r="H7054" s="5">
        <v>375</v>
      </c>
      <c r="I7054" s="6">
        <v>369.86551722658481</v>
      </c>
      <c r="J7054" s="5">
        <v>3080</v>
      </c>
      <c r="K7054" s="6">
        <f t="shared" si="290"/>
        <v>1.0138820261264576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20</v>
      </c>
      <c r="F7055" t="s">
        <v>74</v>
      </c>
      <c r="G7055" t="str">
        <f t="shared" si="288"/>
        <v>007VENDELA</v>
      </c>
      <c r="H7055" s="5">
        <v>11280</v>
      </c>
      <c r="I7055" s="6">
        <v>3592.9793102011122</v>
      </c>
      <c r="J7055" s="5">
        <v>27820</v>
      </c>
      <c r="K7055" s="6">
        <f t="shared" si="290"/>
        <v>3.1394558738409817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79</v>
      </c>
      <c r="F7056" t="s">
        <v>67</v>
      </c>
      <c r="G7056" t="str">
        <f t="shared" si="288"/>
        <v>008DEEP PURPLE</v>
      </c>
      <c r="H7056" s="5">
        <v>6240</v>
      </c>
      <c r="I7056" s="6">
        <v>1585.2222221588099</v>
      </c>
      <c r="J7056" s="5">
        <v>11490</v>
      </c>
      <c r="K7056" s="6">
        <f t="shared" si="290"/>
        <v>3.9363566273390704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79</v>
      </c>
      <c r="F7057" t="s">
        <v>81</v>
      </c>
      <c r="G7057" t="str">
        <f t="shared" si="288"/>
        <v>008FREEDOM</v>
      </c>
      <c r="H7057" s="5">
        <v>3930</v>
      </c>
      <c r="I7057" s="6">
        <v>2219.311111022334</v>
      </c>
      <c r="J7057" s="5">
        <v>16800</v>
      </c>
      <c r="K7057" s="6">
        <f t="shared" si="290"/>
        <v>1.7708197739746505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79</v>
      </c>
      <c r="F7058" t="s">
        <v>68</v>
      </c>
      <c r="G7058" t="str">
        <f t="shared" si="288"/>
        <v>008JOCKER</v>
      </c>
      <c r="H7058" s="5">
        <v>4275</v>
      </c>
      <c r="I7058" s="6">
        <v>2959.0814813631118</v>
      </c>
      <c r="J7058" s="5">
        <v>22400</v>
      </c>
      <c r="K7058" s="6">
        <f t="shared" si="290"/>
        <v>1.4447050636911509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79</v>
      </c>
      <c r="F7059" t="s">
        <v>61</v>
      </c>
      <c r="G7059" t="str">
        <f t="shared" si="288"/>
        <v>008LUMIA</v>
      </c>
      <c r="H7059" s="5">
        <v>7710</v>
      </c>
      <c r="I7059" s="6">
        <v>1796.5851851133182</v>
      </c>
      <c r="J7059" s="5">
        <v>13600</v>
      </c>
      <c r="K7059" s="6">
        <f t="shared" si="290"/>
        <v>4.291474773300938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82</v>
      </c>
      <c r="F7060" t="s">
        <v>83</v>
      </c>
      <c r="G7060" t="str">
        <f t="shared" si="288"/>
        <v>010COOLDOWN</v>
      </c>
      <c r="H7060" s="5">
        <v>3075</v>
      </c>
      <c r="I7060" s="6">
        <v>1912.3542857142861</v>
      </c>
      <c r="J7060" s="5">
        <v>16320</v>
      </c>
      <c r="K7060" s="6">
        <f t="shared" si="290"/>
        <v>1.6079656489233911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82</v>
      </c>
      <c r="F7061" t="s">
        <v>84</v>
      </c>
      <c r="G7061" t="str">
        <f t="shared" si="288"/>
        <v>010VIOLET HILL</v>
      </c>
      <c r="H7061" s="5">
        <v>4320</v>
      </c>
      <c r="I7061" s="6">
        <v>2812.2857142428579</v>
      </c>
      <c r="J7061" s="5">
        <v>20000</v>
      </c>
      <c r="K7061" s="6">
        <f t="shared" si="290"/>
        <v>1.5361170375119795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85</v>
      </c>
      <c r="F7062" t="s">
        <v>86</v>
      </c>
      <c r="G7062" t="str">
        <f t="shared" si="288"/>
        <v>011BRIGHTON</v>
      </c>
      <c r="H7062" s="5">
        <v>4175</v>
      </c>
      <c r="I7062" s="6">
        <v>1768.8376470588223</v>
      </c>
      <c r="J7062" s="5">
        <v>12800</v>
      </c>
      <c r="K7062" s="6">
        <f t="shared" si="290"/>
        <v>2.3603070677187827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85</v>
      </c>
      <c r="F7063" t="s">
        <v>87</v>
      </c>
      <c r="G7063" t="str">
        <f t="shared" si="288"/>
        <v>011CANDLELIGHT</v>
      </c>
      <c r="H7063" s="5">
        <v>5720</v>
      </c>
      <c r="I7063" s="6">
        <v>2263.7999998868127</v>
      </c>
      <c r="J7063" s="5">
        <v>17920</v>
      </c>
      <c r="K7063" s="6">
        <f t="shared" si="290"/>
        <v>2.5267249758309007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85</v>
      </c>
      <c r="F7064" t="s">
        <v>88</v>
      </c>
      <c r="G7064" t="str">
        <f t="shared" si="288"/>
        <v>011CAYENNE</v>
      </c>
      <c r="H7064" s="5">
        <v>1470</v>
      </c>
      <c r="I7064" s="6">
        <v>994.97117647058747</v>
      </c>
      <c r="J7064" s="5">
        <v>7200</v>
      </c>
      <c r="K7064" s="6">
        <f t="shared" si="290"/>
        <v>1.4774297334064079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85</v>
      </c>
      <c r="F7065" t="s">
        <v>61</v>
      </c>
      <c r="G7065" t="str">
        <f t="shared" si="288"/>
        <v>011LUMIA</v>
      </c>
      <c r="H7065" s="5">
        <v>1830</v>
      </c>
      <c r="I7065" s="6">
        <v>994.97117647058747</v>
      </c>
      <c r="J7065" s="5">
        <v>7920</v>
      </c>
      <c r="K7065" s="6">
        <f t="shared" si="290"/>
        <v>1.8392492599549159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85</v>
      </c>
      <c r="F7066" t="s">
        <v>89</v>
      </c>
      <c r="G7066" t="str">
        <f t="shared" si="288"/>
        <v>011STARDUST</v>
      </c>
      <c r="H7066" s="5">
        <v>3225</v>
      </c>
      <c r="I7066" s="6">
        <v>2263.7999998868127</v>
      </c>
      <c r="J7066" s="5">
        <v>17920</v>
      </c>
      <c r="K7066" s="6">
        <f t="shared" si="290"/>
        <v>1.4245958124221425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90</v>
      </c>
      <c r="F7067" t="s">
        <v>67</v>
      </c>
      <c r="G7067" t="str">
        <f t="shared" si="288"/>
        <v>012DEEP PURPLE</v>
      </c>
      <c r="H7067" s="5">
        <v>16980</v>
      </c>
      <c r="I7067" s="6">
        <v>6727.0499997982479</v>
      </c>
      <c r="J7067" s="5">
        <v>49210</v>
      </c>
      <c r="K7067" s="6">
        <f t="shared" si="290"/>
        <v>2.5241376235510735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90</v>
      </c>
      <c r="F7068" t="s">
        <v>60</v>
      </c>
      <c r="G7068" t="str">
        <f t="shared" ref="G7068:G7131" si="291">+E7068&amp;F7068</f>
        <v>012LIGHT HOUSE</v>
      </c>
      <c r="H7068" s="5">
        <v>1650</v>
      </c>
      <c r="I7068" s="6">
        <v>994.95</v>
      </c>
      <c r="J7068" s="5">
        <v>7200</v>
      </c>
      <c r="K7068" s="6">
        <f t="shared" si="290"/>
        <v>1.6583747927031509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91</v>
      </c>
      <c r="F7069" t="s">
        <v>92</v>
      </c>
      <c r="G7069" t="str">
        <f t="shared" si="291"/>
        <v>013COUNTRY BLUES</v>
      </c>
      <c r="H7069" s="5">
        <v>1640</v>
      </c>
      <c r="I7069" s="6">
        <v>831.6</v>
      </c>
      <c r="J7069" s="5">
        <v>6300</v>
      </c>
      <c r="K7069" s="6">
        <f t="shared" si="290"/>
        <v>1.9721019721019721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91</v>
      </c>
      <c r="F7070" t="s">
        <v>93</v>
      </c>
      <c r="G7070" t="str">
        <f t="shared" si="291"/>
        <v>013LORRAINE</v>
      </c>
      <c r="H7070" s="5">
        <v>4000</v>
      </c>
      <c r="I7070" s="6">
        <v>1267.2</v>
      </c>
      <c r="J7070" s="5">
        <v>9600</v>
      </c>
      <c r="K7070" s="6">
        <f t="shared" si="290"/>
        <v>3.1565656565656566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91</v>
      </c>
      <c r="F7071" t="s">
        <v>61</v>
      </c>
      <c r="G7071" t="str">
        <f t="shared" si="291"/>
        <v>013LUMIA</v>
      </c>
      <c r="H7071" s="5">
        <v>750</v>
      </c>
      <c r="I7071" s="6">
        <v>316.8</v>
      </c>
      <c r="J7071" s="5">
        <v>2400</v>
      </c>
      <c r="K7071" s="6">
        <f t="shared" si="290"/>
        <v>2.3674242424242422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91</v>
      </c>
      <c r="F7072" t="s">
        <v>74</v>
      </c>
      <c r="G7072" t="str">
        <f t="shared" si="291"/>
        <v>013VENDELA</v>
      </c>
      <c r="H7072" s="5">
        <v>14730</v>
      </c>
      <c r="I7072" s="6">
        <v>3603.6</v>
      </c>
      <c r="J7072" s="5">
        <v>27296</v>
      </c>
      <c r="K7072" s="6">
        <f t="shared" si="290"/>
        <v>4.0875790875790878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23</v>
      </c>
      <c r="F7073" t="s">
        <v>89</v>
      </c>
      <c r="G7073" t="str">
        <f t="shared" si="291"/>
        <v>014STARDUST</v>
      </c>
      <c r="H7073" s="5">
        <v>5525</v>
      </c>
      <c r="I7073" s="6">
        <v>3682.8</v>
      </c>
      <c r="J7073" s="5">
        <v>27900</v>
      </c>
      <c r="K7073" s="6">
        <f t="shared" si="290"/>
        <v>1.5002172260236775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25</v>
      </c>
      <c r="F7074" t="s">
        <v>68</v>
      </c>
      <c r="G7074" t="str">
        <f t="shared" si="291"/>
        <v>015JOCKER</v>
      </c>
      <c r="H7074" s="5">
        <v>3950</v>
      </c>
      <c r="I7074" s="6">
        <v>2376</v>
      </c>
      <c r="J7074" s="5">
        <v>18000</v>
      </c>
      <c r="K7074" s="6">
        <f t="shared" si="290"/>
        <v>1.6624579124579124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27</v>
      </c>
      <c r="F7075" t="s">
        <v>94</v>
      </c>
      <c r="G7075" t="str">
        <f t="shared" si="291"/>
        <v>016DREAM IN PEACH</v>
      </c>
      <c r="H7075" s="5">
        <v>2220</v>
      </c>
      <c r="I7075" s="6">
        <v>950.4</v>
      </c>
      <c r="J7075" s="5">
        <v>7200</v>
      </c>
      <c r="K7075" s="6">
        <f t="shared" si="290"/>
        <v>2.3358585858585861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27</v>
      </c>
      <c r="F7076" t="s">
        <v>95</v>
      </c>
      <c r="G7076" t="str">
        <f t="shared" si="291"/>
        <v>016NINA</v>
      </c>
      <c r="H7076" s="5">
        <v>4325</v>
      </c>
      <c r="I7076" s="6">
        <v>1346.4</v>
      </c>
      <c r="J7076" s="5">
        <v>10200</v>
      </c>
      <c r="K7076" s="6">
        <f t="shared" si="290"/>
        <v>3.2122697563874034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30</v>
      </c>
      <c r="F7077" t="s">
        <v>81</v>
      </c>
      <c r="G7077" t="str">
        <f t="shared" si="291"/>
        <v>017FREEDOM</v>
      </c>
      <c r="H7077" s="5">
        <v>5790</v>
      </c>
      <c r="I7077" s="6">
        <v>2851.2</v>
      </c>
      <c r="J7077" s="5">
        <v>21600</v>
      </c>
      <c r="K7077" s="6">
        <f t="shared" si="290"/>
        <v>2.0307239057239057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30</v>
      </c>
      <c r="F7078" t="s">
        <v>73</v>
      </c>
      <c r="G7078" t="str">
        <f t="shared" si="291"/>
        <v>017GOLDFINCH</v>
      </c>
      <c r="H7078" s="5">
        <v>2500</v>
      </c>
      <c r="I7078" s="6">
        <v>2138.4</v>
      </c>
      <c r="J7078" s="5">
        <v>16200</v>
      </c>
      <c r="K7078" s="6">
        <f t="shared" si="290"/>
        <v>1.1690983913206134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32</v>
      </c>
      <c r="F7079" t="s">
        <v>86</v>
      </c>
      <c r="G7079" t="str">
        <f t="shared" si="291"/>
        <v>018BRIGHTON</v>
      </c>
      <c r="H7079" s="5">
        <v>2600</v>
      </c>
      <c r="I7079" s="6">
        <v>963.6</v>
      </c>
      <c r="J7079" s="5">
        <v>7570</v>
      </c>
      <c r="K7079" s="6">
        <f t="shared" si="290"/>
        <v>2.6982150269821501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35</v>
      </c>
      <c r="F7080" t="s">
        <v>86</v>
      </c>
      <c r="G7080" t="str">
        <f t="shared" si="291"/>
        <v>019BRIGHTON</v>
      </c>
      <c r="H7080" s="5">
        <v>8125</v>
      </c>
      <c r="I7080" s="6">
        <v>3168</v>
      </c>
      <c r="J7080" s="5">
        <v>24000</v>
      </c>
      <c r="K7080" s="6">
        <f t="shared" si="290"/>
        <v>2.564709595959596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35</v>
      </c>
      <c r="F7081" t="s">
        <v>96</v>
      </c>
      <c r="G7081" t="str">
        <f t="shared" si="291"/>
        <v>019TABATHA</v>
      </c>
      <c r="H7081" s="5">
        <v>2580</v>
      </c>
      <c r="I7081" s="6">
        <v>1188</v>
      </c>
      <c r="J7081" s="5">
        <v>9000</v>
      </c>
      <c r="K7081" s="6">
        <f t="shared" si="290"/>
        <v>2.1717171717171717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36</v>
      </c>
      <c r="F7082" t="s">
        <v>86</v>
      </c>
      <c r="G7082" t="str">
        <f t="shared" si="291"/>
        <v>020BRIGHTON</v>
      </c>
      <c r="H7082" s="5">
        <v>5075</v>
      </c>
      <c r="I7082" s="6">
        <v>2732.4</v>
      </c>
      <c r="J7082" s="5">
        <v>20700</v>
      </c>
      <c r="K7082" s="6">
        <f t="shared" si="290"/>
        <v>1.8573415312545747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36</v>
      </c>
      <c r="F7083" t="s">
        <v>97</v>
      </c>
      <c r="G7083" t="str">
        <f t="shared" si="291"/>
        <v>020TYCOON</v>
      </c>
      <c r="H7083" s="5">
        <v>1680</v>
      </c>
      <c r="I7083" s="6">
        <v>673.2</v>
      </c>
      <c r="J7083" s="5">
        <v>5100</v>
      </c>
      <c r="K7083" s="6">
        <f t="shared" si="290"/>
        <v>2.4955436720142599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38</v>
      </c>
      <c r="F7084" t="s">
        <v>98</v>
      </c>
      <c r="G7084" t="str">
        <f t="shared" si="291"/>
        <v>021SHOW GIRL</v>
      </c>
      <c r="H7084" s="5">
        <v>1525</v>
      </c>
      <c r="I7084" s="6">
        <v>1100.4749999999999</v>
      </c>
      <c r="J7084" s="5">
        <v>8000</v>
      </c>
      <c r="K7084" s="6">
        <f t="shared" si="290"/>
        <v>1.3857652377382494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43</v>
      </c>
      <c r="F7085" t="s">
        <v>99</v>
      </c>
      <c r="G7085" t="str">
        <f t="shared" si="291"/>
        <v>022CORAL REEF</v>
      </c>
      <c r="H7085" s="5">
        <v>3725</v>
      </c>
      <c r="I7085" s="6">
        <v>1287</v>
      </c>
      <c r="J7085" s="5">
        <v>9400</v>
      </c>
      <c r="K7085" s="6">
        <f t="shared" si="290"/>
        <v>2.8943278943278945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100</v>
      </c>
      <c r="F7086" t="s">
        <v>70</v>
      </c>
      <c r="G7086" t="str">
        <f t="shared" si="291"/>
        <v>023COTOPAXI</v>
      </c>
      <c r="H7086" s="5">
        <v>8670</v>
      </c>
      <c r="I7086" s="6">
        <v>2641.14</v>
      </c>
      <c r="J7086" s="5">
        <v>19200</v>
      </c>
      <c r="K7086" s="6">
        <f t="shared" si="290"/>
        <v>3.2826733910356891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100</v>
      </c>
      <c r="F7087" t="s">
        <v>101</v>
      </c>
      <c r="G7087" t="str">
        <f t="shared" si="291"/>
        <v>023FRUTTETO</v>
      </c>
      <c r="H7087" s="5">
        <v>8880</v>
      </c>
      <c r="I7087" s="6">
        <v>2641.14</v>
      </c>
      <c r="J7087" s="5">
        <v>19200</v>
      </c>
      <c r="K7087" s="6">
        <f t="shared" si="290"/>
        <v>3.3621845112337856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102</v>
      </c>
      <c r="F7088" t="s">
        <v>70</v>
      </c>
      <c r="G7088" t="str">
        <f t="shared" si="291"/>
        <v>024COTOPAXI</v>
      </c>
      <c r="H7088" s="5">
        <v>4440</v>
      </c>
      <c r="I7088" s="6">
        <v>1430.6174906250001</v>
      </c>
      <c r="J7088" s="5">
        <v>10400</v>
      </c>
      <c r="K7088" s="6">
        <f t="shared" si="290"/>
        <v>3.1035549537845215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102</v>
      </c>
      <c r="F7089" t="s">
        <v>64</v>
      </c>
      <c r="G7089" t="str">
        <f t="shared" si="291"/>
        <v>024SWEETNESS</v>
      </c>
      <c r="H7089" s="5">
        <v>2820</v>
      </c>
      <c r="I7089" s="6">
        <v>1430.6175000000001</v>
      </c>
      <c r="J7089" s="5">
        <v>10400</v>
      </c>
      <c r="K7089" s="6">
        <f t="shared" si="290"/>
        <v>1.9711767820539032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102</v>
      </c>
      <c r="F7090" t="s">
        <v>97</v>
      </c>
      <c r="G7090" t="str">
        <f t="shared" si="291"/>
        <v>024TYCOON</v>
      </c>
      <c r="H7090" s="5">
        <v>4110</v>
      </c>
      <c r="I7090" s="6">
        <v>2861.2350000000001</v>
      </c>
      <c r="J7090" s="5">
        <v>20800</v>
      </c>
      <c r="K7090" s="6">
        <f t="shared" si="290"/>
        <v>1.4364426550073657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103</v>
      </c>
      <c r="F7091" t="s">
        <v>104</v>
      </c>
      <c r="G7091" t="str">
        <f t="shared" si="291"/>
        <v>025PINK MONDIAL</v>
      </c>
      <c r="H7091" s="5">
        <v>5575</v>
      </c>
      <c r="I7091" s="6">
        <v>3071.9505625000002</v>
      </c>
      <c r="J7091" s="5">
        <v>22400</v>
      </c>
      <c r="K7091" s="6">
        <f t="shared" si="290"/>
        <v>1.8148078514202977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45</v>
      </c>
      <c r="F7092" t="s">
        <v>105</v>
      </c>
      <c r="G7092" t="str">
        <f t="shared" si="291"/>
        <v>026LOLA</v>
      </c>
      <c r="H7092" s="5">
        <v>8750</v>
      </c>
      <c r="I7092" s="6">
        <v>1097.125</v>
      </c>
      <c r="J7092" s="5">
        <v>8000</v>
      </c>
      <c r="K7092" s="6">
        <f t="shared" si="290"/>
        <v>7.9753902244502681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45</v>
      </c>
      <c r="F7093" t="s">
        <v>106</v>
      </c>
      <c r="G7093" t="str">
        <f t="shared" si="291"/>
        <v>026PALOMA</v>
      </c>
      <c r="H7093" s="5">
        <v>8550</v>
      </c>
      <c r="I7093" s="6">
        <v>2852.5250000000001</v>
      </c>
      <c r="J7093" s="5">
        <v>20800</v>
      </c>
      <c r="K7093" s="6">
        <f t="shared" si="290"/>
        <v>2.9973444579802102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107</v>
      </c>
      <c r="F7094" t="s">
        <v>108</v>
      </c>
      <c r="G7094" t="str">
        <f t="shared" si="291"/>
        <v>027SATISFACTION</v>
      </c>
      <c r="H7094" s="5">
        <v>6570</v>
      </c>
      <c r="I7094" s="6">
        <v>2633.1</v>
      </c>
      <c r="J7094" s="5">
        <v>19200</v>
      </c>
      <c r="K7094" s="6">
        <f t="shared" si="290"/>
        <v>2.4951577987922979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107</v>
      </c>
      <c r="F7095" t="s">
        <v>109</v>
      </c>
      <c r="G7095" t="str">
        <f t="shared" si="291"/>
        <v>027TIFFANY</v>
      </c>
      <c r="H7095" s="5">
        <v>5790</v>
      </c>
      <c r="I7095" s="6">
        <v>2633.1</v>
      </c>
      <c r="J7095" s="5">
        <v>19200</v>
      </c>
      <c r="K7095" s="6">
        <f t="shared" si="290"/>
        <v>2.1989290190270023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110</v>
      </c>
      <c r="F7096" t="s">
        <v>70</v>
      </c>
      <c r="G7096" t="str">
        <f t="shared" si="291"/>
        <v>028COTOPAXI</v>
      </c>
      <c r="H7096" s="5">
        <v>8700</v>
      </c>
      <c r="I7096" s="6">
        <v>2852.5250000000001</v>
      </c>
      <c r="J7096" s="5">
        <v>20800</v>
      </c>
      <c r="K7096" s="6">
        <f t="shared" si="290"/>
        <v>3.0499294484710915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110</v>
      </c>
      <c r="F7097" t="s">
        <v>67</v>
      </c>
      <c r="G7097" t="str">
        <f t="shared" si="291"/>
        <v>028DEEP PURPLE</v>
      </c>
      <c r="H7097" s="5">
        <v>9570</v>
      </c>
      <c r="I7097" s="6">
        <v>2852.5250000000001</v>
      </c>
      <c r="J7097" s="5">
        <v>20800</v>
      </c>
      <c r="K7097" s="6">
        <f t="shared" si="290"/>
        <v>3.3549223933182004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111</v>
      </c>
      <c r="F7098" t="s">
        <v>112</v>
      </c>
      <c r="G7098" t="str">
        <f t="shared" si="291"/>
        <v>029PINK FLOYD</v>
      </c>
      <c r="H7098" s="5">
        <v>5250</v>
      </c>
      <c r="I7098" s="6">
        <v>3071.95</v>
      </c>
      <c r="J7098" s="5">
        <v>22400</v>
      </c>
      <c r="K7098" s="6">
        <f t="shared" si="290"/>
        <v>1.7090121909536289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47</v>
      </c>
      <c r="F7099" t="s">
        <v>57</v>
      </c>
      <c r="G7099" t="str">
        <f t="shared" si="291"/>
        <v>030EXPLORER</v>
      </c>
      <c r="H7099" s="5">
        <v>4600</v>
      </c>
      <c r="I7099" s="6">
        <v>1645.6875</v>
      </c>
      <c r="J7099" s="5">
        <v>12000</v>
      </c>
      <c r="K7099" s="6">
        <f t="shared" si="290"/>
        <v>2.7951843834263794</v>
      </c>
    </row>
    <row r="7100" spans="1:11">
      <c r="A7100" s="4">
        <v>2026</v>
      </c>
      <c r="B7100">
        <v>14</v>
      </c>
      <c r="C7100" t="s">
        <v>10</v>
      </c>
      <c r="D7100" t="s">
        <v>11</v>
      </c>
      <c r="E7100" t="s">
        <v>12</v>
      </c>
      <c r="F7100" t="s">
        <v>13</v>
      </c>
      <c r="G7100" t="str">
        <f t="shared" si="291"/>
        <v>002SOMERSET</v>
      </c>
      <c r="H7100" s="5">
        <v>7360</v>
      </c>
      <c r="I7100" s="6">
        <v>4121.4642855494085</v>
      </c>
      <c r="J7100" s="5">
        <v>31200</v>
      </c>
      <c r="K7100" s="6">
        <f t="shared" si="290"/>
        <v>1.7857730869597674</v>
      </c>
    </row>
    <row r="7101" spans="1:11">
      <c r="A7101" s="4">
        <v>2026</v>
      </c>
      <c r="B7101">
        <v>14</v>
      </c>
      <c r="C7101" t="s">
        <v>10</v>
      </c>
      <c r="D7101" t="s">
        <v>11</v>
      </c>
      <c r="E7101" t="s">
        <v>14</v>
      </c>
      <c r="F7101" t="s">
        <v>15</v>
      </c>
      <c r="G7101" t="str">
        <f t="shared" si="291"/>
        <v>004BELLINA</v>
      </c>
      <c r="H7101" s="5">
        <v>1860</v>
      </c>
      <c r="I7101" s="6">
        <v>1056.7857142434418</v>
      </c>
      <c r="J7101" s="5">
        <v>8000</v>
      </c>
      <c r="K7101" s="6">
        <f t="shared" si="290"/>
        <v>1.7600540723921343</v>
      </c>
    </row>
    <row r="7102" spans="1:11">
      <c r="A7102" s="4">
        <v>2026</v>
      </c>
      <c r="B7102">
        <v>14</v>
      </c>
      <c r="C7102" t="s">
        <v>10</v>
      </c>
      <c r="D7102" t="s">
        <v>11</v>
      </c>
      <c r="E7102" t="s">
        <v>16</v>
      </c>
      <c r="F7102" t="s">
        <v>17</v>
      </c>
      <c r="G7102" t="str">
        <f t="shared" si="291"/>
        <v>005ELBA</v>
      </c>
      <c r="H7102" s="5">
        <v>7080</v>
      </c>
      <c r="I7102" s="6">
        <v>2641.9642856076484</v>
      </c>
      <c r="J7102" s="5">
        <v>19996</v>
      </c>
      <c r="K7102" s="6">
        <f t="shared" si="290"/>
        <v>2.6798242650625417</v>
      </c>
    </row>
    <row r="7103" spans="1:11">
      <c r="A7103" s="4">
        <v>2026</v>
      </c>
      <c r="B7103">
        <v>14</v>
      </c>
      <c r="C7103" t="s">
        <v>10</v>
      </c>
      <c r="D7103" t="s">
        <v>11</v>
      </c>
      <c r="E7103" t="s">
        <v>16</v>
      </c>
      <c r="F7103" t="s">
        <v>18</v>
      </c>
      <c r="G7103" t="str">
        <f t="shared" si="291"/>
        <v>005HOT BUBBLES</v>
      </c>
      <c r="H7103" s="5">
        <v>1500</v>
      </c>
      <c r="I7103" s="6">
        <v>528.39285712153003</v>
      </c>
      <c r="J7103" s="5">
        <v>4000</v>
      </c>
      <c r="K7103" s="6">
        <f t="shared" si="290"/>
        <v>2.8387968909560808</v>
      </c>
    </row>
    <row r="7104" spans="1:11">
      <c r="A7104" s="4">
        <v>2026</v>
      </c>
      <c r="B7104">
        <v>14</v>
      </c>
      <c r="C7104" t="s">
        <v>10</v>
      </c>
      <c r="D7104" t="s">
        <v>11</v>
      </c>
      <c r="E7104" t="s">
        <v>16</v>
      </c>
      <c r="F7104" t="s">
        <v>19</v>
      </c>
      <c r="G7104" t="str">
        <f t="shared" si="291"/>
        <v>005SUSPIRO</v>
      </c>
      <c r="H7104" s="5">
        <v>3930</v>
      </c>
      <c r="I7104" s="6">
        <v>1902.2142856375078</v>
      </c>
      <c r="J7104" s="5">
        <v>14400</v>
      </c>
      <c r="K7104" s="6">
        <f t="shared" si="290"/>
        <v>2.0660132928624813</v>
      </c>
    </row>
    <row r="7105" spans="1:11">
      <c r="A7105" s="4">
        <v>2026</v>
      </c>
      <c r="B7105">
        <v>14</v>
      </c>
      <c r="C7105" t="s">
        <v>10</v>
      </c>
      <c r="D7105" t="s">
        <v>11</v>
      </c>
      <c r="E7105" t="s">
        <v>20</v>
      </c>
      <c r="F7105" t="s">
        <v>21</v>
      </c>
      <c r="G7105" t="str">
        <f t="shared" si="291"/>
        <v>007SNOW BUBBLES</v>
      </c>
      <c r="H7105" s="5">
        <v>800</v>
      </c>
      <c r="I7105" s="6">
        <v>634.05652706821195</v>
      </c>
      <c r="J7105" s="5">
        <v>4800</v>
      </c>
      <c r="K7105" s="6">
        <f t="shared" si="290"/>
        <v>1.2617171590348377</v>
      </c>
    </row>
    <row r="7106" spans="1:11">
      <c r="A7106" s="4">
        <v>2026</v>
      </c>
      <c r="B7106">
        <v>14</v>
      </c>
      <c r="C7106" t="s">
        <v>10</v>
      </c>
      <c r="D7106" t="s">
        <v>11</v>
      </c>
      <c r="E7106" t="s">
        <v>22</v>
      </c>
      <c r="F7106" t="s">
        <v>18</v>
      </c>
      <c r="G7106" t="str">
        <f t="shared" si="291"/>
        <v>009HOT BUBBLES</v>
      </c>
      <c r="H7106" s="5">
        <v>12380</v>
      </c>
      <c r="I7106" s="6">
        <v>4487.9999999102474</v>
      </c>
      <c r="J7106" s="5">
        <v>31740</v>
      </c>
      <c r="K7106" s="6">
        <f t="shared" si="290"/>
        <v>2.7584670232280701</v>
      </c>
    </row>
    <row r="7107" spans="1:11">
      <c r="A7107" s="4">
        <v>2026</v>
      </c>
      <c r="B7107">
        <v>14</v>
      </c>
      <c r="C7107" t="s">
        <v>10</v>
      </c>
      <c r="D7107" t="s">
        <v>11</v>
      </c>
      <c r="E7107" t="s">
        <v>23</v>
      </c>
      <c r="F7107" t="s">
        <v>24</v>
      </c>
      <c r="G7107" t="str">
        <f t="shared" si="291"/>
        <v>014FRUITY BUBBLES</v>
      </c>
      <c r="H7107" s="5">
        <v>4625</v>
      </c>
      <c r="I7107" s="6">
        <v>1702.8</v>
      </c>
      <c r="J7107" s="5">
        <v>12900</v>
      </c>
      <c r="K7107" s="6">
        <f t="shared" si="290"/>
        <v>2.7161146347192862</v>
      </c>
    </row>
    <row r="7108" spans="1:11">
      <c r="A7108" s="4">
        <v>2026</v>
      </c>
      <c r="B7108">
        <v>14</v>
      </c>
      <c r="C7108" t="s">
        <v>10</v>
      </c>
      <c r="D7108" t="s">
        <v>11</v>
      </c>
      <c r="E7108" t="s">
        <v>25</v>
      </c>
      <c r="F7108" t="s">
        <v>26</v>
      </c>
      <c r="G7108" t="str">
        <f t="shared" si="291"/>
        <v>015FELLINI</v>
      </c>
      <c r="H7108" s="5">
        <v>4840</v>
      </c>
      <c r="I7108" s="6">
        <v>3009.6</v>
      </c>
      <c r="J7108" s="5">
        <v>22800</v>
      </c>
      <c r="K7108" s="6">
        <f t="shared" si="290"/>
        <v>1.6081871345029239</v>
      </c>
    </row>
    <row r="7109" spans="1:11">
      <c r="A7109" s="4">
        <v>2026</v>
      </c>
      <c r="B7109">
        <v>14</v>
      </c>
      <c r="C7109" t="s">
        <v>10</v>
      </c>
      <c r="D7109" t="s">
        <v>11</v>
      </c>
      <c r="E7109" t="s">
        <v>27</v>
      </c>
      <c r="F7109" t="s">
        <v>28</v>
      </c>
      <c r="G7109" t="str">
        <f t="shared" si="291"/>
        <v>016GOOD PEACH</v>
      </c>
      <c r="H7109" s="5">
        <v>4470</v>
      </c>
      <c r="I7109" s="6">
        <v>1386</v>
      </c>
      <c r="J7109" s="5">
        <v>10500</v>
      </c>
      <c r="K7109" s="6">
        <f t="shared" si="290"/>
        <v>3.225108225108225</v>
      </c>
    </row>
    <row r="7110" spans="1:11">
      <c r="A7110" s="4">
        <v>2026</v>
      </c>
      <c r="B7110">
        <v>14</v>
      </c>
      <c r="C7110" t="s">
        <v>10</v>
      </c>
      <c r="D7110" t="s">
        <v>11</v>
      </c>
      <c r="E7110" t="s">
        <v>27</v>
      </c>
      <c r="F7110" t="s">
        <v>29</v>
      </c>
      <c r="G7110" t="str">
        <f t="shared" si="291"/>
        <v>016GOOD YELLOW</v>
      </c>
      <c r="H7110" s="5">
        <v>4770</v>
      </c>
      <c r="I7110" s="6">
        <v>1386</v>
      </c>
      <c r="J7110" s="5">
        <v>10500</v>
      </c>
      <c r="K7110" s="6">
        <f t="shared" si="290"/>
        <v>3.4415584415584415</v>
      </c>
    </row>
    <row r="7111" spans="1:11">
      <c r="A7111" s="4">
        <v>2026</v>
      </c>
      <c r="B7111">
        <v>14</v>
      </c>
      <c r="C7111" t="s">
        <v>10</v>
      </c>
      <c r="D7111" t="s">
        <v>11</v>
      </c>
      <c r="E7111" t="s">
        <v>30</v>
      </c>
      <c r="F7111" t="s">
        <v>31</v>
      </c>
      <c r="G7111" t="str">
        <f t="shared" si="291"/>
        <v>017ORANGE STAR</v>
      </c>
      <c r="H7111" s="5">
        <v>1800</v>
      </c>
      <c r="I7111" s="6">
        <v>1029.5999999999999</v>
      </c>
      <c r="J7111" s="5">
        <v>7800</v>
      </c>
      <c r="K7111" s="6">
        <f t="shared" si="290"/>
        <v>1.7482517482517483</v>
      </c>
    </row>
    <row r="7112" spans="1:11">
      <c r="A7112" s="4">
        <v>2026</v>
      </c>
      <c r="B7112">
        <v>14</v>
      </c>
      <c r="C7112" t="s">
        <v>10</v>
      </c>
      <c r="D7112" t="s">
        <v>11</v>
      </c>
      <c r="E7112" t="s">
        <v>32</v>
      </c>
      <c r="F7112" t="s">
        <v>33</v>
      </c>
      <c r="G7112" t="str">
        <f t="shared" si="291"/>
        <v>018COSMO</v>
      </c>
      <c r="H7112" s="5">
        <v>3400</v>
      </c>
      <c r="I7112" s="6">
        <v>2653.2</v>
      </c>
      <c r="J7112" s="5">
        <v>20100</v>
      </c>
      <c r="K7112" s="6">
        <f t="shared" si="290"/>
        <v>1.2814714307251622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32</v>
      </c>
      <c r="F7113" t="s">
        <v>34</v>
      </c>
      <c r="G7113" t="str">
        <f t="shared" si="291"/>
        <v>018RUBICON</v>
      </c>
      <c r="H7113" s="5">
        <v>4380</v>
      </c>
      <c r="I7113" s="6">
        <v>1768.8</v>
      </c>
      <c r="J7113" s="5">
        <v>13400</v>
      </c>
      <c r="K7113" s="6">
        <f t="shared" ref="K7113:K7174" si="292">+H7113/I7113</f>
        <v>2.4762550881953866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35</v>
      </c>
      <c r="F7114" t="s">
        <v>15</v>
      </c>
      <c r="G7114" t="str">
        <f t="shared" si="291"/>
        <v>019BELLINA</v>
      </c>
      <c r="H7114" s="5">
        <v>1560</v>
      </c>
      <c r="I7114" s="6">
        <v>1029.5999999999999</v>
      </c>
      <c r="J7114" s="5">
        <v>7800</v>
      </c>
      <c r="K7114" s="6">
        <f t="shared" si="292"/>
        <v>1.5151515151515154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36</v>
      </c>
      <c r="F7115" t="s">
        <v>37</v>
      </c>
      <c r="G7115" t="str">
        <f t="shared" si="291"/>
        <v>020SUMMER DANCE</v>
      </c>
      <c r="H7115" s="5">
        <v>3450</v>
      </c>
      <c r="I7115" s="6">
        <v>1346.4</v>
      </c>
      <c r="J7115" s="5">
        <v>10200</v>
      </c>
      <c r="K7115" s="6">
        <f t="shared" si="292"/>
        <v>2.5623885918003562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38</v>
      </c>
      <c r="F7116" t="s">
        <v>39</v>
      </c>
      <c r="G7116" t="str">
        <f t="shared" si="291"/>
        <v>021ELEGANT ROSEVER</v>
      </c>
      <c r="H7116" s="5">
        <v>1110</v>
      </c>
      <c r="I7116" s="6">
        <v>440.18999062500001</v>
      </c>
      <c r="J7116" s="5">
        <v>3200</v>
      </c>
      <c r="K7116" s="6">
        <f t="shared" si="292"/>
        <v>2.5216384371302398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38</v>
      </c>
      <c r="F7117" t="s">
        <v>40</v>
      </c>
      <c r="G7117" t="str">
        <f t="shared" si="291"/>
        <v>021FLAME CLUB</v>
      </c>
      <c r="H7117" s="5">
        <v>1275</v>
      </c>
      <c r="I7117" s="6">
        <v>880.38</v>
      </c>
      <c r="J7117" s="5">
        <v>6400</v>
      </c>
      <c r="K7117" s="6">
        <f t="shared" si="292"/>
        <v>1.4482382607510393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38</v>
      </c>
      <c r="F7118" t="s">
        <v>41</v>
      </c>
      <c r="G7118" t="str">
        <f t="shared" si="291"/>
        <v>021KELLY</v>
      </c>
      <c r="H7118" s="5">
        <v>700</v>
      </c>
      <c r="I7118" s="6">
        <v>330.14249999999998</v>
      </c>
      <c r="J7118" s="5">
        <v>2400</v>
      </c>
      <c r="K7118" s="6">
        <f t="shared" si="292"/>
        <v>2.1202965386159009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38</v>
      </c>
      <c r="F7119" t="s">
        <v>42</v>
      </c>
      <c r="G7119" t="str">
        <f t="shared" si="291"/>
        <v>021LEILA</v>
      </c>
      <c r="H7119" s="5">
        <v>1200</v>
      </c>
      <c r="I7119" s="6">
        <v>770.33249999999998</v>
      </c>
      <c r="J7119" s="5">
        <v>5600</v>
      </c>
      <c r="K7119" s="6">
        <f t="shared" si="292"/>
        <v>1.5577688855137231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38</v>
      </c>
      <c r="F7120" t="s">
        <v>115</v>
      </c>
      <c r="G7120" t="str">
        <f t="shared" si="291"/>
        <v>021PISTACHIO KISS</v>
      </c>
      <c r="H7120" s="5">
        <v>25</v>
      </c>
      <c r="I7120" s="6">
        <v>880.38</v>
      </c>
      <c r="J7120" s="5">
        <v>6400</v>
      </c>
      <c r="K7120" s="6">
        <f t="shared" si="292"/>
        <v>2.8396828642177241E-2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38</v>
      </c>
      <c r="F7121" t="s">
        <v>21</v>
      </c>
      <c r="G7121" t="str">
        <f t="shared" si="291"/>
        <v>021SNOW BUBBLES</v>
      </c>
      <c r="H7121" s="5">
        <v>1480</v>
      </c>
      <c r="I7121" s="6">
        <v>1287.0000000000018</v>
      </c>
      <c r="J7121" s="5">
        <v>9400</v>
      </c>
      <c r="K7121" s="6">
        <f t="shared" si="292"/>
        <v>1.1499611499611484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43</v>
      </c>
      <c r="F7122" t="s">
        <v>24</v>
      </c>
      <c r="G7122" t="str">
        <f t="shared" si="291"/>
        <v>022FRUITY BUBBLES</v>
      </c>
      <c r="H7122" s="5">
        <v>6075</v>
      </c>
      <c r="I7122" s="6">
        <v>2641.14</v>
      </c>
      <c r="J7122" s="5">
        <v>19200</v>
      </c>
      <c r="K7122" s="6">
        <f t="shared" si="292"/>
        <v>2.3001431200163567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43</v>
      </c>
      <c r="F7123" t="s">
        <v>28</v>
      </c>
      <c r="G7123" t="str">
        <f t="shared" si="291"/>
        <v>022GOOD PEACH</v>
      </c>
      <c r="H7123" s="5">
        <v>2550</v>
      </c>
      <c r="I7123" s="6">
        <v>880.38</v>
      </c>
      <c r="J7123" s="5">
        <v>6400</v>
      </c>
      <c r="K7123" s="6">
        <f t="shared" si="292"/>
        <v>2.8964765215020787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43</v>
      </c>
      <c r="F7124" t="s">
        <v>44</v>
      </c>
      <c r="G7124" t="str">
        <f t="shared" si="291"/>
        <v>022MIRABEL</v>
      </c>
      <c r="H7124" s="5">
        <v>2040</v>
      </c>
      <c r="I7124" s="6">
        <v>880.38</v>
      </c>
      <c r="J7124" s="5">
        <v>6400</v>
      </c>
      <c r="K7124" s="6">
        <f t="shared" si="292"/>
        <v>2.317181217201663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47</v>
      </c>
      <c r="F7125" t="s">
        <v>44</v>
      </c>
      <c r="G7125" t="str">
        <f t="shared" si="291"/>
        <v>030MIRABEL</v>
      </c>
      <c r="H7125" s="5">
        <v>7960</v>
      </c>
      <c r="I7125" s="6">
        <v>2413.6749943750001</v>
      </c>
      <c r="J7125" s="5">
        <v>17600</v>
      </c>
      <c r="K7125" s="6">
        <f t="shared" si="292"/>
        <v>3.2978756537440006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47</v>
      </c>
      <c r="F7126" t="s">
        <v>13</v>
      </c>
      <c r="G7126" t="str">
        <f t="shared" si="291"/>
        <v>030SOMERSET</v>
      </c>
      <c r="H7126" s="5">
        <v>2820</v>
      </c>
      <c r="I7126" s="6">
        <v>1645.6875</v>
      </c>
      <c r="J7126" s="5">
        <v>12000</v>
      </c>
      <c r="K7126" s="6">
        <f t="shared" si="292"/>
        <v>1.7135695567961717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48</v>
      </c>
      <c r="F7127" t="s">
        <v>49</v>
      </c>
      <c r="G7127" t="str">
        <f t="shared" si="291"/>
        <v>03182989</v>
      </c>
      <c r="H7127" s="5">
        <v>2300</v>
      </c>
      <c r="I7127" s="6">
        <v>726.32013058333712</v>
      </c>
      <c r="J7127" s="5">
        <v>5712</v>
      </c>
      <c r="K7127" s="6">
        <f t="shared" si="292"/>
        <v>3.1666477399611339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48</v>
      </c>
      <c r="F7128" t="s">
        <v>34</v>
      </c>
      <c r="G7128" t="str">
        <f t="shared" si="291"/>
        <v>031RUBICON</v>
      </c>
      <c r="H7128" s="5">
        <v>2760</v>
      </c>
      <c r="I7128" s="6">
        <v>924.39958333667107</v>
      </c>
      <c r="J7128" s="5">
        <v>6720</v>
      </c>
      <c r="K7128" s="6">
        <f t="shared" si="292"/>
        <v>2.985721813112062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48</v>
      </c>
      <c r="F7129" t="s">
        <v>13</v>
      </c>
      <c r="G7129" t="str">
        <f t="shared" si="291"/>
        <v>031SOMERSET</v>
      </c>
      <c r="H7129" s="5">
        <v>240</v>
      </c>
      <c r="I7129" s="6">
        <v>1122.485208333339</v>
      </c>
      <c r="J7129" s="5">
        <v>8160</v>
      </c>
      <c r="K7129" s="6">
        <f t="shared" si="292"/>
        <v>0.21381128073513853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48</v>
      </c>
      <c r="F7130" t="s">
        <v>50</v>
      </c>
      <c r="G7130" t="str">
        <f t="shared" si="291"/>
        <v>031VELVET BLOSSOMS</v>
      </c>
      <c r="H7130" s="5">
        <v>680</v>
      </c>
      <c r="I7130" s="6">
        <v>396.17125000000198</v>
      </c>
      <c r="J7130" s="5">
        <v>2880</v>
      </c>
      <c r="K7130" s="6">
        <f t="shared" si="292"/>
        <v>1.716429448123751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51</v>
      </c>
      <c r="F7131" t="s">
        <v>17</v>
      </c>
      <c r="G7131" t="str">
        <f t="shared" si="291"/>
        <v>032ELBA</v>
      </c>
      <c r="H7131" s="5">
        <v>4620</v>
      </c>
      <c r="I7131" s="6">
        <v>1535.9749999999999</v>
      </c>
      <c r="J7131" s="5">
        <v>11200</v>
      </c>
      <c r="K7131" s="6">
        <f t="shared" si="292"/>
        <v>3.0078614560783867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51</v>
      </c>
      <c r="F7132" t="s">
        <v>44</v>
      </c>
      <c r="G7132" t="str">
        <f t="shared" ref="G7132:G7193" si="293">+E7132&amp;F7132</f>
        <v>032MIRABEL</v>
      </c>
      <c r="H7132" s="5">
        <v>3660</v>
      </c>
      <c r="I7132" s="6">
        <v>1535.9749999999999</v>
      </c>
      <c r="J7132" s="5">
        <v>11200</v>
      </c>
      <c r="K7132" s="6">
        <f t="shared" si="292"/>
        <v>2.3828512833867741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52</v>
      </c>
      <c r="F7133" t="s">
        <v>53</v>
      </c>
      <c r="G7133" t="str">
        <f t="shared" si="293"/>
        <v>033CREAMY FOLIES</v>
      </c>
      <c r="H7133" s="5">
        <v>1290</v>
      </c>
      <c r="I7133" s="6">
        <v>594.25687500000299</v>
      </c>
      <c r="J7133" s="5">
        <v>4320</v>
      </c>
      <c r="K7133" s="6">
        <f t="shared" si="292"/>
        <v>2.1707784196859206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52</v>
      </c>
      <c r="F7134" t="s">
        <v>18</v>
      </c>
      <c r="G7134" t="str">
        <f t="shared" si="293"/>
        <v>033HOT BUBBLES</v>
      </c>
      <c r="H7134" s="5">
        <v>6640</v>
      </c>
      <c r="I7134" s="6">
        <v>2575.1131250013459</v>
      </c>
      <c r="J7134" s="5">
        <v>18720</v>
      </c>
      <c r="K7134" s="6">
        <f t="shared" si="292"/>
        <v>2.578527496727558</v>
      </c>
    </row>
    <row r="7135" spans="1:11">
      <c r="A7135" s="4">
        <v>2026</v>
      </c>
      <c r="B7135">
        <v>14</v>
      </c>
      <c r="C7135" t="s">
        <v>54</v>
      </c>
      <c r="D7135" t="s">
        <v>11</v>
      </c>
      <c r="E7135" t="s">
        <v>55</v>
      </c>
      <c r="F7135" t="s">
        <v>56</v>
      </c>
      <c r="G7135" t="str">
        <f t="shared" si="293"/>
        <v>001BELIEVE IN PINK</v>
      </c>
      <c r="H7135" s="5">
        <v>1350</v>
      </c>
      <c r="I7135" s="6">
        <v>528.37931032368999</v>
      </c>
      <c r="J7135" s="5">
        <v>4000</v>
      </c>
      <c r="K7135" s="6">
        <f t="shared" ref="K7135:K7140" si="294">IFERROR(H7135/I7135,"")</f>
        <v>2.5549827058386856</v>
      </c>
    </row>
    <row r="7136" spans="1:11">
      <c r="A7136" s="4">
        <v>2026</v>
      </c>
      <c r="B7136">
        <v>14</v>
      </c>
      <c r="C7136" t="s">
        <v>54</v>
      </c>
      <c r="D7136" t="s">
        <v>11</v>
      </c>
      <c r="E7136" t="s">
        <v>55</v>
      </c>
      <c r="F7136" t="s">
        <v>57</v>
      </c>
      <c r="G7136" t="str">
        <f t="shared" si="293"/>
        <v>001EXPLORER</v>
      </c>
      <c r="H7136" s="5">
        <v>4475</v>
      </c>
      <c r="I7136" s="6">
        <v>2272.0310343918732</v>
      </c>
      <c r="J7136" s="5">
        <v>17200</v>
      </c>
      <c r="K7136" s="6">
        <f t="shared" si="294"/>
        <v>1.9696033778859754</v>
      </c>
    </row>
    <row r="7137" spans="1:11">
      <c r="A7137" s="4">
        <v>2026</v>
      </c>
      <c r="B7137">
        <v>14</v>
      </c>
      <c r="C7137" t="s">
        <v>54</v>
      </c>
      <c r="D7137" t="s">
        <v>11</v>
      </c>
      <c r="E7137" t="s">
        <v>55</v>
      </c>
      <c r="F7137" t="s">
        <v>58</v>
      </c>
      <c r="G7137" t="str">
        <f t="shared" si="293"/>
        <v>001GRACE KELLY</v>
      </c>
      <c r="H7137" s="5">
        <v>1770</v>
      </c>
      <c r="I7137" s="6">
        <v>1162.4344827121224</v>
      </c>
      <c r="J7137" s="5">
        <v>8800</v>
      </c>
      <c r="K7137" s="6">
        <f t="shared" si="294"/>
        <v>1.5226664610553724</v>
      </c>
    </row>
    <row r="7138" spans="1:11">
      <c r="A7138" s="4">
        <v>2026</v>
      </c>
      <c r="B7138">
        <v>14</v>
      </c>
      <c r="C7138" t="s">
        <v>54</v>
      </c>
      <c r="D7138" t="s">
        <v>11</v>
      </c>
      <c r="E7138" t="s">
        <v>55</v>
      </c>
      <c r="F7138" t="s">
        <v>60</v>
      </c>
      <c r="G7138" t="str">
        <f t="shared" si="293"/>
        <v>001LIGHT HOUSE</v>
      </c>
      <c r="H7138" s="5">
        <v>2190</v>
      </c>
      <c r="I7138" s="6">
        <v>1056.7586206473827</v>
      </c>
      <c r="J7138" s="5">
        <v>8000</v>
      </c>
      <c r="K7138" s="6">
        <f t="shared" si="294"/>
        <v>2.0723748614024839</v>
      </c>
    </row>
    <row r="7139" spans="1:11">
      <c r="A7139" s="4">
        <v>2026</v>
      </c>
      <c r="B7139">
        <v>14</v>
      </c>
      <c r="C7139" t="s">
        <v>54</v>
      </c>
      <c r="D7139" t="s">
        <v>11</v>
      </c>
      <c r="E7139" t="s">
        <v>55</v>
      </c>
      <c r="F7139" t="s">
        <v>61</v>
      </c>
      <c r="G7139" t="str">
        <f t="shared" si="293"/>
        <v>001LUMIA</v>
      </c>
      <c r="H7139" s="5">
        <v>2250</v>
      </c>
      <c r="I7139" s="6">
        <v>1109.596551679753</v>
      </c>
      <c r="J7139" s="5">
        <v>8400</v>
      </c>
      <c r="K7139" s="6">
        <f t="shared" si="294"/>
        <v>2.0277640522529179</v>
      </c>
    </row>
    <row r="7140" spans="1:11">
      <c r="A7140" s="4">
        <v>2026</v>
      </c>
      <c r="B7140">
        <v>14</v>
      </c>
      <c r="C7140" t="s">
        <v>54</v>
      </c>
      <c r="D7140" t="s">
        <v>11</v>
      </c>
      <c r="E7140" t="s">
        <v>55</v>
      </c>
      <c r="F7140" t="s">
        <v>62</v>
      </c>
      <c r="G7140" t="str">
        <f t="shared" si="293"/>
        <v>001MOMENTUM</v>
      </c>
      <c r="H7140" s="5">
        <v>2500</v>
      </c>
      <c r="I7140" s="6">
        <v>1902.1655171652881</v>
      </c>
      <c r="J7140" s="5">
        <v>14400</v>
      </c>
      <c r="K7140" s="6">
        <f t="shared" si="294"/>
        <v>1.3142915153491153</v>
      </c>
    </row>
    <row r="7141" spans="1:11">
      <c r="A7141" s="4">
        <v>2026</v>
      </c>
      <c r="B7141">
        <v>14</v>
      </c>
      <c r="C7141" t="s">
        <v>54</v>
      </c>
      <c r="D7141" t="s">
        <v>11</v>
      </c>
      <c r="E7141" t="s">
        <v>12</v>
      </c>
      <c r="F7141" t="s">
        <v>63</v>
      </c>
      <c r="G7141" t="str">
        <f t="shared" si="293"/>
        <v>002SUMMER ROMANCE</v>
      </c>
      <c r="H7141" s="5">
        <v>1275</v>
      </c>
      <c r="I7141" s="6">
        <v>951.10714281909407</v>
      </c>
      <c r="J7141" s="5">
        <v>7200</v>
      </c>
      <c r="K7141" s="6">
        <f t="shared" si="292"/>
        <v>1.3405429762843366</v>
      </c>
    </row>
    <row r="7142" spans="1:11">
      <c r="A7142" s="4">
        <v>2026</v>
      </c>
      <c r="B7142">
        <v>14</v>
      </c>
      <c r="C7142" t="s">
        <v>54</v>
      </c>
      <c r="D7142" t="s">
        <v>11</v>
      </c>
      <c r="E7142" t="s">
        <v>12</v>
      </c>
      <c r="F7142" t="s">
        <v>64</v>
      </c>
      <c r="G7142" t="str">
        <f t="shared" si="293"/>
        <v>002SWEETNESS</v>
      </c>
      <c r="H7142" s="5">
        <v>6600</v>
      </c>
      <c r="I7142" s="6">
        <v>3804.4285712763772</v>
      </c>
      <c r="J7142" s="5">
        <v>28800</v>
      </c>
      <c r="K7142" s="6">
        <f t="shared" si="292"/>
        <v>1.7348203222503176</v>
      </c>
    </row>
    <row r="7143" spans="1:11">
      <c r="A7143" s="4">
        <v>2026</v>
      </c>
      <c r="B7143">
        <v>14</v>
      </c>
      <c r="C7143" t="s">
        <v>54</v>
      </c>
      <c r="D7143" t="s">
        <v>11</v>
      </c>
      <c r="E7143" t="s">
        <v>65</v>
      </c>
      <c r="F7143" t="s">
        <v>66</v>
      </c>
      <c r="G7143" t="str">
        <f t="shared" si="293"/>
        <v>003CABARET</v>
      </c>
      <c r="H7143" s="5">
        <v>6810</v>
      </c>
      <c r="I7143" s="6">
        <v>2641.8965516184649</v>
      </c>
      <c r="J7143" s="5">
        <v>20000</v>
      </c>
      <c r="K7143" s="6">
        <f t="shared" si="292"/>
        <v>2.5776936632239038</v>
      </c>
    </row>
    <row r="7144" spans="1:11">
      <c r="A7144" s="4">
        <v>2026</v>
      </c>
      <c r="B7144">
        <v>14</v>
      </c>
      <c r="C7144" t="s">
        <v>54</v>
      </c>
      <c r="D7144" t="s">
        <v>11</v>
      </c>
      <c r="E7144" t="s">
        <v>65</v>
      </c>
      <c r="F7144" t="s">
        <v>67</v>
      </c>
      <c r="G7144" t="str">
        <f t="shared" si="293"/>
        <v>003DEEP PURPLE</v>
      </c>
      <c r="H7144" s="5">
        <v>11730</v>
      </c>
      <c r="I7144" s="6">
        <v>3592.9793102010913</v>
      </c>
      <c r="J7144" s="5">
        <v>26044</v>
      </c>
      <c r="K7144" s="6">
        <f t="shared" si="292"/>
        <v>3.2647001241272098</v>
      </c>
    </row>
    <row r="7145" spans="1:11">
      <c r="A7145" s="4">
        <v>2026</v>
      </c>
      <c r="B7145">
        <v>14</v>
      </c>
      <c r="C7145" t="s">
        <v>54</v>
      </c>
      <c r="D7145" t="s">
        <v>11</v>
      </c>
      <c r="E7145" t="s">
        <v>65</v>
      </c>
      <c r="F7145" t="s">
        <v>57</v>
      </c>
      <c r="G7145" t="str">
        <f t="shared" si="293"/>
        <v>003EXPLORER</v>
      </c>
      <c r="H7145" s="5">
        <v>2400</v>
      </c>
      <c r="I7145" s="6">
        <v>1268.1103447768633</v>
      </c>
      <c r="J7145" s="5">
        <v>9600</v>
      </c>
      <c r="K7145" s="6">
        <f t="shared" si="292"/>
        <v>1.8925797821027193</v>
      </c>
    </row>
    <row r="7146" spans="1:11">
      <c r="A7146" s="4">
        <v>2026</v>
      </c>
      <c r="B7146">
        <v>14</v>
      </c>
      <c r="C7146" t="s">
        <v>54</v>
      </c>
      <c r="D7146" t="s">
        <v>11</v>
      </c>
      <c r="E7146" t="s">
        <v>65</v>
      </c>
      <c r="F7146" t="s">
        <v>68</v>
      </c>
      <c r="G7146" t="str">
        <f t="shared" si="293"/>
        <v>003JOCKER</v>
      </c>
      <c r="H7146" s="5">
        <v>825</v>
      </c>
      <c r="I7146" s="6">
        <v>528.37931032368999</v>
      </c>
      <c r="J7146" s="5">
        <v>4000</v>
      </c>
      <c r="K7146" s="6">
        <f t="shared" si="292"/>
        <v>1.5613783202347522</v>
      </c>
    </row>
    <row r="7147" spans="1:11">
      <c r="A7147" s="4">
        <v>2026</v>
      </c>
      <c r="B7147">
        <v>14</v>
      </c>
      <c r="C7147" t="s">
        <v>54</v>
      </c>
      <c r="D7147" t="s">
        <v>11</v>
      </c>
      <c r="E7147" t="s">
        <v>65</v>
      </c>
      <c r="F7147" t="s">
        <v>69</v>
      </c>
      <c r="G7147" t="str">
        <f t="shared" si="293"/>
        <v>003QUICKSAND</v>
      </c>
      <c r="H7147" s="5">
        <v>2220</v>
      </c>
      <c r="I7147" s="6">
        <v>1162.4344827121247</v>
      </c>
      <c r="J7147" s="5">
        <v>8800</v>
      </c>
      <c r="K7147" s="6">
        <f t="shared" si="292"/>
        <v>1.9097850528491076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14</v>
      </c>
      <c r="F7148" t="s">
        <v>70</v>
      </c>
      <c r="G7148" t="str">
        <f t="shared" si="293"/>
        <v>004COTOPAXI</v>
      </c>
      <c r="H7148" s="5">
        <v>1200</v>
      </c>
      <c r="I7148" s="6">
        <v>528.3915024419166</v>
      </c>
      <c r="J7148" s="5">
        <v>4000</v>
      </c>
      <c r="K7148" s="6">
        <f t="shared" si="292"/>
        <v>2.2710433352056225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14</v>
      </c>
      <c r="F7149" t="s">
        <v>67</v>
      </c>
      <c r="G7149" t="str">
        <f t="shared" si="293"/>
        <v>004DEEP PURPLE</v>
      </c>
      <c r="H7149" s="5">
        <v>15390</v>
      </c>
      <c r="I7149" s="6">
        <v>3910.1071427007282</v>
      </c>
      <c r="J7149" s="5">
        <v>29260</v>
      </c>
      <c r="K7149" s="6">
        <f t="shared" si="292"/>
        <v>3.9359535271890427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14</v>
      </c>
      <c r="F7150" t="s">
        <v>71</v>
      </c>
      <c r="G7150" t="str">
        <f t="shared" si="293"/>
        <v>004HOT EXPLORER</v>
      </c>
      <c r="H7150" s="5">
        <v>3725</v>
      </c>
      <c r="I7150" s="6">
        <v>1902.2142856381945</v>
      </c>
      <c r="J7150" s="5">
        <v>14400</v>
      </c>
      <c r="K7150" s="6">
        <f t="shared" si="292"/>
        <v>1.9582441516310343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14</v>
      </c>
      <c r="F7151" t="s">
        <v>72</v>
      </c>
      <c r="G7151" t="str">
        <f t="shared" si="293"/>
        <v>004HOT MERENGUE</v>
      </c>
      <c r="H7151" s="5">
        <v>3690</v>
      </c>
      <c r="I7151" s="6">
        <v>1162.4642856677858</v>
      </c>
      <c r="J7151" s="5">
        <v>8800</v>
      </c>
      <c r="K7151" s="6">
        <f t="shared" si="292"/>
        <v>3.1742910689770167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14</v>
      </c>
      <c r="F7152" t="s">
        <v>64</v>
      </c>
      <c r="G7152" t="str">
        <f t="shared" si="293"/>
        <v>004SWEETNESS</v>
      </c>
      <c r="H7152" s="5">
        <v>420</v>
      </c>
      <c r="I7152" s="6">
        <v>317.03571427303262</v>
      </c>
      <c r="J7152" s="5">
        <v>2400</v>
      </c>
      <c r="K7152" s="6">
        <f t="shared" si="292"/>
        <v>1.324771882445692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16</v>
      </c>
      <c r="F7153" t="s">
        <v>57</v>
      </c>
      <c r="G7153" t="str">
        <f t="shared" si="293"/>
        <v>005EXPLORER</v>
      </c>
      <c r="H7153" s="5">
        <v>1500</v>
      </c>
      <c r="I7153" s="6">
        <v>951.10714281875391</v>
      </c>
      <c r="J7153" s="5">
        <v>7200</v>
      </c>
      <c r="K7153" s="6">
        <f t="shared" si="292"/>
        <v>1.5771093838644894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16</v>
      </c>
      <c r="F7154" t="s">
        <v>73</v>
      </c>
      <c r="G7154" t="str">
        <f t="shared" si="293"/>
        <v>005GOLDFINCH</v>
      </c>
      <c r="H7154" s="5">
        <v>1075</v>
      </c>
      <c r="I7154" s="6">
        <v>898.26785710660101</v>
      </c>
      <c r="J7154" s="5">
        <v>6800</v>
      </c>
      <c r="K7154" s="6">
        <f t="shared" si="292"/>
        <v>1.1967477089324654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16</v>
      </c>
      <c r="F7155" t="s">
        <v>68</v>
      </c>
      <c r="G7155" t="str">
        <f t="shared" si="293"/>
        <v>005JOCKER</v>
      </c>
      <c r="H7155" s="5">
        <v>2175</v>
      </c>
      <c r="I7155" s="6">
        <v>1162.4642856673661</v>
      </c>
      <c r="J7155" s="5">
        <v>8800</v>
      </c>
      <c r="K7155" s="6">
        <f t="shared" si="292"/>
        <v>1.8710252235846896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16</v>
      </c>
      <c r="F7156" t="s">
        <v>74</v>
      </c>
      <c r="G7156" t="str">
        <f t="shared" si="293"/>
        <v>005VENDELA</v>
      </c>
      <c r="H7156" s="5">
        <v>1200</v>
      </c>
      <c r="I7156" s="6">
        <v>686.91071425798896</v>
      </c>
      <c r="J7156" s="5">
        <v>5200</v>
      </c>
      <c r="K7156" s="6">
        <f t="shared" si="292"/>
        <v>1.7469519328960499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75</v>
      </c>
      <c r="F7157" t="s">
        <v>76</v>
      </c>
      <c r="G7157" t="str">
        <f t="shared" si="293"/>
        <v>006ATOMIC</v>
      </c>
      <c r="H7157" s="5">
        <v>950</v>
      </c>
      <c r="I7157" s="6">
        <v>845.428571394752</v>
      </c>
      <c r="J7157" s="5">
        <v>6400</v>
      </c>
      <c r="K7157" s="6">
        <f t="shared" si="292"/>
        <v>1.1236904360030446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75</v>
      </c>
      <c r="F7158" t="s">
        <v>57</v>
      </c>
      <c r="G7158" t="str">
        <f t="shared" si="293"/>
        <v>006EXPLORER</v>
      </c>
      <c r="H7158" s="5">
        <v>7300</v>
      </c>
      <c r="I7158" s="6">
        <v>3910.1071427007355</v>
      </c>
      <c r="J7158" s="5">
        <v>29600</v>
      </c>
      <c r="K7158" s="6">
        <f t="shared" si="292"/>
        <v>1.8669565138713422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75</v>
      </c>
      <c r="F7159" t="s">
        <v>77</v>
      </c>
      <c r="G7159" t="str">
        <f t="shared" si="293"/>
        <v>006MONDIAL</v>
      </c>
      <c r="H7159" s="5">
        <v>6025</v>
      </c>
      <c r="I7159" s="6">
        <v>4015.7857141250793</v>
      </c>
      <c r="J7159" s="5">
        <v>30400</v>
      </c>
      <c r="K7159" s="6">
        <f t="shared" si="292"/>
        <v>1.5003290585968603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20</v>
      </c>
      <c r="F7160" t="s">
        <v>70</v>
      </c>
      <c r="G7160" t="str">
        <f t="shared" si="293"/>
        <v>007COTOPAXI</v>
      </c>
      <c r="H7160" s="5">
        <v>7320</v>
      </c>
      <c r="I7160" s="6">
        <v>2747.5751230427709</v>
      </c>
      <c r="J7160" s="5">
        <v>20800</v>
      </c>
      <c r="K7160" s="6">
        <f t="shared" si="292"/>
        <v>2.6641673738454688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20</v>
      </c>
      <c r="F7161" t="s">
        <v>78</v>
      </c>
      <c r="G7161" t="str">
        <f t="shared" si="293"/>
        <v>007REDIANT</v>
      </c>
      <c r="H7161" s="5">
        <v>2280</v>
      </c>
      <c r="I7161" s="6">
        <v>1056.75862064738</v>
      </c>
      <c r="J7161" s="5">
        <v>9600</v>
      </c>
      <c r="K7161" s="6">
        <f t="shared" si="292"/>
        <v>2.1575409515971122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20</v>
      </c>
      <c r="F7162" t="s">
        <v>63</v>
      </c>
      <c r="G7162" t="str">
        <f t="shared" si="293"/>
        <v>007SUMMER ROMANCE</v>
      </c>
      <c r="H7162" s="5">
        <v>300</v>
      </c>
      <c r="I7162" s="6">
        <v>369.86551722658481</v>
      </c>
      <c r="J7162" s="5">
        <v>3080</v>
      </c>
      <c r="K7162" s="6">
        <f t="shared" si="292"/>
        <v>0.811105620901166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20</v>
      </c>
      <c r="F7163" t="s">
        <v>74</v>
      </c>
      <c r="G7163" t="str">
        <f t="shared" si="293"/>
        <v>007VENDELA</v>
      </c>
      <c r="H7163" s="5">
        <v>9180</v>
      </c>
      <c r="I7163" s="6">
        <v>3592.9793102011122</v>
      </c>
      <c r="J7163" s="5">
        <v>27820</v>
      </c>
      <c r="K7163" s="6">
        <f t="shared" si="292"/>
        <v>2.5549827058386714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79</v>
      </c>
      <c r="F7164" t="s">
        <v>67</v>
      </c>
      <c r="G7164" t="str">
        <f t="shared" si="293"/>
        <v>008DEEP PURPLE</v>
      </c>
      <c r="H7164" s="5">
        <v>5250</v>
      </c>
      <c r="I7164" s="6">
        <v>1585.2222221588099</v>
      </c>
      <c r="J7164" s="5">
        <v>11490</v>
      </c>
      <c r="K7164" s="6">
        <f t="shared" si="292"/>
        <v>3.3118385085785449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79</v>
      </c>
      <c r="F7165" t="s">
        <v>81</v>
      </c>
      <c r="G7165" t="str">
        <f t="shared" si="293"/>
        <v>008FREEDOM</v>
      </c>
      <c r="H7165" s="5">
        <v>4500</v>
      </c>
      <c r="I7165" s="6">
        <v>2219.311111022334</v>
      </c>
      <c r="J7165" s="5">
        <v>16800</v>
      </c>
      <c r="K7165" s="6">
        <f t="shared" si="292"/>
        <v>2.0276562297419662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79</v>
      </c>
      <c r="F7166" t="s">
        <v>68</v>
      </c>
      <c r="G7166" t="str">
        <f t="shared" si="293"/>
        <v>008JOCKER</v>
      </c>
      <c r="H7166" s="5">
        <v>3550</v>
      </c>
      <c r="I7166" s="6">
        <v>2959.0814813631118</v>
      </c>
      <c r="J7166" s="5">
        <v>22400</v>
      </c>
      <c r="K7166" s="6">
        <f t="shared" si="292"/>
        <v>1.1996966025973301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79</v>
      </c>
      <c r="F7167" t="s">
        <v>61</v>
      </c>
      <c r="G7167" t="str">
        <f t="shared" si="293"/>
        <v>008LUMIA</v>
      </c>
      <c r="H7167" s="5">
        <v>3810</v>
      </c>
      <c r="I7167" s="6">
        <v>1796.5851851133182</v>
      </c>
      <c r="J7167" s="5">
        <v>13600</v>
      </c>
      <c r="K7167" s="6">
        <f t="shared" si="292"/>
        <v>2.1206898685183622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82</v>
      </c>
      <c r="F7168" t="s">
        <v>83</v>
      </c>
      <c r="G7168" t="str">
        <f t="shared" si="293"/>
        <v>010COOLDOWN</v>
      </c>
      <c r="H7168" s="5">
        <v>3000</v>
      </c>
      <c r="I7168" s="6">
        <v>1912.3542857142861</v>
      </c>
      <c r="J7168" s="5">
        <v>16320</v>
      </c>
      <c r="K7168" s="6">
        <f t="shared" si="292"/>
        <v>1.5687469745594058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82</v>
      </c>
      <c r="F7169" t="s">
        <v>84</v>
      </c>
      <c r="G7169" t="str">
        <f t="shared" si="293"/>
        <v>010VIOLET HILL</v>
      </c>
      <c r="H7169" s="5">
        <v>4020</v>
      </c>
      <c r="I7169" s="6">
        <v>2812.2857142428579</v>
      </c>
      <c r="J7169" s="5">
        <v>20000</v>
      </c>
      <c r="K7169" s="6">
        <f t="shared" si="292"/>
        <v>1.4294422432403142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85</v>
      </c>
      <c r="F7170" t="s">
        <v>86</v>
      </c>
      <c r="G7170" t="str">
        <f t="shared" si="293"/>
        <v>011BRIGHTON</v>
      </c>
      <c r="H7170" s="5">
        <v>3125</v>
      </c>
      <c r="I7170" s="6">
        <v>1768.8376470588223</v>
      </c>
      <c r="J7170" s="5">
        <v>12800</v>
      </c>
      <c r="K7170" s="6">
        <f t="shared" si="292"/>
        <v>1.7666969069751368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85</v>
      </c>
      <c r="F7171" t="s">
        <v>87</v>
      </c>
      <c r="G7171" t="str">
        <f t="shared" si="293"/>
        <v>011CANDLELIGHT</v>
      </c>
      <c r="H7171" s="5">
        <v>3200</v>
      </c>
      <c r="I7171" s="6">
        <v>2263.7999998868127</v>
      </c>
      <c r="J7171" s="5">
        <v>17920</v>
      </c>
      <c r="K7171" s="6">
        <f t="shared" si="292"/>
        <v>1.4135524340312733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85</v>
      </c>
      <c r="F7172" t="s">
        <v>88</v>
      </c>
      <c r="G7172" t="str">
        <f t="shared" si="293"/>
        <v>011CAYENNE</v>
      </c>
      <c r="H7172" s="5">
        <v>1290</v>
      </c>
      <c r="I7172" s="6">
        <v>994.97117647058747</v>
      </c>
      <c r="J7172" s="5">
        <v>7200</v>
      </c>
      <c r="K7172" s="6">
        <f t="shared" si="292"/>
        <v>1.2965199701321539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85</v>
      </c>
      <c r="F7173" t="s">
        <v>61</v>
      </c>
      <c r="G7173" t="str">
        <f t="shared" si="293"/>
        <v>011LUMIA</v>
      </c>
      <c r="H7173" s="5">
        <v>1860</v>
      </c>
      <c r="I7173" s="6">
        <v>994.97117647058747</v>
      </c>
      <c r="J7173" s="5">
        <v>7920</v>
      </c>
      <c r="K7173" s="6">
        <f t="shared" si="292"/>
        <v>1.8694008871672916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85</v>
      </c>
      <c r="F7174" t="s">
        <v>89</v>
      </c>
      <c r="G7174" t="str">
        <f t="shared" si="293"/>
        <v>011STARDUST</v>
      </c>
      <c r="H7174" s="5">
        <v>2850</v>
      </c>
      <c r="I7174" s="6">
        <v>2263.7999998868127</v>
      </c>
      <c r="J7174" s="5">
        <v>17920</v>
      </c>
      <c r="K7174" s="6">
        <f t="shared" si="292"/>
        <v>1.2589451365591027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90</v>
      </c>
      <c r="F7175" t="s">
        <v>67</v>
      </c>
      <c r="G7175" t="str">
        <f t="shared" si="293"/>
        <v>012DEEP PURPLE</v>
      </c>
      <c r="H7175" s="5">
        <v>14340</v>
      </c>
      <c r="I7175" s="6">
        <v>6727.0499997982479</v>
      </c>
      <c r="J7175" s="5">
        <v>49210</v>
      </c>
      <c r="K7175" s="6">
        <f t="shared" ref="K7175:K7238" si="295">+H7175/I7175</f>
        <v>2.1316921979812955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90</v>
      </c>
      <c r="F7176" t="s">
        <v>60</v>
      </c>
      <c r="G7176" t="str">
        <f t="shared" si="293"/>
        <v>012LIGHT HOUSE</v>
      </c>
      <c r="H7176" s="5">
        <v>1860</v>
      </c>
      <c r="I7176" s="6">
        <v>994.95</v>
      </c>
      <c r="J7176" s="5">
        <v>7200</v>
      </c>
      <c r="K7176" s="6">
        <f t="shared" si="295"/>
        <v>1.8694406754108246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91</v>
      </c>
      <c r="F7177" t="s">
        <v>92</v>
      </c>
      <c r="G7177" t="str">
        <f t="shared" si="293"/>
        <v>013COUNTRY BLUES</v>
      </c>
      <c r="H7177" s="5">
        <v>1140</v>
      </c>
      <c r="I7177" s="6">
        <v>831.6</v>
      </c>
      <c r="J7177" s="5">
        <v>6300</v>
      </c>
      <c r="K7177" s="6">
        <f t="shared" si="295"/>
        <v>1.3708513708513708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91</v>
      </c>
      <c r="F7178" t="s">
        <v>93</v>
      </c>
      <c r="G7178" t="str">
        <f t="shared" si="293"/>
        <v>013LORRAINE</v>
      </c>
      <c r="H7178" s="5">
        <v>3700</v>
      </c>
      <c r="I7178" s="6">
        <v>1267.2</v>
      </c>
      <c r="J7178" s="5">
        <v>9600</v>
      </c>
      <c r="K7178" s="6">
        <f t="shared" si="295"/>
        <v>2.9198232323232323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91</v>
      </c>
      <c r="F7179" t="s">
        <v>61</v>
      </c>
      <c r="G7179" t="str">
        <f t="shared" si="293"/>
        <v>013LUMIA</v>
      </c>
      <c r="H7179" s="5">
        <v>750</v>
      </c>
      <c r="I7179" s="6">
        <v>316.8</v>
      </c>
      <c r="J7179" s="5">
        <v>2400</v>
      </c>
      <c r="K7179" s="6">
        <f t="shared" si="295"/>
        <v>2.3674242424242422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91</v>
      </c>
      <c r="F7180" t="s">
        <v>74</v>
      </c>
      <c r="G7180" t="str">
        <f t="shared" si="293"/>
        <v>013VENDELA</v>
      </c>
      <c r="H7180" s="5">
        <v>12870</v>
      </c>
      <c r="I7180" s="6">
        <v>3603.6</v>
      </c>
      <c r="J7180" s="5">
        <v>27296</v>
      </c>
      <c r="K7180" s="6">
        <f t="shared" si="295"/>
        <v>3.5714285714285716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23</v>
      </c>
      <c r="F7181" t="s">
        <v>89</v>
      </c>
      <c r="G7181" t="str">
        <f t="shared" si="293"/>
        <v>014STARDUST</v>
      </c>
      <c r="H7181" s="5">
        <v>4875</v>
      </c>
      <c r="I7181" s="6">
        <v>3682.8</v>
      </c>
      <c r="J7181" s="5">
        <v>27900</v>
      </c>
      <c r="K7181" s="6">
        <f t="shared" si="295"/>
        <v>1.3237210817855978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25</v>
      </c>
      <c r="F7182" t="s">
        <v>68</v>
      </c>
      <c r="G7182" t="str">
        <f t="shared" si="293"/>
        <v>015JOCKER</v>
      </c>
      <c r="H7182" s="5">
        <v>4100</v>
      </c>
      <c r="I7182" s="6">
        <v>2376</v>
      </c>
      <c r="J7182" s="5">
        <v>18000</v>
      </c>
      <c r="K7182" s="6">
        <f t="shared" si="295"/>
        <v>1.7255892255892256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27</v>
      </c>
      <c r="F7183" t="s">
        <v>94</v>
      </c>
      <c r="G7183" t="str">
        <f t="shared" si="293"/>
        <v>016DREAM IN PEACH</v>
      </c>
      <c r="H7183" s="5">
        <v>1620</v>
      </c>
      <c r="I7183" s="6">
        <v>950.4</v>
      </c>
      <c r="J7183" s="5">
        <v>7200</v>
      </c>
      <c r="K7183" s="6">
        <f t="shared" si="295"/>
        <v>1.7045454545454546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27</v>
      </c>
      <c r="F7184" t="s">
        <v>95</v>
      </c>
      <c r="G7184" t="str">
        <f t="shared" si="293"/>
        <v>016NINA</v>
      </c>
      <c r="H7184" s="5">
        <v>2875</v>
      </c>
      <c r="I7184" s="6">
        <v>1346.4</v>
      </c>
      <c r="J7184" s="5">
        <v>10200</v>
      </c>
      <c r="K7184" s="6">
        <f t="shared" si="295"/>
        <v>2.1353238265002967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30</v>
      </c>
      <c r="F7185" t="s">
        <v>81</v>
      </c>
      <c r="G7185" t="str">
        <f t="shared" si="293"/>
        <v>017FREEDOM</v>
      </c>
      <c r="H7185" s="5">
        <v>5670</v>
      </c>
      <c r="I7185" s="6">
        <v>2851.2</v>
      </c>
      <c r="J7185" s="5">
        <v>21600</v>
      </c>
      <c r="K7185" s="6">
        <f t="shared" si="295"/>
        <v>1.9886363636363638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30</v>
      </c>
      <c r="F7186" t="s">
        <v>73</v>
      </c>
      <c r="G7186" t="str">
        <f t="shared" si="293"/>
        <v>017GOLDFINCH</v>
      </c>
      <c r="H7186" s="5">
        <v>2300</v>
      </c>
      <c r="I7186" s="6">
        <v>2138.4</v>
      </c>
      <c r="J7186" s="5">
        <v>16200</v>
      </c>
      <c r="K7186" s="6">
        <f t="shared" si="295"/>
        <v>1.0755705200149643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32</v>
      </c>
      <c r="F7187" t="s">
        <v>86</v>
      </c>
      <c r="G7187" t="str">
        <f t="shared" si="293"/>
        <v>018BRIGHTON</v>
      </c>
      <c r="H7187" s="5">
        <v>1575</v>
      </c>
      <c r="I7187" s="6">
        <v>963.6</v>
      </c>
      <c r="J7187" s="5">
        <v>7570</v>
      </c>
      <c r="K7187" s="6">
        <f t="shared" si="295"/>
        <v>1.6344956413449563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35</v>
      </c>
      <c r="F7188" t="s">
        <v>86</v>
      </c>
      <c r="G7188" t="str">
        <f t="shared" si="293"/>
        <v>019BRIGHTON</v>
      </c>
      <c r="H7188" s="5">
        <v>7000</v>
      </c>
      <c r="I7188" s="6">
        <v>3168</v>
      </c>
      <c r="J7188" s="5">
        <v>24000</v>
      </c>
      <c r="K7188" s="6">
        <f t="shared" si="295"/>
        <v>2.2095959595959598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35</v>
      </c>
      <c r="F7189" t="s">
        <v>96</v>
      </c>
      <c r="G7189" t="str">
        <f t="shared" si="293"/>
        <v>019TABATHA</v>
      </c>
      <c r="H7189" s="5">
        <v>2190</v>
      </c>
      <c r="I7189" s="6">
        <v>1188</v>
      </c>
      <c r="J7189" s="5">
        <v>9000</v>
      </c>
      <c r="K7189" s="6">
        <f t="shared" si="295"/>
        <v>1.8434343434343434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36</v>
      </c>
      <c r="F7190" t="s">
        <v>86</v>
      </c>
      <c r="G7190" t="str">
        <f t="shared" si="293"/>
        <v>020BRIGHTON</v>
      </c>
      <c r="H7190" s="5">
        <v>4450</v>
      </c>
      <c r="I7190" s="6">
        <v>2732.4</v>
      </c>
      <c r="J7190" s="5">
        <v>20700</v>
      </c>
      <c r="K7190" s="6">
        <f t="shared" si="295"/>
        <v>1.6286048894744547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36</v>
      </c>
      <c r="F7191" t="s">
        <v>97</v>
      </c>
      <c r="G7191" t="str">
        <f t="shared" si="293"/>
        <v>020TYCOON</v>
      </c>
      <c r="H7191" s="5">
        <v>1260</v>
      </c>
      <c r="I7191" s="6">
        <v>673.2</v>
      </c>
      <c r="J7191" s="5">
        <v>5100</v>
      </c>
      <c r="K7191" s="6">
        <f t="shared" si="295"/>
        <v>1.8716577540106951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38</v>
      </c>
      <c r="F7192" t="s">
        <v>98</v>
      </c>
      <c r="G7192" t="str">
        <f t="shared" si="293"/>
        <v>021SHOW GIRL</v>
      </c>
      <c r="H7192" s="5">
        <v>1525</v>
      </c>
      <c r="I7192" s="6">
        <v>1100.4749999999999</v>
      </c>
      <c r="J7192" s="5">
        <v>8000</v>
      </c>
      <c r="K7192" s="6">
        <f t="shared" si="295"/>
        <v>1.3857652377382494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43</v>
      </c>
      <c r="F7193" t="s">
        <v>99</v>
      </c>
      <c r="G7193" t="str">
        <f t="shared" si="293"/>
        <v>022CORAL REEF</v>
      </c>
      <c r="H7193" s="5">
        <v>2675</v>
      </c>
      <c r="I7193" s="6">
        <v>1287</v>
      </c>
      <c r="J7193" s="5">
        <v>9400</v>
      </c>
      <c r="K7193" s="6">
        <f t="shared" si="295"/>
        <v>2.0784770784770785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100</v>
      </c>
      <c r="F7194" t="s">
        <v>70</v>
      </c>
      <c r="G7194" t="str">
        <f t="shared" ref="G7194:G7256" si="296">+E7194&amp;F7194</f>
        <v>023COTOPAXI</v>
      </c>
      <c r="H7194" s="5">
        <v>6570</v>
      </c>
      <c r="I7194" s="6">
        <v>2641.14</v>
      </c>
      <c r="J7194" s="5">
        <v>19200</v>
      </c>
      <c r="K7194" s="6">
        <f t="shared" si="295"/>
        <v>2.4875621890547266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100</v>
      </c>
      <c r="F7195" t="s">
        <v>101</v>
      </c>
      <c r="G7195" t="str">
        <f t="shared" si="296"/>
        <v>023FRUTTETO</v>
      </c>
      <c r="H7195" s="5">
        <v>7830</v>
      </c>
      <c r="I7195" s="6">
        <v>2641.14</v>
      </c>
      <c r="J7195" s="5">
        <v>19200</v>
      </c>
      <c r="K7195" s="6">
        <f t="shared" si="295"/>
        <v>2.9646289102433041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102</v>
      </c>
      <c r="F7196" t="s">
        <v>70</v>
      </c>
      <c r="G7196" t="str">
        <f t="shared" si="296"/>
        <v>024COTOPAXI</v>
      </c>
      <c r="H7196" s="5">
        <v>3150</v>
      </c>
      <c r="I7196" s="6">
        <v>1430.6174906250001</v>
      </c>
      <c r="J7196" s="5">
        <v>10400</v>
      </c>
      <c r="K7196" s="6">
        <f t="shared" si="295"/>
        <v>2.2018464199146943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102</v>
      </c>
      <c r="F7197" t="s">
        <v>64</v>
      </c>
      <c r="G7197" t="str">
        <f t="shared" si="296"/>
        <v>024SWEETNESS</v>
      </c>
      <c r="H7197" s="5">
        <v>2100</v>
      </c>
      <c r="I7197" s="6">
        <v>1430.6175000000001</v>
      </c>
      <c r="J7197" s="5">
        <v>10400</v>
      </c>
      <c r="K7197" s="6">
        <f t="shared" si="295"/>
        <v>1.467897603657162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102</v>
      </c>
      <c r="F7198" t="s">
        <v>97</v>
      </c>
      <c r="G7198" t="str">
        <f t="shared" si="296"/>
        <v>024TYCOON</v>
      </c>
      <c r="H7198" s="5">
        <v>3900</v>
      </c>
      <c r="I7198" s="6">
        <v>2861.2350000000001</v>
      </c>
      <c r="J7198" s="5">
        <v>20800</v>
      </c>
      <c r="K7198" s="6">
        <f t="shared" si="295"/>
        <v>1.3630477748245076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103</v>
      </c>
      <c r="F7199" t="s">
        <v>104</v>
      </c>
      <c r="G7199" t="str">
        <f t="shared" si="296"/>
        <v>025PINK MONDIAL</v>
      </c>
      <c r="H7199" s="5">
        <v>4075</v>
      </c>
      <c r="I7199" s="6">
        <v>3071.9505625000002</v>
      </c>
      <c r="J7199" s="5">
        <v>22400</v>
      </c>
      <c r="K7199" s="6">
        <f t="shared" si="295"/>
        <v>1.3265187434148364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45</v>
      </c>
      <c r="F7200" t="s">
        <v>105</v>
      </c>
      <c r="G7200" t="str">
        <f t="shared" si="296"/>
        <v>026LOLA</v>
      </c>
      <c r="H7200" s="5">
        <v>6125</v>
      </c>
      <c r="I7200" s="6">
        <v>2852.5250000000001</v>
      </c>
      <c r="J7200" s="5">
        <v>20800</v>
      </c>
      <c r="K7200" s="6">
        <f t="shared" si="295"/>
        <v>2.1472204450443027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45</v>
      </c>
      <c r="F7201" t="s">
        <v>106</v>
      </c>
      <c r="G7201" t="str">
        <f t="shared" si="296"/>
        <v>026PALOMA</v>
      </c>
      <c r="H7201" s="5">
        <v>4950</v>
      </c>
      <c r="I7201" s="6">
        <v>2852.5250000000001</v>
      </c>
      <c r="J7201" s="5">
        <v>20800</v>
      </c>
      <c r="K7201" s="6">
        <f t="shared" si="295"/>
        <v>1.7353046861990691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107</v>
      </c>
      <c r="F7202" t="s">
        <v>108</v>
      </c>
      <c r="G7202" t="str">
        <f t="shared" si="296"/>
        <v>027SATISFACTION</v>
      </c>
      <c r="H7202" s="5">
        <v>4830</v>
      </c>
      <c r="I7202" s="6">
        <v>2633.1</v>
      </c>
      <c r="J7202" s="5">
        <v>19200</v>
      </c>
      <c r="K7202" s="6">
        <f t="shared" si="295"/>
        <v>1.8343397516235616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107</v>
      </c>
      <c r="F7203" t="s">
        <v>109</v>
      </c>
      <c r="G7203" t="str">
        <f t="shared" si="296"/>
        <v>027TIFFANY</v>
      </c>
      <c r="H7203" s="5">
        <v>4350</v>
      </c>
      <c r="I7203" s="6">
        <v>2633.1</v>
      </c>
      <c r="J7203" s="5">
        <v>19200</v>
      </c>
      <c r="K7203" s="6">
        <f t="shared" si="295"/>
        <v>1.6520451179218412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110</v>
      </c>
      <c r="F7204" t="s">
        <v>70</v>
      </c>
      <c r="G7204" t="str">
        <f t="shared" si="296"/>
        <v>028COTOPAXI</v>
      </c>
      <c r="H7204" s="5">
        <v>5340</v>
      </c>
      <c r="I7204" s="6">
        <v>2852.5250000000001</v>
      </c>
      <c r="J7204" s="5">
        <v>20800</v>
      </c>
      <c r="K7204" s="6">
        <f t="shared" si="295"/>
        <v>1.8720256614753594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110</v>
      </c>
      <c r="F7205" t="s">
        <v>67</v>
      </c>
      <c r="G7205" t="str">
        <f t="shared" si="296"/>
        <v>028DEEP PURPLE</v>
      </c>
      <c r="H7205" s="5">
        <v>7080</v>
      </c>
      <c r="I7205" s="6">
        <v>2852.5250000000001</v>
      </c>
      <c r="J7205" s="5">
        <v>20800</v>
      </c>
      <c r="K7205" s="6">
        <f t="shared" si="295"/>
        <v>2.4820115511695779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111</v>
      </c>
      <c r="F7206" t="s">
        <v>112</v>
      </c>
      <c r="G7206" t="str">
        <f t="shared" si="296"/>
        <v>029PINK FLOYD</v>
      </c>
      <c r="H7206" s="5">
        <v>4350</v>
      </c>
      <c r="I7206" s="6">
        <v>3071.95</v>
      </c>
      <c r="J7206" s="5">
        <v>22400</v>
      </c>
      <c r="K7206" s="6">
        <f t="shared" si="295"/>
        <v>1.4160386725044354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47</v>
      </c>
      <c r="F7207" t="s">
        <v>57</v>
      </c>
      <c r="G7207" t="str">
        <f t="shared" si="296"/>
        <v>030EXPLORER</v>
      </c>
      <c r="H7207" s="5">
        <v>3575</v>
      </c>
      <c r="I7207" s="6">
        <v>1645.6875</v>
      </c>
      <c r="J7207" s="5">
        <v>12000</v>
      </c>
      <c r="K7207" s="6">
        <f t="shared" si="295"/>
        <v>2.1723443849455015</v>
      </c>
    </row>
    <row r="7208" spans="1:11">
      <c r="A7208" s="4">
        <v>2026</v>
      </c>
      <c r="B7208">
        <v>15</v>
      </c>
      <c r="C7208" t="s">
        <v>10</v>
      </c>
      <c r="D7208" t="s">
        <v>11</v>
      </c>
      <c r="E7208" t="s">
        <v>12</v>
      </c>
      <c r="F7208" t="s">
        <v>13</v>
      </c>
      <c r="G7208" t="str">
        <f t="shared" si="296"/>
        <v>002SOMERSET</v>
      </c>
      <c r="H7208" s="5">
        <v>6420</v>
      </c>
      <c r="I7208" s="6">
        <v>4121.4642855494085</v>
      </c>
      <c r="J7208" s="5">
        <v>31200</v>
      </c>
      <c r="K7208" s="6">
        <f t="shared" si="295"/>
        <v>1.5576988068317537</v>
      </c>
    </row>
    <row r="7209" spans="1:11">
      <c r="A7209" s="4">
        <v>2026</v>
      </c>
      <c r="B7209">
        <v>15</v>
      </c>
      <c r="C7209" t="s">
        <v>10</v>
      </c>
      <c r="D7209" t="s">
        <v>11</v>
      </c>
      <c r="E7209" t="s">
        <v>14</v>
      </c>
      <c r="F7209" t="s">
        <v>15</v>
      </c>
      <c r="G7209" t="str">
        <f t="shared" si="296"/>
        <v>004BELLINA</v>
      </c>
      <c r="H7209" s="5">
        <v>2475</v>
      </c>
      <c r="I7209" s="6">
        <v>1056.7857142434418</v>
      </c>
      <c r="J7209" s="5">
        <v>8000</v>
      </c>
      <c r="K7209" s="6">
        <f t="shared" si="295"/>
        <v>2.3420074350379205</v>
      </c>
    </row>
    <row r="7210" spans="1:11">
      <c r="A7210" s="4">
        <v>2026</v>
      </c>
      <c r="B7210">
        <v>15</v>
      </c>
      <c r="C7210" t="s">
        <v>10</v>
      </c>
      <c r="D7210" t="s">
        <v>11</v>
      </c>
      <c r="E7210" t="s">
        <v>16</v>
      </c>
      <c r="F7210" t="s">
        <v>17</v>
      </c>
      <c r="G7210" t="str">
        <f t="shared" si="296"/>
        <v>005ELBA</v>
      </c>
      <c r="H7210" s="5">
        <v>6510</v>
      </c>
      <c r="I7210" s="6">
        <v>2641.9642856076484</v>
      </c>
      <c r="J7210" s="5">
        <v>19996</v>
      </c>
      <c r="K7210" s="6">
        <f t="shared" si="295"/>
        <v>2.4640757013498797</v>
      </c>
    </row>
    <row r="7211" spans="1:11">
      <c r="A7211" s="4">
        <v>2026</v>
      </c>
      <c r="B7211">
        <v>15</v>
      </c>
      <c r="C7211" t="s">
        <v>10</v>
      </c>
      <c r="D7211" t="s">
        <v>11</v>
      </c>
      <c r="E7211" t="s">
        <v>16</v>
      </c>
      <c r="F7211" t="s">
        <v>18</v>
      </c>
      <c r="G7211" t="str">
        <f t="shared" si="296"/>
        <v>005HOT BUBBLES</v>
      </c>
      <c r="H7211" s="5">
        <v>1260</v>
      </c>
      <c r="I7211" s="6">
        <v>528.39285712153003</v>
      </c>
      <c r="J7211" s="5">
        <v>4000</v>
      </c>
      <c r="K7211" s="6">
        <f t="shared" si="295"/>
        <v>2.384589388403108</v>
      </c>
    </row>
    <row r="7212" spans="1:11">
      <c r="A7212" s="4">
        <v>2026</v>
      </c>
      <c r="B7212">
        <v>15</v>
      </c>
      <c r="C7212" t="s">
        <v>10</v>
      </c>
      <c r="D7212" t="s">
        <v>11</v>
      </c>
      <c r="E7212" t="s">
        <v>16</v>
      </c>
      <c r="F7212" t="s">
        <v>19</v>
      </c>
      <c r="G7212" t="str">
        <f t="shared" si="296"/>
        <v>005SUSPIRO</v>
      </c>
      <c r="H7212" s="5">
        <v>4710</v>
      </c>
      <c r="I7212" s="6">
        <v>1902.2142856375078</v>
      </c>
      <c r="J7212" s="5">
        <v>14400</v>
      </c>
      <c r="K7212" s="6">
        <f t="shared" si="295"/>
        <v>2.4760617326672487</v>
      </c>
    </row>
    <row r="7213" spans="1:11">
      <c r="A7213" s="4">
        <v>2026</v>
      </c>
      <c r="B7213">
        <v>15</v>
      </c>
      <c r="C7213" t="s">
        <v>10</v>
      </c>
      <c r="D7213" t="s">
        <v>11</v>
      </c>
      <c r="E7213" t="s">
        <v>20</v>
      </c>
      <c r="F7213" t="s">
        <v>21</v>
      </c>
      <c r="G7213" t="str">
        <f t="shared" si="296"/>
        <v>007SNOW BUBBLES</v>
      </c>
      <c r="H7213" s="5">
        <v>880</v>
      </c>
      <c r="I7213" s="6">
        <v>634.05652706821195</v>
      </c>
      <c r="J7213" s="5">
        <v>4800</v>
      </c>
      <c r="K7213" s="6">
        <f t="shared" si="295"/>
        <v>1.3878888749383214</v>
      </c>
    </row>
    <row r="7214" spans="1:11">
      <c r="A7214" s="4">
        <v>2026</v>
      </c>
      <c r="B7214">
        <v>15</v>
      </c>
      <c r="C7214" t="s">
        <v>10</v>
      </c>
      <c r="D7214" t="s">
        <v>11</v>
      </c>
      <c r="E7214" t="s">
        <v>22</v>
      </c>
      <c r="F7214" t="s">
        <v>18</v>
      </c>
      <c r="G7214" t="str">
        <f t="shared" si="296"/>
        <v>009HOT BUBBLES</v>
      </c>
      <c r="H7214" s="5">
        <v>8600</v>
      </c>
      <c r="I7214" s="6">
        <v>4487.9999999102474</v>
      </c>
      <c r="J7214" s="5">
        <v>31740</v>
      </c>
      <c r="K7214" s="6">
        <f t="shared" si="295"/>
        <v>1.9162210339064139</v>
      </c>
    </row>
    <row r="7215" spans="1:11">
      <c r="A7215" s="4">
        <v>2026</v>
      </c>
      <c r="B7215">
        <v>15</v>
      </c>
      <c r="C7215" t="s">
        <v>10</v>
      </c>
      <c r="D7215" t="s">
        <v>11</v>
      </c>
      <c r="E7215" t="s">
        <v>23</v>
      </c>
      <c r="F7215" t="s">
        <v>24</v>
      </c>
      <c r="G7215" t="str">
        <f t="shared" si="296"/>
        <v>014FRUITY BUBBLES</v>
      </c>
      <c r="H7215" s="5">
        <v>5025</v>
      </c>
      <c r="I7215" s="6">
        <v>1702.8</v>
      </c>
      <c r="J7215" s="5">
        <v>12900</v>
      </c>
      <c r="K7215" s="6">
        <f t="shared" si="295"/>
        <v>2.9510218463706837</v>
      </c>
    </row>
    <row r="7216" spans="1:11">
      <c r="A7216" s="4">
        <v>2026</v>
      </c>
      <c r="B7216">
        <v>15</v>
      </c>
      <c r="C7216" t="s">
        <v>10</v>
      </c>
      <c r="D7216" t="s">
        <v>11</v>
      </c>
      <c r="E7216" t="s">
        <v>25</v>
      </c>
      <c r="F7216" t="s">
        <v>26</v>
      </c>
      <c r="G7216" t="str">
        <f t="shared" si="296"/>
        <v>015FELLINI</v>
      </c>
      <c r="H7216" s="5">
        <v>5020</v>
      </c>
      <c r="I7216" s="6">
        <v>3009.6</v>
      </c>
      <c r="J7216" s="5">
        <v>22800</v>
      </c>
      <c r="K7216" s="6">
        <f t="shared" si="295"/>
        <v>1.6679957469431155</v>
      </c>
    </row>
    <row r="7217" spans="1:11">
      <c r="A7217" s="4">
        <v>2026</v>
      </c>
      <c r="B7217">
        <v>15</v>
      </c>
      <c r="C7217" t="s">
        <v>10</v>
      </c>
      <c r="D7217" t="s">
        <v>11</v>
      </c>
      <c r="E7217" t="s">
        <v>27</v>
      </c>
      <c r="F7217" t="s">
        <v>28</v>
      </c>
      <c r="G7217" t="str">
        <f t="shared" si="296"/>
        <v>016GOOD PEACH</v>
      </c>
      <c r="H7217" s="5">
        <v>4500</v>
      </c>
      <c r="I7217" s="6">
        <v>1386</v>
      </c>
      <c r="J7217" s="5">
        <v>10500</v>
      </c>
      <c r="K7217" s="6">
        <f t="shared" si="295"/>
        <v>3.2467532467532467</v>
      </c>
    </row>
    <row r="7218" spans="1:11">
      <c r="A7218" s="4">
        <v>2026</v>
      </c>
      <c r="B7218">
        <v>15</v>
      </c>
      <c r="C7218" t="s">
        <v>10</v>
      </c>
      <c r="D7218" t="s">
        <v>11</v>
      </c>
      <c r="E7218" t="s">
        <v>27</v>
      </c>
      <c r="F7218" t="s">
        <v>29</v>
      </c>
      <c r="G7218" t="str">
        <f t="shared" si="296"/>
        <v>016GOOD YELLOW</v>
      </c>
      <c r="H7218" s="5">
        <v>4110</v>
      </c>
      <c r="I7218" s="6">
        <v>1386</v>
      </c>
      <c r="J7218" s="5">
        <v>10500</v>
      </c>
      <c r="K7218" s="6">
        <f t="shared" si="295"/>
        <v>2.9653679653679652</v>
      </c>
    </row>
    <row r="7219" spans="1:11">
      <c r="A7219" s="4">
        <v>2026</v>
      </c>
      <c r="B7219">
        <v>15</v>
      </c>
      <c r="C7219" t="s">
        <v>10</v>
      </c>
      <c r="D7219" t="s">
        <v>11</v>
      </c>
      <c r="E7219" t="s">
        <v>30</v>
      </c>
      <c r="F7219" t="s">
        <v>31</v>
      </c>
      <c r="G7219" t="str">
        <f t="shared" si="296"/>
        <v>017ORANGE STAR</v>
      </c>
      <c r="H7219" s="5">
        <v>2375</v>
      </c>
      <c r="I7219" s="6">
        <v>1029.5999999999999</v>
      </c>
      <c r="J7219" s="5">
        <v>7800</v>
      </c>
      <c r="K7219" s="6">
        <f t="shared" si="295"/>
        <v>2.3067210567210568</v>
      </c>
    </row>
    <row r="7220" spans="1:11">
      <c r="A7220" s="4">
        <v>2026</v>
      </c>
      <c r="B7220">
        <v>15</v>
      </c>
      <c r="C7220" t="s">
        <v>10</v>
      </c>
      <c r="D7220" t="s">
        <v>11</v>
      </c>
      <c r="E7220" t="s">
        <v>32</v>
      </c>
      <c r="F7220" t="s">
        <v>33</v>
      </c>
      <c r="G7220" t="str">
        <f t="shared" si="296"/>
        <v>018COSMO</v>
      </c>
      <c r="H7220" s="5">
        <v>2500</v>
      </c>
      <c r="I7220" s="6">
        <v>2653.2</v>
      </c>
      <c r="J7220" s="5">
        <v>20100</v>
      </c>
      <c r="K7220" s="6">
        <f t="shared" si="295"/>
        <v>0.94225840494497215</v>
      </c>
    </row>
    <row r="7221" spans="1:11">
      <c r="A7221" s="4">
        <v>2026</v>
      </c>
      <c r="B7221">
        <v>15</v>
      </c>
      <c r="C7221" t="s">
        <v>10</v>
      </c>
      <c r="D7221" t="s">
        <v>11</v>
      </c>
      <c r="E7221" t="s">
        <v>32</v>
      </c>
      <c r="F7221" t="s">
        <v>34</v>
      </c>
      <c r="G7221" t="str">
        <f t="shared" si="296"/>
        <v>018RUBICON</v>
      </c>
      <c r="H7221" s="5">
        <v>4020</v>
      </c>
      <c r="I7221" s="6">
        <v>1768.8</v>
      </c>
      <c r="J7221" s="5">
        <v>13400</v>
      </c>
      <c r="K7221" s="6">
        <f t="shared" si="295"/>
        <v>2.2727272727272729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35</v>
      </c>
      <c r="F7222" t="s">
        <v>15</v>
      </c>
      <c r="G7222" t="str">
        <f t="shared" si="296"/>
        <v>019BELLINA</v>
      </c>
      <c r="H7222" s="5">
        <v>1485</v>
      </c>
      <c r="I7222" s="6">
        <v>1029.5999999999999</v>
      </c>
      <c r="J7222" s="5">
        <v>7800</v>
      </c>
      <c r="K7222" s="6">
        <f t="shared" si="295"/>
        <v>1.4423076923076925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36</v>
      </c>
      <c r="F7223" t="s">
        <v>37</v>
      </c>
      <c r="G7223" t="str">
        <f t="shared" si="296"/>
        <v>020SUMMER DANCE</v>
      </c>
      <c r="H7223" s="5">
        <v>3475</v>
      </c>
      <c r="I7223" s="6">
        <v>1346.4</v>
      </c>
      <c r="J7223" s="5">
        <v>10200</v>
      </c>
      <c r="K7223" s="6">
        <f t="shared" si="295"/>
        <v>2.5809566250742719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38</v>
      </c>
      <c r="F7224" t="s">
        <v>39</v>
      </c>
      <c r="G7224" t="str">
        <f t="shared" si="296"/>
        <v>021ELEGANT ROSEVER</v>
      </c>
      <c r="H7224" s="5">
        <v>1440</v>
      </c>
      <c r="I7224" s="6">
        <v>440.18999062500001</v>
      </c>
      <c r="J7224" s="5">
        <v>3200</v>
      </c>
      <c r="K7224" s="6">
        <f t="shared" si="295"/>
        <v>3.2713147292500411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38</v>
      </c>
      <c r="F7225" t="s">
        <v>40</v>
      </c>
      <c r="G7225" t="str">
        <f t="shared" si="296"/>
        <v>021FLAME CLUB</v>
      </c>
      <c r="H7225" s="5">
        <v>1275</v>
      </c>
      <c r="I7225" s="6">
        <v>880.38</v>
      </c>
      <c r="J7225" s="5">
        <v>6400</v>
      </c>
      <c r="K7225" s="6">
        <f t="shared" si="295"/>
        <v>1.4482382607510393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38</v>
      </c>
      <c r="F7226" t="s">
        <v>41</v>
      </c>
      <c r="G7226" t="str">
        <f t="shared" si="296"/>
        <v>021KELLY</v>
      </c>
      <c r="H7226" s="5">
        <v>450</v>
      </c>
      <c r="I7226" s="6">
        <v>330.14249999999998</v>
      </c>
      <c r="J7226" s="5">
        <v>2400</v>
      </c>
      <c r="K7226" s="6">
        <f t="shared" si="295"/>
        <v>1.3630477748245076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38</v>
      </c>
      <c r="F7227" t="s">
        <v>42</v>
      </c>
      <c r="G7227" t="str">
        <f t="shared" si="296"/>
        <v>021LEILA</v>
      </c>
      <c r="H7227" s="5">
        <v>1000</v>
      </c>
      <c r="I7227" s="6">
        <v>770.33249999999998</v>
      </c>
      <c r="J7227" s="5">
        <v>5600</v>
      </c>
      <c r="K7227" s="6">
        <f t="shared" si="295"/>
        <v>1.2981407379281025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38</v>
      </c>
      <c r="F7228" t="s">
        <v>115</v>
      </c>
      <c r="G7228" t="str">
        <f t="shared" si="296"/>
        <v>021PISTACHIO KISS</v>
      </c>
      <c r="H7228" s="5">
        <v>50</v>
      </c>
      <c r="I7228" s="6">
        <v>880.38</v>
      </c>
      <c r="J7228" s="5">
        <v>6400</v>
      </c>
      <c r="K7228" s="6">
        <f t="shared" si="295"/>
        <v>5.6793657284354482E-2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38</v>
      </c>
      <c r="F7229" t="s">
        <v>21</v>
      </c>
      <c r="G7229" t="str">
        <f t="shared" si="296"/>
        <v>021SNOW BUBBLES</v>
      </c>
      <c r="H7229" s="5">
        <v>1220</v>
      </c>
      <c r="I7229" s="6">
        <v>1287.0000000000018</v>
      </c>
      <c r="J7229" s="5">
        <v>9400</v>
      </c>
      <c r="K7229" s="6">
        <f t="shared" si="295"/>
        <v>0.94794094794094663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43</v>
      </c>
      <c r="F7230" t="s">
        <v>24</v>
      </c>
      <c r="G7230" t="str">
        <f t="shared" si="296"/>
        <v>022FRUITY BUBBLES</v>
      </c>
      <c r="H7230" s="5">
        <v>5375</v>
      </c>
      <c r="I7230" s="6">
        <v>2641.14</v>
      </c>
      <c r="J7230" s="5">
        <v>19200</v>
      </c>
      <c r="K7230" s="6">
        <f t="shared" si="295"/>
        <v>2.0351060526893692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43</v>
      </c>
      <c r="F7231" t="s">
        <v>28</v>
      </c>
      <c r="G7231" t="str">
        <f t="shared" si="296"/>
        <v>022GOOD PEACH</v>
      </c>
      <c r="H7231" s="5">
        <v>2490</v>
      </c>
      <c r="I7231" s="6">
        <v>880.38</v>
      </c>
      <c r="J7231" s="5">
        <v>6400</v>
      </c>
      <c r="K7231" s="6">
        <f t="shared" si="295"/>
        <v>2.8283241327608533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43</v>
      </c>
      <c r="F7232" t="s">
        <v>44</v>
      </c>
      <c r="G7232" t="str">
        <f t="shared" si="296"/>
        <v>022MIRABEL</v>
      </c>
      <c r="H7232" s="5">
        <v>2560</v>
      </c>
      <c r="I7232" s="6">
        <v>880.38</v>
      </c>
      <c r="J7232" s="5">
        <v>6400</v>
      </c>
      <c r="K7232" s="6">
        <f t="shared" si="295"/>
        <v>2.9078352529589497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47</v>
      </c>
      <c r="F7233" t="s">
        <v>44</v>
      </c>
      <c r="G7233" t="str">
        <f t="shared" si="296"/>
        <v>030MIRABEL</v>
      </c>
      <c r="H7233" s="5">
        <v>5120</v>
      </c>
      <c r="I7233" s="6">
        <v>2413.6749943750001</v>
      </c>
      <c r="J7233" s="5">
        <v>17600</v>
      </c>
      <c r="K7233" s="6">
        <f t="shared" si="295"/>
        <v>2.1212466516544324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47</v>
      </c>
      <c r="F7234" t="s">
        <v>13</v>
      </c>
      <c r="G7234" t="str">
        <f t="shared" si="296"/>
        <v>030SOMERSET</v>
      </c>
      <c r="H7234" s="5">
        <v>3080</v>
      </c>
      <c r="I7234" s="6">
        <v>1645.6875</v>
      </c>
      <c r="J7234" s="5">
        <v>12000</v>
      </c>
      <c r="K7234" s="6">
        <f t="shared" si="295"/>
        <v>1.8715582393376629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48</v>
      </c>
      <c r="F7235" t="s">
        <v>49</v>
      </c>
      <c r="G7235" t="str">
        <f t="shared" si="296"/>
        <v>03182989</v>
      </c>
      <c r="H7235" s="5">
        <v>1840</v>
      </c>
      <c r="I7235" s="6">
        <v>726.32013058333712</v>
      </c>
      <c r="J7235" s="5">
        <v>5712</v>
      </c>
      <c r="K7235" s="6">
        <f t="shared" si="295"/>
        <v>2.533318191968907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48</v>
      </c>
      <c r="F7236" t="s">
        <v>34</v>
      </c>
      <c r="G7236" t="str">
        <f t="shared" si="296"/>
        <v>031RUBICON</v>
      </c>
      <c r="H7236" s="5">
        <v>2640</v>
      </c>
      <c r="I7236" s="6">
        <v>924.39958333667107</v>
      </c>
      <c r="J7236" s="5">
        <v>6720</v>
      </c>
      <c r="K7236" s="6">
        <f t="shared" si="295"/>
        <v>2.8559078212376243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48</v>
      </c>
      <c r="F7237" t="s">
        <v>13</v>
      </c>
      <c r="G7237" t="str">
        <f t="shared" si="296"/>
        <v>031SOMERSET</v>
      </c>
      <c r="H7237" s="5">
        <v>380</v>
      </c>
      <c r="I7237" s="6">
        <v>1122.485208333339</v>
      </c>
      <c r="J7237" s="5">
        <v>8160</v>
      </c>
      <c r="K7237" s="6">
        <f t="shared" si="295"/>
        <v>0.33853452783063603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48</v>
      </c>
      <c r="F7238" t="s">
        <v>50</v>
      </c>
      <c r="G7238" t="str">
        <f t="shared" si="296"/>
        <v>031VELVET BLOSSOMS</v>
      </c>
      <c r="H7238" s="5">
        <v>700</v>
      </c>
      <c r="I7238" s="6">
        <v>396.17125000000198</v>
      </c>
      <c r="J7238" s="5">
        <v>2880</v>
      </c>
      <c r="K7238" s="6">
        <f t="shared" si="295"/>
        <v>1.7669126671862143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51</v>
      </c>
      <c r="F7239" t="s">
        <v>17</v>
      </c>
      <c r="G7239" t="str">
        <f t="shared" si="296"/>
        <v>032ELBA</v>
      </c>
      <c r="H7239" s="5">
        <v>3660</v>
      </c>
      <c r="I7239" s="6">
        <v>1535.9749999999999</v>
      </c>
      <c r="J7239" s="5">
        <v>11200</v>
      </c>
      <c r="K7239" s="6">
        <f t="shared" ref="K7239:K7300" si="297">+H7239/I7239</f>
        <v>2.3828512833867741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51</v>
      </c>
      <c r="F7240" t="s">
        <v>44</v>
      </c>
      <c r="G7240" t="str">
        <f t="shared" si="296"/>
        <v>032MIRABEL</v>
      </c>
      <c r="H7240" s="5">
        <v>3640</v>
      </c>
      <c r="I7240" s="6">
        <v>1535.9749999999999</v>
      </c>
      <c r="J7240" s="5">
        <v>11200</v>
      </c>
      <c r="K7240" s="6">
        <f t="shared" si="297"/>
        <v>2.3698302381223653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52</v>
      </c>
      <c r="F7241" t="s">
        <v>53</v>
      </c>
      <c r="G7241" t="str">
        <f t="shared" si="296"/>
        <v>033CREAMY FOLIES</v>
      </c>
      <c r="H7241" s="5">
        <v>930</v>
      </c>
      <c r="I7241" s="6">
        <v>594.25687500000299</v>
      </c>
      <c r="J7241" s="5">
        <v>4320</v>
      </c>
      <c r="K7241" s="6">
        <f t="shared" si="297"/>
        <v>1.5649797909363612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52</v>
      </c>
      <c r="F7242" t="s">
        <v>18</v>
      </c>
      <c r="G7242" t="str">
        <f t="shared" si="296"/>
        <v>033HOT BUBBLES</v>
      </c>
      <c r="H7242" s="5">
        <v>5440</v>
      </c>
      <c r="I7242" s="6">
        <v>2575.1131250013459</v>
      </c>
      <c r="J7242" s="5">
        <v>18720</v>
      </c>
      <c r="K7242" s="6">
        <f t="shared" si="297"/>
        <v>2.112528551535831</v>
      </c>
    </row>
    <row r="7243" spans="1:11">
      <c r="A7243" s="4">
        <v>2026</v>
      </c>
      <c r="B7243">
        <v>15</v>
      </c>
      <c r="C7243" t="s">
        <v>54</v>
      </c>
      <c r="D7243" t="s">
        <v>11</v>
      </c>
      <c r="E7243" t="s">
        <v>55</v>
      </c>
      <c r="F7243" t="s">
        <v>56</v>
      </c>
      <c r="G7243" t="str">
        <f t="shared" si="296"/>
        <v>001BELIEVE IN PINK</v>
      </c>
      <c r="H7243" s="5">
        <v>1380</v>
      </c>
      <c r="I7243" s="6">
        <v>528.37931032368999</v>
      </c>
      <c r="J7243" s="5">
        <v>4000</v>
      </c>
      <c r="K7243" s="6">
        <f t="shared" ref="K7243:K7248" si="298">IFERROR(H7243/I7243,"")</f>
        <v>2.6117600993017676</v>
      </c>
    </row>
    <row r="7244" spans="1:11">
      <c r="A7244" s="4">
        <v>2026</v>
      </c>
      <c r="B7244">
        <v>15</v>
      </c>
      <c r="C7244" t="s">
        <v>54</v>
      </c>
      <c r="D7244" t="s">
        <v>11</v>
      </c>
      <c r="E7244" t="s">
        <v>55</v>
      </c>
      <c r="F7244" t="s">
        <v>57</v>
      </c>
      <c r="G7244" t="str">
        <f t="shared" si="296"/>
        <v>001EXPLORER</v>
      </c>
      <c r="H7244" s="5">
        <v>4100</v>
      </c>
      <c r="I7244" s="6">
        <v>2272.0310343918732</v>
      </c>
      <c r="J7244" s="5">
        <v>17200</v>
      </c>
      <c r="K7244" s="6">
        <f t="shared" si="298"/>
        <v>1.8045528154932959</v>
      </c>
    </row>
    <row r="7245" spans="1:11">
      <c r="A7245" s="4">
        <v>2026</v>
      </c>
      <c r="B7245">
        <v>15</v>
      </c>
      <c r="C7245" t="s">
        <v>54</v>
      </c>
      <c r="D7245" t="s">
        <v>11</v>
      </c>
      <c r="E7245" t="s">
        <v>55</v>
      </c>
      <c r="F7245" t="s">
        <v>58</v>
      </c>
      <c r="G7245" t="str">
        <f t="shared" si="296"/>
        <v>001GRACE KELLY</v>
      </c>
      <c r="H7245" s="5">
        <v>1620</v>
      </c>
      <c r="I7245" s="6">
        <v>1162.4344827121224</v>
      </c>
      <c r="J7245" s="5">
        <v>8800</v>
      </c>
      <c r="K7245" s="6">
        <f t="shared" si="298"/>
        <v>1.3936269304574596</v>
      </c>
    </row>
    <row r="7246" spans="1:11">
      <c r="A7246" s="4">
        <v>2026</v>
      </c>
      <c r="B7246">
        <v>15</v>
      </c>
      <c r="C7246" t="s">
        <v>54</v>
      </c>
      <c r="D7246" t="s">
        <v>11</v>
      </c>
      <c r="E7246" t="s">
        <v>55</v>
      </c>
      <c r="F7246" t="s">
        <v>60</v>
      </c>
      <c r="G7246" t="str">
        <f t="shared" si="296"/>
        <v>001LIGHT HOUSE</v>
      </c>
      <c r="H7246" s="5">
        <v>2850</v>
      </c>
      <c r="I7246" s="6">
        <v>1056.7586206473827</v>
      </c>
      <c r="J7246" s="5">
        <v>8000</v>
      </c>
      <c r="K7246" s="6">
        <f t="shared" si="298"/>
        <v>2.6969261894963834</v>
      </c>
    </row>
    <row r="7247" spans="1:11">
      <c r="A7247" s="4">
        <v>2026</v>
      </c>
      <c r="B7247">
        <v>15</v>
      </c>
      <c r="C7247" t="s">
        <v>54</v>
      </c>
      <c r="D7247" t="s">
        <v>11</v>
      </c>
      <c r="E7247" t="s">
        <v>55</v>
      </c>
      <c r="F7247" t="s">
        <v>61</v>
      </c>
      <c r="G7247" t="str">
        <f t="shared" si="296"/>
        <v>001LUMIA</v>
      </c>
      <c r="H7247" s="5">
        <v>2580</v>
      </c>
      <c r="I7247" s="6">
        <v>1109.596551679753</v>
      </c>
      <c r="J7247" s="5">
        <v>8400</v>
      </c>
      <c r="K7247" s="6">
        <f t="shared" si="298"/>
        <v>2.3251694465833457</v>
      </c>
    </row>
    <row r="7248" spans="1:11">
      <c r="A7248" s="4">
        <v>2026</v>
      </c>
      <c r="B7248">
        <v>15</v>
      </c>
      <c r="C7248" t="s">
        <v>54</v>
      </c>
      <c r="D7248" t="s">
        <v>11</v>
      </c>
      <c r="E7248" t="s">
        <v>55</v>
      </c>
      <c r="F7248" t="s">
        <v>62</v>
      </c>
      <c r="G7248" t="str">
        <f t="shared" si="296"/>
        <v>001MOMENTUM</v>
      </c>
      <c r="H7248" s="5">
        <v>3425</v>
      </c>
      <c r="I7248" s="6">
        <v>1902.1655171652881</v>
      </c>
      <c r="J7248" s="5">
        <v>14400</v>
      </c>
      <c r="K7248" s="6">
        <f t="shared" si="298"/>
        <v>1.800579376028288</v>
      </c>
    </row>
    <row r="7249" spans="1:11">
      <c r="A7249" s="4">
        <v>2026</v>
      </c>
      <c r="B7249">
        <v>15</v>
      </c>
      <c r="C7249" t="s">
        <v>54</v>
      </c>
      <c r="D7249" t="s">
        <v>11</v>
      </c>
      <c r="E7249" t="s">
        <v>12</v>
      </c>
      <c r="F7249" t="s">
        <v>63</v>
      </c>
      <c r="G7249" t="str">
        <f t="shared" si="296"/>
        <v>002SUMMER ROMANCE</v>
      </c>
      <c r="H7249" s="5">
        <v>1175</v>
      </c>
      <c r="I7249" s="6">
        <v>951.10714281909407</v>
      </c>
      <c r="J7249" s="5">
        <v>7200</v>
      </c>
      <c r="K7249" s="6">
        <f t="shared" si="297"/>
        <v>1.2354023506934082</v>
      </c>
    </row>
    <row r="7250" spans="1:11">
      <c r="A7250" s="4">
        <v>2026</v>
      </c>
      <c r="B7250">
        <v>15</v>
      </c>
      <c r="C7250" t="s">
        <v>54</v>
      </c>
      <c r="D7250" t="s">
        <v>11</v>
      </c>
      <c r="E7250" t="s">
        <v>12</v>
      </c>
      <c r="F7250" t="s">
        <v>64</v>
      </c>
      <c r="G7250" t="str">
        <f t="shared" si="296"/>
        <v>002SWEETNESS</v>
      </c>
      <c r="H7250" s="5">
        <v>6570</v>
      </c>
      <c r="I7250" s="6">
        <v>3804.4285712763772</v>
      </c>
      <c r="J7250" s="5">
        <v>28800</v>
      </c>
      <c r="K7250" s="6">
        <f t="shared" si="297"/>
        <v>1.726934775330998</v>
      </c>
    </row>
    <row r="7251" spans="1:11">
      <c r="A7251" s="4">
        <v>2026</v>
      </c>
      <c r="B7251">
        <v>15</v>
      </c>
      <c r="C7251" t="s">
        <v>54</v>
      </c>
      <c r="D7251" t="s">
        <v>11</v>
      </c>
      <c r="E7251" t="s">
        <v>65</v>
      </c>
      <c r="F7251" t="s">
        <v>66</v>
      </c>
      <c r="G7251" t="str">
        <f t="shared" si="296"/>
        <v>003CABARET</v>
      </c>
      <c r="H7251" s="5">
        <v>7260</v>
      </c>
      <c r="I7251" s="6">
        <v>2641.8965516184649</v>
      </c>
      <c r="J7251" s="5">
        <v>20000</v>
      </c>
      <c r="K7251" s="6">
        <f t="shared" si="297"/>
        <v>2.7480258436131484</v>
      </c>
    </row>
    <row r="7252" spans="1:11">
      <c r="A7252" s="4">
        <v>2026</v>
      </c>
      <c r="B7252">
        <v>15</v>
      </c>
      <c r="C7252" t="s">
        <v>54</v>
      </c>
      <c r="D7252" t="s">
        <v>11</v>
      </c>
      <c r="E7252" t="s">
        <v>65</v>
      </c>
      <c r="F7252" t="s">
        <v>67</v>
      </c>
      <c r="G7252" t="str">
        <f t="shared" si="296"/>
        <v>003DEEP PURPLE</v>
      </c>
      <c r="H7252" s="5">
        <v>18720</v>
      </c>
      <c r="I7252" s="6">
        <v>3592.9793102010913</v>
      </c>
      <c r="J7252" s="5">
        <v>26044</v>
      </c>
      <c r="K7252" s="6">
        <f t="shared" si="297"/>
        <v>5.2101608119063405</v>
      </c>
    </row>
    <row r="7253" spans="1:11">
      <c r="A7253" s="4">
        <v>2026</v>
      </c>
      <c r="B7253">
        <v>15</v>
      </c>
      <c r="C7253" t="s">
        <v>54</v>
      </c>
      <c r="D7253" t="s">
        <v>11</v>
      </c>
      <c r="E7253" t="s">
        <v>65</v>
      </c>
      <c r="F7253" t="s">
        <v>57</v>
      </c>
      <c r="G7253" t="str">
        <f t="shared" si="296"/>
        <v>003EXPLORER</v>
      </c>
      <c r="H7253" s="5">
        <v>2725</v>
      </c>
      <c r="I7253" s="6">
        <v>1268.1103447768633</v>
      </c>
      <c r="J7253" s="5">
        <v>9600</v>
      </c>
      <c r="K7253" s="6">
        <f t="shared" si="297"/>
        <v>2.1488666275957957</v>
      </c>
    </row>
    <row r="7254" spans="1:11">
      <c r="A7254" s="4">
        <v>2026</v>
      </c>
      <c r="B7254">
        <v>15</v>
      </c>
      <c r="C7254" t="s">
        <v>54</v>
      </c>
      <c r="D7254" t="s">
        <v>11</v>
      </c>
      <c r="E7254" t="s">
        <v>65</v>
      </c>
      <c r="F7254" t="s">
        <v>68</v>
      </c>
      <c r="G7254" t="str">
        <f t="shared" si="296"/>
        <v>003JOCKER</v>
      </c>
      <c r="H7254" s="5">
        <v>1075</v>
      </c>
      <c r="I7254" s="6">
        <v>528.37931032368999</v>
      </c>
      <c r="J7254" s="5">
        <v>4000</v>
      </c>
      <c r="K7254" s="6">
        <f t="shared" si="297"/>
        <v>2.0345232657604346</v>
      </c>
    </row>
    <row r="7255" spans="1:11">
      <c r="A7255" s="4">
        <v>2026</v>
      </c>
      <c r="B7255">
        <v>15</v>
      </c>
      <c r="C7255" t="s">
        <v>54</v>
      </c>
      <c r="D7255" t="s">
        <v>11</v>
      </c>
      <c r="E7255" t="s">
        <v>65</v>
      </c>
      <c r="F7255" t="s">
        <v>69</v>
      </c>
      <c r="G7255" t="str">
        <f t="shared" si="296"/>
        <v>003QUICKSAND</v>
      </c>
      <c r="H7255" s="5">
        <v>2340</v>
      </c>
      <c r="I7255" s="6">
        <v>1162.4344827121247</v>
      </c>
      <c r="J7255" s="5">
        <v>8800</v>
      </c>
      <c r="K7255" s="6">
        <f t="shared" si="297"/>
        <v>2.0130166773274376</v>
      </c>
    </row>
    <row r="7256" spans="1:11">
      <c r="A7256" s="4">
        <v>2026</v>
      </c>
      <c r="B7256">
        <v>15</v>
      </c>
      <c r="C7256" t="s">
        <v>54</v>
      </c>
      <c r="D7256" t="s">
        <v>11</v>
      </c>
      <c r="E7256" t="s">
        <v>14</v>
      </c>
      <c r="F7256" t="s">
        <v>70</v>
      </c>
      <c r="G7256" t="str">
        <f t="shared" si="296"/>
        <v>004COTOPAXI</v>
      </c>
      <c r="H7256" s="5">
        <v>1320</v>
      </c>
      <c r="I7256" s="6">
        <v>528.3915024419166</v>
      </c>
      <c r="J7256" s="5">
        <v>4000</v>
      </c>
      <c r="K7256" s="6">
        <f t="shared" si="297"/>
        <v>2.4981476687261845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14</v>
      </c>
      <c r="F7257" t="s">
        <v>67</v>
      </c>
      <c r="G7257" t="str">
        <f t="shared" ref="G7257:G7319" si="299">+E7257&amp;F7257</f>
        <v>004DEEP PURPLE</v>
      </c>
      <c r="H7257" s="5">
        <v>18750</v>
      </c>
      <c r="I7257" s="6">
        <v>3910.1071427007282</v>
      </c>
      <c r="J7257" s="5">
        <v>29260</v>
      </c>
      <c r="K7257" s="6">
        <f t="shared" si="297"/>
        <v>4.7952650185051686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14</v>
      </c>
      <c r="F7258" t="s">
        <v>71</v>
      </c>
      <c r="G7258" t="str">
        <f t="shared" si="299"/>
        <v>004HOT EXPLORER</v>
      </c>
      <c r="H7258" s="5">
        <v>3175</v>
      </c>
      <c r="I7258" s="6">
        <v>1902.2142856381945</v>
      </c>
      <c r="J7258" s="5">
        <v>14400</v>
      </c>
      <c r="K7258" s="6">
        <f t="shared" si="297"/>
        <v>1.6691074312559822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14</v>
      </c>
      <c r="F7259" t="s">
        <v>72</v>
      </c>
      <c r="G7259" t="str">
        <f t="shared" si="299"/>
        <v>004HOT MERENGUE</v>
      </c>
      <c r="H7259" s="5">
        <v>4710</v>
      </c>
      <c r="I7259" s="6">
        <v>1162.4642856677858</v>
      </c>
      <c r="J7259" s="5">
        <v>8800</v>
      </c>
      <c r="K7259" s="6">
        <f t="shared" si="297"/>
        <v>4.0517373807267614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14</v>
      </c>
      <c r="F7260" t="s">
        <v>64</v>
      </c>
      <c r="G7260" t="str">
        <f t="shared" si="299"/>
        <v>004SWEETNESS</v>
      </c>
      <c r="H7260" s="5">
        <v>690</v>
      </c>
      <c r="I7260" s="6">
        <v>317.03571427303262</v>
      </c>
      <c r="J7260" s="5">
        <v>2400</v>
      </c>
      <c r="K7260" s="6">
        <f t="shared" si="297"/>
        <v>2.1764109497322086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16</v>
      </c>
      <c r="F7261" t="s">
        <v>57</v>
      </c>
      <c r="G7261" t="str">
        <f t="shared" si="299"/>
        <v>005EXPLORER</v>
      </c>
      <c r="H7261" s="5">
        <v>1575</v>
      </c>
      <c r="I7261" s="6">
        <v>951.10714281875391</v>
      </c>
      <c r="J7261" s="5">
        <v>7200</v>
      </c>
      <c r="K7261" s="6">
        <f t="shared" si="297"/>
        <v>1.655964853057714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16</v>
      </c>
      <c r="F7262" t="s">
        <v>73</v>
      </c>
      <c r="G7262" t="str">
        <f t="shared" si="299"/>
        <v>005GOLDFINCH</v>
      </c>
      <c r="H7262" s="5">
        <v>1800</v>
      </c>
      <c r="I7262" s="6">
        <v>898.26785710660101</v>
      </c>
      <c r="J7262" s="5">
        <v>6800</v>
      </c>
      <c r="K7262" s="6">
        <f t="shared" si="297"/>
        <v>2.0038566289101745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16</v>
      </c>
      <c r="F7263" t="s">
        <v>68</v>
      </c>
      <c r="G7263" t="str">
        <f t="shared" si="299"/>
        <v>005JOCKER</v>
      </c>
      <c r="H7263" s="5">
        <v>2600</v>
      </c>
      <c r="I7263" s="6">
        <v>1162.4642856673661</v>
      </c>
      <c r="J7263" s="5">
        <v>8800</v>
      </c>
      <c r="K7263" s="6">
        <f t="shared" si="297"/>
        <v>2.2366278534805484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16</v>
      </c>
      <c r="F7264" t="s">
        <v>74</v>
      </c>
      <c r="G7264" t="str">
        <f t="shared" si="299"/>
        <v>005VENDELA</v>
      </c>
      <c r="H7264" s="5">
        <v>1470</v>
      </c>
      <c r="I7264" s="6">
        <v>686.91071425798896</v>
      </c>
      <c r="J7264" s="5">
        <v>5200</v>
      </c>
      <c r="K7264" s="6">
        <f t="shared" si="297"/>
        <v>2.1400161177976611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75</v>
      </c>
      <c r="F7265" t="s">
        <v>76</v>
      </c>
      <c r="G7265" t="str">
        <f t="shared" si="299"/>
        <v>006ATOMIC</v>
      </c>
      <c r="H7265" s="5">
        <v>1325</v>
      </c>
      <c r="I7265" s="6">
        <v>845.428571394752</v>
      </c>
      <c r="J7265" s="5">
        <v>6400</v>
      </c>
      <c r="K7265" s="6">
        <f t="shared" si="297"/>
        <v>1.5672524502147727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75</v>
      </c>
      <c r="F7266" t="s">
        <v>57</v>
      </c>
      <c r="G7266" t="str">
        <f t="shared" si="299"/>
        <v>006EXPLORER</v>
      </c>
      <c r="H7266" s="5">
        <v>8400</v>
      </c>
      <c r="I7266" s="6">
        <v>3910.1071427007355</v>
      </c>
      <c r="J7266" s="5">
        <v>29600</v>
      </c>
      <c r="K7266" s="6">
        <f t="shared" si="297"/>
        <v>2.1482787282903115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75</v>
      </c>
      <c r="F7267" t="s">
        <v>77</v>
      </c>
      <c r="G7267" t="str">
        <f t="shared" si="299"/>
        <v>006MONDIAL</v>
      </c>
      <c r="H7267" s="5">
        <v>8850</v>
      </c>
      <c r="I7267" s="6">
        <v>4015.7857141250793</v>
      </c>
      <c r="J7267" s="5">
        <v>30400</v>
      </c>
      <c r="K7267" s="6">
        <f t="shared" si="297"/>
        <v>2.2038028495572135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20</v>
      </c>
      <c r="F7268" t="s">
        <v>70</v>
      </c>
      <c r="G7268" t="str">
        <f t="shared" si="299"/>
        <v>007COTOPAXI</v>
      </c>
      <c r="H7268" s="5">
        <v>7950</v>
      </c>
      <c r="I7268" s="6">
        <v>2747.5751230427709</v>
      </c>
      <c r="J7268" s="5">
        <v>20800</v>
      </c>
      <c r="K7268" s="6">
        <f t="shared" si="297"/>
        <v>2.8934604674961033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20</v>
      </c>
      <c r="F7269" t="s">
        <v>78</v>
      </c>
      <c r="G7269" t="str">
        <f t="shared" si="299"/>
        <v>007REDIANT</v>
      </c>
      <c r="H7269" s="5">
        <v>2700</v>
      </c>
      <c r="I7269" s="6">
        <v>1056.75862064738</v>
      </c>
      <c r="J7269" s="5">
        <v>9600</v>
      </c>
      <c r="K7269" s="6">
        <f t="shared" si="297"/>
        <v>2.5549827058386856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20</v>
      </c>
      <c r="F7270" t="s">
        <v>63</v>
      </c>
      <c r="G7270" t="str">
        <f t="shared" si="299"/>
        <v>007SUMMER ROMANCE</v>
      </c>
      <c r="H7270" s="5">
        <v>275</v>
      </c>
      <c r="I7270" s="6">
        <v>369.86551722658481</v>
      </c>
      <c r="J7270" s="5">
        <v>3080</v>
      </c>
      <c r="K7270" s="6">
        <f t="shared" si="297"/>
        <v>0.74351348582606891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20</v>
      </c>
      <c r="F7271" t="s">
        <v>74</v>
      </c>
      <c r="G7271" t="str">
        <f t="shared" si="299"/>
        <v>007VENDELA</v>
      </c>
      <c r="H7271" s="5">
        <v>11010</v>
      </c>
      <c r="I7271" s="6">
        <v>3592.9793102011122</v>
      </c>
      <c r="J7271" s="5">
        <v>27820</v>
      </c>
      <c r="K7271" s="6">
        <f t="shared" si="297"/>
        <v>3.064309323669256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79</v>
      </c>
      <c r="F7272" t="s">
        <v>67</v>
      </c>
      <c r="G7272" t="str">
        <f t="shared" si="299"/>
        <v>008DEEP PURPLE</v>
      </c>
      <c r="H7272" s="5">
        <v>9990</v>
      </c>
      <c r="I7272" s="6">
        <v>1585.2222221588099</v>
      </c>
      <c r="J7272" s="5">
        <v>11490</v>
      </c>
      <c r="K7272" s="6">
        <f t="shared" si="297"/>
        <v>6.3019555620380316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79</v>
      </c>
      <c r="F7273" t="s">
        <v>81</v>
      </c>
      <c r="G7273" t="str">
        <f t="shared" si="299"/>
        <v>008FREEDOM</v>
      </c>
      <c r="H7273" s="5">
        <v>4800</v>
      </c>
      <c r="I7273" s="6">
        <v>2219.311111022334</v>
      </c>
      <c r="J7273" s="5">
        <v>16800</v>
      </c>
      <c r="K7273" s="6">
        <f t="shared" si="297"/>
        <v>2.1628333117247638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79</v>
      </c>
      <c r="F7274" t="s">
        <v>68</v>
      </c>
      <c r="G7274" t="str">
        <f t="shared" si="299"/>
        <v>008JOCKER</v>
      </c>
      <c r="H7274" s="5">
        <v>5400</v>
      </c>
      <c r="I7274" s="6">
        <v>2959.0814813631118</v>
      </c>
      <c r="J7274" s="5">
        <v>22400</v>
      </c>
      <c r="K7274" s="6">
        <f t="shared" si="297"/>
        <v>1.8248906067677697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79</v>
      </c>
      <c r="F7275" t="s">
        <v>61</v>
      </c>
      <c r="G7275" t="str">
        <f t="shared" si="299"/>
        <v>008LUMIA</v>
      </c>
      <c r="H7275" s="5">
        <v>1950</v>
      </c>
      <c r="I7275" s="6">
        <v>1796.5851851133182</v>
      </c>
      <c r="J7275" s="5">
        <v>13600</v>
      </c>
      <c r="K7275" s="6">
        <f t="shared" si="297"/>
        <v>1.0853924523912877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82</v>
      </c>
      <c r="F7276" t="s">
        <v>83</v>
      </c>
      <c r="G7276" t="str">
        <f t="shared" si="299"/>
        <v>010COOLDOWN</v>
      </c>
      <c r="H7276" s="5">
        <v>4225</v>
      </c>
      <c r="I7276" s="6">
        <v>1912.3542857142861</v>
      </c>
      <c r="J7276" s="5">
        <v>16320</v>
      </c>
      <c r="K7276" s="6">
        <f t="shared" si="297"/>
        <v>2.2093186558378299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82</v>
      </c>
      <c r="F7277" t="s">
        <v>84</v>
      </c>
      <c r="G7277" t="str">
        <f t="shared" si="299"/>
        <v>010VIOLET HILL</v>
      </c>
      <c r="H7277" s="5">
        <v>4320</v>
      </c>
      <c r="I7277" s="6">
        <v>2812.2857142428579</v>
      </c>
      <c r="J7277" s="5">
        <v>20000</v>
      </c>
      <c r="K7277" s="6">
        <f t="shared" si="297"/>
        <v>1.5361170375119795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85</v>
      </c>
      <c r="F7278" t="s">
        <v>86</v>
      </c>
      <c r="G7278" t="str">
        <f t="shared" si="299"/>
        <v>011BRIGHTON</v>
      </c>
      <c r="H7278" s="5">
        <v>1850</v>
      </c>
      <c r="I7278" s="6">
        <v>1768.8376470588223</v>
      </c>
      <c r="J7278" s="5">
        <v>12800</v>
      </c>
      <c r="K7278" s="6">
        <f t="shared" si="297"/>
        <v>1.0458845689292811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85</v>
      </c>
      <c r="F7279" t="s">
        <v>87</v>
      </c>
      <c r="G7279" t="str">
        <f t="shared" si="299"/>
        <v>011CANDLELIGHT</v>
      </c>
      <c r="H7279" s="5">
        <v>5400</v>
      </c>
      <c r="I7279" s="6">
        <v>2263.7999998868127</v>
      </c>
      <c r="J7279" s="5">
        <v>17920</v>
      </c>
      <c r="K7279" s="6">
        <f t="shared" si="297"/>
        <v>2.3853697324277734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85</v>
      </c>
      <c r="F7280" t="s">
        <v>88</v>
      </c>
      <c r="G7280" t="str">
        <f t="shared" si="299"/>
        <v>011CAYENNE</v>
      </c>
      <c r="H7280" s="5">
        <v>1260</v>
      </c>
      <c r="I7280" s="6">
        <v>994.97117647058747</v>
      </c>
      <c r="J7280" s="5">
        <v>7200</v>
      </c>
      <c r="K7280" s="6">
        <f t="shared" si="297"/>
        <v>1.2663683429197781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85</v>
      </c>
      <c r="F7281" t="s">
        <v>61</v>
      </c>
      <c r="G7281" t="str">
        <f t="shared" si="299"/>
        <v>011LUMIA</v>
      </c>
      <c r="H7281" s="5">
        <v>1530</v>
      </c>
      <c r="I7281" s="6">
        <v>994.97117647058747</v>
      </c>
      <c r="J7281" s="5">
        <v>7920</v>
      </c>
      <c r="K7281" s="6">
        <f t="shared" si="297"/>
        <v>1.5377329878311592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85</v>
      </c>
      <c r="F7282" t="s">
        <v>89</v>
      </c>
      <c r="G7282" t="str">
        <f t="shared" si="299"/>
        <v>011STARDUST</v>
      </c>
      <c r="H7282" s="5">
        <v>3450</v>
      </c>
      <c r="I7282" s="6">
        <v>2263.7999998868127</v>
      </c>
      <c r="J7282" s="5">
        <v>17920</v>
      </c>
      <c r="K7282" s="6">
        <f t="shared" si="297"/>
        <v>1.5239862179399664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90</v>
      </c>
      <c r="F7283" t="s">
        <v>67</v>
      </c>
      <c r="G7283" t="str">
        <f t="shared" si="299"/>
        <v>012DEEP PURPLE</v>
      </c>
      <c r="H7283" s="5">
        <v>18780</v>
      </c>
      <c r="I7283" s="6">
        <v>6727.0499997982479</v>
      </c>
      <c r="J7283" s="5">
        <v>49210</v>
      </c>
      <c r="K7283" s="6">
        <f t="shared" si="297"/>
        <v>2.7917140500759223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90</v>
      </c>
      <c r="F7284" t="s">
        <v>60</v>
      </c>
      <c r="G7284" t="str">
        <f t="shared" si="299"/>
        <v>012LIGHT HOUSE</v>
      </c>
      <c r="H7284" s="5">
        <v>2130</v>
      </c>
      <c r="I7284" s="6">
        <v>994.95</v>
      </c>
      <c r="J7284" s="5">
        <v>7200</v>
      </c>
      <c r="K7284" s="6">
        <f t="shared" si="297"/>
        <v>2.1408110960349767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91</v>
      </c>
      <c r="F7285" t="s">
        <v>92</v>
      </c>
      <c r="G7285" t="str">
        <f t="shared" si="299"/>
        <v>013COUNTRY BLUES</v>
      </c>
      <c r="H7285" s="5">
        <v>1380</v>
      </c>
      <c r="I7285" s="6">
        <v>831.6</v>
      </c>
      <c r="J7285" s="5">
        <v>6300</v>
      </c>
      <c r="K7285" s="6">
        <f t="shared" si="297"/>
        <v>1.6594516594516595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91</v>
      </c>
      <c r="F7286" t="s">
        <v>93</v>
      </c>
      <c r="G7286" t="str">
        <f t="shared" si="299"/>
        <v>013LORRAINE</v>
      </c>
      <c r="H7286" s="5">
        <v>4825</v>
      </c>
      <c r="I7286" s="6">
        <v>1267.2</v>
      </c>
      <c r="J7286" s="5">
        <v>9600</v>
      </c>
      <c r="K7286" s="6">
        <f t="shared" si="297"/>
        <v>3.8076073232323231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91</v>
      </c>
      <c r="F7287" t="s">
        <v>61</v>
      </c>
      <c r="G7287" t="str">
        <f t="shared" si="299"/>
        <v>013LUMIA</v>
      </c>
      <c r="H7287" s="5">
        <v>1290</v>
      </c>
      <c r="I7287" s="6">
        <v>316.8</v>
      </c>
      <c r="J7287" s="5">
        <v>2400</v>
      </c>
      <c r="K7287" s="6">
        <f t="shared" si="297"/>
        <v>4.0719696969696972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91</v>
      </c>
      <c r="F7288" t="s">
        <v>74</v>
      </c>
      <c r="G7288" t="str">
        <f t="shared" si="299"/>
        <v>013VENDELA</v>
      </c>
      <c r="H7288" s="5">
        <v>14850</v>
      </c>
      <c r="I7288" s="6">
        <v>3603.6</v>
      </c>
      <c r="J7288" s="5">
        <v>27296</v>
      </c>
      <c r="K7288" s="6">
        <f t="shared" si="297"/>
        <v>4.1208791208791213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23</v>
      </c>
      <c r="F7289" t="s">
        <v>89</v>
      </c>
      <c r="G7289" t="str">
        <f t="shared" si="299"/>
        <v>014STARDUST</v>
      </c>
      <c r="H7289" s="5">
        <v>6825</v>
      </c>
      <c r="I7289" s="6">
        <v>3682.8</v>
      </c>
      <c r="J7289" s="5">
        <v>27900</v>
      </c>
      <c r="K7289" s="6">
        <f t="shared" si="297"/>
        <v>1.8532095144998371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25</v>
      </c>
      <c r="F7290" t="s">
        <v>68</v>
      </c>
      <c r="G7290" t="str">
        <f t="shared" si="299"/>
        <v>015JOCKER</v>
      </c>
      <c r="H7290" s="5">
        <v>4425</v>
      </c>
      <c r="I7290" s="6">
        <v>2376</v>
      </c>
      <c r="J7290" s="5">
        <v>18000</v>
      </c>
      <c r="K7290" s="6">
        <f t="shared" si="297"/>
        <v>1.8623737373737375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27</v>
      </c>
      <c r="F7291" t="s">
        <v>94</v>
      </c>
      <c r="G7291" t="str">
        <f t="shared" si="299"/>
        <v>016DREAM IN PEACH</v>
      </c>
      <c r="H7291" s="5">
        <v>1650</v>
      </c>
      <c r="I7291" s="6">
        <v>950.4</v>
      </c>
      <c r="J7291" s="5">
        <v>7200</v>
      </c>
      <c r="K7291" s="6">
        <f t="shared" si="297"/>
        <v>1.7361111111111112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27</v>
      </c>
      <c r="F7292" t="s">
        <v>95</v>
      </c>
      <c r="G7292" t="str">
        <f t="shared" si="299"/>
        <v>016NINA</v>
      </c>
      <c r="H7292" s="5">
        <v>4075</v>
      </c>
      <c r="I7292" s="6">
        <v>1346.4</v>
      </c>
      <c r="J7292" s="5">
        <v>10200</v>
      </c>
      <c r="K7292" s="6">
        <f t="shared" si="297"/>
        <v>3.0265894236482471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30</v>
      </c>
      <c r="F7293" t="s">
        <v>81</v>
      </c>
      <c r="G7293" t="str">
        <f t="shared" si="299"/>
        <v>017FREEDOM</v>
      </c>
      <c r="H7293" s="5">
        <v>7920</v>
      </c>
      <c r="I7293" s="6">
        <v>2851.2</v>
      </c>
      <c r="J7293" s="5">
        <v>21600</v>
      </c>
      <c r="K7293" s="6">
        <f t="shared" si="297"/>
        <v>2.7777777777777781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30</v>
      </c>
      <c r="F7294" t="s">
        <v>73</v>
      </c>
      <c r="G7294" t="str">
        <f t="shared" si="299"/>
        <v>017GOLDFINCH</v>
      </c>
      <c r="H7294" s="5">
        <v>2700</v>
      </c>
      <c r="I7294" s="6">
        <v>2138.4</v>
      </c>
      <c r="J7294" s="5">
        <v>16200</v>
      </c>
      <c r="K7294" s="6">
        <f t="shared" si="297"/>
        <v>1.2626262626262625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32</v>
      </c>
      <c r="F7295" t="s">
        <v>86</v>
      </c>
      <c r="G7295" t="str">
        <f t="shared" si="299"/>
        <v>018BRIGHTON</v>
      </c>
      <c r="H7295" s="5">
        <v>1500</v>
      </c>
      <c r="I7295" s="6">
        <v>963.6</v>
      </c>
      <c r="J7295" s="5">
        <v>7570</v>
      </c>
      <c r="K7295" s="6">
        <f t="shared" si="297"/>
        <v>1.5566625155666252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35</v>
      </c>
      <c r="F7296" t="s">
        <v>86</v>
      </c>
      <c r="G7296" t="str">
        <f t="shared" si="299"/>
        <v>019BRIGHTON</v>
      </c>
      <c r="H7296" s="5">
        <v>7450</v>
      </c>
      <c r="I7296" s="6">
        <v>3168</v>
      </c>
      <c r="J7296" s="5">
        <v>24000</v>
      </c>
      <c r="K7296" s="6">
        <f t="shared" si="297"/>
        <v>2.3516414141414139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35</v>
      </c>
      <c r="F7297" t="s">
        <v>96</v>
      </c>
      <c r="G7297" t="str">
        <f t="shared" si="299"/>
        <v>019TABATHA</v>
      </c>
      <c r="H7297" s="5">
        <v>3000</v>
      </c>
      <c r="I7297" s="6">
        <v>1188</v>
      </c>
      <c r="J7297" s="5">
        <v>9000</v>
      </c>
      <c r="K7297" s="6">
        <f t="shared" si="297"/>
        <v>2.5252525252525251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36</v>
      </c>
      <c r="F7298" t="s">
        <v>86</v>
      </c>
      <c r="G7298" t="str">
        <f t="shared" si="299"/>
        <v>020BRIGHTON</v>
      </c>
      <c r="H7298" s="5">
        <v>5250</v>
      </c>
      <c r="I7298" s="6">
        <v>2732.4</v>
      </c>
      <c r="J7298" s="5">
        <v>20700</v>
      </c>
      <c r="K7298" s="6">
        <f t="shared" si="297"/>
        <v>1.9213877909530084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36</v>
      </c>
      <c r="F7299" t="s">
        <v>97</v>
      </c>
      <c r="G7299" t="str">
        <f t="shared" si="299"/>
        <v>020TYCOON</v>
      </c>
      <c r="H7299" s="5">
        <v>1470</v>
      </c>
      <c r="I7299" s="6">
        <v>673.2</v>
      </c>
      <c r="J7299" s="5">
        <v>5100</v>
      </c>
      <c r="K7299" s="6">
        <f t="shared" si="297"/>
        <v>2.1836007130124777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38</v>
      </c>
      <c r="F7300" t="s">
        <v>98</v>
      </c>
      <c r="G7300" t="str">
        <f t="shared" si="299"/>
        <v>021SHOW GIRL</v>
      </c>
      <c r="H7300" s="5">
        <v>950</v>
      </c>
      <c r="I7300" s="6">
        <v>1100.4749999999999</v>
      </c>
      <c r="J7300" s="5">
        <v>8000</v>
      </c>
      <c r="K7300" s="6">
        <f t="shared" si="297"/>
        <v>0.86326359072218817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43</v>
      </c>
      <c r="F7301" t="s">
        <v>99</v>
      </c>
      <c r="G7301" t="str">
        <f t="shared" si="299"/>
        <v>022CORAL REEF</v>
      </c>
      <c r="H7301" s="5">
        <v>2825</v>
      </c>
      <c r="I7301" s="6">
        <v>1287</v>
      </c>
      <c r="J7301" s="5">
        <v>9400</v>
      </c>
      <c r="K7301" s="6">
        <f t="shared" ref="K7301:K7350" si="300">+H7301/I7301</f>
        <v>2.1950271950271949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100</v>
      </c>
      <c r="F7302" t="s">
        <v>70</v>
      </c>
      <c r="G7302" t="str">
        <f t="shared" si="299"/>
        <v>023COTOPAXI</v>
      </c>
      <c r="H7302" s="5">
        <v>6450</v>
      </c>
      <c r="I7302" s="6">
        <v>2641.14</v>
      </c>
      <c r="J7302" s="5">
        <v>19200</v>
      </c>
      <c r="K7302" s="6">
        <f t="shared" si="300"/>
        <v>2.4421272632272428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100</v>
      </c>
      <c r="F7303" t="s">
        <v>101</v>
      </c>
      <c r="G7303" t="str">
        <f t="shared" si="299"/>
        <v>023FRUTTETO</v>
      </c>
      <c r="H7303" s="5">
        <v>9960</v>
      </c>
      <c r="I7303" s="6">
        <v>2641.14</v>
      </c>
      <c r="J7303" s="5">
        <v>19200</v>
      </c>
      <c r="K7303" s="6">
        <f t="shared" si="300"/>
        <v>3.7710988436811377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102</v>
      </c>
      <c r="F7304" t="s">
        <v>70</v>
      </c>
      <c r="G7304" t="str">
        <f t="shared" si="299"/>
        <v>024COTOPAXI</v>
      </c>
      <c r="H7304" s="5">
        <v>4140</v>
      </c>
      <c r="I7304" s="6">
        <v>1430.6174906250001</v>
      </c>
      <c r="J7304" s="5">
        <v>10400</v>
      </c>
      <c r="K7304" s="6">
        <f t="shared" si="300"/>
        <v>2.8938552947450265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102</v>
      </c>
      <c r="F7305" t="s">
        <v>64</v>
      </c>
      <c r="G7305" t="str">
        <f t="shared" si="299"/>
        <v>024SWEETNESS</v>
      </c>
      <c r="H7305" s="5">
        <v>2820</v>
      </c>
      <c r="I7305" s="6">
        <v>1430.6175000000001</v>
      </c>
      <c r="J7305" s="5">
        <v>10400</v>
      </c>
      <c r="K7305" s="6">
        <f t="shared" si="300"/>
        <v>1.9711767820539032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102</v>
      </c>
      <c r="F7306" t="s">
        <v>97</v>
      </c>
      <c r="G7306" t="str">
        <f t="shared" si="299"/>
        <v>024TYCOON</v>
      </c>
      <c r="H7306" s="5">
        <v>5550</v>
      </c>
      <c r="I7306" s="6">
        <v>2861.2350000000001</v>
      </c>
      <c r="J7306" s="5">
        <v>20800</v>
      </c>
      <c r="K7306" s="6">
        <f t="shared" si="300"/>
        <v>1.9397218334041069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103</v>
      </c>
      <c r="F7307" t="s">
        <v>104</v>
      </c>
      <c r="G7307" t="str">
        <f t="shared" si="299"/>
        <v>025PINK MONDIAL</v>
      </c>
      <c r="H7307" s="5">
        <v>6525</v>
      </c>
      <c r="I7307" s="6">
        <v>3071.9505625000002</v>
      </c>
      <c r="J7307" s="5">
        <v>22400</v>
      </c>
      <c r="K7307" s="6">
        <f t="shared" si="300"/>
        <v>2.1240576198237564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45</v>
      </c>
      <c r="F7308" t="s">
        <v>105</v>
      </c>
      <c r="G7308" t="str">
        <f t="shared" si="299"/>
        <v>026LOLA</v>
      </c>
      <c r="H7308" s="5">
        <v>9550</v>
      </c>
      <c r="I7308" s="6">
        <v>2852.5250000000001</v>
      </c>
      <c r="J7308" s="5">
        <v>20800</v>
      </c>
      <c r="K7308" s="6">
        <f t="shared" si="300"/>
        <v>3.3479110612527498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45</v>
      </c>
      <c r="F7309" t="s">
        <v>106</v>
      </c>
      <c r="G7309" t="str">
        <f t="shared" si="299"/>
        <v>026PALOMA</v>
      </c>
      <c r="H7309" s="5">
        <v>11675</v>
      </c>
      <c r="I7309" s="6">
        <v>2852.5250000000001</v>
      </c>
      <c r="J7309" s="5">
        <v>20800</v>
      </c>
      <c r="K7309" s="6">
        <f t="shared" si="300"/>
        <v>4.0928650932068953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107</v>
      </c>
      <c r="F7310" t="s">
        <v>108</v>
      </c>
      <c r="G7310" t="str">
        <f t="shared" si="299"/>
        <v>027SATISFACTION</v>
      </c>
      <c r="H7310" s="5">
        <v>6510</v>
      </c>
      <c r="I7310" s="6">
        <v>2633.1</v>
      </c>
      <c r="J7310" s="5">
        <v>19200</v>
      </c>
      <c r="K7310" s="6">
        <f t="shared" si="300"/>
        <v>2.472370969579583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107</v>
      </c>
      <c r="F7311" t="s">
        <v>109</v>
      </c>
      <c r="G7311" t="str">
        <f t="shared" si="299"/>
        <v>027TIFFANY</v>
      </c>
      <c r="H7311" s="5">
        <v>5610</v>
      </c>
      <c r="I7311" s="6">
        <v>2633.1</v>
      </c>
      <c r="J7311" s="5">
        <v>19200</v>
      </c>
      <c r="K7311" s="6">
        <f t="shared" si="300"/>
        <v>2.1305685313888572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110</v>
      </c>
      <c r="F7312" t="s">
        <v>70</v>
      </c>
      <c r="G7312" t="str">
        <f t="shared" si="299"/>
        <v>028COTOPAXI</v>
      </c>
      <c r="H7312" s="5">
        <v>6360</v>
      </c>
      <c r="I7312" s="6">
        <v>2852.5250000000001</v>
      </c>
      <c r="J7312" s="5">
        <v>20800</v>
      </c>
      <c r="K7312" s="6">
        <f t="shared" si="300"/>
        <v>2.2296035968133494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110</v>
      </c>
      <c r="F7313" t="s">
        <v>67</v>
      </c>
      <c r="G7313" t="str">
        <f t="shared" si="299"/>
        <v>028DEEP PURPLE</v>
      </c>
      <c r="H7313" s="5">
        <v>11670</v>
      </c>
      <c r="I7313" s="6">
        <v>2852.5250000000001</v>
      </c>
      <c r="J7313" s="5">
        <v>20800</v>
      </c>
      <c r="K7313" s="6">
        <f t="shared" si="300"/>
        <v>4.091112260190533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111</v>
      </c>
      <c r="F7314" t="s">
        <v>112</v>
      </c>
      <c r="G7314" t="str">
        <f t="shared" si="299"/>
        <v>029PINK FLOYD</v>
      </c>
      <c r="H7314" s="5">
        <v>5650</v>
      </c>
      <c r="I7314" s="6">
        <v>3071.95</v>
      </c>
      <c r="J7314" s="5">
        <v>22400</v>
      </c>
      <c r="K7314" s="6">
        <f t="shared" si="300"/>
        <v>1.8392226435977148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47</v>
      </c>
      <c r="F7315" t="s">
        <v>57</v>
      </c>
      <c r="G7315" t="str">
        <f t="shared" si="299"/>
        <v>030EXPLORER</v>
      </c>
      <c r="H7315" s="5">
        <v>3300</v>
      </c>
      <c r="I7315" s="6">
        <v>1645.6875</v>
      </c>
      <c r="J7315" s="5">
        <v>12000</v>
      </c>
      <c r="K7315" s="6">
        <f t="shared" si="300"/>
        <v>2.0052409707189245</v>
      </c>
    </row>
    <row r="7316" spans="1:11">
      <c r="A7316" s="4">
        <v>2026</v>
      </c>
      <c r="B7316">
        <v>16</v>
      </c>
      <c r="C7316" t="s">
        <v>10</v>
      </c>
      <c r="D7316" t="s">
        <v>11</v>
      </c>
      <c r="E7316" t="s">
        <v>12</v>
      </c>
      <c r="F7316" t="s">
        <v>13</v>
      </c>
      <c r="G7316" t="str">
        <f t="shared" si="299"/>
        <v>002SOMERSET</v>
      </c>
      <c r="H7316" s="5">
        <v>12300</v>
      </c>
      <c r="I7316" s="6">
        <v>4121.4642855494085</v>
      </c>
      <c r="J7316" s="5">
        <v>31200</v>
      </c>
      <c r="K7316" s="6">
        <f t="shared" si="300"/>
        <v>2.9843762186963505</v>
      </c>
    </row>
    <row r="7317" spans="1:11">
      <c r="A7317" s="4">
        <v>2026</v>
      </c>
      <c r="B7317">
        <v>16</v>
      </c>
      <c r="C7317" t="s">
        <v>10</v>
      </c>
      <c r="D7317" t="s">
        <v>11</v>
      </c>
      <c r="E7317" t="s">
        <v>14</v>
      </c>
      <c r="F7317" t="s">
        <v>15</v>
      </c>
      <c r="G7317" t="str">
        <f t="shared" si="299"/>
        <v>004BELLINA</v>
      </c>
      <c r="H7317" s="5">
        <v>4155</v>
      </c>
      <c r="I7317" s="6">
        <v>1056.7857142434418</v>
      </c>
      <c r="J7317" s="5">
        <v>8000</v>
      </c>
      <c r="K7317" s="6">
        <f t="shared" si="300"/>
        <v>3.9317336939727516</v>
      </c>
    </row>
    <row r="7318" spans="1:11">
      <c r="A7318" s="4">
        <v>2026</v>
      </c>
      <c r="B7318">
        <v>16</v>
      </c>
      <c r="C7318" t="s">
        <v>10</v>
      </c>
      <c r="D7318" t="s">
        <v>11</v>
      </c>
      <c r="E7318" t="s">
        <v>16</v>
      </c>
      <c r="F7318" t="s">
        <v>17</v>
      </c>
      <c r="G7318" t="str">
        <f t="shared" si="299"/>
        <v>005ELBA</v>
      </c>
      <c r="H7318" s="5">
        <v>10380</v>
      </c>
      <c r="I7318" s="6">
        <v>2641.9642856076484</v>
      </c>
      <c r="J7318" s="5">
        <v>19996</v>
      </c>
      <c r="K7318" s="6">
        <f t="shared" si="300"/>
        <v>3.928894897083218</v>
      </c>
    </row>
    <row r="7319" spans="1:11">
      <c r="A7319" s="4">
        <v>2026</v>
      </c>
      <c r="B7319">
        <v>16</v>
      </c>
      <c r="C7319" t="s">
        <v>10</v>
      </c>
      <c r="D7319" t="s">
        <v>11</v>
      </c>
      <c r="E7319" t="s">
        <v>16</v>
      </c>
      <c r="F7319" t="s">
        <v>18</v>
      </c>
      <c r="G7319" t="str">
        <f t="shared" si="299"/>
        <v>005HOT BUBBLES</v>
      </c>
      <c r="H7319" s="5">
        <v>2020</v>
      </c>
      <c r="I7319" s="6">
        <v>528.39285712153003</v>
      </c>
      <c r="J7319" s="5">
        <v>4000</v>
      </c>
      <c r="K7319" s="6">
        <f t="shared" si="300"/>
        <v>3.8229131464875219</v>
      </c>
    </row>
    <row r="7320" spans="1:11">
      <c r="A7320" s="4">
        <v>2026</v>
      </c>
      <c r="B7320">
        <v>16</v>
      </c>
      <c r="C7320" t="s">
        <v>10</v>
      </c>
      <c r="D7320" t="s">
        <v>11</v>
      </c>
      <c r="E7320" t="s">
        <v>16</v>
      </c>
      <c r="F7320" t="s">
        <v>19</v>
      </c>
      <c r="G7320" t="str">
        <f t="shared" ref="G7320:G7381" si="301">+E7320&amp;F7320</f>
        <v>005SUSPIRO</v>
      </c>
      <c r="H7320" s="5">
        <v>6270</v>
      </c>
      <c r="I7320" s="6">
        <v>1902.2142856375078</v>
      </c>
      <c r="J7320" s="5">
        <v>14400</v>
      </c>
      <c r="K7320" s="6">
        <f t="shared" si="300"/>
        <v>3.2961586122767832</v>
      </c>
    </row>
    <row r="7321" spans="1:11">
      <c r="A7321" s="4">
        <v>2026</v>
      </c>
      <c r="B7321">
        <v>16</v>
      </c>
      <c r="C7321" t="s">
        <v>10</v>
      </c>
      <c r="D7321" t="s">
        <v>11</v>
      </c>
      <c r="E7321" t="s">
        <v>20</v>
      </c>
      <c r="F7321" t="s">
        <v>21</v>
      </c>
      <c r="G7321" t="str">
        <f t="shared" si="301"/>
        <v>007SNOW BUBBLES</v>
      </c>
      <c r="H7321" s="5">
        <v>2120</v>
      </c>
      <c r="I7321" s="6">
        <v>634.05652706821195</v>
      </c>
      <c r="J7321" s="5">
        <v>4800</v>
      </c>
      <c r="K7321" s="6">
        <f t="shared" si="300"/>
        <v>3.3435504714423199</v>
      </c>
    </row>
    <row r="7322" spans="1:11">
      <c r="A7322" s="4">
        <v>2026</v>
      </c>
      <c r="B7322">
        <v>16</v>
      </c>
      <c r="C7322" t="s">
        <v>10</v>
      </c>
      <c r="D7322" t="s">
        <v>11</v>
      </c>
      <c r="E7322" t="s">
        <v>22</v>
      </c>
      <c r="F7322" t="s">
        <v>18</v>
      </c>
      <c r="G7322" t="str">
        <f t="shared" si="301"/>
        <v>009HOT BUBBLES</v>
      </c>
      <c r="H7322" s="5">
        <v>14540</v>
      </c>
      <c r="I7322" s="6">
        <v>4487.9999999102474</v>
      </c>
      <c r="J7322" s="5">
        <v>31740</v>
      </c>
      <c r="K7322" s="6">
        <f t="shared" si="300"/>
        <v>3.2397504456975881</v>
      </c>
    </row>
    <row r="7323" spans="1:11">
      <c r="A7323" s="4">
        <v>2026</v>
      </c>
      <c r="B7323">
        <v>16</v>
      </c>
      <c r="C7323" t="s">
        <v>10</v>
      </c>
      <c r="D7323" t="s">
        <v>11</v>
      </c>
      <c r="E7323" t="s">
        <v>23</v>
      </c>
      <c r="F7323" t="s">
        <v>24</v>
      </c>
      <c r="G7323" t="str">
        <f t="shared" si="301"/>
        <v>014FRUITY BUBBLES</v>
      </c>
      <c r="H7323" s="5">
        <v>9075</v>
      </c>
      <c r="I7323" s="6">
        <v>1702.8</v>
      </c>
      <c r="J7323" s="5">
        <v>12900</v>
      </c>
      <c r="K7323" s="6">
        <f t="shared" si="300"/>
        <v>5.3294573643410859</v>
      </c>
    </row>
    <row r="7324" spans="1:11">
      <c r="A7324" s="4">
        <v>2026</v>
      </c>
      <c r="B7324">
        <v>16</v>
      </c>
      <c r="C7324" t="s">
        <v>10</v>
      </c>
      <c r="D7324" t="s">
        <v>11</v>
      </c>
      <c r="E7324" t="s">
        <v>25</v>
      </c>
      <c r="F7324" t="s">
        <v>26</v>
      </c>
      <c r="G7324" t="str">
        <f t="shared" si="301"/>
        <v>015FELLINI</v>
      </c>
      <c r="H7324" s="5">
        <v>8140</v>
      </c>
      <c r="I7324" s="6">
        <v>3009.6</v>
      </c>
      <c r="J7324" s="5">
        <v>22800</v>
      </c>
      <c r="K7324" s="6">
        <f t="shared" si="300"/>
        <v>2.7046783625730995</v>
      </c>
    </row>
    <row r="7325" spans="1:11">
      <c r="A7325" s="4">
        <v>2026</v>
      </c>
      <c r="B7325">
        <v>16</v>
      </c>
      <c r="C7325" t="s">
        <v>10</v>
      </c>
      <c r="D7325" t="s">
        <v>11</v>
      </c>
      <c r="E7325" t="s">
        <v>27</v>
      </c>
      <c r="F7325" t="s">
        <v>28</v>
      </c>
      <c r="G7325" t="str">
        <f t="shared" si="301"/>
        <v>016GOOD PEACH</v>
      </c>
      <c r="H7325" s="5">
        <v>6300</v>
      </c>
      <c r="I7325" s="6">
        <v>1386</v>
      </c>
      <c r="J7325" s="5">
        <v>10500</v>
      </c>
      <c r="K7325" s="6">
        <f t="shared" si="300"/>
        <v>4.5454545454545459</v>
      </c>
    </row>
    <row r="7326" spans="1:11">
      <c r="A7326" s="4">
        <v>2026</v>
      </c>
      <c r="B7326">
        <v>16</v>
      </c>
      <c r="C7326" t="s">
        <v>10</v>
      </c>
      <c r="D7326" t="s">
        <v>11</v>
      </c>
      <c r="E7326" t="s">
        <v>27</v>
      </c>
      <c r="F7326" t="s">
        <v>29</v>
      </c>
      <c r="G7326" t="str">
        <f t="shared" si="301"/>
        <v>016GOOD YELLOW</v>
      </c>
      <c r="H7326" s="5">
        <v>7110</v>
      </c>
      <c r="I7326" s="6">
        <v>1386</v>
      </c>
      <c r="J7326" s="5">
        <v>10500</v>
      </c>
      <c r="K7326" s="6">
        <f t="shared" si="300"/>
        <v>5.1298701298701301</v>
      </c>
    </row>
    <row r="7327" spans="1:11">
      <c r="A7327" s="4">
        <v>2026</v>
      </c>
      <c r="B7327">
        <v>16</v>
      </c>
      <c r="C7327" t="s">
        <v>10</v>
      </c>
      <c r="D7327" t="s">
        <v>11</v>
      </c>
      <c r="E7327" t="s">
        <v>30</v>
      </c>
      <c r="F7327" t="s">
        <v>31</v>
      </c>
      <c r="G7327" t="str">
        <f t="shared" si="301"/>
        <v>017ORANGE STAR</v>
      </c>
      <c r="H7327" s="5">
        <v>2725</v>
      </c>
      <c r="I7327" s="6">
        <v>1029.5999999999999</v>
      </c>
      <c r="J7327" s="5">
        <v>7800</v>
      </c>
      <c r="K7327" s="6">
        <f t="shared" si="300"/>
        <v>2.6466588966588969</v>
      </c>
    </row>
    <row r="7328" spans="1:11">
      <c r="A7328" s="4">
        <v>2026</v>
      </c>
      <c r="B7328">
        <v>16</v>
      </c>
      <c r="C7328" t="s">
        <v>10</v>
      </c>
      <c r="D7328" t="s">
        <v>11</v>
      </c>
      <c r="E7328" t="s">
        <v>32</v>
      </c>
      <c r="F7328" t="s">
        <v>33</v>
      </c>
      <c r="G7328" t="str">
        <f t="shared" si="301"/>
        <v>018COSMO</v>
      </c>
      <c r="H7328" s="5">
        <v>4725</v>
      </c>
      <c r="I7328" s="6">
        <v>2653.2</v>
      </c>
      <c r="J7328" s="5">
        <v>20100</v>
      </c>
      <c r="K7328" s="6">
        <f t="shared" si="300"/>
        <v>1.7808683853459975</v>
      </c>
    </row>
    <row r="7329" spans="1:11">
      <c r="A7329" s="4">
        <v>2026</v>
      </c>
      <c r="B7329">
        <v>16</v>
      </c>
      <c r="C7329" t="s">
        <v>10</v>
      </c>
      <c r="D7329" t="s">
        <v>11</v>
      </c>
      <c r="E7329" t="s">
        <v>32</v>
      </c>
      <c r="F7329" t="s">
        <v>34</v>
      </c>
      <c r="G7329" t="str">
        <f t="shared" si="301"/>
        <v>018RUBICON</v>
      </c>
      <c r="H7329" s="5">
        <v>5340</v>
      </c>
      <c r="I7329" s="6">
        <v>1768.8</v>
      </c>
      <c r="J7329" s="5">
        <v>13400</v>
      </c>
      <c r="K7329" s="6">
        <f t="shared" si="300"/>
        <v>3.0189959294436908</v>
      </c>
    </row>
    <row r="7330" spans="1:11">
      <c r="A7330" s="4">
        <v>2026</v>
      </c>
      <c r="B7330">
        <v>16</v>
      </c>
      <c r="C7330" t="s">
        <v>10</v>
      </c>
      <c r="D7330" t="s">
        <v>11</v>
      </c>
      <c r="E7330" t="s">
        <v>35</v>
      </c>
      <c r="F7330" t="s">
        <v>15</v>
      </c>
      <c r="G7330" t="str">
        <f t="shared" si="301"/>
        <v>019BELLINA</v>
      </c>
      <c r="H7330" s="5">
        <v>2880</v>
      </c>
      <c r="I7330" s="6">
        <v>1029.5999999999999</v>
      </c>
      <c r="J7330" s="5">
        <v>7800</v>
      </c>
      <c r="K7330" s="6">
        <f t="shared" si="300"/>
        <v>2.7972027972027975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36</v>
      </c>
      <c r="F7331" t="s">
        <v>37</v>
      </c>
      <c r="G7331" t="str">
        <f t="shared" si="301"/>
        <v>020SUMMER DANCE</v>
      </c>
      <c r="H7331" s="5">
        <v>6900</v>
      </c>
      <c r="I7331" s="6">
        <v>1346.4</v>
      </c>
      <c r="J7331" s="5">
        <v>10200</v>
      </c>
      <c r="K7331" s="6">
        <f t="shared" si="300"/>
        <v>5.1247771836007123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38</v>
      </c>
      <c r="F7332" t="s">
        <v>39</v>
      </c>
      <c r="G7332" t="str">
        <f t="shared" si="301"/>
        <v>021ELEGANT ROSEVER</v>
      </c>
      <c r="H7332" s="5">
        <v>2970</v>
      </c>
      <c r="I7332" s="6">
        <v>440.18999062500001</v>
      </c>
      <c r="J7332" s="5">
        <v>3200</v>
      </c>
      <c r="K7332" s="6">
        <f t="shared" si="300"/>
        <v>6.7470866290782094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38</v>
      </c>
      <c r="F7333" t="s">
        <v>40</v>
      </c>
      <c r="G7333" t="str">
        <f t="shared" si="301"/>
        <v>021FLAME CLUB</v>
      </c>
      <c r="H7333" s="5">
        <v>2650</v>
      </c>
      <c r="I7333" s="6">
        <v>880.38</v>
      </c>
      <c r="J7333" s="5">
        <v>6400</v>
      </c>
      <c r="K7333" s="6">
        <f t="shared" si="300"/>
        <v>3.0100638360707874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38</v>
      </c>
      <c r="F7334" t="s">
        <v>41</v>
      </c>
      <c r="G7334" t="str">
        <f t="shared" si="301"/>
        <v>021KELLY</v>
      </c>
      <c r="H7334" s="5">
        <v>800</v>
      </c>
      <c r="I7334" s="6">
        <v>330.14249999999998</v>
      </c>
      <c r="J7334" s="5">
        <v>2400</v>
      </c>
      <c r="K7334" s="6">
        <f t="shared" si="300"/>
        <v>2.423196044132458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38</v>
      </c>
      <c r="F7335" t="s">
        <v>42</v>
      </c>
      <c r="G7335" t="str">
        <f t="shared" si="301"/>
        <v>021LEILA</v>
      </c>
      <c r="H7335" s="5">
        <v>1975</v>
      </c>
      <c r="I7335" s="6">
        <v>770.33249999999998</v>
      </c>
      <c r="J7335" s="5">
        <v>5600</v>
      </c>
      <c r="K7335" s="6">
        <f t="shared" si="300"/>
        <v>2.5638279574080025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38</v>
      </c>
      <c r="F7336" t="s">
        <v>115</v>
      </c>
      <c r="G7336" t="str">
        <f t="shared" si="301"/>
        <v>021PISTACHIO KISS</v>
      </c>
      <c r="H7336" s="5">
        <v>25</v>
      </c>
      <c r="I7336" s="6">
        <v>880.38</v>
      </c>
      <c r="J7336" s="5">
        <v>6400</v>
      </c>
      <c r="K7336" s="6">
        <f t="shared" si="300"/>
        <v>2.8396828642177241E-2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38</v>
      </c>
      <c r="F7337" t="s">
        <v>21</v>
      </c>
      <c r="G7337" t="str">
        <f t="shared" si="301"/>
        <v>021SNOW BUBBLES</v>
      </c>
      <c r="H7337" s="5">
        <v>3800</v>
      </c>
      <c r="I7337" s="6">
        <v>1287.0000000000018</v>
      </c>
      <c r="J7337" s="5">
        <v>9400</v>
      </c>
      <c r="K7337" s="6">
        <f t="shared" si="300"/>
        <v>2.9526029526029482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43</v>
      </c>
      <c r="F7338" t="s">
        <v>24</v>
      </c>
      <c r="G7338" t="str">
        <f t="shared" si="301"/>
        <v>022FRUITY BUBBLES</v>
      </c>
      <c r="H7338" s="5">
        <v>10200</v>
      </c>
      <c r="I7338" s="6">
        <v>2641.14</v>
      </c>
      <c r="J7338" s="5">
        <v>19200</v>
      </c>
      <c r="K7338" s="6">
        <f t="shared" si="300"/>
        <v>3.8619686953361052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43</v>
      </c>
      <c r="F7339" t="s">
        <v>28</v>
      </c>
      <c r="G7339" t="str">
        <f t="shared" si="301"/>
        <v>022GOOD PEACH</v>
      </c>
      <c r="H7339" s="5">
        <v>3840</v>
      </c>
      <c r="I7339" s="6">
        <v>880.38</v>
      </c>
      <c r="J7339" s="5">
        <v>6400</v>
      </c>
      <c r="K7339" s="6">
        <f t="shared" si="300"/>
        <v>4.3617528794384244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43</v>
      </c>
      <c r="F7340" t="s">
        <v>44</v>
      </c>
      <c r="G7340" t="str">
        <f t="shared" si="301"/>
        <v>022MIRABEL</v>
      </c>
      <c r="H7340" s="5">
        <v>3580</v>
      </c>
      <c r="I7340" s="6">
        <v>880.38</v>
      </c>
      <c r="J7340" s="5">
        <v>6400</v>
      </c>
      <c r="K7340" s="6">
        <f t="shared" si="300"/>
        <v>4.0664258615597806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47</v>
      </c>
      <c r="F7341" t="s">
        <v>44</v>
      </c>
      <c r="G7341" t="str">
        <f t="shared" si="301"/>
        <v>030MIRABEL</v>
      </c>
      <c r="H7341" s="5">
        <v>8260</v>
      </c>
      <c r="I7341" s="6">
        <v>2413.6749943750001</v>
      </c>
      <c r="J7341" s="5">
        <v>17600</v>
      </c>
      <c r="K7341" s="6">
        <f t="shared" si="300"/>
        <v>3.4221674497393773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47</v>
      </c>
      <c r="F7342" t="s">
        <v>13</v>
      </c>
      <c r="G7342" t="str">
        <f t="shared" si="301"/>
        <v>030SOMERSET</v>
      </c>
      <c r="H7342" s="5">
        <v>6300</v>
      </c>
      <c r="I7342" s="6">
        <v>1645.6875</v>
      </c>
      <c r="J7342" s="5">
        <v>12000</v>
      </c>
      <c r="K7342" s="6">
        <f t="shared" si="300"/>
        <v>3.8281873077361284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48</v>
      </c>
      <c r="F7343" t="s">
        <v>49</v>
      </c>
      <c r="G7343" t="str">
        <f t="shared" si="301"/>
        <v>03182989</v>
      </c>
      <c r="H7343" s="5">
        <v>1980</v>
      </c>
      <c r="I7343" s="6">
        <v>726.32013058333712</v>
      </c>
      <c r="J7343" s="5">
        <v>5712</v>
      </c>
      <c r="K7343" s="6">
        <f t="shared" si="300"/>
        <v>2.726070663096976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48</v>
      </c>
      <c r="F7344" t="s">
        <v>34</v>
      </c>
      <c r="G7344" t="str">
        <f t="shared" si="301"/>
        <v>031RUBICON</v>
      </c>
      <c r="H7344" s="5">
        <v>4260</v>
      </c>
      <c r="I7344" s="6">
        <v>924.39958333667107</v>
      </c>
      <c r="J7344" s="5">
        <v>6720</v>
      </c>
      <c r="K7344" s="6">
        <f t="shared" si="300"/>
        <v>4.6083967115425297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48</v>
      </c>
      <c r="F7345" t="s">
        <v>13</v>
      </c>
      <c r="G7345" t="str">
        <f t="shared" si="301"/>
        <v>031SOMERSET</v>
      </c>
      <c r="H7345" s="5">
        <v>1960</v>
      </c>
      <c r="I7345" s="6">
        <v>1122.485208333339</v>
      </c>
      <c r="J7345" s="5">
        <v>8160</v>
      </c>
      <c r="K7345" s="6">
        <f t="shared" si="300"/>
        <v>1.7461254593369646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48</v>
      </c>
      <c r="F7346" t="s">
        <v>50</v>
      </c>
      <c r="G7346" t="str">
        <f t="shared" si="301"/>
        <v>031VELVET BLOSSOMS</v>
      </c>
      <c r="H7346" s="5">
        <v>1800</v>
      </c>
      <c r="I7346" s="6">
        <v>396.17125000000198</v>
      </c>
      <c r="J7346" s="5">
        <v>2880</v>
      </c>
      <c r="K7346" s="6">
        <f t="shared" si="300"/>
        <v>4.5434897156216936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51</v>
      </c>
      <c r="F7347" t="s">
        <v>17</v>
      </c>
      <c r="G7347" t="str">
        <f t="shared" si="301"/>
        <v>032ELBA</v>
      </c>
      <c r="H7347" s="5">
        <v>4140</v>
      </c>
      <c r="I7347" s="6">
        <v>1535.9749999999999</v>
      </c>
      <c r="J7347" s="5">
        <v>11200</v>
      </c>
      <c r="K7347" s="6">
        <f t="shared" si="300"/>
        <v>2.6953563697325804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51</v>
      </c>
      <c r="F7348" t="s">
        <v>44</v>
      </c>
      <c r="G7348" t="str">
        <f t="shared" si="301"/>
        <v>032MIRABEL</v>
      </c>
      <c r="H7348" s="5">
        <v>4540</v>
      </c>
      <c r="I7348" s="6">
        <v>1535.9749999999999</v>
      </c>
      <c r="J7348" s="5">
        <v>11200</v>
      </c>
      <c r="K7348" s="6">
        <f t="shared" si="300"/>
        <v>2.9557772750207523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52</v>
      </c>
      <c r="F7349" t="s">
        <v>53</v>
      </c>
      <c r="G7349" t="str">
        <f t="shared" si="301"/>
        <v>033CREAMY FOLIES</v>
      </c>
      <c r="H7349" s="5">
        <v>1110</v>
      </c>
      <c r="I7349" s="6">
        <v>594.25687500000299</v>
      </c>
      <c r="J7349" s="5">
        <v>4320</v>
      </c>
      <c r="K7349" s="6">
        <f t="shared" si="300"/>
        <v>1.8678791053111408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52</v>
      </c>
      <c r="F7350" t="s">
        <v>18</v>
      </c>
      <c r="G7350" t="str">
        <f t="shared" si="301"/>
        <v>033HOT BUBBLES</v>
      </c>
      <c r="H7350" s="5">
        <v>11460</v>
      </c>
      <c r="I7350" s="6">
        <v>2575.1131250013459</v>
      </c>
      <c r="J7350" s="5">
        <v>18720</v>
      </c>
      <c r="K7350" s="6">
        <f t="shared" si="300"/>
        <v>4.4502899265809965</v>
      </c>
    </row>
    <row r="7351" spans="1:11">
      <c r="A7351" s="4">
        <v>2026</v>
      </c>
      <c r="B7351">
        <v>16</v>
      </c>
      <c r="C7351" t="s">
        <v>54</v>
      </c>
      <c r="D7351" t="s">
        <v>11</v>
      </c>
      <c r="E7351" t="s">
        <v>55</v>
      </c>
      <c r="F7351" t="s">
        <v>56</v>
      </c>
      <c r="G7351" t="str">
        <f t="shared" si="301"/>
        <v>001BELIEVE IN PINK</v>
      </c>
      <c r="H7351" s="5">
        <v>2760</v>
      </c>
      <c r="I7351" s="6">
        <v>528.37931032368999</v>
      </c>
      <c r="J7351" s="5">
        <v>4000</v>
      </c>
      <c r="K7351" s="6">
        <f t="shared" ref="K7351:K7356" si="302">IFERROR(H7351/I7351,"")</f>
        <v>5.2235201986035351</v>
      </c>
    </row>
    <row r="7352" spans="1:11">
      <c r="A7352" s="4">
        <v>2026</v>
      </c>
      <c r="B7352">
        <v>16</v>
      </c>
      <c r="C7352" t="s">
        <v>54</v>
      </c>
      <c r="D7352" t="s">
        <v>11</v>
      </c>
      <c r="E7352" t="s">
        <v>55</v>
      </c>
      <c r="F7352" t="s">
        <v>57</v>
      </c>
      <c r="G7352" t="str">
        <f t="shared" si="301"/>
        <v>001EXPLORER</v>
      </c>
      <c r="H7352" s="5">
        <v>7500</v>
      </c>
      <c r="I7352" s="6">
        <v>2272.0310343918732</v>
      </c>
      <c r="J7352" s="5">
        <v>17200</v>
      </c>
      <c r="K7352" s="6">
        <f t="shared" si="302"/>
        <v>3.30101124785359</v>
      </c>
    </row>
    <row r="7353" spans="1:11">
      <c r="A7353" s="4">
        <v>2026</v>
      </c>
      <c r="B7353">
        <v>16</v>
      </c>
      <c r="C7353" t="s">
        <v>54</v>
      </c>
      <c r="D7353" t="s">
        <v>11</v>
      </c>
      <c r="E7353" t="s">
        <v>55</v>
      </c>
      <c r="F7353" t="s">
        <v>58</v>
      </c>
      <c r="G7353" t="str">
        <f t="shared" si="301"/>
        <v>001GRACE KELLY</v>
      </c>
      <c r="H7353" s="5">
        <v>4440</v>
      </c>
      <c r="I7353" s="6">
        <v>1162.4344827121224</v>
      </c>
      <c r="J7353" s="5">
        <v>8800</v>
      </c>
      <c r="K7353" s="6">
        <f t="shared" si="302"/>
        <v>3.8195701056982223</v>
      </c>
    </row>
    <row r="7354" spans="1:11">
      <c r="A7354" s="4">
        <v>2026</v>
      </c>
      <c r="B7354">
        <v>16</v>
      </c>
      <c r="C7354" t="s">
        <v>54</v>
      </c>
      <c r="D7354" t="s">
        <v>11</v>
      </c>
      <c r="E7354" t="s">
        <v>55</v>
      </c>
      <c r="F7354" t="s">
        <v>60</v>
      </c>
      <c r="G7354" t="str">
        <f t="shared" si="301"/>
        <v>001LIGHT HOUSE</v>
      </c>
      <c r="H7354" s="5">
        <v>5490</v>
      </c>
      <c r="I7354" s="6">
        <v>1056.7586206473827</v>
      </c>
      <c r="J7354" s="5">
        <v>8000</v>
      </c>
      <c r="K7354" s="6">
        <f t="shared" si="302"/>
        <v>5.1951315018719804</v>
      </c>
    </row>
    <row r="7355" spans="1:11">
      <c r="A7355" s="4">
        <v>2026</v>
      </c>
      <c r="B7355">
        <v>16</v>
      </c>
      <c r="C7355" t="s">
        <v>54</v>
      </c>
      <c r="D7355" t="s">
        <v>11</v>
      </c>
      <c r="E7355" t="s">
        <v>55</v>
      </c>
      <c r="F7355" t="s">
        <v>61</v>
      </c>
      <c r="G7355" t="str">
        <f t="shared" si="301"/>
        <v>001LUMIA</v>
      </c>
      <c r="H7355" s="5">
        <v>6030</v>
      </c>
      <c r="I7355" s="6">
        <v>1109.596551679753</v>
      </c>
      <c r="J7355" s="5">
        <v>8400</v>
      </c>
      <c r="K7355" s="6">
        <f t="shared" si="302"/>
        <v>5.4344076600378193</v>
      </c>
    </row>
    <row r="7356" spans="1:11">
      <c r="A7356" s="4">
        <v>2026</v>
      </c>
      <c r="B7356">
        <v>16</v>
      </c>
      <c r="C7356" t="s">
        <v>54</v>
      </c>
      <c r="D7356" t="s">
        <v>11</v>
      </c>
      <c r="E7356" t="s">
        <v>55</v>
      </c>
      <c r="F7356" t="s">
        <v>62</v>
      </c>
      <c r="G7356" t="str">
        <f t="shared" si="301"/>
        <v>001MOMENTUM</v>
      </c>
      <c r="H7356" s="5">
        <v>6825</v>
      </c>
      <c r="I7356" s="6">
        <v>1902.1655171652881</v>
      </c>
      <c r="J7356" s="5">
        <v>14400</v>
      </c>
      <c r="K7356" s="6">
        <f t="shared" si="302"/>
        <v>3.5880158369030846</v>
      </c>
    </row>
    <row r="7357" spans="1:11">
      <c r="A7357" s="4">
        <v>2026</v>
      </c>
      <c r="B7357">
        <v>16</v>
      </c>
      <c r="C7357" t="s">
        <v>54</v>
      </c>
      <c r="D7357" t="s">
        <v>11</v>
      </c>
      <c r="E7357" t="s">
        <v>12</v>
      </c>
      <c r="F7357" t="s">
        <v>63</v>
      </c>
      <c r="G7357" t="str">
        <f t="shared" si="301"/>
        <v>002SUMMER ROMANCE</v>
      </c>
      <c r="H7357" s="5">
        <v>1700</v>
      </c>
      <c r="I7357" s="6">
        <v>951.10714281909407</v>
      </c>
      <c r="J7357" s="5">
        <v>7200</v>
      </c>
      <c r="K7357" s="6">
        <f t="shared" ref="K7357:K7419" si="303">+H7357/I7357</f>
        <v>1.7873906350457822</v>
      </c>
    </row>
    <row r="7358" spans="1:11">
      <c r="A7358" s="4">
        <v>2026</v>
      </c>
      <c r="B7358">
        <v>16</v>
      </c>
      <c r="C7358" t="s">
        <v>54</v>
      </c>
      <c r="D7358" t="s">
        <v>11</v>
      </c>
      <c r="E7358" t="s">
        <v>12</v>
      </c>
      <c r="F7358" t="s">
        <v>64</v>
      </c>
      <c r="G7358" t="str">
        <f t="shared" si="301"/>
        <v>002SWEETNESS</v>
      </c>
      <c r="H7358" s="5">
        <v>11640</v>
      </c>
      <c r="I7358" s="6">
        <v>3804.4285712763772</v>
      </c>
      <c r="J7358" s="5">
        <v>28800</v>
      </c>
      <c r="K7358" s="6">
        <f t="shared" si="303"/>
        <v>3.0595922046960147</v>
      </c>
    </row>
    <row r="7359" spans="1:11">
      <c r="A7359" s="4">
        <v>2026</v>
      </c>
      <c r="B7359">
        <v>16</v>
      </c>
      <c r="C7359" t="s">
        <v>54</v>
      </c>
      <c r="D7359" t="s">
        <v>11</v>
      </c>
      <c r="E7359" t="s">
        <v>65</v>
      </c>
      <c r="F7359" t="s">
        <v>66</v>
      </c>
      <c r="G7359" t="str">
        <f t="shared" si="301"/>
        <v>003CABARET</v>
      </c>
      <c r="H7359" s="5">
        <v>16920</v>
      </c>
      <c r="I7359" s="6">
        <v>2641.8965516184649</v>
      </c>
      <c r="J7359" s="5">
        <v>20000</v>
      </c>
      <c r="K7359" s="6">
        <f t="shared" si="303"/>
        <v>6.4044899826356021</v>
      </c>
    </row>
    <row r="7360" spans="1:11">
      <c r="A7360" s="4">
        <v>2026</v>
      </c>
      <c r="B7360">
        <v>16</v>
      </c>
      <c r="C7360" t="s">
        <v>54</v>
      </c>
      <c r="D7360" t="s">
        <v>11</v>
      </c>
      <c r="E7360" t="s">
        <v>65</v>
      </c>
      <c r="F7360" t="s">
        <v>67</v>
      </c>
      <c r="G7360" t="str">
        <f t="shared" si="301"/>
        <v>003DEEP PURPLE</v>
      </c>
      <c r="H7360" s="5">
        <v>19710</v>
      </c>
      <c r="I7360" s="6">
        <v>3592.9793102010913</v>
      </c>
      <c r="J7360" s="5">
        <v>26044</v>
      </c>
      <c r="K7360" s="6">
        <f t="shared" si="303"/>
        <v>5.4856981625360026</v>
      </c>
    </row>
    <row r="7361" spans="1:11">
      <c r="A7361" s="4">
        <v>2026</v>
      </c>
      <c r="B7361">
        <v>16</v>
      </c>
      <c r="C7361" t="s">
        <v>54</v>
      </c>
      <c r="D7361" t="s">
        <v>11</v>
      </c>
      <c r="E7361" t="s">
        <v>65</v>
      </c>
      <c r="F7361" t="s">
        <v>57</v>
      </c>
      <c r="G7361" t="str">
        <f t="shared" si="301"/>
        <v>003EXPLORER</v>
      </c>
      <c r="H7361" s="5">
        <v>3200</v>
      </c>
      <c r="I7361" s="6">
        <v>1268.1103447768633</v>
      </c>
      <c r="J7361" s="5">
        <v>9600</v>
      </c>
      <c r="K7361" s="6">
        <f t="shared" si="303"/>
        <v>2.5234397094702925</v>
      </c>
    </row>
    <row r="7362" spans="1:11">
      <c r="A7362" s="4">
        <v>2026</v>
      </c>
      <c r="B7362">
        <v>16</v>
      </c>
      <c r="C7362" t="s">
        <v>54</v>
      </c>
      <c r="D7362" t="s">
        <v>11</v>
      </c>
      <c r="E7362" t="s">
        <v>65</v>
      </c>
      <c r="F7362" t="s">
        <v>68</v>
      </c>
      <c r="G7362" t="str">
        <f t="shared" si="301"/>
        <v>003JOCKER</v>
      </c>
      <c r="H7362" s="5">
        <v>2025</v>
      </c>
      <c r="I7362" s="6">
        <v>528.37931032368999</v>
      </c>
      <c r="J7362" s="5">
        <v>4000</v>
      </c>
      <c r="K7362" s="6">
        <f t="shared" si="303"/>
        <v>3.8324740587580286</v>
      </c>
    </row>
    <row r="7363" spans="1:11">
      <c r="A7363" s="4">
        <v>2026</v>
      </c>
      <c r="B7363">
        <v>16</v>
      </c>
      <c r="C7363" t="s">
        <v>54</v>
      </c>
      <c r="D7363" t="s">
        <v>11</v>
      </c>
      <c r="E7363" t="s">
        <v>65</v>
      </c>
      <c r="F7363" t="s">
        <v>69</v>
      </c>
      <c r="G7363" t="str">
        <f t="shared" si="301"/>
        <v>003QUICKSAND</v>
      </c>
      <c r="H7363" s="5">
        <v>3390</v>
      </c>
      <c r="I7363" s="6">
        <v>1162.4344827121247</v>
      </c>
      <c r="J7363" s="5">
        <v>8800</v>
      </c>
      <c r="K7363" s="6">
        <f t="shared" si="303"/>
        <v>2.9162933915128262</v>
      </c>
    </row>
    <row r="7364" spans="1:11">
      <c r="A7364" s="4">
        <v>2026</v>
      </c>
      <c r="B7364">
        <v>16</v>
      </c>
      <c r="C7364" t="s">
        <v>54</v>
      </c>
      <c r="D7364" t="s">
        <v>11</v>
      </c>
      <c r="E7364" t="s">
        <v>14</v>
      </c>
      <c r="F7364" t="s">
        <v>70</v>
      </c>
      <c r="G7364" t="str">
        <f t="shared" si="301"/>
        <v>004COTOPAXI</v>
      </c>
      <c r="H7364" s="5">
        <v>2280</v>
      </c>
      <c r="I7364" s="6">
        <v>528.3915024419166</v>
      </c>
      <c r="J7364" s="5">
        <v>4000</v>
      </c>
      <c r="K7364" s="6">
        <f t="shared" si="303"/>
        <v>4.3149823368906821</v>
      </c>
    </row>
    <row r="7365" spans="1:11">
      <c r="A7365" s="4">
        <v>2026</v>
      </c>
      <c r="B7365">
        <v>16</v>
      </c>
      <c r="C7365" t="s">
        <v>54</v>
      </c>
      <c r="D7365" t="s">
        <v>11</v>
      </c>
      <c r="E7365" t="s">
        <v>14</v>
      </c>
      <c r="F7365" t="s">
        <v>67</v>
      </c>
      <c r="G7365" t="str">
        <f t="shared" si="301"/>
        <v>004DEEP PURPLE</v>
      </c>
      <c r="H7365" s="5">
        <v>23910</v>
      </c>
      <c r="I7365" s="6">
        <v>3910.1071427007282</v>
      </c>
      <c r="J7365" s="5">
        <v>29260</v>
      </c>
      <c r="K7365" s="6">
        <f t="shared" si="303"/>
        <v>6.1149219515977915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14</v>
      </c>
      <c r="F7366" t="s">
        <v>71</v>
      </c>
      <c r="G7366" t="str">
        <f t="shared" si="301"/>
        <v>004HOT EXPLORER</v>
      </c>
      <c r="H7366" s="5">
        <v>5850</v>
      </c>
      <c r="I7366" s="6">
        <v>1902.2142856381945</v>
      </c>
      <c r="J7366" s="5">
        <v>14400</v>
      </c>
      <c r="K7366" s="6">
        <f t="shared" si="303"/>
        <v>3.0753632985346444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14</v>
      </c>
      <c r="F7367" t="s">
        <v>72</v>
      </c>
      <c r="G7367" t="str">
        <f t="shared" si="301"/>
        <v>004HOT MERENGUE</v>
      </c>
      <c r="H7367" s="5">
        <v>6210</v>
      </c>
      <c r="I7367" s="6">
        <v>1162.4642856677858</v>
      </c>
      <c r="J7367" s="5">
        <v>8800</v>
      </c>
      <c r="K7367" s="6">
        <f t="shared" si="303"/>
        <v>5.3420996038881503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14</v>
      </c>
      <c r="F7368" t="s">
        <v>64</v>
      </c>
      <c r="G7368" t="str">
        <f t="shared" si="301"/>
        <v>004SWEETNESS</v>
      </c>
      <c r="H7368" s="5">
        <v>900</v>
      </c>
      <c r="I7368" s="6">
        <v>317.03571427303262</v>
      </c>
      <c r="J7368" s="5">
        <v>2400</v>
      </c>
      <c r="K7368" s="6">
        <f t="shared" si="303"/>
        <v>2.8387968909550545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16</v>
      </c>
      <c r="F7369" t="s">
        <v>57</v>
      </c>
      <c r="G7369" t="str">
        <f t="shared" si="301"/>
        <v>005EXPLORER</v>
      </c>
      <c r="H7369" s="5">
        <v>2350</v>
      </c>
      <c r="I7369" s="6">
        <v>951.10714281875391</v>
      </c>
      <c r="J7369" s="5">
        <v>7200</v>
      </c>
      <c r="K7369" s="6">
        <f t="shared" si="303"/>
        <v>2.4708047013877001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16</v>
      </c>
      <c r="F7370" t="s">
        <v>73</v>
      </c>
      <c r="G7370" t="str">
        <f t="shared" si="301"/>
        <v>005GOLDFINCH</v>
      </c>
      <c r="H7370" s="5">
        <v>4425</v>
      </c>
      <c r="I7370" s="6">
        <v>898.26785710660101</v>
      </c>
      <c r="J7370" s="5">
        <v>6800</v>
      </c>
      <c r="K7370" s="6">
        <f t="shared" si="303"/>
        <v>4.9261475460708457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16</v>
      </c>
      <c r="F7371" t="s">
        <v>68</v>
      </c>
      <c r="G7371" t="str">
        <f t="shared" si="301"/>
        <v>005JOCKER</v>
      </c>
      <c r="H7371" s="5">
        <v>4875</v>
      </c>
      <c r="I7371" s="6">
        <v>1162.4642856673661</v>
      </c>
      <c r="J7371" s="5">
        <v>8800</v>
      </c>
      <c r="K7371" s="6">
        <f t="shared" si="303"/>
        <v>4.1936772252760282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16</v>
      </c>
      <c r="F7372" t="s">
        <v>74</v>
      </c>
      <c r="G7372" t="str">
        <f t="shared" si="301"/>
        <v>005VENDELA</v>
      </c>
      <c r="H7372" s="5">
        <v>3810</v>
      </c>
      <c r="I7372" s="6">
        <v>686.91071425798896</v>
      </c>
      <c r="J7372" s="5">
        <v>5200</v>
      </c>
      <c r="K7372" s="6">
        <f t="shared" si="303"/>
        <v>5.5465723869449581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75</v>
      </c>
      <c r="F7373" t="s">
        <v>76</v>
      </c>
      <c r="G7373" t="str">
        <f t="shared" si="301"/>
        <v>006ATOMIC</v>
      </c>
      <c r="H7373" s="5">
        <v>2500</v>
      </c>
      <c r="I7373" s="6">
        <v>845.428571394752</v>
      </c>
      <c r="J7373" s="5">
        <v>6400</v>
      </c>
      <c r="K7373" s="6">
        <f t="shared" si="303"/>
        <v>2.9570800947448541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75</v>
      </c>
      <c r="F7374" t="s">
        <v>57</v>
      </c>
      <c r="G7374" t="str">
        <f t="shared" si="301"/>
        <v>006EXPLORER</v>
      </c>
      <c r="H7374" s="5">
        <v>11825</v>
      </c>
      <c r="I7374" s="6">
        <v>3910.1071427007355</v>
      </c>
      <c r="J7374" s="5">
        <v>29600</v>
      </c>
      <c r="K7374" s="6">
        <f t="shared" si="303"/>
        <v>3.0242138050039209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75</v>
      </c>
      <c r="F7375" t="s">
        <v>77</v>
      </c>
      <c r="G7375" t="str">
        <f t="shared" si="301"/>
        <v>006MONDIAL</v>
      </c>
      <c r="H7375" s="5">
        <v>14575</v>
      </c>
      <c r="I7375" s="6">
        <v>4015.7857141250793</v>
      </c>
      <c r="J7375" s="5">
        <v>30400</v>
      </c>
      <c r="K7375" s="6">
        <f t="shared" si="303"/>
        <v>3.6294267268131515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20</v>
      </c>
      <c r="F7376" t="s">
        <v>70</v>
      </c>
      <c r="G7376" t="str">
        <f t="shared" si="301"/>
        <v>007COTOPAXI</v>
      </c>
      <c r="H7376" s="5">
        <v>12300</v>
      </c>
      <c r="I7376" s="6">
        <v>2747.5751230427709</v>
      </c>
      <c r="J7376" s="5">
        <v>20800</v>
      </c>
      <c r="K7376" s="6">
        <f t="shared" si="303"/>
        <v>4.4766746855600088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20</v>
      </c>
      <c r="F7377" t="s">
        <v>78</v>
      </c>
      <c r="G7377" t="str">
        <f t="shared" si="301"/>
        <v>007REDIANT</v>
      </c>
      <c r="H7377" s="5">
        <v>3660</v>
      </c>
      <c r="I7377" s="6">
        <v>1056.75862064738</v>
      </c>
      <c r="J7377" s="5">
        <v>9600</v>
      </c>
      <c r="K7377" s="6">
        <f t="shared" si="303"/>
        <v>3.4634210012479962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20</v>
      </c>
      <c r="F7378" t="s">
        <v>63</v>
      </c>
      <c r="G7378" t="str">
        <f t="shared" si="301"/>
        <v>007SUMMER ROMANCE</v>
      </c>
      <c r="H7378" s="5">
        <v>575</v>
      </c>
      <c r="I7378" s="6">
        <v>369.86551722658481</v>
      </c>
      <c r="J7378" s="5">
        <v>3080</v>
      </c>
      <c r="K7378" s="6">
        <f t="shared" si="303"/>
        <v>1.554619106727235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20</v>
      </c>
      <c r="F7379" t="s">
        <v>74</v>
      </c>
      <c r="G7379" t="str">
        <f t="shared" si="301"/>
        <v>007VENDELA</v>
      </c>
      <c r="H7379" s="5">
        <v>18960</v>
      </c>
      <c r="I7379" s="6">
        <v>3592.9793102011122</v>
      </c>
      <c r="J7379" s="5">
        <v>27820</v>
      </c>
      <c r="K7379" s="6">
        <f t="shared" si="303"/>
        <v>5.2769577453922887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79</v>
      </c>
      <c r="F7380" t="s">
        <v>67</v>
      </c>
      <c r="G7380" t="str">
        <f t="shared" si="301"/>
        <v>008DEEP PURPLE</v>
      </c>
      <c r="H7380" s="5">
        <v>14760</v>
      </c>
      <c r="I7380" s="6">
        <v>1585.2222221588099</v>
      </c>
      <c r="J7380" s="5">
        <v>11490</v>
      </c>
      <c r="K7380" s="6">
        <f t="shared" si="303"/>
        <v>9.31099740697511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79</v>
      </c>
      <c r="F7381" t="s">
        <v>81</v>
      </c>
      <c r="G7381" t="str">
        <f t="shared" si="301"/>
        <v>008FREEDOM</v>
      </c>
      <c r="H7381" s="5">
        <v>9840</v>
      </c>
      <c r="I7381" s="6">
        <v>2219.311111022334</v>
      </c>
      <c r="J7381" s="5">
        <v>16800</v>
      </c>
      <c r="K7381" s="6">
        <f t="shared" si="303"/>
        <v>4.433808289035766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79</v>
      </c>
      <c r="F7382" t="s">
        <v>68</v>
      </c>
      <c r="G7382" t="str">
        <f t="shared" ref="G7382:G7445" si="304">+E7382&amp;F7382</f>
        <v>008JOCKER</v>
      </c>
      <c r="H7382" s="5">
        <v>12500</v>
      </c>
      <c r="I7382" s="6">
        <v>2959.0814813631118</v>
      </c>
      <c r="J7382" s="5">
        <v>22400</v>
      </c>
      <c r="K7382" s="6">
        <f t="shared" si="303"/>
        <v>4.2242838119624295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79</v>
      </c>
      <c r="F7383" t="s">
        <v>61</v>
      </c>
      <c r="G7383" t="str">
        <f t="shared" si="304"/>
        <v>008LUMIA</v>
      </c>
      <c r="H7383" s="5">
        <v>4560</v>
      </c>
      <c r="I7383" s="6">
        <v>1796.5851851133182</v>
      </c>
      <c r="J7383" s="5">
        <v>13600</v>
      </c>
      <c r="K7383" s="6">
        <f t="shared" si="303"/>
        <v>2.5381485040534728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82</v>
      </c>
      <c r="F7384" t="s">
        <v>83</v>
      </c>
      <c r="G7384" t="str">
        <f t="shared" si="304"/>
        <v>010COOLDOWN</v>
      </c>
      <c r="H7384" s="5">
        <v>8350</v>
      </c>
      <c r="I7384" s="6">
        <v>1912.3542857142861</v>
      </c>
      <c r="J7384" s="5">
        <v>16320</v>
      </c>
      <c r="K7384" s="6">
        <f t="shared" si="303"/>
        <v>4.3663457458570134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82</v>
      </c>
      <c r="F7385" t="s">
        <v>84</v>
      </c>
      <c r="G7385" t="str">
        <f t="shared" si="304"/>
        <v>010VIOLET HILL</v>
      </c>
      <c r="H7385" s="5">
        <v>9990</v>
      </c>
      <c r="I7385" s="6">
        <v>2812.2857142428579</v>
      </c>
      <c r="J7385" s="5">
        <v>20000</v>
      </c>
      <c r="K7385" s="6">
        <f t="shared" si="303"/>
        <v>3.5522706492464522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85</v>
      </c>
      <c r="F7386" t="s">
        <v>86</v>
      </c>
      <c r="G7386" t="str">
        <f t="shared" si="304"/>
        <v>011BRIGHTON</v>
      </c>
      <c r="H7386" s="5">
        <v>4875</v>
      </c>
      <c r="I7386" s="6">
        <v>1768.8376470588223</v>
      </c>
      <c r="J7386" s="5">
        <v>12800</v>
      </c>
      <c r="K7386" s="6">
        <f t="shared" si="303"/>
        <v>2.7560471748812132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85</v>
      </c>
      <c r="F7387" t="s">
        <v>87</v>
      </c>
      <c r="G7387" t="str">
        <f t="shared" si="304"/>
        <v>011CANDLELIGHT</v>
      </c>
      <c r="H7387" s="5">
        <v>8920</v>
      </c>
      <c r="I7387" s="6">
        <v>2263.7999998868127</v>
      </c>
      <c r="J7387" s="5">
        <v>17920</v>
      </c>
      <c r="K7387" s="6">
        <f t="shared" si="303"/>
        <v>3.940277409862174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85</v>
      </c>
      <c r="F7388" t="s">
        <v>88</v>
      </c>
      <c r="G7388" t="str">
        <f t="shared" si="304"/>
        <v>011CAYENNE</v>
      </c>
      <c r="H7388" s="5">
        <v>3780</v>
      </c>
      <c r="I7388" s="6">
        <v>994.97117647058747</v>
      </c>
      <c r="J7388" s="5">
        <v>7200</v>
      </c>
      <c r="K7388" s="6">
        <f t="shared" si="303"/>
        <v>3.7991050287593344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85</v>
      </c>
      <c r="F7389" t="s">
        <v>61</v>
      </c>
      <c r="G7389" t="str">
        <f t="shared" si="304"/>
        <v>011LUMIA</v>
      </c>
      <c r="H7389" s="5">
        <v>4380</v>
      </c>
      <c r="I7389" s="6">
        <v>994.97117647058747</v>
      </c>
      <c r="J7389" s="5">
        <v>7920</v>
      </c>
      <c r="K7389" s="6">
        <f t="shared" si="303"/>
        <v>4.4021375730068479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85</v>
      </c>
      <c r="F7390" t="s">
        <v>89</v>
      </c>
      <c r="G7390" t="str">
        <f t="shared" si="304"/>
        <v>011STARDUST</v>
      </c>
      <c r="H7390" s="5">
        <v>4350</v>
      </c>
      <c r="I7390" s="6">
        <v>2263.7999998868127</v>
      </c>
      <c r="J7390" s="5">
        <v>17920</v>
      </c>
      <c r="K7390" s="6">
        <f t="shared" si="303"/>
        <v>1.921547840011262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90</v>
      </c>
      <c r="F7391" t="s">
        <v>67</v>
      </c>
      <c r="G7391" t="str">
        <f t="shared" si="304"/>
        <v>012DEEP PURPLE</v>
      </c>
      <c r="H7391" s="5">
        <v>45810</v>
      </c>
      <c r="I7391" s="6">
        <v>6727.0499997982479</v>
      </c>
      <c r="J7391" s="5">
        <v>49210</v>
      </c>
      <c r="K7391" s="6">
        <f t="shared" si="303"/>
        <v>6.8098200550574015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90</v>
      </c>
      <c r="F7392" t="s">
        <v>60</v>
      </c>
      <c r="G7392" t="str">
        <f t="shared" si="304"/>
        <v>012LIGHT HOUSE</v>
      </c>
      <c r="H7392" s="5">
        <v>4650</v>
      </c>
      <c r="I7392" s="6">
        <v>994.95</v>
      </c>
      <c r="J7392" s="5">
        <v>7200</v>
      </c>
      <c r="K7392" s="6">
        <f t="shared" si="303"/>
        <v>4.6736016885270617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91</v>
      </c>
      <c r="F7393" t="s">
        <v>92</v>
      </c>
      <c r="G7393" t="str">
        <f t="shared" si="304"/>
        <v>013COUNTRY BLUES</v>
      </c>
      <c r="H7393" s="5">
        <v>2940</v>
      </c>
      <c r="I7393" s="6">
        <v>831.6</v>
      </c>
      <c r="J7393" s="5">
        <v>6300</v>
      </c>
      <c r="K7393" s="6">
        <f t="shared" si="303"/>
        <v>3.5353535353535355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91</v>
      </c>
      <c r="F7394" t="s">
        <v>93</v>
      </c>
      <c r="G7394" t="str">
        <f t="shared" si="304"/>
        <v>013LORRAINE</v>
      </c>
      <c r="H7394" s="5">
        <v>6275</v>
      </c>
      <c r="I7394" s="6">
        <v>1267.2</v>
      </c>
      <c r="J7394" s="5">
        <v>9600</v>
      </c>
      <c r="K7394" s="6">
        <f t="shared" si="303"/>
        <v>4.9518623737373737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91</v>
      </c>
      <c r="F7395" t="s">
        <v>61</v>
      </c>
      <c r="G7395" t="str">
        <f t="shared" si="304"/>
        <v>013LUMIA</v>
      </c>
      <c r="H7395" s="5">
        <v>2160</v>
      </c>
      <c r="I7395" s="6">
        <v>316.8</v>
      </c>
      <c r="J7395" s="5">
        <v>2400</v>
      </c>
      <c r="K7395" s="6">
        <f t="shared" si="303"/>
        <v>6.8181818181818183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91</v>
      </c>
      <c r="F7396" t="s">
        <v>74</v>
      </c>
      <c r="G7396" t="str">
        <f t="shared" si="304"/>
        <v>013VENDELA</v>
      </c>
      <c r="H7396" s="5">
        <v>25350</v>
      </c>
      <c r="I7396" s="6">
        <v>3603.6</v>
      </c>
      <c r="J7396" s="5">
        <v>27296</v>
      </c>
      <c r="K7396" s="6">
        <f t="shared" si="303"/>
        <v>7.0346320346320352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23</v>
      </c>
      <c r="F7397" t="s">
        <v>89</v>
      </c>
      <c r="G7397" t="str">
        <f t="shared" si="304"/>
        <v>014STARDUST</v>
      </c>
      <c r="H7397" s="5">
        <v>13050</v>
      </c>
      <c r="I7397" s="6">
        <v>3682.8</v>
      </c>
      <c r="J7397" s="5">
        <v>27900</v>
      </c>
      <c r="K7397" s="6">
        <f t="shared" si="303"/>
        <v>3.5434995112414467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25</v>
      </c>
      <c r="F7398" t="s">
        <v>68</v>
      </c>
      <c r="G7398" t="str">
        <f t="shared" si="304"/>
        <v>015JOCKER</v>
      </c>
      <c r="H7398" s="5">
        <v>14025</v>
      </c>
      <c r="I7398" s="6">
        <v>2376</v>
      </c>
      <c r="J7398" s="5">
        <v>18000</v>
      </c>
      <c r="K7398" s="6">
        <f t="shared" si="303"/>
        <v>5.9027777777777777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27</v>
      </c>
      <c r="F7399" t="s">
        <v>94</v>
      </c>
      <c r="G7399" t="str">
        <f t="shared" si="304"/>
        <v>016DREAM IN PEACH</v>
      </c>
      <c r="H7399" s="5">
        <v>3450</v>
      </c>
      <c r="I7399" s="6">
        <v>950.4</v>
      </c>
      <c r="J7399" s="5">
        <v>7200</v>
      </c>
      <c r="K7399" s="6">
        <f t="shared" si="303"/>
        <v>3.6300505050505052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27</v>
      </c>
      <c r="F7400" t="s">
        <v>95</v>
      </c>
      <c r="G7400" t="str">
        <f t="shared" si="304"/>
        <v>016NINA</v>
      </c>
      <c r="H7400" s="5">
        <v>6400</v>
      </c>
      <c r="I7400" s="6">
        <v>1346.4</v>
      </c>
      <c r="J7400" s="5">
        <v>10200</v>
      </c>
      <c r="K7400" s="6">
        <f t="shared" si="303"/>
        <v>4.7534165181223997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30</v>
      </c>
      <c r="F7401" t="s">
        <v>81</v>
      </c>
      <c r="G7401" t="str">
        <f t="shared" si="304"/>
        <v>017FREEDOM</v>
      </c>
      <c r="H7401" s="5">
        <v>12450</v>
      </c>
      <c r="I7401" s="6">
        <v>2851.2</v>
      </c>
      <c r="J7401" s="5">
        <v>21600</v>
      </c>
      <c r="K7401" s="6">
        <f t="shared" si="303"/>
        <v>4.3665824915824922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30</v>
      </c>
      <c r="F7402" t="s">
        <v>73</v>
      </c>
      <c r="G7402" t="str">
        <f t="shared" si="304"/>
        <v>017GOLDFINCH</v>
      </c>
      <c r="H7402" s="5">
        <v>9300</v>
      </c>
      <c r="I7402" s="6">
        <v>2138.4</v>
      </c>
      <c r="J7402" s="5">
        <v>16200</v>
      </c>
      <c r="K7402" s="6">
        <f t="shared" si="303"/>
        <v>4.3490460157126822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32</v>
      </c>
      <c r="F7403" t="s">
        <v>86</v>
      </c>
      <c r="G7403" t="str">
        <f t="shared" si="304"/>
        <v>018BRIGHTON</v>
      </c>
      <c r="H7403" s="5">
        <v>3325</v>
      </c>
      <c r="I7403" s="6">
        <v>963.6</v>
      </c>
      <c r="J7403" s="5">
        <v>7570</v>
      </c>
      <c r="K7403" s="6">
        <f t="shared" si="303"/>
        <v>3.4506019095060192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35</v>
      </c>
      <c r="F7404" t="s">
        <v>86</v>
      </c>
      <c r="G7404" t="str">
        <f t="shared" si="304"/>
        <v>019BRIGHTON</v>
      </c>
      <c r="H7404" s="5">
        <v>14700</v>
      </c>
      <c r="I7404" s="6">
        <v>3168</v>
      </c>
      <c r="J7404" s="5">
        <v>24000</v>
      </c>
      <c r="K7404" s="6">
        <f t="shared" si="303"/>
        <v>4.6401515151515156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35</v>
      </c>
      <c r="F7405" t="s">
        <v>96</v>
      </c>
      <c r="G7405" t="str">
        <f t="shared" si="304"/>
        <v>019TABATHA</v>
      </c>
      <c r="H7405" s="5">
        <v>3870</v>
      </c>
      <c r="I7405" s="6">
        <v>1188</v>
      </c>
      <c r="J7405" s="5">
        <v>9000</v>
      </c>
      <c r="K7405" s="6">
        <f t="shared" si="303"/>
        <v>3.2575757575757578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36</v>
      </c>
      <c r="F7406" t="s">
        <v>86</v>
      </c>
      <c r="G7406" t="str">
        <f t="shared" si="304"/>
        <v>020BRIGHTON</v>
      </c>
      <c r="H7406" s="5">
        <v>15175</v>
      </c>
      <c r="I7406" s="6">
        <v>2732.4</v>
      </c>
      <c r="J7406" s="5">
        <v>20700</v>
      </c>
      <c r="K7406" s="6">
        <f t="shared" si="303"/>
        <v>5.5537256624213143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36</v>
      </c>
      <c r="F7407" t="s">
        <v>97</v>
      </c>
      <c r="G7407" t="str">
        <f t="shared" si="304"/>
        <v>020TYCOON</v>
      </c>
      <c r="H7407" s="5">
        <v>2400</v>
      </c>
      <c r="I7407" s="6">
        <v>673.2</v>
      </c>
      <c r="J7407" s="5">
        <v>5100</v>
      </c>
      <c r="K7407" s="6">
        <f t="shared" si="303"/>
        <v>3.5650623885918002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38</v>
      </c>
      <c r="F7408" t="s">
        <v>98</v>
      </c>
      <c r="G7408" t="str">
        <f t="shared" si="304"/>
        <v>021SHOW GIRL</v>
      </c>
      <c r="H7408" s="5">
        <v>1775</v>
      </c>
      <c r="I7408" s="6">
        <v>1100.4749999999999</v>
      </c>
      <c r="J7408" s="5">
        <v>8000</v>
      </c>
      <c r="K7408" s="6">
        <f t="shared" si="303"/>
        <v>1.6129398668756674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43</v>
      </c>
      <c r="F7409" t="s">
        <v>99</v>
      </c>
      <c r="G7409" t="str">
        <f t="shared" si="304"/>
        <v>022CORAL REEF</v>
      </c>
      <c r="H7409" s="5">
        <v>6075</v>
      </c>
      <c r="I7409" s="6">
        <v>1287</v>
      </c>
      <c r="J7409" s="5">
        <v>9400</v>
      </c>
      <c r="K7409" s="6">
        <f t="shared" si="303"/>
        <v>4.72027972027972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100</v>
      </c>
      <c r="F7410" t="s">
        <v>70</v>
      </c>
      <c r="G7410" t="str">
        <f t="shared" si="304"/>
        <v>023COTOPAXI</v>
      </c>
      <c r="H7410" s="5">
        <v>15780</v>
      </c>
      <c r="I7410" s="6">
        <v>2641.14</v>
      </c>
      <c r="J7410" s="5">
        <v>19200</v>
      </c>
      <c r="K7410" s="6">
        <f t="shared" si="303"/>
        <v>5.9746927463140915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100</v>
      </c>
      <c r="F7411" t="s">
        <v>101</v>
      </c>
      <c r="G7411" t="str">
        <f t="shared" si="304"/>
        <v>023FRUTTETO</v>
      </c>
      <c r="H7411" s="5">
        <v>24930</v>
      </c>
      <c r="I7411" s="6">
        <v>2641.14</v>
      </c>
      <c r="J7411" s="5">
        <v>19200</v>
      </c>
      <c r="K7411" s="6">
        <f t="shared" si="303"/>
        <v>9.4391058406597157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102</v>
      </c>
      <c r="F7412" t="s">
        <v>70</v>
      </c>
      <c r="G7412" t="str">
        <f t="shared" si="304"/>
        <v>024COTOPAXI</v>
      </c>
      <c r="H7412" s="5">
        <v>8700</v>
      </c>
      <c r="I7412" s="6">
        <v>1430.6174906250001</v>
      </c>
      <c r="J7412" s="5">
        <v>10400</v>
      </c>
      <c r="K7412" s="6">
        <f t="shared" si="303"/>
        <v>6.0812901121453455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102</v>
      </c>
      <c r="F7413" t="s">
        <v>64</v>
      </c>
      <c r="G7413" t="str">
        <f t="shared" si="304"/>
        <v>024SWEETNESS</v>
      </c>
      <c r="H7413" s="5">
        <v>4890</v>
      </c>
      <c r="I7413" s="6">
        <v>1430.6175000000001</v>
      </c>
      <c r="J7413" s="5">
        <v>10400</v>
      </c>
      <c r="K7413" s="6">
        <f t="shared" si="303"/>
        <v>3.4181044199445343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102</v>
      </c>
      <c r="F7414" t="s">
        <v>97</v>
      </c>
      <c r="G7414" t="str">
        <f t="shared" si="304"/>
        <v>024TYCOON</v>
      </c>
      <c r="H7414" s="5">
        <v>8760</v>
      </c>
      <c r="I7414" s="6">
        <v>2861.2350000000001</v>
      </c>
      <c r="J7414" s="5">
        <v>20800</v>
      </c>
      <c r="K7414" s="6">
        <f t="shared" si="303"/>
        <v>3.0616150019135091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103</v>
      </c>
      <c r="F7415" t="s">
        <v>104</v>
      </c>
      <c r="G7415" t="str">
        <f t="shared" si="304"/>
        <v>025PINK MONDIAL</v>
      </c>
      <c r="H7415" s="5">
        <v>8550</v>
      </c>
      <c r="I7415" s="6">
        <v>3071.9505625000002</v>
      </c>
      <c r="J7415" s="5">
        <v>22400</v>
      </c>
      <c r="K7415" s="6">
        <f t="shared" si="303"/>
        <v>2.7832479156311289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45</v>
      </c>
      <c r="F7416" t="s">
        <v>105</v>
      </c>
      <c r="G7416" t="str">
        <f t="shared" si="304"/>
        <v>026LOLA</v>
      </c>
      <c r="H7416" s="5">
        <v>9425</v>
      </c>
      <c r="I7416" s="6">
        <v>2852.5250000000001</v>
      </c>
      <c r="J7416" s="5">
        <v>20800</v>
      </c>
      <c r="K7416" s="6">
        <f t="shared" si="303"/>
        <v>3.3040902358436823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45</v>
      </c>
      <c r="F7417" t="s">
        <v>106</v>
      </c>
      <c r="G7417" t="str">
        <f t="shared" si="304"/>
        <v>026PALOMA</v>
      </c>
      <c r="H7417" s="5">
        <v>10775</v>
      </c>
      <c r="I7417" s="6">
        <v>2852.5250000000001</v>
      </c>
      <c r="J7417" s="5">
        <v>20800</v>
      </c>
      <c r="K7417" s="6">
        <f t="shared" si="303"/>
        <v>3.7773551502616103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107</v>
      </c>
      <c r="F7418" t="s">
        <v>108</v>
      </c>
      <c r="G7418" t="str">
        <f t="shared" si="304"/>
        <v>027SATISFACTION</v>
      </c>
      <c r="H7418" s="5">
        <v>11070</v>
      </c>
      <c r="I7418" s="6">
        <v>2633.1</v>
      </c>
      <c r="J7418" s="5">
        <v>19200</v>
      </c>
      <c r="K7418" s="6">
        <f t="shared" si="303"/>
        <v>4.2041699897459273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107</v>
      </c>
      <c r="F7419" t="s">
        <v>109</v>
      </c>
      <c r="G7419" t="str">
        <f t="shared" si="304"/>
        <v>027TIFFANY</v>
      </c>
      <c r="H7419" s="5">
        <v>9330</v>
      </c>
      <c r="I7419" s="6">
        <v>2633.1</v>
      </c>
      <c r="J7419" s="5">
        <v>19200</v>
      </c>
      <c r="K7419" s="6">
        <f t="shared" si="303"/>
        <v>3.5433519425771904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110</v>
      </c>
      <c r="F7420" t="s">
        <v>70</v>
      </c>
      <c r="G7420" t="str">
        <f t="shared" si="304"/>
        <v>028COTOPAXI</v>
      </c>
      <c r="H7420" s="5">
        <v>9840</v>
      </c>
      <c r="I7420" s="6">
        <v>2852.5250000000001</v>
      </c>
      <c r="J7420" s="5">
        <v>20800</v>
      </c>
      <c r="K7420" s="6">
        <f t="shared" ref="K7420:K7482" si="305">+H7420/I7420</f>
        <v>3.449575376201786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110</v>
      </c>
      <c r="F7421" t="s">
        <v>67</v>
      </c>
      <c r="G7421" t="str">
        <f t="shared" si="304"/>
        <v>028DEEP PURPLE</v>
      </c>
      <c r="H7421" s="5">
        <v>17640</v>
      </c>
      <c r="I7421" s="6">
        <v>2852.5250000000001</v>
      </c>
      <c r="J7421" s="5">
        <v>20800</v>
      </c>
      <c r="K7421" s="6">
        <f t="shared" si="305"/>
        <v>6.1839948817275916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111</v>
      </c>
      <c r="F7422" t="s">
        <v>112</v>
      </c>
      <c r="G7422" t="str">
        <f t="shared" si="304"/>
        <v>029PINK FLOYD</v>
      </c>
      <c r="H7422" s="5">
        <v>7550</v>
      </c>
      <c r="I7422" s="6">
        <v>3071.95</v>
      </c>
      <c r="J7422" s="5">
        <v>22400</v>
      </c>
      <c r="K7422" s="6">
        <f t="shared" si="305"/>
        <v>2.4577222936571235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47</v>
      </c>
      <c r="F7423" t="s">
        <v>57</v>
      </c>
      <c r="G7423" t="str">
        <f t="shared" si="304"/>
        <v>030EXPLORER</v>
      </c>
      <c r="H7423" s="5">
        <v>6650</v>
      </c>
      <c r="I7423" s="6">
        <v>1645.6875</v>
      </c>
      <c r="J7423" s="5">
        <v>12000</v>
      </c>
      <c r="K7423" s="6">
        <f t="shared" si="305"/>
        <v>4.0408643803881352</v>
      </c>
    </row>
    <row r="7424" spans="1:11">
      <c r="A7424" s="4">
        <v>2026</v>
      </c>
      <c r="B7424">
        <v>17</v>
      </c>
      <c r="C7424" t="s">
        <v>10</v>
      </c>
      <c r="D7424" t="s">
        <v>11</v>
      </c>
      <c r="E7424" t="s">
        <v>12</v>
      </c>
      <c r="F7424" t="s">
        <v>13</v>
      </c>
      <c r="G7424" t="str">
        <f t="shared" si="304"/>
        <v>002SOMERSET</v>
      </c>
      <c r="H7424" s="5">
        <v>11360</v>
      </c>
      <c r="I7424" s="6">
        <v>4121.4642855494085</v>
      </c>
      <c r="J7424" s="5">
        <v>31200</v>
      </c>
      <c r="K7424" s="6">
        <f t="shared" si="305"/>
        <v>2.7563019385683369</v>
      </c>
    </row>
    <row r="7425" spans="1:11">
      <c r="A7425" s="4">
        <v>2026</v>
      </c>
      <c r="B7425">
        <v>17</v>
      </c>
      <c r="C7425" t="s">
        <v>10</v>
      </c>
      <c r="D7425" t="s">
        <v>11</v>
      </c>
      <c r="E7425" t="s">
        <v>14</v>
      </c>
      <c r="F7425" t="s">
        <v>15</v>
      </c>
      <c r="G7425" t="str">
        <f t="shared" si="304"/>
        <v>004BELLINA</v>
      </c>
      <c r="H7425" s="5">
        <v>3720</v>
      </c>
      <c r="I7425" s="6">
        <v>1056.7857142434418</v>
      </c>
      <c r="J7425" s="5">
        <v>8000</v>
      </c>
      <c r="K7425" s="6">
        <f t="shared" si="305"/>
        <v>3.5201081447842686</v>
      </c>
    </row>
    <row r="7426" spans="1:11">
      <c r="A7426" s="4">
        <v>2026</v>
      </c>
      <c r="B7426">
        <v>17</v>
      </c>
      <c r="C7426" t="s">
        <v>10</v>
      </c>
      <c r="D7426" t="s">
        <v>11</v>
      </c>
      <c r="E7426" t="s">
        <v>16</v>
      </c>
      <c r="F7426" t="s">
        <v>17</v>
      </c>
      <c r="G7426" t="str">
        <f t="shared" si="304"/>
        <v>005ELBA</v>
      </c>
      <c r="H7426" s="5">
        <v>11760</v>
      </c>
      <c r="I7426" s="6">
        <v>2641.9642856076484</v>
      </c>
      <c r="J7426" s="5">
        <v>19996</v>
      </c>
      <c r="K7426" s="6">
        <f t="shared" si="305"/>
        <v>4.4512335250191377</v>
      </c>
    </row>
    <row r="7427" spans="1:11">
      <c r="A7427" s="4">
        <v>2026</v>
      </c>
      <c r="B7427">
        <v>17</v>
      </c>
      <c r="C7427" t="s">
        <v>10</v>
      </c>
      <c r="D7427" t="s">
        <v>11</v>
      </c>
      <c r="E7427" t="s">
        <v>16</v>
      </c>
      <c r="F7427" t="s">
        <v>18</v>
      </c>
      <c r="G7427" t="str">
        <f t="shared" si="304"/>
        <v>005HOT BUBBLES</v>
      </c>
      <c r="H7427" s="5">
        <v>2120</v>
      </c>
      <c r="I7427" s="6">
        <v>528.39285712153003</v>
      </c>
      <c r="J7427" s="5">
        <v>4000</v>
      </c>
      <c r="K7427" s="6">
        <f t="shared" si="305"/>
        <v>4.0121662725512603</v>
      </c>
    </row>
    <row r="7428" spans="1:11">
      <c r="A7428" s="4">
        <v>2026</v>
      </c>
      <c r="B7428">
        <v>17</v>
      </c>
      <c r="C7428" t="s">
        <v>10</v>
      </c>
      <c r="D7428" t="s">
        <v>11</v>
      </c>
      <c r="E7428" t="s">
        <v>16</v>
      </c>
      <c r="F7428" t="s">
        <v>19</v>
      </c>
      <c r="G7428" t="str">
        <f t="shared" si="304"/>
        <v>005SUSPIRO</v>
      </c>
      <c r="H7428" s="5">
        <v>8700</v>
      </c>
      <c r="I7428" s="6">
        <v>1902.2142856375078</v>
      </c>
      <c r="J7428" s="5">
        <v>14400</v>
      </c>
      <c r="K7428" s="6">
        <f t="shared" si="305"/>
        <v>4.5736172132070196</v>
      </c>
    </row>
    <row r="7429" spans="1:11">
      <c r="A7429" s="4">
        <v>2026</v>
      </c>
      <c r="B7429">
        <v>17</v>
      </c>
      <c r="C7429" t="s">
        <v>10</v>
      </c>
      <c r="D7429" t="s">
        <v>11</v>
      </c>
      <c r="E7429" t="s">
        <v>20</v>
      </c>
      <c r="F7429" t="s">
        <v>21</v>
      </c>
      <c r="G7429" t="str">
        <f t="shared" si="304"/>
        <v>007SNOW BUBBLES</v>
      </c>
      <c r="H7429" s="5">
        <v>2820</v>
      </c>
      <c r="I7429" s="6">
        <v>634.05652706821195</v>
      </c>
      <c r="J7429" s="5">
        <v>4800</v>
      </c>
      <c r="K7429" s="6">
        <f t="shared" si="305"/>
        <v>4.4475529855978024</v>
      </c>
    </row>
    <row r="7430" spans="1:11">
      <c r="A7430" s="4">
        <v>2026</v>
      </c>
      <c r="B7430">
        <v>17</v>
      </c>
      <c r="C7430" t="s">
        <v>10</v>
      </c>
      <c r="D7430" t="s">
        <v>11</v>
      </c>
      <c r="E7430" t="s">
        <v>22</v>
      </c>
      <c r="F7430" t="s">
        <v>18</v>
      </c>
      <c r="G7430" t="str">
        <f t="shared" si="304"/>
        <v>009HOT BUBBLES</v>
      </c>
      <c r="H7430" s="5">
        <v>15560</v>
      </c>
      <c r="I7430" s="6">
        <v>4487.9999999102474</v>
      </c>
      <c r="J7430" s="5">
        <v>31740</v>
      </c>
      <c r="K7430" s="6">
        <f t="shared" si="305"/>
        <v>3.4670231729748604</v>
      </c>
    </row>
    <row r="7431" spans="1:11">
      <c r="A7431" s="4">
        <v>2026</v>
      </c>
      <c r="B7431">
        <v>17</v>
      </c>
      <c r="C7431" t="s">
        <v>10</v>
      </c>
      <c r="D7431" t="s">
        <v>11</v>
      </c>
      <c r="E7431" t="s">
        <v>23</v>
      </c>
      <c r="F7431" t="s">
        <v>24</v>
      </c>
      <c r="G7431" t="str">
        <f t="shared" si="304"/>
        <v>014FRUITY BUBBLES</v>
      </c>
      <c r="H7431" s="5">
        <v>8200</v>
      </c>
      <c r="I7431" s="6">
        <v>1702.8</v>
      </c>
      <c r="J7431" s="5">
        <v>12900</v>
      </c>
      <c r="K7431" s="6">
        <f t="shared" si="305"/>
        <v>4.8155978388536527</v>
      </c>
    </row>
    <row r="7432" spans="1:11">
      <c r="A7432" s="4">
        <v>2026</v>
      </c>
      <c r="B7432">
        <v>17</v>
      </c>
      <c r="C7432" t="s">
        <v>10</v>
      </c>
      <c r="D7432" t="s">
        <v>11</v>
      </c>
      <c r="E7432" t="s">
        <v>25</v>
      </c>
      <c r="F7432" t="s">
        <v>26</v>
      </c>
      <c r="G7432" t="str">
        <f t="shared" si="304"/>
        <v>015FELLINI</v>
      </c>
      <c r="H7432" s="5">
        <v>10300</v>
      </c>
      <c r="I7432" s="6">
        <v>3009.6</v>
      </c>
      <c r="J7432" s="5">
        <v>22800</v>
      </c>
      <c r="K7432" s="6">
        <f t="shared" si="305"/>
        <v>3.4223817118553961</v>
      </c>
    </row>
    <row r="7433" spans="1:11">
      <c r="A7433" s="4">
        <v>2026</v>
      </c>
      <c r="B7433">
        <v>17</v>
      </c>
      <c r="C7433" t="s">
        <v>10</v>
      </c>
      <c r="D7433" t="s">
        <v>11</v>
      </c>
      <c r="E7433" t="s">
        <v>27</v>
      </c>
      <c r="F7433" t="s">
        <v>28</v>
      </c>
      <c r="G7433" t="str">
        <f t="shared" si="304"/>
        <v>016GOOD PEACH</v>
      </c>
      <c r="H7433" s="5">
        <v>5550</v>
      </c>
      <c r="I7433" s="6">
        <v>1386</v>
      </c>
      <c r="J7433" s="5">
        <v>10500</v>
      </c>
      <c r="K7433" s="6">
        <f t="shared" si="305"/>
        <v>4.0043290043290041</v>
      </c>
    </row>
    <row r="7434" spans="1:11">
      <c r="A7434" s="4">
        <v>2026</v>
      </c>
      <c r="B7434">
        <v>17</v>
      </c>
      <c r="C7434" t="s">
        <v>10</v>
      </c>
      <c r="D7434" t="s">
        <v>11</v>
      </c>
      <c r="E7434" t="s">
        <v>27</v>
      </c>
      <c r="F7434" t="s">
        <v>29</v>
      </c>
      <c r="G7434" t="str">
        <f t="shared" si="304"/>
        <v>016GOOD YELLOW</v>
      </c>
      <c r="H7434" s="5">
        <v>6030</v>
      </c>
      <c r="I7434" s="6">
        <v>1386</v>
      </c>
      <c r="J7434" s="5">
        <v>10500</v>
      </c>
      <c r="K7434" s="6">
        <f t="shared" si="305"/>
        <v>4.3506493506493502</v>
      </c>
    </row>
    <row r="7435" spans="1:11">
      <c r="A7435" s="4">
        <v>2026</v>
      </c>
      <c r="B7435">
        <v>17</v>
      </c>
      <c r="C7435" t="s">
        <v>10</v>
      </c>
      <c r="D7435" t="s">
        <v>11</v>
      </c>
      <c r="E7435" t="s">
        <v>30</v>
      </c>
      <c r="F7435" t="s">
        <v>31</v>
      </c>
      <c r="G7435" t="str">
        <f t="shared" si="304"/>
        <v>017ORANGE STAR</v>
      </c>
      <c r="H7435" s="5">
        <v>2875</v>
      </c>
      <c r="I7435" s="6">
        <v>1029.5999999999999</v>
      </c>
      <c r="J7435" s="5">
        <v>7800</v>
      </c>
      <c r="K7435" s="6">
        <f t="shared" si="305"/>
        <v>2.7923465423465426</v>
      </c>
    </row>
    <row r="7436" spans="1:11">
      <c r="A7436" s="4">
        <v>2026</v>
      </c>
      <c r="B7436">
        <v>17</v>
      </c>
      <c r="C7436" t="s">
        <v>10</v>
      </c>
      <c r="D7436" t="s">
        <v>11</v>
      </c>
      <c r="E7436" t="s">
        <v>32</v>
      </c>
      <c r="F7436" t="s">
        <v>33</v>
      </c>
      <c r="G7436" t="str">
        <f t="shared" si="304"/>
        <v>018COSMO</v>
      </c>
      <c r="H7436" s="5">
        <v>6375</v>
      </c>
      <c r="I7436" s="6">
        <v>2653.2</v>
      </c>
      <c r="J7436" s="5">
        <v>20100</v>
      </c>
      <c r="K7436" s="6">
        <f t="shared" si="305"/>
        <v>2.4027589326096792</v>
      </c>
    </row>
    <row r="7437" spans="1:11">
      <c r="A7437" s="4">
        <v>2026</v>
      </c>
      <c r="B7437">
        <v>17</v>
      </c>
      <c r="C7437" t="s">
        <v>10</v>
      </c>
      <c r="D7437" t="s">
        <v>11</v>
      </c>
      <c r="E7437" t="s">
        <v>32</v>
      </c>
      <c r="F7437" t="s">
        <v>34</v>
      </c>
      <c r="G7437" t="str">
        <f t="shared" si="304"/>
        <v>018RUBICON</v>
      </c>
      <c r="H7437" s="5">
        <v>5520</v>
      </c>
      <c r="I7437" s="6">
        <v>1768.8</v>
      </c>
      <c r="J7437" s="5">
        <v>13400</v>
      </c>
      <c r="K7437" s="6">
        <f t="shared" si="305"/>
        <v>3.1207598371777476</v>
      </c>
    </row>
    <row r="7438" spans="1:11">
      <c r="A7438" s="4">
        <v>2026</v>
      </c>
      <c r="B7438">
        <v>17</v>
      </c>
      <c r="C7438" t="s">
        <v>10</v>
      </c>
      <c r="D7438" t="s">
        <v>11</v>
      </c>
      <c r="E7438" t="s">
        <v>35</v>
      </c>
      <c r="F7438" t="s">
        <v>15</v>
      </c>
      <c r="G7438" t="str">
        <f t="shared" si="304"/>
        <v>019BELLINA</v>
      </c>
      <c r="H7438" s="5">
        <v>4425</v>
      </c>
      <c r="I7438" s="6">
        <v>1029.5999999999999</v>
      </c>
      <c r="J7438" s="5">
        <v>7800</v>
      </c>
      <c r="K7438" s="6">
        <f t="shared" si="305"/>
        <v>4.2977855477855478</v>
      </c>
    </row>
    <row r="7439" spans="1:11">
      <c r="A7439" s="4">
        <v>2026</v>
      </c>
      <c r="B7439">
        <v>17</v>
      </c>
      <c r="C7439" t="s">
        <v>10</v>
      </c>
      <c r="D7439" t="s">
        <v>11</v>
      </c>
      <c r="E7439" t="s">
        <v>36</v>
      </c>
      <c r="F7439" t="s">
        <v>37</v>
      </c>
      <c r="G7439" t="str">
        <f t="shared" si="304"/>
        <v>020SUMMER DANCE</v>
      </c>
      <c r="H7439" s="5">
        <v>6500</v>
      </c>
      <c r="I7439" s="6">
        <v>1346.4</v>
      </c>
      <c r="J7439" s="5">
        <v>10200</v>
      </c>
      <c r="K7439" s="6">
        <f t="shared" si="305"/>
        <v>4.8276886512180628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38</v>
      </c>
      <c r="F7440" t="s">
        <v>39</v>
      </c>
      <c r="G7440" t="str">
        <f t="shared" si="304"/>
        <v>021ELEGANT ROSEVER</v>
      </c>
      <c r="H7440" s="5">
        <v>2700</v>
      </c>
      <c r="I7440" s="6">
        <v>440.18999062500001</v>
      </c>
      <c r="J7440" s="5">
        <v>3200</v>
      </c>
      <c r="K7440" s="6">
        <f t="shared" si="305"/>
        <v>6.1337151173438267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38</v>
      </c>
      <c r="F7441" t="s">
        <v>40</v>
      </c>
      <c r="G7441" t="str">
        <f t="shared" si="304"/>
        <v>021FLAME CLUB</v>
      </c>
      <c r="H7441" s="5">
        <v>4550</v>
      </c>
      <c r="I7441" s="6">
        <v>880.38</v>
      </c>
      <c r="J7441" s="5">
        <v>6400</v>
      </c>
      <c r="K7441" s="6">
        <f t="shared" si="305"/>
        <v>5.168222812876258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38</v>
      </c>
      <c r="F7442" t="s">
        <v>41</v>
      </c>
      <c r="G7442" t="str">
        <f t="shared" si="304"/>
        <v>021KELLY</v>
      </c>
      <c r="H7442" s="5">
        <v>625</v>
      </c>
      <c r="I7442" s="6">
        <v>330.14249999999998</v>
      </c>
      <c r="J7442" s="5">
        <v>2400</v>
      </c>
      <c r="K7442" s="6">
        <f t="shared" si="305"/>
        <v>1.8931219094784828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38</v>
      </c>
      <c r="F7443" t="s">
        <v>42</v>
      </c>
      <c r="G7443" t="str">
        <f t="shared" si="304"/>
        <v>021LEILA</v>
      </c>
      <c r="H7443" s="5">
        <v>2300</v>
      </c>
      <c r="I7443" s="6">
        <v>770.33249999999998</v>
      </c>
      <c r="J7443" s="5">
        <v>5600</v>
      </c>
      <c r="K7443" s="6">
        <f t="shared" si="305"/>
        <v>2.9857236972346359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38</v>
      </c>
      <c r="F7444" t="s">
        <v>115</v>
      </c>
      <c r="G7444" t="str">
        <f t="shared" si="304"/>
        <v>021PISTACHIO KISS</v>
      </c>
      <c r="H7444" s="5">
        <v>25</v>
      </c>
      <c r="I7444" s="6">
        <v>880.38</v>
      </c>
      <c r="J7444" s="5">
        <v>6400</v>
      </c>
      <c r="K7444" s="6">
        <f t="shared" si="305"/>
        <v>2.8396828642177241E-2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38</v>
      </c>
      <c r="F7445" t="s">
        <v>21</v>
      </c>
      <c r="G7445" t="str">
        <f t="shared" si="304"/>
        <v>021SNOW BUBBLES</v>
      </c>
      <c r="H7445" s="5">
        <v>5400</v>
      </c>
      <c r="I7445" s="6">
        <v>1287.0000000000018</v>
      </c>
      <c r="J7445" s="5">
        <v>9400</v>
      </c>
      <c r="K7445" s="6">
        <f t="shared" si="305"/>
        <v>4.1958041958041896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43</v>
      </c>
      <c r="F7446" t="s">
        <v>24</v>
      </c>
      <c r="G7446" t="str">
        <f t="shared" ref="G7446:G7507" si="306">+E7446&amp;F7446</f>
        <v>022FRUITY BUBBLES</v>
      </c>
      <c r="H7446" s="5">
        <v>13025</v>
      </c>
      <c r="I7446" s="6">
        <v>2641.14</v>
      </c>
      <c r="J7446" s="5">
        <v>19200</v>
      </c>
      <c r="K7446" s="6">
        <f t="shared" si="305"/>
        <v>4.9315825741914479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43</v>
      </c>
      <c r="F7447" t="s">
        <v>28</v>
      </c>
      <c r="G7447" t="str">
        <f t="shared" si="306"/>
        <v>022GOOD PEACH</v>
      </c>
      <c r="H7447" s="5">
        <v>3990</v>
      </c>
      <c r="I7447" s="6">
        <v>880.38</v>
      </c>
      <c r="J7447" s="5">
        <v>6400</v>
      </c>
      <c r="K7447" s="6">
        <f t="shared" si="305"/>
        <v>4.5321338512914879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43</v>
      </c>
      <c r="F7448" t="s">
        <v>44</v>
      </c>
      <c r="G7448" t="str">
        <f t="shared" si="306"/>
        <v>022MIRABEL</v>
      </c>
      <c r="H7448" s="5">
        <v>3840</v>
      </c>
      <c r="I7448" s="6">
        <v>880.38</v>
      </c>
      <c r="J7448" s="5">
        <v>6400</v>
      </c>
      <c r="K7448" s="6">
        <f t="shared" si="305"/>
        <v>4.3617528794384244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47</v>
      </c>
      <c r="F7449" t="s">
        <v>44</v>
      </c>
      <c r="G7449" t="str">
        <f t="shared" si="306"/>
        <v>030MIRABEL</v>
      </c>
      <c r="H7449" s="5">
        <v>8740</v>
      </c>
      <c r="I7449" s="6">
        <v>2413.6749943750001</v>
      </c>
      <c r="J7449" s="5">
        <v>17600</v>
      </c>
      <c r="K7449" s="6">
        <f t="shared" si="305"/>
        <v>3.6210343233319802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47</v>
      </c>
      <c r="F7450" t="s">
        <v>13</v>
      </c>
      <c r="G7450" t="str">
        <f t="shared" si="306"/>
        <v>030SOMERSET</v>
      </c>
      <c r="H7450" s="5">
        <v>4960</v>
      </c>
      <c r="I7450" s="6">
        <v>1645.6875</v>
      </c>
      <c r="J7450" s="5">
        <v>12000</v>
      </c>
      <c r="K7450" s="6">
        <f t="shared" si="305"/>
        <v>3.0139379438684442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48</v>
      </c>
      <c r="F7451" t="s">
        <v>49</v>
      </c>
      <c r="G7451" t="str">
        <f t="shared" si="306"/>
        <v>03182989</v>
      </c>
      <c r="H7451" s="5">
        <v>2620</v>
      </c>
      <c r="I7451" s="6">
        <v>726.32013058333712</v>
      </c>
      <c r="J7451" s="5">
        <v>5712</v>
      </c>
      <c r="K7451" s="6">
        <f t="shared" si="305"/>
        <v>3.6072248168252914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48</v>
      </c>
      <c r="F7452" t="s">
        <v>34</v>
      </c>
      <c r="G7452" t="str">
        <f t="shared" si="306"/>
        <v>031RUBICON</v>
      </c>
      <c r="H7452" s="5">
        <v>3240</v>
      </c>
      <c r="I7452" s="6">
        <v>924.39958333667107</v>
      </c>
      <c r="J7452" s="5">
        <v>6720</v>
      </c>
      <c r="K7452" s="6">
        <f t="shared" si="305"/>
        <v>3.5049777806098117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48</v>
      </c>
      <c r="F7453" t="s">
        <v>13</v>
      </c>
      <c r="G7453" t="str">
        <f t="shared" si="306"/>
        <v>031SOMERSET</v>
      </c>
      <c r="H7453" s="5">
        <v>2540</v>
      </c>
      <c r="I7453" s="6">
        <v>1122.485208333339</v>
      </c>
      <c r="J7453" s="5">
        <v>8160</v>
      </c>
      <c r="K7453" s="6">
        <f t="shared" si="305"/>
        <v>2.2628360544468826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48</v>
      </c>
      <c r="F7454" t="s">
        <v>50</v>
      </c>
      <c r="G7454" t="str">
        <f t="shared" si="306"/>
        <v>031VELVET BLOSSOMS</v>
      </c>
      <c r="H7454" s="5">
        <v>1220</v>
      </c>
      <c r="I7454" s="6">
        <v>396.17125000000198</v>
      </c>
      <c r="J7454" s="5">
        <v>2880</v>
      </c>
      <c r="K7454" s="6">
        <f t="shared" si="305"/>
        <v>3.0794763628102593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51</v>
      </c>
      <c r="F7455" t="s">
        <v>17</v>
      </c>
      <c r="G7455" t="str">
        <f t="shared" si="306"/>
        <v>032ELBA</v>
      </c>
      <c r="H7455" s="5">
        <v>6930</v>
      </c>
      <c r="I7455" s="6">
        <v>1535.9749999999999</v>
      </c>
      <c r="J7455" s="5">
        <v>11200</v>
      </c>
      <c r="K7455" s="6">
        <f t="shared" si="305"/>
        <v>4.5117921841175805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51</v>
      </c>
      <c r="F7456" t="s">
        <v>44</v>
      </c>
      <c r="G7456" t="str">
        <f t="shared" si="306"/>
        <v>032MIRABEL</v>
      </c>
      <c r="H7456" s="5">
        <v>6600</v>
      </c>
      <c r="I7456" s="6">
        <v>1535.9749999999999</v>
      </c>
      <c r="J7456" s="5">
        <v>11200</v>
      </c>
      <c r="K7456" s="6">
        <f t="shared" si="305"/>
        <v>4.2969449372548381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52</v>
      </c>
      <c r="F7457" t="s">
        <v>53</v>
      </c>
      <c r="G7457" t="str">
        <f t="shared" si="306"/>
        <v>033CREAMY FOLIES</v>
      </c>
      <c r="H7457" s="5">
        <v>1560</v>
      </c>
      <c r="I7457" s="6">
        <v>594.25687500000299</v>
      </c>
      <c r="J7457" s="5">
        <v>4320</v>
      </c>
      <c r="K7457" s="6">
        <f t="shared" si="305"/>
        <v>2.6251273912480899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52</v>
      </c>
      <c r="F7458" t="s">
        <v>18</v>
      </c>
      <c r="G7458" t="str">
        <f t="shared" si="306"/>
        <v>033HOT BUBBLES</v>
      </c>
      <c r="H7458" s="5">
        <v>12420</v>
      </c>
      <c r="I7458" s="6">
        <v>2575.1131250013459</v>
      </c>
      <c r="J7458" s="5">
        <v>18720</v>
      </c>
      <c r="K7458" s="6">
        <f t="shared" si="305"/>
        <v>4.823089082734378</v>
      </c>
    </row>
    <row r="7459" spans="1:11">
      <c r="A7459" s="4">
        <v>2026</v>
      </c>
      <c r="B7459">
        <v>17</v>
      </c>
      <c r="C7459" t="s">
        <v>54</v>
      </c>
      <c r="D7459" t="s">
        <v>11</v>
      </c>
      <c r="E7459" t="s">
        <v>55</v>
      </c>
      <c r="F7459" t="s">
        <v>56</v>
      </c>
      <c r="G7459" t="str">
        <f t="shared" si="306"/>
        <v>001BELIEVE IN PINK</v>
      </c>
      <c r="H7459" s="5">
        <v>1830</v>
      </c>
      <c r="I7459" s="6">
        <v>528.37931032368999</v>
      </c>
      <c r="J7459" s="5">
        <v>4000</v>
      </c>
      <c r="K7459" s="6">
        <f t="shared" ref="K7459:K7464" si="307">IFERROR(H7459/I7459,"")</f>
        <v>3.4634210012479962</v>
      </c>
    </row>
    <row r="7460" spans="1:11">
      <c r="A7460" s="4">
        <v>2026</v>
      </c>
      <c r="B7460">
        <v>17</v>
      </c>
      <c r="C7460" t="s">
        <v>54</v>
      </c>
      <c r="D7460" t="s">
        <v>11</v>
      </c>
      <c r="E7460" t="s">
        <v>55</v>
      </c>
      <c r="F7460" t="s">
        <v>57</v>
      </c>
      <c r="G7460" t="str">
        <f t="shared" si="306"/>
        <v>001EXPLORER</v>
      </c>
      <c r="H7460" s="5">
        <v>7000</v>
      </c>
      <c r="I7460" s="6">
        <v>2272.0310343918732</v>
      </c>
      <c r="J7460" s="5">
        <v>17200</v>
      </c>
      <c r="K7460" s="6">
        <f t="shared" si="307"/>
        <v>3.0809438313300173</v>
      </c>
    </row>
    <row r="7461" spans="1:11">
      <c r="A7461" s="4">
        <v>2026</v>
      </c>
      <c r="B7461">
        <v>17</v>
      </c>
      <c r="C7461" t="s">
        <v>54</v>
      </c>
      <c r="D7461" t="s">
        <v>11</v>
      </c>
      <c r="E7461" t="s">
        <v>55</v>
      </c>
      <c r="F7461" t="s">
        <v>58</v>
      </c>
      <c r="G7461" t="str">
        <f t="shared" si="306"/>
        <v>001GRACE KELLY</v>
      </c>
      <c r="H7461" s="5">
        <v>4950</v>
      </c>
      <c r="I7461" s="6">
        <v>1162.4344827121224</v>
      </c>
      <c r="J7461" s="5">
        <v>8800</v>
      </c>
      <c r="K7461" s="6">
        <f t="shared" si="307"/>
        <v>4.2583045097311265</v>
      </c>
    </row>
    <row r="7462" spans="1:11">
      <c r="A7462" s="4">
        <v>2026</v>
      </c>
      <c r="B7462">
        <v>17</v>
      </c>
      <c r="C7462" t="s">
        <v>54</v>
      </c>
      <c r="D7462" t="s">
        <v>11</v>
      </c>
      <c r="E7462" t="s">
        <v>55</v>
      </c>
      <c r="F7462" t="s">
        <v>60</v>
      </c>
      <c r="G7462" t="str">
        <f t="shared" si="306"/>
        <v>001LIGHT HOUSE</v>
      </c>
      <c r="H7462" s="5">
        <v>3540</v>
      </c>
      <c r="I7462" s="6">
        <v>1056.7586206473827</v>
      </c>
      <c r="J7462" s="5">
        <v>8000</v>
      </c>
      <c r="K7462" s="6">
        <f t="shared" si="307"/>
        <v>3.3498662143218234</v>
      </c>
    </row>
    <row r="7463" spans="1:11">
      <c r="A7463" s="4">
        <v>2026</v>
      </c>
      <c r="B7463">
        <v>17</v>
      </c>
      <c r="C7463" t="s">
        <v>54</v>
      </c>
      <c r="D7463" t="s">
        <v>11</v>
      </c>
      <c r="E7463" t="s">
        <v>55</v>
      </c>
      <c r="F7463" t="s">
        <v>61</v>
      </c>
      <c r="G7463" t="str">
        <f t="shared" si="306"/>
        <v>001LUMIA</v>
      </c>
      <c r="H7463" s="5">
        <v>5400</v>
      </c>
      <c r="I7463" s="6">
        <v>1109.596551679753</v>
      </c>
      <c r="J7463" s="5">
        <v>8400</v>
      </c>
      <c r="K7463" s="6">
        <f t="shared" si="307"/>
        <v>4.8666337254070022</v>
      </c>
    </row>
    <row r="7464" spans="1:11">
      <c r="A7464" s="4">
        <v>2026</v>
      </c>
      <c r="B7464">
        <v>17</v>
      </c>
      <c r="C7464" t="s">
        <v>54</v>
      </c>
      <c r="D7464" t="s">
        <v>11</v>
      </c>
      <c r="E7464" t="s">
        <v>55</v>
      </c>
      <c r="F7464" t="s">
        <v>62</v>
      </c>
      <c r="G7464" t="str">
        <f t="shared" si="306"/>
        <v>001MOMENTUM</v>
      </c>
      <c r="H7464" s="5">
        <v>10050</v>
      </c>
      <c r="I7464" s="6">
        <v>1902.1655171652881</v>
      </c>
      <c r="J7464" s="5">
        <v>14400</v>
      </c>
      <c r="K7464" s="6">
        <f t="shared" si="307"/>
        <v>5.283451891703443</v>
      </c>
    </row>
    <row r="7465" spans="1:11">
      <c r="A7465" s="4">
        <v>2026</v>
      </c>
      <c r="B7465">
        <v>17</v>
      </c>
      <c r="C7465" t="s">
        <v>54</v>
      </c>
      <c r="D7465" t="s">
        <v>11</v>
      </c>
      <c r="E7465" t="s">
        <v>12</v>
      </c>
      <c r="F7465" t="s">
        <v>63</v>
      </c>
      <c r="G7465" t="str">
        <f t="shared" si="306"/>
        <v>002SUMMER ROMANCE</v>
      </c>
      <c r="H7465" s="5">
        <v>2050</v>
      </c>
      <c r="I7465" s="6">
        <v>951.10714281909407</v>
      </c>
      <c r="J7465" s="5">
        <v>7200</v>
      </c>
      <c r="K7465" s="6">
        <f t="shared" si="305"/>
        <v>2.1553828246140316</v>
      </c>
    </row>
    <row r="7466" spans="1:11">
      <c r="A7466" s="4">
        <v>2026</v>
      </c>
      <c r="B7466">
        <v>17</v>
      </c>
      <c r="C7466" t="s">
        <v>54</v>
      </c>
      <c r="D7466" t="s">
        <v>11</v>
      </c>
      <c r="E7466" t="s">
        <v>12</v>
      </c>
      <c r="F7466" t="s">
        <v>64</v>
      </c>
      <c r="G7466" t="str">
        <f t="shared" si="306"/>
        <v>002SWEETNESS</v>
      </c>
      <c r="H7466" s="5">
        <v>12390</v>
      </c>
      <c r="I7466" s="6">
        <v>3804.4285712763772</v>
      </c>
      <c r="J7466" s="5">
        <v>28800</v>
      </c>
      <c r="K7466" s="6">
        <f t="shared" si="305"/>
        <v>3.2567308776790052</v>
      </c>
    </row>
    <row r="7467" spans="1:11">
      <c r="A7467" s="4">
        <v>2026</v>
      </c>
      <c r="B7467">
        <v>17</v>
      </c>
      <c r="C7467" t="s">
        <v>54</v>
      </c>
      <c r="D7467" t="s">
        <v>11</v>
      </c>
      <c r="E7467" t="s">
        <v>65</v>
      </c>
      <c r="F7467" t="s">
        <v>66</v>
      </c>
      <c r="G7467" t="str">
        <f t="shared" si="306"/>
        <v>003CABARET</v>
      </c>
      <c r="H7467" s="5">
        <v>15270</v>
      </c>
      <c r="I7467" s="6">
        <v>2641.8965516184649</v>
      </c>
      <c r="J7467" s="5">
        <v>20000</v>
      </c>
      <c r="K7467" s="6">
        <f t="shared" si="305"/>
        <v>5.7799386545417049</v>
      </c>
    </row>
    <row r="7468" spans="1:11">
      <c r="A7468" s="4">
        <v>2026</v>
      </c>
      <c r="B7468">
        <v>17</v>
      </c>
      <c r="C7468" t="s">
        <v>54</v>
      </c>
      <c r="D7468" t="s">
        <v>11</v>
      </c>
      <c r="E7468" t="s">
        <v>65</v>
      </c>
      <c r="F7468" t="s">
        <v>67</v>
      </c>
      <c r="G7468" t="str">
        <f t="shared" si="306"/>
        <v>003DEEP PURPLE</v>
      </c>
      <c r="H7468" s="5">
        <v>21300</v>
      </c>
      <c r="I7468" s="6">
        <v>3592.9793102010913</v>
      </c>
      <c r="J7468" s="5">
        <v>26044</v>
      </c>
      <c r="K7468" s="6">
        <f t="shared" si="305"/>
        <v>5.9282278468806116</v>
      </c>
    </row>
    <row r="7469" spans="1:11">
      <c r="A7469" s="4">
        <v>2026</v>
      </c>
      <c r="B7469">
        <v>17</v>
      </c>
      <c r="C7469" t="s">
        <v>54</v>
      </c>
      <c r="D7469" t="s">
        <v>11</v>
      </c>
      <c r="E7469" t="s">
        <v>65</v>
      </c>
      <c r="F7469" t="s">
        <v>57</v>
      </c>
      <c r="G7469" t="str">
        <f t="shared" si="306"/>
        <v>003EXPLORER</v>
      </c>
      <c r="H7469" s="5">
        <v>3025</v>
      </c>
      <c r="I7469" s="6">
        <v>1268.1103447768633</v>
      </c>
      <c r="J7469" s="5">
        <v>9600</v>
      </c>
      <c r="K7469" s="6">
        <f t="shared" si="305"/>
        <v>2.3854391003586355</v>
      </c>
    </row>
    <row r="7470" spans="1:11">
      <c r="A7470" s="4">
        <v>2026</v>
      </c>
      <c r="B7470">
        <v>17</v>
      </c>
      <c r="C7470" t="s">
        <v>54</v>
      </c>
      <c r="D7470" t="s">
        <v>11</v>
      </c>
      <c r="E7470" t="s">
        <v>65</v>
      </c>
      <c r="F7470" t="s">
        <v>68</v>
      </c>
      <c r="G7470" t="str">
        <f t="shared" si="306"/>
        <v>003JOCKER</v>
      </c>
      <c r="H7470" s="5">
        <v>2575</v>
      </c>
      <c r="I7470" s="6">
        <v>528.37931032368999</v>
      </c>
      <c r="J7470" s="5">
        <v>4000</v>
      </c>
      <c r="K7470" s="6">
        <f t="shared" si="305"/>
        <v>4.8733929389145301</v>
      </c>
    </row>
    <row r="7471" spans="1:11">
      <c r="A7471" s="4">
        <v>2026</v>
      </c>
      <c r="B7471">
        <v>17</v>
      </c>
      <c r="C7471" t="s">
        <v>54</v>
      </c>
      <c r="D7471" t="s">
        <v>11</v>
      </c>
      <c r="E7471" t="s">
        <v>65</v>
      </c>
      <c r="F7471" t="s">
        <v>69</v>
      </c>
      <c r="G7471" t="str">
        <f t="shared" si="306"/>
        <v>003QUICKSAND</v>
      </c>
      <c r="H7471" s="5">
        <v>4260</v>
      </c>
      <c r="I7471" s="6">
        <v>1162.4344827121247</v>
      </c>
      <c r="J7471" s="5">
        <v>8800</v>
      </c>
      <c r="K7471" s="6">
        <f t="shared" si="305"/>
        <v>3.66472266898072</v>
      </c>
    </row>
    <row r="7472" spans="1:11">
      <c r="A7472" s="4">
        <v>2026</v>
      </c>
      <c r="B7472">
        <v>17</v>
      </c>
      <c r="C7472" t="s">
        <v>54</v>
      </c>
      <c r="D7472" t="s">
        <v>11</v>
      </c>
      <c r="E7472" t="s">
        <v>14</v>
      </c>
      <c r="F7472" t="s">
        <v>70</v>
      </c>
      <c r="G7472" t="str">
        <f t="shared" si="306"/>
        <v>004COTOPAXI</v>
      </c>
      <c r="H7472" s="5">
        <v>2610</v>
      </c>
      <c r="I7472" s="6">
        <v>528.3915024419166</v>
      </c>
      <c r="J7472" s="5">
        <v>4000</v>
      </c>
      <c r="K7472" s="6">
        <f t="shared" si="305"/>
        <v>4.9395192540722288</v>
      </c>
    </row>
    <row r="7473" spans="1:11">
      <c r="A7473" s="4">
        <v>2026</v>
      </c>
      <c r="B7473">
        <v>17</v>
      </c>
      <c r="C7473" t="s">
        <v>54</v>
      </c>
      <c r="D7473" t="s">
        <v>11</v>
      </c>
      <c r="E7473" t="s">
        <v>14</v>
      </c>
      <c r="F7473" t="s">
        <v>67</v>
      </c>
      <c r="G7473" t="str">
        <f t="shared" si="306"/>
        <v>004DEEP PURPLE</v>
      </c>
      <c r="H7473" s="5">
        <v>25500</v>
      </c>
      <c r="I7473" s="6">
        <v>3910.1071427007282</v>
      </c>
      <c r="J7473" s="5">
        <v>29260</v>
      </c>
      <c r="K7473" s="6">
        <f t="shared" si="305"/>
        <v>6.5215604251670296</v>
      </c>
    </row>
    <row r="7474" spans="1:11">
      <c r="A7474" s="4">
        <v>2026</v>
      </c>
      <c r="B7474">
        <v>17</v>
      </c>
      <c r="C7474" t="s">
        <v>54</v>
      </c>
      <c r="D7474" t="s">
        <v>11</v>
      </c>
      <c r="E7474" t="s">
        <v>14</v>
      </c>
      <c r="F7474" t="s">
        <v>71</v>
      </c>
      <c r="G7474" t="str">
        <f t="shared" si="306"/>
        <v>004HOT EXPLORER</v>
      </c>
      <c r="H7474" s="5">
        <v>4150</v>
      </c>
      <c r="I7474" s="6">
        <v>1902.2142856381945</v>
      </c>
      <c r="J7474" s="5">
        <v>14400</v>
      </c>
      <c r="K7474" s="6">
        <f t="shared" si="305"/>
        <v>2.1816679810117563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14</v>
      </c>
      <c r="F7475" t="s">
        <v>72</v>
      </c>
      <c r="G7475" t="str">
        <f t="shared" si="306"/>
        <v>004HOT MERENGUE</v>
      </c>
      <c r="H7475" s="5">
        <v>4980</v>
      </c>
      <c r="I7475" s="6">
        <v>1162.4642856677858</v>
      </c>
      <c r="J7475" s="5">
        <v>8800</v>
      </c>
      <c r="K7475" s="6">
        <f t="shared" si="305"/>
        <v>4.2840025808958115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14</v>
      </c>
      <c r="F7476" t="s">
        <v>64</v>
      </c>
      <c r="G7476" t="str">
        <f t="shared" si="306"/>
        <v>004SWEETNESS</v>
      </c>
      <c r="H7476" s="5">
        <v>1230</v>
      </c>
      <c r="I7476" s="6">
        <v>317.03571427303262</v>
      </c>
      <c r="J7476" s="5">
        <v>2400</v>
      </c>
      <c r="K7476" s="6">
        <f t="shared" si="305"/>
        <v>3.879689084305241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16</v>
      </c>
      <c r="F7477" t="s">
        <v>57</v>
      </c>
      <c r="G7477" t="str">
        <f t="shared" si="306"/>
        <v>005EXPLORER</v>
      </c>
      <c r="H7477" s="5">
        <v>3225</v>
      </c>
      <c r="I7477" s="6">
        <v>951.10714281875391</v>
      </c>
      <c r="J7477" s="5">
        <v>7200</v>
      </c>
      <c r="K7477" s="6">
        <f t="shared" si="305"/>
        <v>3.3907851753086522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16</v>
      </c>
      <c r="F7478" t="s">
        <v>73</v>
      </c>
      <c r="G7478" t="str">
        <f t="shared" si="306"/>
        <v>005GOLDFINCH</v>
      </c>
      <c r="H7478" s="5">
        <v>2500</v>
      </c>
      <c r="I7478" s="6">
        <v>898.26785710660101</v>
      </c>
      <c r="J7478" s="5">
        <v>6800</v>
      </c>
      <c r="K7478" s="6">
        <f t="shared" si="305"/>
        <v>2.7831342068196872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16</v>
      </c>
      <c r="F7479" t="s">
        <v>68</v>
      </c>
      <c r="G7479" t="str">
        <f t="shared" si="306"/>
        <v>005JOCKER</v>
      </c>
      <c r="H7479" s="5">
        <v>3875</v>
      </c>
      <c r="I7479" s="6">
        <v>1162.4642856673661</v>
      </c>
      <c r="J7479" s="5">
        <v>8800</v>
      </c>
      <c r="K7479" s="6">
        <f t="shared" si="305"/>
        <v>3.333435743168125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16</v>
      </c>
      <c r="F7480" t="s">
        <v>74</v>
      </c>
      <c r="G7480" t="str">
        <f t="shared" si="306"/>
        <v>005VENDELA</v>
      </c>
      <c r="H7480" s="5">
        <v>3030</v>
      </c>
      <c r="I7480" s="6">
        <v>686.91071425798896</v>
      </c>
      <c r="J7480" s="5">
        <v>5200</v>
      </c>
      <c r="K7480" s="6">
        <f t="shared" si="305"/>
        <v>4.4110536305625256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75</v>
      </c>
      <c r="F7481" t="s">
        <v>76</v>
      </c>
      <c r="G7481" t="str">
        <f t="shared" si="306"/>
        <v>006ATOMIC</v>
      </c>
      <c r="H7481" s="5">
        <v>1750</v>
      </c>
      <c r="I7481" s="6">
        <v>845.428571394752</v>
      </c>
      <c r="J7481" s="5">
        <v>6400</v>
      </c>
      <c r="K7481" s="6">
        <f t="shared" si="305"/>
        <v>2.0699560663213981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75</v>
      </c>
      <c r="F7482" t="s">
        <v>57</v>
      </c>
      <c r="G7482" t="str">
        <f t="shared" si="306"/>
        <v>006EXPLORER</v>
      </c>
      <c r="H7482" s="5">
        <v>13175</v>
      </c>
      <c r="I7482" s="6">
        <v>3910.1071427007355</v>
      </c>
      <c r="J7482" s="5">
        <v>29600</v>
      </c>
      <c r="K7482" s="6">
        <f t="shared" si="305"/>
        <v>3.3694728863362924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75</v>
      </c>
      <c r="F7483" t="s">
        <v>77</v>
      </c>
      <c r="G7483" t="str">
        <f t="shared" si="306"/>
        <v>006MONDIAL</v>
      </c>
      <c r="H7483" s="5">
        <v>19150</v>
      </c>
      <c r="I7483" s="6">
        <v>4015.7857141250793</v>
      </c>
      <c r="J7483" s="5">
        <v>30400</v>
      </c>
      <c r="K7483" s="6">
        <f t="shared" ref="K7483:K7545" si="308">+H7483/I7483</f>
        <v>4.7686807422622195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20</v>
      </c>
      <c r="F7484" t="s">
        <v>70</v>
      </c>
      <c r="G7484" t="str">
        <f t="shared" si="306"/>
        <v>007COTOPAXI</v>
      </c>
      <c r="H7484" s="5">
        <v>14130</v>
      </c>
      <c r="I7484" s="6">
        <v>2747.5751230427709</v>
      </c>
      <c r="J7484" s="5">
        <v>20800</v>
      </c>
      <c r="K7484" s="6">
        <f t="shared" si="308"/>
        <v>5.1427165290213761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20</v>
      </c>
      <c r="F7485" t="s">
        <v>78</v>
      </c>
      <c r="G7485" t="str">
        <f t="shared" si="306"/>
        <v>007REDIANT</v>
      </c>
      <c r="H7485" s="5">
        <v>2490</v>
      </c>
      <c r="I7485" s="6">
        <v>1056.75862064738</v>
      </c>
      <c r="J7485" s="5">
        <v>9600</v>
      </c>
      <c r="K7485" s="6">
        <f t="shared" si="308"/>
        <v>2.3562618287178991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20</v>
      </c>
      <c r="F7486" t="s">
        <v>63</v>
      </c>
      <c r="G7486" t="str">
        <f t="shared" si="306"/>
        <v>007SUMMER ROMANCE</v>
      </c>
      <c r="H7486" s="5">
        <v>950</v>
      </c>
      <c r="I7486" s="6">
        <v>369.86551722658481</v>
      </c>
      <c r="J7486" s="5">
        <v>3080</v>
      </c>
      <c r="K7486" s="6">
        <f t="shared" si="308"/>
        <v>2.5685011328536924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20</v>
      </c>
      <c r="F7487" t="s">
        <v>74</v>
      </c>
      <c r="G7487" t="str">
        <f t="shared" si="306"/>
        <v>007VENDELA</v>
      </c>
      <c r="H7487" s="5">
        <v>19230</v>
      </c>
      <c r="I7487" s="6">
        <v>3592.9793102011122</v>
      </c>
      <c r="J7487" s="5">
        <v>27820</v>
      </c>
      <c r="K7487" s="6">
        <f t="shared" si="308"/>
        <v>5.3521042955640139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79</v>
      </c>
      <c r="F7488" t="s">
        <v>67</v>
      </c>
      <c r="G7488" t="str">
        <f t="shared" si="306"/>
        <v>008DEEP PURPLE</v>
      </c>
      <c r="H7488" s="5">
        <v>12660</v>
      </c>
      <c r="I7488" s="6">
        <v>1585.2222221588099</v>
      </c>
      <c r="J7488" s="5">
        <v>11490</v>
      </c>
      <c r="K7488" s="6">
        <f t="shared" si="308"/>
        <v>7.9862620035436915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79</v>
      </c>
      <c r="F7489" t="s">
        <v>81</v>
      </c>
      <c r="G7489" t="str">
        <f t="shared" si="306"/>
        <v>008FREEDOM</v>
      </c>
      <c r="H7489" s="5">
        <v>10560</v>
      </c>
      <c r="I7489" s="6">
        <v>2219.311111022334</v>
      </c>
      <c r="J7489" s="5">
        <v>16800</v>
      </c>
      <c r="K7489" s="6">
        <f t="shared" si="308"/>
        <v>4.7582332857944811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79</v>
      </c>
      <c r="F7490" t="s">
        <v>68</v>
      </c>
      <c r="G7490" t="str">
        <f t="shared" si="306"/>
        <v>008JOCKER</v>
      </c>
      <c r="H7490" s="5">
        <v>11275</v>
      </c>
      <c r="I7490" s="6">
        <v>2959.0814813631118</v>
      </c>
      <c r="J7490" s="5">
        <v>22400</v>
      </c>
      <c r="K7490" s="6">
        <f t="shared" si="308"/>
        <v>3.8103039983901117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79</v>
      </c>
      <c r="F7491" t="s">
        <v>61</v>
      </c>
      <c r="G7491" t="str">
        <f t="shared" si="306"/>
        <v>008LUMIA</v>
      </c>
      <c r="H7491" s="5">
        <v>4440</v>
      </c>
      <c r="I7491" s="6">
        <v>1796.5851851133182</v>
      </c>
      <c r="J7491" s="5">
        <v>13600</v>
      </c>
      <c r="K7491" s="6">
        <f t="shared" si="308"/>
        <v>2.4713551223678549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82</v>
      </c>
      <c r="F7492" t="s">
        <v>83</v>
      </c>
      <c r="G7492" t="str">
        <f t="shared" si="306"/>
        <v>010COOLDOWN</v>
      </c>
      <c r="H7492" s="5">
        <v>5250</v>
      </c>
      <c r="I7492" s="6">
        <v>1912.3542857142861</v>
      </c>
      <c r="J7492" s="5">
        <v>16320</v>
      </c>
      <c r="K7492" s="6">
        <f t="shared" si="308"/>
        <v>2.7453072054789605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82</v>
      </c>
      <c r="F7493" t="s">
        <v>84</v>
      </c>
      <c r="G7493" t="str">
        <f t="shared" si="306"/>
        <v>010VIOLET HILL</v>
      </c>
      <c r="H7493" s="5">
        <v>10350</v>
      </c>
      <c r="I7493" s="6">
        <v>2812.2857142428579</v>
      </c>
      <c r="J7493" s="5">
        <v>20000</v>
      </c>
      <c r="K7493" s="6">
        <f t="shared" si="308"/>
        <v>3.6802804023724507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85</v>
      </c>
      <c r="F7494" t="s">
        <v>86</v>
      </c>
      <c r="G7494" t="str">
        <f t="shared" si="306"/>
        <v>011BRIGHTON</v>
      </c>
      <c r="H7494" s="5">
        <v>6500</v>
      </c>
      <c r="I7494" s="6">
        <v>1768.8376470588223</v>
      </c>
      <c r="J7494" s="5">
        <v>12800</v>
      </c>
      <c r="K7494" s="6">
        <f t="shared" si="308"/>
        <v>3.6747295665082844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85</v>
      </c>
      <c r="F7495" t="s">
        <v>87</v>
      </c>
      <c r="G7495" t="str">
        <f t="shared" si="306"/>
        <v>011CANDLELIGHT</v>
      </c>
      <c r="H7495" s="5">
        <v>7640</v>
      </c>
      <c r="I7495" s="6">
        <v>2263.7999998868127</v>
      </c>
      <c r="J7495" s="5">
        <v>17920</v>
      </c>
      <c r="K7495" s="6">
        <f t="shared" si="308"/>
        <v>3.3748564362496647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85</v>
      </c>
      <c r="F7496" t="s">
        <v>88</v>
      </c>
      <c r="G7496" t="str">
        <f t="shared" si="306"/>
        <v>011CAYENNE</v>
      </c>
      <c r="H7496" s="5">
        <v>3390</v>
      </c>
      <c r="I7496" s="6">
        <v>994.97117647058747</v>
      </c>
      <c r="J7496" s="5">
        <v>7200</v>
      </c>
      <c r="K7496" s="6">
        <f t="shared" si="308"/>
        <v>3.4071338749984506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85</v>
      </c>
      <c r="F7497" t="s">
        <v>61</v>
      </c>
      <c r="G7497" t="str">
        <f t="shared" si="306"/>
        <v>011LUMIA</v>
      </c>
      <c r="H7497" s="5">
        <v>3810</v>
      </c>
      <c r="I7497" s="6">
        <v>994.97117647058747</v>
      </c>
      <c r="J7497" s="5">
        <v>7920</v>
      </c>
      <c r="K7497" s="6">
        <f t="shared" si="308"/>
        <v>3.8292566559717103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85</v>
      </c>
      <c r="F7498" t="s">
        <v>89</v>
      </c>
      <c r="G7498" t="str">
        <f t="shared" si="306"/>
        <v>011STARDUST</v>
      </c>
      <c r="H7498" s="5">
        <v>8750</v>
      </c>
      <c r="I7498" s="6">
        <v>2263.7999998868127</v>
      </c>
      <c r="J7498" s="5">
        <v>17920</v>
      </c>
      <c r="K7498" s="6">
        <f t="shared" si="308"/>
        <v>3.8651824368042624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90</v>
      </c>
      <c r="F7499" t="s">
        <v>67</v>
      </c>
      <c r="G7499" t="str">
        <f t="shared" si="306"/>
        <v>012DEEP PURPLE</v>
      </c>
      <c r="H7499" s="5">
        <v>34260</v>
      </c>
      <c r="I7499" s="6">
        <v>6727.0499997982479</v>
      </c>
      <c r="J7499" s="5">
        <v>49210</v>
      </c>
      <c r="K7499" s="6">
        <f t="shared" si="308"/>
        <v>5.0928713181896219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90</v>
      </c>
      <c r="F7500" t="s">
        <v>60</v>
      </c>
      <c r="G7500" t="str">
        <f t="shared" si="306"/>
        <v>012LIGHT HOUSE</v>
      </c>
      <c r="H7500" s="5">
        <v>3690</v>
      </c>
      <c r="I7500" s="6">
        <v>994.95</v>
      </c>
      <c r="J7500" s="5">
        <v>7200</v>
      </c>
      <c r="K7500" s="6">
        <f t="shared" si="308"/>
        <v>3.7087290818634102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91</v>
      </c>
      <c r="F7501" t="s">
        <v>92</v>
      </c>
      <c r="G7501" t="str">
        <f t="shared" si="306"/>
        <v>013COUNTRY BLUES</v>
      </c>
      <c r="H7501" s="5">
        <v>1760</v>
      </c>
      <c r="I7501" s="6">
        <v>831.6</v>
      </c>
      <c r="J7501" s="5">
        <v>6300</v>
      </c>
      <c r="K7501" s="6">
        <f t="shared" si="308"/>
        <v>2.1164021164021163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91</v>
      </c>
      <c r="F7502" t="s">
        <v>93</v>
      </c>
      <c r="G7502" t="str">
        <f t="shared" si="306"/>
        <v>013LORRAINE</v>
      </c>
      <c r="H7502" s="5">
        <v>7375</v>
      </c>
      <c r="I7502" s="6">
        <v>1267.2</v>
      </c>
      <c r="J7502" s="5">
        <v>9600</v>
      </c>
      <c r="K7502" s="6">
        <f t="shared" si="308"/>
        <v>5.8199179292929291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91</v>
      </c>
      <c r="F7503" t="s">
        <v>61</v>
      </c>
      <c r="G7503" t="str">
        <f t="shared" si="306"/>
        <v>013LUMIA</v>
      </c>
      <c r="H7503" s="5">
        <v>1860</v>
      </c>
      <c r="I7503" s="6">
        <v>316.8</v>
      </c>
      <c r="J7503" s="5">
        <v>2400</v>
      </c>
      <c r="K7503" s="6">
        <f t="shared" si="308"/>
        <v>5.8712121212121211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91</v>
      </c>
      <c r="F7504" t="s">
        <v>74</v>
      </c>
      <c r="G7504" t="str">
        <f t="shared" si="306"/>
        <v>013VENDELA</v>
      </c>
      <c r="H7504" s="5">
        <v>16080</v>
      </c>
      <c r="I7504" s="6">
        <v>3603.6</v>
      </c>
      <c r="J7504" s="5">
        <v>27296</v>
      </c>
      <c r="K7504" s="6">
        <f t="shared" si="308"/>
        <v>4.4622044622044621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23</v>
      </c>
      <c r="F7505" t="s">
        <v>89</v>
      </c>
      <c r="G7505" t="str">
        <f t="shared" si="306"/>
        <v>014STARDUST</v>
      </c>
      <c r="H7505" s="5">
        <v>14425</v>
      </c>
      <c r="I7505" s="6">
        <v>3682.8</v>
      </c>
      <c r="J7505" s="5">
        <v>27900</v>
      </c>
      <c r="K7505" s="6">
        <f t="shared" si="308"/>
        <v>3.9168567394373843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25</v>
      </c>
      <c r="F7506" t="s">
        <v>68</v>
      </c>
      <c r="G7506" t="str">
        <f t="shared" si="306"/>
        <v>015JOCKER</v>
      </c>
      <c r="H7506" s="5">
        <v>13375</v>
      </c>
      <c r="I7506" s="6">
        <v>2376</v>
      </c>
      <c r="J7506" s="5">
        <v>18000</v>
      </c>
      <c r="K7506" s="6">
        <f t="shared" si="308"/>
        <v>5.6292087542087543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27</v>
      </c>
      <c r="F7507" t="s">
        <v>94</v>
      </c>
      <c r="G7507" t="str">
        <f t="shared" si="306"/>
        <v>016DREAM IN PEACH</v>
      </c>
      <c r="H7507" s="5">
        <v>3600</v>
      </c>
      <c r="I7507" s="6">
        <v>950.4</v>
      </c>
      <c r="J7507" s="5">
        <v>7200</v>
      </c>
      <c r="K7507" s="6">
        <f t="shared" si="308"/>
        <v>3.7878787878787881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27</v>
      </c>
      <c r="F7508" t="s">
        <v>95</v>
      </c>
      <c r="G7508" t="str">
        <f t="shared" ref="G7508:G7570" si="309">+E7508&amp;F7508</f>
        <v>016NINA</v>
      </c>
      <c r="H7508" s="5">
        <v>5250</v>
      </c>
      <c r="I7508" s="6">
        <v>1346.4</v>
      </c>
      <c r="J7508" s="5">
        <v>10200</v>
      </c>
      <c r="K7508" s="6">
        <f t="shared" si="308"/>
        <v>3.8992869875222813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30</v>
      </c>
      <c r="F7509" t="s">
        <v>81</v>
      </c>
      <c r="G7509" t="str">
        <f t="shared" si="309"/>
        <v>017FREEDOM</v>
      </c>
      <c r="H7509" s="5">
        <v>9540</v>
      </c>
      <c r="I7509" s="6">
        <v>2851.2</v>
      </c>
      <c r="J7509" s="5">
        <v>21600</v>
      </c>
      <c r="K7509" s="6">
        <f t="shared" si="308"/>
        <v>3.345959595959596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30</v>
      </c>
      <c r="F7510" t="s">
        <v>73</v>
      </c>
      <c r="G7510" t="str">
        <f t="shared" si="309"/>
        <v>017GOLDFINCH</v>
      </c>
      <c r="H7510" s="5">
        <v>6000</v>
      </c>
      <c r="I7510" s="6">
        <v>2138.4</v>
      </c>
      <c r="J7510" s="5">
        <v>16200</v>
      </c>
      <c r="K7510" s="6">
        <f t="shared" si="308"/>
        <v>2.8058361391694722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32</v>
      </c>
      <c r="F7511" t="s">
        <v>86</v>
      </c>
      <c r="G7511" t="str">
        <f t="shared" si="309"/>
        <v>018BRIGHTON</v>
      </c>
      <c r="H7511" s="5">
        <v>4525</v>
      </c>
      <c r="I7511" s="6">
        <v>963.6</v>
      </c>
      <c r="J7511" s="5">
        <v>7570</v>
      </c>
      <c r="K7511" s="6">
        <f t="shared" si="308"/>
        <v>4.6959319219593194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35</v>
      </c>
      <c r="F7512" t="s">
        <v>86</v>
      </c>
      <c r="G7512" t="str">
        <f t="shared" si="309"/>
        <v>019BRIGHTON</v>
      </c>
      <c r="H7512" s="5">
        <v>16100</v>
      </c>
      <c r="I7512" s="6">
        <v>3168</v>
      </c>
      <c r="J7512" s="5">
        <v>24000</v>
      </c>
      <c r="K7512" s="6">
        <f t="shared" si="308"/>
        <v>5.0820707070707067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35</v>
      </c>
      <c r="F7513" t="s">
        <v>96</v>
      </c>
      <c r="G7513" t="str">
        <f t="shared" si="309"/>
        <v>019TABATHA</v>
      </c>
      <c r="H7513" s="5">
        <v>4140</v>
      </c>
      <c r="I7513" s="6">
        <v>1188</v>
      </c>
      <c r="J7513" s="5">
        <v>9000</v>
      </c>
      <c r="K7513" s="6">
        <f t="shared" si="308"/>
        <v>3.4848484848484849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36</v>
      </c>
      <c r="F7514" t="s">
        <v>86</v>
      </c>
      <c r="G7514" t="str">
        <f t="shared" si="309"/>
        <v>020BRIGHTON</v>
      </c>
      <c r="H7514" s="5">
        <v>12850</v>
      </c>
      <c r="I7514" s="6">
        <v>2732.4</v>
      </c>
      <c r="J7514" s="5">
        <v>20700</v>
      </c>
      <c r="K7514" s="6">
        <f t="shared" si="308"/>
        <v>4.702825354999268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36</v>
      </c>
      <c r="F7515" t="s">
        <v>97</v>
      </c>
      <c r="G7515" t="str">
        <f t="shared" si="309"/>
        <v>020TYCOON</v>
      </c>
      <c r="H7515" s="5">
        <v>3540</v>
      </c>
      <c r="I7515" s="6">
        <v>673.2</v>
      </c>
      <c r="J7515" s="5">
        <v>5100</v>
      </c>
      <c r="K7515" s="6">
        <f t="shared" si="308"/>
        <v>5.2584670231729049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38</v>
      </c>
      <c r="F7516" t="s">
        <v>98</v>
      </c>
      <c r="G7516" t="str">
        <f t="shared" si="309"/>
        <v>021SHOW GIRL</v>
      </c>
      <c r="H7516" s="5">
        <v>2850</v>
      </c>
      <c r="I7516" s="6">
        <v>1100.4749999999999</v>
      </c>
      <c r="J7516" s="5">
        <v>8000</v>
      </c>
      <c r="K7516" s="6">
        <f t="shared" si="308"/>
        <v>2.5897907721665647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43</v>
      </c>
      <c r="F7517" t="s">
        <v>99</v>
      </c>
      <c r="G7517" t="str">
        <f t="shared" si="309"/>
        <v>022CORAL REEF</v>
      </c>
      <c r="H7517" s="5">
        <v>3575</v>
      </c>
      <c r="I7517" s="6">
        <v>1287</v>
      </c>
      <c r="J7517" s="5">
        <v>9400</v>
      </c>
      <c r="K7517" s="6">
        <f t="shared" si="308"/>
        <v>2.7777777777777777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100</v>
      </c>
      <c r="F7518" t="s">
        <v>70</v>
      </c>
      <c r="G7518" t="str">
        <f t="shared" si="309"/>
        <v>023COTOPAXI</v>
      </c>
      <c r="H7518" s="5">
        <v>11010</v>
      </c>
      <c r="I7518" s="6">
        <v>2641.14</v>
      </c>
      <c r="J7518" s="5">
        <v>19200</v>
      </c>
      <c r="K7518" s="6">
        <f t="shared" si="308"/>
        <v>4.1686544446716196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100</v>
      </c>
      <c r="F7519" t="s">
        <v>101</v>
      </c>
      <c r="G7519" t="str">
        <f t="shared" si="309"/>
        <v>023FRUTTETO</v>
      </c>
      <c r="H7519" s="5">
        <v>16230</v>
      </c>
      <c r="I7519" s="6">
        <v>2641.14</v>
      </c>
      <c r="J7519" s="5">
        <v>19200</v>
      </c>
      <c r="K7519" s="6">
        <f t="shared" si="308"/>
        <v>6.1450737181671551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102</v>
      </c>
      <c r="F7520" t="s">
        <v>70</v>
      </c>
      <c r="G7520" t="str">
        <f t="shared" si="309"/>
        <v>024COTOPAXI</v>
      </c>
      <c r="H7520" s="5">
        <v>7830</v>
      </c>
      <c r="I7520" s="6">
        <v>1430.6174906250001</v>
      </c>
      <c r="J7520" s="5">
        <v>10400</v>
      </c>
      <c r="K7520" s="6">
        <f t="shared" si="308"/>
        <v>5.4731611009308114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102</v>
      </c>
      <c r="F7521" t="s">
        <v>64</v>
      </c>
      <c r="G7521" t="str">
        <f t="shared" si="309"/>
        <v>024SWEETNESS</v>
      </c>
      <c r="H7521" s="5">
        <v>4590</v>
      </c>
      <c r="I7521" s="6">
        <v>1430.6175000000001</v>
      </c>
      <c r="J7521" s="5">
        <v>10400</v>
      </c>
      <c r="K7521" s="6">
        <f t="shared" si="308"/>
        <v>3.2084047622792253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102</v>
      </c>
      <c r="F7522" t="s">
        <v>97</v>
      </c>
      <c r="G7522" t="str">
        <f t="shared" si="309"/>
        <v>024TYCOON</v>
      </c>
      <c r="H7522" s="5">
        <v>9120</v>
      </c>
      <c r="I7522" s="6">
        <v>2861.2350000000001</v>
      </c>
      <c r="J7522" s="5">
        <v>20800</v>
      </c>
      <c r="K7522" s="6">
        <f t="shared" si="308"/>
        <v>3.1874347965126946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103</v>
      </c>
      <c r="F7523" t="s">
        <v>104</v>
      </c>
      <c r="G7523" t="str">
        <f t="shared" si="309"/>
        <v>025PINK MONDIAL</v>
      </c>
      <c r="H7523" s="5">
        <v>12150</v>
      </c>
      <c r="I7523" s="6">
        <v>3071.9505625000002</v>
      </c>
      <c r="J7523" s="5">
        <v>22400</v>
      </c>
      <c r="K7523" s="6">
        <f t="shared" si="308"/>
        <v>3.9551417748442361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45</v>
      </c>
      <c r="F7524" t="s">
        <v>105</v>
      </c>
      <c r="G7524" t="str">
        <f t="shared" si="309"/>
        <v>026LOLA</v>
      </c>
      <c r="H7524" s="5">
        <v>5800</v>
      </c>
      <c r="I7524" s="6">
        <v>2852.5250000000001</v>
      </c>
      <c r="J7524" s="5">
        <v>20800</v>
      </c>
      <c r="K7524" s="6">
        <f t="shared" si="308"/>
        <v>2.0332862989807277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45</v>
      </c>
      <c r="F7525" t="s">
        <v>106</v>
      </c>
      <c r="G7525" t="str">
        <f t="shared" si="309"/>
        <v>026PALOMA</v>
      </c>
      <c r="H7525" s="5">
        <v>7875</v>
      </c>
      <c r="I7525" s="6">
        <v>2852.5250000000001</v>
      </c>
      <c r="J7525" s="5">
        <v>20800</v>
      </c>
      <c r="K7525" s="6">
        <f t="shared" si="308"/>
        <v>2.7607120007712465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107</v>
      </c>
      <c r="F7526" t="s">
        <v>108</v>
      </c>
      <c r="G7526" t="str">
        <f t="shared" si="309"/>
        <v>027SATISFACTION</v>
      </c>
      <c r="H7526" s="5">
        <v>13590</v>
      </c>
      <c r="I7526" s="6">
        <v>2633.1</v>
      </c>
      <c r="J7526" s="5">
        <v>19200</v>
      </c>
      <c r="K7526" s="6">
        <f t="shared" si="308"/>
        <v>5.1612168166799588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107</v>
      </c>
      <c r="F7527" t="s">
        <v>109</v>
      </c>
      <c r="G7527" t="str">
        <f t="shared" si="309"/>
        <v>027TIFFANY</v>
      </c>
      <c r="H7527" s="5">
        <v>11760</v>
      </c>
      <c r="I7527" s="6">
        <v>2633.1</v>
      </c>
      <c r="J7527" s="5">
        <v>19200</v>
      </c>
      <c r="K7527" s="6">
        <f t="shared" si="308"/>
        <v>4.4662185256921498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110</v>
      </c>
      <c r="F7528" t="s">
        <v>70</v>
      </c>
      <c r="G7528" t="str">
        <f t="shared" si="309"/>
        <v>028COTOPAXI</v>
      </c>
      <c r="H7528" s="5">
        <v>12600</v>
      </c>
      <c r="I7528" s="6">
        <v>2852.5250000000001</v>
      </c>
      <c r="J7528" s="5">
        <v>20800</v>
      </c>
      <c r="K7528" s="6">
        <f t="shared" si="308"/>
        <v>4.4171392012339945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110</v>
      </c>
      <c r="F7529" t="s">
        <v>67</v>
      </c>
      <c r="G7529" t="str">
        <f t="shared" si="309"/>
        <v>028DEEP PURPLE</v>
      </c>
      <c r="H7529" s="5">
        <v>17430</v>
      </c>
      <c r="I7529" s="6">
        <v>2852.5250000000001</v>
      </c>
      <c r="J7529" s="5">
        <v>20800</v>
      </c>
      <c r="K7529" s="6">
        <f t="shared" si="308"/>
        <v>6.1103758950403586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111</v>
      </c>
      <c r="F7530" t="s">
        <v>112</v>
      </c>
      <c r="G7530" t="str">
        <f t="shared" si="309"/>
        <v>029PINK FLOYD</v>
      </c>
      <c r="H7530" s="5">
        <v>8750</v>
      </c>
      <c r="I7530" s="6">
        <v>3071.95</v>
      </c>
      <c r="J7530" s="5">
        <v>22400</v>
      </c>
      <c r="K7530" s="6">
        <f t="shared" si="308"/>
        <v>2.8483536515893815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47</v>
      </c>
      <c r="F7531" t="s">
        <v>57</v>
      </c>
      <c r="G7531" t="str">
        <f t="shared" si="309"/>
        <v>030EXPLORER</v>
      </c>
      <c r="H7531" s="5">
        <v>4525</v>
      </c>
      <c r="I7531" s="6">
        <v>1645.6875</v>
      </c>
      <c r="J7531" s="5">
        <v>12000</v>
      </c>
      <c r="K7531" s="6">
        <f t="shared" si="308"/>
        <v>2.7496107250009496</v>
      </c>
    </row>
    <row r="7532" spans="1:11">
      <c r="A7532" s="4">
        <v>2026</v>
      </c>
      <c r="B7532">
        <v>18</v>
      </c>
      <c r="C7532" t="s">
        <v>10</v>
      </c>
      <c r="D7532" t="s">
        <v>11</v>
      </c>
      <c r="E7532" t="s">
        <v>12</v>
      </c>
      <c r="F7532" t="s">
        <v>13</v>
      </c>
      <c r="G7532" t="str">
        <f t="shared" si="309"/>
        <v>002SOMERSET</v>
      </c>
      <c r="H7532" s="5">
        <v>9780</v>
      </c>
      <c r="I7532" s="6">
        <v>4121.4642855494085</v>
      </c>
      <c r="J7532" s="5">
        <v>31200</v>
      </c>
      <c r="K7532" s="6">
        <f t="shared" si="308"/>
        <v>2.372943042182952</v>
      </c>
    </row>
    <row r="7533" spans="1:11">
      <c r="A7533" s="4">
        <v>2026</v>
      </c>
      <c r="B7533">
        <v>18</v>
      </c>
      <c r="C7533" t="s">
        <v>10</v>
      </c>
      <c r="D7533" t="s">
        <v>11</v>
      </c>
      <c r="E7533" t="s">
        <v>14</v>
      </c>
      <c r="F7533" t="s">
        <v>15</v>
      </c>
      <c r="G7533" t="str">
        <f t="shared" si="309"/>
        <v>004BELLINA</v>
      </c>
      <c r="H7533" s="5">
        <v>2040</v>
      </c>
      <c r="I7533" s="6">
        <v>1056.7857142434418</v>
      </c>
      <c r="J7533" s="5">
        <v>8000</v>
      </c>
      <c r="K7533" s="6">
        <f t="shared" si="308"/>
        <v>1.9303818858494375</v>
      </c>
    </row>
    <row r="7534" spans="1:11">
      <c r="A7534" s="4">
        <v>2026</v>
      </c>
      <c r="B7534">
        <v>18</v>
      </c>
      <c r="C7534" t="s">
        <v>10</v>
      </c>
      <c r="D7534" t="s">
        <v>11</v>
      </c>
      <c r="E7534" t="s">
        <v>16</v>
      </c>
      <c r="F7534" t="s">
        <v>17</v>
      </c>
      <c r="G7534" t="str">
        <f t="shared" si="309"/>
        <v>005ELBA</v>
      </c>
      <c r="H7534" s="5">
        <v>10050</v>
      </c>
      <c r="I7534" s="6">
        <v>2641.9642856076484</v>
      </c>
      <c r="J7534" s="5">
        <v>19996</v>
      </c>
      <c r="K7534" s="6">
        <f t="shared" si="308"/>
        <v>3.8039878338811506</v>
      </c>
    </row>
    <row r="7535" spans="1:11">
      <c r="A7535" s="4">
        <v>2026</v>
      </c>
      <c r="B7535">
        <v>18</v>
      </c>
      <c r="C7535" t="s">
        <v>10</v>
      </c>
      <c r="D7535" t="s">
        <v>11</v>
      </c>
      <c r="E7535" t="s">
        <v>16</v>
      </c>
      <c r="F7535" t="s">
        <v>18</v>
      </c>
      <c r="G7535" t="str">
        <f t="shared" si="309"/>
        <v>005HOT BUBBLES</v>
      </c>
      <c r="H7535" s="5">
        <v>1940</v>
      </c>
      <c r="I7535" s="6">
        <v>528.39285712153003</v>
      </c>
      <c r="J7535" s="5">
        <v>4000</v>
      </c>
      <c r="K7535" s="6">
        <f t="shared" si="308"/>
        <v>3.671510645636531</v>
      </c>
    </row>
    <row r="7536" spans="1:11">
      <c r="A7536" s="4">
        <v>2026</v>
      </c>
      <c r="B7536">
        <v>18</v>
      </c>
      <c r="C7536" t="s">
        <v>10</v>
      </c>
      <c r="D7536" t="s">
        <v>11</v>
      </c>
      <c r="E7536" t="s">
        <v>16</v>
      </c>
      <c r="F7536" t="s">
        <v>19</v>
      </c>
      <c r="G7536" t="str">
        <f t="shared" si="309"/>
        <v>005SUSPIRO</v>
      </c>
      <c r="H7536" s="5">
        <v>8640</v>
      </c>
      <c r="I7536" s="6">
        <v>1902.2142856375078</v>
      </c>
      <c r="J7536" s="5">
        <v>14400</v>
      </c>
      <c r="K7536" s="6">
        <f t="shared" si="308"/>
        <v>4.54207502552973</v>
      </c>
    </row>
    <row r="7537" spans="1:11">
      <c r="A7537" s="4">
        <v>2026</v>
      </c>
      <c r="B7537">
        <v>18</v>
      </c>
      <c r="C7537" t="s">
        <v>10</v>
      </c>
      <c r="D7537" t="s">
        <v>11</v>
      </c>
      <c r="E7537" t="s">
        <v>20</v>
      </c>
      <c r="F7537" t="s">
        <v>21</v>
      </c>
      <c r="G7537" t="str">
        <f t="shared" si="309"/>
        <v>007SNOW BUBBLES</v>
      </c>
      <c r="H7537" s="5">
        <v>1740</v>
      </c>
      <c r="I7537" s="6">
        <v>634.05652706821195</v>
      </c>
      <c r="J7537" s="5">
        <v>4800</v>
      </c>
      <c r="K7537" s="6">
        <f t="shared" si="308"/>
        <v>2.7442348209007719</v>
      </c>
    </row>
    <row r="7538" spans="1:11">
      <c r="A7538" s="4">
        <v>2026</v>
      </c>
      <c r="B7538">
        <v>18</v>
      </c>
      <c r="C7538" t="s">
        <v>10</v>
      </c>
      <c r="D7538" t="s">
        <v>11</v>
      </c>
      <c r="E7538" t="s">
        <v>22</v>
      </c>
      <c r="F7538" t="s">
        <v>18</v>
      </c>
      <c r="G7538" t="str">
        <f t="shared" si="309"/>
        <v>009HOT BUBBLES</v>
      </c>
      <c r="H7538" s="5">
        <v>12780</v>
      </c>
      <c r="I7538" s="6">
        <v>4487.9999999102474</v>
      </c>
      <c r="J7538" s="5">
        <v>31740</v>
      </c>
      <c r="K7538" s="6">
        <f t="shared" si="308"/>
        <v>2.8475935829446475</v>
      </c>
    </row>
    <row r="7539" spans="1:11">
      <c r="A7539" s="4">
        <v>2026</v>
      </c>
      <c r="B7539">
        <v>18</v>
      </c>
      <c r="C7539" t="s">
        <v>10</v>
      </c>
      <c r="D7539" t="s">
        <v>11</v>
      </c>
      <c r="E7539" t="s">
        <v>23</v>
      </c>
      <c r="F7539" t="s">
        <v>24</v>
      </c>
      <c r="G7539" t="str">
        <f t="shared" si="309"/>
        <v>014FRUITY BUBBLES</v>
      </c>
      <c r="H7539" s="5">
        <v>4775</v>
      </c>
      <c r="I7539" s="6">
        <v>1702.8</v>
      </c>
      <c r="J7539" s="5">
        <v>12900</v>
      </c>
      <c r="K7539" s="6">
        <f t="shared" si="308"/>
        <v>2.8042048390885599</v>
      </c>
    </row>
    <row r="7540" spans="1:11">
      <c r="A7540" s="4">
        <v>2026</v>
      </c>
      <c r="B7540">
        <v>18</v>
      </c>
      <c r="C7540" t="s">
        <v>10</v>
      </c>
      <c r="D7540" t="s">
        <v>11</v>
      </c>
      <c r="E7540" t="s">
        <v>25</v>
      </c>
      <c r="F7540" t="s">
        <v>26</v>
      </c>
      <c r="G7540" t="str">
        <f t="shared" si="309"/>
        <v>015FELLINI</v>
      </c>
      <c r="H7540" s="5">
        <v>7520</v>
      </c>
      <c r="I7540" s="6">
        <v>3009.6</v>
      </c>
      <c r="J7540" s="5">
        <v>22800</v>
      </c>
      <c r="K7540" s="6">
        <f t="shared" si="308"/>
        <v>2.4986709197235513</v>
      </c>
    </row>
    <row r="7541" spans="1:11">
      <c r="A7541" s="4">
        <v>2026</v>
      </c>
      <c r="B7541">
        <v>18</v>
      </c>
      <c r="C7541" t="s">
        <v>10</v>
      </c>
      <c r="D7541" t="s">
        <v>11</v>
      </c>
      <c r="E7541" t="s">
        <v>27</v>
      </c>
      <c r="F7541" t="s">
        <v>28</v>
      </c>
      <c r="G7541" t="str">
        <f t="shared" si="309"/>
        <v>016GOOD PEACH</v>
      </c>
      <c r="H7541" s="5">
        <v>4260</v>
      </c>
      <c r="I7541" s="6">
        <v>1386</v>
      </c>
      <c r="J7541" s="5">
        <v>10500</v>
      </c>
      <c r="K7541" s="6">
        <f t="shared" si="308"/>
        <v>3.0735930735930737</v>
      </c>
    </row>
    <row r="7542" spans="1:11">
      <c r="A7542" s="4">
        <v>2026</v>
      </c>
      <c r="B7542">
        <v>18</v>
      </c>
      <c r="C7542" t="s">
        <v>10</v>
      </c>
      <c r="D7542" t="s">
        <v>11</v>
      </c>
      <c r="E7542" t="s">
        <v>27</v>
      </c>
      <c r="F7542" t="s">
        <v>29</v>
      </c>
      <c r="G7542" t="str">
        <f t="shared" si="309"/>
        <v>016GOOD YELLOW</v>
      </c>
      <c r="H7542" s="5">
        <v>5040</v>
      </c>
      <c r="I7542" s="6">
        <v>1386</v>
      </c>
      <c r="J7542" s="5">
        <v>10500</v>
      </c>
      <c r="K7542" s="6">
        <f t="shared" si="308"/>
        <v>3.6363636363636362</v>
      </c>
    </row>
    <row r="7543" spans="1:11">
      <c r="A7543" s="4">
        <v>2026</v>
      </c>
      <c r="B7543">
        <v>18</v>
      </c>
      <c r="C7543" t="s">
        <v>10</v>
      </c>
      <c r="D7543" t="s">
        <v>11</v>
      </c>
      <c r="E7543" t="s">
        <v>30</v>
      </c>
      <c r="F7543" t="s">
        <v>31</v>
      </c>
      <c r="G7543" t="str">
        <f t="shared" si="309"/>
        <v>017ORANGE STAR</v>
      </c>
      <c r="H7543" s="5">
        <v>2250</v>
      </c>
      <c r="I7543" s="6">
        <v>1029.5999999999999</v>
      </c>
      <c r="J7543" s="5">
        <v>7800</v>
      </c>
      <c r="K7543" s="6">
        <f t="shared" si="308"/>
        <v>2.1853146853146854</v>
      </c>
    </row>
    <row r="7544" spans="1:11">
      <c r="A7544" s="4">
        <v>2026</v>
      </c>
      <c r="B7544">
        <v>18</v>
      </c>
      <c r="C7544" t="s">
        <v>10</v>
      </c>
      <c r="D7544" t="s">
        <v>11</v>
      </c>
      <c r="E7544" t="s">
        <v>32</v>
      </c>
      <c r="F7544" t="s">
        <v>33</v>
      </c>
      <c r="G7544" t="str">
        <f t="shared" si="309"/>
        <v>018COSMO</v>
      </c>
      <c r="H7544" s="5">
        <v>7150</v>
      </c>
      <c r="I7544" s="6">
        <v>2653.2</v>
      </c>
      <c r="J7544" s="5">
        <v>20100</v>
      </c>
      <c r="K7544" s="6">
        <f t="shared" si="308"/>
        <v>2.6948590381426203</v>
      </c>
    </row>
    <row r="7545" spans="1:11">
      <c r="A7545" s="4">
        <v>2026</v>
      </c>
      <c r="B7545">
        <v>18</v>
      </c>
      <c r="C7545" t="s">
        <v>10</v>
      </c>
      <c r="D7545" t="s">
        <v>11</v>
      </c>
      <c r="E7545" t="s">
        <v>32</v>
      </c>
      <c r="F7545" t="s">
        <v>34</v>
      </c>
      <c r="G7545" t="str">
        <f t="shared" si="309"/>
        <v>018RUBICON</v>
      </c>
      <c r="H7545" s="5">
        <v>4350</v>
      </c>
      <c r="I7545" s="6">
        <v>1768.8</v>
      </c>
      <c r="J7545" s="5">
        <v>13400</v>
      </c>
      <c r="K7545" s="6">
        <f t="shared" si="308"/>
        <v>2.4592944369063772</v>
      </c>
    </row>
    <row r="7546" spans="1:11">
      <c r="A7546" s="4">
        <v>2026</v>
      </c>
      <c r="B7546">
        <v>18</v>
      </c>
      <c r="C7546" t="s">
        <v>10</v>
      </c>
      <c r="D7546" t="s">
        <v>11</v>
      </c>
      <c r="E7546" t="s">
        <v>35</v>
      </c>
      <c r="F7546" t="s">
        <v>15</v>
      </c>
      <c r="G7546" t="str">
        <f t="shared" si="309"/>
        <v>019BELLINA</v>
      </c>
      <c r="H7546" s="5">
        <v>2955</v>
      </c>
      <c r="I7546" s="6">
        <v>1029.5999999999999</v>
      </c>
      <c r="J7546" s="5">
        <v>7800</v>
      </c>
      <c r="K7546" s="6">
        <f t="shared" ref="K7546:K7607" si="310">+H7546/I7546</f>
        <v>2.8700466200466201</v>
      </c>
    </row>
    <row r="7547" spans="1:11">
      <c r="A7547" s="4">
        <v>2026</v>
      </c>
      <c r="B7547">
        <v>18</v>
      </c>
      <c r="C7547" t="s">
        <v>10</v>
      </c>
      <c r="D7547" t="s">
        <v>11</v>
      </c>
      <c r="E7547" t="s">
        <v>36</v>
      </c>
      <c r="F7547" t="s">
        <v>37</v>
      </c>
      <c r="G7547" t="str">
        <f t="shared" si="309"/>
        <v>020SUMMER DANCE</v>
      </c>
      <c r="H7547" s="5">
        <v>3850</v>
      </c>
      <c r="I7547" s="6">
        <v>1346.4</v>
      </c>
      <c r="J7547" s="5">
        <v>10200</v>
      </c>
      <c r="K7547" s="6">
        <f t="shared" si="310"/>
        <v>2.8594771241830061</v>
      </c>
    </row>
    <row r="7548" spans="1:11">
      <c r="A7548" s="4">
        <v>2026</v>
      </c>
      <c r="B7548">
        <v>18</v>
      </c>
      <c r="C7548" t="s">
        <v>10</v>
      </c>
      <c r="D7548" t="s">
        <v>11</v>
      </c>
      <c r="E7548" t="s">
        <v>38</v>
      </c>
      <c r="F7548" t="s">
        <v>39</v>
      </c>
      <c r="G7548" t="str">
        <f t="shared" si="309"/>
        <v>021ELEGANT ROSEVER</v>
      </c>
      <c r="H7548" s="5">
        <v>2160</v>
      </c>
      <c r="I7548" s="6">
        <v>440.18999062500001</v>
      </c>
      <c r="J7548" s="5">
        <v>3200</v>
      </c>
      <c r="K7548" s="6">
        <f t="shared" si="310"/>
        <v>4.9069720938750612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38</v>
      </c>
      <c r="F7549" t="s">
        <v>40</v>
      </c>
      <c r="G7549" t="str">
        <f t="shared" si="309"/>
        <v>021FLAME CLUB</v>
      </c>
      <c r="H7549" s="5">
        <v>3275</v>
      </c>
      <c r="I7549" s="6">
        <v>880.38</v>
      </c>
      <c r="J7549" s="5">
        <v>6400</v>
      </c>
      <c r="K7549" s="6">
        <f t="shared" si="310"/>
        <v>3.7199845521252186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38</v>
      </c>
      <c r="F7550" t="s">
        <v>41</v>
      </c>
      <c r="G7550" t="str">
        <f t="shared" si="309"/>
        <v>021KELLY</v>
      </c>
      <c r="H7550" s="5">
        <v>1075</v>
      </c>
      <c r="I7550" s="6">
        <v>330.14249999999998</v>
      </c>
      <c r="J7550" s="5">
        <v>2400</v>
      </c>
      <c r="K7550" s="6">
        <f t="shared" si="310"/>
        <v>3.2561696843029906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38</v>
      </c>
      <c r="F7551" t="s">
        <v>42</v>
      </c>
      <c r="G7551" t="str">
        <f t="shared" si="309"/>
        <v>021LEILA</v>
      </c>
      <c r="H7551" s="5">
        <v>3200</v>
      </c>
      <c r="I7551" s="6">
        <v>770.33249999999998</v>
      </c>
      <c r="J7551" s="5">
        <v>5600</v>
      </c>
      <c r="K7551" s="6">
        <f t="shared" si="310"/>
        <v>4.1540503613699284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38</v>
      </c>
      <c r="F7552" t="s">
        <v>115</v>
      </c>
      <c r="G7552" t="str">
        <f t="shared" si="309"/>
        <v>021PISTACHIO KISS</v>
      </c>
      <c r="H7552" s="5">
        <v>125</v>
      </c>
      <c r="I7552" s="6">
        <v>880.38</v>
      </c>
      <c r="J7552" s="5">
        <v>6400</v>
      </c>
      <c r="K7552" s="6">
        <f t="shared" si="310"/>
        <v>0.1419841432108862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38</v>
      </c>
      <c r="F7553" t="s">
        <v>21</v>
      </c>
      <c r="G7553" t="str">
        <f t="shared" si="309"/>
        <v>021SNOW BUBBLES</v>
      </c>
      <c r="H7553" s="5">
        <v>4840</v>
      </c>
      <c r="I7553" s="6">
        <v>1287.0000000000018</v>
      </c>
      <c r="J7553" s="5">
        <v>9400</v>
      </c>
      <c r="K7553" s="6">
        <f t="shared" si="310"/>
        <v>3.7606837606837553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43</v>
      </c>
      <c r="F7554" t="s">
        <v>24</v>
      </c>
      <c r="G7554" t="str">
        <f t="shared" si="309"/>
        <v>022FRUITY BUBBLES</v>
      </c>
      <c r="H7554" s="5">
        <v>8375</v>
      </c>
      <c r="I7554" s="6">
        <v>2641.14</v>
      </c>
      <c r="J7554" s="5">
        <v>19200</v>
      </c>
      <c r="K7554" s="6">
        <f t="shared" si="310"/>
        <v>3.1709791983764588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43</v>
      </c>
      <c r="F7555" t="s">
        <v>28</v>
      </c>
      <c r="G7555" t="str">
        <f t="shared" si="309"/>
        <v>022GOOD PEACH</v>
      </c>
      <c r="H7555" s="5">
        <v>3360</v>
      </c>
      <c r="I7555" s="6">
        <v>880.38</v>
      </c>
      <c r="J7555" s="5">
        <v>6400</v>
      </c>
      <c r="K7555" s="6">
        <f t="shared" si="310"/>
        <v>3.8165337695086214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43</v>
      </c>
      <c r="F7556" t="s">
        <v>44</v>
      </c>
      <c r="G7556" t="str">
        <f t="shared" si="309"/>
        <v>022MIRABEL</v>
      </c>
      <c r="H7556" s="5">
        <v>3340</v>
      </c>
      <c r="I7556" s="6">
        <v>880.38</v>
      </c>
      <c r="J7556" s="5">
        <v>6400</v>
      </c>
      <c r="K7556" s="6">
        <f t="shared" si="310"/>
        <v>3.7938163065948793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47</v>
      </c>
      <c r="F7557" t="s">
        <v>44</v>
      </c>
      <c r="G7557" t="str">
        <f t="shared" si="309"/>
        <v>030MIRABEL</v>
      </c>
      <c r="H7557" s="5">
        <v>5740</v>
      </c>
      <c r="I7557" s="6">
        <v>2413.6749943750001</v>
      </c>
      <c r="J7557" s="5">
        <v>17600</v>
      </c>
      <c r="K7557" s="6">
        <f t="shared" si="310"/>
        <v>2.3781163633782114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47</v>
      </c>
      <c r="F7558" t="s">
        <v>13</v>
      </c>
      <c r="G7558" t="str">
        <f t="shared" si="309"/>
        <v>030SOMERSET</v>
      </c>
      <c r="H7558" s="5">
        <v>3200</v>
      </c>
      <c r="I7558" s="6">
        <v>1645.6875</v>
      </c>
      <c r="J7558" s="5">
        <v>12000</v>
      </c>
      <c r="K7558" s="6">
        <f t="shared" si="310"/>
        <v>1.9444760928183511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48</v>
      </c>
      <c r="F7559" t="s">
        <v>49</v>
      </c>
      <c r="G7559" t="str">
        <f t="shared" si="309"/>
        <v>03182989</v>
      </c>
      <c r="H7559" s="5">
        <v>1120</v>
      </c>
      <c r="I7559" s="6">
        <v>726.32013058333712</v>
      </c>
      <c r="J7559" s="5">
        <v>5712</v>
      </c>
      <c r="K7559" s="6">
        <f t="shared" si="310"/>
        <v>1.5420197690245521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48</v>
      </c>
      <c r="F7560" t="s">
        <v>34</v>
      </c>
      <c r="G7560" t="str">
        <f t="shared" si="309"/>
        <v>031RUBICON</v>
      </c>
      <c r="H7560" s="5">
        <v>2400</v>
      </c>
      <c r="I7560" s="6">
        <v>924.39958333667107</v>
      </c>
      <c r="J7560" s="5">
        <v>6720</v>
      </c>
      <c r="K7560" s="6">
        <f t="shared" si="310"/>
        <v>2.5962798374887495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48</v>
      </c>
      <c r="F7561" t="s">
        <v>13</v>
      </c>
      <c r="G7561" t="str">
        <f t="shared" si="309"/>
        <v>031SOMERSET</v>
      </c>
      <c r="H7561" s="5">
        <v>1800</v>
      </c>
      <c r="I7561" s="6">
        <v>1122.485208333339</v>
      </c>
      <c r="J7561" s="5">
        <v>8160</v>
      </c>
      <c r="K7561" s="6">
        <f t="shared" si="310"/>
        <v>1.603584605513539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48</v>
      </c>
      <c r="F7562" t="s">
        <v>50</v>
      </c>
      <c r="G7562" t="str">
        <f t="shared" si="309"/>
        <v>031VELVET BLOSSOMS</v>
      </c>
      <c r="H7562" s="5">
        <v>820</v>
      </c>
      <c r="I7562" s="6">
        <v>396.17125000000198</v>
      </c>
      <c r="J7562" s="5">
        <v>2880</v>
      </c>
      <c r="K7562" s="6">
        <f t="shared" si="310"/>
        <v>2.0698119815609939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51</v>
      </c>
      <c r="F7563" t="s">
        <v>17</v>
      </c>
      <c r="G7563" t="str">
        <f t="shared" si="309"/>
        <v>032ELBA</v>
      </c>
      <c r="H7563" s="5">
        <v>3330</v>
      </c>
      <c r="I7563" s="6">
        <v>1535.9749999999999</v>
      </c>
      <c r="J7563" s="5">
        <v>11200</v>
      </c>
      <c r="K7563" s="6">
        <f t="shared" si="310"/>
        <v>2.1680040365240321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51</v>
      </c>
      <c r="F7564" t="s">
        <v>44</v>
      </c>
      <c r="G7564" t="str">
        <f t="shared" si="309"/>
        <v>032MIRABEL</v>
      </c>
      <c r="H7564" s="5">
        <v>3180</v>
      </c>
      <c r="I7564" s="6">
        <v>1535.9749999999999</v>
      </c>
      <c r="J7564" s="5">
        <v>11200</v>
      </c>
      <c r="K7564" s="6">
        <f t="shared" si="310"/>
        <v>2.0703461970409678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52</v>
      </c>
      <c r="F7565" t="s">
        <v>53</v>
      </c>
      <c r="G7565" t="str">
        <f t="shared" si="309"/>
        <v>033CREAMY FOLIES</v>
      </c>
      <c r="H7565" s="5">
        <v>1080</v>
      </c>
      <c r="I7565" s="6">
        <v>594.25687500000299</v>
      </c>
      <c r="J7565" s="5">
        <v>4320</v>
      </c>
      <c r="K7565" s="6">
        <f t="shared" si="310"/>
        <v>1.8173958862486774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52</v>
      </c>
      <c r="F7566" t="s">
        <v>18</v>
      </c>
      <c r="G7566" t="str">
        <f t="shared" si="309"/>
        <v>033HOT BUBBLES</v>
      </c>
      <c r="H7566" s="5">
        <v>6660</v>
      </c>
      <c r="I7566" s="6">
        <v>2575.1131250013459</v>
      </c>
      <c r="J7566" s="5">
        <v>18720</v>
      </c>
      <c r="K7566" s="6">
        <f t="shared" si="310"/>
        <v>2.5862941458140871</v>
      </c>
    </row>
    <row r="7567" spans="1:11">
      <c r="A7567" s="4">
        <v>2026</v>
      </c>
      <c r="B7567">
        <v>18</v>
      </c>
      <c r="C7567" t="s">
        <v>54</v>
      </c>
      <c r="D7567" t="s">
        <v>11</v>
      </c>
      <c r="E7567" t="s">
        <v>55</v>
      </c>
      <c r="F7567" t="s">
        <v>56</v>
      </c>
      <c r="G7567" t="str">
        <f t="shared" si="309"/>
        <v>001BELIEVE IN PINK</v>
      </c>
      <c r="H7567" s="5">
        <v>1560</v>
      </c>
      <c r="I7567" s="6">
        <v>528.37931032368999</v>
      </c>
      <c r="J7567" s="5">
        <v>4000</v>
      </c>
      <c r="K7567" s="6">
        <f t="shared" ref="K7567:K7572" si="311">IFERROR(H7567/I7567,"")</f>
        <v>2.9524244600802589</v>
      </c>
    </row>
    <row r="7568" spans="1:11">
      <c r="A7568" s="4">
        <v>2026</v>
      </c>
      <c r="B7568">
        <v>18</v>
      </c>
      <c r="C7568" t="s">
        <v>54</v>
      </c>
      <c r="D7568" t="s">
        <v>11</v>
      </c>
      <c r="E7568" t="s">
        <v>55</v>
      </c>
      <c r="F7568" t="s">
        <v>57</v>
      </c>
      <c r="G7568" t="str">
        <f t="shared" si="309"/>
        <v>001EXPLORER</v>
      </c>
      <c r="H7568" s="5">
        <v>5100</v>
      </c>
      <c r="I7568" s="6">
        <v>2272.0310343918732</v>
      </c>
      <c r="J7568" s="5">
        <v>17200</v>
      </c>
      <c r="K7568" s="6">
        <f t="shared" si="311"/>
        <v>2.2446876485404412</v>
      </c>
    </row>
    <row r="7569" spans="1:11">
      <c r="A7569" s="4">
        <v>2026</v>
      </c>
      <c r="B7569">
        <v>18</v>
      </c>
      <c r="C7569" t="s">
        <v>54</v>
      </c>
      <c r="D7569" t="s">
        <v>11</v>
      </c>
      <c r="E7569" t="s">
        <v>55</v>
      </c>
      <c r="F7569" t="s">
        <v>58</v>
      </c>
      <c r="G7569" t="str">
        <f t="shared" si="309"/>
        <v>001GRACE KELLY</v>
      </c>
      <c r="H7569" s="5">
        <v>2490</v>
      </c>
      <c r="I7569" s="6">
        <v>1162.4344827121224</v>
      </c>
      <c r="J7569" s="5">
        <v>8800</v>
      </c>
      <c r="K7569" s="6">
        <f t="shared" si="311"/>
        <v>2.1420562079253544</v>
      </c>
    </row>
    <row r="7570" spans="1:11">
      <c r="A7570" s="4">
        <v>2026</v>
      </c>
      <c r="B7570">
        <v>18</v>
      </c>
      <c r="C7570" t="s">
        <v>54</v>
      </c>
      <c r="D7570" t="s">
        <v>11</v>
      </c>
      <c r="E7570" t="s">
        <v>55</v>
      </c>
      <c r="F7570" t="s">
        <v>60</v>
      </c>
      <c r="G7570" t="str">
        <f t="shared" si="309"/>
        <v>001LIGHT HOUSE</v>
      </c>
      <c r="H7570" s="5">
        <v>2340</v>
      </c>
      <c r="I7570" s="6">
        <v>1056.7586206473827</v>
      </c>
      <c r="J7570" s="5">
        <v>8000</v>
      </c>
      <c r="K7570" s="6">
        <f t="shared" si="311"/>
        <v>2.2143183450601884</v>
      </c>
    </row>
    <row r="7571" spans="1:11">
      <c r="A7571" s="4">
        <v>2026</v>
      </c>
      <c r="B7571">
        <v>18</v>
      </c>
      <c r="C7571" t="s">
        <v>54</v>
      </c>
      <c r="D7571" t="s">
        <v>11</v>
      </c>
      <c r="E7571" t="s">
        <v>55</v>
      </c>
      <c r="F7571" t="s">
        <v>61</v>
      </c>
      <c r="G7571" t="str">
        <f t="shared" ref="G7571:G7633" si="312">+E7571&amp;F7571</f>
        <v>001LUMIA</v>
      </c>
      <c r="H7571" s="5">
        <v>2280</v>
      </c>
      <c r="I7571" s="6">
        <v>1109.596551679753</v>
      </c>
      <c r="J7571" s="5">
        <v>8400</v>
      </c>
      <c r="K7571" s="6">
        <f t="shared" si="311"/>
        <v>2.0548009062829564</v>
      </c>
    </row>
    <row r="7572" spans="1:11">
      <c r="A7572" s="4">
        <v>2026</v>
      </c>
      <c r="B7572">
        <v>18</v>
      </c>
      <c r="C7572" t="s">
        <v>54</v>
      </c>
      <c r="D7572" t="s">
        <v>11</v>
      </c>
      <c r="E7572" t="s">
        <v>55</v>
      </c>
      <c r="F7572" t="s">
        <v>62</v>
      </c>
      <c r="G7572" t="str">
        <f t="shared" si="312"/>
        <v>001MOMENTUM</v>
      </c>
      <c r="H7572" s="5">
        <v>5925</v>
      </c>
      <c r="I7572" s="6">
        <v>1902.1655171652881</v>
      </c>
      <c r="J7572" s="5">
        <v>14400</v>
      </c>
      <c r="K7572" s="6">
        <f t="shared" si="311"/>
        <v>3.1148708913774033</v>
      </c>
    </row>
    <row r="7573" spans="1:11">
      <c r="A7573" s="4">
        <v>2026</v>
      </c>
      <c r="B7573">
        <v>18</v>
      </c>
      <c r="C7573" t="s">
        <v>54</v>
      </c>
      <c r="D7573" t="s">
        <v>11</v>
      </c>
      <c r="E7573" t="s">
        <v>12</v>
      </c>
      <c r="F7573" t="s">
        <v>63</v>
      </c>
      <c r="G7573" t="str">
        <f t="shared" si="312"/>
        <v>002SUMMER ROMANCE</v>
      </c>
      <c r="H7573" s="5">
        <v>1875</v>
      </c>
      <c r="I7573" s="6">
        <v>951.10714281909407</v>
      </c>
      <c r="J7573" s="5">
        <v>7200</v>
      </c>
      <c r="K7573" s="6">
        <f t="shared" si="310"/>
        <v>1.9713867298299068</v>
      </c>
    </row>
    <row r="7574" spans="1:11">
      <c r="A7574" s="4">
        <v>2026</v>
      </c>
      <c r="B7574">
        <v>18</v>
      </c>
      <c r="C7574" t="s">
        <v>54</v>
      </c>
      <c r="D7574" t="s">
        <v>11</v>
      </c>
      <c r="E7574" t="s">
        <v>12</v>
      </c>
      <c r="F7574" t="s">
        <v>64</v>
      </c>
      <c r="G7574" t="str">
        <f t="shared" si="312"/>
        <v>002SWEETNESS</v>
      </c>
      <c r="H7574" s="5">
        <v>8880</v>
      </c>
      <c r="I7574" s="6">
        <v>3804.4285712763772</v>
      </c>
      <c r="J7574" s="5">
        <v>28800</v>
      </c>
      <c r="K7574" s="6">
        <f t="shared" si="310"/>
        <v>2.334121888118609</v>
      </c>
    </row>
    <row r="7575" spans="1:11">
      <c r="A7575" s="4">
        <v>2026</v>
      </c>
      <c r="B7575">
        <v>18</v>
      </c>
      <c r="C7575" t="s">
        <v>54</v>
      </c>
      <c r="D7575" t="s">
        <v>11</v>
      </c>
      <c r="E7575" t="s">
        <v>65</v>
      </c>
      <c r="F7575" t="s">
        <v>66</v>
      </c>
      <c r="G7575" t="str">
        <f t="shared" si="312"/>
        <v>003CABARET</v>
      </c>
      <c r="H7575" s="5">
        <v>7560</v>
      </c>
      <c r="I7575" s="6">
        <v>2641.8965516184649</v>
      </c>
      <c r="J7575" s="5">
        <v>20000</v>
      </c>
      <c r="K7575" s="6">
        <f t="shared" si="310"/>
        <v>2.8615806305393119</v>
      </c>
    </row>
    <row r="7576" spans="1:11">
      <c r="A7576" s="4">
        <v>2026</v>
      </c>
      <c r="B7576">
        <v>18</v>
      </c>
      <c r="C7576" t="s">
        <v>54</v>
      </c>
      <c r="D7576" t="s">
        <v>11</v>
      </c>
      <c r="E7576" t="s">
        <v>65</v>
      </c>
      <c r="F7576" t="s">
        <v>67</v>
      </c>
      <c r="G7576" t="str">
        <f t="shared" si="312"/>
        <v>003DEEP PURPLE</v>
      </c>
      <c r="H7576" s="5">
        <v>11190</v>
      </c>
      <c r="I7576" s="6">
        <v>3592.9793102010913</v>
      </c>
      <c r="J7576" s="5">
        <v>26044</v>
      </c>
      <c r="K7576" s="6">
        <f t="shared" si="310"/>
        <v>3.114407023783758</v>
      </c>
    </row>
    <row r="7577" spans="1:11">
      <c r="A7577" s="4">
        <v>2026</v>
      </c>
      <c r="B7577">
        <v>18</v>
      </c>
      <c r="C7577" t="s">
        <v>54</v>
      </c>
      <c r="D7577" t="s">
        <v>11</v>
      </c>
      <c r="E7577" t="s">
        <v>65</v>
      </c>
      <c r="F7577" t="s">
        <v>57</v>
      </c>
      <c r="G7577" t="str">
        <f t="shared" si="312"/>
        <v>003EXPLORER</v>
      </c>
      <c r="H7577" s="5">
        <v>2625</v>
      </c>
      <c r="I7577" s="6">
        <v>1268.1103447768633</v>
      </c>
      <c r="J7577" s="5">
        <v>9600</v>
      </c>
      <c r="K7577" s="6">
        <f t="shared" si="310"/>
        <v>2.070009136674849</v>
      </c>
    </row>
    <row r="7578" spans="1:11">
      <c r="A7578" s="4">
        <v>2026</v>
      </c>
      <c r="B7578">
        <v>18</v>
      </c>
      <c r="C7578" t="s">
        <v>54</v>
      </c>
      <c r="D7578" t="s">
        <v>11</v>
      </c>
      <c r="E7578" t="s">
        <v>65</v>
      </c>
      <c r="F7578" t="s">
        <v>68</v>
      </c>
      <c r="G7578" t="str">
        <f t="shared" si="312"/>
        <v>003JOCKER</v>
      </c>
      <c r="H7578" s="5">
        <v>1600</v>
      </c>
      <c r="I7578" s="6">
        <v>528.37931032368999</v>
      </c>
      <c r="J7578" s="5">
        <v>4000</v>
      </c>
      <c r="K7578" s="6">
        <f t="shared" si="310"/>
        <v>3.0281276513643682</v>
      </c>
    </row>
    <row r="7579" spans="1:11">
      <c r="A7579" s="4">
        <v>2026</v>
      </c>
      <c r="B7579">
        <v>18</v>
      </c>
      <c r="C7579" t="s">
        <v>54</v>
      </c>
      <c r="D7579" t="s">
        <v>11</v>
      </c>
      <c r="E7579" t="s">
        <v>65</v>
      </c>
      <c r="F7579" t="s">
        <v>69</v>
      </c>
      <c r="G7579" t="str">
        <f t="shared" si="312"/>
        <v>003QUICKSAND</v>
      </c>
      <c r="H7579" s="5">
        <v>2790</v>
      </c>
      <c r="I7579" s="6">
        <v>1162.4344827121247</v>
      </c>
      <c r="J7579" s="5">
        <v>8800</v>
      </c>
      <c r="K7579" s="6">
        <f t="shared" si="310"/>
        <v>2.4001352691211757</v>
      </c>
    </row>
    <row r="7580" spans="1:11">
      <c r="A7580" s="4">
        <v>2026</v>
      </c>
      <c r="B7580">
        <v>18</v>
      </c>
      <c r="C7580" t="s">
        <v>54</v>
      </c>
      <c r="D7580" t="s">
        <v>11</v>
      </c>
      <c r="E7580" t="s">
        <v>14</v>
      </c>
      <c r="F7580" t="s">
        <v>70</v>
      </c>
      <c r="G7580" t="str">
        <f t="shared" si="312"/>
        <v>004COTOPAXI</v>
      </c>
      <c r="H7580" s="5">
        <v>1170</v>
      </c>
      <c r="I7580" s="6">
        <v>528.3915024419166</v>
      </c>
      <c r="J7580" s="5">
        <v>4000</v>
      </c>
      <c r="K7580" s="6">
        <f t="shared" si="310"/>
        <v>2.2142672518254818</v>
      </c>
    </row>
    <row r="7581" spans="1:11">
      <c r="A7581" s="4">
        <v>2026</v>
      </c>
      <c r="B7581">
        <v>18</v>
      </c>
      <c r="C7581" t="s">
        <v>54</v>
      </c>
      <c r="D7581" t="s">
        <v>11</v>
      </c>
      <c r="E7581" t="s">
        <v>14</v>
      </c>
      <c r="F7581" t="s">
        <v>67</v>
      </c>
      <c r="G7581" t="str">
        <f t="shared" si="312"/>
        <v>004DEEP PURPLE</v>
      </c>
      <c r="H7581" s="5">
        <v>12210</v>
      </c>
      <c r="I7581" s="6">
        <v>3910.1071427007282</v>
      </c>
      <c r="J7581" s="5">
        <v>29260</v>
      </c>
      <c r="K7581" s="6">
        <f t="shared" si="310"/>
        <v>3.122676580050566</v>
      </c>
    </row>
    <row r="7582" spans="1:11">
      <c r="A7582" s="4">
        <v>2026</v>
      </c>
      <c r="B7582">
        <v>18</v>
      </c>
      <c r="C7582" t="s">
        <v>54</v>
      </c>
      <c r="D7582" t="s">
        <v>11</v>
      </c>
      <c r="E7582" t="s">
        <v>14</v>
      </c>
      <c r="F7582" t="s">
        <v>71</v>
      </c>
      <c r="G7582" t="str">
        <f t="shared" si="312"/>
        <v>004HOT EXPLORER</v>
      </c>
      <c r="H7582" s="5">
        <v>3200</v>
      </c>
      <c r="I7582" s="6">
        <v>1902.2142856381945</v>
      </c>
      <c r="J7582" s="5">
        <v>14400</v>
      </c>
      <c r="K7582" s="6">
        <f t="shared" si="310"/>
        <v>1.6822500094548483</v>
      </c>
    </row>
    <row r="7583" spans="1:11">
      <c r="A7583" s="4">
        <v>2026</v>
      </c>
      <c r="B7583">
        <v>18</v>
      </c>
      <c r="C7583" t="s">
        <v>54</v>
      </c>
      <c r="D7583" t="s">
        <v>11</v>
      </c>
      <c r="E7583" t="s">
        <v>14</v>
      </c>
      <c r="F7583" t="s">
        <v>72</v>
      </c>
      <c r="G7583" t="str">
        <f t="shared" si="312"/>
        <v>004HOT MERENGUE</v>
      </c>
      <c r="H7583" s="5">
        <v>2970</v>
      </c>
      <c r="I7583" s="6">
        <v>1162.4642856677858</v>
      </c>
      <c r="J7583" s="5">
        <v>8800</v>
      </c>
      <c r="K7583" s="6">
        <f t="shared" si="310"/>
        <v>2.5549172018595501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14</v>
      </c>
      <c r="F7584" t="s">
        <v>64</v>
      </c>
      <c r="G7584" t="str">
        <f t="shared" si="312"/>
        <v>004SWEETNESS</v>
      </c>
      <c r="H7584" s="5">
        <v>870</v>
      </c>
      <c r="I7584" s="6">
        <v>317.03571427303262</v>
      </c>
      <c r="J7584" s="5">
        <v>2400</v>
      </c>
      <c r="K7584" s="6">
        <f t="shared" si="310"/>
        <v>2.7441703279232192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16</v>
      </c>
      <c r="F7585" t="s">
        <v>57</v>
      </c>
      <c r="G7585" t="str">
        <f t="shared" si="312"/>
        <v>005EXPLORER</v>
      </c>
      <c r="H7585" s="5">
        <v>2325</v>
      </c>
      <c r="I7585" s="6">
        <v>951.10714281875391</v>
      </c>
      <c r="J7585" s="5">
        <v>7200</v>
      </c>
      <c r="K7585" s="6">
        <f t="shared" si="310"/>
        <v>2.4445195449899586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16</v>
      </c>
      <c r="F7586" t="s">
        <v>73</v>
      </c>
      <c r="G7586" t="str">
        <f t="shared" si="312"/>
        <v>005GOLDFINCH</v>
      </c>
      <c r="H7586" s="5">
        <v>1450</v>
      </c>
      <c r="I7586" s="6">
        <v>898.26785710660101</v>
      </c>
      <c r="J7586" s="5">
        <v>6800</v>
      </c>
      <c r="K7586" s="6">
        <f t="shared" si="310"/>
        <v>1.6142178399554186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16</v>
      </c>
      <c r="F7587" t="s">
        <v>68</v>
      </c>
      <c r="G7587" t="str">
        <f t="shared" si="312"/>
        <v>005JOCKER</v>
      </c>
      <c r="H7587" s="5">
        <v>2800</v>
      </c>
      <c r="I7587" s="6">
        <v>1162.4642856673661</v>
      </c>
      <c r="J7587" s="5">
        <v>8800</v>
      </c>
      <c r="K7587" s="6">
        <f t="shared" si="310"/>
        <v>2.4086761499021292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16</v>
      </c>
      <c r="F7588" t="s">
        <v>74</v>
      </c>
      <c r="G7588" t="str">
        <f t="shared" si="312"/>
        <v>005VENDELA</v>
      </c>
      <c r="H7588" s="5">
        <v>2280</v>
      </c>
      <c r="I7588" s="6">
        <v>686.91071425798896</v>
      </c>
      <c r="J7588" s="5">
        <v>5200</v>
      </c>
      <c r="K7588" s="6">
        <f t="shared" si="310"/>
        <v>3.3192086725024947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75</v>
      </c>
      <c r="F7589" t="s">
        <v>76</v>
      </c>
      <c r="G7589" t="str">
        <f t="shared" si="312"/>
        <v>006ATOMIC</v>
      </c>
      <c r="H7589" s="5">
        <v>1525</v>
      </c>
      <c r="I7589" s="6">
        <v>845.428571394752</v>
      </c>
      <c r="J7589" s="5">
        <v>6400</v>
      </c>
      <c r="K7589" s="6">
        <f t="shared" si="310"/>
        <v>1.803818857794361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75</v>
      </c>
      <c r="F7590" t="s">
        <v>57</v>
      </c>
      <c r="G7590" t="str">
        <f t="shared" si="312"/>
        <v>006EXPLORER</v>
      </c>
      <c r="H7590" s="5">
        <v>10200</v>
      </c>
      <c r="I7590" s="6">
        <v>3910.1071427007355</v>
      </c>
      <c r="J7590" s="5">
        <v>29600</v>
      </c>
      <c r="K7590" s="6">
        <f t="shared" si="310"/>
        <v>2.6086241700668071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75</v>
      </c>
      <c r="F7591" t="s">
        <v>77</v>
      </c>
      <c r="G7591" t="str">
        <f t="shared" si="312"/>
        <v>006MONDIAL</v>
      </c>
      <c r="H7591" s="5">
        <v>13550</v>
      </c>
      <c r="I7591" s="6">
        <v>4015.7857141250793</v>
      </c>
      <c r="J7591" s="5">
        <v>30400</v>
      </c>
      <c r="K7591" s="6">
        <f t="shared" si="310"/>
        <v>3.3741840238983327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20</v>
      </c>
      <c r="F7592" t="s">
        <v>70</v>
      </c>
      <c r="G7592" t="str">
        <f t="shared" si="312"/>
        <v>007COTOPAXI</v>
      </c>
      <c r="H7592" s="5">
        <v>8820</v>
      </c>
      <c r="I7592" s="6">
        <v>2747.5751230427709</v>
      </c>
      <c r="J7592" s="5">
        <v>20800</v>
      </c>
      <c r="K7592" s="6">
        <f t="shared" si="310"/>
        <v>3.2101033111088846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20</v>
      </c>
      <c r="F7593" t="s">
        <v>78</v>
      </c>
      <c r="G7593" t="str">
        <f t="shared" si="312"/>
        <v>007REDIANT</v>
      </c>
      <c r="H7593" s="5">
        <v>2100</v>
      </c>
      <c r="I7593" s="6">
        <v>1056.75862064738</v>
      </c>
      <c r="J7593" s="5">
        <v>9600</v>
      </c>
      <c r="K7593" s="6">
        <f t="shared" si="310"/>
        <v>1.9872087712078665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20</v>
      </c>
      <c r="F7594" t="s">
        <v>63</v>
      </c>
      <c r="G7594" t="str">
        <f t="shared" si="312"/>
        <v>007SUMMER ROMANCE</v>
      </c>
      <c r="H7594" s="5">
        <v>1100</v>
      </c>
      <c r="I7594" s="6">
        <v>369.86551722658481</v>
      </c>
      <c r="J7594" s="5">
        <v>3080</v>
      </c>
      <c r="K7594" s="6">
        <f t="shared" si="310"/>
        <v>2.9740539433042756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20</v>
      </c>
      <c r="F7595" t="s">
        <v>74</v>
      </c>
      <c r="G7595" t="str">
        <f t="shared" si="312"/>
        <v>007VENDELA</v>
      </c>
      <c r="H7595" s="5">
        <v>13620</v>
      </c>
      <c r="I7595" s="6">
        <v>3592.9793102011122</v>
      </c>
      <c r="J7595" s="5">
        <v>27820</v>
      </c>
      <c r="K7595" s="6">
        <f t="shared" si="310"/>
        <v>3.7907259753292704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79</v>
      </c>
      <c r="F7596" t="s">
        <v>67</v>
      </c>
      <c r="G7596" t="str">
        <f t="shared" si="312"/>
        <v>008DEEP PURPLE</v>
      </c>
      <c r="H7596" s="5">
        <v>6630</v>
      </c>
      <c r="I7596" s="6">
        <v>1585.2222221588099</v>
      </c>
      <c r="J7596" s="5">
        <v>11490</v>
      </c>
      <c r="K7596" s="6">
        <f t="shared" si="310"/>
        <v>4.1823789165477629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79</v>
      </c>
      <c r="F7597" t="s">
        <v>81</v>
      </c>
      <c r="G7597" t="str">
        <f t="shared" si="312"/>
        <v>008FREEDOM</v>
      </c>
      <c r="H7597" s="5">
        <v>4440</v>
      </c>
      <c r="I7597" s="6">
        <v>2219.311111022334</v>
      </c>
      <c r="J7597" s="5">
        <v>16800</v>
      </c>
      <c r="K7597" s="6">
        <f t="shared" si="310"/>
        <v>2.0006208133454066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79</v>
      </c>
      <c r="F7598" t="s">
        <v>68</v>
      </c>
      <c r="G7598" t="str">
        <f t="shared" si="312"/>
        <v>008JOCKER</v>
      </c>
      <c r="H7598" s="5">
        <v>7825</v>
      </c>
      <c r="I7598" s="6">
        <v>2959.0814813631118</v>
      </c>
      <c r="J7598" s="5">
        <v>22400</v>
      </c>
      <c r="K7598" s="6">
        <f t="shared" si="310"/>
        <v>2.6444016662884811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79</v>
      </c>
      <c r="F7599" t="s">
        <v>61</v>
      </c>
      <c r="G7599" t="str">
        <f t="shared" si="312"/>
        <v>008LUMIA</v>
      </c>
      <c r="H7599" s="5">
        <v>2100</v>
      </c>
      <c r="I7599" s="6">
        <v>1796.5851851133182</v>
      </c>
      <c r="J7599" s="5">
        <v>13600</v>
      </c>
      <c r="K7599" s="6">
        <f t="shared" si="310"/>
        <v>1.1688841794983098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82</v>
      </c>
      <c r="F7600" t="s">
        <v>83</v>
      </c>
      <c r="G7600" t="str">
        <f t="shared" si="312"/>
        <v>010COOLDOWN</v>
      </c>
      <c r="H7600" s="5">
        <v>4000</v>
      </c>
      <c r="I7600" s="6">
        <v>1912.3542857142861</v>
      </c>
      <c r="J7600" s="5">
        <v>16320</v>
      </c>
      <c r="K7600" s="6">
        <f t="shared" si="310"/>
        <v>2.0916626327458747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82</v>
      </c>
      <c r="F7601" t="s">
        <v>84</v>
      </c>
      <c r="G7601" t="str">
        <f t="shared" si="312"/>
        <v>010VIOLET HILL</v>
      </c>
      <c r="H7601" s="5">
        <v>5670</v>
      </c>
      <c r="I7601" s="6">
        <v>2812.2857142428579</v>
      </c>
      <c r="J7601" s="5">
        <v>20000</v>
      </c>
      <c r="K7601" s="6">
        <f t="shared" si="310"/>
        <v>2.0161536117344729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85</v>
      </c>
      <c r="F7602" t="s">
        <v>86</v>
      </c>
      <c r="G7602" t="str">
        <f t="shared" si="312"/>
        <v>011BRIGHTON</v>
      </c>
      <c r="H7602" s="5">
        <v>5200</v>
      </c>
      <c r="I7602" s="6">
        <v>1768.8376470588223</v>
      </c>
      <c r="J7602" s="5">
        <v>12800</v>
      </c>
      <c r="K7602" s="6">
        <f t="shared" si="310"/>
        <v>2.9397836532066277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85</v>
      </c>
      <c r="F7603" t="s">
        <v>87</v>
      </c>
      <c r="G7603" t="str">
        <f t="shared" si="312"/>
        <v>011CANDLELIGHT</v>
      </c>
      <c r="H7603" s="5">
        <v>4320</v>
      </c>
      <c r="I7603" s="6">
        <v>2263.7999998868127</v>
      </c>
      <c r="J7603" s="5">
        <v>17920</v>
      </c>
      <c r="K7603" s="6">
        <f t="shared" si="310"/>
        <v>1.9082957859422187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85</v>
      </c>
      <c r="F7604" t="s">
        <v>88</v>
      </c>
      <c r="G7604" t="str">
        <f t="shared" si="312"/>
        <v>011CAYENNE</v>
      </c>
      <c r="H7604" s="5">
        <v>1320</v>
      </c>
      <c r="I7604" s="6">
        <v>994.97117647058747</v>
      </c>
      <c r="J7604" s="5">
        <v>7200</v>
      </c>
      <c r="K7604" s="6">
        <f t="shared" si="310"/>
        <v>1.3266715973445296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85</v>
      </c>
      <c r="F7605" t="s">
        <v>61</v>
      </c>
      <c r="G7605" t="str">
        <f t="shared" si="312"/>
        <v>011LUMIA</v>
      </c>
      <c r="H7605" s="5">
        <v>2190</v>
      </c>
      <c r="I7605" s="6">
        <v>994.97117647058747</v>
      </c>
      <c r="J7605" s="5">
        <v>7920</v>
      </c>
      <c r="K7605" s="6">
        <f t="shared" si="310"/>
        <v>2.201068786503424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85</v>
      </c>
      <c r="F7606" t="s">
        <v>89</v>
      </c>
      <c r="G7606" t="str">
        <f t="shared" si="312"/>
        <v>011STARDUST</v>
      </c>
      <c r="H7606" s="5">
        <v>4650</v>
      </c>
      <c r="I7606" s="6">
        <v>2263.7999998868127</v>
      </c>
      <c r="J7606" s="5">
        <v>17920</v>
      </c>
      <c r="K7606" s="6">
        <f t="shared" si="310"/>
        <v>2.0540683807016937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90</v>
      </c>
      <c r="F7607" t="s">
        <v>67</v>
      </c>
      <c r="G7607" t="str">
        <f t="shared" si="312"/>
        <v>012DEEP PURPLE</v>
      </c>
      <c r="H7607" s="5">
        <v>23640</v>
      </c>
      <c r="I7607" s="6">
        <v>6727.0499997982479</v>
      </c>
      <c r="J7607" s="5">
        <v>49210</v>
      </c>
      <c r="K7607" s="6">
        <f t="shared" si="310"/>
        <v>3.5141704016930144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90</v>
      </c>
      <c r="F7608" t="s">
        <v>60</v>
      </c>
      <c r="G7608" t="str">
        <f t="shared" si="312"/>
        <v>012LIGHT HOUSE</v>
      </c>
      <c r="H7608" s="5">
        <v>2280</v>
      </c>
      <c r="I7608" s="6">
        <v>994.95</v>
      </c>
      <c r="J7608" s="5">
        <v>7200</v>
      </c>
      <c r="K7608" s="6">
        <f t="shared" ref="K7608:K7671" si="313">+H7608/I7608</f>
        <v>2.291572440826172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91</v>
      </c>
      <c r="F7609" t="s">
        <v>92</v>
      </c>
      <c r="G7609" t="str">
        <f t="shared" si="312"/>
        <v>013COUNTRY BLUES</v>
      </c>
      <c r="H7609" s="5">
        <v>740</v>
      </c>
      <c r="I7609" s="6">
        <v>831.6</v>
      </c>
      <c r="J7609" s="5">
        <v>6300</v>
      </c>
      <c r="K7609" s="6">
        <f t="shared" si="313"/>
        <v>0.88985088985088978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91</v>
      </c>
      <c r="F7610" t="s">
        <v>93</v>
      </c>
      <c r="G7610" t="str">
        <f t="shared" si="312"/>
        <v>013LORRAINE</v>
      </c>
      <c r="H7610" s="5">
        <v>3600</v>
      </c>
      <c r="I7610" s="6">
        <v>1267.2</v>
      </c>
      <c r="J7610" s="5">
        <v>9600</v>
      </c>
      <c r="K7610" s="6">
        <f t="shared" si="313"/>
        <v>2.8409090909090908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91</v>
      </c>
      <c r="F7611" t="s">
        <v>61</v>
      </c>
      <c r="G7611" t="str">
        <f t="shared" si="312"/>
        <v>013LUMIA</v>
      </c>
      <c r="H7611" s="5">
        <v>660</v>
      </c>
      <c r="I7611" s="6">
        <v>316.8</v>
      </c>
      <c r="J7611" s="5">
        <v>2400</v>
      </c>
      <c r="K7611" s="6">
        <f t="shared" si="313"/>
        <v>2.083333333333333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91</v>
      </c>
      <c r="F7612" t="s">
        <v>74</v>
      </c>
      <c r="G7612" t="str">
        <f t="shared" si="312"/>
        <v>013VENDELA</v>
      </c>
      <c r="H7612" s="5">
        <v>9330</v>
      </c>
      <c r="I7612" s="6">
        <v>3603.6</v>
      </c>
      <c r="J7612" s="5">
        <v>27296</v>
      </c>
      <c r="K7612" s="6">
        <f t="shared" si="313"/>
        <v>2.589077589077589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23</v>
      </c>
      <c r="F7613" t="s">
        <v>89</v>
      </c>
      <c r="G7613" t="str">
        <f t="shared" si="312"/>
        <v>014STARDUST</v>
      </c>
      <c r="H7613" s="5">
        <v>7000</v>
      </c>
      <c r="I7613" s="6">
        <v>3682.8</v>
      </c>
      <c r="J7613" s="5">
        <v>27900</v>
      </c>
      <c r="K7613" s="6">
        <f t="shared" si="313"/>
        <v>1.90072770717932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25</v>
      </c>
      <c r="F7614" t="s">
        <v>68</v>
      </c>
      <c r="G7614" t="str">
        <f t="shared" si="312"/>
        <v>015JOCKER</v>
      </c>
      <c r="H7614" s="5">
        <v>5800</v>
      </c>
      <c r="I7614" s="6">
        <v>2376</v>
      </c>
      <c r="J7614" s="5">
        <v>18000</v>
      </c>
      <c r="K7614" s="6">
        <f t="shared" si="313"/>
        <v>2.4410774410774412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27</v>
      </c>
      <c r="F7615" t="s">
        <v>94</v>
      </c>
      <c r="G7615" t="str">
        <f t="shared" si="312"/>
        <v>016DREAM IN PEACH</v>
      </c>
      <c r="H7615" s="5">
        <v>2280</v>
      </c>
      <c r="I7615" s="6">
        <v>950.4</v>
      </c>
      <c r="J7615" s="5">
        <v>7200</v>
      </c>
      <c r="K7615" s="6">
        <f t="shared" si="313"/>
        <v>2.3989898989898992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27</v>
      </c>
      <c r="F7616" t="s">
        <v>95</v>
      </c>
      <c r="G7616" t="str">
        <f t="shared" si="312"/>
        <v>016NINA</v>
      </c>
      <c r="H7616" s="5">
        <v>3300</v>
      </c>
      <c r="I7616" s="6">
        <v>1346.4</v>
      </c>
      <c r="J7616" s="5">
        <v>10200</v>
      </c>
      <c r="K7616" s="6">
        <f t="shared" si="313"/>
        <v>2.4509803921568625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30</v>
      </c>
      <c r="F7617" t="s">
        <v>81</v>
      </c>
      <c r="G7617" t="str">
        <f t="shared" si="312"/>
        <v>017FREEDOM</v>
      </c>
      <c r="H7617" s="5">
        <v>7320</v>
      </c>
      <c r="I7617" s="6">
        <v>2851.2</v>
      </c>
      <c r="J7617" s="5">
        <v>21600</v>
      </c>
      <c r="K7617" s="6">
        <f t="shared" si="313"/>
        <v>2.5673400673400675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30</v>
      </c>
      <c r="F7618" t="s">
        <v>73</v>
      </c>
      <c r="G7618" t="str">
        <f t="shared" si="312"/>
        <v>017GOLDFINCH</v>
      </c>
      <c r="H7618" s="5">
        <v>4750</v>
      </c>
      <c r="I7618" s="6">
        <v>2138.4</v>
      </c>
      <c r="J7618" s="5">
        <v>16200</v>
      </c>
      <c r="K7618" s="6">
        <f t="shared" si="313"/>
        <v>2.2212869435091656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32</v>
      </c>
      <c r="F7619" t="s">
        <v>86</v>
      </c>
      <c r="G7619" t="str">
        <f t="shared" si="312"/>
        <v>018BRIGHTON</v>
      </c>
      <c r="H7619" s="5">
        <v>3175</v>
      </c>
      <c r="I7619" s="6">
        <v>963.6</v>
      </c>
      <c r="J7619" s="5">
        <v>7570</v>
      </c>
      <c r="K7619" s="6">
        <f t="shared" si="313"/>
        <v>3.2949356579493565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35</v>
      </c>
      <c r="F7620" t="s">
        <v>86</v>
      </c>
      <c r="G7620" t="str">
        <f t="shared" si="312"/>
        <v>019BRIGHTON</v>
      </c>
      <c r="H7620" s="5">
        <v>8875</v>
      </c>
      <c r="I7620" s="6">
        <v>3168</v>
      </c>
      <c r="J7620" s="5">
        <v>24000</v>
      </c>
      <c r="K7620" s="6">
        <f t="shared" si="313"/>
        <v>2.8014520202020203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35</v>
      </c>
      <c r="F7621" t="s">
        <v>96</v>
      </c>
      <c r="G7621" t="str">
        <f t="shared" si="312"/>
        <v>019TABATHA</v>
      </c>
      <c r="H7621" s="5">
        <v>3930</v>
      </c>
      <c r="I7621" s="6">
        <v>1188</v>
      </c>
      <c r="J7621" s="5">
        <v>9000</v>
      </c>
      <c r="K7621" s="6">
        <f t="shared" si="313"/>
        <v>3.308080808080808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36</v>
      </c>
      <c r="F7622" t="s">
        <v>86</v>
      </c>
      <c r="G7622" t="str">
        <f t="shared" si="312"/>
        <v>020BRIGHTON</v>
      </c>
      <c r="H7622" s="5">
        <v>6875</v>
      </c>
      <c r="I7622" s="6">
        <v>2732.4</v>
      </c>
      <c r="J7622" s="5">
        <v>20700</v>
      </c>
      <c r="K7622" s="6">
        <f t="shared" si="313"/>
        <v>2.5161030595813205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36</v>
      </c>
      <c r="F7623" t="s">
        <v>97</v>
      </c>
      <c r="G7623" t="str">
        <f t="shared" si="312"/>
        <v>020TYCOON</v>
      </c>
      <c r="H7623" s="5">
        <v>1650</v>
      </c>
      <c r="I7623" s="6">
        <v>673.2</v>
      </c>
      <c r="J7623" s="5">
        <v>5100</v>
      </c>
      <c r="K7623" s="6">
        <f t="shared" si="313"/>
        <v>2.4509803921568625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38</v>
      </c>
      <c r="F7624" t="s">
        <v>98</v>
      </c>
      <c r="G7624" t="str">
        <f t="shared" si="312"/>
        <v>021SHOW GIRL</v>
      </c>
      <c r="H7624" s="5">
        <v>2300</v>
      </c>
      <c r="I7624" s="6">
        <v>1100.4749999999999</v>
      </c>
      <c r="J7624" s="5">
        <v>8000</v>
      </c>
      <c r="K7624" s="6">
        <f t="shared" si="313"/>
        <v>2.0900065880642451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43</v>
      </c>
      <c r="F7625" t="s">
        <v>99</v>
      </c>
      <c r="G7625" t="str">
        <f t="shared" si="312"/>
        <v>022CORAL REEF</v>
      </c>
      <c r="H7625" s="5">
        <v>4950</v>
      </c>
      <c r="I7625" s="6">
        <v>1287</v>
      </c>
      <c r="J7625" s="5">
        <v>9400</v>
      </c>
      <c r="K7625" s="6">
        <f t="shared" si="313"/>
        <v>3.8461538461538463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100</v>
      </c>
      <c r="F7626" t="s">
        <v>70</v>
      </c>
      <c r="G7626" t="str">
        <f t="shared" si="312"/>
        <v>023COTOPAXI</v>
      </c>
      <c r="H7626" s="5">
        <v>9450</v>
      </c>
      <c r="I7626" s="6">
        <v>2641.14</v>
      </c>
      <c r="J7626" s="5">
        <v>19200</v>
      </c>
      <c r="K7626" s="6">
        <f t="shared" si="313"/>
        <v>3.5780004089143325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100</v>
      </c>
      <c r="F7627" t="s">
        <v>101</v>
      </c>
      <c r="G7627" t="str">
        <f t="shared" si="312"/>
        <v>023FRUTTETO</v>
      </c>
      <c r="H7627" s="5">
        <v>11670</v>
      </c>
      <c r="I7627" s="6">
        <v>2641.14</v>
      </c>
      <c r="J7627" s="5">
        <v>19200</v>
      </c>
      <c r="K7627" s="6">
        <f t="shared" si="313"/>
        <v>4.4185465367227792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102</v>
      </c>
      <c r="F7628" t="s">
        <v>70</v>
      </c>
      <c r="G7628" t="str">
        <f t="shared" si="312"/>
        <v>024COTOPAXI</v>
      </c>
      <c r="H7628" s="5">
        <v>4920</v>
      </c>
      <c r="I7628" s="6">
        <v>1430.6174906250001</v>
      </c>
      <c r="J7628" s="5">
        <v>10400</v>
      </c>
      <c r="K7628" s="6">
        <f t="shared" si="313"/>
        <v>3.4390744082477127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102</v>
      </c>
      <c r="F7629" t="s">
        <v>64</v>
      </c>
      <c r="G7629" t="str">
        <f t="shared" si="312"/>
        <v>024SWEETNESS</v>
      </c>
      <c r="H7629" s="5">
        <v>2880</v>
      </c>
      <c r="I7629" s="6">
        <v>1430.6175000000001</v>
      </c>
      <c r="J7629" s="5">
        <v>10400</v>
      </c>
      <c r="K7629" s="6">
        <f t="shared" si="313"/>
        <v>2.0131167135869652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102</v>
      </c>
      <c r="F7630" t="s">
        <v>97</v>
      </c>
      <c r="G7630" t="str">
        <f t="shared" si="312"/>
        <v>024TYCOON</v>
      </c>
      <c r="H7630" s="5">
        <v>5610</v>
      </c>
      <c r="I7630" s="6">
        <v>2861.2350000000001</v>
      </c>
      <c r="J7630" s="5">
        <v>20800</v>
      </c>
      <c r="K7630" s="6">
        <f t="shared" si="313"/>
        <v>1.9606917991706379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103</v>
      </c>
      <c r="F7631" t="s">
        <v>104</v>
      </c>
      <c r="G7631" t="str">
        <f t="shared" si="312"/>
        <v>025PINK MONDIAL</v>
      </c>
      <c r="H7631" s="5">
        <v>9700</v>
      </c>
      <c r="I7631" s="6">
        <v>3071.9505625000002</v>
      </c>
      <c r="J7631" s="5">
        <v>22400</v>
      </c>
      <c r="K7631" s="6">
        <f t="shared" si="313"/>
        <v>3.1576028984353162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45</v>
      </c>
      <c r="F7632" t="s">
        <v>105</v>
      </c>
      <c r="G7632" t="str">
        <f t="shared" si="312"/>
        <v>026LOLA</v>
      </c>
      <c r="H7632" s="5">
        <v>4900</v>
      </c>
      <c r="I7632" s="6">
        <v>2852.5250000000001</v>
      </c>
      <c r="J7632" s="5">
        <v>20800</v>
      </c>
      <c r="K7632" s="6">
        <f t="shared" si="313"/>
        <v>1.7177763560354422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45</v>
      </c>
      <c r="F7633" t="s">
        <v>106</v>
      </c>
      <c r="G7633" t="str">
        <f t="shared" si="312"/>
        <v>026PALOMA</v>
      </c>
      <c r="H7633" s="5">
        <v>7075</v>
      </c>
      <c r="I7633" s="6">
        <v>2852.5250000000001</v>
      </c>
      <c r="J7633" s="5">
        <v>20800</v>
      </c>
      <c r="K7633" s="6">
        <f t="shared" si="313"/>
        <v>2.4802587181532152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107</v>
      </c>
      <c r="F7634" t="s">
        <v>108</v>
      </c>
      <c r="G7634" t="str">
        <f t="shared" ref="G7634:G7696" si="314">+E7634&amp;F7634</f>
        <v>027SATISFACTION</v>
      </c>
      <c r="H7634" s="5">
        <v>8550</v>
      </c>
      <c r="I7634" s="6">
        <v>2633.1</v>
      </c>
      <c r="J7634" s="5">
        <v>19200</v>
      </c>
      <c r="K7634" s="6">
        <f t="shared" si="313"/>
        <v>3.2471231628118948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107</v>
      </c>
      <c r="F7635" t="s">
        <v>109</v>
      </c>
      <c r="G7635" t="str">
        <f t="shared" si="314"/>
        <v>027TIFFANY</v>
      </c>
      <c r="H7635" s="5">
        <v>7860</v>
      </c>
      <c r="I7635" s="6">
        <v>2633.1</v>
      </c>
      <c r="J7635" s="5">
        <v>19200</v>
      </c>
      <c r="K7635" s="6">
        <f t="shared" si="313"/>
        <v>2.9850746268656718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110</v>
      </c>
      <c r="F7636" t="s">
        <v>70</v>
      </c>
      <c r="G7636" t="str">
        <f t="shared" si="314"/>
        <v>028COTOPAXI</v>
      </c>
      <c r="H7636" s="5">
        <v>8430</v>
      </c>
      <c r="I7636" s="6">
        <v>2852.5250000000001</v>
      </c>
      <c r="J7636" s="5">
        <v>20800</v>
      </c>
      <c r="K7636" s="6">
        <f t="shared" si="313"/>
        <v>2.9552764655875059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110</v>
      </c>
      <c r="F7637" t="s">
        <v>67</v>
      </c>
      <c r="G7637" t="str">
        <f t="shared" si="314"/>
        <v>028DEEP PURPLE</v>
      </c>
      <c r="H7637" s="5">
        <v>12330</v>
      </c>
      <c r="I7637" s="6">
        <v>2852.5250000000001</v>
      </c>
      <c r="J7637" s="5">
        <v>20800</v>
      </c>
      <c r="K7637" s="6">
        <f t="shared" si="313"/>
        <v>4.3224862183504085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111</v>
      </c>
      <c r="F7638" t="s">
        <v>112</v>
      </c>
      <c r="G7638" t="str">
        <f t="shared" si="314"/>
        <v>029PINK FLOYD</v>
      </c>
      <c r="H7638" s="5">
        <v>7150</v>
      </c>
      <c r="I7638" s="6">
        <v>3071.95</v>
      </c>
      <c r="J7638" s="5">
        <v>22400</v>
      </c>
      <c r="K7638" s="6">
        <f t="shared" si="313"/>
        <v>2.3275118410130373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47</v>
      </c>
      <c r="F7639" t="s">
        <v>57</v>
      </c>
      <c r="G7639" t="str">
        <f t="shared" si="314"/>
        <v>030EXPLORER</v>
      </c>
      <c r="H7639" s="5">
        <v>3275</v>
      </c>
      <c r="I7639" s="6">
        <v>1645.6875</v>
      </c>
      <c r="J7639" s="5">
        <v>12000</v>
      </c>
      <c r="K7639" s="6">
        <f t="shared" si="313"/>
        <v>1.9900497512437811</v>
      </c>
    </row>
    <row r="7640" spans="1:11">
      <c r="A7640" s="4">
        <v>2026</v>
      </c>
      <c r="B7640">
        <v>19</v>
      </c>
      <c r="C7640" t="s">
        <v>10</v>
      </c>
      <c r="D7640" t="s">
        <v>11</v>
      </c>
      <c r="E7640" t="s">
        <v>12</v>
      </c>
      <c r="F7640" t="s">
        <v>13</v>
      </c>
      <c r="G7640" t="str">
        <f t="shared" si="314"/>
        <v>002SOMERSET</v>
      </c>
      <c r="H7640" s="5">
        <v>9880</v>
      </c>
      <c r="I7640" s="6">
        <v>4121.4642855494158</v>
      </c>
      <c r="J7640" s="5">
        <v>31200</v>
      </c>
      <c r="K7640" s="6">
        <f t="shared" si="313"/>
        <v>2.3972062634731621</v>
      </c>
    </row>
    <row r="7641" spans="1:11">
      <c r="A7641" s="4">
        <v>2026</v>
      </c>
      <c r="B7641">
        <v>19</v>
      </c>
      <c r="C7641" t="s">
        <v>10</v>
      </c>
      <c r="D7641" t="s">
        <v>11</v>
      </c>
      <c r="E7641" t="s">
        <v>14</v>
      </c>
      <c r="F7641" t="s">
        <v>15</v>
      </c>
      <c r="G7641" t="str">
        <f t="shared" si="314"/>
        <v>004BELLINA</v>
      </c>
      <c r="H7641" s="5">
        <v>1980</v>
      </c>
      <c r="I7641" s="6">
        <v>1056.785714243442</v>
      </c>
      <c r="J7641" s="5">
        <v>8000</v>
      </c>
      <c r="K7641" s="6">
        <f t="shared" si="313"/>
        <v>1.873605948030336</v>
      </c>
    </row>
    <row r="7642" spans="1:11">
      <c r="A7642" s="4">
        <v>2026</v>
      </c>
      <c r="B7642">
        <v>19</v>
      </c>
      <c r="C7642" t="s">
        <v>10</v>
      </c>
      <c r="D7642" t="s">
        <v>11</v>
      </c>
      <c r="E7642" t="s">
        <v>16</v>
      </c>
      <c r="F7642" t="s">
        <v>17</v>
      </c>
      <c r="G7642" t="str">
        <f t="shared" si="314"/>
        <v>005ELBA</v>
      </c>
      <c r="H7642" s="5">
        <v>9660</v>
      </c>
      <c r="I7642" s="6">
        <v>2641.9642856076448</v>
      </c>
      <c r="J7642" s="5">
        <v>19996</v>
      </c>
      <c r="K7642" s="6">
        <f t="shared" si="313"/>
        <v>3.6563703955514395</v>
      </c>
    </row>
    <row r="7643" spans="1:11">
      <c r="A7643" s="4">
        <v>2026</v>
      </c>
      <c r="B7643">
        <v>19</v>
      </c>
      <c r="C7643" t="s">
        <v>10</v>
      </c>
      <c r="D7643" t="s">
        <v>11</v>
      </c>
      <c r="E7643" t="s">
        <v>16</v>
      </c>
      <c r="F7643" t="s">
        <v>18</v>
      </c>
      <c r="G7643" t="str">
        <f t="shared" si="314"/>
        <v>005HOT BUBBLES</v>
      </c>
      <c r="H7643" s="5">
        <v>1480</v>
      </c>
      <c r="I7643" s="6">
        <v>528.39285712153003</v>
      </c>
      <c r="J7643" s="5">
        <v>4000</v>
      </c>
      <c r="K7643" s="6">
        <f t="shared" si="313"/>
        <v>2.8009462657433328</v>
      </c>
    </row>
    <row r="7644" spans="1:11">
      <c r="A7644" s="4">
        <v>2026</v>
      </c>
      <c r="B7644">
        <v>19</v>
      </c>
      <c r="C7644" t="s">
        <v>10</v>
      </c>
      <c r="D7644" t="s">
        <v>11</v>
      </c>
      <c r="E7644" t="s">
        <v>16</v>
      </c>
      <c r="F7644" t="s">
        <v>19</v>
      </c>
      <c r="G7644" t="str">
        <f t="shared" si="314"/>
        <v>005SUSPIRO</v>
      </c>
      <c r="H7644" s="5">
        <v>8370</v>
      </c>
      <c r="I7644" s="6">
        <v>1902.2142856375083</v>
      </c>
      <c r="J7644" s="5">
        <v>14400</v>
      </c>
      <c r="K7644" s="6">
        <f t="shared" si="313"/>
        <v>4.4001351809819242</v>
      </c>
    </row>
    <row r="7645" spans="1:11">
      <c r="A7645" s="4">
        <v>2026</v>
      </c>
      <c r="B7645">
        <v>19</v>
      </c>
      <c r="C7645" t="s">
        <v>10</v>
      </c>
      <c r="D7645" t="s">
        <v>11</v>
      </c>
      <c r="E7645" t="s">
        <v>20</v>
      </c>
      <c r="F7645" t="s">
        <v>21</v>
      </c>
      <c r="G7645" t="str">
        <f t="shared" si="314"/>
        <v>007SNOW BUBBLES</v>
      </c>
      <c r="H7645" s="5">
        <v>1380</v>
      </c>
      <c r="I7645" s="6">
        <v>634.05652706821184</v>
      </c>
      <c r="J7645" s="5">
        <v>4800</v>
      </c>
      <c r="K7645" s="6">
        <f t="shared" si="313"/>
        <v>2.1764620993350952</v>
      </c>
    </row>
    <row r="7646" spans="1:11">
      <c r="A7646" s="4">
        <v>2026</v>
      </c>
      <c r="B7646">
        <v>19</v>
      </c>
      <c r="C7646" t="s">
        <v>10</v>
      </c>
      <c r="D7646" t="s">
        <v>11</v>
      </c>
      <c r="E7646" t="s">
        <v>22</v>
      </c>
      <c r="F7646" t="s">
        <v>18</v>
      </c>
      <c r="G7646" t="str">
        <f t="shared" si="314"/>
        <v>009HOT BUBBLES</v>
      </c>
      <c r="H7646" s="5">
        <v>12220</v>
      </c>
      <c r="I7646" s="6">
        <v>4487.9999999102447</v>
      </c>
      <c r="J7646" s="5">
        <v>31740</v>
      </c>
      <c r="K7646" s="6">
        <f t="shared" si="313"/>
        <v>2.7228163993414412</v>
      </c>
    </row>
    <row r="7647" spans="1:11">
      <c r="A7647" s="4">
        <v>2026</v>
      </c>
      <c r="B7647">
        <v>19</v>
      </c>
      <c r="C7647" t="s">
        <v>10</v>
      </c>
      <c r="D7647" t="s">
        <v>11</v>
      </c>
      <c r="E7647" t="s">
        <v>23</v>
      </c>
      <c r="F7647" t="s">
        <v>24</v>
      </c>
      <c r="G7647" t="str">
        <f t="shared" si="314"/>
        <v>014FRUITY BUBBLES</v>
      </c>
      <c r="H7647" s="5">
        <v>4050</v>
      </c>
      <c r="I7647" s="6">
        <v>1702.7999999999988</v>
      </c>
      <c r="J7647" s="5">
        <v>12900</v>
      </c>
      <c r="K7647" s="6">
        <f t="shared" si="313"/>
        <v>2.3784355179704035</v>
      </c>
    </row>
    <row r="7648" spans="1:11">
      <c r="A7648" s="4">
        <v>2026</v>
      </c>
      <c r="B7648">
        <v>19</v>
      </c>
      <c r="C7648" t="s">
        <v>10</v>
      </c>
      <c r="D7648" t="s">
        <v>11</v>
      </c>
      <c r="E7648" t="s">
        <v>25</v>
      </c>
      <c r="F7648" t="s">
        <v>26</v>
      </c>
      <c r="G7648" t="str">
        <f t="shared" si="314"/>
        <v>015FELLINI</v>
      </c>
      <c r="H7648" s="5">
        <v>8340</v>
      </c>
      <c r="I7648" s="6">
        <v>3009.5999999999958</v>
      </c>
      <c r="J7648" s="5">
        <v>22800</v>
      </c>
      <c r="K7648" s="6">
        <f t="shared" si="313"/>
        <v>2.771132376395538</v>
      </c>
    </row>
    <row r="7649" spans="1:11">
      <c r="A7649" s="4">
        <v>2026</v>
      </c>
      <c r="B7649">
        <v>19</v>
      </c>
      <c r="C7649" t="s">
        <v>10</v>
      </c>
      <c r="D7649" t="s">
        <v>11</v>
      </c>
      <c r="E7649" t="s">
        <v>27</v>
      </c>
      <c r="F7649" t="s">
        <v>28</v>
      </c>
      <c r="G7649" t="str">
        <f t="shared" si="314"/>
        <v>016GOOD PEACH</v>
      </c>
      <c r="H7649" s="5">
        <v>3720</v>
      </c>
      <c r="I7649" s="6">
        <v>1385.9999999999995</v>
      </c>
      <c r="J7649" s="5">
        <v>10500</v>
      </c>
      <c r="K7649" s="6">
        <f t="shared" si="313"/>
        <v>2.683982683982685</v>
      </c>
    </row>
    <row r="7650" spans="1:11">
      <c r="A7650" s="4">
        <v>2026</v>
      </c>
      <c r="B7650">
        <v>19</v>
      </c>
      <c r="C7650" t="s">
        <v>10</v>
      </c>
      <c r="D7650" t="s">
        <v>11</v>
      </c>
      <c r="E7650" t="s">
        <v>27</v>
      </c>
      <c r="F7650" t="s">
        <v>29</v>
      </c>
      <c r="G7650" t="str">
        <f t="shared" si="314"/>
        <v>016GOOD YELLOW</v>
      </c>
      <c r="H7650" s="5">
        <v>4680</v>
      </c>
      <c r="I7650" s="6">
        <v>1385.9999999999995</v>
      </c>
      <c r="J7650" s="5">
        <v>10500</v>
      </c>
      <c r="K7650" s="6">
        <f t="shared" si="313"/>
        <v>3.3766233766233777</v>
      </c>
    </row>
    <row r="7651" spans="1:11">
      <c r="A7651" s="4">
        <v>2026</v>
      </c>
      <c r="B7651">
        <v>19</v>
      </c>
      <c r="C7651" t="s">
        <v>10</v>
      </c>
      <c r="D7651" t="s">
        <v>11</v>
      </c>
      <c r="E7651" t="s">
        <v>30</v>
      </c>
      <c r="F7651" t="s">
        <v>31</v>
      </c>
      <c r="G7651" t="str">
        <f t="shared" si="314"/>
        <v>017ORANGE STAR</v>
      </c>
      <c r="H7651" s="5">
        <v>1775</v>
      </c>
      <c r="I7651" s="6">
        <v>1029.6000000000004</v>
      </c>
      <c r="J7651" s="5">
        <v>7800</v>
      </c>
      <c r="K7651" s="6">
        <f t="shared" si="313"/>
        <v>1.7239704739704733</v>
      </c>
    </row>
    <row r="7652" spans="1:11">
      <c r="A7652" s="4">
        <v>2026</v>
      </c>
      <c r="B7652">
        <v>19</v>
      </c>
      <c r="C7652" t="s">
        <v>10</v>
      </c>
      <c r="D7652" t="s">
        <v>11</v>
      </c>
      <c r="E7652" t="s">
        <v>32</v>
      </c>
      <c r="F7652" t="s">
        <v>33</v>
      </c>
      <c r="G7652" t="str">
        <f t="shared" si="314"/>
        <v>018COSMO</v>
      </c>
      <c r="H7652" s="5">
        <v>5075</v>
      </c>
      <c r="I7652" s="6">
        <v>2653.1999999999966</v>
      </c>
      <c r="J7652" s="5">
        <v>20100</v>
      </c>
      <c r="K7652" s="6">
        <f t="shared" si="313"/>
        <v>1.9127845620382957</v>
      </c>
    </row>
    <row r="7653" spans="1:11">
      <c r="A7653" s="4">
        <v>2026</v>
      </c>
      <c r="B7653">
        <v>19</v>
      </c>
      <c r="C7653" t="s">
        <v>10</v>
      </c>
      <c r="D7653" t="s">
        <v>11</v>
      </c>
      <c r="E7653" t="s">
        <v>32</v>
      </c>
      <c r="F7653" t="s">
        <v>34</v>
      </c>
      <c r="G7653" t="str">
        <f t="shared" si="314"/>
        <v>018RUBICON</v>
      </c>
      <c r="H7653" s="5">
        <v>3570</v>
      </c>
      <c r="I7653" s="6">
        <v>1768.7999999999988</v>
      </c>
      <c r="J7653" s="5">
        <v>13400</v>
      </c>
      <c r="K7653" s="6">
        <f t="shared" si="313"/>
        <v>2.0183175033921317</v>
      </c>
    </row>
    <row r="7654" spans="1:11">
      <c r="A7654" s="4">
        <v>2026</v>
      </c>
      <c r="B7654">
        <v>19</v>
      </c>
      <c r="C7654" t="s">
        <v>10</v>
      </c>
      <c r="D7654" t="s">
        <v>11</v>
      </c>
      <c r="E7654" t="s">
        <v>35</v>
      </c>
      <c r="F7654" t="s">
        <v>15</v>
      </c>
      <c r="G7654" t="str">
        <f t="shared" si="314"/>
        <v>019BELLINA</v>
      </c>
      <c r="H7654" s="5">
        <v>2670</v>
      </c>
      <c r="I7654" s="6">
        <v>1029.6000000000004</v>
      </c>
      <c r="J7654" s="5">
        <v>7800</v>
      </c>
      <c r="K7654" s="6">
        <f t="shared" si="313"/>
        <v>2.5932400932400923</v>
      </c>
    </row>
    <row r="7655" spans="1:11">
      <c r="A7655" s="4">
        <v>2026</v>
      </c>
      <c r="B7655">
        <v>19</v>
      </c>
      <c r="C7655" t="s">
        <v>10</v>
      </c>
      <c r="D7655" t="s">
        <v>11</v>
      </c>
      <c r="E7655" t="s">
        <v>36</v>
      </c>
      <c r="F7655" t="s">
        <v>37</v>
      </c>
      <c r="G7655" t="str">
        <f t="shared" si="314"/>
        <v>020SUMMER DANCE</v>
      </c>
      <c r="H7655" s="5">
        <v>2575</v>
      </c>
      <c r="I7655" s="6">
        <v>1346.3999999999996</v>
      </c>
      <c r="J7655" s="5">
        <v>10200</v>
      </c>
      <c r="K7655" s="6">
        <f t="shared" si="313"/>
        <v>1.91250742721331</v>
      </c>
    </row>
    <row r="7656" spans="1:11">
      <c r="A7656" s="4">
        <v>2026</v>
      </c>
      <c r="B7656">
        <v>19</v>
      </c>
      <c r="C7656" t="s">
        <v>10</v>
      </c>
      <c r="D7656" t="s">
        <v>11</v>
      </c>
      <c r="E7656" t="s">
        <v>38</v>
      </c>
      <c r="F7656" t="s">
        <v>39</v>
      </c>
      <c r="G7656" t="str">
        <f t="shared" si="314"/>
        <v>021ELEGANT ROSEVER</v>
      </c>
      <c r="H7656" s="5">
        <v>1920</v>
      </c>
      <c r="I7656" s="6">
        <v>440.18999062500001</v>
      </c>
      <c r="J7656" s="5">
        <v>3200</v>
      </c>
      <c r="K7656" s="6">
        <f t="shared" si="313"/>
        <v>4.3617529723333881</v>
      </c>
    </row>
    <row r="7657" spans="1:11">
      <c r="A7657" s="4">
        <v>2026</v>
      </c>
      <c r="B7657">
        <v>19</v>
      </c>
      <c r="C7657" t="s">
        <v>10</v>
      </c>
      <c r="D7657" t="s">
        <v>11</v>
      </c>
      <c r="E7657" t="s">
        <v>38</v>
      </c>
      <c r="F7657" t="s">
        <v>40</v>
      </c>
      <c r="G7657" t="str">
        <f t="shared" si="314"/>
        <v>021FLAME CLUB</v>
      </c>
      <c r="H7657" s="5">
        <v>2975</v>
      </c>
      <c r="I7657" s="6">
        <v>880.37999999999965</v>
      </c>
      <c r="J7657" s="5">
        <v>6400</v>
      </c>
      <c r="K7657" s="6">
        <f t="shared" si="313"/>
        <v>3.3792226084190933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38</v>
      </c>
      <c r="F7658" t="s">
        <v>41</v>
      </c>
      <c r="G7658" t="str">
        <f t="shared" si="314"/>
        <v>021KELLY</v>
      </c>
      <c r="H7658" s="5">
        <v>875</v>
      </c>
      <c r="I7658" s="6">
        <v>330.14249999999998</v>
      </c>
      <c r="J7658" s="5">
        <v>2400</v>
      </c>
      <c r="K7658" s="6">
        <f t="shared" si="313"/>
        <v>2.650370673269876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38</v>
      </c>
      <c r="F7659" t="s">
        <v>42</v>
      </c>
      <c r="G7659" t="str">
        <f t="shared" si="314"/>
        <v>021LEILA</v>
      </c>
      <c r="H7659" s="5">
        <v>3525</v>
      </c>
      <c r="I7659" s="6">
        <v>770.33249999999975</v>
      </c>
      <c r="J7659" s="5">
        <v>5600</v>
      </c>
      <c r="K7659" s="6">
        <f t="shared" si="313"/>
        <v>4.5759461011965623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38</v>
      </c>
      <c r="F7660" t="s">
        <v>115</v>
      </c>
      <c r="G7660" t="str">
        <f t="shared" si="314"/>
        <v>021PISTACHIO KISS</v>
      </c>
      <c r="H7660" s="5">
        <v>50</v>
      </c>
      <c r="I7660" s="6">
        <v>880.37999999999965</v>
      </c>
      <c r="J7660" s="5">
        <v>6400</v>
      </c>
      <c r="K7660" s="6">
        <f t="shared" si="313"/>
        <v>5.6793657284354503E-2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38</v>
      </c>
      <c r="F7661" t="s">
        <v>21</v>
      </c>
      <c r="G7661" t="str">
        <f t="shared" si="314"/>
        <v>021SNOW BUBBLES</v>
      </c>
      <c r="H7661" s="5">
        <v>4480</v>
      </c>
      <c r="I7661" s="6">
        <v>1287.0000000000018</v>
      </c>
      <c r="J7661" s="5">
        <v>9400</v>
      </c>
      <c r="K7661" s="6">
        <f t="shared" si="313"/>
        <v>3.4809634809634762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43</v>
      </c>
      <c r="F7662" t="s">
        <v>24</v>
      </c>
      <c r="G7662" t="str">
        <f t="shared" si="314"/>
        <v>022FRUITY BUBBLES</v>
      </c>
      <c r="H7662" s="5">
        <v>7500</v>
      </c>
      <c r="I7662" s="6">
        <v>2641.139999999999</v>
      </c>
      <c r="J7662" s="5">
        <v>19200</v>
      </c>
      <c r="K7662" s="6">
        <f t="shared" si="313"/>
        <v>2.8396828642177252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43</v>
      </c>
      <c r="F7663" t="s">
        <v>28</v>
      </c>
      <c r="G7663" t="str">
        <f t="shared" si="314"/>
        <v>022GOOD PEACH</v>
      </c>
      <c r="H7663" s="5">
        <v>2640</v>
      </c>
      <c r="I7663" s="6">
        <v>880.37999999999965</v>
      </c>
      <c r="J7663" s="5">
        <v>6400</v>
      </c>
      <c r="K7663" s="6">
        <f t="shared" si="313"/>
        <v>2.9987051046139177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43</v>
      </c>
      <c r="F7664" t="s">
        <v>44</v>
      </c>
      <c r="G7664" t="str">
        <f t="shared" si="314"/>
        <v>022MIRABEL</v>
      </c>
      <c r="H7664" s="5">
        <v>2280</v>
      </c>
      <c r="I7664" s="6">
        <v>880.37999999999965</v>
      </c>
      <c r="J7664" s="5">
        <v>6400</v>
      </c>
      <c r="K7664" s="6">
        <f t="shared" si="313"/>
        <v>2.5897907721665656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47</v>
      </c>
      <c r="F7665" t="s">
        <v>44</v>
      </c>
      <c r="G7665" t="str">
        <f t="shared" si="314"/>
        <v>030MIRABEL</v>
      </c>
      <c r="H7665" s="5">
        <v>3980</v>
      </c>
      <c r="I7665" s="6">
        <v>2413.6749943750001</v>
      </c>
      <c r="J7665" s="5">
        <v>17600</v>
      </c>
      <c r="K7665" s="6">
        <f t="shared" si="313"/>
        <v>1.6489378268720003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47</v>
      </c>
      <c r="F7666" t="s">
        <v>13</v>
      </c>
      <c r="G7666" t="str">
        <f t="shared" si="314"/>
        <v>030SOMERSET</v>
      </c>
      <c r="H7666" s="5">
        <v>4000</v>
      </c>
      <c r="I7666" s="6">
        <v>1645.6875000000009</v>
      </c>
      <c r="J7666" s="5">
        <v>12000</v>
      </c>
      <c r="K7666" s="6">
        <f t="shared" si="313"/>
        <v>2.4305951160229373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48</v>
      </c>
      <c r="F7667" t="s">
        <v>49</v>
      </c>
      <c r="G7667" t="str">
        <f t="shared" si="314"/>
        <v>03182989</v>
      </c>
      <c r="H7667" s="5">
        <v>740</v>
      </c>
      <c r="I7667" s="6">
        <v>726.32013058333712</v>
      </c>
      <c r="J7667" s="5">
        <v>5712</v>
      </c>
      <c r="K7667" s="6">
        <f t="shared" si="313"/>
        <v>1.0188344902483648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48</v>
      </c>
      <c r="F7668" t="s">
        <v>34</v>
      </c>
      <c r="G7668" t="str">
        <f t="shared" si="314"/>
        <v>031RUBICON</v>
      </c>
      <c r="H7668" s="5">
        <v>2010</v>
      </c>
      <c r="I7668" s="6">
        <v>924.39958333667118</v>
      </c>
      <c r="J7668" s="5">
        <v>6720</v>
      </c>
      <c r="K7668" s="6">
        <f t="shared" si="313"/>
        <v>2.1743843638968272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48</v>
      </c>
      <c r="F7669" t="s">
        <v>13</v>
      </c>
      <c r="G7669" t="str">
        <f t="shared" si="314"/>
        <v>031SOMERSET</v>
      </c>
      <c r="H7669" s="5">
        <v>2040</v>
      </c>
      <c r="I7669" s="6">
        <v>1122.4852083333392</v>
      </c>
      <c r="J7669" s="5">
        <v>8160</v>
      </c>
      <c r="K7669" s="6">
        <f t="shared" si="313"/>
        <v>1.8173958862486772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48</v>
      </c>
      <c r="F7670" t="s">
        <v>50</v>
      </c>
      <c r="G7670" t="str">
        <f t="shared" si="314"/>
        <v>031VELVET BLOSSOMS</v>
      </c>
      <c r="H7670" s="5">
        <v>660</v>
      </c>
      <c r="I7670" s="6">
        <v>396.17125000000203</v>
      </c>
      <c r="J7670" s="5">
        <v>2880</v>
      </c>
      <c r="K7670" s="6">
        <f t="shared" si="313"/>
        <v>1.6659462290612876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51</v>
      </c>
      <c r="F7671" t="s">
        <v>17</v>
      </c>
      <c r="G7671" t="str">
        <f t="shared" si="314"/>
        <v>032ELBA</v>
      </c>
      <c r="H7671" s="5">
        <v>4260</v>
      </c>
      <c r="I7671" s="6">
        <v>1535.9749999999992</v>
      </c>
      <c r="J7671" s="5">
        <v>11200</v>
      </c>
      <c r="K7671" s="6">
        <f t="shared" si="313"/>
        <v>2.7734826413190334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51</v>
      </c>
      <c r="F7672" t="s">
        <v>44</v>
      </c>
      <c r="G7672" t="str">
        <f t="shared" si="314"/>
        <v>032MIRABEL</v>
      </c>
      <c r="H7672" s="5">
        <v>2100</v>
      </c>
      <c r="I7672" s="6">
        <v>1535.9749999999995</v>
      </c>
      <c r="J7672" s="5">
        <v>11200</v>
      </c>
      <c r="K7672" s="6">
        <f t="shared" ref="K7672:K7733" si="315">+H7672/I7672</f>
        <v>1.3672097527629035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52</v>
      </c>
      <c r="F7673" t="s">
        <v>53</v>
      </c>
      <c r="G7673" t="str">
        <f t="shared" si="314"/>
        <v>033CREAMY FOLIES</v>
      </c>
      <c r="H7673" s="5">
        <v>810</v>
      </c>
      <c r="I7673" s="6">
        <v>594.25687500000311</v>
      </c>
      <c r="J7673" s="5">
        <v>4320</v>
      </c>
      <c r="K7673" s="6">
        <f t="shared" si="315"/>
        <v>1.3630469146865078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52</v>
      </c>
      <c r="F7674" t="s">
        <v>18</v>
      </c>
      <c r="G7674" t="str">
        <f t="shared" si="314"/>
        <v>033HOT BUBBLES</v>
      </c>
      <c r="H7674" s="5">
        <v>3620</v>
      </c>
      <c r="I7674" s="6">
        <v>2575.1131250013464</v>
      </c>
      <c r="J7674" s="5">
        <v>18720</v>
      </c>
      <c r="K7674" s="6">
        <f t="shared" si="315"/>
        <v>1.4057634846617106</v>
      </c>
    </row>
    <row r="7675" spans="1:11">
      <c r="A7675" s="4">
        <v>2026</v>
      </c>
      <c r="B7675">
        <v>19</v>
      </c>
      <c r="C7675" t="s">
        <v>54</v>
      </c>
      <c r="D7675" t="s">
        <v>11</v>
      </c>
      <c r="E7675" t="s">
        <v>55</v>
      </c>
      <c r="F7675" t="s">
        <v>56</v>
      </c>
      <c r="G7675" t="str">
        <f t="shared" si="314"/>
        <v>001BELIEVE IN PINK</v>
      </c>
      <c r="H7675" s="5">
        <v>1410</v>
      </c>
      <c r="I7675" s="6">
        <v>528.37931032368999</v>
      </c>
      <c r="J7675" s="5">
        <v>4000</v>
      </c>
      <c r="K7675" s="6">
        <f t="shared" si="315"/>
        <v>2.6685374927648495</v>
      </c>
    </row>
    <row r="7676" spans="1:11">
      <c r="A7676" s="4">
        <v>2026</v>
      </c>
      <c r="B7676">
        <v>19</v>
      </c>
      <c r="C7676" t="s">
        <v>54</v>
      </c>
      <c r="D7676" t="s">
        <v>11</v>
      </c>
      <c r="E7676" t="s">
        <v>55</v>
      </c>
      <c r="F7676" t="s">
        <v>57</v>
      </c>
      <c r="G7676" t="str">
        <f t="shared" si="314"/>
        <v>001EXPLORER</v>
      </c>
      <c r="H7676" s="5">
        <v>6225</v>
      </c>
      <c r="I7676" s="6">
        <v>2272.0310343918723</v>
      </c>
      <c r="J7676" s="5">
        <v>17200</v>
      </c>
      <c r="K7676" s="6">
        <f t="shared" si="315"/>
        <v>2.7398393357184809</v>
      </c>
    </row>
    <row r="7677" spans="1:11">
      <c r="A7677" s="4">
        <v>2026</v>
      </c>
      <c r="B7677">
        <v>19</v>
      </c>
      <c r="C7677" t="s">
        <v>54</v>
      </c>
      <c r="D7677" t="s">
        <v>11</v>
      </c>
      <c r="E7677" t="s">
        <v>55</v>
      </c>
      <c r="F7677" t="s">
        <v>58</v>
      </c>
      <c r="G7677" t="str">
        <f t="shared" si="314"/>
        <v>001GRACE KELLY</v>
      </c>
      <c r="H7677" s="5">
        <v>2520</v>
      </c>
      <c r="I7677" s="6">
        <v>1162.434482712122</v>
      </c>
      <c r="J7677" s="5">
        <v>8800</v>
      </c>
      <c r="K7677" s="6">
        <f t="shared" si="315"/>
        <v>2.1678641140449377</v>
      </c>
    </row>
    <row r="7678" spans="1:11">
      <c r="A7678" s="4">
        <v>2026</v>
      </c>
      <c r="B7678">
        <v>19</v>
      </c>
      <c r="C7678" t="s">
        <v>54</v>
      </c>
      <c r="D7678" t="s">
        <v>11</v>
      </c>
      <c r="E7678" t="s">
        <v>55</v>
      </c>
      <c r="F7678" t="s">
        <v>60</v>
      </c>
      <c r="G7678" t="str">
        <f t="shared" si="314"/>
        <v>001LIGHT HOUSE</v>
      </c>
      <c r="H7678" s="5">
        <v>2460</v>
      </c>
      <c r="I7678" s="6">
        <v>1056.7586206473825</v>
      </c>
      <c r="J7678" s="5">
        <v>8000</v>
      </c>
      <c r="K7678" s="6">
        <f t="shared" si="315"/>
        <v>2.3278731319863524</v>
      </c>
    </row>
    <row r="7679" spans="1:11">
      <c r="A7679" s="4">
        <v>2026</v>
      </c>
      <c r="B7679">
        <v>19</v>
      </c>
      <c r="C7679" t="s">
        <v>54</v>
      </c>
      <c r="D7679" t="s">
        <v>11</v>
      </c>
      <c r="E7679" t="s">
        <v>55</v>
      </c>
      <c r="F7679" t="s">
        <v>61</v>
      </c>
      <c r="G7679" t="str">
        <f t="shared" si="314"/>
        <v>001LUMIA</v>
      </c>
      <c r="H7679" s="5">
        <v>2370</v>
      </c>
      <c r="I7679" s="6">
        <v>1109.5965516797528</v>
      </c>
      <c r="J7679" s="5">
        <v>8400</v>
      </c>
      <c r="K7679" s="6">
        <f t="shared" si="315"/>
        <v>2.1359114683730738</v>
      </c>
    </row>
    <row r="7680" spans="1:11">
      <c r="A7680" s="4">
        <v>2026</v>
      </c>
      <c r="B7680">
        <v>19</v>
      </c>
      <c r="C7680" t="s">
        <v>54</v>
      </c>
      <c r="D7680" t="s">
        <v>11</v>
      </c>
      <c r="E7680" t="s">
        <v>55</v>
      </c>
      <c r="F7680" t="s">
        <v>62</v>
      </c>
      <c r="G7680" t="str">
        <f t="shared" si="314"/>
        <v>001MOMENTUM</v>
      </c>
      <c r="H7680" s="5">
        <v>6125</v>
      </c>
      <c r="I7680" s="6">
        <v>1902.1655171652874</v>
      </c>
      <c r="J7680" s="5">
        <v>14400</v>
      </c>
      <c r="K7680" s="6">
        <f t="shared" si="315"/>
        <v>3.2200142126053337</v>
      </c>
    </row>
    <row r="7681" spans="1:11">
      <c r="A7681" s="4">
        <v>2026</v>
      </c>
      <c r="B7681">
        <v>19</v>
      </c>
      <c r="C7681" t="s">
        <v>54</v>
      </c>
      <c r="D7681" t="s">
        <v>11</v>
      </c>
      <c r="E7681" t="s">
        <v>12</v>
      </c>
      <c r="F7681" t="s">
        <v>63</v>
      </c>
      <c r="G7681" t="str">
        <f t="shared" si="314"/>
        <v>002SUMMER ROMANCE</v>
      </c>
      <c r="H7681" s="5">
        <v>2000</v>
      </c>
      <c r="I7681" s="6">
        <v>951.10714281909407</v>
      </c>
      <c r="J7681" s="5">
        <v>7200</v>
      </c>
      <c r="K7681" s="6">
        <f t="shared" si="315"/>
        <v>2.1028125118185672</v>
      </c>
    </row>
    <row r="7682" spans="1:11">
      <c r="A7682" s="4">
        <v>2026</v>
      </c>
      <c r="B7682">
        <v>19</v>
      </c>
      <c r="C7682" t="s">
        <v>54</v>
      </c>
      <c r="D7682" t="s">
        <v>11</v>
      </c>
      <c r="E7682" t="s">
        <v>12</v>
      </c>
      <c r="F7682" t="s">
        <v>64</v>
      </c>
      <c r="G7682" t="str">
        <f t="shared" si="314"/>
        <v>002SWEETNESS</v>
      </c>
      <c r="H7682" s="5">
        <v>6750</v>
      </c>
      <c r="I7682" s="6">
        <v>3804.4285712763835</v>
      </c>
      <c r="J7682" s="5">
        <v>28800</v>
      </c>
      <c r="K7682" s="6">
        <f t="shared" si="315"/>
        <v>1.7742480568469128</v>
      </c>
    </row>
    <row r="7683" spans="1:11">
      <c r="A7683" s="4">
        <v>2026</v>
      </c>
      <c r="B7683">
        <v>19</v>
      </c>
      <c r="C7683" t="s">
        <v>54</v>
      </c>
      <c r="D7683" t="s">
        <v>11</v>
      </c>
      <c r="E7683" t="s">
        <v>65</v>
      </c>
      <c r="F7683" t="s">
        <v>66</v>
      </c>
      <c r="G7683" t="str">
        <f t="shared" si="314"/>
        <v>003CABARET</v>
      </c>
      <c r="H7683" s="5">
        <v>6090</v>
      </c>
      <c r="I7683" s="6">
        <v>2641.8965516184676</v>
      </c>
      <c r="J7683" s="5">
        <v>20000</v>
      </c>
      <c r="K7683" s="6">
        <f t="shared" si="315"/>
        <v>2.3051621746011097</v>
      </c>
    </row>
    <row r="7684" spans="1:11">
      <c r="A7684" s="4">
        <v>2026</v>
      </c>
      <c r="B7684">
        <v>19</v>
      </c>
      <c r="C7684" t="s">
        <v>54</v>
      </c>
      <c r="D7684" t="s">
        <v>11</v>
      </c>
      <c r="E7684" t="s">
        <v>65</v>
      </c>
      <c r="F7684" t="s">
        <v>67</v>
      </c>
      <c r="G7684" t="str">
        <f t="shared" si="314"/>
        <v>003DEEP PURPLE</v>
      </c>
      <c r="H7684" s="5">
        <v>9990</v>
      </c>
      <c r="I7684" s="6">
        <v>3592.9793102010881</v>
      </c>
      <c r="J7684" s="5">
        <v>26044</v>
      </c>
      <c r="K7684" s="6">
        <f t="shared" si="315"/>
        <v>2.7804223563538666</v>
      </c>
    </row>
    <row r="7685" spans="1:11">
      <c r="A7685" s="4">
        <v>2026</v>
      </c>
      <c r="B7685">
        <v>19</v>
      </c>
      <c r="C7685" t="s">
        <v>54</v>
      </c>
      <c r="D7685" t="s">
        <v>11</v>
      </c>
      <c r="E7685" t="s">
        <v>65</v>
      </c>
      <c r="F7685" t="s">
        <v>57</v>
      </c>
      <c r="G7685" t="str">
        <f t="shared" si="314"/>
        <v>003EXPLORER</v>
      </c>
      <c r="H7685" s="5">
        <v>2850</v>
      </c>
      <c r="I7685" s="6">
        <v>1268.1103447768635</v>
      </c>
      <c r="J7685" s="5">
        <v>9600</v>
      </c>
      <c r="K7685" s="6">
        <f t="shared" si="315"/>
        <v>2.2474384912469785</v>
      </c>
    </row>
    <row r="7686" spans="1:11">
      <c r="A7686" s="4">
        <v>2026</v>
      </c>
      <c r="B7686">
        <v>19</v>
      </c>
      <c r="C7686" t="s">
        <v>54</v>
      </c>
      <c r="D7686" t="s">
        <v>11</v>
      </c>
      <c r="E7686" t="s">
        <v>65</v>
      </c>
      <c r="F7686" t="s">
        <v>68</v>
      </c>
      <c r="G7686" t="str">
        <f t="shared" si="314"/>
        <v>003JOCKER</v>
      </c>
      <c r="H7686" s="5">
        <v>1550</v>
      </c>
      <c r="I7686" s="6">
        <v>528.37931032368999</v>
      </c>
      <c r="J7686" s="5">
        <v>4000</v>
      </c>
      <c r="K7686" s="6">
        <f t="shared" si="315"/>
        <v>2.9334986622592316</v>
      </c>
    </row>
    <row r="7687" spans="1:11">
      <c r="A7687" s="4">
        <v>2026</v>
      </c>
      <c r="B7687">
        <v>19</v>
      </c>
      <c r="C7687" t="s">
        <v>54</v>
      </c>
      <c r="D7687" t="s">
        <v>11</v>
      </c>
      <c r="E7687" t="s">
        <v>65</v>
      </c>
      <c r="F7687" t="s">
        <v>69</v>
      </c>
      <c r="G7687" t="str">
        <f t="shared" si="314"/>
        <v>003QUICKSAND</v>
      </c>
      <c r="H7687" s="5">
        <v>2850</v>
      </c>
      <c r="I7687" s="6">
        <v>1162.4344827121247</v>
      </c>
      <c r="J7687" s="5">
        <v>8800</v>
      </c>
      <c r="K7687" s="6">
        <f t="shared" si="315"/>
        <v>2.4517510813603409</v>
      </c>
    </row>
    <row r="7688" spans="1:11">
      <c r="A7688" s="4">
        <v>2026</v>
      </c>
      <c r="B7688">
        <v>19</v>
      </c>
      <c r="C7688" t="s">
        <v>54</v>
      </c>
      <c r="D7688" t="s">
        <v>11</v>
      </c>
      <c r="E7688" t="s">
        <v>14</v>
      </c>
      <c r="F7688" t="s">
        <v>70</v>
      </c>
      <c r="G7688" t="str">
        <f t="shared" si="314"/>
        <v>004COTOPAXI</v>
      </c>
      <c r="H7688" s="5">
        <v>990</v>
      </c>
      <c r="I7688" s="6">
        <v>528.39150244191671</v>
      </c>
      <c r="J7688" s="5">
        <v>4000</v>
      </c>
      <c r="K7688" s="6">
        <f t="shared" si="315"/>
        <v>1.8736107515446381</v>
      </c>
    </row>
    <row r="7689" spans="1:11">
      <c r="A7689" s="4">
        <v>2026</v>
      </c>
      <c r="B7689">
        <v>19</v>
      </c>
      <c r="C7689" t="s">
        <v>54</v>
      </c>
      <c r="D7689" t="s">
        <v>11</v>
      </c>
      <c r="E7689" t="s">
        <v>14</v>
      </c>
      <c r="F7689" t="s">
        <v>67</v>
      </c>
      <c r="G7689" t="str">
        <f t="shared" si="314"/>
        <v>004DEEP PURPLE</v>
      </c>
      <c r="H7689" s="5">
        <v>10380</v>
      </c>
      <c r="I7689" s="6">
        <v>3910.1071427007341</v>
      </c>
      <c r="J7689" s="5">
        <v>29260</v>
      </c>
      <c r="K7689" s="6">
        <f t="shared" si="315"/>
        <v>2.6546587142444573</v>
      </c>
    </row>
    <row r="7690" spans="1:11">
      <c r="A7690" s="4">
        <v>2026</v>
      </c>
      <c r="B7690">
        <v>19</v>
      </c>
      <c r="C7690" t="s">
        <v>54</v>
      </c>
      <c r="D7690" t="s">
        <v>11</v>
      </c>
      <c r="E7690" t="s">
        <v>14</v>
      </c>
      <c r="F7690" t="s">
        <v>71</v>
      </c>
      <c r="G7690" t="str">
        <f t="shared" si="314"/>
        <v>004HOT EXPLORER</v>
      </c>
      <c r="H7690" s="5">
        <v>4625</v>
      </c>
      <c r="I7690" s="6">
        <v>1902.2142856381947</v>
      </c>
      <c r="J7690" s="5">
        <v>14400</v>
      </c>
      <c r="K7690" s="6">
        <f t="shared" si="315"/>
        <v>2.4313769667902099</v>
      </c>
    </row>
    <row r="7691" spans="1:11">
      <c r="A7691" s="4">
        <v>2026</v>
      </c>
      <c r="B7691">
        <v>19</v>
      </c>
      <c r="C7691" t="s">
        <v>54</v>
      </c>
      <c r="D7691" t="s">
        <v>11</v>
      </c>
      <c r="E7691" t="s">
        <v>14</v>
      </c>
      <c r="F7691" t="s">
        <v>72</v>
      </c>
      <c r="G7691" t="str">
        <f t="shared" si="314"/>
        <v>004HOT MERENGUE</v>
      </c>
      <c r="H7691" s="5">
        <v>2670</v>
      </c>
      <c r="I7691" s="6">
        <v>1162.4642856677858</v>
      </c>
      <c r="J7691" s="5">
        <v>8800</v>
      </c>
      <c r="K7691" s="6">
        <f t="shared" si="315"/>
        <v>2.2968447572272721</v>
      </c>
    </row>
    <row r="7692" spans="1:11">
      <c r="A7692" s="4">
        <v>2026</v>
      </c>
      <c r="B7692">
        <v>19</v>
      </c>
      <c r="C7692" t="s">
        <v>54</v>
      </c>
      <c r="D7692" t="s">
        <v>11</v>
      </c>
      <c r="E7692" t="s">
        <v>14</v>
      </c>
      <c r="F7692" t="s">
        <v>64</v>
      </c>
      <c r="G7692" t="str">
        <f t="shared" si="314"/>
        <v>004SWEETNESS</v>
      </c>
      <c r="H7692" s="5">
        <v>750</v>
      </c>
      <c r="I7692" s="6">
        <v>317.03571427303262</v>
      </c>
      <c r="J7692" s="5">
        <v>2400</v>
      </c>
      <c r="K7692" s="6">
        <f t="shared" si="315"/>
        <v>2.3656640757958787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16</v>
      </c>
      <c r="F7693" t="s">
        <v>57</v>
      </c>
      <c r="G7693" t="str">
        <f t="shared" si="314"/>
        <v>005EXPLORER</v>
      </c>
      <c r="H7693" s="5">
        <v>2375</v>
      </c>
      <c r="I7693" s="6">
        <v>951.10714281875414</v>
      </c>
      <c r="J7693" s="5">
        <v>7200</v>
      </c>
      <c r="K7693" s="6">
        <f t="shared" si="315"/>
        <v>2.4970898577854412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16</v>
      </c>
      <c r="F7694" t="s">
        <v>73</v>
      </c>
      <c r="G7694" t="str">
        <f t="shared" si="314"/>
        <v>005GOLDFINCH</v>
      </c>
      <c r="H7694" s="5">
        <v>1075</v>
      </c>
      <c r="I7694" s="6">
        <v>898.26785710660113</v>
      </c>
      <c r="J7694" s="5">
        <v>6800</v>
      </c>
      <c r="K7694" s="6">
        <f t="shared" si="315"/>
        <v>1.1967477089324652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16</v>
      </c>
      <c r="F7695" t="s">
        <v>68</v>
      </c>
      <c r="G7695" t="str">
        <f t="shared" si="314"/>
        <v>005JOCKER</v>
      </c>
      <c r="H7695" s="5">
        <v>2425</v>
      </c>
      <c r="I7695" s="6">
        <v>1162.4642856673661</v>
      </c>
      <c r="J7695" s="5">
        <v>8800</v>
      </c>
      <c r="K7695" s="6">
        <f t="shared" si="315"/>
        <v>2.0860855941116654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16</v>
      </c>
      <c r="F7696" t="s">
        <v>74</v>
      </c>
      <c r="G7696" t="str">
        <f t="shared" si="314"/>
        <v>005VENDELA</v>
      </c>
      <c r="H7696" s="5">
        <v>1830</v>
      </c>
      <c r="I7696" s="6">
        <v>686.91071425798907</v>
      </c>
      <c r="J7696" s="5">
        <v>5200</v>
      </c>
      <c r="K7696" s="6">
        <f t="shared" si="315"/>
        <v>2.6641016976664758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75</v>
      </c>
      <c r="F7697" t="s">
        <v>76</v>
      </c>
      <c r="G7697" t="str">
        <f t="shared" ref="G7697:G7759" si="316">+E7697&amp;F7697</f>
        <v>006ATOMIC</v>
      </c>
      <c r="H7697" s="5">
        <v>1475</v>
      </c>
      <c r="I7697" s="6">
        <v>845.428571394752</v>
      </c>
      <c r="J7697" s="5">
        <v>6400</v>
      </c>
      <c r="K7697" s="6">
        <f t="shared" si="315"/>
        <v>1.7446772558994641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75</v>
      </c>
      <c r="F7698" t="s">
        <v>57</v>
      </c>
      <c r="G7698" t="str">
        <f t="shared" si="316"/>
        <v>006EXPLORER</v>
      </c>
      <c r="H7698" s="5">
        <v>9925</v>
      </c>
      <c r="I7698" s="6">
        <v>3910.1071427007359</v>
      </c>
      <c r="J7698" s="5">
        <v>29600</v>
      </c>
      <c r="K7698" s="6">
        <f t="shared" si="315"/>
        <v>2.5382936164620644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75</v>
      </c>
      <c r="F7699" t="s">
        <v>77</v>
      </c>
      <c r="G7699" t="str">
        <f t="shared" si="316"/>
        <v>006MONDIAL</v>
      </c>
      <c r="H7699" s="5">
        <v>8675</v>
      </c>
      <c r="I7699" s="6">
        <v>4015.7857141250797</v>
      </c>
      <c r="J7699" s="5">
        <v>30400</v>
      </c>
      <c r="K7699" s="6">
        <f t="shared" si="315"/>
        <v>2.1602248271083422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20</v>
      </c>
      <c r="F7700" t="s">
        <v>70</v>
      </c>
      <c r="G7700" t="str">
        <f t="shared" si="316"/>
        <v>007COTOPAXI</v>
      </c>
      <c r="H7700" s="5">
        <v>6720</v>
      </c>
      <c r="I7700" s="6">
        <v>2747.5751230427732</v>
      </c>
      <c r="J7700" s="5">
        <v>20800</v>
      </c>
      <c r="K7700" s="6">
        <f t="shared" si="315"/>
        <v>2.4457929989401004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20</v>
      </c>
      <c r="F7701" t="s">
        <v>78</v>
      </c>
      <c r="G7701" t="str">
        <f t="shared" si="316"/>
        <v>007REDIANT</v>
      </c>
      <c r="H7701" s="5">
        <v>1920</v>
      </c>
      <c r="I7701" s="6">
        <v>1056.7586206473795</v>
      </c>
      <c r="J7701" s="5">
        <v>9600</v>
      </c>
      <c r="K7701" s="6">
        <f t="shared" si="315"/>
        <v>1.8168765908186217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20</v>
      </c>
      <c r="F7702" t="s">
        <v>63</v>
      </c>
      <c r="G7702" t="str">
        <f t="shared" si="316"/>
        <v>007SUMMER ROMANCE</v>
      </c>
      <c r="H7702" s="5">
        <v>1000</v>
      </c>
      <c r="I7702" s="6">
        <v>369.86551722658481</v>
      </c>
      <c r="J7702" s="5">
        <v>3080</v>
      </c>
      <c r="K7702" s="6">
        <f t="shared" si="315"/>
        <v>2.7036854030038868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20</v>
      </c>
      <c r="F7703" t="s">
        <v>74</v>
      </c>
      <c r="G7703" t="str">
        <f t="shared" si="316"/>
        <v>007VENDELA</v>
      </c>
      <c r="H7703" s="5">
        <v>12810</v>
      </c>
      <c r="I7703" s="6">
        <v>3592.9793102011167</v>
      </c>
      <c r="J7703" s="5">
        <v>27820</v>
      </c>
      <c r="K7703" s="6">
        <f t="shared" si="315"/>
        <v>3.5652863248140889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79</v>
      </c>
      <c r="F7704" t="s">
        <v>67</v>
      </c>
      <c r="G7704" t="str">
        <f t="shared" si="316"/>
        <v>008DEEP PURPLE</v>
      </c>
      <c r="H7704" s="5">
        <v>4470</v>
      </c>
      <c r="I7704" s="6">
        <v>1585.2222221588088</v>
      </c>
      <c r="J7704" s="5">
        <v>11490</v>
      </c>
      <c r="K7704" s="6">
        <f t="shared" si="315"/>
        <v>2.819793930161163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79</v>
      </c>
      <c r="F7705" t="s">
        <v>81</v>
      </c>
      <c r="G7705" t="str">
        <f t="shared" si="316"/>
        <v>008FREEDOM</v>
      </c>
      <c r="H7705" s="5">
        <v>4950</v>
      </c>
      <c r="I7705" s="6">
        <v>2219.3111110223322</v>
      </c>
      <c r="J7705" s="5">
        <v>16800</v>
      </c>
      <c r="K7705" s="6">
        <f t="shared" si="315"/>
        <v>2.2304218527161646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79</v>
      </c>
      <c r="F7706" t="s">
        <v>68</v>
      </c>
      <c r="G7706" t="str">
        <f t="shared" si="316"/>
        <v>008JOCKER</v>
      </c>
      <c r="H7706" s="5">
        <v>8200</v>
      </c>
      <c r="I7706" s="6">
        <v>2959.0814813631118</v>
      </c>
      <c r="J7706" s="5">
        <v>22400</v>
      </c>
      <c r="K7706" s="6">
        <f t="shared" si="315"/>
        <v>2.7711301806473538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79</v>
      </c>
      <c r="F7707" t="s">
        <v>61</v>
      </c>
      <c r="G7707" t="str">
        <f t="shared" si="316"/>
        <v>008LUMIA</v>
      </c>
      <c r="H7707" s="5">
        <v>2190</v>
      </c>
      <c r="I7707" s="6">
        <v>1796.5851851133164</v>
      </c>
      <c r="J7707" s="5">
        <v>13600</v>
      </c>
      <c r="K7707" s="6">
        <f t="shared" si="315"/>
        <v>1.2189792157625243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82</v>
      </c>
      <c r="F7708" t="s">
        <v>83</v>
      </c>
      <c r="G7708" t="str">
        <f t="shared" si="316"/>
        <v>010COOLDOWN</v>
      </c>
      <c r="H7708" s="5">
        <v>4175</v>
      </c>
      <c r="I7708" s="6">
        <v>1912.3542857142854</v>
      </c>
      <c r="J7708" s="5">
        <v>16320</v>
      </c>
      <c r="K7708" s="6">
        <f t="shared" si="315"/>
        <v>2.1831728729285071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82</v>
      </c>
      <c r="F7709" t="s">
        <v>84</v>
      </c>
      <c r="G7709" t="str">
        <f t="shared" si="316"/>
        <v>010VIOLET HILL</v>
      </c>
      <c r="H7709" s="5">
        <v>5880</v>
      </c>
      <c r="I7709" s="6">
        <v>2812.2857142428566</v>
      </c>
      <c r="J7709" s="5">
        <v>20000</v>
      </c>
      <c r="K7709" s="6">
        <f t="shared" si="315"/>
        <v>2.0908259677246397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85</v>
      </c>
      <c r="F7710" t="s">
        <v>86</v>
      </c>
      <c r="G7710" t="str">
        <f t="shared" si="316"/>
        <v>011BRIGHTON</v>
      </c>
      <c r="H7710" s="5">
        <v>4600</v>
      </c>
      <c r="I7710" s="6">
        <v>1768.8376470588212</v>
      </c>
      <c r="J7710" s="5">
        <v>12800</v>
      </c>
      <c r="K7710" s="6">
        <f t="shared" si="315"/>
        <v>2.6005778470674028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85</v>
      </c>
      <c r="F7711" t="s">
        <v>87</v>
      </c>
      <c r="G7711" t="str">
        <f t="shared" si="316"/>
        <v>011CANDLELIGHT</v>
      </c>
      <c r="H7711" s="5">
        <v>4220</v>
      </c>
      <c r="I7711" s="6">
        <v>2263.799999886814</v>
      </c>
      <c r="J7711" s="5">
        <v>17920</v>
      </c>
      <c r="K7711" s="6">
        <f t="shared" si="315"/>
        <v>1.8641222723787403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85</v>
      </c>
      <c r="F7712" t="s">
        <v>88</v>
      </c>
      <c r="G7712" t="str">
        <f t="shared" si="316"/>
        <v>011CAYENNE</v>
      </c>
      <c r="H7712" s="5">
        <v>1260</v>
      </c>
      <c r="I7712" s="6">
        <v>994.97117647058758</v>
      </c>
      <c r="J7712" s="5">
        <v>7200</v>
      </c>
      <c r="K7712" s="6">
        <f t="shared" si="315"/>
        <v>1.2663683429197781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85</v>
      </c>
      <c r="F7713" t="s">
        <v>61</v>
      </c>
      <c r="G7713" t="str">
        <f t="shared" si="316"/>
        <v>011LUMIA</v>
      </c>
      <c r="H7713" s="5">
        <v>1500</v>
      </c>
      <c r="I7713" s="6">
        <v>994.97117647058769</v>
      </c>
      <c r="J7713" s="5">
        <v>7920</v>
      </c>
      <c r="K7713" s="6">
        <f t="shared" si="315"/>
        <v>1.5075813606187831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85</v>
      </c>
      <c r="F7714" t="s">
        <v>89</v>
      </c>
      <c r="G7714" t="str">
        <f t="shared" si="316"/>
        <v>011STARDUST</v>
      </c>
      <c r="H7714" s="5">
        <v>3975</v>
      </c>
      <c r="I7714" s="6">
        <v>2263.799999886814</v>
      </c>
      <c r="J7714" s="5">
        <v>17920</v>
      </c>
      <c r="K7714" s="6">
        <f t="shared" si="315"/>
        <v>1.7558971641482211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90</v>
      </c>
      <c r="F7715" t="s">
        <v>67</v>
      </c>
      <c r="G7715" t="str">
        <f t="shared" si="316"/>
        <v>012DEEP PURPLE</v>
      </c>
      <c r="H7715" s="5">
        <v>20610</v>
      </c>
      <c r="I7715" s="6">
        <v>6727.0499997982606</v>
      </c>
      <c r="J7715" s="5">
        <v>49210</v>
      </c>
      <c r="K7715" s="6">
        <f t="shared" si="315"/>
        <v>3.0637500837095129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90</v>
      </c>
      <c r="F7716" t="s">
        <v>60</v>
      </c>
      <c r="G7716" t="str">
        <f t="shared" si="316"/>
        <v>012LIGHT HOUSE</v>
      </c>
      <c r="H7716" s="5">
        <v>1890</v>
      </c>
      <c r="I7716" s="6">
        <v>994.9499999999997</v>
      </c>
      <c r="J7716" s="5">
        <v>7200</v>
      </c>
      <c r="K7716" s="6">
        <f t="shared" si="315"/>
        <v>1.8995929443690642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91</v>
      </c>
      <c r="F7717" t="s">
        <v>92</v>
      </c>
      <c r="G7717" t="str">
        <f t="shared" si="316"/>
        <v>013COUNTRY BLUES</v>
      </c>
      <c r="H7717" s="5">
        <v>980</v>
      </c>
      <c r="I7717" s="6">
        <v>831.60000000000025</v>
      </c>
      <c r="J7717" s="5">
        <v>6300</v>
      </c>
      <c r="K7717" s="6">
        <f t="shared" si="315"/>
        <v>1.1784511784511782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91</v>
      </c>
      <c r="F7718" t="s">
        <v>93</v>
      </c>
      <c r="G7718" t="str">
        <f t="shared" si="316"/>
        <v>013LORRAINE</v>
      </c>
      <c r="H7718" s="5">
        <v>2825</v>
      </c>
      <c r="I7718" s="6">
        <v>1267.1999999999998</v>
      </c>
      <c r="J7718" s="5">
        <v>9600</v>
      </c>
      <c r="K7718" s="6">
        <f t="shared" si="315"/>
        <v>2.2293244949494953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91</v>
      </c>
      <c r="F7719" t="s">
        <v>61</v>
      </c>
      <c r="G7719" t="str">
        <f t="shared" si="316"/>
        <v>013LUMIA</v>
      </c>
      <c r="H7719" s="5">
        <v>690</v>
      </c>
      <c r="I7719" s="6">
        <v>316.8</v>
      </c>
      <c r="J7719" s="5">
        <v>2400</v>
      </c>
      <c r="K7719" s="6">
        <f t="shared" si="315"/>
        <v>2.1780303030303028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91</v>
      </c>
      <c r="F7720" t="s">
        <v>74</v>
      </c>
      <c r="G7720" t="str">
        <f t="shared" si="316"/>
        <v>013VENDELA</v>
      </c>
      <c r="H7720" s="5">
        <v>10740</v>
      </c>
      <c r="I7720" s="6">
        <v>3603.5999999999949</v>
      </c>
      <c r="J7720" s="5">
        <v>27296</v>
      </c>
      <c r="K7720" s="6">
        <f t="shared" si="315"/>
        <v>2.9803529803529845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23</v>
      </c>
      <c r="F7721" t="s">
        <v>89</v>
      </c>
      <c r="G7721" t="str">
        <f t="shared" si="316"/>
        <v>014STARDUST</v>
      </c>
      <c r="H7721" s="5">
        <v>6525</v>
      </c>
      <c r="I7721" s="6">
        <v>3682.7999999999943</v>
      </c>
      <c r="J7721" s="5">
        <v>27900</v>
      </c>
      <c r="K7721" s="6">
        <f t="shared" si="315"/>
        <v>1.7717497556207262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25</v>
      </c>
      <c r="F7722" t="s">
        <v>68</v>
      </c>
      <c r="G7722" t="str">
        <f t="shared" si="316"/>
        <v>015JOCKER</v>
      </c>
      <c r="H7722" s="5">
        <v>4775</v>
      </c>
      <c r="I7722" s="6">
        <v>2375.9999999999973</v>
      </c>
      <c r="J7722" s="5">
        <v>18000</v>
      </c>
      <c r="K7722" s="6">
        <f t="shared" si="315"/>
        <v>2.0096801346801372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27</v>
      </c>
      <c r="F7723" t="s">
        <v>94</v>
      </c>
      <c r="G7723" t="str">
        <f t="shared" si="316"/>
        <v>016DREAM IN PEACH</v>
      </c>
      <c r="H7723" s="5">
        <v>1890</v>
      </c>
      <c r="I7723" s="6">
        <v>950.40000000000032</v>
      </c>
      <c r="J7723" s="5">
        <v>7200</v>
      </c>
      <c r="K7723" s="6">
        <f t="shared" si="315"/>
        <v>1.9886363636363629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27</v>
      </c>
      <c r="F7724" t="s">
        <v>95</v>
      </c>
      <c r="G7724" t="str">
        <f t="shared" si="316"/>
        <v>016NINA</v>
      </c>
      <c r="H7724" s="5">
        <v>3100</v>
      </c>
      <c r="I7724" s="6">
        <v>1346.3999999999996</v>
      </c>
      <c r="J7724" s="5">
        <v>10200</v>
      </c>
      <c r="K7724" s="6">
        <f t="shared" si="315"/>
        <v>2.3024361259655381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30</v>
      </c>
      <c r="F7725" t="s">
        <v>81</v>
      </c>
      <c r="G7725" t="str">
        <f t="shared" si="316"/>
        <v>017FREEDOM</v>
      </c>
      <c r="H7725" s="5">
        <v>5460</v>
      </c>
      <c r="I7725" s="6">
        <v>2851.1999999999962</v>
      </c>
      <c r="J7725" s="5">
        <v>21600</v>
      </c>
      <c r="K7725" s="6">
        <f t="shared" si="315"/>
        <v>1.9149831649831675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30</v>
      </c>
      <c r="F7726" t="s">
        <v>73</v>
      </c>
      <c r="G7726" t="str">
        <f t="shared" si="316"/>
        <v>017GOLDFINCH</v>
      </c>
      <c r="H7726" s="5">
        <v>3575</v>
      </c>
      <c r="I7726" s="6">
        <v>2138.3999999999978</v>
      </c>
      <c r="J7726" s="5">
        <v>16200</v>
      </c>
      <c r="K7726" s="6">
        <f t="shared" si="315"/>
        <v>1.6718106995884792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32</v>
      </c>
      <c r="F7727" t="s">
        <v>86</v>
      </c>
      <c r="G7727" t="str">
        <f t="shared" si="316"/>
        <v>018BRIGHTON</v>
      </c>
      <c r="H7727" s="5">
        <v>2250</v>
      </c>
      <c r="I7727" s="6">
        <v>963.60000000000036</v>
      </c>
      <c r="J7727" s="5">
        <v>7570</v>
      </c>
      <c r="K7727" s="6">
        <f t="shared" si="315"/>
        <v>2.3349937733499369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35</v>
      </c>
      <c r="F7728" t="s">
        <v>86</v>
      </c>
      <c r="G7728" t="str">
        <f t="shared" si="316"/>
        <v>019BRIGHTON</v>
      </c>
      <c r="H7728" s="5">
        <v>7025</v>
      </c>
      <c r="I7728" s="6">
        <v>3167.9999999999955</v>
      </c>
      <c r="J7728" s="5">
        <v>24000</v>
      </c>
      <c r="K7728" s="6">
        <f t="shared" si="315"/>
        <v>2.2174873737373768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35</v>
      </c>
      <c r="F7729" t="s">
        <v>96</v>
      </c>
      <c r="G7729" t="str">
        <f t="shared" si="316"/>
        <v>019TABATHA</v>
      </c>
      <c r="H7729" s="5">
        <v>3780</v>
      </c>
      <c r="I7729" s="6">
        <v>1188</v>
      </c>
      <c r="J7729" s="5">
        <v>9000</v>
      </c>
      <c r="K7729" s="6">
        <f t="shared" si="315"/>
        <v>3.1818181818181817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36</v>
      </c>
      <c r="F7730" t="s">
        <v>86</v>
      </c>
      <c r="G7730" t="str">
        <f t="shared" si="316"/>
        <v>020BRIGHTON</v>
      </c>
      <c r="H7730" s="5">
        <v>5825</v>
      </c>
      <c r="I7730" s="6">
        <v>2732.3999999999965</v>
      </c>
      <c r="J7730" s="5">
        <v>20700</v>
      </c>
      <c r="K7730" s="6">
        <f t="shared" si="315"/>
        <v>2.1318255013907215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36</v>
      </c>
      <c r="F7731" t="s">
        <v>97</v>
      </c>
      <c r="G7731" t="str">
        <f t="shared" si="316"/>
        <v>020TYCOON</v>
      </c>
      <c r="H7731" s="5">
        <v>1500</v>
      </c>
      <c r="I7731" s="6">
        <v>673.2</v>
      </c>
      <c r="J7731" s="5">
        <v>5100</v>
      </c>
      <c r="K7731" s="6">
        <f t="shared" si="315"/>
        <v>2.2281639928698751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38</v>
      </c>
      <c r="F7732" t="s">
        <v>98</v>
      </c>
      <c r="G7732" t="str">
        <f t="shared" si="316"/>
        <v>021SHOW GIRL</v>
      </c>
      <c r="H7732" s="5">
        <v>2250</v>
      </c>
      <c r="I7732" s="6">
        <v>1100.4749999999997</v>
      </c>
      <c r="J7732" s="5">
        <v>8000</v>
      </c>
      <c r="K7732" s="6">
        <f t="shared" si="315"/>
        <v>2.0445716622367618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43</v>
      </c>
      <c r="F7733" t="s">
        <v>99</v>
      </c>
      <c r="G7733" t="str">
        <f t="shared" si="316"/>
        <v>022CORAL REEF</v>
      </c>
      <c r="H7733" s="5">
        <v>3275</v>
      </c>
      <c r="I7733" s="6">
        <v>1287</v>
      </c>
      <c r="J7733" s="5">
        <v>9400</v>
      </c>
      <c r="K7733" s="6">
        <f t="shared" si="315"/>
        <v>2.5446775446775445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100</v>
      </c>
      <c r="F7734" t="s">
        <v>70</v>
      </c>
      <c r="G7734" t="str">
        <f t="shared" si="316"/>
        <v>023COTOPAXI</v>
      </c>
      <c r="H7734" s="5">
        <v>6300</v>
      </c>
      <c r="I7734" s="6">
        <v>2641.139999999999</v>
      </c>
      <c r="J7734" s="5">
        <v>19200</v>
      </c>
      <c r="K7734" s="6">
        <f t="shared" ref="K7734:K7796" si="317">+H7734/I7734</f>
        <v>2.3853336059428893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100</v>
      </c>
      <c r="F7735" t="s">
        <v>101</v>
      </c>
      <c r="G7735" t="str">
        <f t="shared" si="316"/>
        <v>023FRUTTETO</v>
      </c>
      <c r="H7735" s="5">
        <v>6750</v>
      </c>
      <c r="I7735" s="6">
        <v>2641.139999999999</v>
      </c>
      <c r="J7735" s="5">
        <v>19200</v>
      </c>
      <c r="K7735" s="6">
        <f t="shared" si="317"/>
        <v>2.5557145777959529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102</v>
      </c>
      <c r="F7736" t="s">
        <v>70</v>
      </c>
      <c r="G7736" t="str">
        <f t="shared" si="316"/>
        <v>024COTOPAXI</v>
      </c>
      <c r="H7736" s="5">
        <v>3030</v>
      </c>
      <c r="I7736" s="6">
        <v>1430.6174906249998</v>
      </c>
      <c r="J7736" s="5">
        <v>10400</v>
      </c>
      <c r="K7736" s="6">
        <f t="shared" si="317"/>
        <v>2.1179665562988967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102</v>
      </c>
      <c r="F7737" t="s">
        <v>64</v>
      </c>
      <c r="G7737" t="str">
        <f t="shared" si="316"/>
        <v>024SWEETNESS</v>
      </c>
      <c r="H7737" s="5">
        <v>2040</v>
      </c>
      <c r="I7737" s="6">
        <v>1430.6174999999998</v>
      </c>
      <c r="J7737" s="5">
        <v>10400</v>
      </c>
      <c r="K7737" s="6">
        <f t="shared" si="317"/>
        <v>1.4259576721241005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102</v>
      </c>
      <c r="F7738" t="s">
        <v>97</v>
      </c>
      <c r="G7738" t="str">
        <f t="shared" si="316"/>
        <v>024TYCOON</v>
      </c>
      <c r="H7738" s="5">
        <v>5580</v>
      </c>
      <c r="I7738" s="6">
        <v>2861.2349999999983</v>
      </c>
      <c r="J7738" s="5">
        <v>20800</v>
      </c>
      <c r="K7738" s="6">
        <f t="shared" si="317"/>
        <v>1.9502068162873736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103</v>
      </c>
      <c r="F7739" t="s">
        <v>104</v>
      </c>
      <c r="G7739" t="str">
        <f t="shared" si="316"/>
        <v>025PINK MONDIAL</v>
      </c>
      <c r="H7739" s="5">
        <v>5400</v>
      </c>
      <c r="I7739" s="6">
        <v>3071.9505624999983</v>
      </c>
      <c r="J7739" s="5">
        <v>22400</v>
      </c>
      <c r="K7739" s="6">
        <f t="shared" si="317"/>
        <v>1.7578407888196614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45</v>
      </c>
      <c r="F7740" t="s">
        <v>105</v>
      </c>
      <c r="G7740" t="str">
        <f t="shared" si="316"/>
        <v>026LOLA</v>
      </c>
      <c r="H7740" s="5">
        <v>3150</v>
      </c>
      <c r="I7740" s="6">
        <v>2852.5249999999992</v>
      </c>
      <c r="J7740" s="5">
        <v>20800</v>
      </c>
      <c r="K7740" s="6">
        <f t="shared" si="317"/>
        <v>1.1042848003084988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45</v>
      </c>
      <c r="F7741" t="s">
        <v>106</v>
      </c>
      <c r="G7741" t="str">
        <f t="shared" si="316"/>
        <v>026PALOMA</v>
      </c>
      <c r="H7741" s="5">
        <v>4200</v>
      </c>
      <c r="I7741" s="6">
        <v>2852.5249999999992</v>
      </c>
      <c r="J7741" s="5">
        <v>20800</v>
      </c>
      <c r="K7741" s="6">
        <f t="shared" si="317"/>
        <v>1.4723797337446651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107</v>
      </c>
      <c r="F7742" t="s">
        <v>108</v>
      </c>
      <c r="G7742" t="str">
        <f t="shared" si="316"/>
        <v>027SATISFACTION</v>
      </c>
      <c r="H7742" s="5">
        <v>6690</v>
      </c>
      <c r="I7742" s="6">
        <v>2633.0999999999995</v>
      </c>
      <c r="J7742" s="5">
        <v>19200</v>
      </c>
      <c r="K7742" s="6">
        <f t="shared" si="317"/>
        <v>2.5407314572177286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107</v>
      </c>
      <c r="F7743" t="s">
        <v>109</v>
      </c>
      <c r="G7743" t="str">
        <f t="shared" si="316"/>
        <v>027TIFFANY</v>
      </c>
      <c r="H7743" s="5">
        <v>7950</v>
      </c>
      <c r="I7743" s="6">
        <v>2633.0999999999995</v>
      </c>
      <c r="J7743" s="5">
        <v>19200</v>
      </c>
      <c r="K7743" s="6">
        <f t="shared" si="317"/>
        <v>3.0192548706847449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110</v>
      </c>
      <c r="F7744" t="s">
        <v>70</v>
      </c>
      <c r="G7744" t="str">
        <f t="shared" si="316"/>
        <v>028COTOPAXI</v>
      </c>
      <c r="H7744" s="5">
        <v>5070</v>
      </c>
      <c r="I7744" s="6">
        <v>2852.5249999999987</v>
      </c>
      <c r="J7744" s="5">
        <v>20800</v>
      </c>
      <c r="K7744" s="6">
        <f t="shared" si="317"/>
        <v>1.7773726785917747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110</v>
      </c>
      <c r="F7745" t="s">
        <v>67</v>
      </c>
      <c r="G7745" t="str">
        <f t="shared" si="316"/>
        <v>028DEEP PURPLE</v>
      </c>
      <c r="H7745" s="5">
        <v>7920</v>
      </c>
      <c r="I7745" s="6">
        <v>2852.5249999999987</v>
      </c>
      <c r="J7745" s="5">
        <v>20800</v>
      </c>
      <c r="K7745" s="6">
        <f t="shared" si="317"/>
        <v>2.7764874979185121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111</v>
      </c>
      <c r="F7746" t="s">
        <v>112</v>
      </c>
      <c r="G7746" t="str">
        <f t="shared" si="316"/>
        <v>029PINK FLOYD</v>
      </c>
      <c r="H7746" s="5">
        <v>4375</v>
      </c>
      <c r="I7746" s="6">
        <v>3071.949999999998</v>
      </c>
      <c r="J7746" s="5">
        <v>22400</v>
      </c>
      <c r="K7746" s="6">
        <f t="shared" si="317"/>
        <v>1.4241768257946916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47</v>
      </c>
      <c r="F7747" t="s">
        <v>57</v>
      </c>
      <c r="G7747" t="str">
        <f t="shared" si="316"/>
        <v>030EXPLORER</v>
      </c>
      <c r="H7747" s="5">
        <v>3325</v>
      </c>
      <c r="I7747" s="6">
        <v>1645.6875000000009</v>
      </c>
      <c r="J7747" s="5">
        <v>12000</v>
      </c>
      <c r="K7747" s="6">
        <f t="shared" si="317"/>
        <v>2.0204321901940667</v>
      </c>
    </row>
    <row r="7748" spans="1:11">
      <c r="A7748" s="4">
        <v>2026</v>
      </c>
      <c r="B7748">
        <v>20</v>
      </c>
      <c r="C7748" t="s">
        <v>10</v>
      </c>
      <c r="D7748" t="s">
        <v>11</v>
      </c>
      <c r="E7748" t="s">
        <v>12</v>
      </c>
      <c r="F7748" t="s">
        <v>13</v>
      </c>
      <c r="G7748" t="str">
        <f t="shared" si="316"/>
        <v>002SOMERSET</v>
      </c>
      <c r="H7748" s="5">
        <v>11980</v>
      </c>
      <c r="I7748" s="6">
        <v>4121.4642855494158</v>
      </c>
      <c r="J7748" s="5">
        <v>31200</v>
      </c>
      <c r="K7748" s="6">
        <f t="shared" si="317"/>
        <v>2.90673391056766</v>
      </c>
    </row>
    <row r="7749" spans="1:11">
      <c r="A7749" s="4">
        <v>2026</v>
      </c>
      <c r="B7749">
        <v>20</v>
      </c>
      <c r="C7749" t="s">
        <v>10</v>
      </c>
      <c r="D7749" t="s">
        <v>11</v>
      </c>
      <c r="E7749" t="s">
        <v>14</v>
      </c>
      <c r="F7749" t="s">
        <v>15</v>
      </c>
      <c r="G7749" t="str">
        <f t="shared" si="316"/>
        <v>004BELLINA</v>
      </c>
      <c r="H7749" s="5">
        <v>1590</v>
      </c>
      <c r="I7749" s="6">
        <v>1056.785714243442</v>
      </c>
      <c r="J7749" s="5">
        <v>8000</v>
      </c>
      <c r="K7749" s="6">
        <f t="shared" si="317"/>
        <v>1.5045623522061788</v>
      </c>
    </row>
    <row r="7750" spans="1:11">
      <c r="A7750" s="4">
        <v>2026</v>
      </c>
      <c r="B7750">
        <v>20</v>
      </c>
      <c r="C7750" t="s">
        <v>10</v>
      </c>
      <c r="D7750" t="s">
        <v>11</v>
      </c>
      <c r="E7750" t="s">
        <v>16</v>
      </c>
      <c r="F7750" t="s">
        <v>17</v>
      </c>
      <c r="G7750" t="str">
        <f t="shared" si="316"/>
        <v>005ELBA</v>
      </c>
      <c r="H7750" s="5">
        <v>12900</v>
      </c>
      <c r="I7750" s="6">
        <v>2641.9642856076448</v>
      </c>
      <c r="J7750" s="5">
        <v>19996</v>
      </c>
      <c r="K7750" s="6">
        <f t="shared" si="317"/>
        <v>4.8827306524444687</v>
      </c>
    </row>
    <row r="7751" spans="1:11">
      <c r="A7751" s="4">
        <v>2026</v>
      </c>
      <c r="B7751">
        <v>20</v>
      </c>
      <c r="C7751" t="s">
        <v>10</v>
      </c>
      <c r="D7751" t="s">
        <v>11</v>
      </c>
      <c r="E7751" t="s">
        <v>16</v>
      </c>
      <c r="F7751" t="s">
        <v>18</v>
      </c>
      <c r="G7751" t="str">
        <f t="shared" si="316"/>
        <v>005HOT BUBBLES</v>
      </c>
      <c r="H7751" s="5">
        <v>1420</v>
      </c>
      <c r="I7751" s="6">
        <v>528.39285712153003</v>
      </c>
      <c r="J7751" s="5">
        <v>4000</v>
      </c>
      <c r="K7751" s="6">
        <f t="shared" si="317"/>
        <v>2.6873943901050898</v>
      </c>
    </row>
    <row r="7752" spans="1:11">
      <c r="A7752" s="4">
        <v>2026</v>
      </c>
      <c r="B7752">
        <v>20</v>
      </c>
      <c r="C7752" t="s">
        <v>10</v>
      </c>
      <c r="D7752" t="s">
        <v>11</v>
      </c>
      <c r="E7752" t="s">
        <v>16</v>
      </c>
      <c r="F7752" t="s">
        <v>19</v>
      </c>
      <c r="G7752" t="str">
        <f t="shared" si="316"/>
        <v>005SUSPIRO</v>
      </c>
      <c r="H7752" s="5">
        <v>6960</v>
      </c>
      <c r="I7752" s="6">
        <v>1902.2142856375083</v>
      </c>
      <c r="J7752" s="5">
        <v>14400</v>
      </c>
      <c r="K7752" s="6">
        <f t="shared" si="317"/>
        <v>3.6588937705656148</v>
      </c>
    </row>
    <row r="7753" spans="1:11">
      <c r="A7753" s="4">
        <v>2026</v>
      </c>
      <c r="B7753">
        <v>20</v>
      </c>
      <c r="C7753" t="s">
        <v>10</v>
      </c>
      <c r="D7753" t="s">
        <v>11</v>
      </c>
      <c r="E7753" t="s">
        <v>20</v>
      </c>
      <c r="F7753" t="s">
        <v>21</v>
      </c>
      <c r="G7753" t="str">
        <f t="shared" si="316"/>
        <v>007SNOW BUBBLES</v>
      </c>
      <c r="H7753" s="5">
        <v>1440</v>
      </c>
      <c r="I7753" s="6">
        <v>634.05652706821184</v>
      </c>
      <c r="J7753" s="5">
        <v>4800</v>
      </c>
      <c r="K7753" s="6">
        <f t="shared" si="317"/>
        <v>2.2710908862627082</v>
      </c>
    </row>
    <row r="7754" spans="1:11">
      <c r="A7754" s="4">
        <v>2026</v>
      </c>
      <c r="B7754">
        <v>20</v>
      </c>
      <c r="C7754" t="s">
        <v>10</v>
      </c>
      <c r="D7754" t="s">
        <v>11</v>
      </c>
      <c r="E7754" t="s">
        <v>22</v>
      </c>
      <c r="F7754" t="s">
        <v>18</v>
      </c>
      <c r="G7754" t="str">
        <f t="shared" si="316"/>
        <v>009HOT BUBBLES</v>
      </c>
      <c r="H7754" s="5">
        <v>10420</v>
      </c>
      <c r="I7754" s="6">
        <v>4487.9999999102447</v>
      </c>
      <c r="J7754" s="5">
        <v>31740</v>
      </c>
      <c r="K7754" s="6">
        <f t="shared" si="317"/>
        <v>2.3217468806168426</v>
      </c>
    </row>
    <row r="7755" spans="1:11">
      <c r="A7755" s="4">
        <v>2026</v>
      </c>
      <c r="B7755">
        <v>20</v>
      </c>
      <c r="C7755" t="s">
        <v>10</v>
      </c>
      <c r="D7755" t="s">
        <v>11</v>
      </c>
      <c r="E7755" t="s">
        <v>23</v>
      </c>
      <c r="F7755" t="s">
        <v>24</v>
      </c>
      <c r="G7755" t="str">
        <f t="shared" si="316"/>
        <v>014FRUITY BUBBLES</v>
      </c>
      <c r="H7755" s="5">
        <v>2700</v>
      </c>
      <c r="I7755" s="6">
        <v>1702.7999999999988</v>
      </c>
      <c r="J7755" s="5">
        <v>12900</v>
      </c>
      <c r="K7755" s="6">
        <f t="shared" si="317"/>
        <v>1.5856236786469355</v>
      </c>
    </row>
    <row r="7756" spans="1:11">
      <c r="A7756" s="4">
        <v>2026</v>
      </c>
      <c r="B7756">
        <v>20</v>
      </c>
      <c r="C7756" t="s">
        <v>10</v>
      </c>
      <c r="D7756" t="s">
        <v>11</v>
      </c>
      <c r="E7756" t="s">
        <v>25</v>
      </c>
      <c r="F7756" t="s">
        <v>26</v>
      </c>
      <c r="G7756" t="str">
        <f t="shared" si="316"/>
        <v>015FELLINI</v>
      </c>
      <c r="H7756" s="5">
        <v>7760</v>
      </c>
      <c r="I7756" s="6">
        <v>3009.5999999999958</v>
      </c>
      <c r="J7756" s="5">
        <v>22800</v>
      </c>
      <c r="K7756" s="6">
        <f t="shared" si="317"/>
        <v>2.5784157363104767</v>
      </c>
    </row>
    <row r="7757" spans="1:11">
      <c r="A7757" s="4">
        <v>2026</v>
      </c>
      <c r="B7757">
        <v>20</v>
      </c>
      <c r="C7757" t="s">
        <v>10</v>
      </c>
      <c r="D7757" t="s">
        <v>11</v>
      </c>
      <c r="E7757" t="s">
        <v>27</v>
      </c>
      <c r="F7757" t="s">
        <v>28</v>
      </c>
      <c r="G7757" t="str">
        <f t="shared" si="316"/>
        <v>016GOOD PEACH</v>
      </c>
      <c r="H7757" s="5">
        <v>3870</v>
      </c>
      <c r="I7757" s="6">
        <v>1385.9999999999995</v>
      </c>
      <c r="J7757" s="5">
        <v>10500</v>
      </c>
      <c r="K7757" s="6">
        <f t="shared" si="317"/>
        <v>2.792207792207793</v>
      </c>
    </row>
    <row r="7758" spans="1:11">
      <c r="A7758" s="4">
        <v>2026</v>
      </c>
      <c r="B7758">
        <v>20</v>
      </c>
      <c r="C7758" t="s">
        <v>10</v>
      </c>
      <c r="D7758" t="s">
        <v>11</v>
      </c>
      <c r="E7758" t="s">
        <v>27</v>
      </c>
      <c r="F7758" t="s">
        <v>29</v>
      </c>
      <c r="G7758" t="str">
        <f t="shared" si="316"/>
        <v>016GOOD YELLOW</v>
      </c>
      <c r="H7758" s="5">
        <v>3990</v>
      </c>
      <c r="I7758" s="6">
        <v>1385.9999999999995</v>
      </c>
      <c r="J7758" s="5">
        <v>10500</v>
      </c>
      <c r="K7758" s="6">
        <f t="shared" si="317"/>
        <v>2.8787878787878798</v>
      </c>
    </row>
    <row r="7759" spans="1:11">
      <c r="A7759" s="4">
        <v>2026</v>
      </c>
      <c r="B7759">
        <v>20</v>
      </c>
      <c r="C7759" t="s">
        <v>10</v>
      </c>
      <c r="D7759" t="s">
        <v>11</v>
      </c>
      <c r="E7759" t="s">
        <v>30</v>
      </c>
      <c r="F7759" t="s">
        <v>31</v>
      </c>
      <c r="G7759" t="str">
        <f t="shared" si="316"/>
        <v>017ORANGE STAR</v>
      </c>
      <c r="H7759" s="5">
        <v>1375</v>
      </c>
      <c r="I7759" s="6">
        <v>1029.6000000000004</v>
      </c>
      <c r="J7759" s="5">
        <v>7800</v>
      </c>
      <c r="K7759" s="6">
        <f t="shared" si="317"/>
        <v>1.3354700854700849</v>
      </c>
    </row>
    <row r="7760" spans="1:11">
      <c r="A7760" s="4">
        <v>2026</v>
      </c>
      <c r="B7760">
        <v>20</v>
      </c>
      <c r="C7760" t="s">
        <v>10</v>
      </c>
      <c r="D7760" t="s">
        <v>11</v>
      </c>
      <c r="E7760" t="s">
        <v>32</v>
      </c>
      <c r="F7760" t="s">
        <v>33</v>
      </c>
      <c r="G7760" t="str">
        <f t="shared" ref="G7760:G7821" si="318">+E7760&amp;F7760</f>
        <v>018COSMO</v>
      </c>
      <c r="H7760" s="5">
        <v>4475</v>
      </c>
      <c r="I7760" s="6">
        <v>2653.1999999999966</v>
      </c>
      <c r="J7760" s="5">
        <v>20100</v>
      </c>
      <c r="K7760" s="6">
        <f t="shared" si="317"/>
        <v>1.6866425448515021</v>
      </c>
    </row>
    <row r="7761" spans="1:11">
      <c r="A7761" s="4">
        <v>2026</v>
      </c>
      <c r="B7761">
        <v>20</v>
      </c>
      <c r="C7761" t="s">
        <v>10</v>
      </c>
      <c r="D7761" t="s">
        <v>11</v>
      </c>
      <c r="E7761" t="s">
        <v>32</v>
      </c>
      <c r="F7761" t="s">
        <v>34</v>
      </c>
      <c r="G7761" t="str">
        <f t="shared" si="318"/>
        <v>018RUBICON</v>
      </c>
      <c r="H7761" s="5">
        <v>4650</v>
      </c>
      <c r="I7761" s="6">
        <v>1768.7999999999988</v>
      </c>
      <c r="J7761" s="5">
        <v>13400</v>
      </c>
      <c r="K7761" s="6">
        <f t="shared" si="317"/>
        <v>2.6289009497964742</v>
      </c>
    </row>
    <row r="7762" spans="1:11">
      <c r="A7762" s="4">
        <v>2026</v>
      </c>
      <c r="B7762">
        <v>20</v>
      </c>
      <c r="C7762" t="s">
        <v>10</v>
      </c>
      <c r="D7762" t="s">
        <v>11</v>
      </c>
      <c r="E7762" t="s">
        <v>35</v>
      </c>
      <c r="F7762" t="s">
        <v>15</v>
      </c>
      <c r="G7762" t="str">
        <f t="shared" si="318"/>
        <v>019BELLINA</v>
      </c>
      <c r="H7762" s="5">
        <v>2220</v>
      </c>
      <c r="I7762" s="6">
        <v>1029.6000000000004</v>
      </c>
      <c r="J7762" s="5">
        <v>7800</v>
      </c>
      <c r="K7762" s="6">
        <f t="shared" si="317"/>
        <v>2.1561771561771552</v>
      </c>
    </row>
    <row r="7763" spans="1:11">
      <c r="A7763" s="4">
        <v>2026</v>
      </c>
      <c r="B7763">
        <v>20</v>
      </c>
      <c r="C7763" t="s">
        <v>10</v>
      </c>
      <c r="D7763" t="s">
        <v>11</v>
      </c>
      <c r="E7763" t="s">
        <v>36</v>
      </c>
      <c r="F7763" t="s">
        <v>37</v>
      </c>
      <c r="G7763" t="str">
        <f t="shared" si="318"/>
        <v>020SUMMER DANCE</v>
      </c>
      <c r="H7763" s="5">
        <v>3025</v>
      </c>
      <c r="I7763" s="6">
        <v>1346.3999999999996</v>
      </c>
      <c r="J7763" s="5">
        <v>10200</v>
      </c>
      <c r="K7763" s="6">
        <f t="shared" si="317"/>
        <v>2.2467320261437913</v>
      </c>
    </row>
    <row r="7764" spans="1:11">
      <c r="A7764" s="4">
        <v>2026</v>
      </c>
      <c r="B7764">
        <v>20</v>
      </c>
      <c r="C7764" t="s">
        <v>10</v>
      </c>
      <c r="D7764" t="s">
        <v>11</v>
      </c>
      <c r="E7764" t="s">
        <v>38</v>
      </c>
      <c r="F7764" t="s">
        <v>39</v>
      </c>
      <c r="G7764" t="str">
        <f t="shared" si="318"/>
        <v>021ELEGANT ROSEVER</v>
      </c>
      <c r="H7764" s="5">
        <v>1800</v>
      </c>
      <c r="I7764" s="6">
        <v>440.18999062500001</v>
      </c>
      <c r="J7764" s="5">
        <v>3200</v>
      </c>
      <c r="K7764" s="6">
        <f t="shared" si="317"/>
        <v>4.0891434115625511</v>
      </c>
    </row>
    <row r="7765" spans="1:11">
      <c r="A7765" s="4">
        <v>2026</v>
      </c>
      <c r="B7765">
        <v>20</v>
      </c>
      <c r="C7765" t="s">
        <v>10</v>
      </c>
      <c r="D7765" t="s">
        <v>11</v>
      </c>
      <c r="E7765" t="s">
        <v>38</v>
      </c>
      <c r="F7765" t="s">
        <v>40</v>
      </c>
      <c r="G7765" t="str">
        <f t="shared" si="318"/>
        <v>021FLAME CLUB</v>
      </c>
      <c r="H7765" s="5">
        <v>2475</v>
      </c>
      <c r="I7765" s="6">
        <v>880.37999999999965</v>
      </c>
      <c r="J7765" s="5">
        <v>6400</v>
      </c>
      <c r="K7765" s="6">
        <f t="shared" si="317"/>
        <v>2.8112860355755482</v>
      </c>
    </row>
    <row r="7766" spans="1:11">
      <c r="A7766" s="4">
        <v>2026</v>
      </c>
      <c r="B7766">
        <v>20</v>
      </c>
      <c r="C7766" t="s">
        <v>10</v>
      </c>
      <c r="D7766" t="s">
        <v>11</v>
      </c>
      <c r="E7766" t="s">
        <v>38</v>
      </c>
      <c r="F7766" t="s">
        <v>41</v>
      </c>
      <c r="G7766" t="str">
        <f t="shared" si="318"/>
        <v>021KELLY</v>
      </c>
      <c r="H7766" s="5">
        <v>775</v>
      </c>
      <c r="I7766" s="6">
        <v>330.14249999999998</v>
      </c>
      <c r="J7766" s="5">
        <v>2400</v>
      </c>
      <c r="K7766" s="6">
        <f t="shared" si="317"/>
        <v>2.3474711677533189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38</v>
      </c>
      <c r="F7767" t="s">
        <v>42</v>
      </c>
      <c r="G7767" t="str">
        <f t="shared" si="318"/>
        <v>021LEILA</v>
      </c>
      <c r="H7767" s="5">
        <v>3025</v>
      </c>
      <c r="I7767" s="6">
        <v>770.33249999999975</v>
      </c>
      <c r="J7767" s="5">
        <v>5600</v>
      </c>
      <c r="K7767" s="6">
        <f t="shared" si="317"/>
        <v>3.9268757322325114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38</v>
      </c>
      <c r="F7768" t="s">
        <v>115</v>
      </c>
      <c r="G7768" t="str">
        <f t="shared" si="318"/>
        <v>021PISTACHIO KISS</v>
      </c>
      <c r="H7768" s="5">
        <v>75</v>
      </c>
      <c r="I7768" s="6">
        <v>880.37999999999965</v>
      </c>
      <c r="J7768" s="5">
        <v>6400</v>
      </c>
      <c r="K7768" s="6">
        <f t="shared" si="317"/>
        <v>8.5190485926531764E-2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38</v>
      </c>
      <c r="F7769" t="s">
        <v>21</v>
      </c>
      <c r="G7769" t="str">
        <f t="shared" si="318"/>
        <v>021SNOW BUBBLES</v>
      </c>
      <c r="H7769" s="5">
        <v>4200</v>
      </c>
      <c r="I7769" s="6">
        <v>1287.0000000000018</v>
      </c>
      <c r="J7769" s="5">
        <v>9400</v>
      </c>
      <c r="K7769" s="6">
        <f t="shared" si="317"/>
        <v>3.2634032634032586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43</v>
      </c>
      <c r="F7770" t="s">
        <v>24</v>
      </c>
      <c r="G7770" t="str">
        <f t="shared" si="318"/>
        <v>022FRUITY BUBBLES</v>
      </c>
      <c r="H7770" s="5">
        <v>6475</v>
      </c>
      <c r="I7770" s="6">
        <v>2641.139999999999</v>
      </c>
      <c r="J7770" s="5">
        <v>19200</v>
      </c>
      <c r="K7770" s="6">
        <f t="shared" si="317"/>
        <v>2.4515928727746363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43</v>
      </c>
      <c r="F7771" t="s">
        <v>28</v>
      </c>
      <c r="G7771" t="str">
        <f t="shared" si="318"/>
        <v>022GOOD PEACH</v>
      </c>
      <c r="H7771" s="5">
        <v>2460</v>
      </c>
      <c r="I7771" s="6">
        <v>880.37999999999965</v>
      </c>
      <c r="J7771" s="5">
        <v>6400</v>
      </c>
      <c r="K7771" s="6">
        <f t="shared" si="317"/>
        <v>2.7942479383902419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43</v>
      </c>
      <c r="F7772" t="s">
        <v>44</v>
      </c>
      <c r="G7772" t="str">
        <f t="shared" si="318"/>
        <v>022MIRABEL</v>
      </c>
      <c r="H7772" s="5">
        <v>1580</v>
      </c>
      <c r="I7772" s="6">
        <v>880.37999999999965</v>
      </c>
      <c r="J7772" s="5">
        <v>6400</v>
      </c>
      <c r="K7772" s="6">
        <f t="shared" si="317"/>
        <v>1.7946795701856024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47</v>
      </c>
      <c r="F7773" t="s">
        <v>44</v>
      </c>
      <c r="G7773" t="str">
        <f t="shared" si="318"/>
        <v>030MIRABEL</v>
      </c>
      <c r="H7773" s="5">
        <v>3960</v>
      </c>
      <c r="I7773" s="6">
        <v>2413.6749943750001</v>
      </c>
      <c r="J7773" s="5">
        <v>17600</v>
      </c>
      <c r="K7773" s="6">
        <f t="shared" si="317"/>
        <v>1.640651707138975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47</v>
      </c>
      <c r="F7774" t="s">
        <v>13</v>
      </c>
      <c r="G7774" t="str">
        <f t="shared" si="318"/>
        <v>030SOMERSET</v>
      </c>
      <c r="H7774" s="5">
        <v>3860</v>
      </c>
      <c r="I7774" s="6">
        <v>1645.6875000000009</v>
      </c>
      <c r="J7774" s="5">
        <v>12000</v>
      </c>
      <c r="K7774" s="6">
        <f t="shared" si="317"/>
        <v>2.3455242869621347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48</v>
      </c>
      <c r="F7775" t="s">
        <v>49</v>
      </c>
      <c r="G7775" t="str">
        <f t="shared" si="318"/>
        <v>03182989</v>
      </c>
      <c r="H7775" s="5">
        <v>1080</v>
      </c>
      <c r="I7775" s="6">
        <v>726.32013058333712</v>
      </c>
      <c r="J7775" s="5">
        <v>5712</v>
      </c>
      <c r="K7775" s="6">
        <f t="shared" si="317"/>
        <v>1.4869476344165324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48</v>
      </c>
      <c r="F7776" t="s">
        <v>34</v>
      </c>
      <c r="G7776" t="str">
        <f t="shared" si="318"/>
        <v>031RUBICON</v>
      </c>
      <c r="H7776" s="5">
        <v>2250</v>
      </c>
      <c r="I7776" s="6">
        <v>924.39958333667118</v>
      </c>
      <c r="J7776" s="5">
        <v>6720</v>
      </c>
      <c r="K7776" s="6">
        <f t="shared" si="317"/>
        <v>2.4340123476457021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48</v>
      </c>
      <c r="F7777" t="s">
        <v>13</v>
      </c>
      <c r="G7777" t="str">
        <f t="shared" si="318"/>
        <v>031SOMERSET</v>
      </c>
      <c r="H7777" s="5">
        <v>3680</v>
      </c>
      <c r="I7777" s="6">
        <v>1122.4852083333392</v>
      </c>
      <c r="J7777" s="5">
        <v>8160</v>
      </c>
      <c r="K7777" s="6">
        <f t="shared" si="317"/>
        <v>3.2784396379387903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48</v>
      </c>
      <c r="F7778" t="s">
        <v>50</v>
      </c>
      <c r="G7778" t="str">
        <f t="shared" si="318"/>
        <v>031VELVET BLOSSOMS</v>
      </c>
      <c r="H7778" s="5">
        <v>560</v>
      </c>
      <c r="I7778" s="6">
        <v>396.17125000000203</v>
      </c>
      <c r="J7778" s="5">
        <v>2880</v>
      </c>
      <c r="K7778" s="6">
        <f t="shared" si="317"/>
        <v>1.4135301337489712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51</v>
      </c>
      <c r="F7779" t="s">
        <v>17</v>
      </c>
      <c r="G7779" t="str">
        <f t="shared" si="318"/>
        <v>032ELBA</v>
      </c>
      <c r="H7779" s="5">
        <v>3660</v>
      </c>
      <c r="I7779" s="6">
        <v>1535.9749999999992</v>
      </c>
      <c r="J7779" s="5">
        <v>11200</v>
      </c>
      <c r="K7779" s="6">
        <f t="shared" si="317"/>
        <v>2.382851283386775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51</v>
      </c>
      <c r="F7780" t="s">
        <v>44</v>
      </c>
      <c r="G7780" t="str">
        <f t="shared" si="318"/>
        <v>032MIRABEL</v>
      </c>
      <c r="H7780" s="5">
        <v>1580</v>
      </c>
      <c r="I7780" s="6">
        <v>1535.9749999999995</v>
      </c>
      <c r="J7780" s="5">
        <v>11200</v>
      </c>
      <c r="K7780" s="6">
        <f t="shared" si="317"/>
        <v>1.0286625758882797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52</v>
      </c>
      <c r="F7781" t="s">
        <v>53</v>
      </c>
      <c r="G7781" t="str">
        <f t="shared" si="318"/>
        <v>033CREAMY FOLIES</v>
      </c>
      <c r="H7781" s="5">
        <v>810</v>
      </c>
      <c r="I7781" s="6">
        <v>594.25687500000311</v>
      </c>
      <c r="J7781" s="5">
        <v>4320</v>
      </c>
      <c r="K7781" s="6">
        <f t="shared" si="317"/>
        <v>1.3630469146865078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52</v>
      </c>
      <c r="F7782" t="s">
        <v>18</v>
      </c>
      <c r="G7782" t="str">
        <f t="shared" si="318"/>
        <v>033HOT BUBBLES</v>
      </c>
      <c r="H7782" s="5">
        <v>3860</v>
      </c>
      <c r="I7782" s="6">
        <v>2575.1131250013464</v>
      </c>
      <c r="J7782" s="5">
        <v>18720</v>
      </c>
      <c r="K7782" s="6">
        <f t="shared" si="317"/>
        <v>1.4989632737000562</v>
      </c>
    </row>
    <row r="7783" spans="1:11">
      <c r="A7783" s="4">
        <v>2026</v>
      </c>
      <c r="B7783">
        <v>20</v>
      </c>
      <c r="C7783" t="s">
        <v>54</v>
      </c>
      <c r="D7783" t="s">
        <v>11</v>
      </c>
      <c r="E7783" t="s">
        <v>55</v>
      </c>
      <c r="F7783" t="s">
        <v>56</v>
      </c>
      <c r="G7783" t="str">
        <f t="shared" si="318"/>
        <v>001BELIEVE IN PINK</v>
      </c>
      <c r="H7783" s="5">
        <v>1740</v>
      </c>
      <c r="I7783" s="6">
        <v>528.37931032368999</v>
      </c>
      <c r="J7783" s="5">
        <v>4000</v>
      </c>
      <c r="K7783" s="6">
        <f t="shared" si="317"/>
        <v>3.2930888208587503</v>
      </c>
    </row>
    <row r="7784" spans="1:11">
      <c r="A7784" s="4">
        <v>2026</v>
      </c>
      <c r="B7784">
        <v>20</v>
      </c>
      <c r="C7784" t="s">
        <v>54</v>
      </c>
      <c r="D7784" t="s">
        <v>11</v>
      </c>
      <c r="E7784" t="s">
        <v>55</v>
      </c>
      <c r="F7784" t="s">
        <v>57</v>
      </c>
      <c r="G7784" t="str">
        <f t="shared" si="318"/>
        <v>001EXPLORER</v>
      </c>
      <c r="H7784" s="5">
        <v>5925</v>
      </c>
      <c r="I7784" s="6">
        <v>2272.0310343918723</v>
      </c>
      <c r="J7784" s="5">
        <v>17200</v>
      </c>
      <c r="K7784" s="6">
        <f t="shared" si="317"/>
        <v>2.6077988858043373</v>
      </c>
    </row>
    <row r="7785" spans="1:11">
      <c r="A7785" s="4">
        <v>2026</v>
      </c>
      <c r="B7785">
        <v>20</v>
      </c>
      <c r="C7785" t="s">
        <v>54</v>
      </c>
      <c r="D7785" t="s">
        <v>11</v>
      </c>
      <c r="E7785" t="s">
        <v>55</v>
      </c>
      <c r="F7785" t="s">
        <v>58</v>
      </c>
      <c r="G7785" t="str">
        <f t="shared" si="318"/>
        <v>001GRACE KELLY</v>
      </c>
      <c r="H7785" s="5">
        <v>2550</v>
      </c>
      <c r="I7785" s="6">
        <v>1162.434482712122</v>
      </c>
      <c r="J7785" s="5">
        <v>8800</v>
      </c>
      <c r="K7785" s="6">
        <f t="shared" si="317"/>
        <v>2.1936720201645206</v>
      </c>
    </row>
    <row r="7786" spans="1:11">
      <c r="A7786" s="4">
        <v>2026</v>
      </c>
      <c r="B7786">
        <v>20</v>
      </c>
      <c r="C7786" t="s">
        <v>54</v>
      </c>
      <c r="D7786" t="s">
        <v>11</v>
      </c>
      <c r="E7786" t="s">
        <v>55</v>
      </c>
      <c r="F7786" t="s">
        <v>60</v>
      </c>
      <c r="G7786" t="str">
        <f t="shared" si="318"/>
        <v>001LIGHT HOUSE</v>
      </c>
      <c r="H7786" s="5">
        <v>2340</v>
      </c>
      <c r="I7786" s="6">
        <v>1056.7586206473825</v>
      </c>
      <c r="J7786" s="5">
        <v>8000</v>
      </c>
      <c r="K7786" s="6">
        <f t="shared" si="317"/>
        <v>2.2143183450601889</v>
      </c>
    </row>
    <row r="7787" spans="1:11">
      <c r="A7787" s="4">
        <v>2026</v>
      </c>
      <c r="B7787">
        <v>20</v>
      </c>
      <c r="C7787" t="s">
        <v>54</v>
      </c>
      <c r="D7787" t="s">
        <v>11</v>
      </c>
      <c r="E7787" t="s">
        <v>55</v>
      </c>
      <c r="F7787" t="s">
        <v>61</v>
      </c>
      <c r="G7787" t="str">
        <f t="shared" si="318"/>
        <v>001LUMIA</v>
      </c>
      <c r="H7787" s="5">
        <v>1440</v>
      </c>
      <c r="I7787" s="6">
        <v>1109.5965516797528</v>
      </c>
      <c r="J7787" s="5">
        <v>8400</v>
      </c>
      <c r="K7787" s="6">
        <f t="shared" si="317"/>
        <v>1.2977689934418677</v>
      </c>
    </row>
    <row r="7788" spans="1:11">
      <c r="A7788" s="4">
        <v>2026</v>
      </c>
      <c r="B7788">
        <v>20</v>
      </c>
      <c r="C7788" t="s">
        <v>54</v>
      </c>
      <c r="D7788" t="s">
        <v>11</v>
      </c>
      <c r="E7788" t="s">
        <v>55</v>
      </c>
      <c r="F7788" t="s">
        <v>62</v>
      </c>
      <c r="G7788" t="str">
        <f t="shared" si="318"/>
        <v>001MOMENTUM</v>
      </c>
      <c r="H7788" s="5">
        <v>5425</v>
      </c>
      <c r="I7788" s="6">
        <v>1902.1655171652874</v>
      </c>
      <c r="J7788" s="5">
        <v>14400</v>
      </c>
      <c r="K7788" s="6">
        <f t="shared" si="317"/>
        <v>2.8520125883075811</v>
      </c>
    </row>
    <row r="7789" spans="1:11">
      <c r="A7789" s="4">
        <v>2026</v>
      </c>
      <c r="B7789">
        <v>20</v>
      </c>
      <c r="C7789" t="s">
        <v>54</v>
      </c>
      <c r="D7789" t="s">
        <v>11</v>
      </c>
      <c r="E7789" t="s">
        <v>12</v>
      </c>
      <c r="F7789" t="s">
        <v>63</v>
      </c>
      <c r="G7789" t="str">
        <f t="shared" si="318"/>
        <v>002SUMMER ROMANCE</v>
      </c>
      <c r="H7789" s="5">
        <v>2200</v>
      </c>
      <c r="I7789" s="6">
        <v>951.10714281909407</v>
      </c>
      <c r="J7789" s="5">
        <v>7200</v>
      </c>
      <c r="K7789" s="6">
        <f t="shared" si="317"/>
        <v>2.313093763000424</v>
      </c>
    </row>
    <row r="7790" spans="1:11">
      <c r="A7790" s="4">
        <v>2026</v>
      </c>
      <c r="B7790">
        <v>20</v>
      </c>
      <c r="C7790" t="s">
        <v>54</v>
      </c>
      <c r="D7790" t="s">
        <v>11</v>
      </c>
      <c r="E7790" t="s">
        <v>12</v>
      </c>
      <c r="F7790" t="s">
        <v>64</v>
      </c>
      <c r="G7790" t="str">
        <f t="shared" si="318"/>
        <v>002SWEETNESS</v>
      </c>
      <c r="H7790" s="5">
        <v>6930</v>
      </c>
      <c r="I7790" s="6">
        <v>3804.4285712763835</v>
      </c>
      <c r="J7790" s="5">
        <v>28800</v>
      </c>
      <c r="K7790" s="6">
        <f t="shared" si="317"/>
        <v>1.8215613383628304</v>
      </c>
    </row>
    <row r="7791" spans="1:11">
      <c r="A7791" s="4">
        <v>2026</v>
      </c>
      <c r="B7791">
        <v>20</v>
      </c>
      <c r="C7791" t="s">
        <v>54</v>
      </c>
      <c r="D7791" t="s">
        <v>11</v>
      </c>
      <c r="E7791" t="s">
        <v>65</v>
      </c>
      <c r="F7791" t="s">
        <v>66</v>
      </c>
      <c r="G7791" t="str">
        <f t="shared" si="318"/>
        <v>003CABARET</v>
      </c>
      <c r="H7791" s="5">
        <v>4950</v>
      </c>
      <c r="I7791" s="6">
        <v>2641.8965516184676</v>
      </c>
      <c r="J7791" s="5">
        <v>20000</v>
      </c>
      <c r="K7791" s="6">
        <f t="shared" si="317"/>
        <v>1.8736539842816902</v>
      </c>
    </row>
    <row r="7792" spans="1:11">
      <c r="A7792" s="4">
        <v>2026</v>
      </c>
      <c r="B7792">
        <v>20</v>
      </c>
      <c r="C7792" t="s">
        <v>54</v>
      </c>
      <c r="D7792" t="s">
        <v>11</v>
      </c>
      <c r="E7792" t="s">
        <v>65</v>
      </c>
      <c r="F7792" t="s">
        <v>67</v>
      </c>
      <c r="G7792" t="str">
        <f t="shared" si="318"/>
        <v>003DEEP PURPLE</v>
      </c>
      <c r="H7792" s="5">
        <v>9270</v>
      </c>
      <c r="I7792" s="6">
        <v>3592.9793102010881</v>
      </c>
      <c r="J7792" s="5">
        <v>26044</v>
      </c>
      <c r="K7792" s="6">
        <f t="shared" si="317"/>
        <v>2.5800315558959306</v>
      </c>
    </row>
    <row r="7793" spans="1:11">
      <c r="A7793" s="4">
        <v>2026</v>
      </c>
      <c r="B7793">
        <v>20</v>
      </c>
      <c r="C7793" t="s">
        <v>54</v>
      </c>
      <c r="D7793" t="s">
        <v>11</v>
      </c>
      <c r="E7793" t="s">
        <v>65</v>
      </c>
      <c r="F7793" t="s">
        <v>57</v>
      </c>
      <c r="G7793" t="str">
        <f t="shared" si="318"/>
        <v>003EXPLORER</v>
      </c>
      <c r="H7793" s="5">
        <v>2825</v>
      </c>
      <c r="I7793" s="6">
        <v>1268.1103447768635</v>
      </c>
      <c r="J7793" s="5">
        <v>9600</v>
      </c>
      <c r="K7793" s="6">
        <f t="shared" si="317"/>
        <v>2.227724118516742</v>
      </c>
    </row>
    <row r="7794" spans="1:11">
      <c r="A7794" s="4">
        <v>2026</v>
      </c>
      <c r="B7794">
        <v>20</v>
      </c>
      <c r="C7794" t="s">
        <v>54</v>
      </c>
      <c r="D7794" t="s">
        <v>11</v>
      </c>
      <c r="E7794" t="s">
        <v>65</v>
      </c>
      <c r="F7794" t="s">
        <v>68</v>
      </c>
      <c r="G7794" t="str">
        <f t="shared" si="318"/>
        <v>003JOCKER</v>
      </c>
      <c r="H7794" s="5">
        <v>1350</v>
      </c>
      <c r="I7794" s="6">
        <v>528.37931032368999</v>
      </c>
      <c r="J7794" s="5">
        <v>4000</v>
      </c>
      <c r="K7794" s="6">
        <f t="shared" si="317"/>
        <v>2.5549827058386856</v>
      </c>
    </row>
    <row r="7795" spans="1:11">
      <c r="A7795" s="4">
        <v>2026</v>
      </c>
      <c r="B7795">
        <v>20</v>
      </c>
      <c r="C7795" t="s">
        <v>54</v>
      </c>
      <c r="D7795" t="s">
        <v>11</v>
      </c>
      <c r="E7795" t="s">
        <v>65</v>
      </c>
      <c r="F7795" t="s">
        <v>69</v>
      </c>
      <c r="G7795" t="str">
        <f t="shared" si="318"/>
        <v>003QUICKSAND</v>
      </c>
      <c r="H7795" s="5">
        <v>2220</v>
      </c>
      <c r="I7795" s="6">
        <v>1162.4344827121247</v>
      </c>
      <c r="J7795" s="5">
        <v>8800</v>
      </c>
      <c r="K7795" s="6">
        <f t="shared" si="317"/>
        <v>1.9097850528491076</v>
      </c>
    </row>
    <row r="7796" spans="1:11">
      <c r="A7796" s="4">
        <v>2026</v>
      </c>
      <c r="B7796">
        <v>20</v>
      </c>
      <c r="C7796" t="s">
        <v>54</v>
      </c>
      <c r="D7796" t="s">
        <v>11</v>
      </c>
      <c r="E7796" t="s">
        <v>14</v>
      </c>
      <c r="F7796" t="s">
        <v>70</v>
      </c>
      <c r="G7796" t="str">
        <f t="shared" si="318"/>
        <v>004COTOPAXI</v>
      </c>
      <c r="H7796" s="5">
        <v>1110</v>
      </c>
      <c r="I7796" s="6">
        <v>528.39150244191671</v>
      </c>
      <c r="J7796" s="5">
        <v>4000</v>
      </c>
      <c r="K7796" s="6">
        <f t="shared" si="317"/>
        <v>2.1007150850652003</v>
      </c>
    </row>
    <row r="7797" spans="1:11">
      <c r="A7797" s="4">
        <v>2026</v>
      </c>
      <c r="B7797">
        <v>20</v>
      </c>
      <c r="C7797" t="s">
        <v>54</v>
      </c>
      <c r="D7797" t="s">
        <v>11</v>
      </c>
      <c r="E7797" t="s">
        <v>14</v>
      </c>
      <c r="F7797" t="s">
        <v>67</v>
      </c>
      <c r="G7797" t="str">
        <f t="shared" si="318"/>
        <v>004DEEP PURPLE</v>
      </c>
      <c r="H7797" s="5">
        <v>7620</v>
      </c>
      <c r="I7797" s="6">
        <v>3910.1071427007341</v>
      </c>
      <c r="J7797" s="5">
        <v>29260</v>
      </c>
      <c r="K7797" s="6">
        <f t="shared" ref="K7797:K7859" si="319">+H7797/I7797</f>
        <v>1.9487957035204977</v>
      </c>
    </row>
    <row r="7798" spans="1:11">
      <c r="A7798" s="4">
        <v>2026</v>
      </c>
      <c r="B7798">
        <v>20</v>
      </c>
      <c r="C7798" t="s">
        <v>54</v>
      </c>
      <c r="D7798" t="s">
        <v>11</v>
      </c>
      <c r="E7798" t="s">
        <v>14</v>
      </c>
      <c r="F7798" t="s">
        <v>71</v>
      </c>
      <c r="G7798" t="str">
        <f t="shared" si="318"/>
        <v>004HOT EXPLORER</v>
      </c>
      <c r="H7798" s="5">
        <v>3150</v>
      </c>
      <c r="I7798" s="6">
        <v>1902.2142856381947</v>
      </c>
      <c r="J7798" s="5">
        <v>14400</v>
      </c>
      <c r="K7798" s="6">
        <f t="shared" si="319"/>
        <v>1.655964853057116</v>
      </c>
    </row>
    <row r="7799" spans="1:11">
      <c r="A7799" s="4">
        <v>2026</v>
      </c>
      <c r="B7799">
        <v>20</v>
      </c>
      <c r="C7799" t="s">
        <v>54</v>
      </c>
      <c r="D7799" t="s">
        <v>11</v>
      </c>
      <c r="E7799" t="s">
        <v>14</v>
      </c>
      <c r="F7799" t="s">
        <v>72</v>
      </c>
      <c r="G7799" t="str">
        <f t="shared" si="318"/>
        <v>004HOT MERENGUE</v>
      </c>
      <c r="H7799" s="5">
        <v>2640</v>
      </c>
      <c r="I7799" s="6">
        <v>1162.4642856677858</v>
      </c>
      <c r="J7799" s="5">
        <v>8800</v>
      </c>
      <c r="K7799" s="6">
        <f t="shared" si="319"/>
        <v>2.2710375127640443</v>
      </c>
    </row>
    <row r="7800" spans="1:11">
      <c r="A7800" s="4">
        <v>2026</v>
      </c>
      <c r="B7800">
        <v>20</v>
      </c>
      <c r="C7800" t="s">
        <v>54</v>
      </c>
      <c r="D7800" t="s">
        <v>11</v>
      </c>
      <c r="E7800" t="s">
        <v>14</v>
      </c>
      <c r="F7800" t="s">
        <v>64</v>
      </c>
      <c r="G7800" t="str">
        <f t="shared" si="318"/>
        <v>004SWEETNESS</v>
      </c>
      <c r="H7800" s="5">
        <v>900</v>
      </c>
      <c r="I7800" s="6">
        <v>317.03571427303262</v>
      </c>
      <c r="J7800" s="5">
        <v>2400</v>
      </c>
      <c r="K7800" s="6">
        <f t="shared" si="319"/>
        <v>2.8387968909550545</v>
      </c>
    </row>
    <row r="7801" spans="1:11">
      <c r="A7801" s="4">
        <v>2026</v>
      </c>
      <c r="B7801">
        <v>20</v>
      </c>
      <c r="C7801" t="s">
        <v>54</v>
      </c>
      <c r="D7801" t="s">
        <v>11</v>
      </c>
      <c r="E7801" t="s">
        <v>16</v>
      </c>
      <c r="F7801" t="s">
        <v>57</v>
      </c>
      <c r="G7801" t="str">
        <f t="shared" si="318"/>
        <v>005EXPLORER</v>
      </c>
      <c r="H7801" s="5">
        <v>2350</v>
      </c>
      <c r="I7801" s="6">
        <v>951.10714281875414</v>
      </c>
      <c r="J7801" s="5">
        <v>7200</v>
      </c>
      <c r="K7801" s="6">
        <f t="shared" si="319"/>
        <v>2.4708047013876997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16</v>
      </c>
      <c r="F7802" t="s">
        <v>73</v>
      </c>
      <c r="G7802" t="str">
        <f t="shared" si="318"/>
        <v>005GOLDFINCH</v>
      </c>
      <c r="H7802" s="5">
        <v>1025</v>
      </c>
      <c r="I7802" s="6">
        <v>898.26785710660113</v>
      </c>
      <c r="J7802" s="5">
        <v>6800</v>
      </c>
      <c r="K7802" s="6">
        <f t="shared" si="319"/>
        <v>1.1410850247960715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16</v>
      </c>
      <c r="F7803" t="s">
        <v>68</v>
      </c>
      <c r="G7803" t="str">
        <f t="shared" si="318"/>
        <v>005JOCKER</v>
      </c>
      <c r="H7803" s="5">
        <v>2425</v>
      </c>
      <c r="I7803" s="6">
        <v>1162.4642856673661</v>
      </c>
      <c r="J7803" s="5">
        <v>8800</v>
      </c>
      <c r="K7803" s="6">
        <f t="shared" si="319"/>
        <v>2.0860855941116654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16</v>
      </c>
      <c r="F7804" t="s">
        <v>74</v>
      </c>
      <c r="G7804" t="str">
        <f t="shared" si="318"/>
        <v>005VENDELA</v>
      </c>
      <c r="H7804" s="5">
        <v>2310</v>
      </c>
      <c r="I7804" s="6">
        <v>686.91071425798907</v>
      </c>
      <c r="J7804" s="5">
        <v>5200</v>
      </c>
      <c r="K7804" s="6">
        <f t="shared" si="319"/>
        <v>3.3628824708248954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75</v>
      </c>
      <c r="F7805" t="s">
        <v>76</v>
      </c>
      <c r="G7805" t="str">
        <f t="shared" si="318"/>
        <v>006ATOMIC</v>
      </c>
      <c r="H7805" s="5">
        <v>2350</v>
      </c>
      <c r="I7805" s="6">
        <v>845.428571394752</v>
      </c>
      <c r="J7805" s="5">
        <v>6400</v>
      </c>
      <c r="K7805" s="6">
        <f t="shared" si="319"/>
        <v>2.7796552890601629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75</v>
      </c>
      <c r="F7806" t="s">
        <v>57</v>
      </c>
      <c r="G7806" t="str">
        <f t="shared" si="318"/>
        <v>006EXPLORER</v>
      </c>
      <c r="H7806" s="5">
        <v>10100</v>
      </c>
      <c r="I7806" s="6">
        <v>3910.1071427007359</v>
      </c>
      <c r="J7806" s="5">
        <v>29600</v>
      </c>
      <c r="K7806" s="6">
        <f t="shared" si="319"/>
        <v>2.5830494233014458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75</v>
      </c>
      <c r="F7807" t="s">
        <v>77</v>
      </c>
      <c r="G7807" t="str">
        <f t="shared" si="318"/>
        <v>006MONDIAL</v>
      </c>
      <c r="H7807" s="5">
        <v>9950</v>
      </c>
      <c r="I7807" s="6">
        <v>4015.7857141250797</v>
      </c>
      <c r="J7807" s="5">
        <v>30400</v>
      </c>
      <c r="K7807" s="6">
        <f t="shared" si="319"/>
        <v>2.4777218478072625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20</v>
      </c>
      <c r="F7808" t="s">
        <v>70</v>
      </c>
      <c r="G7808" t="str">
        <f t="shared" si="318"/>
        <v>007COTOPAXI</v>
      </c>
      <c r="H7808" s="5">
        <v>4320</v>
      </c>
      <c r="I7808" s="6">
        <v>2747.5751230427732</v>
      </c>
      <c r="J7808" s="5">
        <v>20800</v>
      </c>
      <c r="K7808" s="6">
        <f t="shared" si="319"/>
        <v>1.572295499318636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20</v>
      </c>
      <c r="F7809" t="s">
        <v>78</v>
      </c>
      <c r="G7809" t="str">
        <f t="shared" si="318"/>
        <v>007REDIANT</v>
      </c>
      <c r="H7809" s="5">
        <v>1590</v>
      </c>
      <c r="I7809" s="6">
        <v>1056.7586206473795</v>
      </c>
      <c r="J7809" s="5">
        <v>9600</v>
      </c>
      <c r="K7809" s="6">
        <f t="shared" si="319"/>
        <v>1.5046009267716711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20</v>
      </c>
      <c r="F7810" t="s">
        <v>63</v>
      </c>
      <c r="G7810" t="str">
        <f t="shared" si="318"/>
        <v>007SUMMER ROMANCE</v>
      </c>
      <c r="H7810" s="5">
        <v>1075</v>
      </c>
      <c r="I7810" s="6">
        <v>369.86551722658481</v>
      </c>
      <c r="J7810" s="5">
        <v>3080</v>
      </c>
      <c r="K7810" s="6">
        <f t="shared" si="319"/>
        <v>2.9064618082291784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20</v>
      </c>
      <c r="F7811" t="s">
        <v>74</v>
      </c>
      <c r="G7811" t="str">
        <f t="shared" si="318"/>
        <v>007VENDELA</v>
      </c>
      <c r="H7811" s="5">
        <v>11970</v>
      </c>
      <c r="I7811" s="6">
        <v>3592.9793102011167</v>
      </c>
      <c r="J7811" s="5">
        <v>27820</v>
      </c>
      <c r="K7811" s="6">
        <f t="shared" si="319"/>
        <v>3.3314970576131651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79</v>
      </c>
      <c r="F7812" t="s">
        <v>67</v>
      </c>
      <c r="G7812" t="str">
        <f t="shared" si="318"/>
        <v>008DEEP PURPLE</v>
      </c>
      <c r="H7812" s="5">
        <v>3690</v>
      </c>
      <c r="I7812" s="6">
        <v>1585.2222221588088</v>
      </c>
      <c r="J7812" s="5">
        <v>11490</v>
      </c>
      <c r="K7812" s="6">
        <f t="shared" si="319"/>
        <v>2.3277493517437788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79</v>
      </c>
      <c r="F7813" t="s">
        <v>81</v>
      </c>
      <c r="G7813" t="str">
        <f t="shared" si="318"/>
        <v>008FREEDOM</v>
      </c>
      <c r="H7813" s="5">
        <v>5250</v>
      </c>
      <c r="I7813" s="6">
        <v>2219.3111110223322</v>
      </c>
      <c r="J7813" s="5">
        <v>16800</v>
      </c>
      <c r="K7813" s="6">
        <f t="shared" si="319"/>
        <v>2.3655989346989625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79</v>
      </c>
      <c r="F7814" t="s">
        <v>68</v>
      </c>
      <c r="G7814" t="str">
        <f t="shared" si="318"/>
        <v>008JOCKER</v>
      </c>
      <c r="H7814" s="5">
        <v>7875</v>
      </c>
      <c r="I7814" s="6">
        <v>2959.0814813631118</v>
      </c>
      <c r="J7814" s="5">
        <v>22400</v>
      </c>
      <c r="K7814" s="6">
        <f t="shared" si="319"/>
        <v>2.661298801536331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79</v>
      </c>
      <c r="F7815" t="s">
        <v>61</v>
      </c>
      <c r="G7815" t="str">
        <f t="shared" si="318"/>
        <v>008LUMIA</v>
      </c>
      <c r="H7815" s="5">
        <v>1620</v>
      </c>
      <c r="I7815" s="6">
        <v>1796.5851851133164</v>
      </c>
      <c r="J7815" s="5">
        <v>13600</v>
      </c>
      <c r="K7815" s="6">
        <f t="shared" si="319"/>
        <v>0.90171065275583995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82</v>
      </c>
      <c r="F7816" t="s">
        <v>83</v>
      </c>
      <c r="G7816" t="str">
        <f t="shared" si="318"/>
        <v>010COOLDOWN</v>
      </c>
      <c r="H7816" s="5">
        <v>2950</v>
      </c>
      <c r="I7816" s="6">
        <v>1912.3542857142854</v>
      </c>
      <c r="J7816" s="5">
        <v>16320</v>
      </c>
      <c r="K7816" s="6">
        <f t="shared" si="319"/>
        <v>1.542601191650083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82</v>
      </c>
      <c r="F7817" t="s">
        <v>84</v>
      </c>
      <c r="G7817" t="str">
        <f t="shared" si="318"/>
        <v>010VIOLET HILL</v>
      </c>
      <c r="H7817" s="5">
        <v>7800</v>
      </c>
      <c r="I7817" s="6">
        <v>2812.2857142428566</v>
      </c>
      <c r="J7817" s="5">
        <v>20000</v>
      </c>
      <c r="K7817" s="6">
        <f t="shared" si="319"/>
        <v>2.7735446510632977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85</v>
      </c>
      <c r="F7818" t="s">
        <v>86</v>
      </c>
      <c r="G7818" t="str">
        <f t="shared" si="318"/>
        <v>011BRIGHTON</v>
      </c>
      <c r="H7818" s="5">
        <v>3725</v>
      </c>
      <c r="I7818" s="6">
        <v>1768.8376470588212</v>
      </c>
      <c r="J7818" s="5">
        <v>12800</v>
      </c>
      <c r="K7818" s="6">
        <f t="shared" si="319"/>
        <v>2.1059027131143644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85</v>
      </c>
      <c r="F7819" t="s">
        <v>87</v>
      </c>
      <c r="G7819" t="str">
        <f t="shared" si="318"/>
        <v>011CANDLELIGHT</v>
      </c>
      <c r="H7819" s="5">
        <v>3380</v>
      </c>
      <c r="I7819" s="6">
        <v>2263.799999886814</v>
      </c>
      <c r="J7819" s="5">
        <v>17920</v>
      </c>
      <c r="K7819" s="6">
        <f t="shared" si="319"/>
        <v>1.4930647584455314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85</v>
      </c>
      <c r="F7820" t="s">
        <v>88</v>
      </c>
      <c r="G7820" t="str">
        <f t="shared" si="318"/>
        <v>011CAYENNE</v>
      </c>
      <c r="H7820" s="5">
        <v>1380</v>
      </c>
      <c r="I7820" s="6">
        <v>994.97117647058758</v>
      </c>
      <c r="J7820" s="5">
        <v>7200</v>
      </c>
      <c r="K7820" s="6">
        <f t="shared" si="319"/>
        <v>1.3869748517692806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85</v>
      </c>
      <c r="F7821" t="s">
        <v>61</v>
      </c>
      <c r="G7821" t="str">
        <f t="shared" si="318"/>
        <v>011LUMIA</v>
      </c>
      <c r="H7821" s="5">
        <v>1470</v>
      </c>
      <c r="I7821" s="6">
        <v>994.97117647058769</v>
      </c>
      <c r="J7821" s="5">
        <v>7920</v>
      </c>
      <c r="K7821" s="6">
        <f t="shared" si="319"/>
        <v>1.4774297334064075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85</v>
      </c>
      <c r="F7822" t="s">
        <v>89</v>
      </c>
      <c r="G7822" t="str">
        <f t="shared" ref="G7822:G7885" si="320">+E7822&amp;F7822</f>
        <v>011STARDUST</v>
      </c>
      <c r="H7822" s="5">
        <v>4100</v>
      </c>
      <c r="I7822" s="6">
        <v>2263.799999886814</v>
      </c>
      <c r="J7822" s="5">
        <v>17920</v>
      </c>
      <c r="K7822" s="6">
        <f t="shared" si="319"/>
        <v>1.8111140561025676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90</v>
      </c>
      <c r="F7823" t="s">
        <v>67</v>
      </c>
      <c r="G7823" t="str">
        <f t="shared" si="320"/>
        <v>012DEEP PURPLE</v>
      </c>
      <c r="H7823" s="5">
        <v>15630</v>
      </c>
      <c r="I7823" s="6">
        <v>6727.0499997982606</v>
      </c>
      <c r="J7823" s="5">
        <v>49210</v>
      </c>
      <c r="K7823" s="6">
        <f t="shared" si="319"/>
        <v>2.3234553036574326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90</v>
      </c>
      <c r="F7824" t="s">
        <v>60</v>
      </c>
      <c r="G7824" t="str">
        <f t="shared" si="320"/>
        <v>012LIGHT HOUSE</v>
      </c>
      <c r="H7824" s="5">
        <v>1560</v>
      </c>
      <c r="I7824" s="6">
        <v>994.9499999999997</v>
      </c>
      <c r="J7824" s="5">
        <v>7200</v>
      </c>
      <c r="K7824" s="6">
        <f t="shared" si="319"/>
        <v>1.567917985828434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91</v>
      </c>
      <c r="F7825" t="s">
        <v>92</v>
      </c>
      <c r="G7825" t="str">
        <f t="shared" si="320"/>
        <v>013COUNTRY BLUES</v>
      </c>
      <c r="H7825" s="5">
        <v>1020</v>
      </c>
      <c r="I7825" s="6">
        <v>831.60000000000025</v>
      </c>
      <c r="J7825" s="5">
        <v>6300</v>
      </c>
      <c r="K7825" s="6">
        <f t="shared" si="319"/>
        <v>1.2265512265512262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91</v>
      </c>
      <c r="F7826" t="s">
        <v>93</v>
      </c>
      <c r="G7826" t="str">
        <f t="shared" si="320"/>
        <v>013LORRAINE</v>
      </c>
      <c r="H7826" s="5">
        <v>2150</v>
      </c>
      <c r="I7826" s="6">
        <v>1267.1999999999998</v>
      </c>
      <c r="J7826" s="5">
        <v>9600</v>
      </c>
      <c r="K7826" s="6">
        <f t="shared" si="319"/>
        <v>1.6966540404040407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91</v>
      </c>
      <c r="F7827" t="s">
        <v>61</v>
      </c>
      <c r="G7827" t="str">
        <f t="shared" si="320"/>
        <v>013LUMIA</v>
      </c>
      <c r="H7827" s="5">
        <v>300</v>
      </c>
      <c r="I7827" s="6">
        <v>316.8</v>
      </c>
      <c r="J7827" s="5">
        <v>2400</v>
      </c>
      <c r="K7827" s="6">
        <f t="shared" si="319"/>
        <v>0.94696969696969691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91</v>
      </c>
      <c r="F7828" t="s">
        <v>74</v>
      </c>
      <c r="G7828" t="str">
        <f t="shared" si="320"/>
        <v>013VENDELA</v>
      </c>
      <c r="H7828" s="5">
        <v>9000</v>
      </c>
      <c r="I7828" s="6">
        <v>3603.5999999999949</v>
      </c>
      <c r="J7828" s="5">
        <v>27296</v>
      </c>
      <c r="K7828" s="6">
        <f t="shared" si="319"/>
        <v>2.4975024975025009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23</v>
      </c>
      <c r="F7829" t="s">
        <v>89</v>
      </c>
      <c r="G7829" t="str">
        <f t="shared" si="320"/>
        <v>014STARDUST</v>
      </c>
      <c r="H7829" s="5">
        <v>6225</v>
      </c>
      <c r="I7829" s="6">
        <v>3682.7999999999943</v>
      </c>
      <c r="J7829" s="5">
        <v>27900</v>
      </c>
      <c r="K7829" s="6">
        <f t="shared" si="319"/>
        <v>1.6902899967416123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25</v>
      </c>
      <c r="F7830" t="s">
        <v>68</v>
      </c>
      <c r="G7830" t="str">
        <f t="shared" si="320"/>
        <v>015JOCKER</v>
      </c>
      <c r="H7830" s="5">
        <v>4175</v>
      </c>
      <c r="I7830" s="6">
        <v>2375.9999999999973</v>
      </c>
      <c r="J7830" s="5">
        <v>18000</v>
      </c>
      <c r="K7830" s="6">
        <f t="shared" si="319"/>
        <v>1.7571548821548841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27</v>
      </c>
      <c r="F7831" t="s">
        <v>94</v>
      </c>
      <c r="G7831" t="str">
        <f t="shared" si="320"/>
        <v>016DREAM IN PEACH</v>
      </c>
      <c r="H7831" s="5">
        <v>1770</v>
      </c>
      <c r="I7831" s="6">
        <v>950.40000000000032</v>
      </c>
      <c r="J7831" s="5">
        <v>7200</v>
      </c>
      <c r="K7831" s="6">
        <f t="shared" si="319"/>
        <v>1.8623737373737368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27</v>
      </c>
      <c r="F7832" t="s">
        <v>95</v>
      </c>
      <c r="G7832" t="str">
        <f t="shared" si="320"/>
        <v>016NINA</v>
      </c>
      <c r="H7832" s="5">
        <v>3075</v>
      </c>
      <c r="I7832" s="6">
        <v>1346.3999999999996</v>
      </c>
      <c r="J7832" s="5">
        <v>10200</v>
      </c>
      <c r="K7832" s="6">
        <f t="shared" si="319"/>
        <v>2.2838680926916228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30</v>
      </c>
      <c r="F7833" t="s">
        <v>81</v>
      </c>
      <c r="G7833" t="str">
        <f t="shared" si="320"/>
        <v>017FREEDOM</v>
      </c>
      <c r="H7833" s="5">
        <v>6660</v>
      </c>
      <c r="I7833" s="6">
        <v>2851.1999999999962</v>
      </c>
      <c r="J7833" s="5">
        <v>21600</v>
      </c>
      <c r="K7833" s="6">
        <f t="shared" si="319"/>
        <v>2.3358585858585892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30</v>
      </c>
      <c r="F7834" t="s">
        <v>73</v>
      </c>
      <c r="G7834" t="str">
        <f t="shared" si="320"/>
        <v>017GOLDFINCH</v>
      </c>
      <c r="H7834" s="5">
        <v>2800</v>
      </c>
      <c r="I7834" s="6">
        <v>2138.3999999999978</v>
      </c>
      <c r="J7834" s="5">
        <v>16200</v>
      </c>
      <c r="K7834" s="6">
        <f t="shared" si="319"/>
        <v>1.3093901982790885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32</v>
      </c>
      <c r="F7835" t="s">
        <v>86</v>
      </c>
      <c r="G7835" t="str">
        <f t="shared" si="320"/>
        <v>018BRIGHTON</v>
      </c>
      <c r="H7835" s="5">
        <v>1775</v>
      </c>
      <c r="I7835" s="6">
        <v>963.60000000000036</v>
      </c>
      <c r="J7835" s="5">
        <v>7570</v>
      </c>
      <c r="K7835" s="6">
        <f t="shared" si="319"/>
        <v>1.8420506434205057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35</v>
      </c>
      <c r="F7836" t="s">
        <v>86</v>
      </c>
      <c r="G7836" t="str">
        <f t="shared" si="320"/>
        <v>019BRIGHTON</v>
      </c>
      <c r="H7836" s="5">
        <v>5750</v>
      </c>
      <c r="I7836" s="6">
        <v>3167.9999999999955</v>
      </c>
      <c r="J7836" s="5">
        <v>24000</v>
      </c>
      <c r="K7836" s="6">
        <f t="shared" si="319"/>
        <v>1.815025252525255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35</v>
      </c>
      <c r="F7837" t="s">
        <v>96</v>
      </c>
      <c r="G7837" t="str">
        <f t="shared" si="320"/>
        <v>019TABATHA</v>
      </c>
      <c r="H7837" s="5">
        <v>3360</v>
      </c>
      <c r="I7837" s="6">
        <v>1188</v>
      </c>
      <c r="J7837" s="5">
        <v>9000</v>
      </c>
      <c r="K7837" s="6">
        <f t="shared" si="319"/>
        <v>2.8282828282828283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36</v>
      </c>
      <c r="F7838" t="s">
        <v>86</v>
      </c>
      <c r="G7838" t="str">
        <f t="shared" si="320"/>
        <v>020BRIGHTON</v>
      </c>
      <c r="H7838" s="5">
        <v>5125</v>
      </c>
      <c r="I7838" s="6">
        <v>2732.3999999999965</v>
      </c>
      <c r="J7838" s="5">
        <v>20700</v>
      </c>
      <c r="K7838" s="6">
        <f t="shared" si="319"/>
        <v>1.8756404625969867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36</v>
      </c>
      <c r="F7839" t="s">
        <v>97</v>
      </c>
      <c r="G7839" t="str">
        <f t="shared" si="320"/>
        <v>020TYCOON</v>
      </c>
      <c r="H7839" s="5">
        <v>1440</v>
      </c>
      <c r="I7839" s="6">
        <v>673.2</v>
      </c>
      <c r="J7839" s="5">
        <v>5100</v>
      </c>
      <c r="K7839" s="6">
        <f t="shared" si="319"/>
        <v>2.1390374331550799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38</v>
      </c>
      <c r="F7840" t="s">
        <v>98</v>
      </c>
      <c r="G7840" t="str">
        <f t="shared" si="320"/>
        <v>021SHOW GIRL</v>
      </c>
      <c r="H7840" s="5">
        <v>2725</v>
      </c>
      <c r="I7840" s="6">
        <v>1100.4749999999997</v>
      </c>
      <c r="J7840" s="5">
        <v>8000</v>
      </c>
      <c r="K7840" s="6">
        <f t="shared" si="319"/>
        <v>2.476203457597856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43</v>
      </c>
      <c r="F7841" t="s">
        <v>99</v>
      </c>
      <c r="G7841" t="str">
        <f t="shared" si="320"/>
        <v>022CORAL REEF</v>
      </c>
      <c r="H7841" s="5">
        <v>2675</v>
      </c>
      <c r="I7841" s="6">
        <v>1287</v>
      </c>
      <c r="J7841" s="5">
        <v>9400</v>
      </c>
      <c r="K7841" s="6">
        <f t="shared" si="319"/>
        <v>2.0784770784770785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100</v>
      </c>
      <c r="F7842" t="s">
        <v>70</v>
      </c>
      <c r="G7842" t="str">
        <f t="shared" si="320"/>
        <v>023COTOPAXI</v>
      </c>
      <c r="H7842" s="5">
        <v>5550</v>
      </c>
      <c r="I7842" s="6">
        <v>2641.139999999999</v>
      </c>
      <c r="J7842" s="5">
        <v>19200</v>
      </c>
      <c r="K7842" s="6">
        <f t="shared" si="319"/>
        <v>2.1013653195211166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100</v>
      </c>
      <c r="F7843" t="s">
        <v>101</v>
      </c>
      <c r="G7843" t="str">
        <f t="shared" si="320"/>
        <v>023FRUTTETO</v>
      </c>
      <c r="H7843" s="5">
        <v>3900</v>
      </c>
      <c r="I7843" s="6">
        <v>2641.139999999999</v>
      </c>
      <c r="J7843" s="5">
        <v>19200</v>
      </c>
      <c r="K7843" s="6">
        <f t="shared" si="319"/>
        <v>1.4766350893932172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102</v>
      </c>
      <c r="F7844" t="s">
        <v>70</v>
      </c>
      <c r="G7844" t="str">
        <f t="shared" si="320"/>
        <v>024COTOPAXI</v>
      </c>
      <c r="H7844" s="5">
        <v>3270</v>
      </c>
      <c r="I7844" s="6">
        <v>1430.6174906249998</v>
      </c>
      <c r="J7844" s="5">
        <v>10400</v>
      </c>
      <c r="K7844" s="6">
        <f t="shared" si="319"/>
        <v>2.2857262835304923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102</v>
      </c>
      <c r="F7845" t="s">
        <v>64</v>
      </c>
      <c r="G7845" t="str">
        <f t="shared" si="320"/>
        <v>024SWEETNESS</v>
      </c>
      <c r="H7845" s="5">
        <v>1800</v>
      </c>
      <c r="I7845" s="6">
        <v>1430.6174999999998</v>
      </c>
      <c r="J7845" s="5">
        <v>10400</v>
      </c>
      <c r="K7845" s="6">
        <f t="shared" si="319"/>
        <v>1.2581979459918533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102</v>
      </c>
      <c r="F7846" t="s">
        <v>97</v>
      </c>
      <c r="G7846" t="str">
        <f t="shared" si="320"/>
        <v>024TYCOON</v>
      </c>
      <c r="H7846" s="5">
        <v>5100</v>
      </c>
      <c r="I7846" s="6">
        <v>2861.2349999999983</v>
      </c>
      <c r="J7846" s="5">
        <v>20800</v>
      </c>
      <c r="K7846" s="6">
        <f t="shared" si="319"/>
        <v>1.7824470901551264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103</v>
      </c>
      <c r="F7847" t="s">
        <v>104</v>
      </c>
      <c r="G7847" t="str">
        <f t="shared" si="320"/>
        <v>025PINK MONDIAL</v>
      </c>
      <c r="H7847" s="5">
        <v>6025</v>
      </c>
      <c r="I7847" s="6">
        <v>3071.9505624999983</v>
      </c>
      <c r="J7847" s="5">
        <v>22400</v>
      </c>
      <c r="K7847" s="6">
        <f t="shared" si="319"/>
        <v>1.9612945838219371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45</v>
      </c>
      <c r="F7848" t="s">
        <v>105</v>
      </c>
      <c r="G7848" t="str">
        <f t="shared" si="320"/>
        <v>026LOLA</v>
      </c>
      <c r="H7848" s="5">
        <v>3075</v>
      </c>
      <c r="I7848" s="6">
        <v>2852.5249999999992</v>
      </c>
      <c r="J7848" s="5">
        <v>20800</v>
      </c>
      <c r="K7848" s="6">
        <f t="shared" si="319"/>
        <v>1.0779923050630584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45</v>
      </c>
      <c r="F7849" t="s">
        <v>106</v>
      </c>
      <c r="G7849" t="str">
        <f t="shared" si="320"/>
        <v>026PALOMA</v>
      </c>
      <c r="H7849" s="5">
        <v>4125</v>
      </c>
      <c r="I7849" s="6">
        <v>2852.5249999999992</v>
      </c>
      <c r="J7849" s="5">
        <v>20800</v>
      </c>
      <c r="K7849" s="6">
        <f t="shared" si="319"/>
        <v>1.4460872384992247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107</v>
      </c>
      <c r="F7850" t="s">
        <v>108</v>
      </c>
      <c r="G7850" t="str">
        <f t="shared" si="320"/>
        <v>027SATISFACTION</v>
      </c>
      <c r="H7850" s="5">
        <v>4440</v>
      </c>
      <c r="I7850" s="6">
        <v>2633.0999999999995</v>
      </c>
      <c r="J7850" s="5">
        <v>19200</v>
      </c>
      <c r="K7850" s="6">
        <f t="shared" si="319"/>
        <v>1.6862253617409142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107</v>
      </c>
      <c r="F7851" t="s">
        <v>109</v>
      </c>
      <c r="G7851" t="str">
        <f t="shared" si="320"/>
        <v>027TIFFANY</v>
      </c>
      <c r="H7851" s="5">
        <v>5010</v>
      </c>
      <c r="I7851" s="6">
        <v>2633.0999999999995</v>
      </c>
      <c r="J7851" s="5">
        <v>19200</v>
      </c>
      <c r="K7851" s="6">
        <f t="shared" si="319"/>
        <v>1.9027002392617072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110</v>
      </c>
      <c r="F7852" t="s">
        <v>70</v>
      </c>
      <c r="G7852" t="str">
        <f t="shared" si="320"/>
        <v>028COTOPAXI</v>
      </c>
      <c r="H7852" s="5">
        <v>6000</v>
      </c>
      <c r="I7852" s="6">
        <v>2852.5249999999987</v>
      </c>
      <c r="J7852" s="5">
        <v>20800</v>
      </c>
      <c r="K7852" s="6">
        <f t="shared" si="319"/>
        <v>2.1033996196352365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110</v>
      </c>
      <c r="F7853" t="s">
        <v>67</v>
      </c>
      <c r="G7853" t="str">
        <f t="shared" si="320"/>
        <v>028DEEP PURPLE</v>
      </c>
      <c r="H7853" s="5">
        <v>6660</v>
      </c>
      <c r="I7853" s="6">
        <v>2852.5249999999987</v>
      </c>
      <c r="J7853" s="5">
        <v>20800</v>
      </c>
      <c r="K7853" s="6">
        <f t="shared" si="319"/>
        <v>2.3347735777951124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111</v>
      </c>
      <c r="F7854" t="s">
        <v>112</v>
      </c>
      <c r="G7854" t="str">
        <f t="shared" si="320"/>
        <v>029PINK FLOYD</v>
      </c>
      <c r="H7854" s="5">
        <v>4175</v>
      </c>
      <c r="I7854" s="6">
        <v>3071.949999999998</v>
      </c>
      <c r="J7854" s="5">
        <v>22400</v>
      </c>
      <c r="K7854" s="6">
        <f t="shared" si="319"/>
        <v>1.3590715994726486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47</v>
      </c>
      <c r="F7855" t="s">
        <v>57</v>
      </c>
      <c r="G7855" t="str">
        <f t="shared" si="320"/>
        <v>030EXPLORER</v>
      </c>
      <c r="H7855" s="5">
        <v>3625</v>
      </c>
      <c r="I7855" s="6">
        <v>1645.6875000000009</v>
      </c>
      <c r="J7855" s="5">
        <v>12000</v>
      </c>
      <c r="K7855" s="6">
        <f t="shared" si="319"/>
        <v>2.2027268238957869</v>
      </c>
    </row>
    <row r="7856" spans="1:11">
      <c r="A7856" s="4">
        <v>2026</v>
      </c>
      <c r="B7856">
        <v>21</v>
      </c>
      <c r="C7856" t="s">
        <v>10</v>
      </c>
      <c r="D7856" t="s">
        <v>11</v>
      </c>
      <c r="E7856" t="s">
        <v>12</v>
      </c>
      <c r="F7856" t="s">
        <v>13</v>
      </c>
      <c r="G7856" t="str">
        <f t="shared" si="320"/>
        <v>002SOMERSET</v>
      </c>
      <c r="H7856" s="5">
        <v>12000</v>
      </c>
      <c r="I7856" s="6">
        <v>4121.4642855494158</v>
      </c>
      <c r="J7856" s="5">
        <v>31200</v>
      </c>
      <c r="K7856" s="6">
        <f t="shared" si="319"/>
        <v>2.9115865548257029</v>
      </c>
    </row>
    <row r="7857" spans="1:11">
      <c r="A7857" s="4">
        <v>2026</v>
      </c>
      <c r="B7857">
        <v>21</v>
      </c>
      <c r="C7857" t="s">
        <v>10</v>
      </c>
      <c r="D7857" t="s">
        <v>11</v>
      </c>
      <c r="E7857" t="s">
        <v>14</v>
      </c>
      <c r="F7857" t="s">
        <v>15</v>
      </c>
      <c r="G7857" t="str">
        <f t="shared" si="320"/>
        <v>004BELLINA</v>
      </c>
      <c r="H7857" s="5">
        <v>1530</v>
      </c>
      <c r="I7857" s="6">
        <v>1056.785714243442</v>
      </c>
      <c r="J7857" s="5">
        <v>8000</v>
      </c>
      <c r="K7857" s="6">
        <f t="shared" si="319"/>
        <v>1.4477864143870778</v>
      </c>
    </row>
    <row r="7858" spans="1:11">
      <c r="A7858" s="4">
        <v>2026</v>
      </c>
      <c r="B7858">
        <v>21</v>
      </c>
      <c r="C7858" t="s">
        <v>10</v>
      </c>
      <c r="D7858" t="s">
        <v>11</v>
      </c>
      <c r="E7858" t="s">
        <v>16</v>
      </c>
      <c r="F7858" t="s">
        <v>17</v>
      </c>
      <c r="G7858" t="str">
        <f t="shared" si="320"/>
        <v>005ELBA</v>
      </c>
      <c r="H7858" s="5">
        <v>8310</v>
      </c>
      <c r="I7858" s="6">
        <v>2641.9642856076448</v>
      </c>
      <c r="J7858" s="5">
        <v>19996</v>
      </c>
      <c r="K7858" s="6">
        <f t="shared" si="319"/>
        <v>3.1453869551793439</v>
      </c>
    </row>
    <row r="7859" spans="1:11">
      <c r="A7859" s="4">
        <v>2026</v>
      </c>
      <c r="B7859">
        <v>21</v>
      </c>
      <c r="C7859" t="s">
        <v>10</v>
      </c>
      <c r="D7859" t="s">
        <v>11</v>
      </c>
      <c r="E7859" t="s">
        <v>16</v>
      </c>
      <c r="F7859" t="s">
        <v>18</v>
      </c>
      <c r="G7859" t="str">
        <f t="shared" si="320"/>
        <v>005HOT BUBBLES</v>
      </c>
      <c r="H7859" s="5">
        <v>1420</v>
      </c>
      <c r="I7859" s="6">
        <v>528.39285712153003</v>
      </c>
      <c r="J7859" s="5">
        <v>4000</v>
      </c>
      <c r="K7859" s="6">
        <f t="shared" si="319"/>
        <v>2.6873943901050898</v>
      </c>
    </row>
    <row r="7860" spans="1:11">
      <c r="A7860" s="4">
        <v>2026</v>
      </c>
      <c r="B7860">
        <v>21</v>
      </c>
      <c r="C7860" t="s">
        <v>10</v>
      </c>
      <c r="D7860" t="s">
        <v>11</v>
      </c>
      <c r="E7860" t="s">
        <v>16</v>
      </c>
      <c r="F7860" t="s">
        <v>19</v>
      </c>
      <c r="G7860" t="str">
        <f t="shared" si="320"/>
        <v>005SUSPIRO</v>
      </c>
      <c r="H7860" s="5">
        <v>6540</v>
      </c>
      <c r="I7860" s="6">
        <v>1902.2142856375083</v>
      </c>
      <c r="J7860" s="5">
        <v>14400</v>
      </c>
      <c r="K7860" s="6">
        <f t="shared" ref="K7860:K7921" si="321">+H7860/I7860</f>
        <v>3.4380984568245863</v>
      </c>
    </row>
    <row r="7861" spans="1:11">
      <c r="A7861" s="4">
        <v>2026</v>
      </c>
      <c r="B7861">
        <v>21</v>
      </c>
      <c r="C7861" t="s">
        <v>10</v>
      </c>
      <c r="D7861" t="s">
        <v>11</v>
      </c>
      <c r="E7861" t="s">
        <v>20</v>
      </c>
      <c r="F7861" t="s">
        <v>21</v>
      </c>
      <c r="G7861" t="str">
        <f t="shared" si="320"/>
        <v>007SNOW BUBBLES</v>
      </c>
      <c r="H7861" s="5">
        <v>1300</v>
      </c>
      <c r="I7861" s="6">
        <v>634.05652706821184</v>
      </c>
      <c r="J7861" s="5">
        <v>4800</v>
      </c>
      <c r="K7861" s="6">
        <f t="shared" si="321"/>
        <v>2.0502903834316113</v>
      </c>
    </row>
    <row r="7862" spans="1:11">
      <c r="A7862" s="4">
        <v>2026</v>
      </c>
      <c r="B7862">
        <v>21</v>
      </c>
      <c r="C7862" t="s">
        <v>10</v>
      </c>
      <c r="D7862" t="s">
        <v>11</v>
      </c>
      <c r="E7862" t="s">
        <v>22</v>
      </c>
      <c r="F7862" t="s">
        <v>18</v>
      </c>
      <c r="G7862" t="str">
        <f t="shared" si="320"/>
        <v>009HOT BUBBLES</v>
      </c>
      <c r="H7862" s="5">
        <v>9160</v>
      </c>
      <c r="I7862" s="6">
        <v>4487.9999999102447</v>
      </c>
      <c r="J7862" s="5">
        <v>31740</v>
      </c>
      <c r="K7862" s="6">
        <f t="shared" si="321"/>
        <v>2.0409982175096237</v>
      </c>
    </row>
    <row r="7863" spans="1:11">
      <c r="A7863" s="4">
        <v>2026</v>
      </c>
      <c r="B7863">
        <v>21</v>
      </c>
      <c r="C7863" t="s">
        <v>10</v>
      </c>
      <c r="D7863" t="s">
        <v>11</v>
      </c>
      <c r="E7863" t="s">
        <v>23</v>
      </c>
      <c r="F7863" t="s">
        <v>24</v>
      </c>
      <c r="G7863" t="str">
        <f t="shared" si="320"/>
        <v>014FRUITY BUBBLES</v>
      </c>
      <c r="H7863" s="5">
        <v>2850</v>
      </c>
      <c r="I7863" s="6">
        <v>1702.7999999999988</v>
      </c>
      <c r="J7863" s="5">
        <v>12900</v>
      </c>
      <c r="K7863" s="6">
        <f t="shared" si="321"/>
        <v>1.6737138830162097</v>
      </c>
    </row>
    <row r="7864" spans="1:11">
      <c r="A7864" s="4">
        <v>2026</v>
      </c>
      <c r="B7864">
        <v>21</v>
      </c>
      <c r="C7864" t="s">
        <v>10</v>
      </c>
      <c r="D7864" t="s">
        <v>11</v>
      </c>
      <c r="E7864" t="s">
        <v>25</v>
      </c>
      <c r="F7864" t="s">
        <v>26</v>
      </c>
      <c r="G7864" t="str">
        <f t="shared" si="320"/>
        <v>015FELLINI</v>
      </c>
      <c r="H7864" s="5">
        <v>6740</v>
      </c>
      <c r="I7864" s="6">
        <v>3009.5999999999958</v>
      </c>
      <c r="J7864" s="5">
        <v>22800</v>
      </c>
      <c r="K7864" s="6">
        <f t="shared" si="321"/>
        <v>2.2395002658160585</v>
      </c>
    </row>
    <row r="7865" spans="1:11">
      <c r="A7865" s="4">
        <v>2026</v>
      </c>
      <c r="B7865">
        <v>21</v>
      </c>
      <c r="C7865" t="s">
        <v>10</v>
      </c>
      <c r="D7865" t="s">
        <v>11</v>
      </c>
      <c r="E7865" t="s">
        <v>27</v>
      </c>
      <c r="F7865" t="s">
        <v>28</v>
      </c>
      <c r="G7865" t="str">
        <f t="shared" si="320"/>
        <v>016GOOD PEACH</v>
      </c>
      <c r="H7865" s="5">
        <v>3630</v>
      </c>
      <c r="I7865" s="6">
        <v>1385.9999999999995</v>
      </c>
      <c r="J7865" s="5">
        <v>10500</v>
      </c>
      <c r="K7865" s="6">
        <f t="shared" si="321"/>
        <v>2.61904761904762</v>
      </c>
    </row>
    <row r="7866" spans="1:11">
      <c r="A7866" s="4">
        <v>2026</v>
      </c>
      <c r="B7866">
        <v>21</v>
      </c>
      <c r="C7866" t="s">
        <v>10</v>
      </c>
      <c r="D7866" t="s">
        <v>11</v>
      </c>
      <c r="E7866" t="s">
        <v>27</v>
      </c>
      <c r="F7866" t="s">
        <v>29</v>
      </c>
      <c r="G7866" t="str">
        <f t="shared" si="320"/>
        <v>016GOOD YELLOW</v>
      </c>
      <c r="H7866" s="5">
        <v>4170</v>
      </c>
      <c r="I7866" s="6">
        <v>1385.9999999999995</v>
      </c>
      <c r="J7866" s="5">
        <v>10500</v>
      </c>
      <c r="K7866" s="6">
        <f t="shared" si="321"/>
        <v>3.0086580086580095</v>
      </c>
    </row>
    <row r="7867" spans="1:11">
      <c r="A7867" s="4">
        <v>2026</v>
      </c>
      <c r="B7867">
        <v>21</v>
      </c>
      <c r="C7867" t="s">
        <v>10</v>
      </c>
      <c r="D7867" t="s">
        <v>11</v>
      </c>
      <c r="E7867" t="s">
        <v>30</v>
      </c>
      <c r="F7867" t="s">
        <v>31</v>
      </c>
      <c r="G7867" t="str">
        <f t="shared" si="320"/>
        <v>017ORANGE STAR</v>
      </c>
      <c r="H7867" s="5">
        <v>1400</v>
      </c>
      <c r="I7867" s="6">
        <v>1029.6000000000004</v>
      </c>
      <c r="J7867" s="5">
        <v>7800</v>
      </c>
      <c r="K7867" s="6">
        <f t="shared" si="321"/>
        <v>1.3597513597513593</v>
      </c>
    </row>
    <row r="7868" spans="1:11">
      <c r="A7868" s="4">
        <v>2026</v>
      </c>
      <c r="B7868">
        <v>21</v>
      </c>
      <c r="C7868" t="s">
        <v>10</v>
      </c>
      <c r="D7868" t="s">
        <v>11</v>
      </c>
      <c r="E7868" t="s">
        <v>32</v>
      </c>
      <c r="F7868" t="s">
        <v>33</v>
      </c>
      <c r="G7868" t="str">
        <f t="shared" si="320"/>
        <v>018COSMO</v>
      </c>
      <c r="H7868" s="5">
        <v>4075</v>
      </c>
      <c r="I7868" s="6">
        <v>2653.1999999999966</v>
      </c>
      <c r="J7868" s="5">
        <v>20100</v>
      </c>
      <c r="K7868" s="6">
        <f t="shared" si="321"/>
        <v>1.5358812000603066</v>
      </c>
    </row>
    <row r="7869" spans="1:11">
      <c r="A7869" s="4">
        <v>2026</v>
      </c>
      <c r="B7869">
        <v>21</v>
      </c>
      <c r="C7869" t="s">
        <v>10</v>
      </c>
      <c r="D7869" t="s">
        <v>11</v>
      </c>
      <c r="E7869" t="s">
        <v>32</v>
      </c>
      <c r="F7869" t="s">
        <v>34</v>
      </c>
      <c r="G7869" t="str">
        <f t="shared" si="320"/>
        <v>018RUBICON</v>
      </c>
      <c r="H7869" s="5">
        <v>4980</v>
      </c>
      <c r="I7869" s="6">
        <v>1768.7999999999988</v>
      </c>
      <c r="J7869" s="5">
        <v>13400</v>
      </c>
      <c r="K7869" s="6">
        <f t="shared" si="321"/>
        <v>2.8154681139755784</v>
      </c>
    </row>
    <row r="7870" spans="1:11">
      <c r="A7870" s="4">
        <v>2026</v>
      </c>
      <c r="B7870">
        <v>21</v>
      </c>
      <c r="C7870" t="s">
        <v>10</v>
      </c>
      <c r="D7870" t="s">
        <v>11</v>
      </c>
      <c r="E7870" t="s">
        <v>35</v>
      </c>
      <c r="F7870" t="s">
        <v>15</v>
      </c>
      <c r="G7870" t="str">
        <f t="shared" si="320"/>
        <v>019BELLINA</v>
      </c>
      <c r="H7870" s="5">
        <v>2205</v>
      </c>
      <c r="I7870" s="6">
        <v>1029.6000000000004</v>
      </c>
      <c r="J7870" s="5">
        <v>7800</v>
      </c>
      <c r="K7870" s="6">
        <f t="shared" si="321"/>
        <v>2.1416083916083908</v>
      </c>
    </row>
    <row r="7871" spans="1:11">
      <c r="A7871" s="4">
        <v>2026</v>
      </c>
      <c r="B7871">
        <v>21</v>
      </c>
      <c r="C7871" t="s">
        <v>10</v>
      </c>
      <c r="D7871" t="s">
        <v>11</v>
      </c>
      <c r="E7871" t="s">
        <v>36</v>
      </c>
      <c r="F7871" t="s">
        <v>37</v>
      </c>
      <c r="G7871" t="str">
        <f t="shared" si="320"/>
        <v>020SUMMER DANCE</v>
      </c>
      <c r="H7871" s="5">
        <v>2525</v>
      </c>
      <c r="I7871" s="6">
        <v>1346.3999999999996</v>
      </c>
      <c r="J7871" s="5">
        <v>10200</v>
      </c>
      <c r="K7871" s="6">
        <f t="shared" si="321"/>
        <v>1.8753713606654787</v>
      </c>
    </row>
    <row r="7872" spans="1:11">
      <c r="A7872" s="4">
        <v>2026</v>
      </c>
      <c r="B7872">
        <v>21</v>
      </c>
      <c r="C7872" t="s">
        <v>10</v>
      </c>
      <c r="D7872" t="s">
        <v>11</v>
      </c>
      <c r="E7872" t="s">
        <v>38</v>
      </c>
      <c r="F7872" t="s">
        <v>39</v>
      </c>
      <c r="G7872" t="str">
        <f t="shared" si="320"/>
        <v>021ELEGANT ROSEVER</v>
      </c>
      <c r="H7872" s="5">
        <v>1200</v>
      </c>
      <c r="I7872" s="6">
        <v>440.18999062500001</v>
      </c>
      <c r="J7872" s="5">
        <v>3200</v>
      </c>
      <c r="K7872" s="6">
        <f t="shared" si="321"/>
        <v>2.7260956077083676</v>
      </c>
    </row>
    <row r="7873" spans="1:11">
      <c r="A7873" s="4">
        <v>2026</v>
      </c>
      <c r="B7873">
        <v>21</v>
      </c>
      <c r="C7873" t="s">
        <v>10</v>
      </c>
      <c r="D7873" t="s">
        <v>11</v>
      </c>
      <c r="E7873" t="s">
        <v>38</v>
      </c>
      <c r="F7873" t="s">
        <v>40</v>
      </c>
      <c r="G7873" t="str">
        <f t="shared" si="320"/>
        <v>021FLAME CLUB</v>
      </c>
      <c r="H7873" s="5">
        <v>2625</v>
      </c>
      <c r="I7873" s="6">
        <v>880.37999999999965</v>
      </c>
      <c r="J7873" s="5">
        <v>6400</v>
      </c>
      <c r="K7873" s="6">
        <f t="shared" si="321"/>
        <v>2.9816670074286113</v>
      </c>
    </row>
    <row r="7874" spans="1:11">
      <c r="A7874" s="4">
        <v>2026</v>
      </c>
      <c r="B7874">
        <v>21</v>
      </c>
      <c r="C7874" t="s">
        <v>10</v>
      </c>
      <c r="D7874" t="s">
        <v>11</v>
      </c>
      <c r="E7874" t="s">
        <v>38</v>
      </c>
      <c r="F7874" t="s">
        <v>41</v>
      </c>
      <c r="G7874" t="str">
        <f t="shared" si="320"/>
        <v>021KELLY</v>
      </c>
      <c r="H7874" s="5">
        <v>900</v>
      </c>
      <c r="I7874" s="6">
        <v>330.14249999999998</v>
      </c>
      <c r="J7874" s="5">
        <v>2400</v>
      </c>
      <c r="K7874" s="6">
        <f t="shared" si="321"/>
        <v>2.7260955496490151</v>
      </c>
    </row>
    <row r="7875" spans="1:11">
      <c r="A7875" s="4">
        <v>2026</v>
      </c>
      <c r="B7875">
        <v>21</v>
      </c>
      <c r="C7875" t="s">
        <v>10</v>
      </c>
      <c r="D7875" t="s">
        <v>11</v>
      </c>
      <c r="E7875" t="s">
        <v>38</v>
      </c>
      <c r="F7875" t="s">
        <v>42</v>
      </c>
      <c r="G7875" t="str">
        <f t="shared" si="320"/>
        <v>021LEILA</v>
      </c>
      <c r="H7875" s="5">
        <v>4325</v>
      </c>
      <c r="I7875" s="6">
        <v>770.33249999999975</v>
      </c>
      <c r="J7875" s="5">
        <v>5600</v>
      </c>
      <c r="K7875" s="6">
        <f t="shared" si="321"/>
        <v>5.6144586915390446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38</v>
      </c>
      <c r="F7876" t="s">
        <v>115</v>
      </c>
      <c r="G7876" t="str">
        <f t="shared" si="320"/>
        <v>021PISTACHIO KISS</v>
      </c>
      <c r="H7876" s="5">
        <v>150</v>
      </c>
      <c r="I7876" s="6">
        <v>880.37999999999965</v>
      </c>
      <c r="J7876" s="5">
        <v>6400</v>
      </c>
      <c r="K7876" s="6">
        <f t="shared" si="321"/>
        <v>0.17038097185306353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38</v>
      </c>
      <c r="F7877" t="s">
        <v>21</v>
      </c>
      <c r="G7877" t="str">
        <f t="shared" si="320"/>
        <v>021SNOW BUBBLES</v>
      </c>
      <c r="H7877" s="5">
        <v>3340</v>
      </c>
      <c r="I7877" s="6">
        <v>1287.0000000000018</v>
      </c>
      <c r="J7877" s="5">
        <v>9400</v>
      </c>
      <c r="K7877" s="6">
        <f t="shared" si="321"/>
        <v>2.5951825951825915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43</v>
      </c>
      <c r="F7878" t="s">
        <v>24</v>
      </c>
      <c r="G7878" t="str">
        <f t="shared" si="320"/>
        <v>022FRUITY BUBBLES</v>
      </c>
      <c r="H7878" s="5">
        <v>5775</v>
      </c>
      <c r="I7878" s="6">
        <v>2641.139999999999</v>
      </c>
      <c r="J7878" s="5">
        <v>19200</v>
      </c>
      <c r="K7878" s="6">
        <f t="shared" si="321"/>
        <v>2.1865558054476484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43</v>
      </c>
      <c r="F7879" t="s">
        <v>28</v>
      </c>
      <c r="G7879" t="str">
        <f t="shared" si="320"/>
        <v>022GOOD PEACH</v>
      </c>
      <c r="H7879" s="5">
        <v>2670</v>
      </c>
      <c r="I7879" s="6">
        <v>880.37999999999965</v>
      </c>
      <c r="J7879" s="5">
        <v>6400</v>
      </c>
      <c r="K7879" s="6">
        <f t="shared" si="321"/>
        <v>3.0327812989845304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43</v>
      </c>
      <c r="F7880" t="s">
        <v>44</v>
      </c>
      <c r="G7880" t="str">
        <f t="shared" si="320"/>
        <v>022MIRABEL</v>
      </c>
      <c r="H7880" s="5">
        <v>1420</v>
      </c>
      <c r="I7880" s="6">
        <v>880.37999999999965</v>
      </c>
      <c r="J7880" s="5">
        <v>6400</v>
      </c>
      <c r="K7880" s="6">
        <f t="shared" si="321"/>
        <v>1.612939866875668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47</v>
      </c>
      <c r="F7881" t="s">
        <v>44</v>
      </c>
      <c r="G7881" t="str">
        <f t="shared" si="320"/>
        <v>030MIRABEL</v>
      </c>
      <c r="H7881" s="5">
        <v>4240</v>
      </c>
      <c r="I7881" s="6">
        <v>2413.6749943750001</v>
      </c>
      <c r="J7881" s="5">
        <v>17600</v>
      </c>
      <c r="K7881" s="6">
        <f t="shared" si="321"/>
        <v>1.7566573834013268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47</v>
      </c>
      <c r="F7882" t="s">
        <v>13</v>
      </c>
      <c r="G7882" t="str">
        <f t="shared" si="320"/>
        <v>030SOMERSET</v>
      </c>
      <c r="H7882" s="5">
        <v>3960</v>
      </c>
      <c r="I7882" s="6">
        <v>1645.6875000000009</v>
      </c>
      <c r="J7882" s="5">
        <v>12000</v>
      </c>
      <c r="K7882" s="6">
        <f t="shared" si="321"/>
        <v>2.4062891648627081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48</v>
      </c>
      <c r="F7883" t="s">
        <v>49</v>
      </c>
      <c r="G7883" t="str">
        <f t="shared" si="320"/>
        <v>03182989</v>
      </c>
      <c r="H7883" s="5">
        <v>1140</v>
      </c>
      <c r="I7883" s="6">
        <v>726.32013058333712</v>
      </c>
      <c r="J7883" s="5">
        <v>5712</v>
      </c>
      <c r="K7883" s="6">
        <f t="shared" si="321"/>
        <v>1.569555836328562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48</v>
      </c>
      <c r="F7884" t="s">
        <v>34</v>
      </c>
      <c r="G7884" t="str">
        <f t="shared" si="320"/>
        <v>031RUBICON</v>
      </c>
      <c r="H7884" s="5">
        <v>2310</v>
      </c>
      <c r="I7884" s="6">
        <v>924.39958333667118</v>
      </c>
      <c r="J7884" s="5">
        <v>6720</v>
      </c>
      <c r="K7884" s="6">
        <f t="shared" si="321"/>
        <v>2.4989193435829211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48</v>
      </c>
      <c r="F7885" t="s">
        <v>13</v>
      </c>
      <c r="G7885" t="str">
        <f t="shared" si="320"/>
        <v>031SOMERSET</v>
      </c>
      <c r="H7885" s="5">
        <v>4800</v>
      </c>
      <c r="I7885" s="6">
        <v>1122.4852083333392</v>
      </c>
      <c r="J7885" s="5">
        <v>8160</v>
      </c>
      <c r="K7885" s="6">
        <f t="shared" si="321"/>
        <v>4.2762256147027697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48</v>
      </c>
      <c r="F7886" t="s">
        <v>50</v>
      </c>
      <c r="G7886" t="str">
        <f t="shared" ref="G7886:G7947" si="322">+E7886&amp;F7886</f>
        <v>031VELVET BLOSSOMS</v>
      </c>
      <c r="H7886" s="5">
        <v>700</v>
      </c>
      <c r="I7886" s="6">
        <v>396.17125000000203</v>
      </c>
      <c r="J7886" s="5">
        <v>2880</v>
      </c>
      <c r="K7886" s="6">
        <f t="shared" si="321"/>
        <v>1.7669126671862141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51</v>
      </c>
      <c r="F7887" t="s">
        <v>17</v>
      </c>
      <c r="G7887" t="str">
        <f t="shared" si="322"/>
        <v>032ELBA</v>
      </c>
      <c r="H7887" s="5">
        <v>3240</v>
      </c>
      <c r="I7887" s="6">
        <v>1535.9749999999992</v>
      </c>
      <c r="J7887" s="5">
        <v>11200</v>
      </c>
      <c r="K7887" s="6">
        <f t="shared" si="321"/>
        <v>2.1094093328341943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51</v>
      </c>
      <c r="F7888" t="s">
        <v>44</v>
      </c>
      <c r="G7888" t="str">
        <f t="shared" si="322"/>
        <v>032MIRABEL</v>
      </c>
      <c r="H7888" s="5">
        <v>1580</v>
      </c>
      <c r="I7888" s="6">
        <v>1535.9749999999995</v>
      </c>
      <c r="J7888" s="5">
        <v>11200</v>
      </c>
      <c r="K7888" s="6">
        <f t="shared" si="321"/>
        <v>1.0286625758882797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52</v>
      </c>
      <c r="F7889" t="s">
        <v>53</v>
      </c>
      <c r="G7889" t="str">
        <f t="shared" si="322"/>
        <v>033CREAMY FOLIES</v>
      </c>
      <c r="H7889" s="5">
        <v>690</v>
      </c>
      <c r="I7889" s="6">
        <v>594.25687500000311</v>
      </c>
      <c r="J7889" s="5">
        <v>4320</v>
      </c>
      <c r="K7889" s="6">
        <f t="shared" si="321"/>
        <v>1.1611140384366549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52</v>
      </c>
      <c r="F7890" t="s">
        <v>18</v>
      </c>
      <c r="G7890" t="str">
        <f t="shared" si="322"/>
        <v>033HOT BUBBLES</v>
      </c>
      <c r="H7890" s="5">
        <v>3300</v>
      </c>
      <c r="I7890" s="6">
        <v>2575.1131250013464</v>
      </c>
      <c r="J7890" s="5">
        <v>18720</v>
      </c>
      <c r="K7890" s="6">
        <f t="shared" si="321"/>
        <v>1.2814970992772501</v>
      </c>
    </row>
    <row r="7891" spans="1:11">
      <c r="A7891" s="4">
        <v>2026</v>
      </c>
      <c r="B7891">
        <v>21</v>
      </c>
      <c r="C7891" t="s">
        <v>54</v>
      </c>
      <c r="D7891" t="s">
        <v>11</v>
      </c>
      <c r="E7891" t="s">
        <v>55</v>
      </c>
      <c r="F7891" t="s">
        <v>56</v>
      </c>
      <c r="G7891" t="str">
        <f t="shared" si="322"/>
        <v>001BELIEVE IN PINK</v>
      </c>
      <c r="H7891" s="5">
        <v>1800</v>
      </c>
      <c r="I7891" s="6">
        <v>528.37931032368999</v>
      </c>
      <c r="J7891" s="5">
        <v>4000</v>
      </c>
      <c r="K7891" s="6">
        <f t="shared" si="321"/>
        <v>3.4066436077849143</v>
      </c>
    </row>
    <row r="7892" spans="1:11">
      <c r="A7892" s="4">
        <v>2026</v>
      </c>
      <c r="B7892">
        <v>21</v>
      </c>
      <c r="C7892" t="s">
        <v>54</v>
      </c>
      <c r="D7892" t="s">
        <v>11</v>
      </c>
      <c r="E7892" t="s">
        <v>55</v>
      </c>
      <c r="F7892" t="s">
        <v>57</v>
      </c>
      <c r="G7892" t="str">
        <f t="shared" si="322"/>
        <v>001EXPLORER</v>
      </c>
      <c r="H7892" s="5">
        <v>6400</v>
      </c>
      <c r="I7892" s="6">
        <v>2272.0310343918723</v>
      </c>
      <c r="J7892" s="5">
        <v>17200</v>
      </c>
      <c r="K7892" s="6">
        <f t="shared" si="321"/>
        <v>2.8168629315017313</v>
      </c>
    </row>
    <row r="7893" spans="1:11">
      <c r="A7893" s="4">
        <v>2026</v>
      </c>
      <c r="B7893">
        <v>21</v>
      </c>
      <c r="C7893" t="s">
        <v>54</v>
      </c>
      <c r="D7893" t="s">
        <v>11</v>
      </c>
      <c r="E7893" t="s">
        <v>55</v>
      </c>
      <c r="F7893" t="s">
        <v>58</v>
      </c>
      <c r="G7893" t="str">
        <f t="shared" si="322"/>
        <v>001GRACE KELLY</v>
      </c>
      <c r="H7893" s="5">
        <v>2700</v>
      </c>
      <c r="I7893" s="6">
        <v>1162.434482712122</v>
      </c>
      <c r="J7893" s="5">
        <v>8800</v>
      </c>
      <c r="K7893" s="6">
        <f t="shared" si="321"/>
        <v>2.3227115507624334</v>
      </c>
    </row>
    <row r="7894" spans="1:11">
      <c r="A7894" s="4">
        <v>2026</v>
      </c>
      <c r="B7894">
        <v>21</v>
      </c>
      <c r="C7894" t="s">
        <v>54</v>
      </c>
      <c r="D7894" t="s">
        <v>11</v>
      </c>
      <c r="E7894" t="s">
        <v>55</v>
      </c>
      <c r="F7894" t="s">
        <v>60</v>
      </c>
      <c r="G7894" t="str">
        <f t="shared" si="322"/>
        <v>001LIGHT HOUSE</v>
      </c>
      <c r="H7894" s="5">
        <v>1950</v>
      </c>
      <c r="I7894" s="6">
        <v>1056.7586206473825</v>
      </c>
      <c r="J7894" s="5">
        <v>8000</v>
      </c>
      <c r="K7894" s="6">
        <f t="shared" si="321"/>
        <v>1.8452652875501574</v>
      </c>
    </row>
    <row r="7895" spans="1:11">
      <c r="A7895" s="4">
        <v>2026</v>
      </c>
      <c r="B7895">
        <v>21</v>
      </c>
      <c r="C7895" t="s">
        <v>54</v>
      </c>
      <c r="D7895" t="s">
        <v>11</v>
      </c>
      <c r="E7895" t="s">
        <v>55</v>
      </c>
      <c r="F7895" t="s">
        <v>61</v>
      </c>
      <c r="G7895" t="str">
        <f t="shared" si="322"/>
        <v>001LUMIA</v>
      </c>
      <c r="H7895" s="5">
        <v>1410</v>
      </c>
      <c r="I7895" s="6">
        <v>1109.5965516797528</v>
      </c>
      <c r="J7895" s="5">
        <v>8400</v>
      </c>
      <c r="K7895" s="6">
        <f t="shared" si="321"/>
        <v>1.2707321394118287</v>
      </c>
    </row>
    <row r="7896" spans="1:11">
      <c r="A7896" s="4">
        <v>2026</v>
      </c>
      <c r="B7896">
        <v>21</v>
      </c>
      <c r="C7896" t="s">
        <v>54</v>
      </c>
      <c r="D7896" t="s">
        <v>11</v>
      </c>
      <c r="E7896" t="s">
        <v>55</v>
      </c>
      <c r="F7896" t="s">
        <v>62</v>
      </c>
      <c r="G7896" t="str">
        <f t="shared" si="322"/>
        <v>001MOMENTUM</v>
      </c>
      <c r="H7896" s="5">
        <v>5550</v>
      </c>
      <c r="I7896" s="6">
        <v>1902.1655171652874</v>
      </c>
      <c r="J7896" s="5">
        <v>14400</v>
      </c>
      <c r="K7896" s="6">
        <f t="shared" si="321"/>
        <v>2.9177271640750368</v>
      </c>
    </row>
    <row r="7897" spans="1:11">
      <c r="A7897" s="4">
        <v>2026</v>
      </c>
      <c r="B7897">
        <v>21</v>
      </c>
      <c r="C7897" t="s">
        <v>54</v>
      </c>
      <c r="D7897" t="s">
        <v>11</v>
      </c>
      <c r="E7897" t="s">
        <v>12</v>
      </c>
      <c r="F7897" t="s">
        <v>63</v>
      </c>
      <c r="G7897" t="str">
        <f t="shared" si="322"/>
        <v>002SUMMER ROMANCE</v>
      </c>
      <c r="H7897" s="5">
        <v>2775</v>
      </c>
      <c r="I7897" s="6">
        <v>951.10714281909407</v>
      </c>
      <c r="J7897" s="5">
        <v>7200</v>
      </c>
      <c r="K7897" s="6">
        <f t="shared" si="321"/>
        <v>2.9176523601482622</v>
      </c>
    </row>
    <row r="7898" spans="1:11">
      <c r="A7898" s="4">
        <v>2026</v>
      </c>
      <c r="B7898">
        <v>21</v>
      </c>
      <c r="C7898" t="s">
        <v>54</v>
      </c>
      <c r="D7898" t="s">
        <v>11</v>
      </c>
      <c r="E7898" t="s">
        <v>12</v>
      </c>
      <c r="F7898" t="s">
        <v>64</v>
      </c>
      <c r="G7898" t="str">
        <f t="shared" si="322"/>
        <v>002SWEETNESS</v>
      </c>
      <c r="H7898" s="5">
        <v>6450</v>
      </c>
      <c r="I7898" s="6">
        <v>3804.4285712763835</v>
      </c>
      <c r="J7898" s="5">
        <v>28800</v>
      </c>
      <c r="K7898" s="6">
        <f t="shared" si="321"/>
        <v>1.6953925876537166</v>
      </c>
    </row>
    <row r="7899" spans="1:11">
      <c r="A7899" s="4">
        <v>2026</v>
      </c>
      <c r="B7899">
        <v>21</v>
      </c>
      <c r="C7899" t="s">
        <v>54</v>
      </c>
      <c r="D7899" t="s">
        <v>11</v>
      </c>
      <c r="E7899" t="s">
        <v>65</v>
      </c>
      <c r="F7899" t="s">
        <v>66</v>
      </c>
      <c r="G7899" t="str">
        <f t="shared" si="322"/>
        <v>003CABARET</v>
      </c>
      <c r="H7899" s="5">
        <v>4110</v>
      </c>
      <c r="I7899" s="6">
        <v>2641.8965516184676</v>
      </c>
      <c r="J7899" s="5">
        <v>20000</v>
      </c>
      <c r="K7899" s="6">
        <f t="shared" si="321"/>
        <v>1.5557005808884337</v>
      </c>
    </row>
    <row r="7900" spans="1:11">
      <c r="A7900" s="4">
        <v>2026</v>
      </c>
      <c r="B7900">
        <v>21</v>
      </c>
      <c r="C7900" t="s">
        <v>54</v>
      </c>
      <c r="D7900" t="s">
        <v>11</v>
      </c>
      <c r="E7900" t="s">
        <v>65</v>
      </c>
      <c r="F7900" t="s">
        <v>67</v>
      </c>
      <c r="G7900" t="str">
        <f t="shared" si="322"/>
        <v>003DEEP PURPLE</v>
      </c>
      <c r="H7900" s="5">
        <v>8730</v>
      </c>
      <c r="I7900" s="6">
        <v>3592.9793102010881</v>
      </c>
      <c r="J7900" s="5">
        <v>26044</v>
      </c>
      <c r="K7900" s="6">
        <f t="shared" si="321"/>
        <v>2.4297384555524779</v>
      </c>
    </row>
    <row r="7901" spans="1:11">
      <c r="A7901" s="4">
        <v>2026</v>
      </c>
      <c r="B7901">
        <v>21</v>
      </c>
      <c r="C7901" t="s">
        <v>54</v>
      </c>
      <c r="D7901" t="s">
        <v>11</v>
      </c>
      <c r="E7901" t="s">
        <v>65</v>
      </c>
      <c r="F7901" t="s">
        <v>57</v>
      </c>
      <c r="G7901" t="str">
        <f t="shared" si="322"/>
        <v>003EXPLORER</v>
      </c>
      <c r="H7901" s="5">
        <v>2625</v>
      </c>
      <c r="I7901" s="6">
        <v>1268.1103447768635</v>
      </c>
      <c r="J7901" s="5">
        <v>9600</v>
      </c>
      <c r="K7901" s="6">
        <f t="shared" si="321"/>
        <v>2.070009136674849</v>
      </c>
    </row>
    <row r="7902" spans="1:11">
      <c r="A7902" s="4">
        <v>2026</v>
      </c>
      <c r="B7902">
        <v>21</v>
      </c>
      <c r="C7902" t="s">
        <v>54</v>
      </c>
      <c r="D7902" t="s">
        <v>11</v>
      </c>
      <c r="E7902" t="s">
        <v>65</v>
      </c>
      <c r="F7902" t="s">
        <v>68</v>
      </c>
      <c r="G7902" t="str">
        <f t="shared" si="322"/>
        <v>003JOCKER</v>
      </c>
      <c r="H7902" s="5">
        <v>1200</v>
      </c>
      <c r="I7902" s="6">
        <v>528.37931032368999</v>
      </c>
      <c r="J7902" s="5">
        <v>4000</v>
      </c>
      <c r="K7902" s="6">
        <f t="shared" si="321"/>
        <v>2.2710957385232762</v>
      </c>
    </row>
    <row r="7903" spans="1:11">
      <c r="A7903" s="4">
        <v>2026</v>
      </c>
      <c r="B7903">
        <v>21</v>
      </c>
      <c r="C7903" t="s">
        <v>54</v>
      </c>
      <c r="D7903" t="s">
        <v>11</v>
      </c>
      <c r="E7903" t="s">
        <v>65</v>
      </c>
      <c r="F7903" t="s">
        <v>69</v>
      </c>
      <c r="G7903" t="str">
        <f t="shared" si="322"/>
        <v>003QUICKSAND</v>
      </c>
      <c r="H7903" s="5">
        <v>1830</v>
      </c>
      <c r="I7903" s="6">
        <v>1162.4344827121247</v>
      </c>
      <c r="J7903" s="5">
        <v>8800</v>
      </c>
      <c r="K7903" s="6">
        <f t="shared" si="321"/>
        <v>1.5742822732945345</v>
      </c>
    </row>
    <row r="7904" spans="1:11">
      <c r="A7904" s="4">
        <v>2026</v>
      </c>
      <c r="B7904">
        <v>21</v>
      </c>
      <c r="C7904" t="s">
        <v>54</v>
      </c>
      <c r="D7904" t="s">
        <v>11</v>
      </c>
      <c r="E7904" t="s">
        <v>14</v>
      </c>
      <c r="F7904" t="s">
        <v>70</v>
      </c>
      <c r="G7904" t="str">
        <f t="shared" si="322"/>
        <v>004COTOPAXI</v>
      </c>
      <c r="H7904" s="5">
        <v>750</v>
      </c>
      <c r="I7904" s="6">
        <v>528.39150244191671</v>
      </c>
      <c r="J7904" s="5">
        <v>4000</v>
      </c>
      <c r="K7904" s="6">
        <f t="shared" si="321"/>
        <v>1.4194020845035136</v>
      </c>
    </row>
    <row r="7905" spans="1:11">
      <c r="A7905" s="4">
        <v>2026</v>
      </c>
      <c r="B7905">
        <v>21</v>
      </c>
      <c r="C7905" t="s">
        <v>54</v>
      </c>
      <c r="D7905" t="s">
        <v>11</v>
      </c>
      <c r="E7905" t="s">
        <v>14</v>
      </c>
      <c r="F7905" t="s">
        <v>67</v>
      </c>
      <c r="G7905" t="str">
        <f t="shared" si="322"/>
        <v>004DEEP PURPLE</v>
      </c>
      <c r="H7905" s="5">
        <v>8040</v>
      </c>
      <c r="I7905" s="6">
        <v>3910.1071427007341</v>
      </c>
      <c r="J7905" s="5">
        <v>29260</v>
      </c>
      <c r="K7905" s="6">
        <f t="shared" si="321"/>
        <v>2.0562096399350134</v>
      </c>
    </row>
    <row r="7906" spans="1:11">
      <c r="A7906" s="4">
        <v>2026</v>
      </c>
      <c r="B7906">
        <v>21</v>
      </c>
      <c r="C7906" t="s">
        <v>54</v>
      </c>
      <c r="D7906" t="s">
        <v>11</v>
      </c>
      <c r="E7906" t="s">
        <v>14</v>
      </c>
      <c r="F7906" t="s">
        <v>71</v>
      </c>
      <c r="G7906" t="str">
        <f t="shared" si="322"/>
        <v>004HOT EXPLORER</v>
      </c>
      <c r="H7906" s="5">
        <v>4375</v>
      </c>
      <c r="I7906" s="6">
        <v>1902.2142856381947</v>
      </c>
      <c r="J7906" s="5">
        <v>14400</v>
      </c>
      <c r="K7906" s="6">
        <f t="shared" si="321"/>
        <v>2.2999511848015501</v>
      </c>
    </row>
    <row r="7907" spans="1:11">
      <c r="A7907" s="4">
        <v>2026</v>
      </c>
      <c r="B7907">
        <v>21</v>
      </c>
      <c r="C7907" t="s">
        <v>54</v>
      </c>
      <c r="D7907" t="s">
        <v>11</v>
      </c>
      <c r="E7907" t="s">
        <v>14</v>
      </c>
      <c r="F7907" t="s">
        <v>72</v>
      </c>
      <c r="G7907" t="str">
        <f t="shared" si="322"/>
        <v>004HOT MERENGUE</v>
      </c>
      <c r="H7907" s="5">
        <v>3390</v>
      </c>
      <c r="I7907" s="6">
        <v>1162.4642856677858</v>
      </c>
      <c r="J7907" s="5">
        <v>8800</v>
      </c>
      <c r="K7907" s="6">
        <f t="shared" si="321"/>
        <v>2.9162186243447388</v>
      </c>
    </row>
    <row r="7908" spans="1:11">
      <c r="A7908" s="4">
        <v>2026</v>
      </c>
      <c r="B7908">
        <v>21</v>
      </c>
      <c r="C7908" t="s">
        <v>54</v>
      </c>
      <c r="D7908" t="s">
        <v>11</v>
      </c>
      <c r="E7908" t="s">
        <v>14</v>
      </c>
      <c r="F7908" t="s">
        <v>64</v>
      </c>
      <c r="G7908" t="str">
        <f t="shared" si="322"/>
        <v>004SWEETNESS</v>
      </c>
      <c r="H7908" s="5">
        <v>810</v>
      </c>
      <c r="I7908" s="6">
        <v>317.03571427303262</v>
      </c>
      <c r="J7908" s="5">
        <v>2400</v>
      </c>
      <c r="K7908" s="6">
        <f t="shared" si="321"/>
        <v>2.5549172018595492</v>
      </c>
    </row>
    <row r="7909" spans="1:11">
      <c r="A7909" s="4">
        <v>2026</v>
      </c>
      <c r="B7909">
        <v>21</v>
      </c>
      <c r="C7909" t="s">
        <v>54</v>
      </c>
      <c r="D7909" t="s">
        <v>11</v>
      </c>
      <c r="E7909" t="s">
        <v>16</v>
      </c>
      <c r="F7909" t="s">
        <v>57</v>
      </c>
      <c r="G7909" t="str">
        <f t="shared" si="322"/>
        <v>005EXPLORER</v>
      </c>
      <c r="H7909" s="5">
        <v>2175</v>
      </c>
      <c r="I7909" s="6">
        <v>951.10714281875414</v>
      </c>
      <c r="J7909" s="5">
        <v>7200</v>
      </c>
      <c r="K7909" s="6">
        <f t="shared" si="321"/>
        <v>2.2868086066035094</v>
      </c>
    </row>
    <row r="7910" spans="1:11">
      <c r="A7910" s="4">
        <v>2026</v>
      </c>
      <c r="B7910">
        <v>21</v>
      </c>
      <c r="C7910" t="s">
        <v>54</v>
      </c>
      <c r="D7910" t="s">
        <v>11</v>
      </c>
      <c r="E7910" t="s">
        <v>16</v>
      </c>
      <c r="F7910" t="s">
        <v>73</v>
      </c>
      <c r="G7910" t="str">
        <f t="shared" si="322"/>
        <v>005GOLDFINCH</v>
      </c>
      <c r="H7910" s="5">
        <v>950</v>
      </c>
      <c r="I7910" s="6">
        <v>898.26785710660113</v>
      </c>
      <c r="J7910" s="5">
        <v>6800</v>
      </c>
      <c r="K7910" s="6">
        <f t="shared" si="321"/>
        <v>1.0575909985914809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16</v>
      </c>
      <c r="F7911" t="s">
        <v>68</v>
      </c>
      <c r="G7911" t="str">
        <f t="shared" si="322"/>
        <v>005JOCKER</v>
      </c>
      <c r="H7911" s="5">
        <v>2625</v>
      </c>
      <c r="I7911" s="6">
        <v>1162.4642856673661</v>
      </c>
      <c r="J7911" s="5">
        <v>8800</v>
      </c>
      <c r="K7911" s="6">
        <f t="shared" si="321"/>
        <v>2.2581338905332458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16</v>
      </c>
      <c r="F7912" t="s">
        <v>74</v>
      </c>
      <c r="G7912" t="str">
        <f t="shared" si="322"/>
        <v>005VENDELA</v>
      </c>
      <c r="H7912" s="5">
        <v>2040</v>
      </c>
      <c r="I7912" s="6">
        <v>686.91071425798907</v>
      </c>
      <c r="J7912" s="5">
        <v>5200</v>
      </c>
      <c r="K7912" s="6">
        <f t="shared" si="321"/>
        <v>2.9698182859232842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75</v>
      </c>
      <c r="F7913" t="s">
        <v>76</v>
      </c>
      <c r="G7913" t="str">
        <f t="shared" si="322"/>
        <v>006ATOMIC</v>
      </c>
      <c r="H7913" s="5">
        <v>1800</v>
      </c>
      <c r="I7913" s="6">
        <v>845.428571394752</v>
      </c>
      <c r="J7913" s="5">
        <v>6400</v>
      </c>
      <c r="K7913" s="6">
        <f t="shared" si="321"/>
        <v>2.129097668216295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75</v>
      </c>
      <c r="F7914" t="s">
        <v>57</v>
      </c>
      <c r="G7914" t="str">
        <f t="shared" si="322"/>
        <v>006EXPLORER</v>
      </c>
      <c r="H7914" s="5">
        <v>10125</v>
      </c>
      <c r="I7914" s="6">
        <v>3910.1071427007359</v>
      </c>
      <c r="J7914" s="5">
        <v>29600</v>
      </c>
      <c r="K7914" s="6">
        <f t="shared" si="321"/>
        <v>2.5894431099927862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75</v>
      </c>
      <c r="F7915" t="s">
        <v>77</v>
      </c>
      <c r="G7915" t="str">
        <f t="shared" si="322"/>
        <v>006MONDIAL</v>
      </c>
      <c r="H7915" s="5">
        <v>7300</v>
      </c>
      <c r="I7915" s="6">
        <v>4015.7857141250797</v>
      </c>
      <c r="J7915" s="5">
        <v>30400</v>
      </c>
      <c r="K7915" s="6">
        <f t="shared" si="321"/>
        <v>1.8178260792957806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20</v>
      </c>
      <c r="F7916" t="s">
        <v>70</v>
      </c>
      <c r="G7916" t="str">
        <f t="shared" si="322"/>
        <v>007COTOPAXI</v>
      </c>
      <c r="H7916" s="5">
        <v>5430</v>
      </c>
      <c r="I7916" s="6">
        <v>2747.5751230427732</v>
      </c>
      <c r="J7916" s="5">
        <v>20800</v>
      </c>
      <c r="K7916" s="6">
        <f t="shared" si="321"/>
        <v>1.9762880928935633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20</v>
      </c>
      <c r="F7917" t="s">
        <v>78</v>
      </c>
      <c r="G7917" t="str">
        <f t="shared" si="322"/>
        <v>007REDIANT</v>
      </c>
      <c r="H7917" s="5">
        <v>1800</v>
      </c>
      <c r="I7917" s="6">
        <v>1056.7586206473795</v>
      </c>
      <c r="J7917" s="5">
        <v>9600</v>
      </c>
      <c r="K7917" s="6">
        <f t="shared" si="321"/>
        <v>1.7033218038924578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20</v>
      </c>
      <c r="F7918" t="s">
        <v>63</v>
      </c>
      <c r="G7918" t="str">
        <f t="shared" si="322"/>
        <v>007SUMMER ROMANCE</v>
      </c>
      <c r="H7918" s="5">
        <v>1150</v>
      </c>
      <c r="I7918" s="6">
        <v>369.86551722658481</v>
      </c>
      <c r="J7918" s="5">
        <v>3080</v>
      </c>
      <c r="K7918" s="6">
        <f t="shared" si="321"/>
        <v>3.10923821345447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20</v>
      </c>
      <c r="F7919" t="s">
        <v>74</v>
      </c>
      <c r="G7919" t="str">
        <f t="shared" si="322"/>
        <v>007VENDELA</v>
      </c>
      <c r="H7919" s="5">
        <v>12630</v>
      </c>
      <c r="I7919" s="6">
        <v>3592.9793102011167</v>
      </c>
      <c r="J7919" s="5">
        <v>27820</v>
      </c>
      <c r="K7919" s="6">
        <f t="shared" si="321"/>
        <v>3.5151886246996051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79</v>
      </c>
      <c r="F7920" t="s">
        <v>67</v>
      </c>
      <c r="G7920" t="str">
        <f t="shared" si="322"/>
        <v>008DEEP PURPLE</v>
      </c>
      <c r="H7920" s="5">
        <v>3570</v>
      </c>
      <c r="I7920" s="6">
        <v>1585.2222221588088</v>
      </c>
      <c r="J7920" s="5">
        <v>11490</v>
      </c>
      <c r="K7920" s="6">
        <f t="shared" si="321"/>
        <v>2.2520501858334123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79</v>
      </c>
      <c r="F7921" t="s">
        <v>81</v>
      </c>
      <c r="G7921" t="str">
        <f t="shared" si="322"/>
        <v>008FREEDOM</v>
      </c>
      <c r="H7921" s="5">
        <v>4650</v>
      </c>
      <c r="I7921" s="6">
        <v>2219.3111110223322</v>
      </c>
      <c r="J7921" s="5">
        <v>16800</v>
      </c>
      <c r="K7921" s="6">
        <f t="shared" si="321"/>
        <v>2.095244770733367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79</v>
      </c>
      <c r="F7922" t="s">
        <v>68</v>
      </c>
      <c r="G7922" t="str">
        <f t="shared" si="322"/>
        <v>008JOCKER</v>
      </c>
      <c r="H7922" s="5">
        <v>7975</v>
      </c>
      <c r="I7922" s="6">
        <v>2959.0814813631118</v>
      </c>
      <c r="J7922" s="5">
        <v>22400</v>
      </c>
      <c r="K7922" s="6">
        <f t="shared" ref="K7922:K7985" si="323">+H7922/I7922</f>
        <v>2.6950930720320301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79</v>
      </c>
      <c r="F7923" t="s">
        <v>61</v>
      </c>
      <c r="G7923" t="str">
        <f t="shared" si="322"/>
        <v>008LUMIA</v>
      </c>
      <c r="H7923" s="5">
        <v>2430</v>
      </c>
      <c r="I7923" s="6">
        <v>1796.5851851133164</v>
      </c>
      <c r="J7923" s="5">
        <v>13600</v>
      </c>
      <c r="K7923" s="6">
        <f t="shared" si="323"/>
        <v>1.3525659791337599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82</v>
      </c>
      <c r="F7924" t="s">
        <v>83</v>
      </c>
      <c r="G7924" t="str">
        <f t="shared" si="322"/>
        <v>010COOLDOWN</v>
      </c>
      <c r="H7924" s="5">
        <v>4675</v>
      </c>
      <c r="I7924" s="6">
        <v>1912.3542857142854</v>
      </c>
      <c r="J7924" s="5">
        <v>16320</v>
      </c>
      <c r="K7924" s="6">
        <f t="shared" si="323"/>
        <v>2.4446307020217417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82</v>
      </c>
      <c r="F7925" t="s">
        <v>84</v>
      </c>
      <c r="G7925" t="str">
        <f t="shared" si="322"/>
        <v>010VIOLET HILL</v>
      </c>
      <c r="H7925" s="5">
        <v>5160</v>
      </c>
      <c r="I7925" s="6">
        <v>2812.2857142428566</v>
      </c>
      <c r="J7925" s="5">
        <v>20000</v>
      </c>
      <c r="K7925" s="6">
        <f t="shared" si="323"/>
        <v>1.8348064614726429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85</v>
      </c>
      <c r="F7926" t="s">
        <v>86</v>
      </c>
      <c r="G7926" t="str">
        <f t="shared" si="322"/>
        <v>011BRIGHTON</v>
      </c>
      <c r="H7926" s="5">
        <v>3925</v>
      </c>
      <c r="I7926" s="6">
        <v>1768.8376470588212</v>
      </c>
      <c r="J7926" s="5">
        <v>12800</v>
      </c>
      <c r="K7926" s="6">
        <f t="shared" si="323"/>
        <v>2.2189713151607733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85</v>
      </c>
      <c r="F7927" t="s">
        <v>87</v>
      </c>
      <c r="G7927" t="str">
        <f t="shared" si="322"/>
        <v>011CANDLELIGHT</v>
      </c>
      <c r="H7927" s="5">
        <v>3640</v>
      </c>
      <c r="I7927" s="6">
        <v>2263.799999886814</v>
      </c>
      <c r="J7927" s="5">
        <v>17920</v>
      </c>
      <c r="K7927" s="6">
        <f t="shared" si="323"/>
        <v>1.6079158937105722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85</v>
      </c>
      <c r="F7928" t="s">
        <v>88</v>
      </c>
      <c r="G7928" t="str">
        <f t="shared" si="322"/>
        <v>011CAYENNE</v>
      </c>
      <c r="H7928" s="5">
        <v>1620</v>
      </c>
      <c r="I7928" s="6">
        <v>994.97117647058758</v>
      </c>
      <c r="J7928" s="5">
        <v>7200</v>
      </c>
      <c r="K7928" s="6">
        <f t="shared" si="323"/>
        <v>1.6281878694682861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85</v>
      </c>
      <c r="F7929" t="s">
        <v>61</v>
      </c>
      <c r="G7929" t="str">
        <f t="shared" si="322"/>
        <v>011LUMIA</v>
      </c>
      <c r="H7929" s="5">
        <v>1320</v>
      </c>
      <c r="I7929" s="6">
        <v>994.97117647058769</v>
      </c>
      <c r="J7929" s="5">
        <v>7920</v>
      </c>
      <c r="K7929" s="6">
        <f t="shared" si="323"/>
        <v>1.3266715973445291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85</v>
      </c>
      <c r="F7930" t="s">
        <v>89</v>
      </c>
      <c r="G7930" t="str">
        <f t="shared" si="322"/>
        <v>011STARDUST</v>
      </c>
      <c r="H7930" s="5">
        <v>3650</v>
      </c>
      <c r="I7930" s="6">
        <v>2263.799999886814</v>
      </c>
      <c r="J7930" s="5">
        <v>17920</v>
      </c>
      <c r="K7930" s="6">
        <f t="shared" si="323"/>
        <v>1.6123332450669201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90</v>
      </c>
      <c r="F7931" t="s">
        <v>67</v>
      </c>
      <c r="G7931" t="str">
        <f t="shared" si="322"/>
        <v>012DEEP PURPLE</v>
      </c>
      <c r="H7931" s="5">
        <v>13380</v>
      </c>
      <c r="I7931" s="6">
        <v>6727.0499997982606</v>
      </c>
      <c r="J7931" s="5">
        <v>49210</v>
      </c>
      <c r="K7931" s="6">
        <f t="shared" si="323"/>
        <v>1.9889847705013723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90</v>
      </c>
      <c r="F7932" t="s">
        <v>60</v>
      </c>
      <c r="G7932" t="str">
        <f t="shared" si="322"/>
        <v>012LIGHT HOUSE</v>
      </c>
      <c r="H7932" s="5">
        <v>1350</v>
      </c>
      <c r="I7932" s="6">
        <v>994.9499999999997</v>
      </c>
      <c r="J7932" s="5">
        <v>7200</v>
      </c>
      <c r="K7932" s="6">
        <f t="shared" si="323"/>
        <v>1.3568521031207603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91</v>
      </c>
      <c r="F7933" t="s">
        <v>92</v>
      </c>
      <c r="G7933" t="str">
        <f t="shared" si="322"/>
        <v>013COUNTRY BLUES</v>
      </c>
      <c r="H7933" s="5">
        <v>1260</v>
      </c>
      <c r="I7933" s="6">
        <v>831.60000000000025</v>
      </c>
      <c r="J7933" s="5">
        <v>6300</v>
      </c>
      <c r="K7933" s="6">
        <f t="shared" si="323"/>
        <v>1.5151515151515147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91</v>
      </c>
      <c r="F7934" t="s">
        <v>93</v>
      </c>
      <c r="G7934" t="str">
        <f t="shared" si="322"/>
        <v>013LORRAINE</v>
      </c>
      <c r="H7934" s="5">
        <v>3150</v>
      </c>
      <c r="I7934" s="6">
        <v>1267.1999999999998</v>
      </c>
      <c r="J7934" s="5">
        <v>9600</v>
      </c>
      <c r="K7934" s="6">
        <f t="shared" si="323"/>
        <v>2.485795454545455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91</v>
      </c>
      <c r="F7935" t="s">
        <v>61</v>
      </c>
      <c r="G7935" t="str">
        <f t="shared" si="322"/>
        <v>013LUMIA</v>
      </c>
      <c r="H7935" s="5">
        <v>420</v>
      </c>
      <c r="I7935" s="6">
        <v>316.8</v>
      </c>
      <c r="J7935" s="5">
        <v>2400</v>
      </c>
      <c r="K7935" s="6">
        <f t="shared" si="323"/>
        <v>1.3257575757575757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91</v>
      </c>
      <c r="F7936" t="s">
        <v>74</v>
      </c>
      <c r="G7936" t="str">
        <f t="shared" si="322"/>
        <v>013VENDELA</v>
      </c>
      <c r="H7936" s="5">
        <v>12000</v>
      </c>
      <c r="I7936" s="6">
        <v>3603.5999999999949</v>
      </c>
      <c r="J7936" s="5">
        <v>27296</v>
      </c>
      <c r="K7936" s="6">
        <f t="shared" si="323"/>
        <v>3.3300033300033349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23</v>
      </c>
      <c r="F7937" t="s">
        <v>89</v>
      </c>
      <c r="G7937" t="str">
        <f t="shared" si="322"/>
        <v>014STARDUST</v>
      </c>
      <c r="H7937" s="5">
        <v>4975</v>
      </c>
      <c r="I7937" s="6">
        <v>3682.7999999999943</v>
      </c>
      <c r="J7937" s="5">
        <v>27900</v>
      </c>
      <c r="K7937" s="6">
        <f t="shared" si="323"/>
        <v>1.3508743347453045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25</v>
      </c>
      <c r="F7938" t="s">
        <v>68</v>
      </c>
      <c r="G7938" t="str">
        <f t="shared" si="322"/>
        <v>015JOCKER</v>
      </c>
      <c r="H7938" s="5">
        <v>3475</v>
      </c>
      <c r="I7938" s="6">
        <v>2375.9999999999973</v>
      </c>
      <c r="J7938" s="5">
        <v>18000</v>
      </c>
      <c r="K7938" s="6">
        <f t="shared" si="323"/>
        <v>1.4625420875420891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27</v>
      </c>
      <c r="F7939" t="s">
        <v>94</v>
      </c>
      <c r="G7939" t="str">
        <f t="shared" si="322"/>
        <v>016DREAM IN PEACH</v>
      </c>
      <c r="H7939" s="5">
        <v>1470</v>
      </c>
      <c r="I7939" s="6">
        <v>950.40000000000032</v>
      </c>
      <c r="J7939" s="5">
        <v>7200</v>
      </c>
      <c r="K7939" s="6">
        <f t="shared" si="323"/>
        <v>1.5467171717171713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27</v>
      </c>
      <c r="F7940" t="s">
        <v>95</v>
      </c>
      <c r="G7940" t="str">
        <f t="shared" si="322"/>
        <v>016NINA</v>
      </c>
      <c r="H7940" s="5">
        <v>3000</v>
      </c>
      <c r="I7940" s="6">
        <v>1346.3999999999996</v>
      </c>
      <c r="J7940" s="5">
        <v>10200</v>
      </c>
      <c r="K7940" s="6">
        <f t="shared" si="323"/>
        <v>2.228163992869876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30</v>
      </c>
      <c r="F7941" t="s">
        <v>81</v>
      </c>
      <c r="G7941" t="str">
        <f t="shared" si="322"/>
        <v>017FREEDOM</v>
      </c>
      <c r="H7941" s="5">
        <v>5340</v>
      </c>
      <c r="I7941" s="6">
        <v>2851.1999999999962</v>
      </c>
      <c r="J7941" s="5">
        <v>21600</v>
      </c>
      <c r="K7941" s="6">
        <f t="shared" si="323"/>
        <v>1.8728956228956255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30</v>
      </c>
      <c r="F7942" t="s">
        <v>73</v>
      </c>
      <c r="G7942" t="str">
        <f t="shared" si="322"/>
        <v>017GOLDFINCH</v>
      </c>
      <c r="H7942" s="5">
        <v>2775</v>
      </c>
      <c r="I7942" s="6">
        <v>2138.3999999999978</v>
      </c>
      <c r="J7942" s="5">
        <v>16200</v>
      </c>
      <c r="K7942" s="6">
        <f t="shared" si="323"/>
        <v>1.2976992143658823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32</v>
      </c>
      <c r="F7943" t="s">
        <v>86</v>
      </c>
      <c r="G7943" t="str">
        <f t="shared" si="322"/>
        <v>018BRIGHTON</v>
      </c>
      <c r="H7943" s="5">
        <v>2425</v>
      </c>
      <c r="I7943" s="6">
        <v>963.60000000000036</v>
      </c>
      <c r="J7943" s="5">
        <v>7570</v>
      </c>
      <c r="K7943" s="6">
        <f t="shared" si="323"/>
        <v>2.516604400166043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35</v>
      </c>
      <c r="F7944" t="s">
        <v>86</v>
      </c>
      <c r="G7944" t="str">
        <f t="shared" si="322"/>
        <v>019BRIGHTON</v>
      </c>
      <c r="H7944" s="5">
        <v>5675</v>
      </c>
      <c r="I7944" s="6">
        <v>3167.9999999999955</v>
      </c>
      <c r="J7944" s="5">
        <v>24000</v>
      </c>
      <c r="K7944" s="6">
        <f t="shared" si="323"/>
        <v>1.7913510101010126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35</v>
      </c>
      <c r="F7945" t="s">
        <v>96</v>
      </c>
      <c r="G7945" t="str">
        <f t="shared" si="322"/>
        <v>019TABATHA</v>
      </c>
      <c r="H7945" s="5">
        <v>2490</v>
      </c>
      <c r="I7945" s="6">
        <v>1188</v>
      </c>
      <c r="J7945" s="5">
        <v>9000</v>
      </c>
      <c r="K7945" s="6">
        <f t="shared" si="323"/>
        <v>2.095959595959596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36</v>
      </c>
      <c r="F7946" t="s">
        <v>86</v>
      </c>
      <c r="G7946" t="str">
        <f t="shared" si="322"/>
        <v>020BRIGHTON</v>
      </c>
      <c r="H7946" s="5">
        <v>5350</v>
      </c>
      <c r="I7946" s="6">
        <v>2732.3999999999965</v>
      </c>
      <c r="J7946" s="5">
        <v>20700</v>
      </c>
      <c r="K7946" s="6">
        <f t="shared" si="323"/>
        <v>1.9579856536378302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36</v>
      </c>
      <c r="F7947" t="s">
        <v>97</v>
      </c>
      <c r="G7947" t="str">
        <f t="shared" si="322"/>
        <v>020TYCOON</v>
      </c>
      <c r="H7947" s="5">
        <v>1170</v>
      </c>
      <c r="I7947" s="6">
        <v>673.2</v>
      </c>
      <c r="J7947" s="5">
        <v>5100</v>
      </c>
      <c r="K7947" s="6">
        <f t="shared" si="323"/>
        <v>1.7379679144385025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38</v>
      </c>
      <c r="F7948" t="s">
        <v>98</v>
      </c>
      <c r="G7948" t="str">
        <f t="shared" ref="G7948:G8010" si="324">+E7948&amp;F7948</f>
        <v>021SHOW GIRL</v>
      </c>
      <c r="H7948" s="5">
        <v>2325</v>
      </c>
      <c r="I7948" s="6">
        <v>1100.4749999999997</v>
      </c>
      <c r="J7948" s="5">
        <v>8000</v>
      </c>
      <c r="K7948" s="6">
        <f t="shared" si="323"/>
        <v>2.1127240509779872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43</v>
      </c>
      <c r="F7949" t="s">
        <v>99</v>
      </c>
      <c r="G7949" t="str">
        <f t="shared" si="324"/>
        <v>022CORAL REEF</v>
      </c>
      <c r="H7949" s="5">
        <v>3250</v>
      </c>
      <c r="I7949" s="6">
        <v>1287</v>
      </c>
      <c r="J7949" s="5">
        <v>9400</v>
      </c>
      <c r="K7949" s="6">
        <f t="shared" si="323"/>
        <v>2.5252525252525251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100</v>
      </c>
      <c r="F7950" t="s">
        <v>70</v>
      </c>
      <c r="G7950" t="str">
        <f t="shared" si="324"/>
        <v>023COTOPAXI</v>
      </c>
      <c r="H7950" s="5">
        <v>8100</v>
      </c>
      <c r="I7950" s="6">
        <v>2641.139999999999</v>
      </c>
      <c r="J7950" s="5">
        <v>19200</v>
      </c>
      <c r="K7950" s="6">
        <f t="shared" si="323"/>
        <v>3.0668574933551431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100</v>
      </c>
      <c r="F7951" t="s">
        <v>101</v>
      </c>
      <c r="G7951" t="str">
        <f t="shared" si="324"/>
        <v>023FRUTTETO</v>
      </c>
      <c r="H7951" s="5">
        <v>5040</v>
      </c>
      <c r="I7951" s="6">
        <v>2641.139999999999</v>
      </c>
      <c r="J7951" s="5">
        <v>19200</v>
      </c>
      <c r="K7951" s="6">
        <f t="shared" si="323"/>
        <v>1.9082668847543114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102</v>
      </c>
      <c r="F7952" t="s">
        <v>70</v>
      </c>
      <c r="G7952" t="str">
        <f t="shared" si="324"/>
        <v>024COTOPAXI</v>
      </c>
      <c r="H7952" s="5">
        <v>3750</v>
      </c>
      <c r="I7952" s="6">
        <v>1430.6174906249998</v>
      </c>
      <c r="J7952" s="5">
        <v>10400</v>
      </c>
      <c r="K7952" s="6">
        <f t="shared" si="323"/>
        <v>2.621245737993684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102</v>
      </c>
      <c r="F7953" t="s">
        <v>64</v>
      </c>
      <c r="G7953" t="str">
        <f t="shared" si="324"/>
        <v>024SWEETNESS</v>
      </c>
      <c r="H7953" s="5">
        <v>2040</v>
      </c>
      <c r="I7953" s="6">
        <v>1430.6174999999998</v>
      </c>
      <c r="J7953" s="5">
        <v>10400</v>
      </c>
      <c r="K7953" s="6">
        <f t="shared" si="323"/>
        <v>1.4259576721241005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102</v>
      </c>
      <c r="F7954" t="s">
        <v>97</v>
      </c>
      <c r="G7954" t="str">
        <f t="shared" si="324"/>
        <v>024TYCOON</v>
      </c>
      <c r="H7954" s="5">
        <v>4530</v>
      </c>
      <c r="I7954" s="6">
        <v>2861.2349999999983</v>
      </c>
      <c r="J7954" s="5">
        <v>20800</v>
      </c>
      <c r="K7954" s="6">
        <f t="shared" si="323"/>
        <v>1.5832324153730828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103</v>
      </c>
      <c r="F7955" t="s">
        <v>104</v>
      </c>
      <c r="G7955" t="str">
        <f t="shared" si="324"/>
        <v>025PINK MONDIAL</v>
      </c>
      <c r="H7955" s="5">
        <v>5050</v>
      </c>
      <c r="I7955" s="6">
        <v>3071.9505624999983</v>
      </c>
      <c r="J7955" s="5">
        <v>22400</v>
      </c>
      <c r="K7955" s="6">
        <f t="shared" si="323"/>
        <v>1.6439066636183872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45</v>
      </c>
      <c r="F7956" t="s">
        <v>105</v>
      </c>
      <c r="G7956" t="str">
        <f t="shared" si="324"/>
        <v>026LOLA</v>
      </c>
      <c r="H7956" s="5">
        <v>5800</v>
      </c>
      <c r="I7956" s="6">
        <v>2852.5249999999992</v>
      </c>
      <c r="J7956" s="5">
        <v>20800</v>
      </c>
      <c r="K7956" s="6">
        <f t="shared" si="323"/>
        <v>2.0332862989807281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45</v>
      </c>
      <c r="F7957" t="s">
        <v>106</v>
      </c>
      <c r="G7957" t="str">
        <f t="shared" si="324"/>
        <v>026PALOMA</v>
      </c>
      <c r="H7957" s="5">
        <v>6600</v>
      </c>
      <c r="I7957" s="6">
        <v>2852.5249999999992</v>
      </c>
      <c r="J7957" s="5">
        <v>20800</v>
      </c>
      <c r="K7957" s="6">
        <f t="shared" si="323"/>
        <v>2.3137395815987598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107</v>
      </c>
      <c r="F7958" t="s">
        <v>108</v>
      </c>
      <c r="G7958" t="str">
        <f t="shared" si="324"/>
        <v>027SATISFACTION</v>
      </c>
      <c r="H7958" s="5">
        <v>5640</v>
      </c>
      <c r="I7958" s="6">
        <v>2633.0999999999995</v>
      </c>
      <c r="J7958" s="5">
        <v>19200</v>
      </c>
      <c r="K7958" s="6">
        <f t="shared" si="323"/>
        <v>2.1419619459952153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107</v>
      </c>
      <c r="F7959" t="s">
        <v>109</v>
      </c>
      <c r="G7959" t="str">
        <f t="shared" si="324"/>
        <v>027TIFFANY</v>
      </c>
      <c r="H7959" s="5">
        <v>6420</v>
      </c>
      <c r="I7959" s="6">
        <v>2633.0999999999995</v>
      </c>
      <c r="J7959" s="5">
        <v>19200</v>
      </c>
      <c r="K7959" s="6">
        <f t="shared" si="323"/>
        <v>2.4381907257605109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110</v>
      </c>
      <c r="F7960" t="s">
        <v>70</v>
      </c>
      <c r="G7960" t="str">
        <f t="shared" si="324"/>
        <v>028COTOPAXI</v>
      </c>
      <c r="H7960" s="5">
        <v>6450</v>
      </c>
      <c r="I7960" s="6">
        <v>2852.5249999999987</v>
      </c>
      <c r="J7960" s="5">
        <v>20800</v>
      </c>
      <c r="K7960" s="6">
        <f t="shared" si="323"/>
        <v>2.261154591107879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110</v>
      </c>
      <c r="F7961" t="s">
        <v>67</v>
      </c>
      <c r="G7961" t="str">
        <f t="shared" si="324"/>
        <v>028DEEP PURPLE</v>
      </c>
      <c r="H7961" s="5">
        <v>6270</v>
      </c>
      <c r="I7961" s="6">
        <v>2852.5249999999987</v>
      </c>
      <c r="J7961" s="5">
        <v>20800</v>
      </c>
      <c r="K7961" s="6">
        <f t="shared" si="323"/>
        <v>2.1980526025188221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111</v>
      </c>
      <c r="F7962" t="s">
        <v>112</v>
      </c>
      <c r="G7962" t="str">
        <f t="shared" si="324"/>
        <v>029PINK FLOYD</v>
      </c>
      <c r="H7962" s="5">
        <v>3900</v>
      </c>
      <c r="I7962" s="6">
        <v>3071.949999999998</v>
      </c>
      <c r="J7962" s="5">
        <v>22400</v>
      </c>
      <c r="K7962" s="6">
        <f t="shared" si="323"/>
        <v>1.2695519132798394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47</v>
      </c>
      <c r="F7963" t="s">
        <v>57</v>
      </c>
      <c r="G7963" t="str">
        <f t="shared" si="324"/>
        <v>030EXPLORER</v>
      </c>
      <c r="H7963" s="5">
        <v>4025</v>
      </c>
      <c r="I7963" s="6">
        <v>1645.6875000000009</v>
      </c>
      <c r="J7963" s="5">
        <v>12000</v>
      </c>
      <c r="K7963" s="6">
        <f t="shared" si="323"/>
        <v>2.4457863354980809</v>
      </c>
    </row>
    <row r="7964" spans="1:11">
      <c r="A7964" s="4">
        <v>2026</v>
      </c>
      <c r="B7964">
        <v>22</v>
      </c>
      <c r="C7964" t="s">
        <v>10</v>
      </c>
      <c r="D7964" t="s">
        <v>11</v>
      </c>
      <c r="E7964" t="s">
        <v>12</v>
      </c>
      <c r="F7964" t="s">
        <v>13</v>
      </c>
      <c r="G7964" t="str">
        <f t="shared" si="324"/>
        <v>002SOMERSET</v>
      </c>
      <c r="H7964" s="5">
        <v>13020</v>
      </c>
      <c r="I7964" s="6">
        <v>4121.4642855494158</v>
      </c>
      <c r="J7964" s="5">
        <v>31200</v>
      </c>
      <c r="K7964" s="6">
        <f t="shared" si="323"/>
        <v>3.1590714119858876</v>
      </c>
    </row>
    <row r="7965" spans="1:11">
      <c r="A7965" s="4">
        <v>2026</v>
      </c>
      <c r="B7965">
        <v>22</v>
      </c>
      <c r="C7965" t="s">
        <v>10</v>
      </c>
      <c r="D7965" t="s">
        <v>11</v>
      </c>
      <c r="E7965" t="s">
        <v>14</v>
      </c>
      <c r="F7965" t="s">
        <v>15</v>
      </c>
      <c r="G7965" t="str">
        <f t="shared" si="324"/>
        <v>004BELLINA</v>
      </c>
      <c r="H7965" s="5">
        <v>1335</v>
      </c>
      <c r="I7965" s="6">
        <v>1056.785714243442</v>
      </c>
      <c r="J7965" s="5">
        <v>8000</v>
      </c>
      <c r="K7965" s="6">
        <f t="shared" si="323"/>
        <v>1.2632646164749992</v>
      </c>
    </row>
    <row r="7966" spans="1:11">
      <c r="A7966" s="4">
        <v>2026</v>
      </c>
      <c r="B7966">
        <v>22</v>
      </c>
      <c r="C7966" t="s">
        <v>10</v>
      </c>
      <c r="D7966" t="s">
        <v>11</v>
      </c>
      <c r="E7966" t="s">
        <v>16</v>
      </c>
      <c r="F7966" t="s">
        <v>17</v>
      </c>
      <c r="G7966" t="str">
        <f t="shared" si="324"/>
        <v>005ELBA</v>
      </c>
      <c r="H7966" s="5">
        <v>12410</v>
      </c>
      <c r="I7966" s="6">
        <v>2641.9642856076448</v>
      </c>
      <c r="J7966" s="5">
        <v>19996</v>
      </c>
      <c r="K7966" s="6">
        <f t="shared" si="323"/>
        <v>4.6972625889020048</v>
      </c>
    </row>
    <row r="7967" spans="1:11">
      <c r="A7967" s="4">
        <v>2026</v>
      </c>
      <c r="B7967">
        <v>22</v>
      </c>
      <c r="C7967" t="s">
        <v>10</v>
      </c>
      <c r="D7967" t="s">
        <v>11</v>
      </c>
      <c r="E7967" t="s">
        <v>16</v>
      </c>
      <c r="F7967" t="s">
        <v>18</v>
      </c>
      <c r="G7967" t="str">
        <f t="shared" si="324"/>
        <v>005HOT BUBBLES</v>
      </c>
      <c r="H7967" s="5">
        <v>1580</v>
      </c>
      <c r="I7967" s="6">
        <v>528.39285712153003</v>
      </c>
      <c r="J7967" s="5">
        <v>4000</v>
      </c>
      <c r="K7967" s="6">
        <f t="shared" si="323"/>
        <v>2.9901993918070717</v>
      </c>
    </row>
    <row r="7968" spans="1:11">
      <c r="A7968" s="4">
        <v>2026</v>
      </c>
      <c r="B7968">
        <v>22</v>
      </c>
      <c r="C7968" t="s">
        <v>10</v>
      </c>
      <c r="D7968" t="s">
        <v>11</v>
      </c>
      <c r="E7968" t="s">
        <v>16</v>
      </c>
      <c r="F7968" t="s">
        <v>19</v>
      </c>
      <c r="G7968" t="str">
        <f t="shared" si="324"/>
        <v>005SUSPIRO</v>
      </c>
      <c r="H7968" s="5">
        <v>5160</v>
      </c>
      <c r="I7968" s="6">
        <v>1902.2142856375083</v>
      </c>
      <c r="J7968" s="5">
        <v>14400</v>
      </c>
      <c r="K7968" s="6">
        <f t="shared" si="323"/>
        <v>2.7126281402469212</v>
      </c>
    </row>
    <row r="7969" spans="1:11">
      <c r="A7969" s="4">
        <v>2026</v>
      </c>
      <c r="B7969">
        <v>22</v>
      </c>
      <c r="C7969" t="s">
        <v>10</v>
      </c>
      <c r="D7969" t="s">
        <v>11</v>
      </c>
      <c r="E7969" t="s">
        <v>20</v>
      </c>
      <c r="F7969" t="s">
        <v>21</v>
      </c>
      <c r="G7969" t="str">
        <f t="shared" si="324"/>
        <v>007SNOW BUBBLES</v>
      </c>
      <c r="H7969" s="5">
        <v>1220</v>
      </c>
      <c r="I7969" s="6">
        <v>634.05652706821184</v>
      </c>
      <c r="J7969" s="5">
        <v>4800</v>
      </c>
      <c r="K7969" s="6">
        <f t="shared" si="323"/>
        <v>1.9241186675281277</v>
      </c>
    </row>
    <row r="7970" spans="1:11">
      <c r="A7970" s="4">
        <v>2026</v>
      </c>
      <c r="B7970">
        <v>22</v>
      </c>
      <c r="C7970" t="s">
        <v>10</v>
      </c>
      <c r="D7970" t="s">
        <v>11</v>
      </c>
      <c r="E7970" t="s">
        <v>22</v>
      </c>
      <c r="F7970" t="s">
        <v>18</v>
      </c>
      <c r="G7970" t="str">
        <f t="shared" si="324"/>
        <v>009HOT BUBBLES</v>
      </c>
      <c r="H7970" s="5">
        <v>9860</v>
      </c>
      <c r="I7970" s="6">
        <v>4487.9999999102447</v>
      </c>
      <c r="J7970" s="5">
        <v>31740</v>
      </c>
      <c r="K7970" s="6">
        <f t="shared" si="323"/>
        <v>2.1969696970136341</v>
      </c>
    </row>
    <row r="7971" spans="1:11">
      <c r="A7971" s="4">
        <v>2026</v>
      </c>
      <c r="B7971">
        <v>22</v>
      </c>
      <c r="C7971" t="s">
        <v>10</v>
      </c>
      <c r="D7971" t="s">
        <v>11</v>
      </c>
      <c r="E7971" t="s">
        <v>23</v>
      </c>
      <c r="F7971" t="s">
        <v>24</v>
      </c>
      <c r="G7971" t="str">
        <f t="shared" si="324"/>
        <v>014FRUITY BUBBLES</v>
      </c>
      <c r="H7971" s="5">
        <v>2425</v>
      </c>
      <c r="I7971" s="6">
        <v>1702.7999999999988</v>
      </c>
      <c r="J7971" s="5">
        <v>12900</v>
      </c>
      <c r="K7971" s="6">
        <f t="shared" si="323"/>
        <v>1.4241249706365995</v>
      </c>
    </row>
    <row r="7972" spans="1:11">
      <c r="A7972" s="4">
        <v>2026</v>
      </c>
      <c r="B7972">
        <v>22</v>
      </c>
      <c r="C7972" t="s">
        <v>10</v>
      </c>
      <c r="D7972" t="s">
        <v>11</v>
      </c>
      <c r="E7972" t="s">
        <v>25</v>
      </c>
      <c r="F7972" t="s">
        <v>26</v>
      </c>
      <c r="G7972" t="str">
        <f t="shared" si="324"/>
        <v>015FELLINI</v>
      </c>
      <c r="H7972" s="5">
        <v>6560</v>
      </c>
      <c r="I7972" s="6">
        <v>3009.5999999999958</v>
      </c>
      <c r="J7972" s="5">
        <v>22800</v>
      </c>
      <c r="K7972" s="6">
        <f t="shared" si="323"/>
        <v>2.1796916533758668</v>
      </c>
    </row>
    <row r="7973" spans="1:11">
      <c r="A7973" s="4">
        <v>2026</v>
      </c>
      <c r="B7973">
        <v>22</v>
      </c>
      <c r="C7973" t="s">
        <v>10</v>
      </c>
      <c r="D7973" t="s">
        <v>11</v>
      </c>
      <c r="E7973" t="s">
        <v>27</v>
      </c>
      <c r="F7973" t="s">
        <v>28</v>
      </c>
      <c r="G7973" t="str">
        <f t="shared" si="324"/>
        <v>016GOOD PEACH</v>
      </c>
      <c r="H7973" s="5">
        <v>3660</v>
      </c>
      <c r="I7973" s="6">
        <v>1385.9999999999995</v>
      </c>
      <c r="J7973" s="5">
        <v>10500</v>
      </c>
      <c r="K7973" s="6">
        <f t="shared" si="323"/>
        <v>2.6406926406926416</v>
      </c>
    </row>
    <row r="7974" spans="1:11">
      <c r="A7974" s="4">
        <v>2026</v>
      </c>
      <c r="B7974">
        <v>22</v>
      </c>
      <c r="C7974" t="s">
        <v>10</v>
      </c>
      <c r="D7974" t="s">
        <v>11</v>
      </c>
      <c r="E7974" t="s">
        <v>27</v>
      </c>
      <c r="F7974" t="s">
        <v>29</v>
      </c>
      <c r="G7974" t="str">
        <f t="shared" si="324"/>
        <v>016GOOD YELLOW</v>
      </c>
      <c r="H7974" s="5">
        <v>3600</v>
      </c>
      <c r="I7974" s="6">
        <v>1385.9999999999995</v>
      </c>
      <c r="J7974" s="5">
        <v>10500</v>
      </c>
      <c r="K7974" s="6">
        <f t="shared" si="323"/>
        <v>2.5974025974025983</v>
      </c>
    </row>
    <row r="7975" spans="1:11">
      <c r="A7975" s="4">
        <v>2026</v>
      </c>
      <c r="B7975">
        <v>22</v>
      </c>
      <c r="C7975" t="s">
        <v>10</v>
      </c>
      <c r="D7975" t="s">
        <v>11</v>
      </c>
      <c r="E7975" t="s">
        <v>30</v>
      </c>
      <c r="F7975" t="s">
        <v>31</v>
      </c>
      <c r="G7975" t="str">
        <f t="shared" si="324"/>
        <v>017ORANGE STAR</v>
      </c>
      <c r="H7975" s="5">
        <v>1475</v>
      </c>
      <c r="I7975" s="6">
        <v>1029.6000000000004</v>
      </c>
      <c r="J7975" s="5">
        <v>7800</v>
      </c>
      <c r="K7975" s="6">
        <f t="shared" si="323"/>
        <v>1.4325951825951821</v>
      </c>
    </row>
    <row r="7976" spans="1:11">
      <c r="A7976" s="4">
        <v>2026</v>
      </c>
      <c r="B7976">
        <v>22</v>
      </c>
      <c r="C7976" t="s">
        <v>10</v>
      </c>
      <c r="D7976" t="s">
        <v>11</v>
      </c>
      <c r="E7976" t="s">
        <v>32</v>
      </c>
      <c r="F7976" t="s">
        <v>33</v>
      </c>
      <c r="G7976" t="str">
        <f t="shared" si="324"/>
        <v>018COSMO</v>
      </c>
      <c r="H7976" s="5">
        <v>3925</v>
      </c>
      <c r="I7976" s="6">
        <v>2653.1999999999966</v>
      </c>
      <c r="J7976" s="5">
        <v>20100</v>
      </c>
      <c r="K7976" s="6">
        <f t="shared" si="323"/>
        <v>1.4793456957636082</v>
      </c>
    </row>
    <row r="7977" spans="1:11">
      <c r="A7977" s="4">
        <v>2026</v>
      </c>
      <c r="B7977">
        <v>22</v>
      </c>
      <c r="C7977" t="s">
        <v>10</v>
      </c>
      <c r="D7977" t="s">
        <v>11</v>
      </c>
      <c r="E7977" t="s">
        <v>32</v>
      </c>
      <c r="F7977" t="s">
        <v>34</v>
      </c>
      <c r="G7977" t="str">
        <f t="shared" si="324"/>
        <v>018RUBICON</v>
      </c>
      <c r="H7977" s="5">
        <v>6030</v>
      </c>
      <c r="I7977" s="6">
        <v>1768.7999999999988</v>
      </c>
      <c r="J7977" s="5">
        <v>13400</v>
      </c>
      <c r="K7977" s="6">
        <f t="shared" si="323"/>
        <v>3.4090909090909114</v>
      </c>
    </row>
    <row r="7978" spans="1:11">
      <c r="A7978" s="4">
        <v>2026</v>
      </c>
      <c r="B7978">
        <v>22</v>
      </c>
      <c r="C7978" t="s">
        <v>10</v>
      </c>
      <c r="D7978" t="s">
        <v>11</v>
      </c>
      <c r="E7978" t="s">
        <v>35</v>
      </c>
      <c r="F7978" t="s">
        <v>15</v>
      </c>
      <c r="G7978" t="str">
        <f t="shared" si="324"/>
        <v>019BELLINA</v>
      </c>
      <c r="H7978" s="5">
        <v>1575</v>
      </c>
      <c r="I7978" s="6">
        <v>1029.6000000000004</v>
      </c>
      <c r="J7978" s="5">
        <v>7800</v>
      </c>
      <c r="K7978" s="6">
        <f t="shared" si="323"/>
        <v>1.5297202797202791</v>
      </c>
    </row>
    <row r="7979" spans="1:11">
      <c r="A7979" s="4">
        <v>2026</v>
      </c>
      <c r="B7979">
        <v>22</v>
      </c>
      <c r="C7979" t="s">
        <v>10</v>
      </c>
      <c r="D7979" t="s">
        <v>11</v>
      </c>
      <c r="E7979" t="s">
        <v>36</v>
      </c>
      <c r="F7979" t="s">
        <v>37</v>
      </c>
      <c r="G7979" t="str">
        <f t="shared" si="324"/>
        <v>020SUMMER DANCE</v>
      </c>
      <c r="H7979" s="5">
        <v>2775</v>
      </c>
      <c r="I7979" s="6">
        <v>1346.3999999999996</v>
      </c>
      <c r="J7979" s="5">
        <v>10200</v>
      </c>
      <c r="K7979" s="6">
        <f t="shared" si="323"/>
        <v>2.061051693404635</v>
      </c>
    </row>
    <row r="7980" spans="1:11">
      <c r="A7980" s="4">
        <v>2026</v>
      </c>
      <c r="B7980">
        <v>22</v>
      </c>
      <c r="C7980" t="s">
        <v>10</v>
      </c>
      <c r="D7980" t="s">
        <v>11</v>
      </c>
      <c r="E7980" t="s">
        <v>38</v>
      </c>
      <c r="F7980" t="s">
        <v>39</v>
      </c>
      <c r="G7980" t="str">
        <f t="shared" si="324"/>
        <v>021ELEGANT ROSEVER</v>
      </c>
      <c r="H7980" s="5">
        <v>1290</v>
      </c>
      <c r="I7980" s="6">
        <v>440.18999062500001</v>
      </c>
      <c r="J7980" s="5">
        <v>3200</v>
      </c>
      <c r="K7980" s="6">
        <f t="shared" si="323"/>
        <v>2.9305527782864953</v>
      </c>
    </row>
    <row r="7981" spans="1:11">
      <c r="A7981" s="4">
        <v>2026</v>
      </c>
      <c r="B7981">
        <v>22</v>
      </c>
      <c r="C7981" t="s">
        <v>10</v>
      </c>
      <c r="D7981" t="s">
        <v>11</v>
      </c>
      <c r="E7981" t="s">
        <v>38</v>
      </c>
      <c r="F7981" t="s">
        <v>40</v>
      </c>
      <c r="G7981" t="str">
        <f t="shared" si="324"/>
        <v>021FLAME CLUB</v>
      </c>
      <c r="H7981" s="5">
        <v>1875</v>
      </c>
      <c r="I7981" s="6">
        <v>880.37999999999965</v>
      </c>
      <c r="J7981" s="5">
        <v>6400</v>
      </c>
      <c r="K7981" s="6">
        <f t="shared" si="323"/>
        <v>2.129762148163294</v>
      </c>
    </row>
    <row r="7982" spans="1:11">
      <c r="A7982" s="4">
        <v>2026</v>
      </c>
      <c r="B7982">
        <v>22</v>
      </c>
      <c r="C7982" t="s">
        <v>10</v>
      </c>
      <c r="D7982" t="s">
        <v>11</v>
      </c>
      <c r="E7982" t="s">
        <v>38</v>
      </c>
      <c r="F7982" t="s">
        <v>41</v>
      </c>
      <c r="G7982" t="str">
        <f t="shared" si="324"/>
        <v>021KELLY</v>
      </c>
      <c r="H7982" s="5">
        <v>1150</v>
      </c>
      <c r="I7982" s="6">
        <v>330.14249999999998</v>
      </c>
      <c r="J7982" s="5">
        <v>2400</v>
      </c>
      <c r="K7982" s="6">
        <f t="shared" si="323"/>
        <v>3.4833443134404085</v>
      </c>
    </row>
    <row r="7983" spans="1:11">
      <c r="A7983" s="4">
        <v>2026</v>
      </c>
      <c r="B7983">
        <v>22</v>
      </c>
      <c r="C7983" t="s">
        <v>10</v>
      </c>
      <c r="D7983" t="s">
        <v>11</v>
      </c>
      <c r="E7983" t="s">
        <v>38</v>
      </c>
      <c r="F7983" t="s">
        <v>42</v>
      </c>
      <c r="G7983" t="str">
        <f t="shared" si="324"/>
        <v>021LEILA</v>
      </c>
      <c r="H7983" s="5">
        <v>5300</v>
      </c>
      <c r="I7983" s="6">
        <v>770.33249999999975</v>
      </c>
      <c r="J7983" s="5">
        <v>5600</v>
      </c>
      <c r="K7983" s="6">
        <f t="shared" si="323"/>
        <v>6.8801459110189453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38</v>
      </c>
      <c r="F7984" t="s">
        <v>115</v>
      </c>
      <c r="G7984" t="str">
        <f t="shared" si="324"/>
        <v>021PISTACHIO KISS</v>
      </c>
      <c r="H7984" s="5">
        <v>75</v>
      </c>
      <c r="I7984" s="6">
        <v>880.37999999999965</v>
      </c>
      <c r="J7984" s="5">
        <v>6400</v>
      </c>
      <c r="K7984" s="6">
        <f t="shared" si="323"/>
        <v>8.5190485926531764E-2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38</v>
      </c>
      <c r="F7985" t="s">
        <v>21</v>
      </c>
      <c r="G7985" t="str">
        <f t="shared" si="324"/>
        <v>021SNOW BUBBLES</v>
      </c>
      <c r="H7985" s="5">
        <v>2540</v>
      </c>
      <c r="I7985" s="6">
        <v>1287.0000000000018</v>
      </c>
      <c r="J7985" s="5">
        <v>9400</v>
      </c>
      <c r="K7985" s="6">
        <f t="shared" si="323"/>
        <v>1.9735819735819708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43</v>
      </c>
      <c r="F7986" t="s">
        <v>24</v>
      </c>
      <c r="G7986" t="str">
        <f t="shared" si="324"/>
        <v>022FRUITY BUBBLES</v>
      </c>
      <c r="H7986" s="5">
        <v>5475</v>
      </c>
      <c r="I7986" s="6">
        <v>2641.139999999999</v>
      </c>
      <c r="J7986" s="5">
        <v>19200</v>
      </c>
      <c r="K7986" s="6">
        <f t="shared" ref="K7986:K8047" si="325">+H7986/I7986</f>
        <v>2.0729684908789396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43</v>
      </c>
      <c r="F7987" t="s">
        <v>28</v>
      </c>
      <c r="G7987" t="str">
        <f t="shared" si="324"/>
        <v>022GOOD PEACH</v>
      </c>
      <c r="H7987" s="5">
        <v>2670</v>
      </c>
      <c r="I7987" s="6">
        <v>880.37999999999965</v>
      </c>
      <c r="J7987" s="5">
        <v>6400</v>
      </c>
      <c r="K7987" s="6">
        <f t="shared" si="325"/>
        <v>3.0327812989845304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43</v>
      </c>
      <c r="F7988" t="s">
        <v>44</v>
      </c>
      <c r="G7988" t="str">
        <f t="shared" si="324"/>
        <v>022MIRABEL</v>
      </c>
      <c r="H7988" s="5">
        <v>1440</v>
      </c>
      <c r="I7988" s="6">
        <v>880.37999999999965</v>
      </c>
      <c r="J7988" s="5">
        <v>6400</v>
      </c>
      <c r="K7988" s="6">
        <f t="shared" si="325"/>
        <v>1.6356573297894097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47</v>
      </c>
      <c r="F7989" t="s">
        <v>44</v>
      </c>
      <c r="G7989" t="str">
        <f t="shared" si="324"/>
        <v>030MIRABEL</v>
      </c>
      <c r="H7989" s="5">
        <v>5400</v>
      </c>
      <c r="I7989" s="6">
        <v>2413.6749943750001</v>
      </c>
      <c r="J7989" s="5">
        <v>17600</v>
      </c>
      <c r="K7989" s="6">
        <f t="shared" si="325"/>
        <v>2.2372523279167842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47</v>
      </c>
      <c r="F7990" t="s">
        <v>13</v>
      </c>
      <c r="G7990" t="str">
        <f t="shared" si="324"/>
        <v>030SOMERSET</v>
      </c>
      <c r="H7990" s="5">
        <v>3840</v>
      </c>
      <c r="I7990" s="6">
        <v>1645.6875000000009</v>
      </c>
      <c r="J7990" s="5">
        <v>12000</v>
      </c>
      <c r="K7990" s="6">
        <f t="shared" si="325"/>
        <v>2.3333713113820198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48</v>
      </c>
      <c r="F7991" t="s">
        <v>49</v>
      </c>
      <c r="G7991" t="str">
        <f t="shared" si="324"/>
        <v>03182989</v>
      </c>
      <c r="H7991" s="5">
        <v>1440</v>
      </c>
      <c r="I7991" s="6">
        <v>726.32013058333712</v>
      </c>
      <c r="J7991" s="5">
        <v>5712</v>
      </c>
      <c r="K7991" s="6">
        <f t="shared" si="325"/>
        <v>1.9825968458887098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48</v>
      </c>
      <c r="F7992" t="s">
        <v>34</v>
      </c>
      <c r="G7992" t="str">
        <f t="shared" si="324"/>
        <v>031RUBICON</v>
      </c>
      <c r="H7992" s="5">
        <v>2940</v>
      </c>
      <c r="I7992" s="6">
        <v>924.39958333667118</v>
      </c>
      <c r="J7992" s="5">
        <v>6720</v>
      </c>
      <c r="K7992" s="6">
        <f t="shared" si="325"/>
        <v>3.1804428009237178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48</v>
      </c>
      <c r="F7993" t="s">
        <v>13</v>
      </c>
      <c r="G7993" t="str">
        <f t="shared" si="324"/>
        <v>031SOMERSET</v>
      </c>
      <c r="H7993" s="5">
        <v>5260</v>
      </c>
      <c r="I7993" s="6">
        <v>1122.4852083333392</v>
      </c>
      <c r="J7993" s="5">
        <v>8160</v>
      </c>
      <c r="K7993" s="6">
        <f t="shared" si="325"/>
        <v>4.6860305694451183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48</v>
      </c>
      <c r="F7994" t="s">
        <v>50</v>
      </c>
      <c r="G7994" t="str">
        <f t="shared" si="324"/>
        <v>031VELVET BLOSSOMS</v>
      </c>
      <c r="H7994" s="5">
        <v>760</v>
      </c>
      <c r="I7994" s="6">
        <v>396.17125000000203</v>
      </c>
      <c r="J7994" s="5">
        <v>2880</v>
      </c>
      <c r="K7994" s="6">
        <f t="shared" si="325"/>
        <v>1.9183623243736039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51</v>
      </c>
      <c r="F7995" t="s">
        <v>17</v>
      </c>
      <c r="G7995" t="str">
        <f t="shared" si="324"/>
        <v>032ELBA</v>
      </c>
      <c r="H7995" s="5">
        <v>4110</v>
      </c>
      <c r="I7995" s="6">
        <v>1535.9749999999992</v>
      </c>
      <c r="J7995" s="5">
        <v>11200</v>
      </c>
      <c r="K7995" s="6">
        <f t="shared" si="325"/>
        <v>2.6758248018359687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51</v>
      </c>
      <c r="F7996" t="s">
        <v>44</v>
      </c>
      <c r="G7996" t="str">
        <f t="shared" si="324"/>
        <v>032MIRABEL</v>
      </c>
      <c r="H7996" s="5">
        <v>1960</v>
      </c>
      <c r="I7996" s="6">
        <v>1535.9749999999995</v>
      </c>
      <c r="J7996" s="5">
        <v>11200</v>
      </c>
      <c r="K7996" s="6">
        <f t="shared" si="325"/>
        <v>1.2760624359120434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52</v>
      </c>
      <c r="F7997" t="s">
        <v>53</v>
      </c>
      <c r="G7997" t="str">
        <f t="shared" si="324"/>
        <v>033CREAMY FOLIES</v>
      </c>
      <c r="H7997" s="5">
        <v>840</v>
      </c>
      <c r="I7997" s="6">
        <v>594.25687500000311</v>
      </c>
      <c r="J7997" s="5">
        <v>4320</v>
      </c>
      <c r="K7997" s="6">
        <f t="shared" si="325"/>
        <v>1.4135301337489712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52</v>
      </c>
      <c r="F7998" t="s">
        <v>18</v>
      </c>
      <c r="G7998" t="str">
        <f t="shared" si="324"/>
        <v>033HOT BUBBLES</v>
      </c>
      <c r="H7998" s="5">
        <v>3080</v>
      </c>
      <c r="I7998" s="6">
        <v>2575.1131250013464</v>
      </c>
      <c r="J7998" s="5">
        <v>18720</v>
      </c>
      <c r="K7998" s="6">
        <f t="shared" si="325"/>
        <v>1.1960639593254334</v>
      </c>
    </row>
    <row r="7999" spans="1:11">
      <c r="A7999" s="4">
        <v>2026</v>
      </c>
      <c r="B7999">
        <v>22</v>
      </c>
      <c r="C7999" t="s">
        <v>54</v>
      </c>
      <c r="D7999" t="s">
        <v>11</v>
      </c>
      <c r="E7999" t="s">
        <v>55</v>
      </c>
      <c r="F7999" t="s">
        <v>56</v>
      </c>
      <c r="G7999" t="str">
        <f t="shared" si="324"/>
        <v>001BELIEVE IN PINK</v>
      </c>
      <c r="H7999" s="5">
        <v>1710</v>
      </c>
      <c r="I7999" s="6">
        <v>528.37931032368999</v>
      </c>
      <c r="J7999" s="5">
        <v>4000</v>
      </c>
      <c r="K7999" s="6">
        <f t="shared" si="325"/>
        <v>3.2363114273956683</v>
      </c>
    </row>
    <row r="8000" spans="1:11">
      <c r="A8000" s="4">
        <v>2026</v>
      </c>
      <c r="B8000">
        <v>22</v>
      </c>
      <c r="C8000" t="s">
        <v>54</v>
      </c>
      <c r="D8000" t="s">
        <v>11</v>
      </c>
      <c r="E8000" t="s">
        <v>55</v>
      </c>
      <c r="F8000" t="s">
        <v>57</v>
      </c>
      <c r="G8000" t="str">
        <f t="shared" si="324"/>
        <v>001EXPLORER</v>
      </c>
      <c r="H8000" s="5">
        <v>5625</v>
      </c>
      <c r="I8000" s="6">
        <v>2272.0310343918723</v>
      </c>
      <c r="J8000" s="5">
        <v>17200</v>
      </c>
      <c r="K8000" s="6">
        <f t="shared" si="325"/>
        <v>2.4757584358901936</v>
      </c>
    </row>
    <row r="8001" spans="1:11">
      <c r="A8001" s="4">
        <v>2026</v>
      </c>
      <c r="B8001">
        <v>22</v>
      </c>
      <c r="C8001" t="s">
        <v>54</v>
      </c>
      <c r="D8001" t="s">
        <v>11</v>
      </c>
      <c r="E8001" t="s">
        <v>55</v>
      </c>
      <c r="F8001" t="s">
        <v>58</v>
      </c>
      <c r="G8001" t="str">
        <f t="shared" si="324"/>
        <v>001GRACE KELLY</v>
      </c>
      <c r="H8001" s="5">
        <v>2100</v>
      </c>
      <c r="I8001" s="6">
        <v>1162.434482712122</v>
      </c>
      <c r="J8001" s="5">
        <v>8800</v>
      </c>
      <c r="K8001" s="6">
        <f t="shared" si="325"/>
        <v>1.8065534283707816</v>
      </c>
    </row>
    <row r="8002" spans="1:11">
      <c r="A8002" s="4">
        <v>2026</v>
      </c>
      <c r="B8002">
        <v>22</v>
      </c>
      <c r="C8002" t="s">
        <v>54</v>
      </c>
      <c r="D8002" t="s">
        <v>11</v>
      </c>
      <c r="E8002" t="s">
        <v>55</v>
      </c>
      <c r="F8002" t="s">
        <v>60</v>
      </c>
      <c r="G8002" t="str">
        <f t="shared" si="324"/>
        <v>001LIGHT HOUSE</v>
      </c>
      <c r="H8002" s="5">
        <v>2220</v>
      </c>
      <c r="I8002" s="6">
        <v>1056.7586206473825</v>
      </c>
      <c r="J8002" s="5">
        <v>8000</v>
      </c>
      <c r="K8002" s="6">
        <f t="shared" si="325"/>
        <v>2.1007635581340254</v>
      </c>
    </row>
    <row r="8003" spans="1:11">
      <c r="A8003" s="4">
        <v>2026</v>
      </c>
      <c r="B8003">
        <v>22</v>
      </c>
      <c r="C8003" t="s">
        <v>54</v>
      </c>
      <c r="D8003" t="s">
        <v>11</v>
      </c>
      <c r="E8003" t="s">
        <v>55</v>
      </c>
      <c r="F8003" t="s">
        <v>61</v>
      </c>
      <c r="G8003" t="str">
        <f t="shared" si="324"/>
        <v>001LUMIA</v>
      </c>
      <c r="H8003" s="5">
        <v>1620</v>
      </c>
      <c r="I8003" s="6">
        <v>1109.5965516797528</v>
      </c>
      <c r="J8003" s="5">
        <v>8400</v>
      </c>
      <c r="K8003" s="6">
        <f t="shared" si="325"/>
        <v>1.4599901176221011</v>
      </c>
    </row>
    <row r="8004" spans="1:11">
      <c r="A8004" s="4">
        <v>2026</v>
      </c>
      <c r="B8004">
        <v>22</v>
      </c>
      <c r="C8004" t="s">
        <v>54</v>
      </c>
      <c r="D8004" t="s">
        <v>11</v>
      </c>
      <c r="E8004" t="s">
        <v>55</v>
      </c>
      <c r="F8004" t="s">
        <v>62</v>
      </c>
      <c r="G8004" t="str">
        <f t="shared" si="324"/>
        <v>001MOMENTUM</v>
      </c>
      <c r="H8004" s="5">
        <v>4200</v>
      </c>
      <c r="I8004" s="6">
        <v>1902.1655171652874</v>
      </c>
      <c r="J8004" s="5">
        <v>14400</v>
      </c>
      <c r="K8004" s="6">
        <f t="shared" si="325"/>
        <v>2.2080097457865144</v>
      </c>
    </row>
    <row r="8005" spans="1:11">
      <c r="A8005" s="4">
        <v>2026</v>
      </c>
      <c r="B8005">
        <v>22</v>
      </c>
      <c r="C8005" t="s">
        <v>54</v>
      </c>
      <c r="D8005" t="s">
        <v>11</v>
      </c>
      <c r="E8005" t="s">
        <v>12</v>
      </c>
      <c r="F8005" t="s">
        <v>63</v>
      </c>
      <c r="G8005" t="str">
        <f t="shared" si="324"/>
        <v>002SUMMER ROMANCE</v>
      </c>
      <c r="H8005" s="5">
        <v>2825</v>
      </c>
      <c r="I8005" s="6">
        <v>951.10714281909407</v>
      </c>
      <c r="J8005" s="5">
        <v>7200</v>
      </c>
      <c r="K8005" s="6">
        <f t="shared" si="325"/>
        <v>2.9702226729437262</v>
      </c>
    </row>
    <row r="8006" spans="1:11">
      <c r="A8006" s="4">
        <v>2026</v>
      </c>
      <c r="B8006">
        <v>22</v>
      </c>
      <c r="C8006" t="s">
        <v>54</v>
      </c>
      <c r="D8006" t="s">
        <v>11</v>
      </c>
      <c r="E8006" t="s">
        <v>12</v>
      </c>
      <c r="F8006" t="s">
        <v>64</v>
      </c>
      <c r="G8006" t="str">
        <f t="shared" si="324"/>
        <v>002SWEETNESS</v>
      </c>
      <c r="H8006" s="5">
        <v>6360</v>
      </c>
      <c r="I8006" s="6">
        <v>3804.4285712763835</v>
      </c>
      <c r="J8006" s="5">
        <v>28800</v>
      </c>
      <c r="K8006" s="6">
        <f t="shared" si="325"/>
        <v>1.6717359468957578</v>
      </c>
    </row>
    <row r="8007" spans="1:11">
      <c r="A8007" s="4">
        <v>2026</v>
      </c>
      <c r="B8007">
        <v>22</v>
      </c>
      <c r="C8007" t="s">
        <v>54</v>
      </c>
      <c r="D8007" t="s">
        <v>11</v>
      </c>
      <c r="E8007" t="s">
        <v>65</v>
      </c>
      <c r="F8007" t="s">
        <v>66</v>
      </c>
      <c r="G8007" t="str">
        <f t="shared" si="324"/>
        <v>003CABARET</v>
      </c>
      <c r="H8007" s="5">
        <v>4110</v>
      </c>
      <c r="I8007" s="6">
        <v>2641.8965516184676</v>
      </c>
      <c r="J8007" s="5">
        <v>20000</v>
      </c>
      <c r="K8007" s="6">
        <f t="shared" si="325"/>
        <v>1.5557005808884337</v>
      </c>
    </row>
    <row r="8008" spans="1:11">
      <c r="A8008" s="4">
        <v>2026</v>
      </c>
      <c r="B8008">
        <v>22</v>
      </c>
      <c r="C8008" t="s">
        <v>54</v>
      </c>
      <c r="D8008" t="s">
        <v>11</v>
      </c>
      <c r="E8008" t="s">
        <v>65</v>
      </c>
      <c r="F8008" t="s">
        <v>67</v>
      </c>
      <c r="G8008" t="str">
        <f t="shared" si="324"/>
        <v>003DEEP PURPLE</v>
      </c>
      <c r="H8008" s="5">
        <v>8880</v>
      </c>
      <c r="I8008" s="6">
        <v>3592.9793102010881</v>
      </c>
      <c r="J8008" s="5">
        <v>26044</v>
      </c>
      <c r="K8008" s="6">
        <f t="shared" si="325"/>
        <v>2.4714865389812148</v>
      </c>
    </row>
    <row r="8009" spans="1:11">
      <c r="A8009" s="4">
        <v>2026</v>
      </c>
      <c r="B8009">
        <v>22</v>
      </c>
      <c r="C8009" t="s">
        <v>54</v>
      </c>
      <c r="D8009" t="s">
        <v>11</v>
      </c>
      <c r="E8009" t="s">
        <v>65</v>
      </c>
      <c r="F8009" t="s">
        <v>57</v>
      </c>
      <c r="G8009" t="str">
        <f t="shared" si="324"/>
        <v>003EXPLORER</v>
      </c>
      <c r="H8009" s="5">
        <v>2500</v>
      </c>
      <c r="I8009" s="6">
        <v>1268.1103447768635</v>
      </c>
      <c r="J8009" s="5">
        <v>9600</v>
      </c>
      <c r="K8009" s="6">
        <f t="shared" si="325"/>
        <v>1.9714372730236656</v>
      </c>
    </row>
    <row r="8010" spans="1:11">
      <c r="A8010" s="4">
        <v>2026</v>
      </c>
      <c r="B8010">
        <v>22</v>
      </c>
      <c r="C8010" t="s">
        <v>54</v>
      </c>
      <c r="D8010" t="s">
        <v>11</v>
      </c>
      <c r="E8010" t="s">
        <v>65</v>
      </c>
      <c r="F8010" t="s">
        <v>68</v>
      </c>
      <c r="G8010" t="str">
        <f t="shared" si="324"/>
        <v>003JOCKER</v>
      </c>
      <c r="H8010" s="5">
        <v>850</v>
      </c>
      <c r="I8010" s="6">
        <v>528.37931032368999</v>
      </c>
      <c r="J8010" s="5">
        <v>4000</v>
      </c>
      <c r="K8010" s="6">
        <f t="shared" si="325"/>
        <v>1.6086928147873205</v>
      </c>
    </row>
    <row r="8011" spans="1:11">
      <c r="A8011" s="4">
        <v>2026</v>
      </c>
      <c r="B8011">
        <v>22</v>
      </c>
      <c r="C8011" t="s">
        <v>54</v>
      </c>
      <c r="D8011" t="s">
        <v>11</v>
      </c>
      <c r="E8011" t="s">
        <v>65</v>
      </c>
      <c r="F8011" t="s">
        <v>69</v>
      </c>
      <c r="G8011" t="str">
        <f t="shared" ref="G8011:G8073" si="326">+E8011&amp;F8011</f>
        <v>003QUICKSAND</v>
      </c>
      <c r="H8011" s="5">
        <v>1980</v>
      </c>
      <c r="I8011" s="6">
        <v>1162.4344827121247</v>
      </c>
      <c r="J8011" s="5">
        <v>8800</v>
      </c>
      <c r="K8011" s="6">
        <f t="shared" si="325"/>
        <v>1.7033218038924471</v>
      </c>
    </row>
    <row r="8012" spans="1:11">
      <c r="A8012" s="4">
        <v>2026</v>
      </c>
      <c r="B8012">
        <v>22</v>
      </c>
      <c r="C8012" t="s">
        <v>54</v>
      </c>
      <c r="D8012" t="s">
        <v>11</v>
      </c>
      <c r="E8012" t="s">
        <v>14</v>
      </c>
      <c r="F8012" t="s">
        <v>70</v>
      </c>
      <c r="G8012" t="str">
        <f t="shared" si="326"/>
        <v>004COTOPAXI</v>
      </c>
      <c r="H8012" s="5">
        <v>570</v>
      </c>
      <c r="I8012" s="6">
        <v>528.39150244191671</v>
      </c>
      <c r="J8012" s="5">
        <v>4000</v>
      </c>
      <c r="K8012" s="6">
        <f t="shared" si="325"/>
        <v>1.0787455842226703</v>
      </c>
    </row>
    <row r="8013" spans="1:11">
      <c r="A8013" s="4">
        <v>2026</v>
      </c>
      <c r="B8013">
        <v>22</v>
      </c>
      <c r="C8013" t="s">
        <v>54</v>
      </c>
      <c r="D8013" t="s">
        <v>11</v>
      </c>
      <c r="E8013" t="s">
        <v>14</v>
      </c>
      <c r="F8013" t="s">
        <v>67</v>
      </c>
      <c r="G8013" t="str">
        <f t="shared" si="326"/>
        <v>004DEEP PURPLE</v>
      </c>
      <c r="H8013" s="5">
        <v>9000</v>
      </c>
      <c r="I8013" s="6">
        <v>3910.1071427007341</v>
      </c>
      <c r="J8013" s="5">
        <v>29260</v>
      </c>
      <c r="K8013" s="6">
        <f t="shared" si="325"/>
        <v>2.3017272088824776</v>
      </c>
    </row>
    <row r="8014" spans="1:11">
      <c r="A8014" s="4">
        <v>2026</v>
      </c>
      <c r="B8014">
        <v>22</v>
      </c>
      <c r="C8014" t="s">
        <v>54</v>
      </c>
      <c r="D8014" t="s">
        <v>11</v>
      </c>
      <c r="E8014" t="s">
        <v>14</v>
      </c>
      <c r="F8014" t="s">
        <v>71</v>
      </c>
      <c r="G8014" t="str">
        <f t="shared" si="326"/>
        <v>004HOT EXPLORER</v>
      </c>
      <c r="H8014" s="5">
        <v>3500</v>
      </c>
      <c r="I8014" s="6">
        <v>1902.2142856381947</v>
      </c>
      <c r="J8014" s="5">
        <v>14400</v>
      </c>
      <c r="K8014" s="6">
        <f t="shared" si="325"/>
        <v>1.83996094784124</v>
      </c>
    </row>
    <row r="8015" spans="1:11">
      <c r="A8015" s="4">
        <v>2026</v>
      </c>
      <c r="B8015">
        <v>22</v>
      </c>
      <c r="C8015" t="s">
        <v>54</v>
      </c>
      <c r="D8015" t="s">
        <v>11</v>
      </c>
      <c r="E8015" t="s">
        <v>14</v>
      </c>
      <c r="F8015" t="s">
        <v>72</v>
      </c>
      <c r="G8015" t="str">
        <f t="shared" si="326"/>
        <v>004HOT MERENGUE</v>
      </c>
      <c r="H8015" s="5">
        <v>3450</v>
      </c>
      <c r="I8015" s="6">
        <v>1162.4642856677858</v>
      </c>
      <c r="J8015" s="5">
        <v>8800</v>
      </c>
      <c r="K8015" s="6">
        <f t="shared" si="325"/>
        <v>2.9678331132711944</v>
      </c>
    </row>
    <row r="8016" spans="1:11">
      <c r="A8016" s="4">
        <v>2026</v>
      </c>
      <c r="B8016">
        <v>22</v>
      </c>
      <c r="C8016" t="s">
        <v>54</v>
      </c>
      <c r="D8016" t="s">
        <v>11</v>
      </c>
      <c r="E8016" t="s">
        <v>14</v>
      </c>
      <c r="F8016" t="s">
        <v>64</v>
      </c>
      <c r="G8016" t="str">
        <f t="shared" si="326"/>
        <v>004SWEETNESS</v>
      </c>
      <c r="H8016" s="5">
        <v>630</v>
      </c>
      <c r="I8016" s="6">
        <v>317.03571427303262</v>
      </c>
      <c r="J8016" s="5">
        <v>2400</v>
      </c>
      <c r="K8016" s="6">
        <f t="shared" si="325"/>
        <v>1.9871578236685381</v>
      </c>
    </row>
    <row r="8017" spans="1:11">
      <c r="A8017" s="4">
        <v>2026</v>
      </c>
      <c r="B8017">
        <v>22</v>
      </c>
      <c r="C8017" t="s">
        <v>54</v>
      </c>
      <c r="D8017" t="s">
        <v>11</v>
      </c>
      <c r="E8017" t="s">
        <v>16</v>
      </c>
      <c r="F8017" t="s">
        <v>57</v>
      </c>
      <c r="G8017" t="str">
        <f t="shared" si="326"/>
        <v>005EXPLORER</v>
      </c>
      <c r="H8017" s="5">
        <v>1950</v>
      </c>
      <c r="I8017" s="6">
        <v>951.10714281875414</v>
      </c>
      <c r="J8017" s="5">
        <v>7200</v>
      </c>
      <c r="K8017" s="6">
        <f t="shared" si="325"/>
        <v>2.050242199023836</v>
      </c>
    </row>
    <row r="8018" spans="1:11">
      <c r="A8018" s="4">
        <v>2026</v>
      </c>
      <c r="B8018">
        <v>22</v>
      </c>
      <c r="C8018" t="s">
        <v>54</v>
      </c>
      <c r="D8018" t="s">
        <v>11</v>
      </c>
      <c r="E8018" t="s">
        <v>16</v>
      </c>
      <c r="F8018" t="s">
        <v>73</v>
      </c>
      <c r="G8018" t="str">
        <f t="shared" si="326"/>
        <v>005GOLDFINCH</v>
      </c>
      <c r="H8018" s="5">
        <v>1125</v>
      </c>
      <c r="I8018" s="6">
        <v>898.26785710660113</v>
      </c>
      <c r="J8018" s="5">
        <v>6800</v>
      </c>
      <c r="K8018" s="6">
        <f t="shared" si="325"/>
        <v>1.252410393068859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16</v>
      </c>
      <c r="F8019" t="s">
        <v>68</v>
      </c>
      <c r="G8019" t="str">
        <f t="shared" si="326"/>
        <v>005JOCKER</v>
      </c>
      <c r="H8019" s="5">
        <v>3225</v>
      </c>
      <c r="I8019" s="6">
        <v>1162.4642856673661</v>
      </c>
      <c r="J8019" s="5">
        <v>8800</v>
      </c>
      <c r="K8019" s="6">
        <f t="shared" si="325"/>
        <v>2.7742787797979878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16</v>
      </c>
      <c r="F8020" t="s">
        <v>74</v>
      </c>
      <c r="G8020" t="str">
        <f t="shared" si="326"/>
        <v>005VENDELA</v>
      </c>
      <c r="H8020" s="5">
        <v>2460</v>
      </c>
      <c r="I8020" s="6">
        <v>686.91071425798907</v>
      </c>
      <c r="J8020" s="5">
        <v>5200</v>
      </c>
      <c r="K8020" s="6">
        <f t="shared" si="325"/>
        <v>3.5812514624369016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75</v>
      </c>
      <c r="F8021" t="s">
        <v>76</v>
      </c>
      <c r="G8021" t="str">
        <f t="shared" si="326"/>
        <v>006ATOMIC</v>
      </c>
      <c r="H8021" s="5">
        <v>1250</v>
      </c>
      <c r="I8021" s="6">
        <v>845.428571394752</v>
      </c>
      <c r="J8021" s="5">
        <v>6400</v>
      </c>
      <c r="K8021" s="6">
        <f t="shared" si="325"/>
        <v>1.4785400473724271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75</v>
      </c>
      <c r="F8022" t="s">
        <v>57</v>
      </c>
      <c r="G8022" t="str">
        <f t="shared" si="326"/>
        <v>006EXPLORER</v>
      </c>
      <c r="H8022" s="5">
        <v>9525</v>
      </c>
      <c r="I8022" s="6">
        <v>3910.1071427007359</v>
      </c>
      <c r="J8022" s="5">
        <v>29600</v>
      </c>
      <c r="K8022" s="6">
        <f t="shared" si="325"/>
        <v>2.4359946294006209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75</v>
      </c>
      <c r="F8023" t="s">
        <v>77</v>
      </c>
      <c r="G8023" t="str">
        <f t="shared" si="326"/>
        <v>006MONDIAL</v>
      </c>
      <c r="H8023" s="5">
        <v>5975</v>
      </c>
      <c r="I8023" s="6">
        <v>4015.7857141250797</v>
      </c>
      <c r="J8023" s="5">
        <v>30400</v>
      </c>
      <c r="K8023" s="6">
        <f t="shared" si="325"/>
        <v>1.4878781950400395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20</v>
      </c>
      <c r="F8024" t="s">
        <v>70</v>
      </c>
      <c r="G8024" t="str">
        <f t="shared" si="326"/>
        <v>007COTOPAXI</v>
      </c>
      <c r="H8024" s="5">
        <v>5160</v>
      </c>
      <c r="I8024" s="6">
        <v>2747.5751230427732</v>
      </c>
      <c r="J8024" s="5">
        <v>20800</v>
      </c>
      <c r="K8024" s="6">
        <f t="shared" si="325"/>
        <v>1.8780196241861487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20</v>
      </c>
      <c r="F8025" t="s">
        <v>78</v>
      </c>
      <c r="G8025" t="str">
        <f t="shared" si="326"/>
        <v>007REDIANT</v>
      </c>
      <c r="H8025" s="5">
        <v>1830</v>
      </c>
      <c r="I8025" s="6">
        <v>1056.7586206473795</v>
      </c>
      <c r="J8025" s="5">
        <v>9600</v>
      </c>
      <c r="K8025" s="6">
        <f t="shared" si="325"/>
        <v>1.7317105006239988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20</v>
      </c>
      <c r="F8026" t="s">
        <v>63</v>
      </c>
      <c r="G8026" t="str">
        <f t="shared" si="326"/>
        <v>007SUMMER ROMANCE</v>
      </c>
      <c r="H8026" s="5">
        <v>675</v>
      </c>
      <c r="I8026" s="6">
        <v>317.02758619421576</v>
      </c>
      <c r="J8026" s="5">
        <v>2640</v>
      </c>
      <c r="K8026" s="6">
        <f t="shared" si="325"/>
        <v>2.1291522548655597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20</v>
      </c>
      <c r="F8027" t="s">
        <v>74</v>
      </c>
      <c r="G8027" t="str">
        <f t="shared" si="326"/>
        <v>007VENDELA</v>
      </c>
      <c r="H8027" s="5">
        <v>12720</v>
      </c>
      <c r="I8027" s="6">
        <v>3592.9793102011167</v>
      </c>
      <c r="J8027" s="5">
        <v>27820</v>
      </c>
      <c r="K8027" s="6">
        <f t="shared" si="325"/>
        <v>3.540237474756847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79</v>
      </c>
      <c r="F8028" t="s">
        <v>67</v>
      </c>
      <c r="G8028" t="str">
        <f t="shared" si="326"/>
        <v>008DEEP PURPLE</v>
      </c>
      <c r="H8028" s="5">
        <v>3240</v>
      </c>
      <c r="I8028" s="6">
        <v>1585.2222221588088</v>
      </c>
      <c r="J8028" s="5">
        <v>11490</v>
      </c>
      <c r="K8028" s="6">
        <f t="shared" si="325"/>
        <v>2.0438774795799035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79</v>
      </c>
      <c r="F8029" t="s">
        <v>81</v>
      </c>
      <c r="G8029" t="str">
        <f t="shared" si="326"/>
        <v>008FREEDOM</v>
      </c>
      <c r="H8029" s="5">
        <v>3600</v>
      </c>
      <c r="I8029" s="6">
        <v>2219.3111110223322</v>
      </c>
      <c r="J8029" s="5">
        <v>16800</v>
      </c>
      <c r="K8029" s="6">
        <f t="shared" si="325"/>
        <v>1.6221249837935743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79</v>
      </c>
      <c r="F8030" t="s">
        <v>68</v>
      </c>
      <c r="G8030" t="str">
        <f t="shared" si="326"/>
        <v>008JOCKER</v>
      </c>
      <c r="H8030" s="5">
        <v>6000</v>
      </c>
      <c r="I8030" s="6">
        <v>2959.0814813631118</v>
      </c>
      <c r="J8030" s="5">
        <v>22400</v>
      </c>
      <c r="K8030" s="6">
        <f t="shared" si="325"/>
        <v>2.0276562297419662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79</v>
      </c>
      <c r="F8031" t="s">
        <v>61</v>
      </c>
      <c r="G8031" t="str">
        <f t="shared" si="326"/>
        <v>008LUMIA</v>
      </c>
      <c r="H8031" s="5">
        <v>1860</v>
      </c>
      <c r="I8031" s="6">
        <v>1796.5851851133164</v>
      </c>
      <c r="J8031" s="5">
        <v>13600</v>
      </c>
      <c r="K8031" s="6">
        <f t="shared" si="325"/>
        <v>1.0352974161270754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82</v>
      </c>
      <c r="F8032" t="s">
        <v>83</v>
      </c>
      <c r="G8032" t="str">
        <f t="shared" si="326"/>
        <v>010COOLDOWN</v>
      </c>
      <c r="H8032" s="5">
        <v>1750</v>
      </c>
      <c r="I8032" s="6">
        <v>1912.3542857142854</v>
      </c>
      <c r="J8032" s="5">
        <v>16320</v>
      </c>
      <c r="K8032" s="6">
        <f t="shared" si="325"/>
        <v>0.91510240182632041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82</v>
      </c>
      <c r="F8033" t="s">
        <v>84</v>
      </c>
      <c r="G8033" t="str">
        <f t="shared" si="326"/>
        <v>010VIOLET HILL</v>
      </c>
      <c r="H8033" s="5">
        <v>2940</v>
      </c>
      <c r="I8033" s="6">
        <v>2812.2857142428566</v>
      </c>
      <c r="J8033" s="5">
        <v>20000</v>
      </c>
      <c r="K8033" s="6">
        <f t="shared" si="325"/>
        <v>1.0454129838623198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85</v>
      </c>
      <c r="F8034" t="s">
        <v>86</v>
      </c>
      <c r="G8034" t="str">
        <f t="shared" si="326"/>
        <v>011BRIGHTON</v>
      </c>
      <c r="H8034" s="5">
        <v>3600</v>
      </c>
      <c r="I8034" s="6">
        <v>1768.8376470588212</v>
      </c>
      <c r="J8034" s="5">
        <v>12800</v>
      </c>
      <c r="K8034" s="6">
        <f t="shared" si="325"/>
        <v>2.0352348368353588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85</v>
      </c>
      <c r="F8035" t="s">
        <v>87</v>
      </c>
      <c r="G8035" t="str">
        <f t="shared" si="326"/>
        <v>011CANDLELIGHT</v>
      </c>
      <c r="H8035" s="5">
        <v>4560</v>
      </c>
      <c r="I8035" s="6">
        <v>2263.799999886814</v>
      </c>
      <c r="J8035" s="5">
        <v>17920</v>
      </c>
      <c r="K8035" s="6">
        <f t="shared" si="325"/>
        <v>2.0143122184945632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85</v>
      </c>
      <c r="F8036" t="s">
        <v>88</v>
      </c>
      <c r="G8036" t="str">
        <f t="shared" si="326"/>
        <v>011CAYENNE</v>
      </c>
      <c r="H8036" s="5">
        <v>1440</v>
      </c>
      <c r="I8036" s="6">
        <v>994.97117647058758</v>
      </c>
      <c r="J8036" s="5">
        <v>7200</v>
      </c>
      <c r="K8036" s="6">
        <f t="shared" si="325"/>
        <v>1.4472781061940321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85</v>
      </c>
      <c r="F8037" t="s">
        <v>61</v>
      </c>
      <c r="G8037" t="str">
        <f t="shared" si="326"/>
        <v>011LUMIA</v>
      </c>
      <c r="H8037" s="5">
        <v>1320</v>
      </c>
      <c r="I8037" s="6">
        <v>994.97117647058769</v>
      </c>
      <c r="J8037" s="5">
        <v>7920</v>
      </c>
      <c r="K8037" s="6">
        <f t="shared" si="325"/>
        <v>1.3266715973445291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85</v>
      </c>
      <c r="F8038" t="s">
        <v>89</v>
      </c>
      <c r="G8038" t="str">
        <f t="shared" si="326"/>
        <v>011STARDUST</v>
      </c>
      <c r="H8038" s="5">
        <v>3150</v>
      </c>
      <c r="I8038" s="6">
        <v>2263.799999886814</v>
      </c>
      <c r="J8038" s="5">
        <v>17920</v>
      </c>
      <c r="K8038" s="6">
        <f t="shared" si="325"/>
        <v>1.3914656772495337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90</v>
      </c>
      <c r="F8039" t="s">
        <v>67</v>
      </c>
      <c r="G8039" t="str">
        <f t="shared" si="326"/>
        <v>012DEEP PURPLE</v>
      </c>
      <c r="H8039" s="5">
        <v>13440</v>
      </c>
      <c r="I8039" s="6">
        <v>6727.0499997982606</v>
      </c>
      <c r="J8039" s="5">
        <v>49210</v>
      </c>
      <c r="K8039" s="6">
        <f t="shared" si="325"/>
        <v>1.9979039847188673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90</v>
      </c>
      <c r="F8040" t="s">
        <v>60</v>
      </c>
      <c r="G8040" t="str">
        <f t="shared" si="326"/>
        <v>012LIGHT HOUSE</v>
      </c>
      <c r="H8040" s="5">
        <v>1230</v>
      </c>
      <c r="I8040" s="6">
        <v>994.9499999999997</v>
      </c>
      <c r="J8040" s="5">
        <v>7200</v>
      </c>
      <c r="K8040" s="6">
        <f t="shared" si="325"/>
        <v>1.2362430272878038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91</v>
      </c>
      <c r="F8041" t="s">
        <v>92</v>
      </c>
      <c r="G8041" t="str">
        <f t="shared" si="326"/>
        <v>013COUNTRY BLUES</v>
      </c>
      <c r="H8041" s="5">
        <v>1520</v>
      </c>
      <c r="I8041" s="6">
        <v>831.60000000000025</v>
      </c>
      <c r="J8041" s="5">
        <v>6300</v>
      </c>
      <c r="K8041" s="6">
        <f t="shared" si="325"/>
        <v>1.8278018278018273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91</v>
      </c>
      <c r="F8042" t="s">
        <v>93</v>
      </c>
      <c r="G8042" t="str">
        <f t="shared" si="326"/>
        <v>013LORRAINE</v>
      </c>
      <c r="H8042" s="5">
        <v>2575</v>
      </c>
      <c r="I8042" s="6">
        <v>1267.1999999999998</v>
      </c>
      <c r="J8042" s="5">
        <v>9600</v>
      </c>
      <c r="K8042" s="6">
        <f t="shared" si="325"/>
        <v>2.0320391414141419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91</v>
      </c>
      <c r="F8043" t="s">
        <v>61</v>
      </c>
      <c r="G8043" t="str">
        <f t="shared" si="326"/>
        <v>013LUMIA</v>
      </c>
      <c r="H8043" s="5">
        <v>390</v>
      </c>
      <c r="I8043" s="6">
        <v>316.8</v>
      </c>
      <c r="J8043" s="5">
        <v>2400</v>
      </c>
      <c r="K8043" s="6">
        <f t="shared" si="325"/>
        <v>1.231060606060606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91</v>
      </c>
      <c r="F8044" t="s">
        <v>74</v>
      </c>
      <c r="G8044" t="str">
        <f t="shared" si="326"/>
        <v>013VENDELA</v>
      </c>
      <c r="H8044" s="5">
        <v>12120</v>
      </c>
      <c r="I8044" s="6">
        <v>3603.5999999999949</v>
      </c>
      <c r="J8044" s="5">
        <v>27296</v>
      </c>
      <c r="K8044" s="6">
        <f t="shared" si="325"/>
        <v>3.363303363303368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23</v>
      </c>
      <c r="F8045" t="s">
        <v>89</v>
      </c>
      <c r="G8045" t="str">
        <f t="shared" si="326"/>
        <v>014STARDUST</v>
      </c>
      <c r="H8045" s="5">
        <v>6075</v>
      </c>
      <c r="I8045" s="6">
        <v>3682.7999999999943</v>
      </c>
      <c r="J8045" s="5">
        <v>27900</v>
      </c>
      <c r="K8045" s="6">
        <f t="shared" si="325"/>
        <v>1.6495601173020553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25</v>
      </c>
      <c r="F8046" t="s">
        <v>68</v>
      </c>
      <c r="G8046" t="str">
        <f t="shared" si="326"/>
        <v>015JOCKER</v>
      </c>
      <c r="H8046" s="5">
        <v>3525</v>
      </c>
      <c r="I8046" s="6">
        <v>2375.9999999999973</v>
      </c>
      <c r="J8046" s="5">
        <v>18000</v>
      </c>
      <c r="K8046" s="6">
        <f t="shared" si="325"/>
        <v>1.4835858585858603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27</v>
      </c>
      <c r="F8047" t="s">
        <v>94</v>
      </c>
      <c r="G8047" t="str">
        <f t="shared" si="326"/>
        <v>016DREAM IN PEACH</v>
      </c>
      <c r="H8047" s="5">
        <v>1710</v>
      </c>
      <c r="I8047" s="6">
        <v>950.40000000000032</v>
      </c>
      <c r="J8047" s="5">
        <v>7200</v>
      </c>
      <c r="K8047" s="6">
        <f t="shared" si="325"/>
        <v>1.7992424242424236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27</v>
      </c>
      <c r="F8048" t="s">
        <v>95</v>
      </c>
      <c r="G8048" t="str">
        <f t="shared" si="326"/>
        <v>016NINA</v>
      </c>
      <c r="H8048" s="5">
        <v>3025</v>
      </c>
      <c r="I8048" s="6">
        <v>1346.3999999999996</v>
      </c>
      <c r="J8048" s="5">
        <v>10200</v>
      </c>
      <c r="K8048" s="6">
        <f t="shared" ref="K8048:K8104" si="327">+H8048/I8048</f>
        <v>2.2467320261437913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30</v>
      </c>
      <c r="F8049" t="s">
        <v>81</v>
      </c>
      <c r="G8049" t="str">
        <f t="shared" si="326"/>
        <v>017FREEDOM</v>
      </c>
      <c r="H8049" s="5">
        <v>6480</v>
      </c>
      <c r="I8049" s="6">
        <v>2851.1999999999962</v>
      </c>
      <c r="J8049" s="5">
        <v>21600</v>
      </c>
      <c r="K8049" s="6">
        <f t="shared" si="327"/>
        <v>2.2727272727272756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30</v>
      </c>
      <c r="F8050" t="s">
        <v>73</v>
      </c>
      <c r="G8050" t="str">
        <f t="shared" si="326"/>
        <v>017GOLDFINCH</v>
      </c>
      <c r="H8050" s="5">
        <v>3675</v>
      </c>
      <c r="I8050" s="6">
        <v>2138.3999999999978</v>
      </c>
      <c r="J8050" s="5">
        <v>16200</v>
      </c>
      <c r="K8050" s="6">
        <f t="shared" si="327"/>
        <v>1.7185746352413036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32</v>
      </c>
      <c r="F8051" t="s">
        <v>86</v>
      </c>
      <c r="G8051" t="str">
        <f t="shared" si="326"/>
        <v>018BRIGHTON</v>
      </c>
      <c r="H8051" s="5">
        <v>1650</v>
      </c>
      <c r="I8051" s="6">
        <v>963.60000000000036</v>
      </c>
      <c r="J8051" s="5">
        <v>7570</v>
      </c>
      <c r="K8051" s="6">
        <f t="shared" si="327"/>
        <v>1.712328767123287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35</v>
      </c>
      <c r="F8052" t="s">
        <v>86</v>
      </c>
      <c r="G8052" t="str">
        <f t="shared" si="326"/>
        <v>019BRIGHTON</v>
      </c>
      <c r="H8052" s="5">
        <v>7425</v>
      </c>
      <c r="I8052" s="6">
        <v>3167.9999999999955</v>
      </c>
      <c r="J8052" s="5">
        <v>24000</v>
      </c>
      <c r="K8052" s="6">
        <f t="shared" si="327"/>
        <v>2.3437500000000036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35</v>
      </c>
      <c r="F8053" t="s">
        <v>96</v>
      </c>
      <c r="G8053" t="str">
        <f t="shared" si="326"/>
        <v>019TABATHA</v>
      </c>
      <c r="H8053" s="5">
        <v>2370</v>
      </c>
      <c r="I8053" s="6">
        <v>1188</v>
      </c>
      <c r="J8053" s="5">
        <v>9000</v>
      </c>
      <c r="K8053" s="6">
        <f t="shared" si="327"/>
        <v>1.994949494949495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36</v>
      </c>
      <c r="F8054" t="s">
        <v>86</v>
      </c>
      <c r="G8054" t="str">
        <f t="shared" si="326"/>
        <v>020BRIGHTON</v>
      </c>
      <c r="H8054" s="5">
        <v>5200</v>
      </c>
      <c r="I8054" s="6">
        <v>2732.3999999999965</v>
      </c>
      <c r="J8054" s="5">
        <v>20700</v>
      </c>
      <c r="K8054" s="6">
        <f t="shared" si="327"/>
        <v>1.9030888596106013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36</v>
      </c>
      <c r="F8055" t="s">
        <v>97</v>
      </c>
      <c r="G8055" t="str">
        <f t="shared" si="326"/>
        <v>020TYCOON</v>
      </c>
      <c r="H8055" s="5">
        <v>870</v>
      </c>
      <c r="I8055" s="6">
        <v>673.2</v>
      </c>
      <c r="J8055" s="5">
        <v>5100</v>
      </c>
      <c r="K8055" s="6">
        <f t="shared" si="327"/>
        <v>1.2923351158645275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38</v>
      </c>
      <c r="F8056" t="s">
        <v>98</v>
      </c>
      <c r="G8056" t="str">
        <f t="shared" si="326"/>
        <v>021SHOW GIRL</v>
      </c>
      <c r="H8056" s="5">
        <v>2275</v>
      </c>
      <c r="I8056" s="6">
        <v>1100.4749999999997</v>
      </c>
      <c r="J8056" s="5">
        <v>8000</v>
      </c>
      <c r="K8056" s="6">
        <f t="shared" si="327"/>
        <v>2.0672891251505039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43</v>
      </c>
      <c r="F8057" t="s">
        <v>99</v>
      </c>
      <c r="G8057" t="str">
        <f t="shared" si="326"/>
        <v>022CORAL REEF</v>
      </c>
      <c r="H8057" s="5">
        <v>3475</v>
      </c>
      <c r="I8057" s="6">
        <v>1287</v>
      </c>
      <c r="J8057" s="5">
        <v>9400</v>
      </c>
      <c r="K8057" s="6">
        <f t="shared" si="327"/>
        <v>2.7000777000777001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100</v>
      </c>
      <c r="F8058" t="s">
        <v>70</v>
      </c>
      <c r="G8058" t="str">
        <f t="shared" si="326"/>
        <v>023COTOPAXI</v>
      </c>
      <c r="H8058" s="5">
        <v>4290</v>
      </c>
      <c r="I8058" s="6">
        <v>2641.139999999999</v>
      </c>
      <c r="J8058" s="5">
        <v>19200</v>
      </c>
      <c r="K8058" s="6">
        <f t="shared" si="327"/>
        <v>1.6242985983325389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100</v>
      </c>
      <c r="F8059" t="s">
        <v>101</v>
      </c>
      <c r="G8059" t="str">
        <f t="shared" si="326"/>
        <v>023FRUTTETO</v>
      </c>
      <c r="H8059" s="5">
        <v>5070</v>
      </c>
      <c r="I8059" s="6">
        <v>2641.139999999999</v>
      </c>
      <c r="J8059" s="5">
        <v>19200</v>
      </c>
      <c r="K8059" s="6">
        <f t="shared" si="327"/>
        <v>1.9196256162111822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102</v>
      </c>
      <c r="F8060" t="s">
        <v>70</v>
      </c>
      <c r="G8060" t="str">
        <f t="shared" si="326"/>
        <v>024COTOPAXI</v>
      </c>
      <c r="H8060" s="5">
        <v>2640</v>
      </c>
      <c r="I8060" s="6">
        <v>1430.6174906249998</v>
      </c>
      <c r="J8060" s="5">
        <v>10400</v>
      </c>
      <c r="K8060" s="6">
        <f t="shared" si="327"/>
        <v>1.8453569995475536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102</v>
      </c>
      <c r="F8061" t="s">
        <v>64</v>
      </c>
      <c r="G8061" t="str">
        <f t="shared" si="326"/>
        <v>024SWEETNESS</v>
      </c>
      <c r="H8061" s="5">
        <v>1470</v>
      </c>
      <c r="I8061" s="6">
        <v>1430.6174999999998</v>
      </c>
      <c r="J8061" s="5">
        <v>10400</v>
      </c>
      <c r="K8061" s="6">
        <f t="shared" si="327"/>
        <v>1.0275283225600136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102</v>
      </c>
      <c r="F8062" t="s">
        <v>97</v>
      </c>
      <c r="G8062" t="str">
        <f t="shared" si="326"/>
        <v>024TYCOON</v>
      </c>
      <c r="H8062" s="5">
        <v>3810</v>
      </c>
      <c r="I8062" s="6">
        <v>2861.2349999999983</v>
      </c>
      <c r="J8062" s="5">
        <v>20800</v>
      </c>
      <c r="K8062" s="6">
        <f t="shared" si="327"/>
        <v>1.3315928261747121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103</v>
      </c>
      <c r="F8063" t="s">
        <v>104</v>
      </c>
      <c r="G8063" t="str">
        <f t="shared" si="326"/>
        <v>025PINK MONDIAL</v>
      </c>
      <c r="H8063" s="5">
        <v>5000</v>
      </c>
      <c r="I8063" s="6">
        <v>3071.9505624999983</v>
      </c>
      <c r="J8063" s="5">
        <v>22400</v>
      </c>
      <c r="K8063" s="6">
        <f t="shared" si="327"/>
        <v>1.6276303600182052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45</v>
      </c>
      <c r="F8064" t="s">
        <v>105</v>
      </c>
      <c r="G8064" t="str">
        <f t="shared" si="326"/>
        <v>026LOLA</v>
      </c>
      <c r="H8064" s="5">
        <v>3400</v>
      </c>
      <c r="I8064" s="6">
        <v>2852.5249999999992</v>
      </c>
      <c r="J8064" s="5">
        <v>20800</v>
      </c>
      <c r="K8064" s="6">
        <f t="shared" si="327"/>
        <v>1.1919264511266339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45</v>
      </c>
      <c r="F8065" t="s">
        <v>106</v>
      </c>
      <c r="G8065" t="str">
        <f t="shared" si="326"/>
        <v>026PALOMA</v>
      </c>
      <c r="H8065" s="5">
        <v>3750</v>
      </c>
      <c r="I8065" s="6">
        <v>2852.5249999999992</v>
      </c>
      <c r="J8065" s="5">
        <v>20800</v>
      </c>
      <c r="K8065" s="6">
        <f t="shared" si="327"/>
        <v>1.3146247622720226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107</v>
      </c>
      <c r="F8066" t="s">
        <v>108</v>
      </c>
      <c r="G8066" t="str">
        <f t="shared" si="326"/>
        <v>027SATISFACTION</v>
      </c>
      <c r="H8066" s="5">
        <v>5040</v>
      </c>
      <c r="I8066" s="6">
        <v>2633.0999999999995</v>
      </c>
      <c r="J8066" s="5">
        <v>19200</v>
      </c>
      <c r="K8066" s="6">
        <f t="shared" si="327"/>
        <v>1.9140936538680646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107</v>
      </c>
      <c r="F8067" t="s">
        <v>109</v>
      </c>
      <c r="G8067" t="str">
        <f t="shared" si="326"/>
        <v>027TIFFANY</v>
      </c>
      <c r="H8067" s="5">
        <v>5220</v>
      </c>
      <c r="I8067" s="6">
        <v>2633.0999999999995</v>
      </c>
      <c r="J8067" s="5">
        <v>19200</v>
      </c>
      <c r="K8067" s="6">
        <f t="shared" si="327"/>
        <v>1.9824541415062098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110</v>
      </c>
      <c r="F8068" t="s">
        <v>70</v>
      </c>
      <c r="G8068" t="str">
        <f t="shared" si="326"/>
        <v>028COTOPAXI</v>
      </c>
      <c r="H8068" s="5">
        <v>3600</v>
      </c>
      <c r="I8068" s="6">
        <v>2852.5249999999987</v>
      </c>
      <c r="J8068" s="5">
        <v>20800</v>
      </c>
      <c r="K8068" s="6">
        <f t="shared" si="327"/>
        <v>1.2620397717811418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110</v>
      </c>
      <c r="F8069" t="s">
        <v>67</v>
      </c>
      <c r="G8069" t="str">
        <f t="shared" si="326"/>
        <v>028DEEP PURPLE</v>
      </c>
      <c r="H8069" s="5">
        <v>5280</v>
      </c>
      <c r="I8069" s="6">
        <v>2852.5249999999987</v>
      </c>
      <c r="J8069" s="5">
        <v>20800</v>
      </c>
      <c r="K8069" s="6">
        <f t="shared" si="327"/>
        <v>1.8509916652790079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111</v>
      </c>
      <c r="F8070" t="s">
        <v>112</v>
      </c>
      <c r="G8070" t="str">
        <f t="shared" si="326"/>
        <v>029PINK FLOYD</v>
      </c>
      <c r="H8070" s="5">
        <v>4525</v>
      </c>
      <c r="I8070" s="6">
        <v>3071.949999999998</v>
      </c>
      <c r="J8070" s="5">
        <v>22400</v>
      </c>
      <c r="K8070" s="6">
        <f t="shared" si="327"/>
        <v>1.473005745536224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47</v>
      </c>
      <c r="F8071" t="s">
        <v>57</v>
      </c>
      <c r="G8071" t="str">
        <f t="shared" si="326"/>
        <v>030EXPLORER</v>
      </c>
      <c r="H8071" s="5">
        <v>3225</v>
      </c>
      <c r="I8071" s="6">
        <v>1645.6875000000009</v>
      </c>
      <c r="J8071" s="5">
        <v>12000</v>
      </c>
      <c r="K8071" s="6">
        <f t="shared" si="327"/>
        <v>1.9596673122934933</v>
      </c>
    </row>
    <row r="8072" spans="1:11">
      <c r="A8072" s="4">
        <v>2026</v>
      </c>
      <c r="B8072">
        <v>23</v>
      </c>
      <c r="C8072" t="s">
        <v>10</v>
      </c>
      <c r="D8072" t="s">
        <v>11</v>
      </c>
      <c r="E8072" t="s">
        <v>12</v>
      </c>
      <c r="F8072" t="s">
        <v>13</v>
      </c>
      <c r="G8072" t="str">
        <f t="shared" si="326"/>
        <v>002SOMERSET</v>
      </c>
      <c r="H8072" s="5">
        <f>VLOOKUP(G8072,[1]Astroflores!$G$2:$H$109,2,FALSE)</f>
        <v>14340</v>
      </c>
      <c r="I8072" s="6">
        <v>4121.4642855494085</v>
      </c>
      <c r="J8072" s="5">
        <v>31200</v>
      </c>
      <c r="K8072" s="6">
        <f t="shared" si="327"/>
        <v>3.4793459330167211</v>
      </c>
    </row>
    <row r="8073" spans="1:11">
      <c r="A8073" s="4">
        <v>2026</v>
      </c>
      <c r="B8073">
        <v>23</v>
      </c>
      <c r="C8073" t="s">
        <v>10</v>
      </c>
      <c r="D8073" t="s">
        <v>11</v>
      </c>
      <c r="E8073" t="s">
        <v>14</v>
      </c>
      <c r="F8073" t="s">
        <v>15</v>
      </c>
      <c r="G8073" t="str">
        <f t="shared" si="326"/>
        <v>004BELLINA</v>
      </c>
      <c r="H8073" s="5">
        <f>VLOOKUP(G8073,[1]Astroflores!$G$2:$H$109,2,FALSE)</f>
        <v>1575</v>
      </c>
      <c r="I8073" s="6">
        <v>1056.7857142434418</v>
      </c>
      <c r="J8073" s="5">
        <v>8000</v>
      </c>
      <c r="K8073" s="6">
        <f t="shared" si="327"/>
        <v>1.4903683677514039</v>
      </c>
    </row>
    <row r="8074" spans="1:11">
      <c r="A8074" s="4">
        <v>2026</v>
      </c>
      <c r="B8074">
        <v>23</v>
      </c>
      <c r="C8074" t="s">
        <v>10</v>
      </c>
      <c r="D8074" t="s">
        <v>11</v>
      </c>
      <c r="E8074" t="s">
        <v>16</v>
      </c>
      <c r="F8074" t="s">
        <v>17</v>
      </c>
      <c r="G8074" t="str">
        <f t="shared" ref="G8074:G8131" si="328">+E8074&amp;F8074</f>
        <v>005ELBA</v>
      </c>
      <c r="H8074" s="5">
        <f>VLOOKUP(G8074,[1]Astroflores!$G$2:$H$109,2,FALSE)</f>
        <v>11580</v>
      </c>
      <c r="I8074" s="6">
        <v>2641.9642856076484</v>
      </c>
      <c r="J8074" s="5">
        <v>19996</v>
      </c>
      <c r="K8074" s="6">
        <f t="shared" si="327"/>
        <v>4.3831023996361917</v>
      </c>
    </row>
    <row r="8075" spans="1:11">
      <c r="A8075" s="4">
        <v>2026</v>
      </c>
      <c r="B8075">
        <v>23</v>
      </c>
      <c r="C8075" t="s">
        <v>10</v>
      </c>
      <c r="D8075" t="s">
        <v>11</v>
      </c>
      <c r="E8075" t="s">
        <v>16</v>
      </c>
      <c r="F8075" t="s">
        <v>18</v>
      </c>
      <c r="G8075" t="str">
        <f t="shared" si="328"/>
        <v>005HOT BUBBLES</v>
      </c>
      <c r="H8075" s="5">
        <f>VLOOKUP(G8075,[1]Astroflores!$G$2:$H$109,2,FALSE)</f>
        <v>1560</v>
      </c>
      <c r="I8075" s="6">
        <v>528.39285712153003</v>
      </c>
      <c r="J8075" s="5">
        <v>4000</v>
      </c>
      <c r="K8075" s="6">
        <f t="shared" si="327"/>
        <v>2.9523487665943238</v>
      </c>
    </row>
    <row r="8076" spans="1:11">
      <c r="A8076" s="4">
        <v>2026</v>
      </c>
      <c r="B8076">
        <v>23</v>
      </c>
      <c r="C8076" t="s">
        <v>10</v>
      </c>
      <c r="D8076" t="s">
        <v>11</v>
      </c>
      <c r="E8076" t="s">
        <v>16</v>
      </c>
      <c r="F8076" t="s">
        <v>19</v>
      </c>
      <c r="G8076" t="str">
        <f t="shared" si="328"/>
        <v>005SUSPIRO</v>
      </c>
      <c r="H8076" s="5">
        <f>VLOOKUP(G8076,[1]Astroflores!$G$2:$H$109,2,FALSE)</f>
        <v>4830</v>
      </c>
      <c r="I8076" s="6">
        <v>1902.2142856375078</v>
      </c>
      <c r="J8076" s="5">
        <v>14400</v>
      </c>
      <c r="K8076" s="6">
        <f t="shared" si="327"/>
        <v>2.5391461080218281</v>
      </c>
    </row>
    <row r="8077" spans="1:11">
      <c r="A8077" s="4">
        <v>2026</v>
      </c>
      <c r="B8077">
        <v>23</v>
      </c>
      <c r="C8077" t="s">
        <v>10</v>
      </c>
      <c r="D8077" t="s">
        <v>11</v>
      </c>
      <c r="E8077" t="s">
        <v>20</v>
      </c>
      <c r="F8077" t="s">
        <v>21</v>
      </c>
      <c r="G8077" t="str">
        <f t="shared" si="328"/>
        <v>007SNOW BUBBLES</v>
      </c>
      <c r="H8077" s="5">
        <f>VLOOKUP(G8077,[1]Astroflores!$G$2:$H$109,2,FALSE)</f>
        <v>920</v>
      </c>
      <c r="I8077" s="6">
        <v>634.05652706821195</v>
      </c>
      <c r="J8077" s="5">
        <v>4800</v>
      </c>
      <c r="K8077" s="6">
        <f t="shared" si="327"/>
        <v>1.4509747328900633</v>
      </c>
    </row>
    <row r="8078" spans="1:11">
      <c r="A8078" s="4">
        <v>2026</v>
      </c>
      <c r="B8078">
        <v>23</v>
      </c>
      <c r="C8078" t="s">
        <v>10</v>
      </c>
      <c r="D8078" t="s">
        <v>11</v>
      </c>
      <c r="E8078" t="s">
        <v>22</v>
      </c>
      <c r="F8078" t="s">
        <v>18</v>
      </c>
      <c r="G8078" t="str">
        <f t="shared" si="328"/>
        <v>009HOT BUBBLES</v>
      </c>
      <c r="H8078" s="5">
        <f>VLOOKUP(G8078,[1]Astroflores!$G$2:$H$109,2,FALSE)</f>
        <v>10780</v>
      </c>
      <c r="I8078" s="6">
        <v>4487.9999999102474</v>
      </c>
      <c r="J8078" s="5">
        <v>31740</v>
      </c>
      <c r="K8078" s="6">
        <f t="shared" si="327"/>
        <v>2.4019607843617607</v>
      </c>
    </row>
    <row r="8079" spans="1:11">
      <c r="A8079" s="4">
        <v>2026</v>
      </c>
      <c r="B8079">
        <v>23</v>
      </c>
      <c r="C8079" t="s">
        <v>10</v>
      </c>
      <c r="D8079" t="s">
        <v>11</v>
      </c>
      <c r="E8079" t="s">
        <v>23</v>
      </c>
      <c r="F8079" t="s">
        <v>24</v>
      </c>
      <c r="G8079" t="str">
        <f t="shared" si="328"/>
        <v>014FRUITY BUBBLES</v>
      </c>
      <c r="H8079" s="5">
        <f>VLOOKUP(G8079,[1]Astroflores!$G$2:$H$109,2,FALSE)</f>
        <v>2950</v>
      </c>
      <c r="I8079" s="6">
        <v>1702.8</v>
      </c>
      <c r="J8079" s="5">
        <v>12900</v>
      </c>
      <c r="K8079" s="6">
        <f t="shared" si="327"/>
        <v>1.732440685929058</v>
      </c>
    </row>
    <row r="8080" spans="1:11">
      <c r="A8080" s="4">
        <v>2026</v>
      </c>
      <c r="B8080">
        <v>23</v>
      </c>
      <c r="C8080" t="s">
        <v>10</v>
      </c>
      <c r="D8080" t="s">
        <v>11</v>
      </c>
      <c r="E8080" t="s">
        <v>25</v>
      </c>
      <c r="F8080" t="s">
        <v>26</v>
      </c>
      <c r="G8080" t="str">
        <f t="shared" si="328"/>
        <v>015FELLINI</v>
      </c>
      <c r="H8080" s="5">
        <f>VLOOKUP(G8080,[1]Astroflores!$G$2:$H$109,2,FALSE)</f>
        <v>5995</v>
      </c>
      <c r="I8080" s="6">
        <v>3009.6</v>
      </c>
      <c r="J8080" s="5">
        <v>22800</v>
      </c>
      <c r="K8080" s="6">
        <f t="shared" si="327"/>
        <v>1.9919590643274854</v>
      </c>
    </row>
    <row r="8081" spans="1:11">
      <c r="A8081" s="4">
        <v>2026</v>
      </c>
      <c r="B8081">
        <v>23</v>
      </c>
      <c r="C8081" t="s">
        <v>10</v>
      </c>
      <c r="D8081" t="s">
        <v>11</v>
      </c>
      <c r="E8081" t="s">
        <v>27</v>
      </c>
      <c r="F8081" t="s">
        <v>28</v>
      </c>
      <c r="G8081" t="str">
        <f t="shared" si="328"/>
        <v>016GOOD PEACH</v>
      </c>
      <c r="H8081" s="5">
        <f>VLOOKUP(G8081,[1]Astroflores!$G$2:$H$109,2,FALSE)</f>
        <v>3420</v>
      </c>
      <c r="I8081" s="6">
        <v>1386</v>
      </c>
      <c r="J8081" s="5">
        <v>10500</v>
      </c>
      <c r="K8081" s="6">
        <f t="shared" si="327"/>
        <v>2.4675324675324677</v>
      </c>
    </row>
    <row r="8082" spans="1:11">
      <c r="A8082" s="4">
        <v>2026</v>
      </c>
      <c r="B8082">
        <v>23</v>
      </c>
      <c r="C8082" t="s">
        <v>10</v>
      </c>
      <c r="D8082" t="s">
        <v>11</v>
      </c>
      <c r="E8082" t="s">
        <v>27</v>
      </c>
      <c r="F8082" t="s">
        <v>29</v>
      </c>
      <c r="G8082" t="str">
        <f t="shared" si="328"/>
        <v>016GOOD YELLOW</v>
      </c>
      <c r="H8082" s="5">
        <f>VLOOKUP(G8082,[1]Astroflores!$G$2:$H$109,2,FALSE)</f>
        <v>3090</v>
      </c>
      <c r="I8082" s="6">
        <v>1386</v>
      </c>
      <c r="J8082" s="5">
        <v>10500</v>
      </c>
      <c r="K8082" s="6">
        <f t="shared" si="327"/>
        <v>2.2294372294372296</v>
      </c>
    </row>
    <row r="8083" spans="1:11">
      <c r="A8083" s="4">
        <v>2026</v>
      </c>
      <c r="B8083">
        <v>23</v>
      </c>
      <c r="C8083" t="s">
        <v>10</v>
      </c>
      <c r="D8083" t="s">
        <v>11</v>
      </c>
      <c r="E8083" t="s">
        <v>30</v>
      </c>
      <c r="F8083" t="s">
        <v>31</v>
      </c>
      <c r="G8083" t="str">
        <f t="shared" si="328"/>
        <v>017ORANGE STAR</v>
      </c>
      <c r="H8083" s="5">
        <f>VLOOKUP(G8083,[1]Astroflores!$G$2:$H$109,2,FALSE)</f>
        <v>1450</v>
      </c>
      <c r="I8083" s="6">
        <v>1029.5999999999999</v>
      </c>
      <c r="J8083" s="5">
        <v>7800</v>
      </c>
      <c r="K8083" s="6">
        <f t="shared" si="327"/>
        <v>1.4083139083139085</v>
      </c>
    </row>
    <row r="8084" spans="1:11">
      <c r="A8084" s="4">
        <v>2026</v>
      </c>
      <c r="B8084">
        <v>23</v>
      </c>
      <c r="C8084" t="s">
        <v>10</v>
      </c>
      <c r="D8084" t="s">
        <v>11</v>
      </c>
      <c r="E8084" t="s">
        <v>32</v>
      </c>
      <c r="F8084" t="s">
        <v>33</v>
      </c>
      <c r="G8084" t="str">
        <f t="shared" si="328"/>
        <v>018COSMO</v>
      </c>
      <c r="H8084" s="5">
        <f>VLOOKUP(G8084,[1]Astroflores!$G$2:$H$109,2,FALSE)</f>
        <v>3525</v>
      </c>
      <c r="I8084" s="6">
        <v>2653.2</v>
      </c>
      <c r="J8084" s="5">
        <v>20100</v>
      </c>
      <c r="K8084" s="6">
        <f t="shared" si="327"/>
        <v>1.3285843509724107</v>
      </c>
    </row>
    <row r="8085" spans="1:11">
      <c r="A8085" s="4">
        <v>2026</v>
      </c>
      <c r="B8085">
        <v>23</v>
      </c>
      <c r="C8085" t="s">
        <v>10</v>
      </c>
      <c r="D8085" t="s">
        <v>11</v>
      </c>
      <c r="E8085" t="s">
        <v>32</v>
      </c>
      <c r="F8085" t="s">
        <v>34</v>
      </c>
      <c r="G8085" t="str">
        <f t="shared" si="328"/>
        <v>018RUBICON</v>
      </c>
      <c r="H8085" s="5">
        <f>VLOOKUP(G8085,[1]Astroflores!$G$2:$H$109,2,FALSE)</f>
        <v>7290</v>
      </c>
      <c r="I8085" s="6">
        <v>1768.8</v>
      </c>
      <c r="J8085" s="5">
        <v>13400</v>
      </c>
      <c r="K8085" s="6">
        <f t="shared" si="327"/>
        <v>4.1214382632293081</v>
      </c>
    </row>
    <row r="8086" spans="1:11">
      <c r="A8086" s="4">
        <v>2026</v>
      </c>
      <c r="B8086">
        <v>23</v>
      </c>
      <c r="C8086" t="s">
        <v>10</v>
      </c>
      <c r="D8086" t="s">
        <v>11</v>
      </c>
      <c r="E8086" t="s">
        <v>35</v>
      </c>
      <c r="F8086" t="s">
        <v>15</v>
      </c>
      <c r="G8086" t="str">
        <f t="shared" si="328"/>
        <v>019BELLINA</v>
      </c>
      <c r="H8086" s="5">
        <f>VLOOKUP(G8086,[1]Astroflores!$G$2:$H$109,2,FALSE)</f>
        <v>1905</v>
      </c>
      <c r="I8086" s="6">
        <v>1029.5999999999999</v>
      </c>
      <c r="J8086" s="5">
        <v>7800</v>
      </c>
      <c r="K8086" s="6">
        <f t="shared" si="327"/>
        <v>1.8502331002331005</v>
      </c>
    </row>
    <row r="8087" spans="1:11">
      <c r="A8087" s="4">
        <v>2026</v>
      </c>
      <c r="B8087">
        <v>23</v>
      </c>
      <c r="C8087" t="s">
        <v>10</v>
      </c>
      <c r="D8087" t="s">
        <v>11</v>
      </c>
      <c r="E8087" t="s">
        <v>36</v>
      </c>
      <c r="F8087" t="s">
        <v>37</v>
      </c>
      <c r="G8087" t="str">
        <f t="shared" si="328"/>
        <v>020SUMMER DANCE</v>
      </c>
      <c r="H8087" s="5">
        <f>VLOOKUP(G8087,[1]Astroflores!$G$2:$H$109,2,FALSE)</f>
        <v>3625</v>
      </c>
      <c r="I8087" s="6">
        <v>1346.4</v>
      </c>
      <c r="J8087" s="5">
        <v>10200</v>
      </c>
      <c r="K8087" s="6">
        <f t="shared" si="327"/>
        <v>2.6923648247177656</v>
      </c>
    </row>
    <row r="8088" spans="1:11">
      <c r="A8088" s="4">
        <v>2026</v>
      </c>
      <c r="B8088">
        <v>23</v>
      </c>
      <c r="C8088" t="s">
        <v>10</v>
      </c>
      <c r="D8088" t="s">
        <v>11</v>
      </c>
      <c r="E8088" t="s">
        <v>38</v>
      </c>
      <c r="F8088" t="s">
        <v>39</v>
      </c>
      <c r="G8088" t="str">
        <f t="shared" si="328"/>
        <v>021ELEGANT ROSEVER</v>
      </c>
      <c r="H8088" s="5">
        <f>VLOOKUP(G8088,[1]Astroflores!$G$2:$H$109,2,FALSE)</f>
        <v>1020</v>
      </c>
      <c r="I8088" s="6">
        <v>440.18999062500001</v>
      </c>
      <c r="J8088" s="5">
        <v>3200</v>
      </c>
      <c r="K8088" s="6">
        <f t="shared" si="327"/>
        <v>2.3171812665521125</v>
      </c>
    </row>
    <row r="8089" spans="1:11">
      <c r="A8089" s="4">
        <v>2026</v>
      </c>
      <c r="B8089">
        <v>23</v>
      </c>
      <c r="C8089" t="s">
        <v>10</v>
      </c>
      <c r="D8089" t="s">
        <v>11</v>
      </c>
      <c r="E8089" t="s">
        <v>38</v>
      </c>
      <c r="F8089" t="s">
        <v>40</v>
      </c>
      <c r="G8089" t="str">
        <f t="shared" si="328"/>
        <v>021FLAME CLUB</v>
      </c>
      <c r="H8089" s="5">
        <f>VLOOKUP(G8089,[1]Astroflores!$G$2:$H$109,2,FALSE)</f>
        <v>1725</v>
      </c>
      <c r="I8089" s="6">
        <v>880.38</v>
      </c>
      <c r="J8089" s="5">
        <v>6400</v>
      </c>
      <c r="K8089" s="6">
        <f t="shared" si="327"/>
        <v>1.9593811763102298</v>
      </c>
    </row>
    <row r="8090" spans="1:11">
      <c r="A8090" s="4">
        <v>2026</v>
      </c>
      <c r="B8090">
        <v>23</v>
      </c>
      <c r="C8090" t="s">
        <v>10</v>
      </c>
      <c r="D8090" t="s">
        <v>11</v>
      </c>
      <c r="E8090" t="s">
        <v>38</v>
      </c>
      <c r="F8090" t="s">
        <v>41</v>
      </c>
      <c r="G8090" t="str">
        <f t="shared" si="328"/>
        <v>021KELLY</v>
      </c>
      <c r="H8090" s="5">
        <f>VLOOKUP(G8090,[1]Astroflores!$G$2:$H$109,2,FALSE)</f>
        <v>850</v>
      </c>
      <c r="I8090" s="6">
        <v>330.14249999999998</v>
      </c>
      <c r="J8090" s="5">
        <v>2400</v>
      </c>
      <c r="K8090" s="6">
        <f t="shared" si="327"/>
        <v>2.5746457968907368</v>
      </c>
    </row>
    <row r="8091" spans="1:11">
      <c r="A8091" s="4">
        <v>2026</v>
      </c>
      <c r="B8091">
        <v>23</v>
      </c>
      <c r="C8091" t="s">
        <v>10</v>
      </c>
      <c r="D8091" t="s">
        <v>11</v>
      </c>
      <c r="E8091" t="s">
        <v>38</v>
      </c>
      <c r="F8091" t="s">
        <v>42</v>
      </c>
      <c r="G8091" t="str">
        <f t="shared" si="328"/>
        <v>021LEILA</v>
      </c>
      <c r="H8091" s="5">
        <f>VLOOKUP(G8091,[1]Astroflores!$G$2:$H$109,2,FALSE)</f>
        <v>3725</v>
      </c>
      <c r="I8091" s="6">
        <v>1650.7125000000001</v>
      </c>
      <c r="J8091" s="5">
        <v>12000</v>
      </c>
      <c r="K8091" s="6">
        <f t="shared" si="327"/>
        <v>2.2566013160983514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38</v>
      </c>
      <c r="F8092" t="s">
        <v>21</v>
      </c>
      <c r="G8092" t="str">
        <f t="shared" si="328"/>
        <v>021SNOW BUBBLES</v>
      </c>
      <c r="H8092" s="5">
        <f>VLOOKUP(G8092,[1]Astroflores!$G$2:$H$109,2,FALSE)</f>
        <v>1860</v>
      </c>
      <c r="I8092" s="6">
        <v>1287.0000000000018</v>
      </c>
      <c r="J8092" s="5">
        <v>9400</v>
      </c>
      <c r="K8092" s="6">
        <f t="shared" si="327"/>
        <v>1.4452214452214431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43</v>
      </c>
      <c r="F8093" t="s">
        <v>24</v>
      </c>
      <c r="G8093" t="str">
        <f t="shared" si="328"/>
        <v>022FRUITY BUBBLES</v>
      </c>
      <c r="H8093" s="5">
        <f>VLOOKUP(G8093,[1]Astroflores!$G$2:$H$109,2,FALSE)</f>
        <v>5825</v>
      </c>
      <c r="I8093" s="6">
        <v>2641.14</v>
      </c>
      <c r="J8093" s="5">
        <v>19200</v>
      </c>
      <c r="K8093" s="6">
        <f t="shared" si="327"/>
        <v>2.2054870245424327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43</v>
      </c>
      <c r="F8094" t="s">
        <v>28</v>
      </c>
      <c r="G8094" t="str">
        <f t="shared" si="328"/>
        <v>022GOOD PEACH</v>
      </c>
      <c r="H8094" s="5">
        <f>VLOOKUP(G8094,[1]Astroflores!$G$2:$H$109,2,FALSE)</f>
        <v>2190</v>
      </c>
      <c r="I8094" s="6">
        <v>880.38</v>
      </c>
      <c r="J8094" s="5">
        <v>6400</v>
      </c>
      <c r="K8094" s="6">
        <f t="shared" si="327"/>
        <v>2.4875621890547266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43</v>
      </c>
      <c r="F8095" t="s">
        <v>44</v>
      </c>
      <c r="G8095" t="str">
        <f t="shared" si="328"/>
        <v>022MIRABEL</v>
      </c>
      <c r="H8095" s="5">
        <f>VLOOKUP(G8095,[1]Astroflores!$G$2:$H$109,2,FALSE)</f>
        <v>1080</v>
      </c>
      <c r="I8095" s="6">
        <v>880.38</v>
      </c>
      <c r="J8095" s="5">
        <v>6400</v>
      </c>
      <c r="K8095" s="6">
        <f t="shared" si="327"/>
        <v>1.2267429973420569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47</v>
      </c>
      <c r="F8096" t="s">
        <v>44</v>
      </c>
      <c r="G8096" t="str">
        <f t="shared" si="328"/>
        <v>030MIRABEL</v>
      </c>
      <c r="H8096" s="5">
        <f>VLOOKUP(G8096,[1]Astroflores!$G$2:$H$109,2,FALSE)</f>
        <v>5460</v>
      </c>
      <c r="I8096" s="6">
        <v>2413.6749943750001</v>
      </c>
      <c r="J8096" s="5">
        <v>17600</v>
      </c>
      <c r="K8096" s="6">
        <f t="shared" si="327"/>
        <v>2.2621106871158596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47</v>
      </c>
      <c r="F8097" t="s">
        <v>13</v>
      </c>
      <c r="G8097" t="str">
        <f t="shared" si="328"/>
        <v>030SOMERSET</v>
      </c>
      <c r="H8097" s="5">
        <f>VLOOKUP(G8097,[1]Astroflores!$G$2:$H$109,2,FALSE)</f>
        <v>4120</v>
      </c>
      <c r="I8097" s="6">
        <v>1645.6875</v>
      </c>
      <c r="J8097" s="5">
        <v>12000</v>
      </c>
      <c r="K8097" s="6">
        <f t="shared" si="327"/>
        <v>2.5035129695036269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48</v>
      </c>
      <c r="F8098" t="s">
        <v>49</v>
      </c>
      <c r="G8098" t="str">
        <f t="shared" si="328"/>
        <v>03182989</v>
      </c>
      <c r="H8098" s="5">
        <f>VLOOKUP(G8098,[1]Astroflores!$G$2:$H$109,2,FALSE)</f>
        <v>2500</v>
      </c>
      <c r="I8098" s="6">
        <v>726.32013058333712</v>
      </c>
      <c r="J8098" s="5">
        <v>5712</v>
      </c>
      <c r="K8098" s="6">
        <f t="shared" si="327"/>
        <v>3.4420084130012323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48</v>
      </c>
      <c r="F8099" t="s">
        <v>34</v>
      </c>
      <c r="G8099" t="str">
        <f t="shared" si="328"/>
        <v>031RUBICON</v>
      </c>
      <c r="H8099" s="5">
        <f>VLOOKUP(G8099,[1]Astroflores!$G$2:$H$109,2,FALSE)</f>
        <v>2490</v>
      </c>
      <c r="I8099" s="6">
        <v>924.39958333667107</v>
      </c>
      <c r="J8099" s="5">
        <v>6720</v>
      </c>
      <c r="K8099" s="6">
        <f t="shared" si="327"/>
        <v>2.6936403313945774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48</v>
      </c>
      <c r="F8100" t="s">
        <v>13</v>
      </c>
      <c r="G8100" t="str">
        <f t="shared" si="328"/>
        <v>031SOMERSET</v>
      </c>
      <c r="H8100" s="5">
        <f>VLOOKUP(G8100,[1]Astroflores!$G$2:$H$109,2,FALSE)</f>
        <v>5720</v>
      </c>
      <c r="I8100" s="6">
        <v>1122.485208333339</v>
      </c>
      <c r="J8100" s="5">
        <v>8160</v>
      </c>
      <c r="K8100" s="6">
        <f t="shared" si="327"/>
        <v>5.0958355241874687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51</v>
      </c>
      <c r="F8101" t="s">
        <v>17</v>
      </c>
      <c r="G8101" t="str">
        <f t="shared" si="328"/>
        <v>032ELBA</v>
      </c>
      <c r="H8101" s="5">
        <f>VLOOKUP(G8101,[1]Astroflores!$G$2:$H$109,2,FALSE)</f>
        <v>4140</v>
      </c>
      <c r="I8101" s="6">
        <v>1535.9749999999999</v>
      </c>
      <c r="J8101" s="5">
        <v>11200</v>
      </c>
      <c r="K8101" s="6">
        <f t="shared" si="327"/>
        <v>2.6953563697325804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51</v>
      </c>
      <c r="F8102" t="s">
        <v>44</v>
      </c>
      <c r="G8102" t="str">
        <f t="shared" si="328"/>
        <v>032MIRABEL</v>
      </c>
      <c r="H8102" s="5">
        <f>VLOOKUP(G8102,[1]Astroflores!$G$2:$H$109,2,FALSE)</f>
        <v>2160</v>
      </c>
      <c r="I8102" s="6">
        <v>1535.9749999999999</v>
      </c>
      <c r="J8102" s="5">
        <v>11200</v>
      </c>
      <c r="K8102" s="6">
        <f t="shared" si="327"/>
        <v>1.4062728885561289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52</v>
      </c>
      <c r="F8103" t="s">
        <v>53</v>
      </c>
      <c r="G8103" t="str">
        <f t="shared" si="328"/>
        <v>033CREAMY FOLIES</v>
      </c>
      <c r="H8103" s="5">
        <f>VLOOKUP(G8103,[1]Astroflores!$G$2:$H$109,2,FALSE)</f>
        <v>810</v>
      </c>
      <c r="I8103" s="6">
        <v>594.25687500000299</v>
      </c>
      <c r="J8103" s="5">
        <v>4320</v>
      </c>
      <c r="K8103" s="6">
        <f t="shared" si="327"/>
        <v>1.3630469146865081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52</v>
      </c>
      <c r="F8104" t="s">
        <v>18</v>
      </c>
      <c r="G8104" t="str">
        <f t="shared" si="328"/>
        <v>033HOT BUBBLES</v>
      </c>
      <c r="H8104" s="5">
        <f>VLOOKUP(G8104,[1]Astroflores!$G$2:$H$109,2,FALSE)</f>
        <v>2520</v>
      </c>
      <c r="I8104" s="6">
        <v>2575.1131250013459</v>
      </c>
      <c r="J8104" s="5">
        <v>18720</v>
      </c>
      <c r="K8104" s="6">
        <f t="shared" si="327"/>
        <v>0.9785977849026275</v>
      </c>
    </row>
    <row r="8105" spans="1:11">
      <c r="A8105" s="4">
        <v>2026</v>
      </c>
      <c r="B8105">
        <v>23</v>
      </c>
      <c r="C8105" t="s">
        <v>54</v>
      </c>
      <c r="D8105" t="s">
        <v>11</v>
      </c>
      <c r="E8105" t="s">
        <v>55</v>
      </c>
      <c r="F8105" t="s">
        <v>56</v>
      </c>
      <c r="G8105" t="str">
        <f t="shared" si="328"/>
        <v>001BELIEVE IN PINK</v>
      </c>
      <c r="H8105" s="5">
        <f>VLOOKUP(G8105,[1]Astroflores!$G$2:$H$109,2,FALSE)</f>
        <v>1560</v>
      </c>
      <c r="I8105" s="6">
        <v>528.37931032368999</v>
      </c>
      <c r="J8105" s="5">
        <v>4000</v>
      </c>
      <c r="K8105" s="6">
        <f t="shared" ref="K8105:K8110" si="329">IFERROR(H8105/I8105,"")</f>
        <v>2.9524244600802589</v>
      </c>
    </row>
    <row r="8106" spans="1:11">
      <c r="A8106" s="4">
        <v>2026</v>
      </c>
      <c r="B8106">
        <v>23</v>
      </c>
      <c r="C8106" t="s">
        <v>54</v>
      </c>
      <c r="D8106" t="s">
        <v>11</v>
      </c>
      <c r="E8106" t="s">
        <v>55</v>
      </c>
      <c r="F8106" t="s">
        <v>57</v>
      </c>
      <c r="G8106" t="str">
        <f t="shared" si="328"/>
        <v>001EXPLORER</v>
      </c>
      <c r="H8106" s="5">
        <f>VLOOKUP(G8106,[1]Astroflores!$G$2:$H$109,2,FALSE)</f>
        <v>5000</v>
      </c>
      <c r="I8106" s="6">
        <v>2272.0310343918732</v>
      </c>
      <c r="J8106" s="5">
        <v>17200</v>
      </c>
      <c r="K8106" s="6">
        <f t="shared" si="329"/>
        <v>2.2006741652357267</v>
      </c>
    </row>
    <row r="8107" spans="1:11">
      <c r="A8107" s="4">
        <v>2026</v>
      </c>
      <c r="B8107">
        <v>23</v>
      </c>
      <c r="C8107" t="s">
        <v>54</v>
      </c>
      <c r="D8107" t="s">
        <v>11</v>
      </c>
      <c r="E8107" t="s">
        <v>55</v>
      </c>
      <c r="F8107" t="s">
        <v>58</v>
      </c>
      <c r="G8107" t="str">
        <f t="shared" si="328"/>
        <v>001GRACE KELLY</v>
      </c>
      <c r="H8107" s="5">
        <f>VLOOKUP(G8107,[1]Astroflores!$G$2:$H$109,2,FALSE)</f>
        <v>2160</v>
      </c>
      <c r="I8107" s="6">
        <v>1162.4344827121224</v>
      </c>
      <c r="J8107" s="5">
        <v>8800</v>
      </c>
      <c r="K8107" s="6">
        <f t="shared" si="329"/>
        <v>1.8581692406099461</v>
      </c>
    </row>
    <row r="8108" spans="1:11">
      <c r="A8108" s="4">
        <v>2026</v>
      </c>
      <c r="B8108">
        <v>23</v>
      </c>
      <c r="C8108" t="s">
        <v>54</v>
      </c>
      <c r="D8108" t="s">
        <v>11</v>
      </c>
      <c r="E8108" t="s">
        <v>55</v>
      </c>
      <c r="F8108" t="s">
        <v>60</v>
      </c>
      <c r="G8108" t="str">
        <f t="shared" si="328"/>
        <v>001LIGHT HOUSE</v>
      </c>
      <c r="H8108" s="5">
        <f>VLOOKUP(G8108,[1]Astroflores!$G$2:$H$109,2,FALSE)</f>
        <v>2610</v>
      </c>
      <c r="I8108" s="6">
        <v>1056.7586206473827</v>
      </c>
      <c r="J8108" s="5">
        <v>8000</v>
      </c>
      <c r="K8108" s="6">
        <f t="shared" si="329"/>
        <v>2.4698166156440564</v>
      </c>
    </row>
    <row r="8109" spans="1:11">
      <c r="A8109" s="4">
        <v>2026</v>
      </c>
      <c r="B8109">
        <v>23</v>
      </c>
      <c r="C8109" t="s">
        <v>54</v>
      </c>
      <c r="D8109" t="s">
        <v>11</v>
      </c>
      <c r="E8109" t="s">
        <v>55</v>
      </c>
      <c r="F8109" t="s">
        <v>61</v>
      </c>
      <c r="G8109" t="str">
        <f t="shared" si="328"/>
        <v>001LUMIA</v>
      </c>
      <c r="H8109" s="5">
        <f>VLOOKUP(G8109,[1]Astroflores!$G$2:$H$109,2,FALSE)</f>
        <v>1530</v>
      </c>
      <c r="I8109" s="6">
        <v>1109.596551679753</v>
      </c>
      <c r="J8109" s="5">
        <v>8400</v>
      </c>
      <c r="K8109" s="6">
        <f t="shared" si="329"/>
        <v>1.3788795555319839</v>
      </c>
    </row>
    <row r="8110" spans="1:11">
      <c r="A8110" s="4">
        <v>2026</v>
      </c>
      <c r="B8110">
        <v>23</v>
      </c>
      <c r="C8110" t="s">
        <v>54</v>
      </c>
      <c r="D8110" t="s">
        <v>11</v>
      </c>
      <c r="E8110" t="s">
        <v>55</v>
      </c>
      <c r="F8110" t="s">
        <v>62</v>
      </c>
      <c r="G8110" t="str">
        <f t="shared" si="328"/>
        <v>001MOMENTUM</v>
      </c>
      <c r="H8110" s="5">
        <f>VLOOKUP(G8110,[1]Astroflores!$G$2:$H$109,2,FALSE)</f>
        <v>3200</v>
      </c>
      <c r="I8110" s="6">
        <v>1902.1655171652881</v>
      </c>
      <c r="J8110" s="5">
        <v>14400</v>
      </c>
      <c r="K8110" s="6">
        <f t="shared" si="329"/>
        <v>1.6822931396468677</v>
      </c>
    </row>
    <row r="8111" spans="1:11">
      <c r="A8111" s="4">
        <v>2026</v>
      </c>
      <c r="B8111">
        <v>23</v>
      </c>
      <c r="C8111" t="s">
        <v>54</v>
      </c>
      <c r="D8111" t="s">
        <v>11</v>
      </c>
      <c r="E8111" t="s">
        <v>12</v>
      </c>
      <c r="F8111" t="s">
        <v>64</v>
      </c>
      <c r="G8111" t="str">
        <f t="shared" si="328"/>
        <v>002SWEETNESS</v>
      </c>
      <c r="H8111" s="5">
        <f>VLOOKUP(G8111,[1]Astroflores!$G$2:$H$109,2,FALSE)</f>
        <v>7680</v>
      </c>
      <c r="I8111" s="6">
        <v>3804.4285712763772</v>
      </c>
      <c r="J8111" s="5">
        <v>28800</v>
      </c>
      <c r="K8111" s="6">
        <f t="shared" ref="K8111:K8170" si="330">+H8111/I8111</f>
        <v>2.0187000113458242</v>
      </c>
    </row>
    <row r="8112" spans="1:11">
      <c r="A8112" s="4">
        <v>2026</v>
      </c>
      <c r="B8112">
        <v>23</v>
      </c>
      <c r="C8112" t="s">
        <v>54</v>
      </c>
      <c r="D8112" t="s">
        <v>11</v>
      </c>
      <c r="E8112" t="s">
        <v>65</v>
      </c>
      <c r="F8112" t="s">
        <v>66</v>
      </c>
      <c r="G8112" t="str">
        <f t="shared" si="328"/>
        <v>003CABARET</v>
      </c>
      <c r="H8112" s="5">
        <f>VLOOKUP(G8112,[1]Astroflores!$G$2:$H$109,2,FALSE)</f>
        <v>4530</v>
      </c>
      <c r="I8112" s="6">
        <v>2641.8965516184649</v>
      </c>
      <c r="J8112" s="5">
        <v>20000</v>
      </c>
      <c r="K8112" s="6">
        <f t="shared" si="330"/>
        <v>1.7146772825850638</v>
      </c>
    </row>
    <row r="8113" spans="1:11">
      <c r="A8113" s="4">
        <v>2026</v>
      </c>
      <c r="B8113">
        <v>23</v>
      </c>
      <c r="C8113" t="s">
        <v>54</v>
      </c>
      <c r="D8113" t="s">
        <v>11</v>
      </c>
      <c r="E8113" t="s">
        <v>65</v>
      </c>
      <c r="F8113" t="s">
        <v>67</v>
      </c>
      <c r="G8113" t="str">
        <f t="shared" si="328"/>
        <v>003DEEP PURPLE</v>
      </c>
      <c r="H8113" s="5">
        <f>VLOOKUP(G8113,[1]Astroflores!$G$2:$H$109,2,FALSE)</f>
        <v>11220</v>
      </c>
      <c r="I8113" s="6">
        <v>3592.9793102010913</v>
      </c>
      <c r="J8113" s="5">
        <v>26044</v>
      </c>
      <c r="K8113" s="6">
        <f t="shared" si="330"/>
        <v>3.1227566404695053</v>
      </c>
    </row>
    <row r="8114" spans="1:11">
      <c r="A8114" s="4">
        <v>2026</v>
      </c>
      <c r="B8114">
        <v>23</v>
      </c>
      <c r="C8114" t="s">
        <v>54</v>
      </c>
      <c r="D8114" t="s">
        <v>11</v>
      </c>
      <c r="E8114" t="s">
        <v>65</v>
      </c>
      <c r="F8114" t="s">
        <v>57</v>
      </c>
      <c r="G8114" t="str">
        <f t="shared" si="328"/>
        <v>003EXPLORER</v>
      </c>
      <c r="H8114" s="5">
        <f>VLOOKUP(G8114,[1]Astroflores!$G$2:$H$109,2,FALSE)</f>
        <v>2850</v>
      </c>
      <c r="I8114" s="6">
        <v>1268.1103447768633</v>
      </c>
      <c r="J8114" s="5">
        <v>9600</v>
      </c>
      <c r="K8114" s="6">
        <f t="shared" si="330"/>
        <v>2.2474384912469789</v>
      </c>
    </row>
    <row r="8115" spans="1:11">
      <c r="A8115" s="4">
        <v>2026</v>
      </c>
      <c r="B8115">
        <v>23</v>
      </c>
      <c r="C8115" t="s">
        <v>54</v>
      </c>
      <c r="D8115" t="s">
        <v>11</v>
      </c>
      <c r="E8115" t="s">
        <v>65</v>
      </c>
      <c r="F8115" t="s">
        <v>68</v>
      </c>
      <c r="G8115" t="str">
        <f t="shared" si="328"/>
        <v>003JOCKER</v>
      </c>
      <c r="H8115" s="5">
        <f>VLOOKUP(G8115,[1]Astroflores!$G$2:$H$109,2,FALSE)</f>
        <v>1025</v>
      </c>
      <c r="I8115" s="6">
        <v>528.37931032368999</v>
      </c>
      <c r="J8115" s="5">
        <v>4000</v>
      </c>
      <c r="K8115" s="6">
        <f t="shared" si="330"/>
        <v>1.9398942766552982</v>
      </c>
    </row>
    <row r="8116" spans="1:11">
      <c r="A8116" s="4">
        <v>2026</v>
      </c>
      <c r="B8116">
        <v>23</v>
      </c>
      <c r="C8116" t="s">
        <v>54</v>
      </c>
      <c r="D8116" t="s">
        <v>11</v>
      </c>
      <c r="E8116" t="s">
        <v>65</v>
      </c>
      <c r="F8116" t="s">
        <v>69</v>
      </c>
      <c r="G8116" t="str">
        <f t="shared" si="328"/>
        <v>003QUICKSAND</v>
      </c>
      <c r="H8116" s="5">
        <f>VLOOKUP(G8116,[1]Astroflores!$G$2:$H$109,2,FALSE)</f>
        <v>1770</v>
      </c>
      <c r="I8116" s="6">
        <v>1162.4344827121247</v>
      </c>
      <c r="J8116" s="5">
        <v>8800</v>
      </c>
      <c r="K8116" s="6">
        <f t="shared" si="330"/>
        <v>1.5226664610553695</v>
      </c>
    </row>
    <row r="8117" spans="1:11">
      <c r="A8117" s="4">
        <v>2026</v>
      </c>
      <c r="B8117">
        <v>23</v>
      </c>
      <c r="C8117" t="s">
        <v>54</v>
      </c>
      <c r="D8117" t="s">
        <v>11</v>
      </c>
      <c r="E8117" t="s">
        <v>14</v>
      </c>
      <c r="F8117" t="s">
        <v>70</v>
      </c>
      <c r="G8117" t="str">
        <f t="shared" si="328"/>
        <v>004COTOPAXI</v>
      </c>
      <c r="H8117" s="5">
        <f>VLOOKUP(G8117,[1]Astroflores!$G$2:$H$109,2,FALSE)</f>
        <v>810</v>
      </c>
      <c r="I8117" s="6">
        <v>528.3915024419166</v>
      </c>
      <c r="J8117" s="5">
        <v>4000</v>
      </c>
      <c r="K8117" s="6">
        <f t="shared" si="330"/>
        <v>1.532954251263795</v>
      </c>
    </row>
    <row r="8118" spans="1:11">
      <c r="A8118" s="4">
        <v>2026</v>
      </c>
      <c r="B8118">
        <v>23</v>
      </c>
      <c r="C8118" t="s">
        <v>54</v>
      </c>
      <c r="D8118" t="s">
        <v>11</v>
      </c>
      <c r="E8118" t="s">
        <v>14</v>
      </c>
      <c r="F8118" t="s">
        <v>67</v>
      </c>
      <c r="G8118" t="str">
        <f t="shared" si="328"/>
        <v>004DEEP PURPLE</v>
      </c>
      <c r="H8118" s="5">
        <f>VLOOKUP(G8118,[1]Astroflores!$G$2:$H$109,2,FALSE)</f>
        <v>16140</v>
      </c>
      <c r="I8118" s="6">
        <v>3910.1071427007282</v>
      </c>
      <c r="J8118" s="5">
        <v>29260</v>
      </c>
      <c r="K8118" s="6">
        <f t="shared" si="330"/>
        <v>4.1277641279292494</v>
      </c>
    </row>
    <row r="8119" spans="1:11">
      <c r="A8119" s="4">
        <v>2026</v>
      </c>
      <c r="B8119">
        <v>23</v>
      </c>
      <c r="C8119" t="s">
        <v>54</v>
      </c>
      <c r="D8119" t="s">
        <v>11</v>
      </c>
      <c r="E8119" t="s">
        <v>14</v>
      </c>
      <c r="F8119" t="s">
        <v>71</v>
      </c>
      <c r="G8119" t="str">
        <f t="shared" si="328"/>
        <v>004HOT EXPLORER</v>
      </c>
      <c r="H8119" s="5">
        <f>VLOOKUP(G8119,[1]Astroflores!$G$2:$H$109,2,FALSE)</f>
        <v>4775</v>
      </c>
      <c r="I8119" s="6">
        <v>1902.2142856381945</v>
      </c>
      <c r="J8119" s="5">
        <v>14400</v>
      </c>
      <c r="K8119" s="6">
        <f t="shared" si="330"/>
        <v>2.5102324359834065</v>
      </c>
    </row>
    <row r="8120" spans="1:11">
      <c r="A8120" s="4">
        <v>2026</v>
      </c>
      <c r="B8120">
        <v>23</v>
      </c>
      <c r="C8120" t="s">
        <v>54</v>
      </c>
      <c r="D8120" t="s">
        <v>11</v>
      </c>
      <c r="E8120" t="s">
        <v>14</v>
      </c>
      <c r="F8120" t="s">
        <v>72</v>
      </c>
      <c r="G8120" t="str">
        <f t="shared" si="328"/>
        <v>004HOT MERENGUE</v>
      </c>
      <c r="H8120" s="5">
        <f>VLOOKUP(G8120,[1]Astroflores!$G$2:$H$109,2,FALSE)</f>
        <v>4410</v>
      </c>
      <c r="I8120" s="6">
        <v>1162.4642856677858</v>
      </c>
      <c r="J8120" s="5">
        <v>8800</v>
      </c>
      <c r="K8120" s="6">
        <f t="shared" si="330"/>
        <v>3.7936649360944834</v>
      </c>
    </row>
    <row r="8121" spans="1:11">
      <c r="A8121" s="4">
        <v>2026</v>
      </c>
      <c r="B8121">
        <v>23</v>
      </c>
      <c r="C8121" t="s">
        <v>54</v>
      </c>
      <c r="D8121" t="s">
        <v>11</v>
      </c>
      <c r="E8121" t="s">
        <v>14</v>
      </c>
      <c r="F8121" t="s">
        <v>64</v>
      </c>
      <c r="G8121" t="str">
        <f t="shared" si="328"/>
        <v>004SWEETNESS</v>
      </c>
      <c r="H8121" s="5">
        <f>VLOOKUP(G8121,[1]Astroflores!$G$2:$H$109,2,FALSE)</f>
        <v>720</v>
      </c>
      <c r="I8121" s="6">
        <v>317.03571427303262</v>
      </c>
      <c r="J8121" s="5">
        <v>2400</v>
      </c>
      <c r="K8121" s="6">
        <f t="shared" si="330"/>
        <v>2.2710375127640434</v>
      </c>
    </row>
    <row r="8122" spans="1:11">
      <c r="A8122" s="4">
        <v>2026</v>
      </c>
      <c r="B8122">
        <v>23</v>
      </c>
      <c r="C8122" t="s">
        <v>54</v>
      </c>
      <c r="D8122" t="s">
        <v>11</v>
      </c>
      <c r="E8122" t="s">
        <v>16</v>
      </c>
      <c r="F8122" t="s">
        <v>57</v>
      </c>
      <c r="G8122" t="str">
        <f t="shared" si="328"/>
        <v>005EXPLORER</v>
      </c>
      <c r="H8122" s="5">
        <f>VLOOKUP(G8122,[1]Astroflores!$G$2:$H$109,2,FALSE)</f>
        <v>1850</v>
      </c>
      <c r="I8122" s="6">
        <v>951.10714281875391</v>
      </c>
      <c r="J8122" s="5">
        <v>7200</v>
      </c>
      <c r="K8122" s="6">
        <f t="shared" si="330"/>
        <v>1.9451015734328703</v>
      </c>
    </row>
    <row r="8123" spans="1:11">
      <c r="A8123" s="4">
        <v>2026</v>
      </c>
      <c r="B8123">
        <v>23</v>
      </c>
      <c r="C8123" t="s">
        <v>54</v>
      </c>
      <c r="D8123" t="s">
        <v>11</v>
      </c>
      <c r="E8123" t="s">
        <v>16</v>
      </c>
      <c r="F8123" t="s">
        <v>73</v>
      </c>
      <c r="G8123" t="str">
        <f t="shared" si="328"/>
        <v>005GOLDFINCH</v>
      </c>
      <c r="H8123" s="5">
        <f>VLOOKUP(G8123,[1]Astroflores!$G$2:$H$109,2,FALSE)</f>
        <v>1225</v>
      </c>
      <c r="I8123" s="6">
        <v>898.26785710660101</v>
      </c>
      <c r="J8123" s="5">
        <v>6800</v>
      </c>
      <c r="K8123" s="6">
        <f t="shared" si="330"/>
        <v>1.3637357613416468</v>
      </c>
    </row>
    <row r="8124" spans="1:11">
      <c r="A8124" s="4">
        <v>2026</v>
      </c>
      <c r="B8124">
        <v>23</v>
      </c>
      <c r="C8124" t="s">
        <v>54</v>
      </c>
      <c r="D8124" t="s">
        <v>11</v>
      </c>
      <c r="E8124" t="s">
        <v>16</v>
      </c>
      <c r="F8124" t="s">
        <v>68</v>
      </c>
      <c r="G8124" t="str">
        <f t="shared" si="328"/>
        <v>005JOCKER</v>
      </c>
      <c r="H8124" s="5">
        <f>VLOOKUP(G8124,[1]Astroflores!$G$2:$H$109,2,FALSE)</f>
        <v>3000</v>
      </c>
      <c r="I8124" s="6">
        <v>1162.4642856673661</v>
      </c>
      <c r="J8124" s="5">
        <v>8800</v>
      </c>
      <c r="K8124" s="6">
        <f t="shared" si="330"/>
        <v>2.5807244463237096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16</v>
      </c>
      <c r="F8125" t="s">
        <v>74</v>
      </c>
      <c r="G8125" t="str">
        <f t="shared" si="328"/>
        <v>005VENDELA</v>
      </c>
      <c r="H8125" s="5">
        <f>VLOOKUP(G8125,[1]Astroflores!$G$2:$H$109,2,FALSE)</f>
        <v>2580</v>
      </c>
      <c r="I8125" s="6">
        <v>686.91071425798896</v>
      </c>
      <c r="J8125" s="5">
        <v>5200</v>
      </c>
      <c r="K8125" s="6">
        <f t="shared" si="330"/>
        <v>3.7559466557265071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75</v>
      </c>
      <c r="F8126" t="s">
        <v>76</v>
      </c>
      <c r="G8126" t="str">
        <f t="shared" si="328"/>
        <v>006ATOMIC</v>
      </c>
      <c r="H8126" s="5">
        <f>VLOOKUP(G8126,[1]Astroflores!$G$2:$H$109,2,FALSE)</f>
        <v>1300</v>
      </c>
      <c r="I8126" s="6">
        <v>845.428571394752</v>
      </c>
      <c r="J8126" s="5">
        <v>6400</v>
      </c>
      <c r="K8126" s="6">
        <f t="shared" si="330"/>
        <v>1.5376816492673242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75</v>
      </c>
      <c r="F8127" t="s">
        <v>57</v>
      </c>
      <c r="G8127" t="str">
        <f t="shared" si="328"/>
        <v>006EXPLORER</v>
      </c>
      <c r="H8127" s="5">
        <f>VLOOKUP(G8127,[1]Astroflores!$G$2:$H$109,2,FALSE)</f>
        <v>8275</v>
      </c>
      <c r="I8127" s="6">
        <v>3910.1071427007355</v>
      </c>
      <c r="J8127" s="5">
        <v>29600</v>
      </c>
      <c r="K8127" s="6">
        <f t="shared" si="330"/>
        <v>2.1163102948336103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75</v>
      </c>
      <c r="F8128" t="s">
        <v>77</v>
      </c>
      <c r="G8128" t="str">
        <f t="shared" si="328"/>
        <v>006MONDIAL</v>
      </c>
      <c r="H8128" s="5">
        <f>VLOOKUP(G8128,[1]Astroflores!$G$2:$H$109,2,FALSE)</f>
        <v>5975</v>
      </c>
      <c r="I8128" s="6">
        <v>4015.7857141250793</v>
      </c>
      <c r="J8128" s="5">
        <v>30400</v>
      </c>
      <c r="K8128" s="6">
        <f t="shared" si="330"/>
        <v>1.4878781950400397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20</v>
      </c>
      <c r="F8129" t="s">
        <v>70</v>
      </c>
      <c r="G8129" t="str">
        <f t="shared" si="328"/>
        <v>007COTOPAXI</v>
      </c>
      <c r="H8129" s="5">
        <f>VLOOKUP(G8129,[1]Astroflores!$G$2:$H$109,2,FALSE)</f>
        <v>5040</v>
      </c>
      <c r="I8129" s="6">
        <v>2747.5751230427709</v>
      </c>
      <c r="J8129" s="5">
        <v>20800</v>
      </c>
      <c r="K8129" s="6">
        <f t="shared" si="330"/>
        <v>1.8343447492050768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20</v>
      </c>
      <c r="F8130" t="s">
        <v>78</v>
      </c>
      <c r="G8130" t="str">
        <f t="shared" si="328"/>
        <v>007REDIANT</v>
      </c>
      <c r="H8130" s="5">
        <f>VLOOKUP(G8130,[1]Astroflores!$G$2:$H$109,2,FALSE)</f>
        <v>1710</v>
      </c>
      <c r="I8130" s="6">
        <v>1056.75862064738</v>
      </c>
      <c r="J8130" s="5">
        <v>9600</v>
      </c>
      <c r="K8130" s="6">
        <f t="shared" si="330"/>
        <v>1.6181557136978342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20</v>
      </c>
      <c r="F8131" t="s">
        <v>63</v>
      </c>
      <c r="G8131" t="str">
        <f t="shared" si="328"/>
        <v>007SUMMER ROMANCE</v>
      </c>
      <c r="H8131" s="5">
        <f>VLOOKUP(G8131,[1]Astroflores!$G$2:$H$109,2,FALSE)</f>
        <v>550</v>
      </c>
      <c r="I8131" s="6">
        <v>317.02758619421581</v>
      </c>
      <c r="J8131" s="5">
        <v>2640</v>
      </c>
      <c r="K8131" s="6">
        <f t="shared" si="330"/>
        <v>1.734864800260826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20</v>
      </c>
      <c r="F8132" t="s">
        <v>74</v>
      </c>
      <c r="G8132" t="str">
        <f t="shared" ref="G8132:G8194" si="331">+E8132&amp;F8132</f>
        <v>007VENDELA</v>
      </c>
      <c r="H8132" s="5">
        <f>VLOOKUP(G8132,[1]Astroflores!$G$2:$H$109,2,FALSE)</f>
        <v>12330</v>
      </c>
      <c r="I8132" s="6">
        <v>3592.9793102011122</v>
      </c>
      <c r="J8132" s="5">
        <v>27820</v>
      </c>
      <c r="K8132" s="6">
        <f t="shared" si="330"/>
        <v>3.4316924578421366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79</v>
      </c>
      <c r="F8133" t="s">
        <v>67</v>
      </c>
      <c r="G8133" t="str">
        <f t="shared" si="331"/>
        <v>008DEEP PURPLE</v>
      </c>
      <c r="H8133" s="5">
        <f>VLOOKUP(G8133,[1]Astroflores!$G$2:$H$109,2,FALSE)</f>
        <v>3750</v>
      </c>
      <c r="I8133" s="6">
        <v>1585.2222221588099</v>
      </c>
      <c r="J8133" s="5">
        <v>11490</v>
      </c>
      <c r="K8133" s="6">
        <f t="shared" si="330"/>
        <v>2.3655989346989608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79</v>
      </c>
      <c r="F8134" t="s">
        <v>81</v>
      </c>
      <c r="G8134" t="str">
        <f t="shared" si="331"/>
        <v>008FREEDOM</v>
      </c>
      <c r="H8134" s="5">
        <f>VLOOKUP(G8134,[1]Astroflores!$G$2:$H$109,2,FALSE)</f>
        <v>5010</v>
      </c>
      <c r="I8134" s="6">
        <v>2219.311111022334</v>
      </c>
      <c r="J8134" s="5">
        <v>16800</v>
      </c>
      <c r="K8134" s="6">
        <f t="shared" si="330"/>
        <v>2.2574572691127224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79</v>
      </c>
      <c r="F8135" t="s">
        <v>68</v>
      </c>
      <c r="G8135" t="str">
        <f t="shared" si="331"/>
        <v>008JOCKER</v>
      </c>
      <c r="H8135" s="5">
        <f>VLOOKUP(G8135,[1]Astroflores!$G$2:$H$109,2,FALSE)</f>
        <v>5350</v>
      </c>
      <c r="I8135" s="6">
        <v>2959.0814813631118</v>
      </c>
      <c r="J8135" s="5">
        <v>22400</v>
      </c>
      <c r="K8135" s="6">
        <f t="shared" si="330"/>
        <v>1.80799347151992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82</v>
      </c>
      <c r="F8136" t="s">
        <v>83</v>
      </c>
      <c r="G8136" t="str">
        <f t="shared" si="331"/>
        <v>010COOLDOWN</v>
      </c>
      <c r="H8136" s="5">
        <f>VLOOKUP(G8136,[1]Astroflores!$G$2:$H$109,2,FALSE)</f>
        <v>4325</v>
      </c>
      <c r="I8136" s="6">
        <v>1912.3542857142861</v>
      </c>
      <c r="J8136" s="5">
        <v>16320</v>
      </c>
      <c r="K8136" s="6">
        <f t="shared" si="330"/>
        <v>2.2616102216564768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82</v>
      </c>
      <c r="F8137" t="s">
        <v>84</v>
      </c>
      <c r="G8137" t="str">
        <f t="shared" si="331"/>
        <v>010VIOLET HILL</v>
      </c>
      <c r="H8137" s="5">
        <f>VLOOKUP(G8137,[1]Astroflores!$G$2:$H$109,2,FALSE)</f>
        <v>3720</v>
      </c>
      <c r="I8137" s="6">
        <v>2812.2857142428579</v>
      </c>
      <c r="J8137" s="5">
        <v>20000</v>
      </c>
      <c r="K8137" s="6">
        <f t="shared" si="330"/>
        <v>1.322767448968649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85</v>
      </c>
      <c r="F8138" t="s">
        <v>86</v>
      </c>
      <c r="G8138" t="str">
        <f t="shared" si="331"/>
        <v>011BRIGHTON</v>
      </c>
      <c r="H8138" s="5">
        <f>VLOOKUP(G8138,[1]Astroflores!$G$2:$H$109,2,FALSE)</f>
        <v>4350</v>
      </c>
      <c r="I8138" s="6">
        <v>1768.8376470588223</v>
      </c>
      <c r="J8138" s="5">
        <v>12800</v>
      </c>
      <c r="K8138" s="6">
        <f t="shared" si="330"/>
        <v>2.4592420945093902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85</v>
      </c>
      <c r="F8139" t="s">
        <v>87</v>
      </c>
      <c r="G8139" t="str">
        <f t="shared" si="331"/>
        <v>011CANDLELIGHT</v>
      </c>
      <c r="H8139" s="5">
        <f>VLOOKUP(G8139,[1]Astroflores!$G$2:$H$109,2,FALSE)</f>
        <v>5360</v>
      </c>
      <c r="I8139" s="6">
        <v>2263.7999998868127</v>
      </c>
      <c r="J8139" s="5">
        <v>17920</v>
      </c>
      <c r="K8139" s="6">
        <f t="shared" si="330"/>
        <v>2.3677003270023826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85</v>
      </c>
      <c r="F8140" t="s">
        <v>88</v>
      </c>
      <c r="G8140" t="str">
        <f t="shared" si="331"/>
        <v>011CAYENNE</v>
      </c>
      <c r="H8140" s="5">
        <f>VLOOKUP(G8140,[1]Astroflores!$G$2:$H$109,2,FALSE)</f>
        <v>3060</v>
      </c>
      <c r="I8140" s="6">
        <v>994.97117647058747</v>
      </c>
      <c r="J8140" s="5">
        <v>7200</v>
      </c>
      <c r="K8140" s="6">
        <f t="shared" si="330"/>
        <v>3.0754659756623184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85</v>
      </c>
      <c r="F8141" t="s">
        <v>61</v>
      </c>
      <c r="G8141" t="str">
        <f t="shared" si="331"/>
        <v>011LUMIA</v>
      </c>
      <c r="H8141" s="5">
        <f>VLOOKUP(G8141,[1]Astroflores!$G$2:$H$109,2,FALSE)</f>
        <v>1620</v>
      </c>
      <c r="I8141" s="6">
        <v>994.97117647058747</v>
      </c>
      <c r="J8141" s="5">
        <v>7920</v>
      </c>
      <c r="K8141" s="6">
        <f t="shared" si="330"/>
        <v>1.6281878694682861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85</v>
      </c>
      <c r="F8142" t="s">
        <v>89</v>
      </c>
      <c r="G8142" t="str">
        <f t="shared" si="331"/>
        <v>011STARDUST</v>
      </c>
      <c r="H8142" s="5">
        <f>VLOOKUP(G8142,[1]Astroflores!$G$2:$H$109,2,FALSE)</f>
        <v>3475</v>
      </c>
      <c r="I8142" s="6">
        <v>2263.7999998868127</v>
      </c>
      <c r="J8142" s="5">
        <v>17920</v>
      </c>
      <c r="K8142" s="6">
        <f t="shared" si="330"/>
        <v>1.5350295963308358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90</v>
      </c>
      <c r="F8143" t="s">
        <v>67</v>
      </c>
      <c r="G8143" t="str">
        <f t="shared" si="331"/>
        <v>012DEEP PURPLE</v>
      </c>
      <c r="H8143" s="5">
        <f>VLOOKUP(G8143,[1]Astroflores!$G$2:$H$109,2,FALSE)</f>
        <v>15600</v>
      </c>
      <c r="I8143" s="6">
        <v>6727.0499997982479</v>
      </c>
      <c r="J8143" s="5">
        <v>49210</v>
      </c>
      <c r="K8143" s="6">
        <f t="shared" si="330"/>
        <v>2.3189956965486895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90</v>
      </c>
      <c r="F8144" t="s">
        <v>60</v>
      </c>
      <c r="G8144" t="str">
        <f t="shared" si="331"/>
        <v>012LIGHT HOUSE</v>
      </c>
      <c r="H8144" s="5">
        <f>VLOOKUP(G8144,[1]Astroflores!$G$2:$H$109,2,FALSE)</f>
        <v>1620</v>
      </c>
      <c r="I8144" s="6">
        <v>994.95</v>
      </c>
      <c r="J8144" s="5">
        <v>7200</v>
      </c>
      <c r="K8144" s="6">
        <f t="shared" si="330"/>
        <v>1.6282225237449117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91</v>
      </c>
      <c r="F8145" t="s">
        <v>92</v>
      </c>
      <c r="G8145" t="str">
        <f t="shared" si="331"/>
        <v>013COUNTRY BLUES</v>
      </c>
      <c r="H8145" s="5">
        <f>VLOOKUP(G8145,[1]Astroflores!$G$2:$H$109,2,FALSE)</f>
        <v>1760</v>
      </c>
      <c r="I8145" s="6">
        <v>831.6</v>
      </c>
      <c r="J8145" s="5">
        <v>6300</v>
      </c>
      <c r="K8145" s="6">
        <f t="shared" si="330"/>
        <v>2.1164021164021163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91</v>
      </c>
      <c r="F8146" t="s">
        <v>93</v>
      </c>
      <c r="G8146" t="str">
        <f t="shared" si="331"/>
        <v>013LORRAINE</v>
      </c>
      <c r="H8146" s="5">
        <f>VLOOKUP(G8146,[1]Astroflores!$G$2:$H$109,2,FALSE)</f>
        <v>4275</v>
      </c>
      <c r="I8146" s="6">
        <v>1267.2</v>
      </c>
      <c r="J8146" s="5">
        <v>9600</v>
      </c>
      <c r="K8146" s="6">
        <f t="shared" si="330"/>
        <v>3.3735795454545454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91</v>
      </c>
      <c r="F8147" t="s">
        <v>61</v>
      </c>
      <c r="G8147" t="str">
        <f t="shared" si="331"/>
        <v>013LUMIA</v>
      </c>
      <c r="H8147" s="5">
        <f>VLOOKUP(G8147,[1]Astroflores!$G$2:$H$109,2,FALSE)</f>
        <v>480</v>
      </c>
      <c r="I8147" s="6">
        <v>316.8</v>
      </c>
      <c r="J8147" s="5">
        <v>2400</v>
      </c>
      <c r="K8147" s="6">
        <f t="shared" si="330"/>
        <v>1.5151515151515151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91</v>
      </c>
      <c r="F8148" t="s">
        <v>74</v>
      </c>
      <c r="G8148" t="str">
        <f t="shared" si="331"/>
        <v>013VENDELA</v>
      </c>
      <c r="H8148" s="5">
        <f>VLOOKUP(G8148,[1]Astroflores!$G$2:$H$109,2,FALSE)</f>
        <v>12810</v>
      </c>
      <c r="I8148" s="6">
        <v>3603.6</v>
      </c>
      <c r="J8148" s="5">
        <v>27296</v>
      </c>
      <c r="K8148" s="6">
        <f t="shared" si="330"/>
        <v>3.5547785547785549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23</v>
      </c>
      <c r="F8149" t="s">
        <v>89</v>
      </c>
      <c r="G8149" t="str">
        <f t="shared" si="331"/>
        <v>014STARDUST</v>
      </c>
      <c r="H8149" s="5">
        <f>VLOOKUP(G8149,[1]Astroflores!$G$2:$H$109,2,FALSE)</f>
        <v>4975</v>
      </c>
      <c r="I8149" s="6">
        <v>3682.8</v>
      </c>
      <c r="J8149" s="5">
        <v>27900</v>
      </c>
      <c r="K8149" s="6">
        <f t="shared" si="330"/>
        <v>1.3508743347453025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25</v>
      </c>
      <c r="F8150" t="s">
        <v>68</v>
      </c>
      <c r="G8150" t="str">
        <f t="shared" si="331"/>
        <v>015JOCKER</v>
      </c>
      <c r="H8150" s="5">
        <f>VLOOKUP(G8150,[1]Astroflores!$G$2:$H$109,2,FALSE)</f>
        <v>3700</v>
      </c>
      <c r="I8150" s="6">
        <v>2376</v>
      </c>
      <c r="J8150" s="5">
        <v>18000</v>
      </c>
      <c r="K8150" s="6">
        <f t="shared" si="330"/>
        <v>1.5572390572390573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27</v>
      </c>
      <c r="F8151" t="s">
        <v>94</v>
      </c>
      <c r="G8151" t="str">
        <f t="shared" si="331"/>
        <v>016DREAM IN PEACH</v>
      </c>
      <c r="H8151" s="5">
        <f>VLOOKUP(G8151,[1]Astroflores!$G$2:$H$109,2,FALSE)</f>
        <v>1740</v>
      </c>
      <c r="I8151" s="6">
        <v>950.4</v>
      </c>
      <c r="J8151" s="5">
        <v>7200</v>
      </c>
      <c r="K8151" s="6">
        <f t="shared" si="330"/>
        <v>1.8308080808080809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27</v>
      </c>
      <c r="F8152" t="s">
        <v>95</v>
      </c>
      <c r="G8152" t="str">
        <f t="shared" si="331"/>
        <v>016NINA</v>
      </c>
      <c r="H8152" s="5">
        <f>VLOOKUP(G8152,[1]Astroflores!$G$2:$H$109,2,FALSE)</f>
        <v>4925</v>
      </c>
      <c r="I8152" s="6">
        <v>1346.4</v>
      </c>
      <c r="J8152" s="5">
        <v>10200</v>
      </c>
      <c r="K8152" s="6">
        <f t="shared" si="330"/>
        <v>3.6579025549613782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30</v>
      </c>
      <c r="F8153" t="s">
        <v>81</v>
      </c>
      <c r="G8153" t="str">
        <f t="shared" si="331"/>
        <v>017FREEDOM</v>
      </c>
      <c r="H8153" s="5">
        <f>VLOOKUP(G8153,[1]Astroflores!$G$2:$H$109,2,FALSE)</f>
        <v>6030</v>
      </c>
      <c r="I8153" s="6">
        <v>2851.2</v>
      </c>
      <c r="J8153" s="5">
        <v>21600</v>
      </c>
      <c r="K8153" s="6">
        <f t="shared" si="330"/>
        <v>2.1148989898989901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30</v>
      </c>
      <c r="F8154" t="s">
        <v>73</v>
      </c>
      <c r="G8154" t="str">
        <f t="shared" si="331"/>
        <v>017GOLDFINCH</v>
      </c>
      <c r="H8154" s="5">
        <f>VLOOKUP(G8154,[1]Astroflores!$G$2:$H$109,2,FALSE)</f>
        <v>4075</v>
      </c>
      <c r="I8154" s="6">
        <v>2138.4</v>
      </c>
      <c r="J8154" s="5">
        <v>16200</v>
      </c>
      <c r="K8154" s="6">
        <f t="shared" si="330"/>
        <v>1.9056303778526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32</v>
      </c>
      <c r="F8155" t="s">
        <v>86</v>
      </c>
      <c r="G8155" t="str">
        <f t="shared" si="331"/>
        <v>018BRIGHTON</v>
      </c>
      <c r="H8155" s="5">
        <f>VLOOKUP(G8155,[1]Astroflores!$G$2:$H$109,2,FALSE)</f>
        <v>2100</v>
      </c>
      <c r="I8155" s="6">
        <v>963.6</v>
      </c>
      <c r="J8155" s="5">
        <v>7570</v>
      </c>
      <c r="K8155" s="6">
        <f t="shared" si="330"/>
        <v>2.179327521793275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35</v>
      </c>
      <c r="F8156" t="s">
        <v>86</v>
      </c>
      <c r="G8156" t="str">
        <f t="shared" si="331"/>
        <v>019BRIGHTON</v>
      </c>
      <c r="H8156" s="5">
        <f>VLOOKUP(G8156,[1]Astroflores!$G$2:$H$109,2,FALSE)</f>
        <v>8150</v>
      </c>
      <c r="I8156" s="6">
        <v>3168</v>
      </c>
      <c r="J8156" s="5">
        <v>24000</v>
      </c>
      <c r="K8156" s="6">
        <f t="shared" si="330"/>
        <v>2.5726010101010099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35</v>
      </c>
      <c r="F8157" t="s">
        <v>96</v>
      </c>
      <c r="G8157" t="str">
        <f t="shared" si="331"/>
        <v>019TABATHA</v>
      </c>
      <c r="H8157" s="5">
        <f>VLOOKUP(G8157,[1]Astroflores!$G$2:$H$109,2,FALSE)</f>
        <v>2790</v>
      </c>
      <c r="I8157" s="6">
        <v>1188</v>
      </c>
      <c r="J8157" s="5">
        <v>9000</v>
      </c>
      <c r="K8157" s="6">
        <f t="shared" si="330"/>
        <v>2.3484848484848486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36</v>
      </c>
      <c r="F8158" t="s">
        <v>86</v>
      </c>
      <c r="G8158" t="str">
        <f t="shared" si="331"/>
        <v>020BRIGHTON</v>
      </c>
      <c r="H8158" s="5">
        <f>VLOOKUP(G8158,[1]Astroflores!$G$2:$H$109,2,FALSE)</f>
        <v>5000</v>
      </c>
      <c r="I8158" s="6">
        <v>2732.4</v>
      </c>
      <c r="J8158" s="5">
        <v>20700</v>
      </c>
      <c r="K8158" s="6">
        <f t="shared" si="330"/>
        <v>1.8298931342409603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36</v>
      </c>
      <c r="F8159" t="s">
        <v>97</v>
      </c>
      <c r="G8159" t="str">
        <f t="shared" si="331"/>
        <v>020TYCOON</v>
      </c>
      <c r="H8159" s="5">
        <f>VLOOKUP(G8159,[1]Astroflores!$G$2:$H$109,2,FALSE)</f>
        <v>990</v>
      </c>
      <c r="I8159" s="6">
        <v>673.2</v>
      </c>
      <c r="J8159" s="5">
        <v>5100</v>
      </c>
      <c r="K8159" s="6">
        <f t="shared" si="330"/>
        <v>1.4705882352941175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38</v>
      </c>
      <c r="F8160" t="s">
        <v>98</v>
      </c>
      <c r="G8160" t="str">
        <f t="shared" si="331"/>
        <v>021SHOW GIRL</v>
      </c>
      <c r="H8160" s="5">
        <f>VLOOKUP(G8160,[1]Astroflores!$G$2:$H$109,2,FALSE)</f>
        <v>2525</v>
      </c>
      <c r="I8160" s="6">
        <v>1100.4749999999999</v>
      </c>
      <c r="J8160" s="5">
        <v>8000</v>
      </c>
      <c r="K8160" s="6">
        <f t="shared" si="330"/>
        <v>2.2944637542879214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43</v>
      </c>
      <c r="F8161" t="s">
        <v>99</v>
      </c>
      <c r="G8161" t="str">
        <f t="shared" si="331"/>
        <v>022CORAL REEF</v>
      </c>
      <c r="H8161" s="5">
        <f>VLOOKUP(G8161,[1]Astroflores!$G$2:$H$109,2,FALSE)</f>
        <v>4100</v>
      </c>
      <c r="I8161" s="6">
        <v>1287</v>
      </c>
      <c r="J8161" s="5">
        <v>9400</v>
      </c>
      <c r="K8161" s="6">
        <f t="shared" si="330"/>
        <v>3.1857031857031859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100</v>
      </c>
      <c r="F8162" t="s">
        <v>70</v>
      </c>
      <c r="G8162" t="str">
        <f t="shared" si="331"/>
        <v>023COTOPAXI</v>
      </c>
      <c r="H8162" s="5">
        <f>VLOOKUP(G8162,[1]Astroflores!$G$2:$H$109,2,FALSE)</f>
        <v>4380</v>
      </c>
      <c r="I8162" s="6">
        <v>2641.14</v>
      </c>
      <c r="J8162" s="5">
        <v>19200</v>
      </c>
      <c r="K8162" s="6">
        <f t="shared" si="330"/>
        <v>1.6583747927031509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100</v>
      </c>
      <c r="F8163" t="s">
        <v>101</v>
      </c>
      <c r="G8163" t="str">
        <f t="shared" si="331"/>
        <v>023FRUTTETO</v>
      </c>
      <c r="H8163" s="5">
        <f>VLOOKUP(G8163,[1]Astroflores!$G$2:$H$109,2,FALSE)</f>
        <v>6150</v>
      </c>
      <c r="I8163" s="6">
        <v>2641.14</v>
      </c>
      <c r="J8163" s="5">
        <v>19200</v>
      </c>
      <c r="K8163" s="6">
        <f t="shared" si="330"/>
        <v>2.3285399486585341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102</v>
      </c>
      <c r="F8164" t="s">
        <v>70</v>
      </c>
      <c r="G8164" t="str">
        <f t="shared" si="331"/>
        <v>024COTOPAXI</v>
      </c>
      <c r="H8164" s="5">
        <f>VLOOKUP(G8164,[1]Astroflores!$G$2:$H$109,2,FALSE)</f>
        <v>1980</v>
      </c>
      <c r="I8164" s="6">
        <v>1430.6174906250001</v>
      </c>
      <c r="J8164" s="5">
        <v>10400</v>
      </c>
      <c r="K8164" s="6">
        <f t="shared" si="330"/>
        <v>1.3840177496606649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102</v>
      </c>
      <c r="F8165" t="s">
        <v>64</v>
      </c>
      <c r="G8165" t="str">
        <f t="shared" si="331"/>
        <v>024SWEETNESS</v>
      </c>
      <c r="H8165" s="5">
        <f>VLOOKUP(G8165,[1]Astroflores!$G$2:$H$109,2,FALSE)</f>
        <v>1980</v>
      </c>
      <c r="I8165" s="6">
        <v>1430.6175000000001</v>
      </c>
      <c r="J8165" s="5">
        <v>10400</v>
      </c>
      <c r="K8165" s="6">
        <f t="shared" si="330"/>
        <v>1.3840177405910383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102</v>
      </c>
      <c r="F8166" t="s">
        <v>97</v>
      </c>
      <c r="G8166" t="str">
        <f t="shared" si="331"/>
        <v>024TYCOON</v>
      </c>
      <c r="H8166" s="5">
        <f>VLOOKUP(G8166,[1]Astroflores!$G$2:$H$109,2,FALSE)</f>
        <v>4470</v>
      </c>
      <c r="I8166" s="6">
        <v>2861.2350000000001</v>
      </c>
      <c r="J8166" s="5">
        <v>20800</v>
      </c>
      <c r="K8166" s="6">
        <f t="shared" si="330"/>
        <v>1.5622624496065509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103</v>
      </c>
      <c r="F8167" t="s">
        <v>104</v>
      </c>
      <c r="G8167" t="str">
        <f t="shared" si="331"/>
        <v>025PINK MONDIAL</v>
      </c>
      <c r="H8167" s="5">
        <f>VLOOKUP(G8167,[1]Astroflores!$G$2:$H$109,2,FALSE)</f>
        <v>4925</v>
      </c>
      <c r="I8167" s="6">
        <v>3071.9505625000002</v>
      </c>
      <c r="J8167" s="5">
        <v>22400</v>
      </c>
      <c r="K8167" s="6">
        <f t="shared" si="330"/>
        <v>1.6032159046179311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45</v>
      </c>
      <c r="F8168" t="s">
        <v>105</v>
      </c>
      <c r="G8168" t="str">
        <f t="shared" si="331"/>
        <v>026LOLA</v>
      </c>
      <c r="H8168" s="5">
        <f>VLOOKUP(G8168,[1]Astroflores!$G$2:$H$109,2,FALSE)</f>
        <v>5550</v>
      </c>
      <c r="I8168" s="6">
        <v>1097.125</v>
      </c>
      <c r="J8168" s="5">
        <v>8000</v>
      </c>
      <c r="K8168" s="6">
        <f t="shared" si="330"/>
        <v>5.058676085222741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45</v>
      </c>
      <c r="F8169" t="s">
        <v>106</v>
      </c>
      <c r="G8169" t="str">
        <f t="shared" si="331"/>
        <v>026PALOMA</v>
      </c>
      <c r="H8169" s="5">
        <f>VLOOKUP(G8169,[1]Astroflores!$G$2:$H$109,2,FALSE)</f>
        <v>5575</v>
      </c>
      <c r="I8169" s="6">
        <v>2852.5250000000001</v>
      </c>
      <c r="J8169" s="5">
        <v>20800</v>
      </c>
      <c r="K8169" s="6">
        <f t="shared" si="330"/>
        <v>1.9544088132444062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107</v>
      </c>
      <c r="F8170" t="s">
        <v>108</v>
      </c>
      <c r="G8170" t="str">
        <f t="shared" si="331"/>
        <v>027SATISFACTION</v>
      </c>
      <c r="H8170" s="5">
        <f>VLOOKUP(G8170,[1]Astroflores!$G$2:$H$109,2,FALSE)</f>
        <v>5940</v>
      </c>
      <c r="I8170" s="6">
        <v>2633.1</v>
      </c>
      <c r="J8170" s="5">
        <v>19200</v>
      </c>
      <c r="K8170" s="6">
        <f t="shared" si="330"/>
        <v>2.2558960920587903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107</v>
      </c>
      <c r="F8171" t="s">
        <v>109</v>
      </c>
      <c r="G8171" t="str">
        <f t="shared" si="331"/>
        <v>027TIFFANY</v>
      </c>
      <c r="H8171" s="5">
        <f>VLOOKUP(G8171,[1]Astroflores!$G$2:$H$109,2,FALSE)</f>
        <v>5910</v>
      </c>
      <c r="I8171" s="6">
        <v>2633.1</v>
      </c>
      <c r="J8171" s="5">
        <v>19200</v>
      </c>
      <c r="K8171" s="6">
        <f t="shared" ref="K8171:K8175" si="332">+H8171/I8171</f>
        <v>2.2445026774524326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110</v>
      </c>
      <c r="F8172" t="s">
        <v>70</v>
      </c>
      <c r="G8172" t="str">
        <f t="shared" si="331"/>
        <v>028COTOPAXI</v>
      </c>
      <c r="H8172" s="5">
        <f>VLOOKUP(G8172,[1]Astroflores!$G$2:$H$109,2,FALSE)</f>
        <v>4110</v>
      </c>
      <c r="I8172" s="6">
        <v>2852.5250000000001</v>
      </c>
      <c r="J8172" s="5">
        <v>20800</v>
      </c>
      <c r="K8172" s="6">
        <f t="shared" si="332"/>
        <v>1.4408287394501362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110</v>
      </c>
      <c r="F8173" t="s">
        <v>67</v>
      </c>
      <c r="G8173" t="str">
        <f t="shared" si="331"/>
        <v>028DEEP PURPLE</v>
      </c>
      <c r="H8173" s="5">
        <f>VLOOKUP(G8173,[1]Astroflores!$G$2:$H$109,2,FALSE)</f>
        <v>7200</v>
      </c>
      <c r="I8173" s="6">
        <v>2852.5250000000001</v>
      </c>
      <c r="J8173" s="5">
        <v>20800</v>
      </c>
      <c r="K8173" s="6">
        <f t="shared" si="332"/>
        <v>2.5240795435622823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111</v>
      </c>
      <c r="F8174" t="s">
        <v>112</v>
      </c>
      <c r="G8174" t="str">
        <f t="shared" si="331"/>
        <v>029PINK FLOYD</v>
      </c>
      <c r="H8174" s="5">
        <f>VLOOKUP(G8174,[1]Astroflores!$G$2:$H$109,2,FALSE)</f>
        <v>4350</v>
      </c>
      <c r="I8174" s="6">
        <v>3071.95</v>
      </c>
      <c r="J8174" s="5">
        <v>22400</v>
      </c>
      <c r="K8174" s="6">
        <f t="shared" si="332"/>
        <v>1.4160386725044354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47</v>
      </c>
      <c r="F8175" t="s">
        <v>57</v>
      </c>
      <c r="G8175" t="str">
        <f t="shared" si="331"/>
        <v>030EXPLORER</v>
      </c>
      <c r="H8175" s="5">
        <f>VLOOKUP(G8175,[1]Astroflores!$G$2:$H$109,2,FALSE)</f>
        <v>2950</v>
      </c>
      <c r="I8175" s="6">
        <v>1645.6875</v>
      </c>
      <c r="J8175" s="5">
        <v>12000</v>
      </c>
      <c r="K8175" s="6">
        <f t="shared" si="332"/>
        <v>1.7925638980669174</v>
      </c>
    </row>
    <row r="8176" spans="1:11">
      <c r="A8176" s="4">
        <v>2026</v>
      </c>
      <c r="B8176">
        <v>24</v>
      </c>
      <c r="C8176" t="s">
        <v>10</v>
      </c>
      <c r="D8176" t="s">
        <v>11</v>
      </c>
      <c r="E8176" t="s">
        <v>12</v>
      </c>
      <c r="F8176" t="s">
        <v>13</v>
      </c>
      <c r="G8176" t="str">
        <f t="shared" si="331"/>
        <v>002SOMERSET</v>
      </c>
      <c r="H8176" s="5">
        <f>VLOOKUP(G8176,[2]Astroflores!$G$2:$H$109,2,FALSE)</f>
        <v>9680</v>
      </c>
      <c r="I8176" s="6">
        <v>4121.4642855494085</v>
      </c>
      <c r="J8176" s="5">
        <v>31200</v>
      </c>
      <c r="K8176" s="6">
        <f t="shared" ref="K8176:K8209" si="333">+H8176/I8176</f>
        <v>2.3486798208927375</v>
      </c>
    </row>
    <row r="8177" spans="1:11">
      <c r="A8177" s="4">
        <v>2026</v>
      </c>
      <c r="B8177">
        <v>24</v>
      </c>
      <c r="C8177" t="s">
        <v>10</v>
      </c>
      <c r="D8177" t="s">
        <v>11</v>
      </c>
      <c r="E8177" t="s">
        <v>14</v>
      </c>
      <c r="F8177" t="s">
        <v>15</v>
      </c>
      <c r="G8177" t="str">
        <f t="shared" si="331"/>
        <v>004BELLINA</v>
      </c>
      <c r="H8177" s="5">
        <f>VLOOKUP(G8177,[2]Astroflores!$G$2:$H$109,2,FALSE)</f>
        <v>1395</v>
      </c>
      <c r="I8177" s="6">
        <v>1056.7857142434418</v>
      </c>
      <c r="J8177" s="5">
        <v>8000</v>
      </c>
      <c r="K8177" s="6">
        <f t="shared" si="333"/>
        <v>1.3200405542941007</v>
      </c>
    </row>
    <row r="8178" spans="1:11">
      <c r="A8178" s="4">
        <v>2026</v>
      </c>
      <c r="B8178">
        <v>24</v>
      </c>
      <c r="C8178" t="s">
        <v>10</v>
      </c>
      <c r="D8178" t="s">
        <v>11</v>
      </c>
      <c r="E8178" t="s">
        <v>16</v>
      </c>
      <c r="F8178" t="s">
        <v>17</v>
      </c>
      <c r="G8178" t="str">
        <f t="shared" si="331"/>
        <v>005ELBA</v>
      </c>
      <c r="H8178" s="5">
        <f>VLOOKUP(G8178,[2]Astroflores!$G$2:$H$109,2,FALSE)</f>
        <v>8280</v>
      </c>
      <c r="I8178" s="6">
        <v>2641.9642856076484</v>
      </c>
      <c r="J8178" s="5">
        <v>19996</v>
      </c>
      <c r="K8178" s="6">
        <f t="shared" si="333"/>
        <v>3.1340317676155149</v>
      </c>
    </row>
    <row r="8179" spans="1:11">
      <c r="A8179" s="4">
        <v>2026</v>
      </c>
      <c r="B8179">
        <v>24</v>
      </c>
      <c r="C8179" t="s">
        <v>10</v>
      </c>
      <c r="D8179" t="s">
        <v>11</v>
      </c>
      <c r="E8179" t="s">
        <v>16</v>
      </c>
      <c r="F8179" t="s">
        <v>18</v>
      </c>
      <c r="G8179" t="str">
        <f t="shared" si="331"/>
        <v>005HOT BUBBLES</v>
      </c>
      <c r="H8179" s="5">
        <f>VLOOKUP(G8179,[2]Astroflores!$G$2:$H$109,2,FALSE)</f>
        <v>1940</v>
      </c>
      <c r="I8179" s="6">
        <v>528.39285712153003</v>
      </c>
      <c r="J8179" s="5">
        <v>4000</v>
      </c>
      <c r="K8179" s="6">
        <f t="shared" si="333"/>
        <v>3.671510645636531</v>
      </c>
    </row>
    <row r="8180" spans="1:11">
      <c r="A8180" s="4">
        <v>2026</v>
      </c>
      <c r="B8180">
        <v>24</v>
      </c>
      <c r="C8180" t="s">
        <v>10</v>
      </c>
      <c r="D8180" t="s">
        <v>11</v>
      </c>
      <c r="E8180" t="s">
        <v>16</v>
      </c>
      <c r="F8180" t="s">
        <v>19</v>
      </c>
      <c r="G8180" t="str">
        <f t="shared" si="331"/>
        <v>005SUSPIRO</v>
      </c>
      <c r="H8180" s="5">
        <f>VLOOKUP(G8180,[2]Astroflores!$G$2:$H$109,2,FALSE)</f>
        <v>3990</v>
      </c>
      <c r="I8180" s="6">
        <v>1902.2142856375078</v>
      </c>
      <c r="J8180" s="5">
        <v>14400</v>
      </c>
      <c r="K8180" s="6">
        <f t="shared" si="333"/>
        <v>2.0975554805397709</v>
      </c>
    </row>
    <row r="8181" spans="1:11">
      <c r="A8181" s="4">
        <v>2026</v>
      </c>
      <c r="B8181">
        <v>24</v>
      </c>
      <c r="C8181" t="s">
        <v>10</v>
      </c>
      <c r="D8181" t="s">
        <v>11</v>
      </c>
      <c r="E8181" t="s">
        <v>20</v>
      </c>
      <c r="F8181" t="s">
        <v>21</v>
      </c>
      <c r="G8181" t="str">
        <f t="shared" si="331"/>
        <v>007SNOW BUBBLES</v>
      </c>
      <c r="H8181" s="5">
        <f>VLOOKUP(G8181,[2]Astroflores!$G$2:$H$109,2,FALSE)</f>
        <v>920</v>
      </c>
      <c r="I8181" s="6">
        <v>634.05652706821195</v>
      </c>
      <c r="J8181" s="5">
        <v>4800</v>
      </c>
      <c r="K8181" s="6">
        <f t="shared" si="333"/>
        <v>1.4509747328900633</v>
      </c>
    </row>
    <row r="8182" spans="1:11">
      <c r="A8182" s="4">
        <v>2026</v>
      </c>
      <c r="B8182">
        <v>24</v>
      </c>
      <c r="C8182" t="s">
        <v>10</v>
      </c>
      <c r="D8182" t="s">
        <v>11</v>
      </c>
      <c r="E8182" t="s">
        <v>22</v>
      </c>
      <c r="F8182" t="s">
        <v>18</v>
      </c>
      <c r="G8182" t="str">
        <f t="shared" si="331"/>
        <v>009HOT BUBBLES</v>
      </c>
      <c r="H8182" s="5">
        <f>VLOOKUP(G8182,[2]Astroflores!$G$2:$H$109,2,FALSE)</f>
        <v>14200</v>
      </c>
      <c r="I8182" s="6">
        <v>4487.9999999102474</v>
      </c>
      <c r="J8182" s="5">
        <v>31740</v>
      </c>
      <c r="K8182" s="6">
        <f t="shared" si="333"/>
        <v>3.1639928699384976</v>
      </c>
    </row>
    <row r="8183" spans="1:11">
      <c r="A8183" s="4">
        <v>2026</v>
      </c>
      <c r="B8183">
        <v>24</v>
      </c>
      <c r="C8183" t="s">
        <v>10</v>
      </c>
      <c r="D8183" t="s">
        <v>11</v>
      </c>
      <c r="E8183" t="s">
        <v>23</v>
      </c>
      <c r="F8183" t="s">
        <v>24</v>
      </c>
      <c r="G8183" t="str">
        <f t="shared" si="331"/>
        <v>014FRUITY BUBBLES</v>
      </c>
      <c r="H8183" s="5">
        <f>VLOOKUP(G8183,[2]Astroflores!$G$2:$H$109,2,FALSE)</f>
        <v>3950</v>
      </c>
      <c r="I8183" s="6">
        <v>1702.8</v>
      </c>
      <c r="J8183" s="5">
        <v>12900</v>
      </c>
      <c r="K8183" s="6">
        <f t="shared" si="333"/>
        <v>2.3197087150575522</v>
      </c>
    </row>
    <row r="8184" spans="1:11">
      <c r="A8184" s="4">
        <v>2026</v>
      </c>
      <c r="B8184">
        <v>24</v>
      </c>
      <c r="C8184" t="s">
        <v>10</v>
      </c>
      <c r="D8184" t="s">
        <v>11</v>
      </c>
      <c r="E8184" t="s">
        <v>25</v>
      </c>
      <c r="F8184" t="s">
        <v>26</v>
      </c>
      <c r="G8184" t="str">
        <f t="shared" si="331"/>
        <v>015FELLINI</v>
      </c>
      <c r="H8184" s="5">
        <f>VLOOKUP(G8184,[2]Astroflores!$G$2:$H$109,2,FALSE)</f>
        <v>5180</v>
      </c>
      <c r="I8184" s="6">
        <v>3009.6</v>
      </c>
      <c r="J8184" s="5">
        <v>22800</v>
      </c>
      <c r="K8184" s="6">
        <f t="shared" si="333"/>
        <v>1.7211589580010633</v>
      </c>
    </row>
    <row r="8185" spans="1:11">
      <c r="A8185" s="4">
        <v>2026</v>
      </c>
      <c r="B8185">
        <v>24</v>
      </c>
      <c r="C8185" t="s">
        <v>10</v>
      </c>
      <c r="D8185" t="s">
        <v>11</v>
      </c>
      <c r="E8185" t="s">
        <v>27</v>
      </c>
      <c r="F8185" t="s">
        <v>28</v>
      </c>
      <c r="G8185" t="str">
        <f t="shared" si="331"/>
        <v>016GOOD PEACH</v>
      </c>
      <c r="H8185" s="5">
        <f>VLOOKUP(G8185,[2]Astroflores!$G$2:$H$109,2,FALSE)</f>
        <v>3270</v>
      </c>
      <c r="I8185" s="6">
        <v>1386</v>
      </c>
      <c r="J8185" s="5">
        <v>10500</v>
      </c>
      <c r="K8185" s="6">
        <f t="shared" si="333"/>
        <v>2.3593073593073592</v>
      </c>
    </row>
    <row r="8186" spans="1:11">
      <c r="A8186" s="4">
        <v>2026</v>
      </c>
      <c r="B8186">
        <v>24</v>
      </c>
      <c r="C8186" t="s">
        <v>10</v>
      </c>
      <c r="D8186" t="s">
        <v>11</v>
      </c>
      <c r="E8186" t="s">
        <v>27</v>
      </c>
      <c r="F8186" t="s">
        <v>29</v>
      </c>
      <c r="G8186" t="str">
        <f t="shared" si="331"/>
        <v>016GOOD YELLOW</v>
      </c>
      <c r="H8186" s="5">
        <f>VLOOKUP(G8186,[2]Astroflores!$G$2:$H$109,2,FALSE)</f>
        <v>3090</v>
      </c>
      <c r="I8186" s="6">
        <v>1386</v>
      </c>
      <c r="J8186" s="5">
        <v>10500</v>
      </c>
      <c r="K8186" s="6">
        <f t="shared" si="333"/>
        <v>2.2294372294372296</v>
      </c>
    </row>
    <row r="8187" spans="1:11">
      <c r="A8187" s="4">
        <v>2026</v>
      </c>
      <c r="B8187">
        <v>24</v>
      </c>
      <c r="C8187" t="s">
        <v>10</v>
      </c>
      <c r="D8187" t="s">
        <v>11</v>
      </c>
      <c r="E8187" t="s">
        <v>30</v>
      </c>
      <c r="F8187" t="s">
        <v>31</v>
      </c>
      <c r="G8187" t="str">
        <f t="shared" si="331"/>
        <v>017ORANGE STAR</v>
      </c>
      <c r="H8187" s="5">
        <f>VLOOKUP(G8187,[2]Astroflores!$G$2:$H$109,2,FALSE)</f>
        <v>1650</v>
      </c>
      <c r="I8187" s="6">
        <v>1029.5999999999999</v>
      </c>
      <c r="J8187" s="5">
        <v>7800</v>
      </c>
      <c r="K8187" s="6">
        <f t="shared" si="333"/>
        <v>1.6025641025641026</v>
      </c>
    </row>
    <row r="8188" spans="1:11">
      <c r="A8188" s="4">
        <v>2026</v>
      </c>
      <c r="B8188">
        <v>24</v>
      </c>
      <c r="C8188" t="s">
        <v>10</v>
      </c>
      <c r="D8188" t="s">
        <v>11</v>
      </c>
      <c r="E8188" t="s">
        <v>32</v>
      </c>
      <c r="F8188" t="s">
        <v>33</v>
      </c>
      <c r="G8188" t="str">
        <f t="shared" si="331"/>
        <v>018COSMO</v>
      </c>
      <c r="H8188" s="5">
        <f>VLOOKUP(G8188,[2]Astroflores!$G$2:$H$109,2,FALSE)</f>
        <v>4400</v>
      </c>
      <c r="I8188" s="6">
        <v>2653.2</v>
      </c>
      <c r="J8188" s="5">
        <v>20100</v>
      </c>
      <c r="K8188" s="6">
        <f t="shared" si="333"/>
        <v>1.6583747927031511</v>
      </c>
    </row>
    <row r="8189" spans="1:11">
      <c r="A8189" s="4">
        <v>2026</v>
      </c>
      <c r="B8189">
        <v>24</v>
      </c>
      <c r="C8189" t="s">
        <v>10</v>
      </c>
      <c r="D8189" t="s">
        <v>11</v>
      </c>
      <c r="E8189" t="s">
        <v>32</v>
      </c>
      <c r="F8189" t="s">
        <v>34</v>
      </c>
      <c r="G8189" t="str">
        <f t="shared" si="331"/>
        <v>018RUBICON</v>
      </c>
      <c r="H8189" s="5">
        <f>VLOOKUP(G8189,[2]Astroflores!$G$2:$H$109,2,FALSE)</f>
        <v>6480</v>
      </c>
      <c r="I8189" s="6">
        <v>1768.8</v>
      </c>
      <c r="J8189" s="5">
        <v>13400</v>
      </c>
      <c r="K8189" s="6">
        <f t="shared" si="333"/>
        <v>3.6635006784260518</v>
      </c>
    </row>
    <row r="8190" spans="1:11">
      <c r="A8190" s="4">
        <v>2026</v>
      </c>
      <c r="B8190">
        <v>24</v>
      </c>
      <c r="C8190" t="s">
        <v>10</v>
      </c>
      <c r="D8190" t="s">
        <v>11</v>
      </c>
      <c r="E8190" t="s">
        <v>35</v>
      </c>
      <c r="F8190" t="s">
        <v>15</v>
      </c>
      <c r="G8190" t="str">
        <f t="shared" si="331"/>
        <v>019BELLINA</v>
      </c>
      <c r="H8190" s="5">
        <f>VLOOKUP(G8190,[2]Astroflores!$G$2:$H$109,2,FALSE)</f>
        <v>1515</v>
      </c>
      <c r="I8190" s="6">
        <v>1029.5999999999999</v>
      </c>
      <c r="J8190" s="5">
        <v>7800</v>
      </c>
      <c r="K8190" s="6">
        <f t="shared" si="333"/>
        <v>1.4714452214452216</v>
      </c>
    </row>
    <row r="8191" spans="1:11">
      <c r="A8191" s="4">
        <v>2026</v>
      </c>
      <c r="B8191">
        <v>24</v>
      </c>
      <c r="C8191" t="s">
        <v>10</v>
      </c>
      <c r="D8191" t="s">
        <v>11</v>
      </c>
      <c r="E8191" t="s">
        <v>36</v>
      </c>
      <c r="F8191" t="s">
        <v>37</v>
      </c>
      <c r="G8191" t="str">
        <f t="shared" si="331"/>
        <v>020SUMMER DANCE</v>
      </c>
      <c r="H8191" s="5">
        <f>VLOOKUP(G8191,[2]Astroflores!$G$2:$H$109,2,FALSE)</f>
        <v>3800</v>
      </c>
      <c r="I8191" s="6">
        <v>1346.4</v>
      </c>
      <c r="J8191" s="5">
        <v>10200</v>
      </c>
      <c r="K8191" s="6">
        <f t="shared" si="333"/>
        <v>2.8223410576351751</v>
      </c>
    </row>
    <row r="8192" spans="1:11">
      <c r="A8192" s="4">
        <v>2026</v>
      </c>
      <c r="B8192">
        <v>24</v>
      </c>
      <c r="C8192" t="s">
        <v>10</v>
      </c>
      <c r="D8192" t="s">
        <v>11</v>
      </c>
      <c r="E8192" t="s">
        <v>38</v>
      </c>
      <c r="F8192" t="s">
        <v>39</v>
      </c>
      <c r="G8192" t="str">
        <f t="shared" si="331"/>
        <v>021ELEGANT ROSEVER</v>
      </c>
      <c r="H8192" s="5">
        <f>VLOOKUP(G8192,[2]Astroflores!$G$2:$H$109,2,FALSE)</f>
        <v>870</v>
      </c>
      <c r="I8192" s="6">
        <v>440.18999062500001</v>
      </c>
      <c r="J8192" s="5">
        <v>3200</v>
      </c>
      <c r="K8192" s="6">
        <f t="shared" si="333"/>
        <v>1.9764193155885665</v>
      </c>
    </row>
    <row r="8193" spans="1:11">
      <c r="A8193" s="4">
        <v>2026</v>
      </c>
      <c r="B8193">
        <v>24</v>
      </c>
      <c r="C8193" t="s">
        <v>10</v>
      </c>
      <c r="D8193" t="s">
        <v>11</v>
      </c>
      <c r="E8193" t="s">
        <v>38</v>
      </c>
      <c r="F8193" t="s">
        <v>40</v>
      </c>
      <c r="G8193" t="str">
        <f t="shared" si="331"/>
        <v>021FLAME CLUB</v>
      </c>
      <c r="H8193" s="5">
        <f>VLOOKUP(G8193,[2]Astroflores!$G$2:$H$109,2,FALSE)</f>
        <v>1575</v>
      </c>
      <c r="I8193" s="6">
        <v>880.38</v>
      </c>
      <c r="J8193" s="5">
        <v>6400</v>
      </c>
      <c r="K8193" s="6">
        <f t="shared" si="333"/>
        <v>1.7890002044571662</v>
      </c>
    </row>
    <row r="8194" spans="1:11">
      <c r="A8194" s="4">
        <v>2026</v>
      </c>
      <c r="B8194">
        <v>24</v>
      </c>
      <c r="C8194" t="s">
        <v>10</v>
      </c>
      <c r="D8194" t="s">
        <v>11</v>
      </c>
      <c r="E8194" t="s">
        <v>38</v>
      </c>
      <c r="F8194" t="s">
        <v>41</v>
      </c>
      <c r="G8194" t="str">
        <f t="shared" si="331"/>
        <v>021KELLY</v>
      </c>
      <c r="H8194" s="5">
        <f>VLOOKUP(G8194,[2]Astroflores!$G$2:$H$109,2,FALSE)</f>
        <v>575</v>
      </c>
      <c r="I8194" s="6">
        <v>330.14249999999998</v>
      </c>
      <c r="J8194" s="5">
        <v>2400</v>
      </c>
      <c r="K8194" s="6">
        <f t="shared" si="333"/>
        <v>1.7416721567202043</v>
      </c>
    </row>
    <row r="8195" spans="1:11">
      <c r="A8195" s="4">
        <v>2026</v>
      </c>
      <c r="B8195">
        <v>24</v>
      </c>
      <c r="C8195" t="s">
        <v>10</v>
      </c>
      <c r="D8195" t="s">
        <v>11</v>
      </c>
      <c r="E8195" t="s">
        <v>38</v>
      </c>
      <c r="F8195" t="s">
        <v>42</v>
      </c>
      <c r="G8195" t="str">
        <f t="shared" ref="G8195:G8252" si="334">+E8195&amp;F8195</f>
        <v>021LEILA</v>
      </c>
      <c r="H8195" s="5">
        <f>VLOOKUP(G8195,[2]Astroflores!$G$2:$H$109,2,FALSE)</f>
        <v>2000</v>
      </c>
      <c r="I8195" s="6">
        <v>1650.7125000000001</v>
      </c>
      <c r="J8195" s="5">
        <v>12000</v>
      </c>
      <c r="K8195" s="6">
        <f t="shared" si="333"/>
        <v>1.211598022066229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38</v>
      </c>
      <c r="F8196" t="s">
        <v>21</v>
      </c>
      <c r="G8196" t="str">
        <f t="shared" si="334"/>
        <v>021SNOW BUBBLES</v>
      </c>
      <c r="H8196" s="5">
        <f>VLOOKUP(G8196,[2]Astroflores!$G$2:$H$109,2,FALSE)</f>
        <v>1860</v>
      </c>
      <c r="I8196" s="6">
        <v>1287.0000000000018</v>
      </c>
      <c r="J8196" s="5">
        <v>9400</v>
      </c>
      <c r="K8196" s="6">
        <f t="shared" si="333"/>
        <v>1.4452214452214431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43</v>
      </c>
      <c r="F8197" t="s">
        <v>24</v>
      </c>
      <c r="G8197" t="str">
        <f t="shared" si="334"/>
        <v>022FRUITY BUBBLES</v>
      </c>
      <c r="H8197" s="5">
        <f>VLOOKUP(G8197,[2]Astroflores!$G$2:$H$109,2,FALSE)</f>
        <v>5700</v>
      </c>
      <c r="I8197" s="6">
        <v>2641.14</v>
      </c>
      <c r="J8197" s="5">
        <v>19200</v>
      </c>
      <c r="K8197" s="6">
        <f t="shared" si="333"/>
        <v>2.1581589768054705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43</v>
      </c>
      <c r="F8198" t="s">
        <v>28</v>
      </c>
      <c r="G8198" t="str">
        <f t="shared" si="334"/>
        <v>022GOOD PEACH</v>
      </c>
      <c r="H8198" s="5">
        <f>VLOOKUP(G8198,[2]Astroflores!$G$2:$H$109,2,FALSE)</f>
        <v>1920</v>
      </c>
      <c r="I8198" s="6">
        <v>880.38</v>
      </c>
      <c r="J8198" s="5">
        <v>6400</v>
      </c>
      <c r="K8198" s="6">
        <f t="shared" si="333"/>
        <v>2.1808764397192122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43</v>
      </c>
      <c r="F8199" t="s">
        <v>44</v>
      </c>
      <c r="G8199" t="str">
        <f t="shared" si="334"/>
        <v>022MIRABEL</v>
      </c>
      <c r="H8199" s="5">
        <f>VLOOKUP(G8199,[2]Astroflores!$G$2:$H$109,2,FALSE)</f>
        <v>1280</v>
      </c>
      <c r="I8199" s="6">
        <v>880.38</v>
      </c>
      <c r="J8199" s="5">
        <v>6400</v>
      </c>
      <c r="K8199" s="6">
        <f t="shared" si="333"/>
        <v>1.4539176264794749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47</v>
      </c>
      <c r="F8200" t="s">
        <v>44</v>
      </c>
      <c r="G8200" t="str">
        <f t="shared" si="334"/>
        <v>030MIRABEL</v>
      </c>
      <c r="H8200" s="5">
        <f>VLOOKUP(G8200,[2]Astroflores!$G$2:$H$109,2,FALSE)</f>
        <v>5480</v>
      </c>
      <c r="I8200" s="6">
        <v>2413.6749943750001</v>
      </c>
      <c r="J8200" s="5">
        <v>17600</v>
      </c>
      <c r="K8200" s="6">
        <f t="shared" si="333"/>
        <v>2.2703968068488849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47</v>
      </c>
      <c r="F8201" t="s">
        <v>13</v>
      </c>
      <c r="G8201" t="str">
        <f t="shared" si="334"/>
        <v>030SOMERSET</v>
      </c>
      <c r="H8201" s="5">
        <f>VLOOKUP(G8201,[2]Astroflores!$G$2:$H$109,2,FALSE)</f>
        <v>2780</v>
      </c>
      <c r="I8201" s="6">
        <v>1645.6875</v>
      </c>
      <c r="J8201" s="5">
        <v>12000</v>
      </c>
      <c r="K8201" s="6">
        <f t="shared" si="333"/>
        <v>1.6892636056359425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48</v>
      </c>
      <c r="F8202" t="s">
        <v>49</v>
      </c>
      <c r="G8202" t="str">
        <f t="shared" si="334"/>
        <v>03182989</v>
      </c>
      <c r="H8202" s="5">
        <f>VLOOKUP(G8202,[2]Astroflores!$G$2:$H$109,2,FALSE)</f>
        <v>2280</v>
      </c>
      <c r="I8202" s="6">
        <v>726.32013058333712</v>
      </c>
      <c r="J8202" s="5">
        <v>5712</v>
      </c>
      <c r="K8202" s="6">
        <f t="shared" si="333"/>
        <v>3.139111672657124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48</v>
      </c>
      <c r="F8203" t="s">
        <v>34</v>
      </c>
      <c r="G8203" t="str">
        <f t="shared" si="334"/>
        <v>031RUBICON</v>
      </c>
      <c r="H8203" s="5">
        <f>VLOOKUP(G8203,[2]Astroflores!$G$2:$H$109,2,FALSE)</f>
        <v>2160</v>
      </c>
      <c r="I8203" s="6">
        <v>924.39958333667107</v>
      </c>
      <c r="J8203" s="5">
        <v>6720</v>
      </c>
      <c r="K8203" s="6">
        <f t="shared" si="333"/>
        <v>2.3366518537398746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48</v>
      </c>
      <c r="F8204" t="s">
        <v>13</v>
      </c>
      <c r="G8204" t="str">
        <f t="shared" si="334"/>
        <v>031SOMERSET</v>
      </c>
      <c r="H8204" s="5">
        <f>VLOOKUP(G8204,[2]Astroflores!$G$2:$H$109,2,FALSE)</f>
        <v>3820</v>
      </c>
      <c r="I8204" s="6">
        <v>1122.485208333339</v>
      </c>
      <c r="J8204" s="5">
        <v>8160</v>
      </c>
      <c r="K8204" s="6">
        <f t="shared" si="333"/>
        <v>3.4031628850342885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48</v>
      </c>
      <c r="F8205" t="s">
        <v>50</v>
      </c>
      <c r="G8205" t="str">
        <f t="shared" si="334"/>
        <v>031VELVET BLOSSOMS</v>
      </c>
      <c r="H8205" s="5">
        <f>VLOOKUP(G8205,[2]Astroflores!$G$2:$H$109,2,FALSE)</f>
        <v>560</v>
      </c>
      <c r="I8205" s="6">
        <v>396.17125000000198</v>
      </c>
      <c r="J8205" s="5">
        <v>2880</v>
      </c>
      <c r="K8205" s="6">
        <f t="shared" si="333"/>
        <v>1.4135301337489714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51</v>
      </c>
      <c r="F8206" t="s">
        <v>17</v>
      </c>
      <c r="G8206" t="str">
        <f t="shared" si="334"/>
        <v>032ELBA</v>
      </c>
      <c r="H8206" s="5">
        <f>VLOOKUP(G8206,[2]Astroflores!$G$2:$H$109,2,FALSE)</f>
        <v>3510</v>
      </c>
      <c r="I8206" s="6">
        <v>1535.9749999999999</v>
      </c>
      <c r="J8206" s="5">
        <v>11200</v>
      </c>
      <c r="K8206" s="6">
        <f t="shared" si="333"/>
        <v>2.2851934439037094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51</v>
      </c>
      <c r="F8207" t="s">
        <v>44</v>
      </c>
      <c r="G8207" t="str">
        <f t="shared" si="334"/>
        <v>032MIRABEL</v>
      </c>
      <c r="H8207" s="5">
        <f>VLOOKUP(G8207,[2]Astroflores!$G$2:$H$109,2,FALSE)</f>
        <v>2540</v>
      </c>
      <c r="I8207" s="6">
        <v>1535.9749999999999</v>
      </c>
      <c r="J8207" s="5">
        <v>11200</v>
      </c>
      <c r="K8207" s="6">
        <f t="shared" si="333"/>
        <v>1.6536727485798923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52</v>
      </c>
      <c r="F8208" t="s">
        <v>53</v>
      </c>
      <c r="G8208" t="str">
        <f t="shared" si="334"/>
        <v>033CREAMY FOLIES</v>
      </c>
      <c r="H8208" s="5">
        <f>VLOOKUP(G8208,[2]Astroflores!$G$2:$H$109,2,FALSE)</f>
        <v>990</v>
      </c>
      <c r="I8208" s="6">
        <v>594.25687500000299</v>
      </c>
      <c r="J8208" s="5">
        <v>4320</v>
      </c>
      <c r="K8208" s="6">
        <f t="shared" si="333"/>
        <v>1.6659462290612876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52</v>
      </c>
      <c r="F8209" t="s">
        <v>18</v>
      </c>
      <c r="G8209" t="str">
        <f t="shared" si="334"/>
        <v>033HOT BUBBLES</v>
      </c>
      <c r="H8209" s="5">
        <f>VLOOKUP(G8209,[2]Astroflores!$G$2:$H$109,2,FALSE)</f>
        <v>3160</v>
      </c>
      <c r="I8209" s="6">
        <v>2575.1131250013459</v>
      </c>
      <c r="J8209" s="5">
        <v>18720</v>
      </c>
      <c r="K8209" s="6">
        <f t="shared" si="333"/>
        <v>1.2271305556715488</v>
      </c>
    </row>
    <row r="8210" spans="1:11">
      <c r="A8210" s="4">
        <v>2026</v>
      </c>
      <c r="B8210">
        <v>24</v>
      </c>
      <c r="C8210" t="s">
        <v>54</v>
      </c>
      <c r="D8210" t="s">
        <v>11</v>
      </c>
      <c r="E8210" t="s">
        <v>55</v>
      </c>
      <c r="F8210" t="s">
        <v>56</v>
      </c>
      <c r="G8210" t="str">
        <f t="shared" si="334"/>
        <v>001BELIEVE IN PINK</v>
      </c>
      <c r="H8210" s="5">
        <f>VLOOKUP(G8210,[2]Astroflores!$G$2:$H$109,2,FALSE)</f>
        <v>1500</v>
      </c>
      <c r="I8210" s="6">
        <v>528.37931032368999</v>
      </c>
      <c r="J8210" s="5">
        <v>4000</v>
      </c>
      <c r="K8210" s="6">
        <f t="shared" ref="K8210:K8215" si="335">IFERROR(H8210/I8210,"")</f>
        <v>2.838869673154095</v>
      </c>
    </row>
    <row r="8211" spans="1:11">
      <c r="A8211" s="4">
        <v>2026</v>
      </c>
      <c r="B8211">
        <v>24</v>
      </c>
      <c r="C8211" t="s">
        <v>54</v>
      </c>
      <c r="D8211" t="s">
        <v>11</v>
      </c>
      <c r="E8211" t="s">
        <v>55</v>
      </c>
      <c r="F8211" t="s">
        <v>57</v>
      </c>
      <c r="G8211" t="str">
        <f t="shared" si="334"/>
        <v>001EXPLORER</v>
      </c>
      <c r="H8211" s="5">
        <f>VLOOKUP(G8211,[2]Astroflores!$G$2:$H$109,2,FALSE)</f>
        <v>5175</v>
      </c>
      <c r="I8211" s="6">
        <v>2272.0310343918732</v>
      </c>
      <c r="J8211" s="5">
        <v>17200</v>
      </c>
      <c r="K8211" s="6">
        <f t="shared" si="335"/>
        <v>2.277697761018977</v>
      </c>
    </row>
    <row r="8212" spans="1:11">
      <c r="A8212" s="4">
        <v>2026</v>
      </c>
      <c r="B8212">
        <v>24</v>
      </c>
      <c r="C8212" t="s">
        <v>54</v>
      </c>
      <c r="D8212" t="s">
        <v>11</v>
      </c>
      <c r="E8212" t="s">
        <v>55</v>
      </c>
      <c r="F8212" t="s">
        <v>58</v>
      </c>
      <c r="G8212" t="str">
        <f t="shared" si="334"/>
        <v>001GRACE KELLY</v>
      </c>
      <c r="H8212" s="5">
        <f>VLOOKUP(G8212,[2]Astroflores!$G$2:$H$109,2,FALSE)</f>
        <v>2010</v>
      </c>
      <c r="I8212" s="6">
        <v>1162.4344827121224</v>
      </c>
      <c r="J8212" s="5">
        <v>8800</v>
      </c>
      <c r="K8212" s="6">
        <f t="shared" si="335"/>
        <v>1.7291297100120331</v>
      </c>
    </row>
    <row r="8213" spans="1:11">
      <c r="A8213" s="4">
        <v>2026</v>
      </c>
      <c r="B8213">
        <v>24</v>
      </c>
      <c r="C8213" t="s">
        <v>54</v>
      </c>
      <c r="D8213" t="s">
        <v>11</v>
      </c>
      <c r="E8213" t="s">
        <v>55</v>
      </c>
      <c r="F8213" t="s">
        <v>60</v>
      </c>
      <c r="G8213" t="str">
        <f t="shared" si="334"/>
        <v>001LIGHT HOUSE</v>
      </c>
      <c r="H8213" s="5">
        <f>VLOOKUP(G8213,[2]Astroflores!$G$2:$H$109,2,FALSE)</f>
        <v>2040</v>
      </c>
      <c r="I8213" s="6">
        <v>1056.7586206473827</v>
      </c>
      <c r="J8213" s="5">
        <v>8000</v>
      </c>
      <c r="K8213" s="6">
        <f t="shared" si="335"/>
        <v>1.9304313777447797</v>
      </c>
    </row>
    <row r="8214" spans="1:11">
      <c r="A8214" s="4">
        <v>2026</v>
      </c>
      <c r="B8214">
        <v>24</v>
      </c>
      <c r="C8214" t="s">
        <v>54</v>
      </c>
      <c r="D8214" t="s">
        <v>11</v>
      </c>
      <c r="E8214" t="s">
        <v>55</v>
      </c>
      <c r="F8214" t="s">
        <v>61</v>
      </c>
      <c r="G8214" t="str">
        <f t="shared" si="334"/>
        <v>001LUMIA</v>
      </c>
      <c r="H8214" s="5">
        <f>VLOOKUP(G8214,[2]Astroflores!$G$2:$H$109,2,FALSE)</f>
        <v>1620</v>
      </c>
      <c r="I8214" s="6">
        <v>1109.596551679753</v>
      </c>
      <c r="J8214" s="5">
        <v>8400</v>
      </c>
      <c r="K8214" s="6">
        <f t="shared" si="335"/>
        <v>1.4599901176221008</v>
      </c>
    </row>
    <row r="8215" spans="1:11">
      <c r="A8215" s="4">
        <v>2026</v>
      </c>
      <c r="B8215">
        <v>24</v>
      </c>
      <c r="C8215" t="s">
        <v>54</v>
      </c>
      <c r="D8215" t="s">
        <v>11</v>
      </c>
      <c r="E8215" t="s">
        <v>55</v>
      </c>
      <c r="F8215" t="s">
        <v>62</v>
      </c>
      <c r="G8215" t="str">
        <f t="shared" si="334"/>
        <v>001MOMENTUM</v>
      </c>
      <c r="H8215" s="5">
        <f>VLOOKUP(G8215,[2]Astroflores!$G$2:$H$109,2,FALSE)</f>
        <v>3900</v>
      </c>
      <c r="I8215" s="6">
        <v>1902.1655171652881</v>
      </c>
      <c r="J8215" s="5">
        <v>14400</v>
      </c>
      <c r="K8215" s="6">
        <f t="shared" si="335"/>
        <v>2.0502947639446196</v>
      </c>
    </row>
    <row r="8216" spans="1:11">
      <c r="A8216" s="4">
        <v>2026</v>
      </c>
      <c r="B8216">
        <v>24</v>
      </c>
      <c r="C8216" t="s">
        <v>54</v>
      </c>
      <c r="D8216" t="s">
        <v>11</v>
      </c>
      <c r="E8216" t="s">
        <v>12</v>
      </c>
      <c r="F8216" t="s">
        <v>63</v>
      </c>
      <c r="G8216" t="str">
        <f t="shared" si="334"/>
        <v>002SUMMER ROMANCE</v>
      </c>
      <c r="H8216" s="5">
        <f>VLOOKUP(G8216,[2]Astroflores!$G$2:$H$109,2,FALSE)</f>
        <v>1225</v>
      </c>
      <c r="I8216" s="6">
        <v>951.10714281909407</v>
      </c>
      <c r="J8216" s="5">
        <v>7200</v>
      </c>
      <c r="K8216" s="6">
        <f t="shared" ref="K8216:K8275" si="336">+H8216/I8216</f>
        <v>1.2879726634888724</v>
      </c>
    </row>
    <row r="8217" spans="1:11">
      <c r="A8217" s="4">
        <v>2026</v>
      </c>
      <c r="B8217">
        <v>24</v>
      </c>
      <c r="C8217" t="s">
        <v>54</v>
      </c>
      <c r="D8217" t="s">
        <v>11</v>
      </c>
      <c r="E8217" t="s">
        <v>12</v>
      </c>
      <c r="F8217" t="s">
        <v>64</v>
      </c>
      <c r="G8217" t="str">
        <f t="shared" si="334"/>
        <v>002SWEETNESS</v>
      </c>
      <c r="H8217" s="5">
        <f>VLOOKUP(G8217,[2]Astroflores!$G$2:$H$109,2,FALSE)</f>
        <v>7170</v>
      </c>
      <c r="I8217" s="6">
        <v>3804.4285712763772</v>
      </c>
      <c r="J8217" s="5">
        <v>28800</v>
      </c>
      <c r="K8217" s="6">
        <f t="shared" si="336"/>
        <v>1.8846457137173904</v>
      </c>
    </row>
    <row r="8218" spans="1:11">
      <c r="A8218" s="4">
        <v>2026</v>
      </c>
      <c r="B8218">
        <v>24</v>
      </c>
      <c r="C8218" t="s">
        <v>54</v>
      </c>
      <c r="D8218" t="s">
        <v>11</v>
      </c>
      <c r="E8218" t="s">
        <v>65</v>
      </c>
      <c r="F8218" t="s">
        <v>66</v>
      </c>
      <c r="G8218" t="str">
        <f t="shared" si="334"/>
        <v>003CABARET</v>
      </c>
      <c r="H8218" s="5">
        <f>VLOOKUP(G8218,[2]Astroflores!$G$2:$H$109,2,FALSE)</f>
        <v>3510</v>
      </c>
      <c r="I8218" s="6">
        <v>2641.8965516184649</v>
      </c>
      <c r="J8218" s="5">
        <v>20000</v>
      </c>
      <c r="K8218" s="6">
        <f t="shared" si="336"/>
        <v>1.3285910070361091</v>
      </c>
    </row>
    <row r="8219" spans="1:11">
      <c r="A8219" s="4">
        <v>2026</v>
      </c>
      <c r="B8219">
        <v>24</v>
      </c>
      <c r="C8219" t="s">
        <v>54</v>
      </c>
      <c r="D8219" t="s">
        <v>11</v>
      </c>
      <c r="E8219" t="s">
        <v>65</v>
      </c>
      <c r="F8219" t="s">
        <v>67</v>
      </c>
      <c r="G8219" t="str">
        <f t="shared" si="334"/>
        <v>003DEEP PURPLE</v>
      </c>
      <c r="H8219" s="5">
        <f>VLOOKUP(G8219,[2]Astroflores!$G$2:$H$109,2,FALSE)</f>
        <v>9810</v>
      </c>
      <c r="I8219" s="6">
        <v>3592.9793102010913</v>
      </c>
      <c r="J8219" s="5">
        <v>26044</v>
      </c>
      <c r="K8219" s="6">
        <f t="shared" si="336"/>
        <v>2.7303246562393801</v>
      </c>
    </row>
    <row r="8220" spans="1:11">
      <c r="A8220" s="4">
        <v>2026</v>
      </c>
      <c r="B8220">
        <v>24</v>
      </c>
      <c r="C8220" t="s">
        <v>54</v>
      </c>
      <c r="D8220" t="s">
        <v>11</v>
      </c>
      <c r="E8220" t="s">
        <v>65</v>
      </c>
      <c r="F8220" t="s">
        <v>57</v>
      </c>
      <c r="G8220" t="str">
        <f t="shared" si="334"/>
        <v>003EXPLORER</v>
      </c>
      <c r="H8220" s="5">
        <f>VLOOKUP(G8220,[2]Astroflores!$G$2:$H$109,2,FALSE)</f>
        <v>2475</v>
      </c>
      <c r="I8220" s="6">
        <v>1268.1103447768633</v>
      </c>
      <c r="J8220" s="5">
        <v>9600</v>
      </c>
      <c r="K8220" s="6">
        <f t="shared" si="336"/>
        <v>1.9517229002934291</v>
      </c>
    </row>
    <row r="8221" spans="1:11">
      <c r="A8221" s="4">
        <v>2026</v>
      </c>
      <c r="B8221">
        <v>24</v>
      </c>
      <c r="C8221" t="s">
        <v>54</v>
      </c>
      <c r="D8221" t="s">
        <v>11</v>
      </c>
      <c r="E8221" t="s">
        <v>65</v>
      </c>
      <c r="F8221" t="s">
        <v>68</v>
      </c>
      <c r="G8221" t="str">
        <f t="shared" si="334"/>
        <v>003JOCKER</v>
      </c>
      <c r="H8221" s="5">
        <f>VLOOKUP(G8221,[2]Astroflores!$G$2:$H$109,2,FALSE)</f>
        <v>725</v>
      </c>
      <c r="I8221" s="6">
        <v>528.37931032368999</v>
      </c>
      <c r="J8221" s="5">
        <v>4000</v>
      </c>
      <c r="K8221" s="6">
        <f t="shared" si="336"/>
        <v>1.3721203420244794</v>
      </c>
    </row>
    <row r="8222" spans="1:11">
      <c r="A8222" s="4">
        <v>2026</v>
      </c>
      <c r="B8222">
        <v>24</v>
      </c>
      <c r="C8222" t="s">
        <v>54</v>
      </c>
      <c r="D8222" t="s">
        <v>11</v>
      </c>
      <c r="E8222" t="s">
        <v>65</v>
      </c>
      <c r="F8222" t="s">
        <v>69</v>
      </c>
      <c r="G8222" t="str">
        <f t="shared" si="334"/>
        <v>003QUICKSAND</v>
      </c>
      <c r="H8222" s="5">
        <f>VLOOKUP(G8222,[2]Astroflores!$G$2:$H$109,2,FALSE)</f>
        <v>1770</v>
      </c>
      <c r="I8222" s="6">
        <v>1162.4344827121247</v>
      </c>
      <c r="J8222" s="5">
        <v>8800</v>
      </c>
      <c r="K8222" s="6">
        <f t="shared" si="336"/>
        <v>1.5226664610553695</v>
      </c>
    </row>
    <row r="8223" spans="1:11">
      <c r="A8223" s="4">
        <v>2026</v>
      </c>
      <c r="B8223">
        <v>24</v>
      </c>
      <c r="C8223" t="s">
        <v>54</v>
      </c>
      <c r="D8223" t="s">
        <v>11</v>
      </c>
      <c r="E8223" t="s">
        <v>14</v>
      </c>
      <c r="F8223" t="s">
        <v>70</v>
      </c>
      <c r="G8223" t="str">
        <f t="shared" si="334"/>
        <v>004COTOPAXI</v>
      </c>
      <c r="H8223" s="5">
        <f>VLOOKUP(G8223,[2]Astroflores!$G$2:$H$109,2,FALSE)</f>
        <v>990</v>
      </c>
      <c r="I8223" s="6">
        <v>528.3915024419166</v>
      </c>
      <c r="J8223" s="5">
        <v>4000</v>
      </c>
      <c r="K8223" s="6">
        <f t="shared" si="336"/>
        <v>1.8736107515446383</v>
      </c>
    </row>
    <row r="8224" spans="1:11">
      <c r="A8224" s="4">
        <v>2026</v>
      </c>
      <c r="B8224">
        <v>24</v>
      </c>
      <c r="C8224" t="s">
        <v>54</v>
      </c>
      <c r="D8224" t="s">
        <v>11</v>
      </c>
      <c r="E8224" t="s">
        <v>14</v>
      </c>
      <c r="F8224" t="s">
        <v>67</v>
      </c>
      <c r="G8224" t="str">
        <f t="shared" si="334"/>
        <v>004DEEP PURPLE</v>
      </c>
      <c r="H8224" s="5">
        <f>VLOOKUP(G8224,[2]Astroflores!$G$2:$H$109,2,FALSE)</f>
        <v>10110</v>
      </c>
      <c r="I8224" s="6">
        <v>3910.1071427007282</v>
      </c>
      <c r="J8224" s="5">
        <v>29260</v>
      </c>
      <c r="K8224" s="6">
        <f t="shared" si="336"/>
        <v>2.5856068979779869</v>
      </c>
    </row>
    <row r="8225" spans="1:11">
      <c r="A8225" s="4">
        <v>2026</v>
      </c>
      <c r="B8225">
        <v>24</v>
      </c>
      <c r="C8225" t="s">
        <v>54</v>
      </c>
      <c r="D8225" t="s">
        <v>11</v>
      </c>
      <c r="E8225" t="s">
        <v>14</v>
      </c>
      <c r="F8225" t="s">
        <v>71</v>
      </c>
      <c r="G8225" t="str">
        <f t="shared" si="334"/>
        <v>004HOT EXPLORER</v>
      </c>
      <c r="H8225" s="5">
        <f>VLOOKUP(G8225,[2]Astroflores!$G$2:$H$109,2,FALSE)</f>
        <v>3325</v>
      </c>
      <c r="I8225" s="6">
        <v>1902.2142856381945</v>
      </c>
      <c r="J8225" s="5">
        <v>14400</v>
      </c>
      <c r="K8225" s="6">
        <f t="shared" si="336"/>
        <v>1.7479629004491781</v>
      </c>
    </row>
    <row r="8226" spans="1:11">
      <c r="A8226" s="4">
        <v>2026</v>
      </c>
      <c r="B8226">
        <v>24</v>
      </c>
      <c r="C8226" t="s">
        <v>54</v>
      </c>
      <c r="D8226" t="s">
        <v>11</v>
      </c>
      <c r="E8226" t="s">
        <v>14</v>
      </c>
      <c r="F8226" t="s">
        <v>72</v>
      </c>
      <c r="G8226" t="str">
        <f t="shared" si="334"/>
        <v>004HOT MERENGUE</v>
      </c>
      <c r="H8226" s="5">
        <f>VLOOKUP(G8226,[2]Astroflores!$G$2:$H$109,2,FALSE)</f>
        <v>2730</v>
      </c>
      <c r="I8226" s="6">
        <v>1162.4642856677858</v>
      </c>
      <c r="J8226" s="5">
        <v>8800</v>
      </c>
      <c r="K8226" s="6">
        <f t="shared" si="336"/>
        <v>2.3484592461537277</v>
      </c>
    </row>
    <row r="8227" spans="1:11">
      <c r="A8227" s="4">
        <v>2026</v>
      </c>
      <c r="B8227">
        <v>24</v>
      </c>
      <c r="C8227" t="s">
        <v>54</v>
      </c>
      <c r="D8227" t="s">
        <v>11</v>
      </c>
      <c r="E8227" t="s">
        <v>14</v>
      </c>
      <c r="F8227" t="s">
        <v>64</v>
      </c>
      <c r="G8227" t="str">
        <f t="shared" si="334"/>
        <v>004SWEETNESS</v>
      </c>
      <c r="H8227" s="5">
        <f>VLOOKUP(G8227,[2]Astroflores!$G$2:$H$109,2,FALSE)</f>
        <v>630</v>
      </c>
      <c r="I8227" s="6">
        <v>317.03571427303262</v>
      </c>
      <c r="J8227" s="5">
        <v>2400</v>
      </c>
      <c r="K8227" s="6">
        <f t="shared" si="336"/>
        <v>1.9871578236685381</v>
      </c>
    </row>
    <row r="8228" spans="1:11">
      <c r="A8228" s="4">
        <v>2026</v>
      </c>
      <c r="B8228">
        <v>24</v>
      </c>
      <c r="C8228" t="s">
        <v>54</v>
      </c>
      <c r="D8228" t="s">
        <v>11</v>
      </c>
      <c r="E8228" t="s">
        <v>16</v>
      </c>
      <c r="F8228" t="s">
        <v>57</v>
      </c>
      <c r="G8228" t="str">
        <f t="shared" si="334"/>
        <v>005EXPLORER</v>
      </c>
      <c r="H8228" s="5">
        <f>VLOOKUP(G8228,[2]Astroflores!$G$2:$H$109,2,FALSE)</f>
        <v>1400</v>
      </c>
      <c r="I8228" s="6">
        <v>951.10714281875391</v>
      </c>
      <c r="J8228" s="5">
        <v>7200</v>
      </c>
      <c r="K8228" s="6">
        <f t="shared" si="336"/>
        <v>1.4719687582735235</v>
      </c>
    </row>
    <row r="8229" spans="1:11">
      <c r="A8229" s="4">
        <v>2026</v>
      </c>
      <c r="B8229">
        <v>24</v>
      </c>
      <c r="C8229" t="s">
        <v>54</v>
      </c>
      <c r="D8229" t="s">
        <v>11</v>
      </c>
      <c r="E8229" t="s">
        <v>16</v>
      </c>
      <c r="F8229" t="s">
        <v>73</v>
      </c>
      <c r="G8229" t="str">
        <f t="shared" si="334"/>
        <v>005GOLDFINCH</v>
      </c>
      <c r="H8229" s="5">
        <f>VLOOKUP(G8229,[2]Astroflores!$G$2:$H$109,2,FALSE)</f>
        <v>925</v>
      </c>
      <c r="I8229" s="6">
        <v>898.26785710660101</v>
      </c>
      <c r="J8229" s="5">
        <v>6800</v>
      </c>
      <c r="K8229" s="6">
        <f t="shared" si="336"/>
        <v>1.0297596565232843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16</v>
      </c>
      <c r="F8230" t="s">
        <v>68</v>
      </c>
      <c r="G8230" t="str">
        <f t="shared" si="334"/>
        <v>005JOCKER</v>
      </c>
      <c r="H8230" s="5">
        <f>VLOOKUP(G8230,[2]Astroflores!$G$2:$H$109,2,FALSE)</f>
        <v>1750</v>
      </c>
      <c r="I8230" s="6">
        <v>1162.4642856673661</v>
      </c>
      <c r="J8230" s="5">
        <v>8800</v>
      </c>
      <c r="K8230" s="6">
        <f t="shared" si="336"/>
        <v>1.5054225936888306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16</v>
      </c>
      <c r="F8231" t="s">
        <v>74</v>
      </c>
      <c r="G8231" t="str">
        <f t="shared" si="334"/>
        <v>005VENDELA</v>
      </c>
      <c r="H8231" s="5">
        <f>VLOOKUP(G8231,[2]Astroflores!$G$2:$H$109,2,FALSE)</f>
        <v>1770</v>
      </c>
      <c r="I8231" s="6">
        <v>686.91071425798896</v>
      </c>
      <c r="J8231" s="5">
        <v>5200</v>
      </c>
      <c r="K8231" s="6">
        <f t="shared" si="336"/>
        <v>2.5767541010216735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75</v>
      </c>
      <c r="F8232" t="s">
        <v>76</v>
      </c>
      <c r="G8232" t="str">
        <f t="shared" si="334"/>
        <v>006ATOMIC</v>
      </c>
      <c r="H8232" s="5">
        <f>VLOOKUP(G8232,[2]Astroflores!$G$2:$H$109,2,FALSE)</f>
        <v>975</v>
      </c>
      <c r="I8232" s="6">
        <v>845.428571394752</v>
      </c>
      <c r="J8232" s="5">
        <v>6400</v>
      </c>
      <c r="K8232" s="6">
        <f t="shared" si="336"/>
        <v>1.1532612369504931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75</v>
      </c>
      <c r="F8233" t="s">
        <v>57</v>
      </c>
      <c r="G8233" t="str">
        <f t="shared" si="334"/>
        <v>006EXPLORER</v>
      </c>
      <c r="H8233" s="5">
        <f>VLOOKUP(G8233,[2]Astroflores!$G$2:$H$109,2,FALSE)</f>
        <v>5750</v>
      </c>
      <c r="I8233" s="6">
        <v>3910.1071427007355</v>
      </c>
      <c r="J8233" s="5">
        <v>29600</v>
      </c>
      <c r="K8233" s="6">
        <f t="shared" si="336"/>
        <v>1.470547939008249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75</v>
      </c>
      <c r="F8234" t="s">
        <v>77</v>
      </c>
      <c r="G8234" t="str">
        <f t="shared" si="334"/>
        <v>006MONDIAL</v>
      </c>
      <c r="H8234" s="5">
        <f>VLOOKUP(G8234,[2]Astroflores!$G$2:$H$109,2,FALSE)</f>
        <v>5700</v>
      </c>
      <c r="I8234" s="6">
        <v>4015.7857141250793</v>
      </c>
      <c r="J8234" s="5">
        <v>30400</v>
      </c>
      <c r="K8234" s="6">
        <f t="shared" si="336"/>
        <v>1.4193984454775275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20</v>
      </c>
      <c r="F8235" t="s">
        <v>70</v>
      </c>
      <c r="G8235" t="str">
        <f t="shared" si="334"/>
        <v>007COTOPAXI</v>
      </c>
      <c r="H8235" s="5">
        <f>VLOOKUP(G8235,[2]Astroflores!$G$2:$H$109,2,FALSE)</f>
        <v>5880</v>
      </c>
      <c r="I8235" s="6">
        <v>2747.5751230427709</v>
      </c>
      <c r="J8235" s="5">
        <v>20800</v>
      </c>
      <c r="K8235" s="6">
        <f t="shared" si="336"/>
        <v>2.1400688740725897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20</v>
      </c>
      <c r="F8236" t="s">
        <v>78</v>
      </c>
      <c r="G8236" t="str">
        <f t="shared" si="334"/>
        <v>007REDIANT</v>
      </c>
      <c r="H8236" s="5">
        <f>VLOOKUP(G8236,[2]Astroflores!$G$2:$H$109,2,FALSE)</f>
        <v>1500</v>
      </c>
      <c r="I8236" s="6">
        <v>1056.75862064738</v>
      </c>
      <c r="J8236" s="5">
        <v>9600</v>
      </c>
      <c r="K8236" s="6">
        <f t="shared" si="336"/>
        <v>1.4194348365770475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20</v>
      </c>
      <c r="F8237" t="s">
        <v>74</v>
      </c>
      <c r="G8237" t="str">
        <f t="shared" si="334"/>
        <v>007VENDELA</v>
      </c>
      <c r="H8237" s="5">
        <f>VLOOKUP(G8237,[2]Astroflores!$G$2:$H$109,2,FALSE)</f>
        <v>9990</v>
      </c>
      <c r="I8237" s="6">
        <v>3592.9793102011122</v>
      </c>
      <c r="J8237" s="5">
        <v>27820</v>
      </c>
      <c r="K8237" s="6">
        <f t="shared" si="336"/>
        <v>2.7804223563538479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79</v>
      </c>
      <c r="F8238" t="s">
        <v>67</v>
      </c>
      <c r="G8238" t="str">
        <f t="shared" si="334"/>
        <v>008DEEP PURPLE</v>
      </c>
      <c r="H8238" s="5">
        <f>VLOOKUP(G8238,[2]Astroflores!$G$2:$H$109,2,FALSE)</f>
        <v>3540</v>
      </c>
      <c r="I8238" s="6">
        <v>1585.2222221588099</v>
      </c>
      <c r="J8238" s="5">
        <v>11490</v>
      </c>
      <c r="K8238" s="6">
        <f t="shared" si="336"/>
        <v>2.2331253943558189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79</v>
      </c>
      <c r="F8239" t="s">
        <v>81</v>
      </c>
      <c r="G8239" t="str">
        <f t="shared" si="334"/>
        <v>008FREEDOM</v>
      </c>
      <c r="H8239" s="5">
        <f>VLOOKUP(G8239,[2]Astroflores!$G$2:$H$109,2,FALSE)</f>
        <v>3720</v>
      </c>
      <c r="I8239" s="6">
        <v>2219.311111022334</v>
      </c>
      <c r="J8239" s="5">
        <v>16800</v>
      </c>
      <c r="K8239" s="6">
        <f t="shared" si="336"/>
        <v>1.6761958165866921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79</v>
      </c>
      <c r="F8240" t="s">
        <v>68</v>
      </c>
      <c r="G8240" t="str">
        <f t="shared" si="334"/>
        <v>008JOCKER</v>
      </c>
      <c r="H8240" s="5">
        <f>VLOOKUP(G8240,[2]Astroflores!$G$2:$H$109,2,FALSE)</f>
        <v>3325</v>
      </c>
      <c r="I8240" s="6">
        <v>2959.0814813631118</v>
      </c>
      <c r="J8240" s="5">
        <v>22400</v>
      </c>
      <c r="K8240" s="6">
        <f t="shared" si="336"/>
        <v>1.1236594939820064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82</v>
      </c>
      <c r="F8241" t="s">
        <v>83</v>
      </c>
      <c r="G8241" t="str">
        <f t="shared" si="334"/>
        <v>010COOLDOWN</v>
      </c>
      <c r="H8241" s="5">
        <f>VLOOKUP(G8241,[2]Astroflores!$G$2:$H$109,2,FALSE)</f>
        <v>2825</v>
      </c>
      <c r="I8241" s="6">
        <v>1912.3542857142861</v>
      </c>
      <c r="J8241" s="5">
        <v>16320</v>
      </c>
      <c r="K8241" s="6">
        <f t="shared" si="336"/>
        <v>1.4772367343767738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82</v>
      </c>
      <c r="F8242" t="s">
        <v>84</v>
      </c>
      <c r="G8242" t="str">
        <f t="shared" si="334"/>
        <v>010VIOLET HILL</v>
      </c>
      <c r="H8242" s="5">
        <f>VLOOKUP(G8242,[2]Astroflores!$G$2:$H$109,2,FALSE)</f>
        <v>3300</v>
      </c>
      <c r="I8242" s="6">
        <v>2812.2857142428579</v>
      </c>
      <c r="J8242" s="5">
        <v>20000</v>
      </c>
      <c r="K8242" s="6">
        <f t="shared" si="336"/>
        <v>1.1734227369883177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85</v>
      </c>
      <c r="F8243" t="s">
        <v>86</v>
      </c>
      <c r="G8243" t="str">
        <f t="shared" si="334"/>
        <v>011BRIGHTON</v>
      </c>
      <c r="H8243" s="5">
        <f>VLOOKUP(G8243,[2]Astroflores!$G$2:$H$109,2,FALSE)</f>
        <v>3750</v>
      </c>
      <c r="I8243" s="6">
        <v>1768.8376470588223</v>
      </c>
      <c r="J8243" s="5">
        <v>12800</v>
      </c>
      <c r="K8243" s="6">
        <f t="shared" si="336"/>
        <v>2.120036288370164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85</v>
      </c>
      <c r="F8244" t="s">
        <v>87</v>
      </c>
      <c r="G8244" t="str">
        <f t="shared" si="334"/>
        <v>011CANDLELIGHT</v>
      </c>
      <c r="H8244" s="5">
        <f>VLOOKUP(G8244,[2]Astroflores!$G$2:$H$109,2,FALSE)</f>
        <v>3640</v>
      </c>
      <c r="I8244" s="6">
        <v>2263.7999998868127</v>
      </c>
      <c r="J8244" s="5">
        <v>17920</v>
      </c>
      <c r="K8244" s="6">
        <f t="shared" si="336"/>
        <v>1.6079158937105733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85</v>
      </c>
      <c r="F8245" t="s">
        <v>88</v>
      </c>
      <c r="G8245" t="str">
        <f t="shared" si="334"/>
        <v>011CAYENNE</v>
      </c>
      <c r="H8245" s="5">
        <f>VLOOKUP(G8245,[2]Astroflores!$G$2:$H$109,2,FALSE)</f>
        <v>1890</v>
      </c>
      <c r="I8245" s="6">
        <v>994.97117647058747</v>
      </c>
      <c r="J8245" s="5">
        <v>7200</v>
      </c>
      <c r="K8245" s="6">
        <f t="shared" si="336"/>
        <v>1.8995525143796672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85</v>
      </c>
      <c r="F8246" t="s">
        <v>61</v>
      </c>
      <c r="G8246" t="str">
        <f t="shared" si="334"/>
        <v>011LUMIA</v>
      </c>
      <c r="H8246" s="5">
        <f>VLOOKUP(G8246,[2]Astroflores!$G$2:$H$109,2,FALSE)</f>
        <v>1440</v>
      </c>
      <c r="I8246" s="6">
        <v>994.97117647058747</v>
      </c>
      <c r="J8246" s="5">
        <v>7920</v>
      </c>
      <c r="K8246" s="6">
        <f t="shared" si="336"/>
        <v>1.4472781061940321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85</v>
      </c>
      <c r="F8247" t="s">
        <v>89</v>
      </c>
      <c r="G8247" t="str">
        <f t="shared" si="334"/>
        <v>011STARDUST</v>
      </c>
      <c r="H8247" s="5">
        <f>VLOOKUP(G8247,[2]Astroflores!$G$2:$H$109,2,FALSE)</f>
        <v>3075</v>
      </c>
      <c r="I8247" s="6">
        <v>2263.7999998868127</v>
      </c>
      <c r="J8247" s="5">
        <v>17920</v>
      </c>
      <c r="K8247" s="6">
        <f t="shared" si="336"/>
        <v>1.3583355420769265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90</v>
      </c>
      <c r="F8248" t="s">
        <v>67</v>
      </c>
      <c r="G8248" t="str">
        <f t="shared" si="334"/>
        <v>012DEEP PURPLE</v>
      </c>
      <c r="H8248" s="5">
        <f>VLOOKUP(G8248,[2]Astroflores!$G$2:$H$109,2,FALSE)</f>
        <v>11370</v>
      </c>
      <c r="I8248" s="6">
        <v>6727.0499997982479</v>
      </c>
      <c r="J8248" s="5">
        <v>49210</v>
      </c>
      <c r="K8248" s="6">
        <f t="shared" si="336"/>
        <v>1.6901910942152949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90</v>
      </c>
      <c r="F8249" t="s">
        <v>60</v>
      </c>
      <c r="G8249" t="str">
        <f t="shared" si="334"/>
        <v>012LIGHT HOUSE</v>
      </c>
      <c r="H8249" s="5">
        <f>VLOOKUP(G8249,[2]Astroflores!$G$2:$H$109,2,FALSE)</f>
        <v>1110</v>
      </c>
      <c r="I8249" s="6">
        <v>994.95</v>
      </c>
      <c r="J8249" s="5">
        <v>7200</v>
      </c>
      <c r="K8249" s="6">
        <f t="shared" si="336"/>
        <v>1.115633951454847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91</v>
      </c>
      <c r="F8250" t="s">
        <v>92</v>
      </c>
      <c r="G8250" t="str">
        <f t="shared" si="334"/>
        <v>013COUNTRY BLUES</v>
      </c>
      <c r="H8250" s="5">
        <f>VLOOKUP(G8250,[2]Astroflores!$G$2:$H$109,2,FALSE)</f>
        <v>1560</v>
      </c>
      <c r="I8250" s="6">
        <v>831.6</v>
      </c>
      <c r="J8250" s="5">
        <v>6300</v>
      </c>
      <c r="K8250" s="6">
        <f t="shared" si="336"/>
        <v>1.875901875901876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91</v>
      </c>
      <c r="F8251" t="s">
        <v>93</v>
      </c>
      <c r="G8251" t="str">
        <f t="shared" si="334"/>
        <v>013LORRAINE</v>
      </c>
      <c r="H8251" s="5">
        <f>VLOOKUP(G8251,[2]Astroflores!$G$2:$H$109,2,FALSE)</f>
        <v>4100</v>
      </c>
      <c r="I8251" s="6">
        <v>1267.2</v>
      </c>
      <c r="J8251" s="5">
        <v>9600</v>
      </c>
      <c r="K8251" s="6">
        <f t="shared" si="336"/>
        <v>3.235479797979798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91</v>
      </c>
      <c r="F8252" t="s">
        <v>61</v>
      </c>
      <c r="G8252" t="str">
        <f t="shared" si="334"/>
        <v>013LUMIA</v>
      </c>
      <c r="H8252" s="5">
        <f>VLOOKUP(G8252,[2]Astroflores!$G$2:$H$109,2,FALSE)</f>
        <v>450</v>
      </c>
      <c r="I8252" s="6">
        <v>316.8</v>
      </c>
      <c r="J8252" s="5">
        <v>2400</v>
      </c>
      <c r="K8252" s="6">
        <f t="shared" si="336"/>
        <v>1.4204545454545454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91</v>
      </c>
      <c r="F8253" t="s">
        <v>74</v>
      </c>
      <c r="G8253" t="str">
        <f t="shared" ref="G8253:G8315" si="337">+E8253&amp;F8253</f>
        <v>013VENDELA</v>
      </c>
      <c r="H8253" s="5">
        <f>VLOOKUP(G8253,[2]Astroflores!$G$2:$H$109,2,FALSE)</f>
        <v>11179</v>
      </c>
      <c r="I8253" s="6">
        <v>3603.6</v>
      </c>
      <c r="J8253" s="5">
        <v>27296</v>
      </c>
      <c r="K8253" s="6">
        <f t="shared" si="336"/>
        <v>3.1021756021756022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23</v>
      </c>
      <c r="F8254" t="s">
        <v>89</v>
      </c>
      <c r="G8254" t="str">
        <f t="shared" si="337"/>
        <v>014STARDUST</v>
      </c>
      <c r="H8254" s="5">
        <f>VLOOKUP(G8254,[2]Astroflores!$G$2:$H$109,2,FALSE)</f>
        <v>4950</v>
      </c>
      <c r="I8254" s="6">
        <v>3682.8</v>
      </c>
      <c r="J8254" s="5">
        <v>27900</v>
      </c>
      <c r="K8254" s="6">
        <f t="shared" si="336"/>
        <v>1.3440860215053763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25</v>
      </c>
      <c r="F8255" t="s">
        <v>68</v>
      </c>
      <c r="G8255" t="str">
        <f t="shared" si="337"/>
        <v>015JOCKER</v>
      </c>
      <c r="H8255" s="5">
        <f>VLOOKUP(G8255,[2]Astroflores!$G$2:$H$109,2,FALSE)</f>
        <v>2550</v>
      </c>
      <c r="I8255" s="6">
        <v>2376</v>
      </c>
      <c r="J8255" s="5">
        <v>18000</v>
      </c>
      <c r="K8255" s="6">
        <f t="shared" si="336"/>
        <v>1.0732323232323233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27</v>
      </c>
      <c r="F8256" t="s">
        <v>94</v>
      </c>
      <c r="G8256" t="str">
        <f t="shared" si="337"/>
        <v>016DREAM IN PEACH</v>
      </c>
      <c r="H8256" s="5">
        <f>VLOOKUP(G8256,[2]Astroflores!$G$2:$H$109,2,FALSE)</f>
        <v>1410</v>
      </c>
      <c r="I8256" s="6">
        <v>950.4</v>
      </c>
      <c r="J8256" s="5">
        <v>7200</v>
      </c>
      <c r="K8256" s="6">
        <f t="shared" si="336"/>
        <v>1.4835858585858586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27</v>
      </c>
      <c r="F8257" t="s">
        <v>95</v>
      </c>
      <c r="G8257" t="str">
        <f t="shared" si="337"/>
        <v>016NINA</v>
      </c>
      <c r="H8257" s="5">
        <f>VLOOKUP(G8257,[2]Astroflores!$G$2:$H$109,2,FALSE)</f>
        <v>2850</v>
      </c>
      <c r="I8257" s="6">
        <v>1346.4</v>
      </c>
      <c r="J8257" s="5">
        <v>10200</v>
      </c>
      <c r="K8257" s="6">
        <f t="shared" si="336"/>
        <v>2.1167557932263814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30</v>
      </c>
      <c r="F8258" t="s">
        <v>81</v>
      </c>
      <c r="G8258" t="str">
        <f t="shared" si="337"/>
        <v>017FREEDOM</v>
      </c>
      <c r="H8258" s="5">
        <f>VLOOKUP(G8258,[2]Astroflores!$G$2:$H$109,2,FALSE)</f>
        <v>5190</v>
      </c>
      <c r="I8258" s="6">
        <v>2851.2</v>
      </c>
      <c r="J8258" s="5">
        <v>21600</v>
      </c>
      <c r="K8258" s="6">
        <f t="shared" si="336"/>
        <v>1.8202861952861955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30</v>
      </c>
      <c r="F8259" t="s">
        <v>73</v>
      </c>
      <c r="G8259" t="str">
        <f t="shared" si="337"/>
        <v>017GOLDFINCH</v>
      </c>
      <c r="H8259" s="5">
        <f>VLOOKUP(G8259,[2]Astroflores!$G$2:$H$109,2,FALSE)</f>
        <v>3475</v>
      </c>
      <c r="I8259" s="6">
        <v>2138.4</v>
      </c>
      <c r="J8259" s="5">
        <v>16200</v>
      </c>
      <c r="K8259" s="6">
        <f t="shared" si="336"/>
        <v>1.6250467639356527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32</v>
      </c>
      <c r="F8260" t="s">
        <v>86</v>
      </c>
      <c r="G8260" t="str">
        <f t="shared" si="337"/>
        <v>018BRIGHTON</v>
      </c>
      <c r="H8260" s="5">
        <f>VLOOKUP(G8260,[2]Astroflores!$G$2:$H$109,2,FALSE)</f>
        <v>1625</v>
      </c>
      <c r="I8260" s="6">
        <v>963.6</v>
      </c>
      <c r="J8260" s="5">
        <v>7570</v>
      </c>
      <c r="K8260" s="6">
        <f t="shared" si="336"/>
        <v>1.6863843918638439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35</v>
      </c>
      <c r="F8261" t="s">
        <v>86</v>
      </c>
      <c r="G8261" t="str">
        <f t="shared" si="337"/>
        <v>019BRIGHTON</v>
      </c>
      <c r="H8261" s="5">
        <f>VLOOKUP(G8261,[2]Astroflores!$G$2:$H$109,2,FALSE)</f>
        <v>8700</v>
      </c>
      <c r="I8261" s="6">
        <v>3168</v>
      </c>
      <c r="J8261" s="5">
        <v>24000</v>
      </c>
      <c r="K8261" s="6">
        <f t="shared" si="336"/>
        <v>2.7462121212121211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35</v>
      </c>
      <c r="F8262" t="s">
        <v>96</v>
      </c>
      <c r="G8262" t="str">
        <f t="shared" si="337"/>
        <v>019TABATHA</v>
      </c>
      <c r="H8262" s="5">
        <f>VLOOKUP(G8262,[2]Astroflores!$G$2:$H$109,2,FALSE)</f>
        <v>2040</v>
      </c>
      <c r="I8262" s="6">
        <v>1188</v>
      </c>
      <c r="J8262" s="5">
        <v>9000</v>
      </c>
      <c r="K8262" s="6">
        <f t="shared" si="336"/>
        <v>1.7171717171717171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36</v>
      </c>
      <c r="F8263" t="s">
        <v>86</v>
      </c>
      <c r="G8263" t="str">
        <f t="shared" si="337"/>
        <v>020BRIGHTON</v>
      </c>
      <c r="H8263" s="5">
        <f>VLOOKUP(G8263,[2]Astroflores!$G$2:$H$109,2,FALSE)</f>
        <v>5050</v>
      </c>
      <c r="I8263" s="6">
        <v>2732.4</v>
      </c>
      <c r="J8263" s="5">
        <v>20700</v>
      </c>
      <c r="K8263" s="6">
        <f t="shared" si="336"/>
        <v>1.8481920655833699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36</v>
      </c>
      <c r="F8264" t="s">
        <v>97</v>
      </c>
      <c r="G8264" t="str">
        <f t="shared" si="337"/>
        <v>020TYCOON</v>
      </c>
      <c r="H8264" s="5">
        <f>VLOOKUP(G8264,[2]Astroflores!$G$2:$H$109,2,FALSE)</f>
        <v>1110</v>
      </c>
      <c r="I8264" s="6">
        <v>673.2</v>
      </c>
      <c r="J8264" s="5">
        <v>5100</v>
      </c>
      <c r="K8264" s="6">
        <f t="shared" si="336"/>
        <v>1.6488413547237075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38</v>
      </c>
      <c r="F8265" t="s">
        <v>98</v>
      </c>
      <c r="G8265" t="str">
        <f t="shared" si="337"/>
        <v>021SHOW GIRL</v>
      </c>
      <c r="H8265" s="5">
        <f>VLOOKUP(G8265,[2]Astroflores!$G$2:$H$109,2,FALSE)</f>
        <v>2825</v>
      </c>
      <c r="I8265" s="6">
        <v>1100.4749999999999</v>
      </c>
      <c r="J8265" s="5">
        <v>8000</v>
      </c>
      <c r="K8265" s="6">
        <f t="shared" si="336"/>
        <v>2.5670733092528231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43</v>
      </c>
      <c r="F8266" t="s">
        <v>99</v>
      </c>
      <c r="G8266" t="str">
        <f t="shared" si="337"/>
        <v>022CORAL REEF</v>
      </c>
      <c r="H8266" s="5">
        <f>VLOOKUP(G8266,[2]Astroflores!$G$2:$H$109,2,FALSE)</f>
        <v>2525</v>
      </c>
      <c r="I8266" s="6">
        <v>1287</v>
      </c>
      <c r="J8266" s="5">
        <v>9400</v>
      </c>
      <c r="K8266" s="6">
        <f t="shared" si="336"/>
        <v>1.9619269619269619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100</v>
      </c>
      <c r="F8267" t="s">
        <v>70</v>
      </c>
      <c r="G8267" t="str">
        <f t="shared" si="337"/>
        <v>023COTOPAXI</v>
      </c>
      <c r="H8267" s="5">
        <f>VLOOKUP(G8267,[2]Astroflores!$G$2:$H$109,2,FALSE)</f>
        <v>5970</v>
      </c>
      <c r="I8267" s="6">
        <v>2641.14</v>
      </c>
      <c r="J8267" s="5">
        <v>19200</v>
      </c>
      <c r="K8267" s="6">
        <f t="shared" si="336"/>
        <v>2.2603875599173087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100</v>
      </c>
      <c r="F8268" t="s">
        <v>101</v>
      </c>
      <c r="G8268" t="str">
        <f t="shared" si="337"/>
        <v>023FRUTTETO</v>
      </c>
      <c r="H8268" s="5">
        <f>VLOOKUP(G8268,[2]Astroflores!$G$2:$H$109,2,FALSE)</f>
        <v>5430</v>
      </c>
      <c r="I8268" s="6">
        <v>2641.14</v>
      </c>
      <c r="J8268" s="5">
        <v>19200</v>
      </c>
      <c r="K8268" s="6">
        <f t="shared" si="336"/>
        <v>2.0559303936936324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102</v>
      </c>
      <c r="F8269" t="s">
        <v>70</v>
      </c>
      <c r="G8269" t="str">
        <f t="shared" si="337"/>
        <v>024COTOPAXI</v>
      </c>
      <c r="H8269" s="5">
        <f>VLOOKUP(G8269,[2]Astroflores!$G$2:$H$109,2,FALSE)</f>
        <v>2520</v>
      </c>
      <c r="I8269" s="6">
        <v>1430.6174906250001</v>
      </c>
      <c r="J8269" s="5">
        <v>10400</v>
      </c>
      <c r="K8269" s="6">
        <f t="shared" si="336"/>
        <v>1.7614771359317554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102</v>
      </c>
      <c r="F8270" t="s">
        <v>64</v>
      </c>
      <c r="G8270" t="str">
        <f t="shared" si="337"/>
        <v>024SWEETNESS</v>
      </c>
      <c r="H8270" s="5">
        <f>VLOOKUP(G8270,[2]Astroflores!$G$2:$H$109,2,FALSE)</f>
        <v>2100</v>
      </c>
      <c r="I8270" s="6">
        <v>1430.6175000000001</v>
      </c>
      <c r="J8270" s="5">
        <v>10400</v>
      </c>
      <c r="K8270" s="6">
        <f t="shared" si="336"/>
        <v>1.467897603657162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102</v>
      </c>
      <c r="F8271" t="s">
        <v>97</v>
      </c>
      <c r="G8271" t="str">
        <f t="shared" si="337"/>
        <v>024TYCOON</v>
      </c>
      <c r="H8271" s="5">
        <f>VLOOKUP(G8271,[2]Astroflores!$G$2:$H$109,2,FALSE)</f>
        <v>4170</v>
      </c>
      <c r="I8271" s="6">
        <v>2861.2350000000001</v>
      </c>
      <c r="J8271" s="5">
        <v>20800</v>
      </c>
      <c r="K8271" s="6">
        <f t="shared" si="336"/>
        <v>1.4574126207738964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103</v>
      </c>
      <c r="F8272" t="s">
        <v>104</v>
      </c>
      <c r="G8272" t="str">
        <f t="shared" si="337"/>
        <v>025PINK MONDIAL</v>
      </c>
      <c r="H8272" s="5">
        <f>VLOOKUP(G8272,[2]Astroflores!$G$2:$H$109,2,FALSE)</f>
        <v>3850</v>
      </c>
      <c r="I8272" s="6">
        <v>3071.9505625000002</v>
      </c>
      <c r="J8272" s="5">
        <v>22400</v>
      </c>
      <c r="K8272" s="6">
        <f t="shared" si="336"/>
        <v>1.2532753772140173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45</v>
      </c>
      <c r="F8273" t="s">
        <v>105</v>
      </c>
      <c r="G8273" t="str">
        <f t="shared" si="337"/>
        <v>026LOLA</v>
      </c>
      <c r="H8273" s="5">
        <f>VLOOKUP(G8273,[2]Astroflores!$G$2:$H$109,2,FALSE)</f>
        <v>5350</v>
      </c>
      <c r="I8273" s="6">
        <v>1097.125</v>
      </c>
      <c r="J8273" s="5">
        <v>8000</v>
      </c>
      <c r="K8273" s="6">
        <f t="shared" si="336"/>
        <v>4.8763814515210209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45</v>
      </c>
      <c r="F8274" t="s">
        <v>106</v>
      </c>
      <c r="G8274" t="str">
        <f t="shared" si="337"/>
        <v>026PALOMA</v>
      </c>
      <c r="H8274" s="5">
        <f>VLOOKUP(G8274,[2]Astroflores!$G$2:$H$109,2,FALSE)</f>
        <v>4825</v>
      </c>
      <c r="I8274" s="6">
        <v>2852.5250000000001</v>
      </c>
      <c r="J8274" s="5">
        <v>20800</v>
      </c>
      <c r="K8274" s="6">
        <f t="shared" si="336"/>
        <v>1.6914838607900018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107</v>
      </c>
      <c r="F8275" t="s">
        <v>108</v>
      </c>
      <c r="G8275" t="str">
        <f t="shared" si="337"/>
        <v>027SATISFACTION</v>
      </c>
      <c r="H8275" s="5">
        <f>VLOOKUP(G8275,[2]Astroflores!$G$2:$H$109,2,FALSE)</f>
        <v>5010</v>
      </c>
      <c r="I8275" s="6">
        <v>2633.1</v>
      </c>
      <c r="J8275" s="5">
        <v>19200</v>
      </c>
      <c r="K8275" s="6">
        <f t="shared" si="336"/>
        <v>1.9027002392617067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107</v>
      </c>
      <c r="F8276" t="s">
        <v>109</v>
      </c>
      <c r="G8276" t="str">
        <f t="shared" si="337"/>
        <v>027TIFFANY</v>
      </c>
      <c r="H8276" s="5">
        <f>VLOOKUP(G8276,[2]Astroflores!$G$2:$H$109,2,FALSE)</f>
        <v>4560</v>
      </c>
      <c r="I8276" s="6">
        <v>2633.1</v>
      </c>
      <c r="J8276" s="5">
        <v>19200</v>
      </c>
      <c r="K8276" s="6">
        <f t="shared" ref="K8276:K8314" si="338">+H8276/I8276</f>
        <v>1.731799020166344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110</v>
      </c>
      <c r="F8277" t="s">
        <v>70</v>
      </c>
      <c r="G8277" t="str">
        <f t="shared" si="337"/>
        <v>028COTOPAXI</v>
      </c>
      <c r="H8277" s="5">
        <f>VLOOKUP(G8277,[2]Astroflores!$G$2:$H$109,2,FALSE)</f>
        <v>4740</v>
      </c>
      <c r="I8277" s="6">
        <v>2852.5250000000001</v>
      </c>
      <c r="J8277" s="5">
        <v>20800</v>
      </c>
      <c r="K8277" s="6">
        <f t="shared" si="338"/>
        <v>1.6616856995118359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110</v>
      </c>
      <c r="F8278" t="s">
        <v>67</v>
      </c>
      <c r="G8278" t="str">
        <f t="shared" si="337"/>
        <v>028DEEP PURPLE</v>
      </c>
      <c r="H8278" s="5">
        <f>VLOOKUP(G8278,[2]Astroflores!$G$2:$H$109,2,FALSE)</f>
        <v>3870</v>
      </c>
      <c r="I8278" s="6">
        <v>2852.5250000000001</v>
      </c>
      <c r="J8278" s="5">
        <v>20800</v>
      </c>
      <c r="K8278" s="6">
        <f t="shared" si="338"/>
        <v>1.3566927546647267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111</v>
      </c>
      <c r="F8279" t="s">
        <v>112</v>
      </c>
      <c r="G8279" t="str">
        <f t="shared" si="337"/>
        <v>029PINK FLOYD</v>
      </c>
      <c r="H8279" s="5">
        <f>VLOOKUP(G8279,[2]Astroflores!$G$2:$H$109,2,FALSE)</f>
        <v>4175</v>
      </c>
      <c r="I8279" s="6">
        <v>3071.95</v>
      </c>
      <c r="J8279" s="5">
        <v>22400</v>
      </c>
      <c r="K8279" s="6">
        <f t="shared" si="338"/>
        <v>1.3590715994726477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47</v>
      </c>
      <c r="F8280" t="s">
        <v>57</v>
      </c>
      <c r="G8280" t="str">
        <f t="shared" si="337"/>
        <v>030EXPLORER</v>
      </c>
      <c r="H8280" s="5">
        <f>VLOOKUP(G8280,[2]Astroflores!$G$2:$H$109,2,FALSE)</f>
        <v>2300</v>
      </c>
      <c r="I8280" s="6">
        <v>1645.6875</v>
      </c>
      <c r="J8280" s="5">
        <v>12000</v>
      </c>
      <c r="K8280" s="6">
        <f t="shared" si="338"/>
        <v>1.3975921917131897</v>
      </c>
    </row>
    <row r="8281" spans="1:11">
      <c r="A8281" s="4">
        <v>2026</v>
      </c>
      <c r="B8281">
        <v>25</v>
      </c>
      <c r="C8281" t="s">
        <v>10</v>
      </c>
      <c r="D8281" t="s">
        <v>11</v>
      </c>
      <c r="E8281" t="s">
        <v>12</v>
      </c>
      <c r="F8281" t="s">
        <v>13</v>
      </c>
      <c r="G8281" t="str">
        <f t="shared" si="337"/>
        <v>002SOMERSET</v>
      </c>
      <c r="H8281" s="5">
        <f>VLOOKUP(G8281,[3]Astroflores!$G$2:$H$109,2,FALSE)</f>
        <v>6400</v>
      </c>
      <c r="I8281" s="6">
        <v>4121.4642855494085</v>
      </c>
      <c r="J8281" s="5">
        <v>31200</v>
      </c>
      <c r="K8281" s="6">
        <f t="shared" si="338"/>
        <v>1.5528461625737109</v>
      </c>
    </row>
    <row r="8282" spans="1:11">
      <c r="A8282" s="4">
        <v>2026</v>
      </c>
      <c r="B8282">
        <v>25</v>
      </c>
      <c r="C8282" t="s">
        <v>10</v>
      </c>
      <c r="D8282" t="s">
        <v>11</v>
      </c>
      <c r="E8282" t="s">
        <v>14</v>
      </c>
      <c r="F8282" t="s">
        <v>15</v>
      </c>
      <c r="G8282" t="str">
        <f t="shared" si="337"/>
        <v>004BELLINA</v>
      </c>
      <c r="H8282" s="5">
        <f>VLOOKUP(G8282,[3]Astroflores!$G$2:$H$109,2,FALSE)</f>
        <v>1785</v>
      </c>
      <c r="I8282" s="6">
        <v>1056.7857142434418</v>
      </c>
      <c r="J8282" s="5">
        <v>8000</v>
      </c>
      <c r="K8282" s="6">
        <f t="shared" si="338"/>
        <v>1.6890841501182579</v>
      </c>
    </row>
    <row r="8283" spans="1:11">
      <c r="A8283" s="4">
        <v>2026</v>
      </c>
      <c r="B8283">
        <v>25</v>
      </c>
      <c r="C8283" t="s">
        <v>10</v>
      </c>
      <c r="D8283" t="s">
        <v>11</v>
      </c>
      <c r="E8283" t="s">
        <v>16</v>
      </c>
      <c r="F8283" t="s">
        <v>17</v>
      </c>
      <c r="G8283" t="str">
        <f t="shared" si="337"/>
        <v>005ELBA</v>
      </c>
      <c r="H8283" s="5">
        <f>VLOOKUP(G8283,[3]Astroflores!$G$2:$H$109,2,FALSE)</f>
        <v>9600</v>
      </c>
      <c r="I8283" s="6">
        <v>2641.9642856076484</v>
      </c>
      <c r="J8283" s="5">
        <v>19996</v>
      </c>
      <c r="K8283" s="6">
        <f t="shared" si="338"/>
        <v>3.6336600204237857</v>
      </c>
    </row>
    <row r="8284" spans="1:11">
      <c r="A8284" s="4">
        <v>2026</v>
      </c>
      <c r="B8284">
        <v>25</v>
      </c>
      <c r="C8284" t="s">
        <v>10</v>
      </c>
      <c r="D8284" t="s">
        <v>11</v>
      </c>
      <c r="E8284" t="s">
        <v>16</v>
      </c>
      <c r="F8284" t="s">
        <v>18</v>
      </c>
      <c r="G8284" t="str">
        <f t="shared" si="337"/>
        <v>005HOT BUBBLES</v>
      </c>
      <c r="H8284" s="5">
        <f>VLOOKUP(G8284,[3]Astroflores!$G$2:$H$109,2,FALSE)</f>
        <v>1380</v>
      </c>
      <c r="I8284" s="6">
        <v>528.39285712153003</v>
      </c>
      <c r="J8284" s="5">
        <v>4000</v>
      </c>
      <c r="K8284" s="6">
        <f t="shared" si="338"/>
        <v>2.6116931396795944</v>
      </c>
    </row>
    <row r="8285" spans="1:11">
      <c r="A8285" s="4">
        <v>2026</v>
      </c>
      <c r="B8285">
        <v>25</v>
      </c>
      <c r="C8285" t="s">
        <v>10</v>
      </c>
      <c r="D8285" t="s">
        <v>11</v>
      </c>
      <c r="E8285" t="s">
        <v>16</v>
      </c>
      <c r="F8285" t="s">
        <v>19</v>
      </c>
      <c r="G8285" t="str">
        <f t="shared" si="337"/>
        <v>005SUSPIRO</v>
      </c>
      <c r="H8285" s="5">
        <f>VLOOKUP(G8285,[3]Astroflores!$G$2:$H$109,2,FALSE)</f>
        <v>3420</v>
      </c>
      <c r="I8285" s="6">
        <v>1902.2142856375078</v>
      </c>
      <c r="J8285" s="5">
        <v>14400</v>
      </c>
      <c r="K8285" s="6">
        <f t="shared" si="338"/>
        <v>1.797904697605518</v>
      </c>
    </row>
    <row r="8286" spans="1:11">
      <c r="A8286" s="4">
        <v>2026</v>
      </c>
      <c r="B8286">
        <v>25</v>
      </c>
      <c r="C8286" t="s">
        <v>10</v>
      </c>
      <c r="D8286" t="s">
        <v>11</v>
      </c>
      <c r="E8286" t="s">
        <v>20</v>
      </c>
      <c r="F8286" t="s">
        <v>21</v>
      </c>
      <c r="G8286" t="str">
        <f t="shared" si="337"/>
        <v>007SNOW BUBBLES</v>
      </c>
      <c r="H8286" s="5">
        <f>VLOOKUP(G8286,[3]Astroflores!$G$2:$H$109,2,FALSE)</f>
        <v>900</v>
      </c>
      <c r="I8286" s="6">
        <v>634.05652706821195</v>
      </c>
      <c r="J8286" s="5">
        <v>4800</v>
      </c>
      <c r="K8286" s="6">
        <f t="shared" si="338"/>
        <v>1.4194318039141922</v>
      </c>
    </row>
    <row r="8287" spans="1:11">
      <c r="A8287" s="4">
        <v>2026</v>
      </c>
      <c r="B8287">
        <v>25</v>
      </c>
      <c r="C8287" t="s">
        <v>10</v>
      </c>
      <c r="D8287" t="s">
        <v>11</v>
      </c>
      <c r="E8287" t="s">
        <v>22</v>
      </c>
      <c r="F8287" t="s">
        <v>18</v>
      </c>
      <c r="G8287" t="str">
        <f t="shared" si="337"/>
        <v>009HOT BUBBLES</v>
      </c>
      <c r="H8287" s="5">
        <f>VLOOKUP(G8287,[3]Astroflores!$G$2:$H$109,2,FALSE)</f>
        <v>11860</v>
      </c>
      <c r="I8287" s="6">
        <v>4487.9999999102474</v>
      </c>
      <c r="J8287" s="5">
        <v>31740</v>
      </c>
      <c r="K8287" s="6">
        <f t="shared" si="338"/>
        <v>2.6426024955965195</v>
      </c>
    </row>
    <row r="8288" spans="1:11">
      <c r="A8288" s="4">
        <v>2026</v>
      </c>
      <c r="B8288">
        <v>25</v>
      </c>
      <c r="C8288" t="s">
        <v>10</v>
      </c>
      <c r="D8288" t="s">
        <v>11</v>
      </c>
      <c r="E8288" t="s">
        <v>23</v>
      </c>
      <c r="F8288" t="s">
        <v>24</v>
      </c>
      <c r="G8288" t="str">
        <f t="shared" si="337"/>
        <v>014FRUITY BUBBLES</v>
      </c>
      <c r="H8288" s="5">
        <f>VLOOKUP(G8288,[3]Astroflores!$G$2:$H$109,2,FALSE)</f>
        <v>4350</v>
      </c>
      <c r="I8288" s="6">
        <v>1702.8</v>
      </c>
      <c r="J8288" s="5">
        <v>12900</v>
      </c>
      <c r="K8288" s="6">
        <f t="shared" si="338"/>
        <v>2.5546159267089501</v>
      </c>
    </row>
    <row r="8289" spans="1:11">
      <c r="A8289" s="4">
        <v>2026</v>
      </c>
      <c r="B8289">
        <v>25</v>
      </c>
      <c r="C8289" t="s">
        <v>10</v>
      </c>
      <c r="D8289" t="s">
        <v>11</v>
      </c>
      <c r="E8289" t="s">
        <v>25</v>
      </c>
      <c r="F8289" t="s">
        <v>26</v>
      </c>
      <c r="G8289" t="str">
        <f t="shared" si="337"/>
        <v>015FELLINI</v>
      </c>
      <c r="H8289" s="5">
        <f>VLOOKUP(G8289,[3]Astroflores!$G$2:$H$109,2,FALSE)</f>
        <v>4680</v>
      </c>
      <c r="I8289" s="6">
        <v>3009.6</v>
      </c>
      <c r="J8289" s="5">
        <v>22800</v>
      </c>
      <c r="K8289" s="6">
        <f t="shared" si="338"/>
        <v>1.5550239234449761</v>
      </c>
    </row>
    <row r="8290" spans="1:11">
      <c r="A8290" s="4">
        <v>2026</v>
      </c>
      <c r="B8290">
        <v>25</v>
      </c>
      <c r="C8290" t="s">
        <v>10</v>
      </c>
      <c r="D8290" t="s">
        <v>11</v>
      </c>
      <c r="E8290" t="s">
        <v>27</v>
      </c>
      <c r="F8290" t="s">
        <v>28</v>
      </c>
      <c r="G8290" t="str">
        <f t="shared" si="337"/>
        <v>016GOOD PEACH</v>
      </c>
      <c r="H8290" s="5">
        <f>VLOOKUP(G8290,[3]Astroflores!$G$2:$H$109,2,FALSE)</f>
        <v>3660</v>
      </c>
      <c r="I8290" s="6">
        <v>1386</v>
      </c>
      <c r="J8290" s="5">
        <v>10500</v>
      </c>
      <c r="K8290" s="6">
        <f t="shared" si="338"/>
        <v>2.6406926406926408</v>
      </c>
    </row>
    <row r="8291" spans="1:11">
      <c r="A8291" s="4">
        <v>2026</v>
      </c>
      <c r="B8291">
        <v>25</v>
      </c>
      <c r="C8291" t="s">
        <v>10</v>
      </c>
      <c r="D8291" t="s">
        <v>11</v>
      </c>
      <c r="E8291" t="s">
        <v>27</v>
      </c>
      <c r="F8291" t="s">
        <v>29</v>
      </c>
      <c r="G8291" t="str">
        <f t="shared" si="337"/>
        <v>016GOOD YELLOW</v>
      </c>
      <c r="H8291" s="5">
        <f>VLOOKUP(G8291,[3]Astroflores!$G$2:$H$109,2,FALSE)</f>
        <v>3330</v>
      </c>
      <c r="I8291" s="6">
        <v>1386</v>
      </c>
      <c r="J8291" s="5">
        <v>10500</v>
      </c>
      <c r="K8291" s="6">
        <f t="shared" si="338"/>
        <v>2.4025974025974026</v>
      </c>
    </row>
    <row r="8292" spans="1:11">
      <c r="A8292" s="4">
        <v>2026</v>
      </c>
      <c r="B8292">
        <v>25</v>
      </c>
      <c r="C8292" t="s">
        <v>10</v>
      </c>
      <c r="D8292" t="s">
        <v>11</v>
      </c>
      <c r="E8292" t="s">
        <v>30</v>
      </c>
      <c r="F8292" t="s">
        <v>31</v>
      </c>
      <c r="G8292" t="str">
        <f t="shared" si="337"/>
        <v>017ORANGE STAR</v>
      </c>
      <c r="H8292" s="5">
        <f>VLOOKUP(G8292,[3]Astroflores!$G$2:$H$109,2,FALSE)</f>
        <v>1625</v>
      </c>
      <c r="I8292" s="6">
        <v>1029.5999999999999</v>
      </c>
      <c r="J8292" s="5">
        <v>7800</v>
      </c>
      <c r="K8292" s="6">
        <f t="shared" si="338"/>
        <v>1.5782828282828285</v>
      </c>
    </row>
    <row r="8293" spans="1:11">
      <c r="A8293" s="4">
        <v>2026</v>
      </c>
      <c r="B8293">
        <v>25</v>
      </c>
      <c r="C8293" t="s">
        <v>10</v>
      </c>
      <c r="D8293" t="s">
        <v>11</v>
      </c>
      <c r="E8293" t="s">
        <v>32</v>
      </c>
      <c r="F8293" t="s">
        <v>33</v>
      </c>
      <c r="G8293" t="str">
        <f t="shared" si="337"/>
        <v>018COSMO</v>
      </c>
      <c r="H8293" s="5">
        <f>VLOOKUP(G8293,[3]Astroflores!$G$2:$H$109,2,FALSE)</f>
        <v>4200</v>
      </c>
      <c r="I8293" s="6">
        <v>2653.2</v>
      </c>
      <c r="J8293" s="5">
        <v>20100</v>
      </c>
      <c r="K8293" s="6">
        <f t="shared" si="338"/>
        <v>1.5829941203075533</v>
      </c>
    </row>
    <row r="8294" spans="1:11">
      <c r="A8294" s="4">
        <v>2026</v>
      </c>
      <c r="B8294">
        <v>25</v>
      </c>
      <c r="C8294" t="s">
        <v>10</v>
      </c>
      <c r="D8294" t="s">
        <v>11</v>
      </c>
      <c r="E8294" t="s">
        <v>32</v>
      </c>
      <c r="F8294" t="s">
        <v>34</v>
      </c>
      <c r="G8294" t="str">
        <f t="shared" si="337"/>
        <v>018RUBICON</v>
      </c>
      <c r="H8294" s="5">
        <f>VLOOKUP(G8294,[3]Astroflores!$G$2:$H$109,2,FALSE)</f>
        <v>6840</v>
      </c>
      <c r="I8294" s="6">
        <v>1768.8</v>
      </c>
      <c r="J8294" s="5">
        <v>13400</v>
      </c>
      <c r="K8294" s="6">
        <f t="shared" si="338"/>
        <v>3.8670284938941655</v>
      </c>
    </row>
    <row r="8295" spans="1:11">
      <c r="A8295" s="4">
        <v>2026</v>
      </c>
      <c r="B8295">
        <v>25</v>
      </c>
      <c r="C8295" t="s">
        <v>10</v>
      </c>
      <c r="D8295" t="s">
        <v>11</v>
      </c>
      <c r="E8295" t="s">
        <v>35</v>
      </c>
      <c r="F8295" t="s">
        <v>15</v>
      </c>
      <c r="G8295" t="str">
        <f t="shared" si="337"/>
        <v>019BELLINA</v>
      </c>
      <c r="H8295" s="5">
        <f>VLOOKUP(G8295,[3]Astroflores!$G$2:$H$109,2,FALSE)</f>
        <v>1650</v>
      </c>
      <c r="I8295" s="6">
        <v>1029.5999999999999</v>
      </c>
      <c r="J8295" s="5">
        <v>7800</v>
      </c>
      <c r="K8295" s="6">
        <f t="shared" si="338"/>
        <v>1.6025641025641026</v>
      </c>
    </row>
    <row r="8296" spans="1:11">
      <c r="A8296" s="4">
        <v>2026</v>
      </c>
      <c r="B8296">
        <v>25</v>
      </c>
      <c r="C8296" t="s">
        <v>10</v>
      </c>
      <c r="D8296" t="s">
        <v>11</v>
      </c>
      <c r="E8296" t="s">
        <v>36</v>
      </c>
      <c r="F8296" t="s">
        <v>37</v>
      </c>
      <c r="G8296" t="str">
        <f t="shared" si="337"/>
        <v>020SUMMER DANCE</v>
      </c>
      <c r="H8296" s="5">
        <f>VLOOKUP(G8296,[3]Astroflores!$G$2:$H$109,2,FALSE)</f>
        <v>3525</v>
      </c>
      <c r="I8296" s="6">
        <v>1346.4</v>
      </c>
      <c r="J8296" s="5">
        <v>10200</v>
      </c>
      <c r="K8296" s="6">
        <f t="shared" si="338"/>
        <v>2.618092691622103</v>
      </c>
    </row>
    <row r="8297" spans="1:11">
      <c r="A8297" s="4">
        <v>2026</v>
      </c>
      <c r="B8297">
        <v>25</v>
      </c>
      <c r="C8297" t="s">
        <v>10</v>
      </c>
      <c r="D8297" t="s">
        <v>11</v>
      </c>
      <c r="E8297" t="s">
        <v>38</v>
      </c>
      <c r="F8297" t="s">
        <v>39</v>
      </c>
      <c r="G8297" t="str">
        <f t="shared" si="337"/>
        <v>021ELEGANT ROSEVER</v>
      </c>
      <c r="H8297" s="5">
        <f>VLOOKUP(G8297,[3]Astroflores!$G$2:$H$109,2,FALSE)</f>
        <v>720</v>
      </c>
      <c r="I8297" s="6">
        <v>440.18999062500001</v>
      </c>
      <c r="J8297" s="5">
        <v>3200</v>
      </c>
      <c r="K8297" s="6">
        <f t="shared" si="338"/>
        <v>1.6356573646250205</v>
      </c>
    </row>
    <row r="8298" spans="1:11">
      <c r="A8298" s="4">
        <v>2026</v>
      </c>
      <c r="B8298">
        <v>25</v>
      </c>
      <c r="C8298" t="s">
        <v>10</v>
      </c>
      <c r="D8298" t="s">
        <v>11</v>
      </c>
      <c r="E8298" t="s">
        <v>38</v>
      </c>
      <c r="F8298" t="s">
        <v>40</v>
      </c>
      <c r="G8298" t="str">
        <f t="shared" si="337"/>
        <v>021FLAME CLUB</v>
      </c>
      <c r="H8298" s="5">
        <f>VLOOKUP(G8298,[3]Astroflores!$G$2:$H$109,2,FALSE)</f>
        <v>1525</v>
      </c>
      <c r="I8298" s="6">
        <v>880.38</v>
      </c>
      <c r="J8298" s="5">
        <v>6400</v>
      </c>
      <c r="K8298" s="6">
        <f t="shared" si="338"/>
        <v>1.7322065471728116</v>
      </c>
    </row>
    <row r="8299" spans="1:11">
      <c r="A8299" s="4">
        <v>2026</v>
      </c>
      <c r="B8299">
        <v>25</v>
      </c>
      <c r="C8299" t="s">
        <v>10</v>
      </c>
      <c r="D8299" t="s">
        <v>11</v>
      </c>
      <c r="E8299" t="s">
        <v>38</v>
      </c>
      <c r="F8299" t="s">
        <v>41</v>
      </c>
      <c r="G8299" t="str">
        <f t="shared" si="337"/>
        <v>021KELLY</v>
      </c>
      <c r="H8299" s="5">
        <f>VLOOKUP(G8299,[3]Astroflores!$G$2:$H$109,2,FALSE)</f>
        <v>600</v>
      </c>
      <c r="I8299" s="6">
        <v>330.14249999999998</v>
      </c>
      <c r="J8299" s="5">
        <v>2400</v>
      </c>
      <c r="K8299" s="6">
        <f t="shared" si="338"/>
        <v>1.8173970330993436</v>
      </c>
    </row>
    <row r="8300" spans="1:11">
      <c r="A8300" s="4">
        <v>2026</v>
      </c>
      <c r="B8300">
        <v>25</v>
      </c>
      <c r="C8300" t="s">
        <v>10</v>
      </c>
      <c r="D8300" t="s">
        <v>11</v>
      </c>
      <c r="E8300" t="s">
        <v>38</v>
      </c>
      <c r="F8300" t="s">
        <v>42</v>
      </c>
      <c r="G8300" t="str">
        <f t="shared" si="337"/>
        <v>021LEILA</v>
      </c>
      <c r="H8300" s="5">
        <f>VLOOKUP(G8300,[3]Astroflores!$G$2:$H$109,2,FALSE)</f>
        <v>1500</v>
      </c>
      <c r="I8300" s="6">
        <v>1650.7125000000001</v>
      </c>
      <c r="J8300" s="5">
        <v>12000</v>
      </c>
      <c r="K8300" s="6">
        <f t="shared" si="338"/>
        <v>0.90869851654967171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38</v>
      </c>
      <c r="F8301" t="s">
        <v>21</v>
      </c>
      <c r="G8301" t="str">
        <f t="shared" si="337"/>
        <v>021SNOW BUBBLES</v>
      </c>
      <c r="H8301" s="5">
        <f>VLOOKUP(G8301,[3]Astroflores!$G$2:$H$109,2,FALSE)</f>
        <v>1800</v>
      </c>
      <c r="I8301" s="6">
        <v>1287.0000000000018</v>
      </c>
      <c r="J8301" s="5">
        <v>9400</v>
      </c>
      <c r="K8301" s="6">
        <f t="shared" si="338"/>
        <v>1.3986013986013965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43</v>
      </c>
      <c r="F8302" t="s">
        <v>24</v>
      </c>
      <c r="G8302" t="str">
        <f t="shared" si="337"/>
        <v>022FRUITY BUBBLES</v>
      </c>
      <c r="H8302" s="5">
        <f>VLOOKUP(G8302,[3]Astroflores!$G$2:$H$109,2,FALSE)</f>
        <v>6175</v>
      </c>
      <c r="I8302" s="6">
        <v>2641.14</v>
      </c>
      <c r="J8302" s="5">
        <v>19200</v>
      </c>
      <c r="K8302" s="6">
        <f t="shared" si="338"/>
        <v>2.3380055582059263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43</v>
      </c>
      <c r="F8303" t="s">
        <v>28</v>
      </c>
      <c r="G8303" t="str">
        <f t="shared" si="337"/>
        <v>022GOOD PEACH</v>
      </c>
      <c r="H8303" s="5">
        <f>VLOOKUP(G8303,[3]Astroflores!$G$2:$H$109,2,FALSE)</f>
        <v>2310</v>
      </c>
      <c r="I8303" s="6">
        <v>880.38</v>
      </c>
      <c r="J8303" s="5">
        <v>6400</v>
      </c>
      <c r="K8303" s="6">
        <f t="shared" si="338"/>
        <v>2.623866966537177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43</v>
      </c>
      <c r="F8304" t="s">
        <v>44</v>
      </c>
      <c r="G8304" t="str">
        <f t="shared" si="337"/>
        <v>022MIRABEL</v>
      </c>
      <c r="H8304" s="5">
        <f>VLOOKUP(G8304,[3]Astroflores!$G$2:$H$109,2,FALSE)</f>
        <v>1420</v>
      </c>
      <c r="I8304" s="6">
        <v>880.38</v>
      </c>
      <c r="J8304" s="5">
        <v>6400</v>
      </c>
      <c r="K8304" s="6">
        <f t="shared" si="338"/>
        <v>1.6129398668756674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47</v>
      </c>
      <c r="F8305" t="s">
        <v>44</v>
      </c>
      <c r="G8305" t="str">
        <f t="shared" si="337"/>
        <v>030MIRABEL</v>
      </c>
      <c r="H8305" s="5">
        <f>VLOOKUP(G8305,[3]Astroflores!$G$2:$H$109,2,FALSE)</f>
        <v>5860</v>
      </c>
      <c r="I8305" s="6">
        <v>2413.6749943750001</v>
      </c>
      <c r="J8305" s="5">
        <v>17600</v>
      </c>
      <c r="K8305" s="6">
        <f t="shared" si="338"/>
        <v>2.4278330817763623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47</v>
      </c>
      <c r="F8306" t="s">
        <v>13</v>
      </c>
      <c r="G8306" t="str">
        <f t="shared" si="337"/>
        <v>030SOMERSET</v>
      </c>
      <c r="H8306" s="5">
        <f>VLOOKUP(G8306,[3]Astroflores!$G$2:$H$109,2,FALSE)</f>
        <v>3460</v>
      </c>
      <c r="I8306" s="6">
        <v>1645.6875</v>
      </c>
      <c r="J8306" s="5">
        <v>12000</v>
      </c>
      <c r="K8306" s="6">
        <f t="shared" si="338"/>
        <v>2.102464775359842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48</v>
      </c>
      <c r="F8307" t="s">
        <v>49</v>
      </c>
      <c r="G8307" t="str">
        <f t="shared" si="337"/>
        <v>03182989</v>
      </c>
      <c r="H8307" s="5">
        <f>VLOOKUP(G8307,[3]Astroflores!$G$2:$H$109,2,FALSE)</f>
        <v>2640</v>
      </c>
      <c r="I8307" s="6">
        <v>726.32013058333712</v>
      </c>
      <c r="J8307" s="5">
        <v>5712</v>
      </c>
      <c r="K8307" s="6">
        <f t="shared" si="338"/>
        <v>3.6347608841293013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48</v>
      </c>
      <c r="F8308" t="s">
        <v>34</v>
      </c>
      <c r="G8308" t="str">
        <f t="shared" si="337"/>
        <v>031RUBICON</v>
      </c>
      <c r="H8308" s="5">
        <f>VLOOKUP(G8308,[3]Astroflores!$G$2:$H$109,2,FALSE)</f>
        <v>3150</v>
      </c>
      <c r="I8308" s="6">
        <v>924.39958333667107</v>
      </c>
      <c r="J8308" s="5">
        <v>6720</v>
      </c>
      <c r="K8308" s="6">
        <f t="shared" si="338"/>
        <v>3.4076172867039833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48</v>
      </c>
      <c r="F8309" t="s">
        <v>13</v>
      </c>
      <c r="G8309" t="str">
        <f t="shared" si="337"/>
        <v>031SOMERSET</v>
      </c>
      <c r="H8309" s="5">
        <f>VLOOKUP(G8309,[3]Astroflores!$G$2:$H$109,2,FALSE)</f>
        <v>2120</v>
      </c>
      <c r="I8309" s="6">
        <v>1122.485208333339</v>
      </c>
      <c r="J8309" s="5">
        <v>8160</v>
      </c>
      <c r="K8309" s="6">
        <f t="shared" si="338"/>
        <v>1.8886663131603905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48</v>
      </c>
      <c r="F8310" t="s">
        <v>50</v>
      </c>
      <c r="G8310" t="str">
        <f t="shared" si="337"/>
        <v>031VELVET BLOSSOMS</v>
      </c>
      <c r="H8310" s="5">
        <f>VLOOKUP(G8310,[3]Astroflores!$G$2:$H$109,2,FALSE)</f>
        <v>820</v>
      </c>
      <c r="I8310" s="6">
        <v>396.17125000000198</v>
      </c>
      <c r="J8310" s="5">
        <v>2880</v>
      </c>
      <c r="K8310" s="6">
        <f t="shared" si="338"/>
        <v>2.0698119815609939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51</v>
      </c>
      <c r="F8311" t="s">
        <v>17</v>
      </c>
      <c r="G8311" t="str">
        <f t="shared" si="337"/>
        <v>032ELBA</v>
      </c>
      <c r="H8311" s="5">
        <f>VLOOKUP(G8311,[3]Astroflores!$G$2:$H$109,2,FALSE)</f>
        <v>3240</v>
      </c>
      <c r="I8311" s="6">
        <v>1535.9749999999999</v>
      </c>
      <c r="J8311" s="5">
        <v>11200</v>
      </c>
      <c r="K8311" s="6">
        <f t="shared" si="338"/>
        <v>2.1094093328341934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51</v>
      </c>
      <c r="F8312" t="s">
        <v>44</v>
      </c>
      <c r="G8312" t="str">
        <f t="shared" si="337"/>
        <v>032MIRABEL</v>
      </c>
      <c r="H8312" s="5">
        <f>VLOOKUP(G8312,[3]Astroflores!$G$2:$H$109,2,FALSE)</f>
        <v>3000</v>
      </c>
      <c r="I8312" s="6">
        <v>1535.9749999999999</v>
      </c>
      <c r="J8312" s="5">
        <v>11200</v>
      </c>
      <c r="K8312" s="6">
        <f t="shared" si="338"/>
        <v>1.9531567896612902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52</v>
      </c>
      <c r="F8313" t="s">
        <v>53</v>
      </c>
      <c r="G8313" t="str">
        <f t="shared" si="337"/>
        <v>033CREAMY FOLIES</v>
      </c>
      <c r="H8313" s="5">
        <f>VLOOKUP(G8313,[3]Astroflores!$G$2:$H$109,2,FALSE)</f>
        <v>1230</v>
      </c>
      <c r="I8313" s="6">
        <v>594.25687500000299</v>
      </c>
      <c r="J8313" s="5">
        <v>4320</v>
      </c>
      <c r="K8313" s="6">
        <f t="shared" si="338"/>
        <v>2.0698119815609939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52</v>
      </c>
      <c r="F8314" t="s">
        <v>18</v>
      </c>
      <c r="G8314" t="str">
        <f t="shared" si="337"/>
        <v>033HOT BUBBLES</v>
      </c>
      <c r="H8314" s="5">
        <f>VLOOKUP(G8314,[3]Astroflores!$G$2:$H$109,2,FALSE)</f>
        <v>3100</v>
      </c>
      <c r="I8314" s="6">
        <v>2575.1131250013459</v>
      </c>
      <c r="J8314" s="5">
        <v>18720</v>
      </c>
      <c r="K8314" s="6">
        <f t="shared" si="338"/>
        <v>1.2038306084119623</v>
      </c>
    </row>
    <row r="8315" spans="1:11">
      <c r="A8315" s="4">
        <v>2026</v>
      </c>
      <c r="B8315">
        <v>25</v>
      </c>
      <c r="C8315" t="s">
        <v>54</v>
      </c>
      <c r="D8315" t="s">
        <v>11</v>
      </c>
      <c r="E8315" t="s">
        <v>55</v>
      </c>
      <c r="F8315" t="s">
        <v>56</v>
      </c>
      <c r="G8315" t="str">
        <f t="shared" si="337"/>
        <v>001BELIEVE IN PINK</v>
      </c>
      <c r="H8315" s="5">
        <f>VLOOKUP(G8315,[3]Astroflores!$G$2:$H$109,2,FALSE)</f>
        <v>1080</v>
      </c>
      <c r="I8315" s="6">
        <v>528.37931032368999</v>
      </c>
      <c r="J8315" s="5">
        <v>4000</v>
      </c>
      <c r="K8315" s="6">
        <f t="shared" ref="K8315:K8320" si="339">IFERROR(H8315/I8315,"")</f>
        <v>2.0439861646709483</v>
      </c>
    </row>
    <row r="8316" spans="1:11">
      <c r="A8316" s="4">
        <v>2026</v>
      </c>
      <c r="B8316">
        <v>25</v>
      </c>
      <c r="C8316" t="s">
        <v>54</v>
      </c>
      <c r="D8316" t="s">
        <v>11</v>
      </c>
      <c r="E8316" t="s">
        <v>55</v>
      </c>
      <c r="F8316" t="s">
        <v>57</v>
      </c>
      <c r="G8316" t="str">
        <f t="shared" ref="G8316:G8374" si="340">+E8316&amp;F8316</f>
        <v>001EXPLORER</v>
      </c>
      <c r="H8316" s="5">
        <f>VLOOKUP(G8316,[3]Astroflores!$G$2:$H$109,2,FALSE)</f>
        <v>4725</v>
      </c>
      <c r="I8316" s="6">
        <v>2272.0310343918732</v>
      </c>
      <c r="J8316" s="5">
        <v>17200</v>
      </c>
      <c r="K8316" s="6">
        <f t="shared" si="339"/>
        <v>2.0796370861477618</v>
      </c>
    </row>
    <row r="8317" spans="1:11">
      <c r="A8317" s="4">
        <v>2026</v>
      </c>
      <c r="B8317">
        <v>25</v>
      </c>
      <c r="C8317" t="s">
        <v>54</v>
      </c>
      <c r="D8317" t="s">
        <v>11</v>
      </c>
      <c r="E8317" t="s">
        <v>55</v>
      </c>
      <c r="F8317" t="s">
        <v>58</v>
      </c>
      <c r="G8317" t="str">
        <f t="shared" si="340"/>
        <v>001GRACE KELLY</v>
      </c>
      <c r="H8317" s="5">
        <f>VLOOKUP(G8317,[3]Astroflores!$G$2:$H$109,2,FALSE)</f>
        <v>2220</v>
      </c>
      <c r="I8317" s="6">
        <v>1162.4344827121224</v>
      </c>
      <c r="J8317" s="5">
        <v>8800</v>
      </c>
      <c r="K8317" s="6">
        <f t="shared" si="339"/>
        <v>1.9097850528491112</v>
      </c>
    </row>
    <row r="8318" spans="1:11">
      <c r="A8318" s="4">
        <v>2026</v>
      </c>
      <c r="B8318">
        <v>25</v>
      </c>
      <c r="C8318" t="s">
        <v>54</v>
      </c>
      <c r="D8318" t="s">
        <v>11</v>
      </c>
      <c r="E8318" t="s">
        <v>55</v>
      </c>
      <c r="F8318" t="s">
        <v>60</v>
      </c>
      <c r="G8318" t="str">
        <f t="shared" si="340"/>
        <v>001LIGHT HOUSE</v>
      </c>
      <c r="H8318" s="5">
        <f>VLOOKUP(G8318,[3]Astroflores!$G$2:$H$109,2,FALSE)</f>
        <v>2010</v>
      </c>
      <c r="I8318" s="6">
        <v>1056.7586206473827</v>
      </c>
      <c r="J8318" s="5">
        <v>8000</v>
      </c>
      <c r="K8318" s="6">
        <f t="shared" si="339"/>
        <v>1.9020426810132387</v>
      </c>
    </row>
    <row r="8319" spans="1:11">
      <c r="A8319" s="4">
        <v>2026</v>
      </c>
      <c r="B8319">
        <v>25</v>
      </c>
      <c r="C8319" t="s">
        <v>54</v>
      </c>
      <c r="D8319" t="s">
        <v>11</v>
      </c>
      <c r="E8319" t="s">
        <v>55</v>
      </c>
      <c r="F8319" t="s">
        <v>61</v>
      </c>
      <c r="G8319" t="str">
        <f t="shared" si="340"/>
        <v>001LUMIA</v>
      </c>
      <c r="H8319" s="5">
        <f>VLOOKUP(G8319,[3]Astroflores!$G$2:$H$109,2,FALSE)</f>
        <v>1410</v>
      </c>
      <c r="I8319" s="6">
        <v>1109.596551679753</v>
      </c>
      <c r="J8319" s="5">
        <v>8400</v>
      </c>
      <c r="K8319" s="6">
        <f t="shared" si="339"/>
        <v>1.2707321394118285</v>
      </c>
    </row>
    <row r="8320" spans="1:11">
      <c r="A8320" s="4">
        <v>2026</v>
      </c>
      <c r="B8320">
        <v>25</v>
      </c>
      <c r="C8320" t="s">
        <v>54</v>
      </c>
      <c r="D8320" t="s">
        <v>11</v>
      </c>
      <c r="E8320" t="s">
        <v>55</v>
      </c>
      <c r="F8320" t="s">
        <v>62</v>
      </c>
      <c r="G8320" t="str">
        <f t="shared" si="340"/>
        <v>001MOMENTUM</v>
      </c>
      <c r="H8320" s="5">
        <f>VLOOKUP(G8320,[3]Astroflores!$G$2:$H$109,2,FALSE)</f>
        <v>2450</v>
      </c>
      <c r="I8320" s="6">
        <v>1902.1655171652881</v>
      </c>
      <c r="J8320" s="5">
        <v>14400</v>
      </c>
      <c r="K8320" s="6">
        <f t="shared" si="339"/>
        <v>1.2880056850421329</v>
      </c>
    </row>
    <row r="8321" spans="1:11">
      <c r="A8321" s="4">
        <v>2026</v>
      </c>
      <c r="B8321">
        <v>25</v>
      </c>
      <c r="C8321" t="s">
        <v>54</v>
      </c>
      <c r="D8321" t="s">
        <v>11</v>
      </c>
      <c r="E8321" t="s">
        <v>12</v>
      </c>
      <c r="F8321" t="s">
        <v>63</v>
      </c>
      <c r="G8321" t="str">
        <f t="shared" si="340"/>
        <v>002SUMMER ROMANCE</v>
      </c>
      <c r="H8321" s="5">
        <f>VLOOKUP(G8321,[3]Astroflores!$G$2:$H$109,2,FALSE)</f>
        <v>1350</v>
      </c>
      <c r="I8321" s="6">
        <v>951.10714281909407</v>
      </c>
      <c r="J8321" s="5">
        <v>7200</v>
      </c>
      <c r="K8321" s="6">
        <f t="shared" ref="K8321:K8380" si="341">+H8321/I8321</f>
        <v>1.419398445477533</v>
      </c>
    </row>
    <row r="8322" spans="1:11">
      <c r="A8322" s="4">
        <v>2026</v>
      </c>
      <c r="B8322">
        <v>25</v>
      </c>
      <c r="C8322" t="s">
        <v>54</v>
      </c>
      <c r="D8322" t="s">
        <v>11</v>
      </c>
      <c r="E8322" t="s">
        <v>12</v>
      </c>
      <c r="F8322" t="s">
        <v>64</v>
      </c>
      <c r="G8322" t="str">
        <f t="shared" si="340"/>
        <v>002SWEETNESS</v>
      </c>
      <c r="H8322" s="5">
        <f>VLOOKUP(G8322,[3]Astroflores!$G$2:$H$109,2,FALSE)</f>
        <v>5490</v>
      </c>
      <c r="I8322" s="6">
        <v>3804.4285712763772</v>
      </c>
      <c r="J8322" s="5">
        <v>28800</v>
      </c>
      <c r="K8322" s="6">
        <f t="shared" si="341"/>
        <v>1.4430550862354914</v>
      </c>
    </row>
    <row r="8323" spans="1:11">
      <c r="A8323" s="4">
        <v>2026</v>
      </c>
      <c r="B8323">
        <v>25</v>
      </c>
      <c r="C8323" t="s">
        <v>54</v>
      </c>
      <c r="D8323" t="s">
        <v>11</v>
      </c>
      <c r="E8323" t="s">
        <v>65</v>
      </c>
      <c r="F8323" t="s">
        <v>66</v>
      </c>
      <c r="G8323" t="str">
        <f t="shared" si="340"/>
        <v>003CABARET</v>
      </c>
      <c r="H8323" s="5">
        <f>VLOOKUP(G8323,[3]Astroflores!$G$2:$H$109,2,FALSE)</f>
        <v>4860</v>
      </c>
      <c r="I8323" s="6">
        <v>2641.8965516184649</v>
      </c>
      <c r="J8323" s="5">
        <v>20000</v>
      </c>
      <c r="K8323" s="6">
        <f t="shared" si="341"/>
        <v>1.8395875482038433</v>
      </c>
    </row>
    <row r="8324" spans="1:11">
      <c r="A8324" s="4">
        <v>2026</v>
      </c>
      <c r="B8324">
        <v>25</v>
      </c>
      <c r="C8324" t="s">
        <v>54</v>
      </c>
      <c r="D8324" t="s">
        <v>11</v>
      </c>
      <c r="E8324" t="s">
        <v>65</v>
      </c>
      <c r="F8324" t="s">
        <v>67</v>
      </c>
      <c r="G8324" t="str">
        <f t="shared" si="340"/>
        <v>003DEEP PURPLE</v>
      </c>
      <c r="H8324" s="5">
        <f>VLOOKUP(G8324,[3]Astroflores!$G$2:$H$109,2,FALSE)</f>
        <v>11190</v>
      </c>
      <c r="I8324" s="6">
        <v>3592.9793102010913</v>
      </c>
      <c r="J8324" s="5">
        <v>26044</v>
      </c>
      <c r="K8324" s="6">
        <f t="shared" si="341"/>
        <v>3.114407023783758</v>
      </c>
    </row>
    <row r="8325" spans="1:11">
      <c r="A8325" s="4">
        <v>2026</v>
      </c>
      <c r="B8325">
        <v>25</v>
      </c>
      <c r="C8325" t="s">
        <v>54</v>
      </c>
      <c r="D8325" t="s">
        <v>11</v>
      </c>
      <c r="E8325" t="s">
        <v>65</v>
      </c>
      <c r="F8325" t="s">
        <v>57</v>
      </c>
      <c r="G8325" t="str">
        <f t="shared" si="340"/>
        <v>003EXPLORER</v>
      </c>
      <c r="H8325" s="5">
        <f>VLOOKUP(G8325,[3]Astroflores!$G$2:$H$109,2,FALSE)</f>
        <v>3350</v>
      </c>
      <c r="I8325" s="6">
        <v>1268.1103447768633</v>
      </c>
      <c r="J8325" s="5">
        <v>9600</v>
      </c>
      <c r="K8325" s="6">
        <f t="shared" si="341"/>
        <v>2.6417259458517122</v>
      </c>
    </row>
    <row r="8326" spans="1:11">
      <c r="A8326" s="4">
        <v>2026</v>
      </c>
      <c r="B8326">
        <v>25</v>
      </c>
      <c r="C8326" t="s">
        <v>54</v>
      </c>
      <c r="D8326" t="s">
        <v>11</v>
      </c>
      <c r="E8326" t="s">
        <v>65</v>
      </c>
      <c r="F8326" t="s">
        <v>68</v>
      </c>
      <c r="G8326" t="str">
        <f t="shared" si="340"/>
        <v>003JOCKER</v>
      </c>
      <c r="H8326" s="5">
        <f>VLOOKUP(G8326,[3]Astroflores!$G$2:$H$109,2,FALSE)</f>
        <v>750</v>
      </c>
      <c r="I8326" s="6">
        <v>528.37931032368999</v>
      </c>
      <c r="J8326" s="5">
        <v>4000</v>
      </c>
      <c r="K8326" s="6">
        <f t="shared" si="341"/>
        <v>1.4194348365770475</v>
      </c>
    </row>
    <row r="8327" spans="1:11">
      <c r="A8327" s="4">
        <v>2026</v>
      </c>
      <c r="B8327">
        <v>25</v>
      </c>
      <c r="C8327" t="s">
        <v>54</v>
      </c>
      <c r="D8327" t="s">
        <v>11</v>
      </c>
      <c r="E8327" t="s">
        <v>65</v>
      </c>
      <c r="F8327" t="s">
        <v>69</v>
      </c>
      <c r="G8327" t="str">
        <f t="shared" si="340"/>
        <v>003QUICKSAND</v>
      </c>
      <c r="H8327" s="5">
        <f>VLOOKUP(G8327,[3]Astroflores!$G$2:$H$109,2,FALSE)</f>
        <v>1800</v>
      </c>
      <c r="I8327" s="6">
        <v>1162.4344827121247</v>
      </c>
      <c r="J8327" s="5">
        <v>8800</v>
      </c>
      <c r="K8327" s="6">
        <f t="shared" si="341"/>
        <v>1.5484743671749521</v>
      </c>
    </row>
    <row r="8328" spans="1:11">
      <c r="A8328" s="4">
        <v>2026</v>
      </c>
      <c r="B8328">
        <v>25</v>
      </c>
      <c r="C8328" t="s">
        <v>54</v>
      </c>
      <c r="D8328" t="s">
        <v>11</v>
      </c>
      <c r="E8328" t="s">
        <v>14</v>
      </c>
      <c r="F8328" t="s">
        <v>70</v>
      </c>
      <c r="G8328" t="str">
        <f t="shared" si="340"/>
        <v>004COTOPAXI</v>
      </c>
      <c r="H8328" s="5">
        <f>VLOOKUP(G8328,[3]Astroflores!$G$2:$H$109,2,FALSE)</f>
        <v>1140</v>
      </c>
      <c r="I8328" s="6">
        <v>528.3915024419166</v>
      </c>
      <c r="J8328" s="5">
        <v>4000</v>
      </c>
      <c r="K8328" s="6">
        <f t="shared" si="341"/>
        <v>2.1574911684453411</v>
      </c>
    </row>
    <row r="8329" spans="1:11">
      <c r="A8329" s="4">
        <v>2026</v>
      </c>
      <c r="B8329">
        <v>25</v>
      </c>
      <c r="C8329" t="s">
        <v>54</v>
      </c>
      <c r="D8329" t="s">
        <v>11</v>
      </c>
      <c r="E8329" t="s">
        <v>14</v>
      </c>
      <c r="F8329" t="s">
        <v>67</v>
      </c>
      <c r="G8329" t="str">
        <f t="shared" si="340"/>
        <v>004DEEP PURPLE</v>
      </c>
      <c r="H8329" s="5">
        <f>VLOOKUP(G8329,[3]Astroflores!$G$2:$H$109,2,FALSE)</f>
        <v>15480</v>
      </c>
      <c r="I8329" s="6">
        <v>3910.1071427007282</v>
      </c>
      <c r="J8329" s="5">
        <v>29260</v>
      </c>
      <c r="K8329" s="6">
        <f t="shared" si="341"/>
        <v>3.9589707992778673</v>
      </c>
    </row>
    <row r="8330" spans="1:11">
      <c r="A8330" s="4">
        <v>2026</v>
      </c>
      <c r="B8330">
        <v>25</v>
      </c>
      <c r="C8330" t="s">
        <v>54</v>
      </c>
      <c r="D8330" t="s">
        <v>11</v>
      </c>
      <c r="E8330" t="s">
        <v>14</v>
      </c>
      <c r="F8330" t="s">
        <v>71</v>
      </c>
      <c r="G8330" t="str">
        <f t="shared" si="340"/>
        <v>004HOT EXPLORER</v>
      </c>
      <c r="H8330" s="5">
        <f>VLOOKUP(G8330,[3]Astroflores!$G$2:$H$109,2,FALSE)</f>
        <v>3775</v>
      </c>
      <c r="I8330" s="6">
        <v>1902.2142856381945</v>
      </c>
      <c r="J8330" s="5">
        <v>14400</v>
      </c>
      <c r="K8330" s="6">
        <f t="shared" si="341"/>
        <v>1.9845293080287663</v>
      </c>
    </row>
    <row r="8331" spans="1:11">
      <c r="A8331" s="4">
        <v>2026</v>
      </c>
      <c r="B8331">
        <v>25</v>
      </c>
      <c r="C8331" t="s">
        <v>54</v>
      </c>
      <c r="D8331" t="s">
        <v>11</v>
      </c>
      <c r="E8331" t="s">
        <v>14</v>
      </c>
      <c r="F8331" t="s">
        <v>72</v>
      </c>
      <c r="G8331" t="str">
        <f t="shared" si="340"/>
        <v>004HOT MERENGUE</v>
      </c>
      <c r="H8331" s="5">
        <f>VLOOKUP(G8331,[3]Astroflores!$G$2:$H$109,2,FALSE)</f>
        <v>3510</v>
      </c>
      <c r="I8331" s="6">
        <v>1162.4642856677858</v>
      </c>
      <c r="J8331" s="5">
        <v>8800</v>
      </c>
      <c r="K8331" s="6">
        <f t="shared" si="341"/>
        <v>3.01944760219765</v>
      </c>
    </row>
    <row r="8332" spans="1:11">
      <c r="A8332" s="4">
        <v>2026</v>
      </c>
      <c r="B8332">
        <v>25</v>
      </c>
      <c r="C8332" t="s">
        <v>54</v>
      </c>
      <c r="D8332" t="s">
        <v>11</v>
      </c>
      <c r="E8332" t="s">
        <v>14</v>
      </c>
      <c r="F8332" t="s">
        <v>64</v>
      </c>
      <c r="G8332" t="str">
        <f t="shared" si="340"/>
        <v>004SWEETNESS</v>
      </c>
      <c r="H8332" s="5">
        <f>VLOOKUP(G8332,[3]Astroflores!$G$2:$H$109,2,FALSE)</f>
        <v>480</v>
      </c>
      <c r="I8332" s="6">
        <v>317.03571427303262</v>
      </c>
      <c r="J8332" s="5">
        <v>2400</v>
      </c>
      <c r="K8332" s="6">
        <f t="shared" si="341"/>
        <v>1.5140250085093623</v>
      </c>
    </row>
    <row r="8333" spans="1:11">
      <c r="A8333" s="4">
        <v>2026</v>
      </c>
      <c r="B8333">
        <v>25</v>
      </c>
      <c r="C8333" t="s">
        <v>54</v>
      </c>
      <c r="D8333" t="s">
        <v>11</v>
      </c>
      <c r="E8333" t="s">
        <v>16</v>
      </c>
      <c r="F8333" t="s">
        <v>57</v>
      </c>
      <c r="G8333" t="str">
        <f t="shared" si="340"/>
        <v>005EXPLORER</v>
      </c>
      <c r="H8333" s="5">
        <f>VLOOKUP(G8333,[3]Astroflores!$G$2:$H$109,2,FALSE)</f>
        <v>1550</v>
      </c>
      <c r="I8333" s="6">
        <v>951.10714281875391</v>
      </c>
      <c r="J8333" s="5">
        <v>7200</v>
      </c>
      <c r="K8333" s="6">
        <f t="shared" si="341"/>
        <v>1.6296796966599725</v>
      </c>
    </row>
    <row r="8334" spans="1:11">
      <c r="A8334" s="4">
        <v>2026</v>
      </c>
      <c r="B8334">
        <v>25</v>
      </c>
      <c r="C8334" t="s">
        <v>54</v>
      </c>
      <c r="D8334" t="s">
        <v>11</v>
      </c>
      <c r="E8334" t="s">
        <v>16</v>
      </c>
      <c r="F8334" t="s">
        <v>73</v>
      </c>
      <c r="G8334" t="str">
        <f t="shared" si="340"/>
        <v>005GOLDFINCH</v>
      </c>
      <c r="H8334" s="5">
        <f>VLOOKUP(G8334,[3]Astroflores!$G$2:$H$109,2,FALSE)</f>
        <v>950</v>
      </c>
      <c r="I8334" s="6">
        <v>898.26785710660101</v>
      </c>
      <c r="J8334" s="5">
        <v>6800</v>
      </c>
      <c r="K8334" s="6">
        <f t="shared" si="341"/>
        <v>1.0575909985914811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16</v>
      </c>
      <c r="F8335" t="s">
        <v>68</v>
      </c>
      <c r="G8335" t="str">
        <f t="shared" si="340"/>
        <v>005JOCKER</v>
      </c>
      <c r="H8335" s="5">
        <f>VLOOKUP(G8335,[3]Astroflores!$G$2:$H$109,2,FALSE)</f>
        <v>1550</v>
      </c>
      <c r="I8335" s="6">
        <v>1162.4642856673661</v>
      </c>
      <c r="J8335" s="5">
        <v>8800</v>
      </c>
      <c r="K8335" s="6">
        <f t="shared" si="341"/>
        <v>1.33337429726725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16</v>
      </c>
      <c r="F8336" t="s">
        <v>74</v>
      </c>
      <c r="G8336" t="str">
        <f t="shared" si="340"/>
        <v>005VENDELA</v>
      </c>
      <c r="H8336" s="5">
        <f>VLOOKUP(G8336,[3]Astroflores!$G$2:$H$109,2,FALSE)</f>
        <v>1140</v>
      </c>
      <c r="I8336" s="6">
        <v>686.91071425798896</v>
      </c>
      <c r="J8336" s="5">
        <v>5200</v>
      </c>
      <c r="K8336" s="6">
        <f t="shared" si="341"/>
        <v>1.6596043362512474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75</v>
      </c>
      <c r="F8337" t="s">
        <v>76</v>
      </c>
      <c r="G8337" t="str">
        <f t="shared" si="340"/>
        <v>006ATOMIC</v>
      </c>
      <c r="H8337" s="5">
        <f>VLOOKUP(G8337,[3]Astroflores!$G$2:$H$109,2,FALSE)</f>
        <v>875</v>
      </c>
      <c r="I8337" s="6">
        <v>845.428571394752</v>
      </c>
      <c r="J8337" s="5">
        <v>6400</v>
      </c>
      <c r="K8337" s="6">
        <f t="shared" si="341"/>
        <v>1.034978033160699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75</v>
      </c>
      <c r="F8338" t="s">
        <v>57</v>
      </c>
      <c r="G8338" t="str">
        <f t="shared" si="340"/>
        <v>006EXPLORER</v>
      </c>
      <c r="H8338" s="5">
        <f>VLOOKUP(G8338,[3]Astroflores!$G$2:$H$109,2,FALSE)</f>
        <v>5950</v>
      </c>
      <c r="I8338" s="6">
        <v>3910.1071427007355</v>
      </c>
      <c r="J8338" s="5">
        <v>29600</v>
      </c>
      <c r="K8338" s="6">
        <f t="shared" si="341"/>
        <v>1.5216974325389707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75</v>
      </c>
      <c r="F8339" t="s">
        <v>77</v>
      </c>
      <c r="G8339" t="str">
        <f t="shared" si="340"/>
        <v>006MONDIAL</v>
      </c>
      <c r="H8339" s="5">
        <f>VLOOKUP(G8339,[3]Astroflores!$G$2:$H$109,2,FALSE)</f>
        <v>5025</v>
      </c>
      <c r="I8339" s="6">
        <v>4015.7857141250793</v>
      </c>
      <c r="J8339" s="5">
        <v>30400</v>
      </c>
      <c r="K8339" s="6">
        <f t="shared" si="341"/>
        <v>1.2513117874604518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20</v>
      </c>
      <c r="F8340" t="s">
        <v>70</v>
      </c>
      <c r="G8340" t="str">
        <f t="shared" si="340"/>
        <v>007COTOPAXI</v>
      </c>
      <c r="H8340" s="5">
        <f>VLOOKUP(G8340,[3]Astroflores!$G$2:$H$109,2,FALSE)</f>
        <v>4620</v>
      </c>
      <c r="I8340" s="6">
        <v>2747.5751230427709</v>
      </c>
      <c r="J8340" s="5">
        <v>20800</v>
      </c>
      <c r="K8340" s="6">
        <f t="shared" si="341"/>
        <v>1.6814826867713206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20</v>
      </c>
      <c r="F8341" t="s">
        <v>78</v>
      </c>
      <c r="G8341" t="str">
        <f t="shared" si="340"/>
        <v>007REDIANT</v>
      </c>
      <c r="H8341" s="5">
        <f>VLOOKUP(G8341,[3]Astroflores!$G$2:$H$109,2,FALSE)</f>
        <v>1830</v>
      </c>
      <c r="I8341" s="6">
        <v>1056.75862064738</v>
      </c>
      <c r="J8341" s="5">
        <v>9600</v>
      </c>
      <c r="K8341" s="6">
        <f t="shared" si="341"/>
        <v>1.7317105006239981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20</v>
      </c>
      <c r="F8342" t="s">
        <v>74</v>
      </c>
      <c r="G8342" t="str">
        <f t="shared" si="340"/>
        <v>007VENDELA</v>
      </c>
      <c r="H8342" s="5">
        <f>VLOOKUP(G8342,[3]Astroflores!$G$2:$H$109,2,FALSE)</f>
        <v>8190</v>
      </c>
      <c r="I8342" s="6">
        <v>3592.9793102011122</v>
      </c>
      <c r="J8342" s="5">
        <v>27820</v>
      </c>
      <c r="K8342" s="6">
        <f t="shared" si="341"/>
        <v>2.2794453552090106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79</v>
      </c>
      <c r="F8343" t="s">
        <v>67</v>
      </c>
      <c r="G8343" t="str">
        <f t="shared" si="340"/>
        <v>008DEEP PURPLE</v>
      </c>
      <c r="H8343" s="5">
        <f>VLOOKUP(G8343,[3]Astroflores!$G$2:$H$109,2,FALSE)</f>
        <v>3390</v>
      </c>
      <c r="I8343" s="6">
        <v>1585.2222221588099</v>
      </c>
      <c r="J8343" s="5">
        <v>11490</v>
      </c>
      <c r="K8343" s="6">
        <f t="shared" si="341"/>
        <v>2.1385014369678603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79</v>
      </c>
      <c r="F8344" t="s">
        <v>81</v>
      </c>
      <c r="G8344" t="str">
        <f t="shared" si="340"/>
        <v>008FREEDOM</v>
      </c>
      <c r="H8344" s="5">
        <f>VLOOKUP(G8344,[3]Astroflores!$G$2:$H$109,2,FALSE)</f>
        <v>3090</v>
      </c>
      <c r="I8344" s="6">
        <v>2219.311111022334</v>
      </c>
      <c r="J8344" s="5">
        <v>16800</v>
      </c>
      <c r="K8344" s="6">
        <f t="shared" si="341"/>
        <v>1.3923239444228168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79</v>
      </c>
      <c r="F8345" t="s">
        <v>68</v>
      </c>
      <c r="G8345" t="str">
        <f t="shared" si="340"/>
        <v>008JOCKER</v>
      </c>
      <c r="H8345" s="5">
        <f>VLOOKUP(G8345,[3]Astroflores!$G$2:$H$109,2,FALSE)</f>
        <v>3350</v>
      </c>
      <c r="I8345" s="6">
        <v>2959.0814813631118</v>
      </c>
      <c r="J8345" s="5">
        <v>22400</v>
      </c>
      <c r="K8345" s="6">
        <f t="shared" si="341"/>
        <v>1.1321080616059311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82</v>
      </c>
      <c r="F8346" t="s">
        <v>83</v>
      </c>
      <c r="G8346" t="str">
        <f t="shared" si="340"/>
        <v>010COOLDOWN</v>
      </c>
      <c r="H8346" s="5">
        <f>VLOOKUP(G8346,[3]Astroflores!$G$2:$H$109,2,FALSE)</f>
        <v>2725</v>
      </c>
      <c r="I8346" s="6">
        <v>1912.3542857142861</v>
      </c>
      <c r="J8346" s="5">
        <v>16320</v>
      </c>
      <c r="K8346" s="6">
        <f t="shared" si="341"/>
        <v>1.4249451685581269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82</v>
      </c>
      <c r="F8347" t="s">
        <v>84</v>
      </c>
      <c r="G8347" t="str">
        <f t="shared" si="340"/>
        <v>010VIOLET HILL</v>
      </c>
      <c r="H8347" s="5">
        <f>VLOOKUP(G8347,[3]Astroflores!$G$2:$H$109,2,FALSE)</f>
        <v>3450</v>
      </c>
      <c r="I8347" s="6">
        <v>2812.2857142428579</v>
      </c>
      <c r="J8347" s="5">
        <v>20000</v>
      </c>
      <c r="K8347" s="6">
        <f t="shared" si="341"/>
        <v>1.2267601341241503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85</v>
      </c>
      <c r="F8348" t="s">
        <v>86</v>
      </c>
      <c r="G8348" t="str">
        <f t="shared" si="340"/>
        <v>011BRIGHTON</v>
      </c>
      <c r="H8348" s="5">
        <f>VLOOKUP(G8348,[3]Astroflores!$G$2:$H$109,2,FALSE)</f>
        <v>2850</v>
      </c>
      <c r="I8348" s="6">
        <v>1768.8376470588223</v>
      </c>
      <c r="J8348" s="5">
        <v>12800</v>
      </c>
      <c r="K8348" s="6">
        <f t="shared" si="341"/>
        <v>1.6112275791613246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85</v>
      </c>
      <c r="F8349" t="s">
        <v>87</v>
      </c>
      <c r="G8349" t="str">
        <f t="shared" si="340"/>
        <v>011CANDLELIGHT</v>
      </c>
      <c r="H8349" s="5">
        <f>VLOOKUP(G8349,[3]Astroflores!$G$2:$H$109,2,FALSE)</f>
        <v>4820</v>
      </c>
      <c r="I8349" s="6">
        <v>2263.7999998868127</v>
      </c>
      <c r="J8349" s="5">
        <v>17920</v>
      </c>
      <c r="K8349" s="6">
        <f t="shared" si="341"/>
        <v>2.1291633537596053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85</v>
      </c>
      <c r="F8350" t="s">
        <v>88</v>
      </c>
      <c r="G8350" t="str">
        <f t="shared" si="340"/>
        <v>011CAYENNE</v>
      </c>
      <c r="H8350" s="5">
        <f>VLOOKUP(G8350,[3]Astroflores!$G$2:$H$109,2,FALSE)</f>
        <v>1740</v>
      </c>
      <c r="I8350" s="6">
        <v>994.97117647058747</v>
      </c>
      <c r="J8350" s="5">
        <v>7200</v>
      </c>
      <c r="K8350" s="6">
        <f t="shared" si="341"/>
        <v>1.7487943783177888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85</v>
      </c>
      <c r="F8351" t="s">
        <v>61</v>
      </c>
      <c r="G8351" t="str">
        <f t="shared" si="340"/>
        <v>011LUMIA</v>
      </c>
      <c r="H8351" s="5">
        <f>VLOOKUP(G8351,[3]Astroflores!$G$2:$H$109,2,FALSE)</f>
        <v>1290</v>
      </c>
      <c r="I8351" s="6">
        <v>994.97117647058747</v>
      </c>
      <c r="J8351" s="5">
        <v>7920</v>
      </c>
      <c r="K8351" s="6">
        <f t="shared" si="341"/>
        <v>1.2965199701321539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85</v>
      </c>
      <c r="F8352" t="s">
        <v>89</v>
      </c>
      <c r="G8352" t="str">
        <f t="shared" si="340"/>
        <v>011STARDUST</v>
      </c>
      <c r="H8352" s="5">
        <f>VLOOKUP(G8352,[3]Astroflores!$G$2:$H$109,2,FALSE)</f>
        <v>2275</v>
      </c>
      <c r="I8352" s="6">
        <v>2263.7999998868127</v>
      </c>
      <c r="J8352" s="5">
        <v>17920</v>
      </c>
      <c r="K8352" s="6">
        <f t="shared" si="341"/>
        <v>1.0049474335691082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90</v>
      </c>
      <c r="F8353" t="s">
        <v>67</v>
      </c>
      <c r="G8353" t="str">
        <f t="shared" si="340"/>
        <v>012DEEP PURPLE</v>
      </c>
      <c r="H8353" s="5">
        <f>VLOOKUP(G8353,[3]Astroflores!$G$2:$H$109,2,FALSE)</f>
        <v>11160</v>
      </c>
      <c r="I8353" s="6">
        <v>6727.0499997982479</v>
      </c>
      <c r="J8353" s="5">
        <v>49210</v>
      </c>
      <c r="K8353" s="6">
        <f t="shared" si="341"/>
        <v>1.6589738444540625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90</v>
      </c>
      <c r="F8354" t="s">
        <v>60</v>
      </c>
      <c r="G8354" t="str">
        <f t="shared" si="340"/>
        <v>012LIGHT HOUSE</v>
      </c>
      <c r="H8354" s="5">
        <f>VLOOKUP(G8354,[3]Astroflores!$G$2:$H$109,2,FALSE)</f>
        <v>1500</v>
      </c>
      <c r="I8354" s="6">
        <v>994.95</v>
      </c>
      <c r="J8354" s="5">
        <v>7200</v>
      </c>
      <c r="K8354" s="6">
        <f t="shared" si="341"/>
        <v>1.5076134479119554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91</v>
      </c>
      <c r="F8355" t="s">
        <v>92</v>
      </c>
      <c r="G8355" t="str">
        <f t="shared" si="340"/>
        <v>013COUNTRY BLUES</v>
      </c>
      <c r="H8355" s="5">
        <f>VLOOKUP(G8355,[3]Astroflores!$G$2:$H$109,2,FALSE)</f>
        <v>1460</v>
      </c>
      <c r="I8355" s="6">
        <v>831.6</v>
      </c>
      <c r="J8355" s="5">
        <v>6300</v>
      </c>
      <c r="K8355" s="6">
        <f t="shared" si="341"/>
        <v>1.7556517556517557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91</v>
      </c>
      <c r="F8356" t="s">
        <v>93</v>
      </c>
      <c r="G8356" t="str">
        <f t="shared" si="340"/>
        <v>013LORRAINE</v>
      </c>
      <c r="H8356" s="5">
        <f>VLOOKUP(G8356,[3]Astroflores!$G$2:$H$109,2,FALSE)</f>
        <v>3475</v>
      </c>
      <c r="I8356" s="6">
        <v>1267.2</v>
      </c>
      <c r="J8356" s="5">
        <v>9600</v>
      </c>
      <c r="K8356" s="6">
        <f t="shared" si="341"/>
        <v>2.7422664141414139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91</v>
      </c>
      <c r="F8357" t="s">
        <v>61</v>
      </c>
      <c r="G8357" t="str">
        <f t="shared" si="340"/>
        <v>013LUMIA</v>
      </c>
      <c r="H8357" s="5">
        <f>VLOOKUP(G8357,[3]Astroflores!$G$2:$H$109,2,FALSE)</f>
        <v>420</v>
      </c>
      <c r="I8357" s="6">
        <v>316.8</v>
      </c>
      <c r="J8357" s="5">
        <v>2400</v>
      </c>
      <c r="K8357" s="6">
        <f t="shared" si="341"/>
        <v>1.3257575757575757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91</v>
      </c>
      <c r="F8358" t="s">
        <v>74</v>
      </c>
      <c r="G8358" t="str">
        <f t="shared" si="340"/>
        <v>013VENDELA</v>
      </c>
      <c r="H8358" s="5">
        <f>VLOOKUP(G8358,[3]Astroflores!$G$2:$H$109,2,FALSE)</f>
        <v>10410</v>
      </c>
      <c r="I8358" s="6">
        <v>3603.6</v>
      </c>
      <c r="J8358" s="5">
        <v>27296</v>
      </c>
      <c r="K8358" s="6">
        <f t="shared" si="341"/>
        <v>2.8887778887778888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23</v>
      </c>
      <c r="F8359" t="s">
        <v>89</v>
      </c>
      <c r="G8359" t="str">
        <f t="shared" si="340"/>
        <v>014STARDUST</v>
      </c>
      <c r="H8359" s="5">
        <f>VLOOKUP(G8359,[3]Astroflores!$G$2:$H$109,2,FALSE)</f>
        <v>4800</v>
      </c>
      <c r="I8359" s="6">
        <v>3682.8</v>
      </c>
      <c r="J8359" s="5">
        <v>27900</v>
      </c>
      <c r="K8359" s="6">
        <f t="shared" si="341"/>
        <v>1.3033561420658195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25</v>
      </c>
      <c r="F8360" t="s">
        <v>68</v>
      </c>
      <c r="G8360" t="str">
        <f t="shared" si="340"/>
        <v>015JOCKER</v>
      </c>
      <c r="H8360" s="5">
        <f>VLOOKUP(G8360,[3]Astroflores!$G$2:$H$109,2,FALSE)</f>
        <v>3475</v>
      </c>
      <c r="I8360" s="6">
        <v>2376</v>
      </c>
      <c r="J8360" s="5">
        <v>18000</v>
      </c>
      <c r="K8360" s="6">
        <f t="shared" si="341"/>
        <v>1.4625420875420876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27</v>
      </c>
      <c r="F8361" t="s">
        <v>94</v>
      </c>
      <c r="G8361" t="str">
        <f t="shared" si="340"/>
        <v>016DREAM IN PEACH</v>
      </c>
      <c r="H8361" s="5">
        <f>VLOOKUP(G8361,[3]Astroflores!$G$2:$H$109,2,FALSE)</f>
        <v>1440</v>
      </c>
      <c r="I8361" s="6">
        <v>950.4</v>
      </c>
      <c r="J8361" s="5">
        <v>7200</v>
      </c>
      <c r="K8361" s="6">
        <f t="shared" si="341"/>
        <v>1.5151515151515151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27</v>
      </c>
      <c r="F8362" t="s">
        <v>95</v>
      </c>
      <c r="G8362" t="str">
        <f t="shared" si="340"/>
        <v>016NINA</v>
      </c>
      <c r="H8362" s="5">
        <f>VLOOKUP(G8362,[3]Astroflores!$G$2:$H$109,2,FALSE)</f>
        <v>3150</v>
      </c>
      <c r="I8362" s="6">
        <v>1346.4</v>
      </c>
      <c r="J8362" s="5">
        <v>10200</v>
      </c>
      <c r="K8362" s="6">
        <f t="shared" si="341"/>
        <v>2.3395721925133688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30</v>
      </c>
      <c r="F8363" t="s">
        <v>81</v>
      </c>
      <c r="G8363" t="str">
        <f t="shared" si="340"/>
        <v>017FREEDOM</v>
      </c>
      <c r="H8363" s="5">
        <f>VLOOKUP(G8363,[3]Astroflores!$G$2:$H$109,2,FALSE)</f>
        <v>5640</v>
      </c>
      <c r="I8363" s="6">
        <v>2851.2</v>
      </c>
      <c r="J8363" s="5">
        <v>21600</v>
      </c>
      <c r="K8363" s="6">
        <f t="shared" si="341"/>
        <v>1.9781144781144782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30</v>
      </c>
      <c r="F8364" t="s">
        <v>73</v>
      </c>
      <c r="G8364" t="str">
        <f t="shared" si="340"/>
        <v>017GOLDFINCH</v>
      </c>
      <c r="H8364" s="5">
        <f>VLOOKUP(G8364,[3]Astroflores!$G$2:$H$109,2,FALSE)</f>
        <v>3600</v>
      </c>
      <c r="I8364" s="6">
        <v>2138.4</v>
      </c>
      <c r="J8364" s="5">
        <v>16200</v>
      </c>
      <c r="K8364" s="6">
        <f t="shared" si="341"/>
        <v>1.6835016835016834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32</v>
      </c>
      <c r="F8365" t="s">
        <v>86</v>
      </c>
      <c r="G8365" t="str">
        <f t="shared" si="340"/>
        <v>018BRIGHTON</v>
      </c>
      <c r="H8365" s="5">
        <f>VLOOKUP(G8365,[3]Astroflores!$G$2:$H$109,2,FALSE)</f>
        <v>1225</v>
      </c>
      <c r="I8365" s="6">
        <v>963.6</v>
      </c>
      <c r="J8365" s="5">
        <v>7570</v>
      </c>
      <c r="K8365" s="6">
        <f t="shared" si="341"/>
        <v>1.2712743877127439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35</v>
      </c>
      <c r="F8366" t="s">
        <v>86</v>
      </c>
      <c r="G8366" t="str">
        <f t="shared" si="340"/>
        <v>019BRIGHTON</v>
      </c>
      <c r="H8366" s="5">
        <f>VLOOKUP(G8366,[3]Astroflores!$G$2:$H$109,2,FALSE)</f>
        <v>7525</v>
      </c>
      <c r="I8366" s="6">
        <v>3168</v>
      </c>
      <c r="J8366" s="5">
        <v>24000</v>
      </c>
      <c r="K8366" s="6">
        <f t="shared" si="341"/>
        <v>2.3753156565656566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35</v>
      </c>
      <c r="F8367" t="s">
        <v>96</v>
      </c>
      <c r="G8367" t="str">
        <f t="shared" si="340"/>
        <v>019TABATHA</v>
      </c>
      <c r="H8367" s="5">
        <f>VLOOKUP(G8367,[3]Astroflores!$G$2:$H$109,2,FALSE)</f>
        <v>2730</v>
      </c>
      <c r="I8367" s="6">
        <v>1188</v>
      </c>
      <c r="J8367" s="5">
        <v>9000</v>
      </c>
      <c r="K8367" s="6">
        <f t="shared" si="341"/>
        <v>2.297979797979798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36</v>
      </c>
      <c r="F8368" t="s">
        <v>86</v>
      </c>
      <c r="G8368" t="str">
        <f t="shared" si="340"/>
        <v>020BRIGHTON</v>
      </c>
      <c r="H8368" s="5">
        <f>VLOOKUP(G8368,[3]Astroflores!$G$2:$H$109,2,FALSE)</f>
        <v>3550</v>
      </c>
      <c r="I8368" s="6">
        <v>2732.4</v>
      </c>
      <c r="J8368" s="5">
        <v>20700</v>
      </c>
      <c r="K8368" s="6">
        <f t="shared" si="341"/>
        <v>1.2992241253110819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36</v>
      </c>
      <c r="F8369" t="s">
        <v>97</v>
      </c>
      <c r="G8369" t="str">
        <f t="shared" si="340"/>
        <v>020TYCOON</v>
      </c>
      <c r="H8369" s="5">
        <f>VLOOKUP(G8369,[3]Astroflores!$G$2:$H$109,2,FALSE)</f>
        <v>960</v>
      </c>
      <c r="I8369" s="6">
        <v>673.2</v>
      </c>
      <c r="J8369" s="5">
        <v>5100</v>
      </c>
      <c r="K8369" s="6">
        <f t="shared" si="341"/>
        <v>1.4260249554367201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38</v>
      </c>
      <c r="F8370" t="s">
        <v>98</v>
      </c>
      <c r="G8370" t="str">
        <f t="shared" si="340"/>
        <v>021SHOW GIRL</v>
      </c>
      <c r="H8370" s="5">
        <f>VLOOKUP(G8370,[3]Astroflores!$G$2:$H$109,2,FALSE)</f>
        <v>1550</v>
      </c>
      <c r="I8370" s="6">
        <v>1100.4749999999999</v>
      </c>
      <c r="J8370" s="5">
        <v>8000</v>
      </c>
      <c r="K8370" s="6">
        <f t="shared" si="341"/>
        <v>1.4084827006519913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43</v>
      </c>
      <c r="F8371" t="s">
        <v>99</v>
      </c>
      <c r="G8371" t="str">
        <f t="shared" si="340"/>
        <v>022CORAL REEF</v>
      </c>
      <c r="H8371" s="5">
        <f>VLOOKUP(G8371,[3]Astroflores!$G$2:$H$109,2,FALSE)</f>
        <v>2575</v>
      </c>
      <c r="I8371" s="6">
        <v>1287</v>
      </c>
      <c r="J8371" s="5">
        <v>9400</v>
      </c>
      <c r="K8371" s="6">
        <f t="shared" si="341"/>
        <v>2.0007770007770009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100</v>
      </c>
      <c r="F8372" t="s">
        <v>70</v>
      </c>
      <c r="G8372" t="str">
        <f t="shared" si="340"/>
        <v>023COTOPAXI</v>
      </c>
      <c r="H8372" s="5">
        <f>VLOOKUP(G8372,[3]Astroflores!$G$2:$H$109,2,FALSE)</f>
        <v>5820</v>
      </c>
      <c r="I8372" s="6">
        <v>2641.14</v>
      </c>
      <c r="J8372" s="5">
        <v>19200</v>
      </c>
      <c r="K8372" s="6">
        <f t="shared" si="341"/>
        <v>2.2035939026329538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100</v>
      </c>
      <c r="F8373" t="s">
        <v>101</v>
      </c>
      <c r="G8373" t="str">
        <f t="shared" si="340"/>
        <v>023FRUTTETO</v>
      </c>
      <c r="H8373" s="5">
        <f>VLOOKUP(G8373,[3]Astroflores!$G$2:$H$109,2,FALSE)</f>
        <v>5490</v>
      </c>
      <c r="I8373" s="6">
        <v>2641.14</v>
      </c>
      <c r="J8373" s="5">
        <v>19200</v>
      </c>
      <c r="K8373" s="6">
        <f t="shared" si="341"/>
        <v>2.0786478566073741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102</v>
      </c>
      <c r="F8374" t="s">
        <v>70</v>
      </c>
      <c r="G8374" t="str">
        <f t="shared" si="340"/>
        <v>024COTOPAXI</v>
      </c>
      <c r="H8374" s="5">
        <f>VLOOKUP(G8374,[3]Astroflores!$G$2:$H$109,2,FALSE)</f>
        <v>3090</v>
      </c>
      <c r="I8374" s="6">
        <v>1430.6174906250001</v>
      </c>
      <c r="J8374" s="5">
        <v>10400</v>
      </c>
      <c r="K8374" s="6">
        <f t="shared" si="341"/>
        <v>2.1599064881067953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102</v>
      </c>
      <c r="F8375" t="s">
        <v>64</v>
      </c>
      <c r="G8375" t="str">
        <f t="shared" ref="G8375:G8437" si="342">+E8375&amp;F8375</f>
        <v>024SWEETNESS</v>
      </c>
      <c r="H8375" s="5">
        <f>VLOOKUP(G8375,[3]Astroflores!$G$2:$H$109,2,FALSE)</f>
        <v>1560</v>
      </c>
      <c r="I8375" s="6">
        <v>1430.6175000000001</v>
      </c>
      <c r="J8375" s="5">
        <v>10400</v>
      </c>
      <c r="K8375" s="6">
        <f t="shared" si="341"/>
        <v>1.0904382198596061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102</v>
      </c>
      <c r="F8376" t="s">
        <v>97</v>
      </c>
      <c r="G8376" t="str">
        <f t="shared" si="342"/>
        <v>024TYCOON</v>
      </c>
      <c r="H8376" s="5">
        <f>VLOOKUP(G8376,[3]Astroflores!$G$2:$H$109,2,FALSE)</f>
        <v>3780</v>
      </c>
      <c r="I8376" s="6">
        <v>2861.2350000000001</v>
      </c>
      <c r="J8376" s="5">
        <v>20800</v>
      </c>
      <c r="K8376" s="6">
        <f t="shared" si="341"/>
        <v>1.3211078432914458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103</v>
      </c>
      <c r="F8377" t="s">
        <v>104</v>
      </c>
      <c r="G8377" t="str">
        <f t="shared" si="342"/>
        <v>025PINK MONDIAL</v>
      </c>
      <c r="H8377" s="5">
        <f>VLOOKUP(G8377,[3]Astroflores!$G$2:$H$109,2,FALSE)</f>
        <v>4025</v>
      </c>
      <c r="I8377" s="6">
        <v>3071.9505625000002</v>
      </c>
      <c r="J8377" s="5">
        <v>22400</v>
      </c>
      <c r="K8377" s="6">
        <f t="shared" si="341"/>
        <v>1.3102424398146544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45</v>
      </c>
      <c r="F8378" t="s">
        <v>105</v>
      </c>
      <c r="G8378" t="str">
        <f t="shared" si="342"/>
        <v>026LOLA</v>
      </c>
      <c r="H8378" s="5">
        <f>VLOOKUP(G8378,[3]Astroflores!$G$2:$H$109,2,FALSE)</f>
        <v>6650</v>
      </c>
      <c r="I8378" s="6">
        <v>1097.125</v>
      </c>
      <c r="J8378" s="5">
        <v>8000</v>
      </c>
      <c r="K8378" s="6">
        <f t="shared" si="341"/>
        <v>6.0612965705822033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45</v>
      </c>
      <c r="F8379" t="s">
        <v>106</v>
      </c>
      <c r="G8379" t="str">
        <f t="shared" si="342"/>
        <v>026PALOMA</v>
      </c>
      <c r="H8379" s="5">
        <f>VLOOKUP(G8379,[3]Astroflores!$G$2:$H$109,2,FALSE)</f>
        <v>5225</v>
      </c>
      <c r="I8379" s="6">
        <v>2852.5250000000001</v>
      </c>
      <c r="J8379" s="5">
        <v>20800</v>
      </c>
      <c r="K8379" s="6">
        <f t="shared" si="341"/>
        <v>1.8317105020990174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107</v>
      </c>
      <c r="F8380" t="s">
        <v>108</v>
      </c>
      <c r="G8380" t="str">
        <f t="shared" si="342"/>
        <v>027SATISFACTION</v>
      </c>
      <c r="H8380" s="5">
        <f>VLOOKUP(G8380,[3]Astroflores!$G$2:$H$109,2,FALSE)</f>
        <v>3660</v>
      </c>
      <c r="I8380" s="6">
        <v>2633.1</v>
      </c>
      <c r="J8380" s="5">
        <v>19200</v>
      </c>
      <c r="K8380" s="6">
        <f t="shared" si="341"/>
        <v>1.3899965819756182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107</v>
      </c>
      <c r="F8381" t="s">
        <v>109</v>
      </c>
      <c r="G8381" t="str">
        <f t="shared" si="342"/>
        <v>027TIFFANY</v>
      </c>
      <c r="H8381" s="5">
        <f>VLOOKUP(G8381,[3]Astroflores!$G$2:$H$109,2,FALSE)</f>
        <v>3420</v>
      </c>
      <c r="I8381" s="6">
        <v>2633.1</v>
      </c>
      <c r="J8381" s="5">
        <v>19200</v>
      </c>
      <c r="K8381" s="6">
        <f t="shared" ref="K8381:K8420" si="343">+H8381/I8381</f>
        <v>1.2988492651247578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110</v>
      </c>
      <c r="F8382" t="s">
        <v>70</v>
      </c>
      <c r="G8382" t="str">
        <f t="shared" si="342"/>
        <v>028COTOPAXI</v>
      </c>
      <c r="H8382" s="5">
        <f>VLOOKUP(G8382,[3]Astroflores!$G$2:$H$109,2,FALSE)</f>
        <v>5100</v>
      </c>
      <c r="I8382" s="6">
        <v>2852.5250000000001</v>
      </c>
      <c r="J8382" s="5">
        <v>20800</v>
      </c>
      <c r="K8382" s="6">
        <f t="shared" si="343"/>
        <v>1.7878896766899501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110</v>
      </c>
      <c r="F8383" t="s">
        <v>67</v>
      </c>
      <c r="G8383" t="str">
        <f t="shared" si="342"/>
        <v>028DEEP PURPLE</v>
      </c>
      <c r="H8383" s="5">
        <f>VLOOKUP(G8383,[3]Astroflores!$G$2:$H$109,2,FALSE)</f>
        <v>5970</v>
      </c>
      <c r="I8383" s="6">
        <v>2852.5250000000001</v>
      </c>
      <c r="J8383" s="5">
        <v>20800</v>
      </c>
      <c r="K8383" s="6">
        <f t="shared" si="343"/>
        <v>2.0928826215370591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111</v>
      </c>
      <c r="F8384" t="s">
        <v>112</v>
      </c>
      <c r="G8384" t="str">
        <f t="shared" si="342"/>
        <v>029PINK FLOYD</v>
      </c>
      <c r="H8384" s="5">
        <f>VLOOKUP(G8384,[3]Astroflores!$G$2:$H$109,2,FALSE)</f>
        <v>3950</v>
      </c>
      <c r="I8384" s="6">
        <v>3071.95</v>
      </c>
      <c r="J8384" s="5">
        <v>22400</v>
      </c>
      <c r="K8384" s="6">
        <f t="shared" si="343"/>
        <v>1.2858282198603495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47</v>
      </c>
      <c r="F8385" t="s">
        <v>57</v>
      </c>
      <c r="G8385" t="str">
        <f t="shared" si="342"/>
        <v>030EXPLORER</v>
      </c>
      <c r="H8385" s="5">
        <f>VLOOKUP(G8385,[3]Astroflores!$G$2:$H$109,2,FALSE)</f>
        <v>2775</v>
      </c>
      <c r="I8385" s="6">
        <v>1645.6875</v>
      </c>
      <c r="J8385" s="5">
        <v>12000</v>
      </c>
      <c r="K8385" s="6">
        <f t="shared" si="343"/>
        <v>1.6862253617409138</v>
      </c>
    </row>
    <row r="8386" spans="1:11">
      <c r="A8386" s="4">
        <v>2026</v>
      </c>
      <c r="B8386">
        <v>26</v>
      </c>
      <c r="C8386" t="s">
        <v>10</v>
      </c>
      <c r="D8386" t="s">
        <v>11</v>
      </c>
      <c r="E8386" t="s">
        <v>12</v>
      </c>
      <c r="F8386" t="s">
        <v>13</v>
      </c>
      <c r="G8386" t="str">
        <f t="shared" si="342"/>
        <v>002SOMERSET</v>
      </c>
      <c r="H8386" s="5">
        <f>VLOOKUP(G8386,[4]Astroflores!$G$2:$H$109,2,FALSE)</f>
        <v>8260</v>
      </c>
      <c r="I8386" s="6">
        <v>4121.4642855494085</v>
      </c>
      <c r="J8386" s="5">
        <v>31200</v>
      </c>
      <c r="K8386" s="6">
        <f t="shared" si="343"/>
        <v>2.0041420785716957</v>
      </c>
    </row>
    <row r="8387" spans="1:11">
      <c r="A8387" s="4">
        <v>2026</v>
      </c>
      <c r="B8387">
        <v>26</v>
      </c>
      <c r="C8387" t="s">
        <v>10</v>
      </c>
      <c r="D8387" t="s">
        <v>11</v>
      </c>
      <c r="E8387" t="s">
        <v>14</v>
      </c>
      <c r="F8387" t="s">
        <v>15</v>
      </c>
      <c r="G8387" t="str">
        <f t="shared" si="342"/>
        <v>004BELLINA</v>
      </c>
      <c r="H8387" s="5">
        <f>VLOOKUP(G8387,[4]Astroflores!$G$2:$H$109,2,FALSE)</f>
        <v>1950</v>
      </c>
      <c r="I8387" s="6">
        <v>1056.7857142434418</v>
      </c>
      <c r="J8387" s="5">
        <v>8000</v>
      </c>
      <c r="K8387" s="6">
        <f t="shared" si="343"/>
        <v>1.8452179791207859</v>
      </c>
    </row>
    <row r="8388" spans="1:11">
      <c r="A8388" s="4">
        <v>2026</v>
      </c>
      <c r="B8388">
        <v>26</v>
      </c>
      <c r="C8388" t="s">
        <v>10</v>
      </c>
      <c r="D8388" t="s">
        <v>11</v>
      </c>
      <c r="E8388" t="s">
        <v>16</v>
      </c>
      <c r="F8388" t="s">
        <v>17</v>
      </c>
      <c r="G8388" t="str">
        <f t="shared" si="342"/>
        <v>005ELBA</v>
      </c>
      <c r="H8388" s="5">
        <f>VLOOKUP(G8388,[4]Astroflores!$G$2:$H$109,2,FALSE)</f>
        <v>7230</v>
      </c>
      <c r="I8388" s="6">
        <v>2641.9642856076484</v>
      </c>
      <c r="J8388" s="5">
        <v>19996</v>
      </c>
      <c r="K8388" s="6">
        <f t="shared" si="343"/>
        <v>2.7366002028816636</v>
      </c>
    </row>
    <row r="8389" spans="1:11">
      <c r="A8389" s="4">
        <v>2026</v>
      </c>
      <c r="B8389">
        <v>26</v>
      </c>
      <c r="C8389" t="s">
        <v>10</v>
      </c>
      <c r="D8389" t="s">
        <v>11</v>
      </c>
      <c r="E8389" t="s">
        <v>16</v>
      </c>
      <c r="F8389" t="s">
        <v>18</v>
      </c>
      <c r="G8389" t="str">
        <f t="shared" si="342"/>
        <v>005HOT BUBBLES</v>
      </c>
      <c r="H8389" s="5">
        <f>VLOOKUP(G8389,[4]Astroflores!$G$2:$H$109,2,FALSE)</f>
        <v>1300</v>
      </c>
      <c r="I8389" s="6">
        <v>528.39285712153003</v>
      </c>
      <c r="J8389" s="5">
        <v>4000</v>
      </c>
      <c r="K8389" s="6">
        <f t="shared" si="343"/>
        <v>2.4602906388286034</v>
      </c>
    </row>
    <row r="8390" spans="1:11">
      <c r="A8390" s="4">
        <v>2026</v>
      </c>
      <c r="B8390">
        <v>26</v>
      </c>
      <c r="C8390" t="s">
        <v>10</v>
      </c>
      <c r="D8390" t="s">
        <v>11</v>
      </c>
      <c r="E8390" t="s">
        <v>16</v>
      </c>
      <c r="F8390" t="s">
        <v>19</v>
      </c>
      <c r="G8390" t="str">
        <f t="shared" si="342"/>
        <v>005SUSPIRO</v>
      </c>
      <c r="H8390" s="5">
        <f>VLOOKUP(G8390,[4]Astroflores!$G$2:$H$109,2,FALSE)</f>
        <v>3330</v>
      </c>
      <c r="I8390" s="6">
        <v>1902.2142856375078</v>
      </c>
      <c r="J8390" s="5">
        <v>14400</v>
      </c>
      <c r="K8390" s="6">
        <f t="shared" si="343"/>
        <v>1.7505914160895832</v>
      </c>
    </row>
    <row r="8391" spans="1:11">
      <c r="A8391" s="4">
        <v>2026</v>
      </c>
      <c r="B8391">
        <v>26</v>
      </c>
      <c r="C8391" t="s">
        <v>10</v>
      </c>
      <c r="D8391" t="s">
        <v>11</v>
      </c>
      <c r="E8391" t="s">
        <v>20</v>
      </c>
      <c r="F8391" t="s">
        <v>21</v>
      </c>
      <c r="G8391" t="str">
        <f t="shared" si="342"/>
        <v>007SNOW BUBBLES</v>
      </c>
      <c r="H8391" s="5">
        <f>VLOOKUP(G8391,[4]Astroflores!$G$2:$H$109,2,FALSE)</f>
        <v>960</v>
      </c>
      <c r="I8391" s="6">
        <v>634.05652706821195</v>
      </c>
      <c r="J8391" s="5">
        <v>4800</v>
      </c>
      <c r="K8391" s="6">
        <f t="shared" si="343"/>
        <v>1.5140605908418052</v>
      </c>
    </row>
    <row r="8392" spans="1:11">
      <c r="A8392" s="4">
        <v>2026</v>
      </c>
      <c r="B8392">
        <v>26</v>
      </c>
      <c r="C8392" t="s">
        <v>10</v>
      </c>
      <c r="D8392" t="s">
        <v>11</v>
      </c>
      <c r="E8392" t="s">
        <v>22</v>
      </c>
      <c r="F8392" t="s">
        <v>18</v>
      </c>
      <c r="G8392" t="str">
        <f t="shared" si="342"/>
        <v>009HOT BUBBLES</v>
      </c>
      <c r="H8392" s="5">
        <f>VLOOKUP(G8392,[4]Astroflores!$G$2:$H$109,2,FALSE)</f>
        <v>13480</v>
      </c>
      <c r="I8392" s="6">
        <v>4487.9999999102474</v>
      </c>
      <c r="J8392" s="5">
        <v>31740</v>
      </c>
      <c r="K8392" s="6">
        <f t="shared" si="343"/>
        <v>3.0035650624486583</v>
      </c>
    </row>
    <row r="8393" spans="1:11">
      <c r="A8393" s="4">
        <v>2026</v>
      </c>
      <c r="B8393">
        <v>26</v>
      </c>
      <c r="C8393" t="s">
        <v>10</v>
      </c>
      <c r="D8393" t="s">
        <v>11</v>
      </c>
      <c r="E8393" t="s">
        <v>23</v>
      </c>
      <c r="F8393" t="s">
        <v>24</v>
      </c>
      <c r="G8393" t="str">
        <f t="shared" si="342"/>
        <v>014FRUITY BUBBLES</v>
      </c>
      <c r="H8393" s="5">
        <f>VLOOKUP(G8393,[4]Astroflores!$G$2:$H$109,2,FALSE)</f>
        <v>4200</v>
      </c>
      <c r="I8393" s="6">
        <v>1702.8</v>
      </c>
      <c r="J8393" s="5">
        <v>12900</v>
      </c>
      <c r="K8393" s="6">
        <f t="shared" si="343"/>
        <v>2.4665257223396759</v>
      </c>
    </row>
    <row r="8394" spans="1:11">
      <c r="A8394" s="4">
        <v>2026</v>
      </c>
      <c r="B8394">
        <v>26</v>
      </c>
      <c r="C8394" t="s">
        <v>10</v>
      </c>
      <c r="D8394" t="s">
        <v>11</v>
      </c>
      <c r="E8394" t="s">
        <v>25</v>
      </c>
      <c r="F8394" t="s">
        <v>26</v>
      </c>
      <c r="G8394" t="str">
        <f t="shared" si="342"/>
        <v>015FELLINI</v>
      </c>
      <c r="H8394" s="5">
        <f>VLOOKUP(G8394,[4]Astroflores!$G$2:$H$109,2,FALSE)</f>
        <v>7175</v>
      </c>
      <c r="I8394" s="6">
        <v>3009.6</v>
      </c>
      <c r="J8394" s="5">
        <v>22800</v>
      </c>
      <c r="K8394" s="6">
        <f t="shared" si="343"/>
        <v>2.3840377458798514</v>
      </c>
    </row>
    <row r="8395" spans="1:11">
      <c r="A8395" s="4">
        <v>2026</v>
      </c>
      <c r="B8395">
        <v>26</v>
      </c>
      <c r="C8395" t="s">
        <v>10</v>
      </c>
      <c r="D8395" t="s">
        <v>11</v>
      </c>
      <c r="E8395" t="s">
        <v>27</v>
      </c>
      <c r="F8395" t="s">
        <v>28</v>
      </c>
      <c r="G8395" t="str">
        <f t="shared" si="342"/>
        <v>016GOOD PEACH</v>
      </c>
      <c r="H8395" s="5">
        <f>VLOOKUP(G8395,[4]Astroflores!$G$2:$H$109,2,FALSE)</f>
        <v>3330</v>
      </c>
      <c r="I8395" s="6">
        <v>1386</v>
      </c>
      <c r="J8395" s="5">
        <v>10500</v>
      </c>
      <c r="K8395" s="6">
        <f t="shared" si="343"/>
        <v>2.4025974025974026</v>
      </c>
    </row>
    <row r="8396" spans="1:11">
      <c r="A8396" s="4">
        <v>2026</v>
      </c>
      <c r="B8396">
        <v>26</v>
      </c>
      <c r="C8396" t="s">
        <v>10</v>
      </c>
      <c r="D8396" t="s">
        <v>11</v>
      </c>
      <c r="E8396" t="s">
        <v>27</v>
      </c>
      <c r="F8396" t="s">
        <v>29</v>
      </c>
      <c r="G8396" t="str">
        <f t="shared" si="342"/>
        <v>016GOOD YELLOW</v>
      </c>
      <c r="H8396" s="5">
        <f>VLOOKUP(G8396,[4]Astroflores!$G$2:$H$109,2,FALSE)</f>
        <v>4560</v>
      </c>
      <c r="I8396" s="6">
        <v>1386</v>
      </c>
      <c r="J8396" s="5">
        <v>10500</v>
      </c>
      <c r="K8396" s="6">
        <f t="shared" si="343"/>
        <v>3.2900432900432901</v>
      </c>
    </row>
    <row r="8397" spans="1:11">
      <c r="A8397" s="4">
        <v>2026</v>
      </c>
      <c r="B8397">
        <v>26</v>
      </c>
      <c r="C8397" t="s">
        <v>10</v>
      </c>
      <c r="D8397" t="s">
        <v>11</v>
      </c>
      <c r="E8397" t="s">
        <v>30</v>
      </c>
      <c r="F8397" t="s">
        <v>31</v>
      </c>
      <c r="G8397" t="str">
        <f t="shared" si="342"/>
        <v>017ORANGE STAR</v>
      </c>
      <c r="H8397" s="5">
        <f>VLOOKUP(G8397,[4]Astroflores!$G$2:$H$109,2,FALSE)</f>
        <v>1900</v>
      </c>
      <c r="I8397" s="6">
        <v>1029.5999999999999</v>
      </c>
      <c r="J8397" s="5">
        <v>7800</v>
      </c>
      <c r="K8397" s="6">
        <f t="shared" si="343"/>
        <v>1.8453768453768455</v>
      </c>
    </row>
    <row r="8398" spans="1:11">
      <c r="A8398" s="4">
        <v>2026</v>
      </c>
      <c r="B8398">
        <v>26</v>
      </c>
      <c r="C8398" t="s">
        <v>10</v>
      </c>
      <c r="D8398" t="s">
        <v>11</v>
      </c>
      <c r="E8398" t="s">
        <v>32</v>
      </c>
      <c r="F8398" t="s">
        <v>33</v>
      </c>
      <c r="G8398" t="str">
        <f t="shared" si="342"/>
        <v>018COSMO</v>
      </c>
      <c r="H8398" s="5">
        <f>VLOOKUP(G8398,[4]Astroflores!$G$2:$H$109,2,FALSE)</f>
        <v>2925</v>
      </c>
      <c r="I8398" s="6">
        <v>2653.2</v>
      </c>
      <c r="J8398" s="5">
        <v>20100</v>
      </c>
      <c r="K8398" s="6">
        <f t="shared" si="343"/>
        <v>1.1024423337856175</v>
      </c>
    </row>
    <row r="8399" spans="1:11">
      <c r="A8399" s="4">
        <v>2026</v>
      </c>
      <c r="B8399">
        <v>26</v>
      </c>
      <c r="C8399" t="s">
        <v>10</v>
      </c>
      <c r="D8399" t="s">
        <v>11</v>
      </c>
      <c r="E8399" t="s">
        <v>32</v>
      </c>
      <c r="F8399" t="s">
        <v>34</v>
      </c>
      <c r="G8399" t="str">
        <f t="shared" si="342"/>
        <v>018RUBICON</v>
      </c>
      <c r="H8399" s="5">
        <f>VLOOKUP(G8399,[4]Astroflores!$G$2:$H$109,2,FALSE)</f>
        <v>7140</v>
      </c>
      <c r="I8399" s="6">
        <v>1768.8</v>
      </c>
      <c r="J8399" s="5">
        <v>13400</v>
      </c>
      <c r="K8399" s="6">
        <f t="shared" si="343"/>
        <v>4.0366350067842607</v>
      </c>
    </row>
    <row r="8400" spans="1:11">
      <c r="A8400" s="4">
        <v>2026</v>
      </c>
      <c r="B8400">
        <v>26</v>
      </c>
      <c r="C8400" t="s">
        <v>10</v>
      </c>
      <c r="D8400" t="s">
        <v>11</v>
      </c>
      <c r="E8400" t="s">
        <v>35</v>
      </c>
      <c r="F8400" t="s">
        <v>15</v>
      </c>
      <c r="G8400" t="str">
        <f t="shared" si="342"/>
        <v>019BELLINA</v>
      </c>
      <c r="H8400" s="5">
        <f>VLOOKUP(G8400,[4]Astroflores!$G$2:$H$109,2,FALSE)</f>
        <v>1800</v>
      </c>
      <c r="I8400" s="6">
        <v>1029.5999999999999</v>
      </c>
      <c r="J8400" s="5">
        <v>7800</v>
      </c>
      <c r="K8400" s="6">
        <f t="shared" si="343"/>
        <v>1.7482517482517483</v>
      </c>
    </row>
    <row r="8401" spans="1:11">
      <c r="A8401" s="4">
        <v>2026</v>
      </c>
      <c r="B8401">
        <v>26</v>
      </c>
      <c r="C8401" t="s">
        <v>10</v>
      </c>
      <c r="D8401" t="s">
        <v>11</v>
      </c>
      <c r="E8401" t="s">
        <v>36</v>
      </c>
      <c r="F8401" t="s">
        <v>37</v>
      </c>
      <c r="G8401" t="str">
        <f t="shared" si="342"/>
        <v>020SUMMER DANCE</v>
      </c>
      <c r="H8401" s="5">
        <f>VLOOKUP(G8401,[4]Astroflores!$G$2:$H$109,2,FALSE)</f>
        <v>3625</v>
      </c>
      <c r="I8401" s="6">
        <v>1346.4</v>
      </c>
      <c r="J8401" s="5">
        <v>10200</v>
      </c>
      <c r="K8401" s="6">
        <f t="shared" si="343"/>
        <v>2.6923648247177656</v>
      </c>
    </row>
    <row r="8402" spans="1:11">
      <c r="A8402" s="4">
        <v>2026</v>
      </c>
      <c r="B8402">
        <v>26</v>
      </c>
      <c r="C8402" t="s">
        <v>10</v>
      </c>
      <c r="D8402" t="s">
        <v>11</v>
      </c>
      <c r="E8402" t="s">
        <v>38</v>
      </c>
      <c r="F8402" t="s">
        <v>39</v>
      </c>
      <c r="G8402" t="str">
        <f t="shared" si="342"/>
        <v>021ELEGANT ROSEVER</v>
      </c>
      <c r="H8402" s="5">
        <f>VLOOKUP(G8402,[4]Astroflores!$G$2:$H$109,2,FALSE)</f>
        <v>630</v>
      </c>
      <c r="I8402" s="6">
        <v>440.18999062500001</v>
      </c>
      <c r="J8402" s="5">
        <v>3200</v>
      </c>
      <c r="K8402" s="6">
        <f t="shared" si="343"/>
        <v>1.431200194046893</v>
      </c>
    </row>
    <row r="8403" spans="1:11">
      <c r="A8403" s="4">
        <v>2026</v>
      </c>
      <c r="B8403">
        <v>26</v>
      </c>
      <c r="C8403" t="s">
        <v>10</v>
      </c>
      <c r="D8403" t="s">
        <v>11</v>
      </c>
      <c r="E8403" t="s">
        <v>38</v>
      </c>
      <c r="F8403" t="s">
        <v>40</v>
      </c>
      <c r="G8403" t="str">
        <f t="shared" si="342"/>
        <v>021FLAME CLUB</v>
      </c>
      <c r="H8403" s="5">
        <f>VLOOKUP(G8403,[4]Astroflores!$G$2:$H$109,2,FALSE)</f>
        <v>1700</v>
      </c>
      <c r="I8403" s="6">
        <v>880.38</v>
      </c>
      <c r="J8403" s="5">
        <v>6400</v>
      </c>
      <c r="K8403" s="6">
        <f t="shared" si="343"/>
        <v>1.9309843476680524</v>
      </c>
    </row>
    <row r="8404" spans="1:11">
      <c r="A8404" s="4">
        <v>2026</v>
      </c>
      <c r="B8404">
        <v>26</v>
      </c>
      <c r="C8404" t="s">
        <v>10</v>
      </c>
      <c r="D8404" t="s">
        <v>11</v>
      </c>
      <c r="E8404" t="s">
        <v>38</v>
      </c>
      <c r="F8404" t="s">
        <v>41</v>
      </c>
      <c r="G8404" t="str">
        <f t="shared" si="342"/>
        <v>021KELLY</v>
      </c>
      <c r="H8404" s="5">
        <f>VLOOKUP(G8404,[4]Astroflores!$G$2:$H$109,2,FALSE)</f>
        <v>775</v>
      </c>
      <c r="I8404" s="6">
        <v>330.14249999999998</v>
      </c>
      <c r="J8404" s="5">
        <v>2400</v>
      </c>
      <c r="K8404" s="6">
        <f t="shared" si="343"/>
        <v>2.3474711677533189</v>
      </c>
    </row>
    <row r="8405" spans="1:11">
      <c r="A8405" s="4">
        <v>2026</v>
      </c>
      <c r="B8405">
        <v>26</v>
      </c>
      <c r="C8405" t="s">
        <v>10</v>
      </c>
      <c r="D8405" t="s">
        <v>11</v>
      </c>
      <c r="E8405" t="s">
        <v>38</v>
      </c>
      <c r="F8405" t="s">
        <v>42</v>
      </c>
      <c r="G8405" t="str">
        <f t="shared" si="342"/>
        <v>021LEILA</v>
      </c>
      <c r="H8405" s="5">
        <f>VLOOKUP(G8405,[4]Astroflores!$G$2:$H$109,2,FALSE)</f>
        <v>1850</v>
      </c>
      <c r="I8405" s="6">
        <v>1650.7125000000001</v>
      </c>
      <c r="J8405" s="5">
        <v>12000</v>
      </c>
      <c r="K8405" s="6">
        <f t="shared" si="343"/>
        <v>1.1207281704112617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38</v>
      </c>
      <c r="F8406" t="s">
        <v>21</v>
      </c>
      <c r="G8406" t="str">
        <f t="shared" si="342"/>
        <v>021SNOW BUBBLES</v>
      </c>
      <c r="H8406" s="5">
        <f>VLOOKUP(G8406,[4]Astroflores!$G$2:$H$109,2,FALSE)</f>
        <v>1380</v>
      </c>
      <c r="I8406" s="6">
        <v>1287.0000000000018</v>
      </c>
      <c r="J8406" s="5">
        <v>9400</v>
      </c>
      <c r="K8406" s="6">
        <f t="shared" si="343"/>
        <v>1.0722610722610708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43</v>
      </c>
      <c r="F8407" t="s">
        <v>24</v>
      </c>
      <c r="G8407" t="str">
        <f t="shared" si="342"/>
        <v>022FRUITY BUBBLES</v>
      </c>
      <c r="H8407" s="5">
        <f>VLOOKUP(G8407,[4]Astroflores!$G$2:$H$109,2,FALSE)</f>
        <v>6050</v>
      </c>
      <c r="I8407" s="6">
        <v>2641.14</v>
      </c>
      <c r="J8407" s="5">
        <v>19200</v>
      </c>
      <c r="K8407" s="6">
        <f t="shared" si="343"/>
        <v>2.2906775104689641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43</v>
      </c>
      <c r="F8408" t="s">
        <v>28</v>
      </c>
      <c r="G8408" t="str">
        <f t="shared" si="342"/>
        <v>022GOOD PEACH</v>
      </c>
      <c r="H8408" s="5">
        <f>VLOOKUP(G8408,[4]Astroflores!$G$2:$H$109,2,FALSE)</f>
        <v>2130</v>
      </c>
      <c r="I8408" s="6">
        <v>880.38</v>
      </c>
      <c r="J8408" s="5">
        <v>6400</v>
      </c>
      <c r="K8408" s="6">
        <f t="shared" si="343"/>
        <v>2.4194098003135012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43</v>
      </c>
      <c r="F8409" t="s">
        <v>44</v>
      </c>
      <c r="G8409" t="str">
        <f t="shared" si="342"/>
        <v>022MIRABEL</v>
      </c>
      <c r="H8409" s="5">
        <f>VLOOKUP(G8409,[4]Astroflores!$G$2:$H$109,2,FALSE)</f>
        <v>1600</v>
      </c>
      <c r="I8409" s="6">
        <v>880.38</v>
      </c>
      <c r="J8409" s="5">
        <v>6400</v>
      </c>
      <c r="K8409" s="6">
        <f t="shared" si="343"/>
        <v>1.8173970330993434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45</v>
      </c>
      <c r="F8410" t="s">
        <v>46</v>
      </c>
      <c r="G8410" t="str">
        <f t="shared" si="342"/>
        <v>026PURPLE BUBBLY</v>
      </c>
      <c r="H8410" s="5" t="e">
        <f>VLOOKUP(G8410,[4]Astroflores!$G$2:$H$109,2,FALSE)</f>
        <v>#N/A</v>
      </c>
      <c r="I8410" s="6">
        <v>1755.4</v>
      </c>
      <c r="J8410" s="5">
        <v>12800</v>
      </c>
      <c r="K8410" s="6" t="e">
        <f t="shared" si="343"/>
        <v>#N/A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47</v>
      </c>
      <c r="F8411" t="s">
        <v>44</v>
      </c>
      <c r="G8411" t="str">
        <f t="shared" si="342"/>
        <v>030MIRABEL</v>
      </c>
      <c r="H8411" s="5">
        <f>VLOOKUP(G8411,[4]Astroflores!$G$2:$H$109,2,FALSE)</f>
        <v>6460</v>
      </c>
      <c r="I8411" s="6">
        <v>2413.6749943750001</v>
      </c>
      <c r="J8411" s="5">
        <v>17600</v>
      </c>
      <c r="K8411" s="6">
        <f t="shared" si="343"/>
        <v>2.676416673767116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47</v>
      </c>
      <c r="F8412" t="s">
        <v>13</v>
      </c>
      <c r="G8412" t="str">
        <f t="shared" si="342"/>
        <v>030SOMERSET</v>
      </c>
      <c r="H8412" s="5">
        <f>VLOOKUP(G8412,[4]Astroflores!$G$2:$H$109,2,FALSE)</f>
        <v>4080</v>
      </c>
      <c r="I8412" s="6">
        <v>1645.6875</v>
      </c>
      <c r="J8412" s="5">
        <v>12000</v>
      </c>
      <c r="K8412" s="6">
        <f t="shared" si="343"/>
        <v>2.4792070183433976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48</v>
      </c>
      <c r="F8413" t="s">
        <v>49</v>
      </c>
      <c r="G8413" t="str">
        <f t="shared" si="342"/>
        <v>03182989</v>
      </c>
      <c r="H8413" s="5">
        <f>VLOOKUP(G8413,[4]Astroflores!$G$2:$H$109,2,FALSE)</f>
        <v>3280</v>
      </c>
      <c r="I8413" s="6">
        <v>726.32013058333712</v>
      </c>
      <c r="J8413" s="5">
        <v>5712</v>
      </c>
      <c r="K8413" s="6">
        <f t="shared" si="343"/>
        <v>4.5159150378576172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48</v>
      </c>
      <c r="F8414" t="s">
        <v>34</v>
      </c>
      <c r="G8414" t="str">
        <f t="shared" si="342"/>
        <v>031RUBICON</v>
      </c>
      <c r="H8414" s="5">
        <f>VLOOKUP(G8414,[4]Astroflores!$G$2:$H$109,2,FALSE)</f>
        <v>3390</v>
      </c>
      <c r="I8414" s="6">
        <v>924.39958333667107</v>
      </c>
      <c r="J8414" s="5">
        <v>6720</v>
      </c>
      <c r="K8414" s="6">
        <f t="shared" si="343"/>
        <v>3.6672452704528586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48</v>
      </c>
      <c r="F8415" t="s">
        <v>13</v>
      </c>
      <c r="G8415" t="str">
        <f t="shared" si="342"/>
        <v>031SOMERSET</v>
      </c>
      <c r="H8415" s="5">
        <f>VLOOKUP(G8415,[4]Astroflores!$G$2:$H$109,2,FALSE)</f>
        <v>1240</v>
      </c>
      <c r="I8415" s="6">
        <v>1122.485208333339</v>
      </c>
      <c r="J8415" s="5">
        <v>8160</v>
      </c>
      <c r="K8415" s="6">
        <f t="shared" si="343"/>
        <v>1.1046916171315491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48</v>
      </c>
      <c r="F8416" t="s">
        <v>50</v>
      </c>
      <c r="G8416" t="str">
        <f t="shared" si="342"/>
        <v>031VELVET BLOSSOMS</v>
      </c>
      <c r="H8416" s="5">
        <f>VLOOKUP(G8416,[4]Astroflores!$G$2:$H$109,2,FALSE)</f>
        <v>640</v>
      </c>
      <c r="I8416" s="6">
        <v>396.17125000000198</v>
      </c>
      <c r="J8416" s="5">
        <v>2880</v>
      </c>
      <c r="K8416" s="6">
        <f t="shared" si="343"/>
        <v>1.6154630099988245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51</v>
      </c>
      <c r="F8417" t="s">
        <v>17</v>
      </c>
      <c r="G8417" t="str">
        <f t="shared" si="342"/>
        <v>032ELBA</v>
      </c>
      <c r="H8417" s="5">
        <f>VLOOKUP(G8417,[4]Astroflores!$G$2:$H$109,2,FALSE)</f>
        <v>4350</v>
      </c>
      <c r="I8417" s="6">
        <v>1535.9749999999999</v>
      </c>
      <c r="J8417" s="5">
        <v>11200</v>
      </c>
      <c r="K8417" s="6">
        <f t="shared" si="343"/>
        <v>2.8320773450088708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51</v>
      </c>
      <c r="F8418" t="s">
        <v>44</v>
      </c>
      <c r="G8418" t="str">
        <f t="shared" si="342"/>
        <v>032MIRABEL</v>
      </c>
      <c r="H8418" s="5">
        <f>VLOOKUP(G8418,[4]Astroflores!$G$2:$H$109,2,FALSE)</f>
        <v>3400</v>
      </c>
      <c r="I8418" s="6">
        <v>1535.9749999999999</v>
      </c>
      <c r="J8418" s="5">
        <v>11200</v>
      </c>
      <c r="K8418" s="6">
        <f t="shared" si="343"/>
        <v>2.2135776949494623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52</v>
      </c>
      <c r="F8419" t="s">
        <v>53</v>
      </c>
      <c r="G8419" t="str">
        <f t="shared" si="342"/>
        <v>033CREAMY FOLIES</v>
      </c>
      <c r="H8419" s="5">
        <f>VLOOKUP(G8419,[4]Astroflores!$G$2:$H$109,2,FALSE)</f>
        <v>1530</v>
      </c>
      <c r="I8419" s="6">
        <v>594.25687500000299</v>
      </c>
      <c r="J8419" s="5">
        <v>4320</v>
      </c>
      <c r="K8419" s="6">
        <f t="shared" si="343"/>
        <v>2.5746441721856264</v>
      </c>
    </row>
    <row r="8420" spans="1:11">
      <c r="A8420" s="4">
        <v>2026</v>
      </c>
      <c r="B8420">
        <v>26</v>
      </c>
      <c r="C8420" t="s">
        <v>10</v>
      </c>
      <c r="D8420" t="s">
        <v>11</v>
      </c>
      <c r="E8420" t="s">
        <v>52</v>
      </c>
      <c r="F8420" t="s">
        <v>18</v>
      </c>
      <c r="G8420" t="str">
        <f t="shared" si="342"/>
        <v>033HOT BUBBLES</v>
      </c>
      <c r="H8420" s="5">
        <f>VLOOKUP(G8420,[4]Astroflores!$G$2:$H$109,2,FALSE)</f>
        <v>3920</v>
      </c>
      <c r="I8420" s="6">
        <v>2575.1131250013459</v>
      </c>
      <c r="J8420" s="5">
        <v>18720</v>
      </c>
      <c r="K8420" s="6">
        <f t="shared" si="343"/>
        <v>1.5222632209596427</v>
      </c>
    </row>
    <row r="8421" spans="1:11">
      <c r="A8421" s="4">
        <v>2026</v>
      </c>
      <c r="B8421">
        <v>26</v>
      </c>
      <c r="C8421" t="s">
        <v>54</v>
      </c>
      <c r="D8421" t="s">
        <v>11</v>
      </c>
      <c r="E8421" t="s">
        <v>55</v>
      </c>
      <c r="F8421" t="s">
        <v>56</v>
      </c>
      <c r="G8421" t="str">
        <f t="shared" si="342"/>
        <v>001BELIEVE IN PINK</v>
      </c>
      <c r="H8421" s="5">
        <f>VLOOKUP(G8421,[4]Astroflores!$G$2:$H$109,2,FALSE)</f>
        <v>1230</v>
      </c>
      <c r="I8421" s="6">
        <v>528.37931032368999</v>
      </c>
      <c r="J8421" s="5">
        <v>4000</v>
      </c>
      <c r="K8421" s="6">
        <f t="shared" ref="K8421:K8426" si="344">IFERROR(H8421/I8421,"")</f>
        <v>2.3278731319863581</v>
      </c>
    </row>
    <row r="8422" spans="1:11">
      <c r="A8422" s="4">
        <v>2026</v>
      </c>
      <c r="B8422">
        <v>26</v>
      </c>
      <c r="C8422" t="s">
        <v>54</v>
      </c>
      <c r="D8422" t="s">
        <v>11</v>
      </c>
      <c r="E8422" t="s">
        <v>55</v>
      </c>
      <c r="F8422" t="s">
        <v>57</v>
      </c>
      <c r="G8422" t="str">
        <f t="shared" si="342"/>
        <v>001EXPLORER</v>
      </c>
      <c r="H8422" s="5">
        <f>VLOOKUP(G8422,[4]Astroflores!$G$2:$H$109,2,FALSE)</f>
        <v>6925</v>
      </c>
      <c r="I8422" s="6">
        <v>2272.0310343918732</v>
      </c>
      <c r="J8422" s="5">
        <v>17200</v>
      </c>
      <c r="K8422" s="6">
        <f t="shared" si="344"/>
        <v>3.0479337188514815</v>
      </c>
    </row>
    <row r="8423" spans="1:11">
      <c r="A8423" s="4">
        <v>2026</v>
      </c>
      <c r="B8423">
        <v>26</v>
      </c>
      <c r="C8423" t="s">
        <v>54</v>
      </c>
      <c r="D8423" t="s">
        <v>11</v>
      </c>
      <c r="E8423" t="s">
        <v>55</v>
      </c>
      <c r="F8423" t="s">
        <v>58</v>
      </c>
      <c r="G8423" t="str">
        <f t="shared" si="342"/>
        <v>001GRACE KELLY</v>
      </c>
      <c r="H8423" s="5">
        <f>VLOOKUP(G8423,[4]Astroflores!$G$2:$H$109,2,FALSE)</f>
        <v>2040</v>
      </c>
      <c r="I8423" s="6">
        <v>1162.4344827121224</v>
      </c>
      <c r="J8423" s="5">
        <v>8800</v>
      </c>
      <c r="K8423" s="6">
        <f t="shared" si="344"/>
        <v>1.7549376161316157</v>
      </c>
    </row>
    <row r="8424" spans="1:11">
      <c r="A8424" s="4">
        <v>2026</v>
      </c>
      <c r="B8424">
        <v>26</v>
      </c>
      <c r="C8424" t="s">
        <v>54</v>
      </c>
      <c r="D8424" t="s">
        <v>11</v>
      </c>
      <c r="E8424" t="s">
        <v>55</v>
      </c>
      <c r="F8424" t="s">
        <v>60</v>
      </c>
      <c r="G8424" t="str">
        <f t="shared" si="342"/>
        <v>001LIGHT HOUSE</v>
      </c>
      <c r="H8424" s="5">
        <f>VLOOKUP(G8424,[4]Astroflores!$G$2:$H$109,2,FALSE)</f>
        <v>2520</v>
      </c>
      <c r="I8424" s="6">
        <v>1056.7586206473827</v>
      </c>
      <c r="J8424" s="5">
        <v>8000</v>
      </c>
      <c r="K8424" s="6">
        <f t="shared" si="344"/>
        <v>2.3846505254494339</v>
      </c>
    </row>
    <row r="8425" spans="1:11">
      <c r="A8425" s="4">
        <v>2026</v>
      </c>
      <c r="B8425">
        <v>26</v>
      </c>
      <c r="C8425" t="s">
        <v>54</v>
      </c>
      <c r="D8425" t="s">
        <v>11</v>
      </c>
      <c r="E8425" t="s">
        <v>55</v>
      </c>
      <c r="F8425" t="s">
        <v>61</v>
      </c>
      <c r="G8425" t="str">
        <f t="shared" si="342"/>
        <v>001LUMIA</v>
      </c>
      <c r="H8425" s="5">
        <f>VLOOKUP(G8425,[4]Astroflores!$G$2:$H$109,2,FALSE)</f>
        <v>2070</v>
      </c>
      <c r="I8425" s="6">
        <v>1109.596551679753</v>
      </c>
      <c r="J8425" s="5">
        <v>8400</v>
      </c>
      <c r="K8425" s="6">
        <f t="shared" si="344"/>
        <v>1.8655429280726843</v>
      </c>
    </row>
    <row r="8426" spans="1:11">
      <c r="A8426" s="4">
        <v>2026</v>
      </c>
      <c r="B8426">
        <v>26</v>
      </c>
      <c r="C8426" t="s">
        <v>54</v>
      </c>
      <c r="D8426" t="s">
        <v>11</v>
      </c>
      <c r="E8426" t="s">
        <v>55</v>
      </c>
      <c r="F8426" t="s">
        <v>62</v>
      </c>
      <c r="G8426" t="str">
        <f t="shared" si="342"/>
        <v>001MOMENTUM</v>
      </c>
      <c r="H8426" s="5">
        <f>VLOOKUP(G8426,[4]Astroflores!$G$2:$H$109,2,FALSE)</f>
        <v>3475</v>
      </c>
      <c r="I8426" s="6">
        <v>1902.1655171652881</v>
      </c>
      <c r="J8426" s="5">
        <v>14400</v>
      </c>
      <c r="K8426" s="6">
        <f t="shared" si="344"/>
        <v>1.8268652063352702</v>
      </c>
    </row>
    <row r="8427" spans="1:11">
      <c r="A8427" s="4">
        <v>2026</v>
      </c>
      <c r="B8427">
        <v>26</v>
      </c>
      <c r="C8427" t="s">
        <v>54</v>
      </c>
      <c r="D8427" t="s">
        <v>11</v>
      </c>
      <c r="E8427" t="s">
        <v>12</v>
      </c>
      <c r="F8427" t="s">
        <v>63</v>
      </c>
      <c r="G8427" t="str">
        <f t="shared" si="342"/>
        <v>002SUMMER ROMANCE</v>
      </c>
      <c r="H8427" s="5">
        <f>VLOOKUP(G8427,[4]Astroflores!$G$2:$H$109,2,FALSE)</f>
        <v>1775</v>
      </c>
      <c r="I8427" s="6">
        <v>951.10714281909407</v>
      </c>
      <c r="J8427" s="5">
        <v>7200</v>
      </c>
      <c r="K8427" s="6">
        <f t="shared" ref="K8427:K8486" si="345">+H8427/I8427</f>
        <v>1.8662461042389784</v>
      </c>
    </row>
    <row r="8428" spans="1:11">
      <c r="A8428" s="4">
        <v>2026</v>
      </c>
      <c r="B8428">
        <v>26</v>
      </c>
      <c r="C8428" t="s">
        <v>54</v>
      </c>
      <c r="D8428" t="s">
        <v>11</v>
      </c>
      <c r="E8428" t="s">
        <v>12</v>
      </c>
      <c r="F8428" t="s">
        <v>64</v>
      </c>
      <c r="G8428" t="str">
        <f t="shared" si="342"/>
        <v>002SWEETNESS</v>
      </c>
      <c r="H8428" s="5">
        <f>VLOOKUP(G8428,[4]Astroflores!$G$2:$H$109,2,FALSE)</f>
        <v>8760</v>
      </c>
      <c r="I8428" s="6">
        <v>3804.4285712763772</v>
      </c>
      <c r="J8428" s="5">
        <v>28800</v>
      </c>
      <c r="K8428" s="6">
        <f t="shared" si="345"/>
        <v>2.3025797004413304</v>
      </c>
    </row>
    <row r="8429" spans="1:11">
      <c r="A8429" s="4">
        <v>2026</v>
      </c>
      <c r="B8429">
        <v>26</v>
      </c>
      <c r="C8429" t="s">
        <v>54</v>
      </c>
      <c r="D8429" t="s">
        <v>11</v>
      </c>
      <c r="E8429" t="s">
        <v>65</v>
      </c>
      <c r="F8429" t="s">
        <v>66</v>
      </c>
      <c r="G8429" t="str">
        <f t="shared" si="342"/>
        <v>003CABARET</v>
      </c>
      <c r="H8429" s="5">
        <f>VLOOKUP(G8429,[4]Astroflores!$G$2:$H$109,2,FALSE)</f>
        <v>6090</v>
      </c>
      <c r="I8429" s="6">
        <v>2641.8965516184649</v>
      </c>
      <c r="J8429" s="5">
        <v>20000</v>
      </c>
      <c r="K8429" s="6">
        <f t="shared" si="345"/>
        <v>2.3051621746011124</v>
      </c>
    </row>
    <row r="8430" spans="1:11">
      <c r="A8430" s="4">
        <v>2026</v>
      </c>
      <c r="B8430">
        <v>26</v>
      </c>
      <c r="C8430" t="s">
        <v>54</v>
      </c>
      <c r="D8430" t="s">
        <v>11</v>
      </c>
      <c r="E8430" t="s">
        <v>65</v>
      </c>
      <c r="F8430" t="s">
        <v>67</v>
      </c>
      <c r="G8430" t="str">
        <f t="shared" si="342"/>
        <v>003DEEP PURPLE</v>
      </c>
      <c r="H8430" s="5">
        <f>VLOOKUP(G8430,[4]Astroflores!$G$2:$H$109,2,FALSE)</f>
        <v>11370</v>
      </c>
      <c r="I8430" s="6">
        <v>3592.9793102010913</v>
      </c>
      <c r="J8430" s="5">
        <v>26044</v>
      </c>
      <c r="K8430" s="6">
        <f t="shared" si="345"/>
        <v>3.1645047238982418</v>
      </c>
    </row>
    <row r="8431" spans="1:11">
      <c r="A8431" s="4">
        <v>2026</v>
      </c>
      <c r="B8431">
        <v>26</v>
      </c>
      <c r="C8431" t="s">
        <v>54</v>
      </c>
      <c r="D8431" t="s">
        <v>11</v>
      </c>
      <c r="E8431" t="s">
        <v>65</v>
      </c>
      <c r="F8431" t="s">
        <v>57</v>
      </c>
      <c r="G8431" t="str">
        <f t="shared" si="342"/>
        <v>003EXPLORER</v>
      </c>
      <c r="H8431" s="5">
        <f>VLOOKUP(G8431,[4]Astroflores!$G$2:$H$109,2,FALSE)</f>
        <v>2875</v>
      </c>
      <c r="I8431" s="6">
        <v>1268.1103447768633</v>
      </c>
      <c r="J8431" s="5">
        <v>9600</v>
      </c>
      <c r="K8431" s="6">
        <f t="shared" si="345"/>
        <v>2.2671528639772158</v>
      </c>
    </row>
    <row r="8432" spans="1:11">
      <c r="A8432" s="4">
        <v>2026</v>
      </c>
      <c r="B8432">
        <v>26</v>
      </c>
      <c r="C8432" t="s">
        <v>54</v>
      </c>
      <c r="D8432" t="s">
        <v>11</v>
      </c>
      <c r="E8432" t="s">
        <v>65</v>
      </c>
      <c r="F8432" t="s">
        <v>68</v>
      </c>
      <c r="G8432" t="str">
        <f t="shared" si="342"/>
        <v>003JOCKER</v>
      </c>
      <c r="H8432" s="5">
        <f>VLOOKUP(G8432,[4]Astroflores!$G$2:$H$109,2,FALSE)</f>
        <v>750</v>
      </c>
      <c r="I8432" s="6">
        <v>528.37931032368999</v>
      </c>
      <c r="J8432" s="5">
        <v>4000</v>
      </c>
      <c r="K8432" s="6">
        <f t="shared" si="345"/>
        <v>1.4194348365770475</v>
      </c>
    </row>
    <row r="8433" spans="1:11">
      <c r="A8433" s="4">
        <v>2026</v>
      </c>
      <c r="B8433">
        <v>26</v>
      </c>
      <c r="C8433" t="s">
        <v>54</v>
      </c>
      <c r="D8433" t="s">
        <v>11</v>
      </c>
      <c r="E8433" t="s">
        <v>65</v>
      </c>
      <c r="F8433" t="s">
        <v>69</v>
      </c>
      <c r="G8433" t="str">
        <f t="shared" si="342"/>
        <v>003QUICKSAND</v>
      </c>
      <c r="H8433" s="5">
        <f>VLOOKUP(G8433,[4]Astroflores!$G$2:$H$109,2,FALSE)</f>
        <v>1860</v>
      </c>
      <c r="I8433" s="6">
        <v>1162.4344827121247</v>
      </c>
      <c r="J8433" s="5">
        <v>8800</v>
      </c>
      <c r="K8433" s="6">
        <f t="shared" si="345"/>
        <v>1.6000901794141171</v>
      </c>
    </row>
    <row r="8434" spans="1:11">
      <c r="A8434" s="4">
        <v>2026</v>
      </c>
      <c r="B8434">
        <v>26</v>
      </c>
      <c r="C8434" t="s">
        <v>54</v>
      </c>
      <c r="D8434" t="s">
        <v>11</v>
      </c>
      <c r="E8434" t="s">
        <v>14</v>
      </c>
      <c r="F8434" t="s">
        <v>70</v>
      </c>
      <c r="G8434" t="str">
        <f t="shared" si="342"/>
        <v>004COTOPAXI</v>
      </c>
      <c r="H8434" s="5">
        <f>VLOOKUP(G8434,[4]Astroflores!$G$2:$H$109,2,FALSE)</f>
        <v>1230</v>
      </c>
      <c r="I8434" s="6">
        <v>528.3915024419166</v>
      </c>
      <c r="J8434" s="5">
        <v>4000</v>
      </c>
      <c r="K8434" s="6">
        <f t="shared" si="345"/>
        <v>2.3278194185857628</v>
      </c>
    </row>
    <row r="8435" spans="1:11">
      <c r="A8435" s="4">
        <v>2026</v>
      </c>
      <c r="B8435">
        <v>26</v>
      </c>
      <c r="C8435" t="s">
        <v>54</v>
      </c>
      <c r="D8435" t="s">
        <v>11</v>
      </c>
      <c r="E8435" t="s">
        <v>14</v>
      </c>
      <c r="F8435" t="s">
        <v>67</v>
      </c>
      <c r="G8435" t="str">
        <f t="shared" si="342"/>
        <v>004DEEP PURPLE</v>
      </c>
      <c r="H8435" s="5">
        <f>VLOOKUP(G8435,[4]Astroflores!$G$2:$H$109,2,FALSE)</f>
        <v>15540</v>
      </c>
      <c r="I8435" s="6">
        <v>3910.1071427007282</v>
      </c>
      <c r="J8435" s="5">
        <v>29260</v>
      </c>
      <c r="K8435" s="6">
        <f t="shared" si="345"/>
        <v>3.9743156473370838</v>
      </c>
    </row>
    <row r="8436" spans="1:11">
      <c r="A8436" s="4">
        <v>2026</v>
      </c>
      <c r="B8436">
        <v>26</v>
      </c>
      <c r="C8436" t="s">
        <v>54</v>
      </c>
      <c r="D8436" t="s">
        <v>11</v>
      </c>
      <c r="E8436" t="s">
        <v>14</v>
      </c>
      <c r="F8436" t="s">
        <v>71</v>
      </c>
      <c r="G8436" t="str">
        <f t="shared" si="342"/>
        <v>004HOT EXPLORER</v>
      </c>
      <c r="H8436" s="5">
        <f>VLOOKUP(G8436,[4]Astroflores!$G$2:$H$109,2,FALSE)</f>
        <v>4925</v>
      </c>
      <c r="I8436" s="6">
        <v>1902.2142856381945</v>
      </c>
      <c r="J8436" s="5">
        <v>14400</v>
      </c>
      <c r="K8436" s="6">
        <f t="shared" si="345"/>
        <v>2.5890879051766023</v>
      </c>
    </row>
    <row r="8437" spans="1:11">
      <c r="A8437" s="4">
        <v>2026</v>
      </c>
      <c r="B8437">
        <v>26</v>
      </c>
      <c r="C8437" t="s">
        <v>54</v>
      </c>
      <c r="D8437" t="s">
        <v>11</v>
      </c>
      <c r="E8437" t="s">
        <v>14</v>
      </c>
      <c r="F8437" t="s">
        <v>72</v>
      </c>
      <c r="G8437" t="str">
        <f t="shared" si="342"/>
        <v>004HOT MERENGUE</v>
      </c>
      <c r="H8437" s="5">
        <f>VLOOKUP(G8437,[4]Astroflores!$G$2:$H$109,2,FALSE)</f>
        <v>3480</v>
      </c>
      <c r="I8437" s="6">
        <v>1162.4642856677858</v>
      </c>
      <c r="J8437" s="5">
        <v>8800</v>
      </c>
      <c r="K8437" s="6">
        <f t="shared" si="345"/>
        <v>2.9936403577344222</v>
      </c>
    </row>
    <row r="8438" spans="1:11">
      <c r="A8438" s="4">
        <v>2026</v>
      </c>
      <c r="B8438">
        <v>26</v>
      </c>
      <c r="C8438" t="s">
        <v>54</v>
      </c>
      <c r="D8438" t="s">
        <v>11</v>
      </c>
      <c r="E8438" t="s">
        <v>14</v>
      </c>
      <c r="F8438" t="s">
        <v>64</v>
      </c>
      <c r="G8438" t="str">
        <f t="shared" ref="G8438:G8497" si="346">+E8438&amp;F8438</f>
        <v>004SWEETNESS</v>
      </c>
      <c r="H8438" s="5">
        <f>VLOOKUP(G8438,[4]Astroflores!$G$2:$H$109,2,FALSE)</f>
        <v>540</v>
      </c>
      <c r="I8438" s="6">
        <v>317.03571427303262</v>
      </c>
      <c r="J8438" s="5">
        <v>2400</v>
      </c>
      <c r="K8438" s="6">
        <f t="shared" si="345"/>
        <v>1.7032781345730328</v>
      </c>
    </row>
    <row r="8439" spans="1:11">
      <c r="A8439" s="4">
        <v>2026</v>
      </c>
      <c r="B8439">
        <v>26</v>
      </c>
      <c r="C8439" t="s">
        <v>54</v>
      </c>
      <c r="D8439" t="s">
        <v>11</v>
      </c>
      <c r="E8439" t="s">
        <v>16</v>
      </c>
      <c r="F8439" t="s">
        <v>57</v>
      </c>
      <c r="G8439" t="str">
        <f t="shared" si="346"/>
        <v>005EXPLORER</v>
      </c>
      <c r="H8439" s="5">
        <f>VLOOKUP(G8439,[4]Astroflores!$G$2:$H$109,2,FALSE)</f>
        <v>2075</v>
      </c>
      <c r="I8439" s="6">
        <v>951.10714281875391</v>
      </c>
      <c r="J8439" s="5">
        <v>7200</v>
      </c>
      <c r="K8439" s="6">
        <f t="shared" si="345"/>
        <v>2.1816679810125437</v>
      </c>
    </row>
    <row r="8440" spans="1:11">
      <c r="A8440" s="4">
        <v>2026</v>
      </c>
      <c r="B8440">
        <v>26</v>
      </c>
      <c r="C8440" t="s">
        <v>54</v>
      </c>
      <c r="D8440" t="s">
        <v>11</v>
      </c>
      <c r="E8440" t="s">
        <v>16</v>
      </c>
      <c r="F8440" t="s">
        <v>73</v>
      </c>
      <c r="G8440" t="str">
        <f t="shared" si="346"/>
        <v>005GOLDFINCH</v>
      </c>
      <c r="H8440" s="5">
        <f>VLOOKUP(G8440,[4]Astroflores!$G$2:$H$109,2,FALSE)</f>
        <v>1175</v>
      </c>
      <c r="I8440" s="6">
        <v>898.26785710660101</v>
      </c>
      <c r="J8440" s="5">
        <v>6800</v>
      </c>
      <c r="K8440" s="6">
        <f t="shared" si="345"/>
        <v>1.3080730772052529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16</v>
      </c>
      <c r="F8441" t="s">
        <v>68</v>
      </c>
      <c r="G8441" t="str">
        <f t="shared" si="346"/>
        <v>005JOCKER</v>
      </c>
      <c r="H8441" s="5">
        <f>VLOOKUP(G8441,[4]Astroflores!$G$2:$H$109,2,FALSE)</f>
        <v>2300</v>
      </c>
      <c r="I8441" s="6">
        <v>1162.4642856673661</v>
      </c>
      <c r="J8441" s="5">
        <v>8800</v>
      </c>
      <c r="K8441" s="6">
        <f t="shared" si="345"/>
        <v>1.9785554088481774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16</v>
      </c>
      <c r="F8442" t="s">
        <v>74</v>
      </c>
      <c r="G8442" t="str">
        <f t="shared" si="346"/>
        <v>005VENDELA</v>
      </c>
      <c r="H8442" s="5">
        <f>VLOOKUP(G8442,[4]Astroflores!$G$2:$H$109,2,FALSE)</f>
        <v>2490</v>
      </c>
      <c r="I8442" s="6">
        <v>686.91071425798896</v>
      </c>
      <c r="J8442" s="5">
        <v>5200</v>
      </c>
      <c r="K8442" s="6">
        <f t="shared" si="345"/>
        <v>3.6249252607593037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75</v>
      </c>
      <c r="F8443" t="s">
        <v>76</v>
      </c>
      <c r="G8443" t="str">
        <f t="shared" si="346"/>
        <v>006ATOMIC</v>
      </c>
      <c r="H8443" s="5">
        <f>VLOOKUP(G8443,[4]Astroflores!$G$2:$H$109,2,FALSE)</f>
        <v>1200</v>
      </c>
      <c r="I8443" s="6">
        <v>845.428571394752</v>
      </c>
      <c r="J8443" s="5">
        <v>6400</v>
      </c>
      <c r="K8443" s="6">
        <f t="shared" si="345"/>
        <v>1.4193984454775301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75</v>
      </c>
      <c r="F8444" t="s">
        <v>57</v>
      </c>
      <c r="G8444" t="str">
        <f t="shared" si="346"/>
        <v>006EXPLORER</v>
      </c>
      <c r="H8444" s="5">
        <f>VLOOKUP(G8444,[4]Astroflores!$G$2:$H$109,2,FALSE)</f>
        <v>7275</v>
      </c>
      <c r="I8444" s="6">
        <v>3910.1071427007355</v>
      </c>
      <c r="J8444" s="5">
        <v>29600</v>
      </c>
      <c r="K8444" s="6">
        <f t="shared" si="345"/>
        <v>1.8605628271800021</v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75</v>
      </c>
      <c r="F8445" t="s">
        <v>77</v>
      </c>
      <c r="G8445" t="str">
        <f t="shared" si="346"/>
        <v>006MONDIAL</v>
      </c>
      <c r="H8445" s="5">
        <f>VLOOKUP(G8445,[4]Astroflores!$G$2:$H$109,2,FALSE)</f>
        <v>5525</v>
      </c>
      <c r="I8445" s="6">
        <v>4015.7857141250793</v>
      </c>
      <c r="J8445" s="5">
        <v>30400</v>
      </c>
      <c r="K8445" s="6">
        <f t="shared" si="345"/>
        <v>1.3758204230286559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20</v>
      </c>
      <c r="F8446" t="s">
        <v>70</v>
      </c>
      <c r="G8446" t="str">
        <f t="shared" si="346"/>
        <v>007COTOPAXI</v>
      </c>
      <c r="H8446" s="5">
        <f>VLOOKUP(G8446,[4]Astroflores!$G$2:$H$109,2,FALSE)</f>
        <v>5250</v>
      </c>
      <c r="I8446" s="6">
        <v>2747.5751230427709</v>
      </c>
      <c r="J8446" s="5">
        <v>20800</v>
      </c>
      <c r="K8446" s="6">
        <f t="shared" si="345"/>
        <v>1.9107757804219552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20</v>
      </c>
      <c r="F8447" t="s">
        <v>78</v>
      </c>
      <c r="G8447" t="str">
        <f t="shared" si="346"/>
        <v>007REDIANT</v>
      </c>
      <c r="H8447" s="5">
        <f>VLOOKUP(G8447,[4]Astroflores!$G$2:$H$109,2,FALSE)</f>
        <v>1860</v>
      </c>
      <c r="I8447" s="6">
        <v>1056.75862064738</v>
      </c>
      <c r="J8447" s="5">
        <v>9600</v>
      </c>
      <c r="K8447" s="6">
        <f t="shared" si="345"/>
        <v>1.7600991973555389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20</v>
      </c>
      <c r="F8448" t="s">
        <v>74</v>
      </c>
      <c r="G8448" t="str">
        <f t="shared" si="346"/>
        <v>007VENDELA</v>
      </c>
      <c r="H8448" s="5">
        <f>VLOOKUP(G8448,[4]Astroflores!$G$2:$H$109,2,FALSE)</f>
        <v>8310</v>
      </c>
      <c r="I8448" s="6">
        <v>3592.9793102011122</v>
      </c>
      <c r="J8448" s="5">
        <v>27820</v>
      </c>
      <c r="K8448" s="6">
        <f t="shared" si="345"/>
        <v>2.3128438219519998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79</v>
      </c>
      <c r="F8449" t="s">
        <v>67</v>
      </c>
      <c r="G8449" t="str">
        <f t="shared" si="346"/>
        <v>008DEEP PURPLE</v>
      </c>
      <c r="H8449" s="5">
        <f>VLOOKUP(G8449,[4]Astroflores!$G$2:$H$109,2,FALSE)</f>
        <v>5310</v>
      </c>
      <c r="I8449" s="6">
        <v>1585.2222221588099</v>
      </c>
      <c r="J8449" s="5">
        <v>11490</v>
      </c>
      <c r="K8449" s="6">
        <f t="shared" si="345"/>
        <v>3.3496880915337282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79</v>
      </c>
      <c r="F8450" t="s">
        <v>81</v>
      </c>
      <c r="G8450" t="str">
        <f t="shared" si="346"/>
        <v>008FREEDOM</v>
      </c>
      <c r="H8450" s="5">
        <f>VLOOKUP(G8450,[4]Astroflores!$G$2:$H$109,2,FALSE)</f>
        <v>3570</v>
      </c>
      <c r="I8450" s="6">
        <v>2219.311111022334</v>
      </c>
      <c r="J8450" s="5">
        <v>16800</v>
      </c>
      <c r="K8450" s="6">
        <f t="shared" si="345"/>
        <v>1.6086072755952932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79</v>
      </c>
      <c r="F8451" t="s">
        <v>68</v>
      </c>
      <c r="G8451" t="str">
        <f t="shared" si="346"/>
        <v>008JOCKER</v>
      </c>
      <c r="H8451" s="5">
        <f>VLOOKUP(G8451,[4]Astroflores!$G$2:$H$109,2,FALSE)</f>
        <v>4150</v>
      </c>
      <c r="I8451" s="6">
        <v>2959.0814813631118</v>
      </c>
      <c r="J8451" s="5">
        <v>22400</v>
      </c>
      <c r="K8451" s="6">
        <f t="shared" si="345"/>
        <v>1.4024622255715267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82</v>
      </c>
      <c r="F8452" t="s">
        <v>83</v>
      </c>
      <c r="G8452" t="str">
        <f t="shared" si="346"/>
        <v>010COOLDOWN</v>
      </c>
      <c r="H8452" s="5">
        <f>VLOOKUP(G8452,[4]Astroflores!$G$2:$H$109,2,FALSE)</f>
        <v>4025</v>
      </c>
      <c r="I8452" s="6">
        <v>1912.3542857142861</v>
      </c>
      <c r="J8452" s="5">
        <v>16320</v>
      </c>
      <c r="K8452" s="6">
        <f t="shared" si="345"/>
        <v>2.1047355242005361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82</v>
      </c>
      <c r="F8453" t="s">
        <v>84</v>
      </c>
      <c r="G8453" t="str">
        <f t="shared" si="346"/>
        <v>010VIOLET HILL</v>
      </c>
      <c r="H8453" s="5">
        <f>VLOOKUP(G8453,[4]Astroflores!$G$2:$H$109,2,FALSE)</f>
        <v>5910</v>
      </c>
      <c r="I8453" s="6">
        <v>2812.2857142428579</v>
      </c>
      <c r="J8453" s="5">
        <v>20000</v>
      </c>
      <c r="K8453" s="6">
        <f t="shared" si="345"/>
        <v>2.101493447151805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85</v>
      </c>
      <c r="F8454" t="s">
        <v>86</v>
      </c>
      <c r="G8454" t="str">
        <f t="shared" si="346"/>
        <v>011BRIGHTON</v>
      </c>
      <c r="H8454" s="5">
        <f>VLOOKUP(G8454,[4]Astroflores!$G$2:$H$109,2,FALSE)</f>
        <v>3625</v>
      </c>
      <c r="I8454" s="6">
        <v>1768.8376470588223</v>
      </c>
      <c r="J8454" s="5">
        <v>12800</v>
      </c>
      <c r="K8454" s="6">
        <f t="shared" si="345"/>
        <v>2.0493684120911588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85</v>
      </c>
      <c r="F8455" t="s">
        <v>87</v>
      </c>
      <c r="G8455" t="str">
        <f t="shared" si="346"/>
        <v>011CANDLELIGHT</v>
      </c>
      <c r="H8455" s="5">
        <f>VLOOKUP(G8455,[4]Astroflores!$G$2:$H$109,2,FALSE)</f>
        <v>4160</v>
      </c>
      <c r="I8455" s="6">
        <v>2263.7999998868127</v>
      </c>
      <c r="J8455" s="5">
        <v>17920</v>
      </c>
      <c r="K8455" s="6">
        <f t="shared" si="345"/>
        <v>1.837618164240655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85</v>
      </c>
      <c r="F8456" t="s">
        <v>88</v>
      </c>
      <c r="G8456" t="str">
        <f t="shared" si="346"/>
        <v>011CAYENNE</v>
      </c>
      <c r="H8456" s="5">
        <f>VLOOKUP(G8456,[4]Astroflores!$G$2:$H$109,2,FALSE)</f>
        <v>1590</v>
      </c>
      <c r="I8456" s="6">
        <v>994.97117647058747</v>
      </c>
      <c r="J8456" s="5">
        <v>7200</v>
      </c>
      <c r="K8456" s="6">
        <f t="shared" si="345"/>
        <v>1.5980362422559105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85</v>
      </c>
      <c r="F8457" t="s">
        <v>61</v>
      </c>
      <c r="G8457" t="str">
        <f t="shared" si="346"/>
        <v>011LUMIA</v>
      </c>
      <c r="H8457" s="5">
        <f>VLOOKUP(G8457,[4]Astroflores!$G$2:$H$109,2,FALSE)</f>
        <v>1500</v>
      </c>
      <c r="I8457" s="6">
        <v>994.97117647058747</v>
      </c>
      <c r="J8457" s="5">
        <v>7920</v>
      </c>
      <c r="K8457" s="6">
        <f t="shared" si="345"/>
        <v>1.5075813606187836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85</v>
      </c>
      <c r="F8458" t="s">
        <v>89</v>
      </c>
      <c r="G8458" t="str">
        <f t="shared" si="346"/>
        <v>011STARDUST</v>
      </c>
      <c r="H8458" s="5">
        <f>VLOOKUP(G8458,[4]Astroflores!$G$2:$H$109,2,FALSE)</f>
        <v>3325</v>
      </c>
      <c r="I8458" s="6">
        <v>2263.7999998868127</v>
      </c>
      <c r="J8458" s="5">
        <v>17920</v>
      </c>
      <c r="K8458" s="6">
        <f t="shared" si="345"/>
        <v>1.4687693259856198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90</v>
      </c>
      <c r="F8459" t="s">
        <v>67</v>
      </c>
      <c r="G8459" t="str">
        <f t="shared" si="346"/>
        <v>012DEEP PURPLE</v>
      </c>
      <c r="H8459" s="5">
        <f>VLOOKUP(G8459,[4]Astroflores!$G$2:$H$109,2,FALSE)</f>
        <v>16890</v>
      </c>
      <c r="I8459" s="6">
        <v>6727.0499997982479</v>
      </c>
      <c r="J8459" s="5">
        <v>49210</v>
      </c>
      <c r="K8459" s="6">
        <f t="shared" si="345"/>
        <v>2.5107588022248311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90</v>
      </c>
      <c r="F8460" t="s">
        <v>60</v>
      </c>
      <c r="G8460" t="str">
        <f t="shared" si="346"/>
        <v>012LIGHT HOUSE</v>
      </c>
      <c r="H8460" s="5">
        <f>VLOOKUP(G8460,[4]Astroflores!$G$2:$H$109,2,FALSE)</f>
        <v>1680</v>
      </c>
      <c r="I8460" s="6">
        <v>994.95</v>
      </c>
      <c r="J8460" s="5">
        <v>7200</v>
      </c>
      <c r="K8460" s="6">
        <f t="shared" si="345"/>
        <v>1.6885270616613899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91</v>
      </c>
      <c r="F8461" t="s">
        <v>92</v>
      </c>
      <c r="G8461" t="str">
        <f t="shared" si="346"/>
        <v>013COUNTRY BLUES</v>
      </c>
      <c r="H8461" s="5">
        <f>VLOOKUP(G8461,[4]Astroflores!$G$2:$H$109,2,FALSE)</f>
        <v>1180</v>
      </c>
      <c r="I8461" s="6">
        <v>831.6</v>
      </c>
      <c r="J8461" s="5">
        <v>6300</v>
      </c>
      <c r="K8461" s="6">
        <f t="shared" si="345"/>
        <v>1.418951418951419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91</v>
      </c>
      <c r="F8462" t="s">
        <v>93</v>
      </c>
      <c r="G8462" t="str">
        <f t="shared" si="346"/>
        <v>013LORRAINE</v>
      </c>
      <c r="H8462" s="5">
        <f>VLOOKUP(G8462,[4]Astroflores!$G$2:$H$109,2,FALSE)</f>
        <v>3350</v>
      </c>
      <c r="I8462" s="6">
        <v>1267.2</v>
      </c>
      <c r="J8462" s="5">
        <v>9600</v>
      </c>
      <c r="K8462" s="6">
        <f t="shared" si="345"/>
        <v>2.6436237373737375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91</v>
      </c>
      <c r="F8463" t="s">
        <v>61</v>
      </c>
      <c r="G8463" t="str">
        <f t="shared" si="346"/>
        <v>013LUMIA</v>
      </c>
      <c r="H8463" s="5">
        <f>VLOOKUP(G8463,[4]Astroflores!$G$2:$H$109,2,FALSE)</f>
        <v>570</v>
      </c>
      <c r="I8463" s="6">
        <v>316.8</v>
      </c>
      <c r="J8463" s="5">
        <v>2400</v>
      </c>
      <c r="K8463" s="6">
        <f t="shared" si="345"/>
        <v>1.7992424242424241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91</v>
      </c>
      <c r="F8464" t="s">
        <v>74</v>
      </c>
      <c r="G8464" t="str">
        <f t="shared" si="346"/>
        <v>013VENDELA</v>
      </c>
      <c r="H8464" s="5">
        <f>VLOOKUP(G8464,[4]Astroflores!$G$2:$H$109,2,FALSE)</f>
        <v>11940</v>
      </c>
      <c r="I8464" s="6">
        <v>3603.6</v>
      </c>
      <c r="J8464" s="5">
        <v>27296</v>
      </c>
      <c r="K8464" s="6">
        <f t="shared" si="345"/>
        <v>3.3133533133533133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23</v>
      </c>
      <c r="F8465" t="s">
        <v>89</v>
      </c>
      <c r="G8465" t="str">
        <f t="shared" si="346"/>
        <v>014STARDUST</v>
      </c>
      <c r="H8465" s="5">
        <f>VLOOKUP(G8465,[4]Astroflores!$G$2:$H$109,2,FALSE)</f>
        <v>5525</v>
      </c>
      <c r="I8465" s="6">
        <v>3682.8</v>
      </c>
      <c r="J8465" s="5">
        <v>27900</v>
      </c>
      <c r="K8465" s="6">
        <f t="shared" si="345"/>
        <v>1.5002172260236775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25</v>
      </c>
      <c r="F8466" t="s">
        <v>68</v>
      </c>
      <c r="G8466" t="str">
        <f t="shared" si="346"/>
        <v>015JOCKER</v>
      </c>
      <c r="H8466" s="5">
        <f>VLOOKUP(G8466,[4]Astroflores!$G$2:$H$109,2,FALSE)</f>
        <v>5125</v>
      </c>
      <c r="I8466" s="6">
        <v>2376</v>
      </c>
      <c r="J8466" s="5">
        <v>18000</v>
      </c>
      <c r="K8466" s="6">
        <f t="shared" si="345"/>
        <v>2.156986531986532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27</v>
      </c>
      <c r="F8467" t="s">
        <v>94</v>
      </c>
      <c r="G8467" t="str">
        <f t="shared" si="346"/>
        <v>016DREAM IN PEACH</v>
      </c>
      <c r="H8467" s="5">
        <f>VLOOKUP(G8467,[4]Astroflores!$G$2:$H$109,2,FALSE)</f>
        <v>1770</v>
      </c>
      <c r="I8467" s="6">
        <v>950.4</v>
      </c>
      <c r="J8467" s="5">
        <v>7200</v>
      </c>
      <c r="K8467" s="6">
        <f t="shared" si="345"/>
        <v>1.8623737373737375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27</v>
      </c>
      <c r="F8468" t="s">
        <v>95</v>
      </c>
      <c r="G8468" t="str">
        <f t="shared" si="346"/>
        <v>016NINA</v>
      </c>
      <c r="H8468" s="5">
        <f>VLOOKUP(G8468,[4]Astroflores!$G$2:$H$109,2,FALSE)</f>
        <v>4975</v>
      </c>
      <c r="I8468" s="6">
        <v>1346.4</v>
      </c>
      <c r="J8468" s="5">
        <v>10200</v>
      </c>
      <c r="K8468" s="6">
        <f t="shared" si="345"/>
        <v>3.6950386215092097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30</v>
      </c>
      <c r="F8469" t="s">
        <v>81</v>
      </c>
      <c r="G8469" t="str">
        <f t="shared" si="346"/>
        <v>017FREEDOM</v>
      </c>
      <c r="H8469" s="5">
        <f>VLOOKUP(G8469,[4]Astroflores!$G$2:$H$109,2,FALSE)</f>
        <v>6360</v>
      </c>
      <c r="I8469" s="6">
        <v>2851.2</v>
      </c>
      <c r="J8469" s="5">
        <v>21600</v>
      </c>
      <c r="K8469" s="6">
        <f t="shared" si="345"/>
        <v>2.230639730639731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30</v>
      </c>
      <c r="F8470" t="s">
        <v>73</v>
      </c>
      <c r="G8470" t="str">
        <f t="shared" si="346"/>
        <v>017GOLDFINCH</v>
      </c>
      <c r="H8470" s="5">
        <f>VLOOKUP(G8470,[4]Astroflores!$G$2:$H$109,2,FALSE)</f>
        <v>3425</v>
      </c>
      <c r="I8470" s="6">
        <v>2138.4</v>
      </c>
      <c r="J8470" s="5">
        <v>16200</v>
      </c>
      <c r="K8470" s="6">
        <f t="shared" si="345"/>
        <v>1.6016647961092405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32</v>
      </c>
      <c r="F8471" t="s">
        <v>86</v>
      </c>
      <c r="G8471" t="str">
        <f t="shared" si="346"/>
        <v>018BRIGHTON</v>
      </c>
      <c r="H8471" s="5">
        <f>VLOOKUP(G8471,[4]Astroflores!$G$2:$H$109,2,FALSE)</f>
        <v>2100</v>
      </c>
      <c r="I8471" s="6">
        <v>963.6</v>
      </c>
      <c r="J8471" s="5">
        <v>7570</v>
      </c>
      <c r="K8471" s="6">
        <f t="shared" si="345"/>
        <v>2.179327521793275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35</v>
      </c>
      <c r="F8472" t="s">
        <v>86</v>
      </c>
      <c r="G8472" t="str">
        <f t="shared" si="346"/>
        <v>019BRIGHTON</v>
      </c>
      <c r="H8472" s="5">
        <f>VLOOKUP(G8472,[4]Astroflores!$G$2:$H$109,2,FALSE)</f>
        <v>7775</v>
      </c>
      <c r="I8472" s="6">
        <v>3168</v>
      </c>
      <c r="J8472" s="5">
        <v>24000</v>
      </c>
      <c r="K8472" s="6">
        <f t="shared" si="345"/>
        <v>2.454229797979798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35</v>
      </c>
      <c r="F8473" t="s">
        <v>96</v>
      </c>
      <c r="G8473" t="str">
        <f t="shared" si="346"/>
        <v>019TABATHA</v>
      </c>
      <c r="H8473" s="5">
        <f>VLOOKUP(G8473,[4]Astroflores!$G$2:$H$109,2,FALSE)</f>
        <v>2280</v>
      </c>
      <c r="I8473" s="6">
        <v>1188</v>
      </c>
      <c r="J8473" s="5">
        <v>9000</v>
      </c>
      <c r="K8473" s="6">
        <f t="shared" si="345"/>
        <v>1.9191919191919191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36</v>
      </c>
      <c r="F8474" t="s">
        <v>86</v>
      </c>
      <c r="G8474" t="str">
        <f t="shared" si="346"/>
        <v>020BRIGHTON</v>
      </c>
      <c r="H8474" s="5">
        <f>VLOOKUP(G8474,[4]Astroflores!$G$2:$H$109,2,FALSE)</f>
        <v>5375</v>
      </c>
      <c r="I8474" s="6">
        <v>2732.4</v>
      </c>
      <c r="J8474" s="5">
        <v>20700</v>
      </c>
      <c r="K8474" s="6">
        <f t="shared" si="345"/>
        <v>1.9671351193090323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36</v>
      </c>
      <c r="F8475" t="s">
        <v>97</v>
      </c>
      <c r="G8475" t="str">
        <f t="shared" si="346"/>
        <v>020TYCOON</v>
      </c>
      <c r="H8475" s="5">
        <f>VLOOKUP(G8475,[4]Astroflores!$G$2:$H$109,2,FALSE)</f>
        <v>1350</v>
      </c>
      <c r="I8475" s="6">
        <v>673.2</v>
      </c>
      <c r="J8475" s="5">
        <v>5100</v>
      </c>
      <c r="K8475" s="6">
        <f t="shared" si="345"/>
        <v>2.0053475935828877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38</v>
      </c>
      <c r="F8476" t="s">
        <v>98</v>
      </c>
      <c r="G8476" t="str">
        <f t="shared" si="346"/>
        <v>021SHOW GIRL</v>
      </c>
      <c r="H8476" s="5">
        <f>VLOOKUP(G8476,[4]Astroflores!$G$2:$H$109,2,FALSE)</f>
        <v>1600</v>
      </c>
      <c r="I8476" s="6">
        <v>1100.4749999999999</v>
      </c>
      <c r="J8476" s="5">
        <v>8000</v>
      </c>
      <c r="K8476" s="6">
        <f t="shared" si="345"/>
        <v>1.4539176264794749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43</v>
      </c>
      <c r="F8477" t="s">
        <v>99</v>
      </c>
      <c r="G8477" t="str">
        <f t="shared" si="346"/>
        <v>022CORAL REEF</v>
      </c>
      <c r="H8477" s="5">
        <f>VLOOKUP(G8477,[4]Astroflores!$G$2:$H$109,2,FALSE)</f>
        <v>2400</v>
      </c>
      <c r="I8477" s="6">
        <v>1287</v>
      </c>
      <c r="J8477" s="5">
        <v>9400</v>
      </c>
      <c r="K8477" s="6">
        <f t="shared" si="345"/>
        <v>1.8648018648018647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100</v>
      </c>
      <c r="F8478" t="s">
        <v>70</v>
      </c>
      <c r="G8478" t="str">
        <f t="shared" si="346"/>
        <v>023COTOPAXI</v>
      </c>
      <c r="H8478" s="5">
        <f>VLOOKUP(G8478,[4]Astroflores!$G$2:$H$109,2,FALSE)</f>
        <v>5730</v>
      </c>
      <c r="I8478" s="6">
        <v>2641.14</v>
      </c>
      <c r="J8478" s="5">
        <v>19200</v>
      </c>
      <c r="K8478" s="6">
        <f t="shared" si="345"/>
        <v>2.1695177082623416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100</v>
      </c>
      <c r="F8479" t="s">
        <v>101</v>
      </c>
      <c r="G8479" t="str">
        <f t="shared" si="346"/>
        <v>023FRUTTETO</v>
      </c>
      <c r="H8479" s="5">
        <f>VLOOKUP(G8479,[4]Astroflores!$G$2:$H$109,2,FALSE)</f>
        <v>8010</v>
      </c>
      <c r="I8479" s="6">
        <v>2641.14</v>
      </c>
      <c r="J8479" s="5">
        <v>19200</v>
      </c>
      <c r="K8479" s="6">
        <f t="shared" si="345"/>
        <v>3.0327812989845295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102</v>
      </c>
      <c r="F8480" t="s">
        <v>70</v>
      </c>
      <c r="G8480" t="str">
        <f t="shared" si="346"/>
        <v>024COTOPAXI</v>
      </c>
      <c r="H8480" s="5">
        <f>VLOOKUP(G8480,[4]Astroflores!$G$2:$H$109,2,FALSE)</f>
        <v>3060</v>
      </c>
      <c r="I8480" s="6">
        <v>1430.6174906250001</v>
      </c>
      <c r="J8480" s="5">
        <v>10400</v>
      </c>
      <c r="K8480" s="6">
        <f t="shared" si="345"/>
        <v>2.1389365222028456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102</v>
      </c>
      <c r="F8481" t="s">
        <v>64</v>
      </c>
      <c r="G8481" t="str">
        <f t="shared" si="346"/>
        <v>024SWEETNESS</v>
      </c>
      <c r="H8481" s="5">
        <f>VLOOKUP(G8481,[4]Astroflores!$G$2:$H$109,2,FALSE)</f>
        <v>2010</v>
      </c>
      <c r="I8481" s="6">
        <v>1430.6175000000001</v>
      </c>
      <c r="J8481" s="5">
        <v>10400</v>
      </c>
      <c r="K8481" s="6">
        <f t="shared" si="345"/>
        <v>1.4049877063575693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102</v>
      </c>
      <c r="F8482" t="s">
        <v>97</v>
      </c>
      <c r="G8482" t="str">
        <f t="shared" si="346"/>
        <v>024TYCOON</v>
      </c>
      <c r="H8482" s="5">
        <f>VLOOKUP(G8482,[4]Astroflores!$G$2:$H$109,2,FALSE)</f>
        <v>4080</v>
      </c>
      <c r="I8482" s="6">
        <v>2861.2350000000001</v>
      </c>
      <c r="J8482" s="5">
        <v>20800</v>
      </c>
      <c r="K8482" s="6">
        <f t="shared" si="345"/>
        <v>1.4259576721241003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103</v>
      </c>
      <c r="F8483" t="s">
        <v>104</v>
      </c>
      <c r="G8483" t="str">
        <f t="shared" si="346"/>
        <v>025PINK MONDIAL</v>
      </c>
      <c r="H8483" s="5">
        <f>VLOOKUP(G8483,[4]Astroflores!$G$2:$H$109,2,FALSE)</f>
        <v>5225</v>
      </c>
      <c r="I8483" s="6">
        <v>3071.9505625000002</v>
      </c>
      <c r="J8483" s="5">
        <v>22400</v>
      </c>
      <c r="K8483" s="6">
        <f t="shared" si="345"/>
        <v>1.7008737262190234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45</v>
      </c>
      <c r="F8484" t="s">
        <v>105</v>
      </c>
      <c r="G8484" t="str">
        <f t="shared" si="346"/>
        <v>026LOLA</v>
      </c>
      <c r="H8484" s="5">
        <f>VLOOKUP(G8484,[4]Astroflores!$G$2:$H$109,2,FALSE)</f>
        <v>5925</v>
      </c>
      <c r="I8484" s="6">
        <v>1097.125</v>
      </c>
      <c r="J8484" s="5">
        <v>8000</v>
      </c>
      <c r="K8484" s="6">
        <f t="shared" si="345"/>
        <v>5.4004785234134669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45</v>
      </c>
      <c r="F8485" t="s">
        <v>106</v>
      </c>
      <c r="G8485" t="str">
        <f t="shared" si="346"/>
        <v>026PALOMA</v>
      </c>
      <c r="H8485" s="5">
        <f>VLOOKUP(G8485,[4]Astroflores!$G$2:$H$109,2,FALSE)</f>
        <v>5850</v>
      </c>
      <c r="I8485" s="6">
        <v>2852.5250000000001</v>
      </c>
      <c r="J8485" s="5">
        <v>20800</v>
      </c>
      <c r="K8485" s="6">
        <f t="shared" si="345"/>
        <v>2.0508146291443543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107</v>
      </c>
      <c r="F8486" t="s">
        <v>108</v>
      </c>
      <c r="G8486" t="str">
        <f t="shared" si="346"/>
        <v>027SATISFACTION</v>
      </c>
      <c r="H8486" s="5">
        <f>VLOOKUP(G8486,[4]Astroflores!$G$2:$H$109,2,FALSE)</f>
        <v>4230</v>
      </c>
      <c r="I8486" s="6">
        <v>2633.1</v>
      </c>
      <c r="J8486" s="5">
        <v>19200</v>
      </c>
      <c r="K8486" s="6">
        <f t="shared" si="345"/>
        <v>1.6064714594964111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107</v>
      </c>
      <c r="F8487" t="s">
        <v>109</v>
      </c>
      <c r="G8487" t="str">
        <f t="shared" si="346"/>
        <v>027TIFFANY</v>
      </c>
      <c r="H8487" s="5">
        <f>VLOOKUP(G8487,[4]Astroflores!$G$2:$H$109,2,FALSE)</f>
        <v>3840</v>
      </c>
      <c r="I8487" s="6">
        <v>2633.1</v>
      </c>
      <c r="J8487" s="5">
        <v>19200</v>
      </c>
      <c r="K8487" s="6">
        <f t="shared" ref="K8487:K8526" si="347">+H8487/I8487</f>
        <v>1.4583570696137633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110</v>
      </c>
      <c r="F8488" t="s">
        <v>70</v>
      </c>
      <c r="G8488" t="str">
        <f t="shared" si="346"/>
        <v>028COTOPAXI</v>
      </c>
      <c r="H8488" s="5">
        <f>VLOOKUP(G8488,[4]Astroflores!$G$2:$H$109,2,FALSE)</f>
        <v>5580</v>
      </c>
      <c r="I8488" s="6">
        <v>2852.5250000000001</v>
      </c>
      <c r="J8488" s="5">
        <v>20800</v>
      </c>
      <c r="K8488" s="6">
        <f t="shared" si="347"/>
        <v>1.9561616462607689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110</v>
      </c>
      <c r="F8489" t="s">
        <v>67</v>
      </c>
      <c r="G8489" t="str">
        <f t="shared" si="346"/>
        <v>028DEEP PURPLE</v>
      </c>
      <c r="H8489" s="5">
        <f>VLOOKUP(G8489,[4]Astroflores!$G$2:$H$109,2,FALSE)</f>
        <v>6480</v>
      </c>
      <c r="I8489" s="6">
        <v>2852.5250000000001</v>
      </c>
      <c r="J8489" s="5">
        <v>20800</v>
      </c>
      <c r="K8489" s="6">
        <f t="shared" si="347"/>
        <v>2.2716715892060542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111</v>
      </c>
      <c r="F8490" t="s">
        <v>112</v>
      </c>
      <c r="G8490" t="str">
        <f t="shared" si="346"/>
        <v>029PINK FLOYD</v>
      </c>
      <c r="H8490" s="5">
        <f>VLOOKUP(G8490,[4]Astroflores!$G$2:$H$109,2,FALSE)</f>
        <v>4075</v>
      </c>
      <c r="I8490" s="6">
        <v>3071.95</v>
      </c>
      <c r="J8490" s="5">
        <v>22400</v>
      </c>
      <c r="K8490" s="6">
        <f t="shared" si="347"/>
        <v>1.3265189863116262</v>
      </c>
    </row>
    <row r="8491" spans="1:11">
      <c r="A8491" s="4">
        <v>2026</v>
      </c>
      <c r="B8491">
        <v>26</v>
      </c>
      <c r="C8491" t="s">
        <v>54</v>
      </c>
      <c r="D8491" t="s">
        <v>11</v>
      </c>
      <c r="E8491" t="s">
        <v>47</v>
      </c>
      <c r="F8491" t="s">
        <v>57</v>
      </c>
      <c r="G8491" t="str">
        <f t="shared" si="346"/>
        <v>030EXPLORER</v>
      </c>
      <c r="H8491" s="5">
        <f>VLOOKUP(G8491,[4]Astroflores!$G$2:$H$109,2,FALSE)</f>
        <v>3575</v>
      </c>
      <c r="I8491" s="6">
        <v>1645.6875</v>
      </c>
      <c r="J8491" s="5">
        <v>12000</v>
      </c>
      <c r="K8491" s="6">
        <f t="shared" si="347"/>
        <v>2.1723443849455015</v>
      </c>
    </row>
    <row r="8492" spans="1:11">
      <c r="A8492" s="4">
        <v>2026</v>
      </c>
      <c r="B8492">
        <v>27</v>
      </c>
      <c r="C8492" t="s">
        <v>10</v>
      </c>
      <c r="D8492" t="s">
        <v>11</v>
      </c>
      <c r="E8492" t="s">
        <v>12</v>
      </c>
      <c r="F8492" t="s">
        <v>13</v>
      </c>
      <c r="G8492" t="str">
        <f t="shared" si="346"/>
        <v>002SOMERSET</v>
      </c>
      <c r="H8492" s="8">
        <f>VLOOKUP(G8492,[5]Astroflores!$G$2:$H$110,2,FALSE)</f>
        <v>7100</v>
      </c>
      <c r="I8492" s="6">
        <v>4121.4642855494085</v>
      </c>
      <c r="J8492" s="5">
        <v>31200</v>
      </c>
      <c r="K8492" s="6">
        <f t="shared" si="347"/>
        <v>1.7226887116052105</v>
      </c>
    </row>
    <row r="8493" spans="1:11">
      <c r="A8493" s="4">
        <v>2026</v>
      </c>
      <c r="B8493">
        <v>27</v>
      </c>
      <c r="C8493" t="s">
        <v>10</v>
      </c>
      <c r="D8493" t="s">
        <v>11</v>
      </c>
      <c r="E8493" t="s">
        <v>14</v>
      </c>
      <c r="F8493" t="s">
        <v>15</v>
      </c>
      <c r="G8493" t="str">
        <f t="shared" si="346"/>
        <v>004BELLINA</v>
      </c>
      <c r="H8493" s="8">
        <f>VLOOKUP(G8493,[5]Astroflores!$G$2:$H$110,2,FALSE)</f>
        <v>1830</v>
      </c>
      <c r="I8493" s="6">
        <v>1056.7857142434418</v>
      </c>
      <c r="J8493" s="5">
        <v>8000</v>
      </c>
      <c r="K8493" s="6">
        <f t="shared" si="347"/>
        <v>1.7316661034825838</v>
      </c>
    </row>
    <row r="8494" spans="1:11">
      <c r="A8494" s="4">
        <v>2026</v>
      </c>
      <c r="B8494">
        <v>27</v>
      </c>
      <c r="C8494" t="s">
        <v>10</v>
      </c>
      <c r="D8494" t="s">
        <v>11</v>
      </c>
      <c r="E8494" t="s">
        <v>16</v>
      </c>
      <c r="F8494" t="s">
        <v>17</v>
      </c>
      <c r="G8494" t="str">
        <f t="shared" si="346"/>
        <v>005ELBA</v>
      </c>
      <c r="H8494" s="8">
        <f>VLOOKUP(G8494,[5]Astroflores!$G$2:$H$110,2,FALSE)</f>
        <v>6660</v>
      </c>
      <c r="I8494" s="6">
        <v>2641.9642856076484</v>
      </c>
      <c r="J8494" s="5">
        <v>19996</v>
      </c>
      <c r="K8494" s="6">
        <f t="shared" si="347"/>
        <v>2.5208516391690012</v>
      </c>
    </row>
    <row r="8495" spans="1:11">
      <c r="A8495" s="4">
        <v>2026</v>
      </c>
      <c r="B8495">
        <v>27</v>
      </c>
      <c r="C8495" t="s">
        <v>10</v>
      </c>
      <c r="D8495" t="s">
        <v>11</v>
      </c>
      <c r="E8495" t="s">
        <v>16</v>
      </c>
      <c r="F8495" t="s">
        <v>18</v>
      </c>
      <c r="G8495" t="str">
        <f t="shared" si="346"/>
        <v>005HOT BUBBLES</v>
      </c>
      <c r="H8495" s="8">
        <f>VLOOKUP(G8495,[5]Astroflores!$G$2:$H$110,2,FALSE)</f>
        <v>1340</v>
      </c>
      <c r="I8495" s="6">
        <v>528.39285712153003</v>
      </c>
      <c r="J8495" s="5">
        <v>4000</v>
      </c>
      <c r="K8495" s="6">
        <f t="shared" si="347"/>
        <v>2.5359918892540989</v>
      </c>
    </row>
    <row r="8496" spans="1:11">
      <c r="A8496" s="4">
        <v>2026</v>
      </c>
      <c r="B8496">
        <v>27</v>
      </c>
      <c r="C8496" t="s">
        <v>10</v>
      </c>
      <c r="D8496" t="s">
        <v>11</v>
      </c>
      <c r="E8496" t="s">
        <v>16</v>
      </c>
      <c r="F8496" t="s">
        <v>19</v>
      </c>
      <c r="G8496" t="str">
        <f t="shared" si="346"/>
        <v>005SUSPIRO</v>
      </c>
      <c r="H8496" s="8">
        <f>VLOOKUP(G8496,[5]Astroflores!$G$2:$H$110,2,FALSE)</f>
        <v>3300</v>
      </c>
      <c r="I8496" s="6">
        <v>1902.2142856375078</v>
      </c>
      <c r="J8496" s="5">
        <v>14400</v>
      </c>
      <c r="K8496" s="6">
        <f t="shared" si="347"/>
        <v>1.7348203222509384</v>
      </c>
    </row>
    <row r="8497" spans="1:11">
      <c r="A8497" s="4">
        <v>2026</v>
      </c>
      <c r="B8497">
        <v>27</v>
      </c>
      <c r="C8497" t="s">
        <v>10</v>
      </c>
      <c r="D8497" t="s">
        <v>11</v>
      </c>
      <c r="E8497" t="s">
        <v>20</v>
      </c>
      <c r="F8497" t="s">
        <v>21</v>
      </c>
      <c r="G8497" t="str">
        <f t="shared" si="346"/>
        <v>007SNOW BUBBLES</v>
      </c>
      <c r="H8497" s="8">
        <f>VLOOKUP(G8497,[5]Astroflores!$G$2:$H$110,2,FALSE)</f>
        <v>900</v>
      </c>
      <c r="I8497" s="6">
        <v>634.05652706821195</v>
      </c>
      <c r="J8497" s="5">
        <v>4800</v>
      </c>
      <c r="K8497" s="6">
        <f t="shared" si="347"/>
        <v>1.4194318039141922</v>
      </c>
    </row>
    <row r="8498" spans="1:11">
      <c r="A8498" s="4">
        <v>2026</v>
      </c>
      <c r="B8498">
        <v>27</v>
      </c>
      <c r="C8498" t="s">
        <v>10</v>
      </c>
      <c r="D8498" t="s">
        <v>11</v>
      </c>
      <c r="E8498" t="s">
        <v>22</v>
      </c>
      <c r="F8498" t="s">
        <v>18</v>
      </c>
      <c r="G8498" t="str">
        <f t="shared" ref="G8498:G8557" si="348">+E8498&amp;F8498</f>
        <v>009HOT BUBBLES</v>
      </c>
      <c r="H8498" s="8">
        <f>VLOOKUP(G8498,[5]Astroflores!$G$2:$H$110,2,FALSE)</f>
        <v>12160</v>
      </c>
      <c r="I8498" s="6">
        <v>4487.9999999102474</v>
      </c>
      <c r="J8498" s="5">
        <v>31740</v>
      </c>
      <c r="K8498" s="6">
        <f t="shared" si="347"/>
        <v>2.709447415383953</v>
      </c>
    </row>
    <row r="8499" spans="1:11">
      <c r="A8499" s="4">
        <v>2026</v>
      </c>
      <c r="B8499">
        <v>27</v>
      </c>
      <c r="C8499" t="s">
        <v>10</v>
      </c>
      <c r="D8499" t="s">
        <v>11</v>
      </c>
      <c r="E8499" t="s">
        <v>23</v>
      </c>
      <c r="F8499" t="s">
        <v>24</v>
      </c>
      <c r="G8499" t="str">
        <f t="shared" si="348"/>
        <v>014FRUITY BUBBLES</v>
      </c>
      <c r="H8499" s="8">
        <f>VLOOKUP(G8499,[5]Astroflores!$G$2:$H$110,2,FALSE)</f>
        <v>4250</v>
      </c>
      <c r="I8499" s="6">
        <v>1702.8</v>
      </c>
      <c r="J8499" s="5">
        <v>12900</v>
      </c>
      <c r="K8499" s="6">
        <f t="shared" si="347"/>
        <v>2.4958891237961005</v>
      </c>
    </row>
    <row r="8500" spans="1:11">
      <c r="A8500" s="4">
        <v>2026</v>
      </c>
      <c r="B8500">
        <v>27</v>
      </c>
      <c r="C8500" t="s">
        <v>10</v>
      </c>
      <c r="D8500" t="s">
        <v>11</v>
      </c>
      <c r="E8500" t="s">
        <v>25</v>
      </c>
      <c r="F8500" t="s">
        <v>26</v>
      </c>
      <c r="G8500" t="str">
        <f t="shared" si="348"/>
        <v>015FELLINI</v>
      </c>
      <c r="H8500" s="8">
        <f>VLOOKUP(G8500,[5]Astroflores!$G$2:$H$110,2,FALSE)</f>
        <v>6540</v>
      </c>
      <c r="I8500" s="6">
        <v>3009.6</v>
      </c>
      <c r="J8500" s="5">
        <v>22800</v>
      </c>
      <c r="K8500" s="6">
        <f t="shared" si="347"/>
        <v>2.1730462519936204</v>
      </c>
    </row>
    <row r="8501" spans="1:11">
      <c r="A8501" s="4">
        <v>2026</v>
      </c>
      <c r="B8501">
        <v>27</v>
      </c>
      <c r="C8501" t="s">
        <v>10</v>
      </c>
      <c r="D8501" t="s">
        <v>11</v>
      </c>
      <c r="E8501" t="s">
        <v>27</v>
      </c>
      <c r="F8501" t="s">
        <v>28</v>
      </c>
      <c r="G8501" t="str">
        <f t="shared" si="348"/>
        <v>016GOOD PEACH</v>
      </c>
      <c r="H8501" s="8">
        <f>VLOOKUP(G8501,[5]Astroflores!$G$2:$H$110,2,FALSE)</f>
        <v>4320</v>
      </c>
      <c r="I8501" s="6">
        <v>1386</v>
      </c>
      <c r="J8501" s="5">
        <v>10500</v>
      </c>
      <c r="K8501" s="6">
        <f t="shared" si="347"/>
        <v>3.116883116883117</v>
      </c>
    </row>
    <row r="8502" spans="1:11">
      <c r="A8502" s="4">
        <v>2026</v>
      </c>
      <c r="B8502">
        <v>27</v>
      </c>
      <c r="C8502" t="s">
        <v>10</v>
      </c>
      <c r="D8502" t="s">
        <v>11</v>
      </c>
      <c r="E8502" t="s">
        <v>27</v>
      </c>
      <c r="F8502" t="s">
        <v>29</v>
      </c>
      <c r="G8502" t="str">
        <f t="shared" si="348"/>
        <v>016GOOD YELLOW</v>
      </c>
      <c r="H8502" s="8">
        <f>VLOOKUP(G8502,[5]Astroflores!$G$2:$H$110,2,FALSE)</f>
        <v>4980</v>
      </c>
      <c r="I8502" s="6">
        <v>1386</v>
      </c>
      <c r="J8502" s="5">
        <v>10500</v>
      </c>
      <c r="K8502" s="6">
        <f t="shared" si="347"/>
        <v>3.5930735930735929</v>
      </c>
    </row>
    <row r="8503" spans="1:11">
      <c r="A8503" s="4">
        <v>2026</v>
      </c>
      <c r="B8503">
        <v>27</v>
      </c>
      <c r="C8503" t="s">
        <v>10</v>
      </c>
      <c r="D8503" t="s">
        <v>11</v>
      </c>
      <c r="E8503" t="s">
        <v>30</v>
      </c>
      <c r="F8503" t="s">
        <v>31</v>
      </c>
      <c r="G8503" t="str">
        <f t="shared" si="348"/>
        <v>017ORANGE STAR</v>
      </c>
      <c r="H8503" s="8">
        <f>VLOOKUP(G8503,[5]Astroflores!$G$2:$H$110,2,FALSE)</f>
        <v>2200</v>
      </c>
      <c r="I8503" s="6">
        <v>1029.5999999999999</v>
      </c>
      <c r="J8503" s="5">
        <v>7800</v>
      </c>
      <c r="K8503" s="6">
        <f t="shared" si="347"/>
        <v>2.1367521367521372</v>
      </c>
    </row>
    <row r="8504" spans="1:11">
      <c r="A8504" s="4">
        <v>2026</v>
      </c>
      <c r="B8504">
        <v>27</v>
      </c>
      <c r="C8504" t="s">
        <v>10</v>
      </c>
      <c r="D8504" t="s">
        <v>11</v>
      </c>
      <c r="E8504" t="s">
        <v>32</v>
      </c>
      <c r="F8504" t="s">
        <v>33</v>
      </c>
      <c r="G8504" t="str">
        <f t="shared" si="348"/>
        <v>018COSMO</v>
      </c>
      <c r="H8504" s="8">
        <f>VLOOKUP(G8504,[5]Astroflores!$G$2:$H$110,2,FALSE)</f>
        <v>2875</v>
      </c>
      <c r="I8504" s="6">
        <v>2653.2</v>
      </c>
      <c r="J8504" s="5">
        <v>20100</v>
      </c>
      <c r="K8504" s="6">
        <f t="shared" si="347"/>
        <v>1.083597165686718</v>
      </c>
    </row>
    <row r="8505" spans="1:11">
      <c r="A8505" s="4">
        <v>2026</v>
      </c>
      <c r="B8505">
        <v>27</v>
      </c>
      <c r="C8505" t="s">
        <v>10</v>
      </c>
      <c r="D8505" t="s">
        <v>11</v>
      </c>
      <c r="E8505" t="s">
        <v>32</v>
      </c>
      <c r="F8505" t="s">
        <v>34</v>
      </c>
      <c r="G8505" t="str">
        <f t="shared" si="348"/>
        <v>018RUBICON</v>
      </c>
      <c r="H8505" s="8">
        <f>VLOOKUP(G8505,[5]Astroflores!$G$2:$H$110,2,FALSE)</f>
        <v>5250</v>
      </c>
      <c r="I8505" s="6">
        <v>1768.8</v>
      </c>
      <c r="J8505" s="5">
        <v>13400</v>
      </c>
      <c r="K8505" s="6">
        <f t="shared" si="347"/>
        <v>2.9681139755766623</v>
      </c>
    </row>
    <row r="8506" spans="1:11">
      <c r="A8506" s="4">
        <v>2026</v>
      </c>
      <c r="B8506">
        <v>27</v>
      </c>
      <c r="C8506" t="s">
        <v>10</v>
      </c>
      <c r="D8506" t="s">
        <v>11</v>
      </c>
      <c r="E8506" t="s">
        <v>35</v>
      </c>
      <c r="F8506" t="s">
        <v>15</v>
      </c>
      <c r="G8506" t="str">
        <f t="shared" si="348"/>
        <v>019BELLINA</v>
      </c>
      <c r="H8506" s="8">
        <f>VLOOKUP(G8506,[5]Astroflores!$G$2:$H$110,2,FALSE)</f>
        <v>1590</v>
      </c>
      <c r="I8506" s="6">
        <v>1029.5999999999999</v>
      </c>
      <c r="J8506" s="5">
        <v>7800</v>
      </c>
      <c r="K8506" s="6">
        <f t="shared" si="347"/>
        <v>1.5442890442890445</v>
      </c>
    </row>
    <row r="8507" spans="1:11">
      <c r="A8507" s="4">
        <v>2026</v>
      </c>
      <c r="B8507">
        <v>27</v>
      </c>
      <c r="C8507" t="s">
        <v>10</v>
      </c>
      <c r="D8507" t="s">
        <v>11</v>
      </c>
      <c r="E8507" t="s">
        <v>36</v>
      </c>
      <c r="F8507" t="s">
        <v>37</v>
      </c>
      <c r="G8507" t="str">
        <f t="shared" si="348"/>
        <v>020SUMMER DANCE</v>
      </c>
      <c r="H8507" s="8">
        <f>VLOOKUP(G8507,[5]Astroflores!$G$2:$H$110,2,FALSE)</f>
        <v>3375</v>
      </c>
      <c r="I8507" s="6">
        <v>1346.4</v>
      </c>
      <c r="J8507" s="5">
        <v>10200</v>
      </c>
      <c r="K8507" s="6">
        <f t="shared" si="347"/>
        <v>2.5066844919786093</v>
      </c>
    </row>
    <row r="8508" spans="1:11">
      <c r="A8508" s="4">
        <v>2026</v>
      </c>
      <c r="B8508">
        <v>27</v>
      </c>
      <c r="C8508" t="s">
        <v>10</v>
      </c>
      <c r="D8508" t="s">
        <v>11</v>
      </c>
      <c r="E8508" t="s">
        <v>38</v>
      </c>
      <c r="F8508" t="s">
        <v>39</v>
      </c>
      <c r="G8508" t="str">
        <f t="shared" si="348"/>
        <v>021ELEGANT ROSEVER</v>
      </c>
      <c r="H8508" s="8">
        <f>VLOOKUP(G8508,[5]Astroflores!$G$2:$H$110,2,FALSE)</f>
        <v>840</v>
      </c>
      <c r="I8508" s="6">
        <v>440.18999062500001</v>
      </c>
      <c r="J8508" s="5">
        <v>3200</v>
      </c>
      <c r="K8508" s="6">
        <f t="shared" si="347"/>
        <v>1.9082669253958573</v>
      </c>
    </row>
    <row r="8509" spans="1:11">
      <c r="A8509" s="4">
        <v>2026</v>
      </c>
      <c r="B8509">
        <v>27</v>
      </c>
      <c r="C8509" t="s">
        <v>10</v>
      </c>
      <c r="D8509" t="s">
        <v>11</v>
      </c>
      <c r="E8509" t="s">
        <v>38</v>
      </c>
      <c r="F8509" t="s">
        <v>40</v>
      </c>
      <c r="G8509" t="str">
        <f t="shared" si="348"/>
        <v>021FLAME CLUB</v>
      </c>
      <c r="H8509" s="8">
        <f>VLOOKUP(G8509,[5]Astroflores!$G$2:$H$110,2,FALSE)</f>
        <v>1250</v>
      </c>
      <c r="I8509" s="6">
        <v>880.38</v>
      </c>
      <c r="J8509" s="5">
        <v>6400</v>
      </c>
      <c r="K8509" s="6">
        <f t="shared" si="347"/>
        <v>1.4198414321088622</v>
      </c>
    </row>
    <row r="8510" spans="1:11">
      <c r="A8510" s="4">
        <v>2026</v>
      </c>
      <c r="B8510">
        <v>27</v>
      </c>
      <c r="C8510" t="s">
        <v>10</v>
      </c>
      <c r="D8510" t="s">
        <v>11</v>
      </c>
      <c r="E8510" t="s">
        <v>38</v>
      </c>
      <c r="F8510" t="s">
        <v>41</v>
      </c>
      <c r="G8510" t="str">
        <f t="shared" si="348"/>
        <v>021KELLY</v>
      </c>
      <c r="H8510" s="8">
        <f>VLOOKUP(G8510,[5]Astroflores!$G$2:$H$110,2,FALSE)</f>
        <v>650</v>
      </c>
      <c r="I8510" s="6">
        <v>330.14249999999998</v>
      </c>
      <c r="J8510" s="5">
        <v>2400</v>
      </c>
      <c r="K8510" s="6">
        <f t="shared" si="347"/>
        <v>1.9688467858576222</v>
      </c>
    </row>
    <row r="8511" spans="1:11">
      <c r="A8511" s="4">
        <v>2026</v>
      </c>
      <c r="B8511">
        <v>27</v>
      </c>
      <c r="C8511" t="s">
        <v>10</v>
      </c>
      <c r="D8511" t="s">
        <v>11</v>
      </c>
      <c r="E8511" t="s">
        <v>38</v>
      </c>
      <c r="F8511" t="s">
        <v>42</v>
      </c>
      <c r="G8511" t="str">
        <f t="shared" si="348"/>
        <v>021LEILA</v>
      </c>
      <c r="H8511" s="8">
        <f>VLOOKUP(G8511,[5]Astroflores!$G$2:$H$110,2,FALSE)</f>
        <v>1300</v>
      </c>
      <c r="I8511" s="6">
        <v>1650.7125000000001</v>
      </c>
      <c r="J8511" s="5">
        <v>12000</v>
      </c>
      <c r="K8511" s="6">
        <f t="shared" si="347"/>
        <v>0.78753871434304878</v>
      </c>
    </row>
    <row r="8512" spans="1:11">
      <c r="A8512" s="4">
        <v>2026</v>
      </c>
      <c r="B8512">
        <v>27</v>
      </c>
      <c r="C8512" t="s">
        <v>10</v>
      </c>
      <c r="D8512" t="s">
        <v>11</v>
      </c>
      <c r="E8512" t="s">
        <v>38</v>
      </c>
      <c r="F8512" t="s">
        <v>21</v>
      </c>
      <c r="G8512" t="str">
        <f t="shared" si="348"/>
        <v>021SNOW BUBBLES</v>
      </c>
      <c r="H8512" s="8">
        <f>VLOOKUP(G8512,[5]Astroflores!$G$2:$H$110,2,FALSE)</f>
        <v>1520</v>
      </c>
      <c r="I8512" s="6">
        <v>1287.0000000000018</v>
      </c>
      <c r="J8512" s="5">
        <v>9400</v>
      </c>
      <c r="K8512" s="6">
        <f t="shared" si="347"/>
        <v>1.1810411810411794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43</v>
      </c>
      <c r="F8513" t="s">
        <v>24</v>
      </c>
      <c r="G8513" t="str">
        <f t="shared" si="348"/>
        <v>022FRUITY BUBBLES</v>
      </c>
      <c r="H8513" s="8">
        <f>VLOOKUP(G8513,[5]Astroflores!$G$2:$H$110,2,FALSE)</f>
        <v>6175</v>
      </c>
      <c r="I8513" s="6">
        <v>2641.14</v>
      </c>
      <c r="J8513" s="5">
        <v>19200</v>
      </c>
      <c r="K8513" s="6">
        <f t="shared" si="347"/>
        <v>2.3380055582059263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43</v>
      </c>
      <c r="F8514" t="s">
        <v>28</v>
      </c>
      <c r="G8514" t="str">
        <f t="shared" si="348"/>
        <v>022GOOD PEACH</v>
      </c>
      <c r="H8514" s="8">
        <f>VLOOKUP(G8514,[5]Astroflores!$G$2:$H$110,2,FALSE)</f>
        <v>2460</v>
      </c>
      <c r="I8514" s="6">
        <v>880.38</v>
      </c>
      <c r="J8514" s="5">
        <v>6400</v>
      </c>
      <c r="K8514" s="6">
        <f t="shared" si="347"/>
        <v>2.7942479383902405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43</v>
      </c>
      <c r="F8515" t="s">
        <v>44</v>
      </c>
      <c r="G8515" t="str">
        <f t="shared" si="348"/>
        <v>022MIRABEL</v>
      </c>
      <c r="H8515" s="8">
        <f>VLOOKUP(G8515,[5]Astroflores!$G$2:$H$110,2,FALSE)</f>
        <v>1840</v>
      </c>
      <c r="I8515" s="6">
        <v>880.38</v>
      </c>
      <c r="J8515" s="5">
        <v>6400</v>
      </c>
      <c r="K8515" s="6">
        <f t="shared" si="347"/>
        <v>2.0900065880642451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45</v>
      </c>
      <c r="F8516" t="s">
        <v>46</v>
      </c>
      <c r="G8516" t="str">
        <f t="shared" si="348"/>
        <v>026PURPLE BUBBLY</v>
      </c>
      <c r="H8516" s="8" t="e">
        <f>VLOOKUP(G8516,[5]Astroflores!$G$2:$H$110,2,FALSE)</f>
        <v>#N/A</v>
      </c>
      <c r="I8516" s="6">
        <v>1755.4</v>
      </c>
      <c r="J8516" s="5">
        <v>12800</v>
      </c>
      <c r="K8516" s="6" t="e">
        <f t="shared" si="347"/>
        <v>#N/A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47</v>
      </c>
      <c r="F8517" t="s">
        <v>44</v>
      </c>
      <c r="G8517" t="str">
        <f t="shared" si="348"/>
        <v>030MIRABEL</v>
      </c>
      <c r="H8517" s="8">
        <f>VLOOKUP(G8517,[5]Astroflores!$G$2:$H$110,2,FALSE)</f>
        <v>6820</v>
      </c>
      <c r="I8517" s="6">
        <v>2413.6749943750001</v>
      </c>
      <c r="J8517" s="5">
        <v>17600</v>
      </c>
      <c r="K8517" s="6">
        <f t="shared" si="347"/>
        <v>2.8255668289615681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47</v>
      </c>
      <c r="F8518" t="s">
        <v>13</v>
      </c>
      <c r="G8518" t="str">
        <f t="shared" si="348"/>
        <v>030SOMERSET</v>
      </c>
      <c r="H8518" s="8">
        <f>VLOOKUP(G8518,[5]Astroflores!$G$2:$H$110,2,FALSE)</f>
        <v>3600</v>
      </c>
      <c r="I8518" s="6">
        <v>1645.6875</v>
      </c>
      <c r="J8518" s="5">
        <v>12000</v>
      </c>
      <c r="K8518" s="6">
        <f t="shared" si="347"/>
        <v>2.1875356044206447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48</v>
      </c>
      <c r="F8519" t="s">
        <v>49</v>
      </c>
      <c r="G8519" t="str">
        <f t="shared" si="348"/>
        <v>03182989</v>
      </c>
      <c r="H8519" s="8">
        <f>VLOOKUP(G8519,[5]Astroflores!$G$2:$H$110,2,FALSE)</f>
        <v>2720</v>
      </c>
      <c r="I8519" s="6">
        <v>726.32013058333712</v>
      </c>
      <c r="J8519" s="5">
        <v>5712</v>
      </c>
      <c r="K8519" s="6">
        <f t="shared" si="347"/>
        <v>3.7449051533453406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48</v>
      </c>
      <c r="F8520" t="s">
        <v>34</v>
      </c>
      <c r="G8520" t="str">
        <f t="shared" si="348"/>
        <v>031RUBICON</v>
      </c>
      <c r="H8520" s="8">
        <f>VLOOKUP(G8520,[5]Astroflores!$G$2:$H$110,2,FALSE)</f>
        <v>3930</v>
      </c>
      <c r="I8520" s="6">
        <v>924.39958333667107</v>
      </c>
      <c r="J8520" s="5">
        <v>6720</v>
      </c>
      <c r="K8520" s="6">
        <f t="shared" si="347"/>
        <v>4.251408233887827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48</v>
      </c>
      <c r="F8521" t="s">
        <v>13</v>
      </c>
      <c r="G8521" t="str">
        <f t="shared" si="348"/>
        <v>031SOMERSET</v>
      </c>
      <c r="H8521" s="8">
        <f>VLOOKUP(G8521,[5]Astroflores!$G$2:$H$110,2,FALSE)</f>
        <v>720</v>
      </c>
      <c r="I8521" s="6">
        <v>1122.485208333339</v>
      </c>
      <c r="J8521" s="5">
        <v>8160</v>
      </c>
      <c r="K8521" s="6">
        <f t="shared" si="347"/>
        <v>0.64143384220541555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48</v>
      </c>
      <c r="F8522" t="s">
        <v>50</v>
      </c>
      <c r="G8522" t="str">
        <f t="shared" si="348"/>
        <v>031VELVET BLOSSOMS</v>
      </c>
      <c r="H8522" s="8">
        <f>VLOOKUP(G8522,[5]Astroflores!$G$2:$H$110,2,FALSE)</f>
        <v>800</v>
      </c>
      <c r="I8522" s="6">
        <v>396.17125000000198</v>
      </c>
      <c r="J8522" s="5">
        <v>2880</v>
      </c>
      <c r="K8522" s="6">
        <f t="shared" si="347"/>
        <v>2.0193287624985308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51</v>
      </c>
      <c r="F8523" t="s">
        <v>17</v>
      </c>
      <c r="G8523" t="str">
        <f t="shared" si="348"/>
        <v>032ELBA</v>
      </c>
      <c r="H8523" s="8">
        <f>VLOOKUP(G8523,[5]Astroflores!$G$2:$H$110,2,FALSE)</f>
        <v>4800</v>
      </c>
      <c r="I8523" s="6">
        <v>1535.9749999999999</v>
      </c>
      <c r="J8523" s="5">
        <v>11200</v>
      </c>
      <c r="K8523" s="6">
        <f t="shared" si="347"/>
        <v>3.1250508634580645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51</v>
      </c>
      <c r="F8524" t="s">
        <v>44</v>
      </c>
      <c r="G8524" t="str">
        <f t="shared" si="348"/>
        <v>032MIRABEL</v>
      </c>
      <c r="H8524" s="8">
        <f>VLOOKUP(G8524,[5]Astroflores!$G$2:$H$110,2,FALSE)</f>
        <v>3820</v>
      </c>
      <c r="I8524" s="6">
        <v>1535.9749999999999</v>
      </c>
      <c r="J8524" s="5">
        <v>11200</v>
      </c>
      <c r="K8524" s="6">
        <f t="shared" si="347"/>
        <v>2.487019645502043</v>
      </c>
    </row>
    <row r="8525" spans="1:11">
      <c r="A8525" s="4">
        <v>2026</v>
      </c>
      <c r="B8525">
        <v>27</v>
      </c>
      <c r="C8525" t="s">
        <v>10</v>
      </c>
      <c r="D8525" t="s">
        <v>11</v>
      </c>
      <c r="E8525" t="s">
        <v>52</v>
      </c>
      <c r="F8525" t="s">
        <v>53</v>
      </c>
      <c r="G8525" t="str">
        <f t="shared" si="348"/>
        <v>033CREAMY FOLIES</v>
      </c>
      <c r="H8525" s="8">
        <f>VLOOKUP(G8525,[5]Astroflores!$G$2:$H$110,2,FALSE)</f>
        <v>1410</v>
      </c>
      <c r="I8525" s="6">
        <v>594.25687500000299</v>
      </c>
      <c r="J8525" s="5">
        <v>4320</v>
      </c>
      <c r="K8525" s="6">
        <f t="shared" si="347"/>
        <v>2.3727112959357735</v>
      </c>
    </row>
    <row r="8526" spans="1:11">
      <c r="A8526" s="4">
        <v>2026</v>
      </c>
      <c r="B8526">
        <v>27</v>
      </c>
      <c r="C8526" t="s">
        <v>10</v>
      </c>
      <c r="D8526" t="s">
        <v>11</v>
      </c>
      <c r="E8526" t="s">
        <v>52</v>
      </c>
      <c r="F8526" t="s">
        <v>18</v>
      </c>
      <c r="G8526" t="str">
        <f t="shared" si="348"/>
        <v>033HOT BUBBLES</v>
      </c>
      <c r="H8526" s="8">
        <f>VLOOKUP(G8526,[5]Astroflores!$G$2:$H$110,2,FALSE)</f>
        <v>4240</v>
      </c>
      <c r="I8526" s="6">
        <v>2575.1131250013459</v>
      </c>
      <c r="J8526" s="5">
        <v>18720</v>
      </c>
      <c r="K8526" s="6">
        <f t="shared" si="347"/>
        <v>1.6465296063441035</v>
      </c>
    </row>
    <row r="8527" spans="1:11">
      <c r="A8527" s="4">
        <v>2026</v>
      </c>
      <c r="B8527">
        <v>27</v>
      </c>
      <c r="C8527" t="s">
        <v>54</v>
      </c>
      <c r="D8527" t="s">
        <v>11</v>
      </c>
      <c r="E8527" t="s">
        <v>55</v>
      </c>
      <c r="F8527" t="s">
        <v>56</v>
      </c>
      <c r="G8527" t="str">
        <f t="shared" si="348"/>
        <v>001BELIEVE IN PINK</v>
      </c>
      <c r="H8527" s="8">
        <f>VLOOKUP(G8527,[5]Astroflores!$G$2:$H$110,2,FALSE)</f>
        <v>1260</v>
      </c>
      <c r="I8527" s="6">
        <v>528.37931032368999</v>
      </c>
      <c r="J8527" s="5">
        <v>4000</v>
      </c>
      <c r="K8527" s="6">
        <f t="shared" ref="K8527:K8532" si="349">IFERROR(H8527/I8527,"")</f>
        <v>2.3846505254494397</v>
      </c>
    </row>
    <row r="8528" spans="1:11">
      <c r="A8528" s="4">
        <v>2026</v>
      </c>
      <c r="B8528">
        <v>27</v>
      </c>
      <c r="C8528" t="s">
        <v>54</v>
      </c>
      <c r="D8528" t="s">
        <v>11</v>
      </c>
      <c r="E8528" t="s">
        <v>55</v>
      </c>
      <c r="F8528" t="s">
        <v>57</v>
      </c>
      <c r="G8528" t="str">
        <f t="shared" si="348"/>
        <v>001EXPLORER</v>
      </c>
      <c r="H8528" s="8">
        <f>VLOOKUP(G8528,[5]Astroflores!$G$2:$H$110,2,FALSE)</f>
        <v>5700</v>
      </c>
      <c r="I8528" s="6">
        <v>2272.0310343918732</v>
      </c>
      <c r="J8528" s="5">
        <v>17200</v>
      </c>
      <c r="K8528" s="6">
        <f t="shared" si="349"/>
        <v>2.5087685483687285</v>
      </c>
    </row>
    <row r="8529" spans="1:11">
      <c r="A8529" s="4">
        <v>2026</v>
      </c>
      <c r="B8529">
        <v>27</v>
      </c>
      <c r="C8529" t="s">
        <v>54</v>
      </c>
      <c r="D8529" t="s">
        <v>11</v>
      </c>
      <c r="E8529" t="s">
        <v>55</v>
      </c>
      <c r="F8529" t="s">
        <v>58</v>
      </c>
      <c r="G8529" t="str">
        <f t="shared" si="348"/>
        <v>001GRACE KELLY</v>
      </c>
      <c r="H8529" s="8">
        <f>VLOOKUP(G8529,[5]Astroflores!$G$2:$H$110,2,FALSE)</f>
        <v>1950</v>
      </c>
      <c r="I8529" s="6">
        <v>1162.4344827121224</v>
      </c>
      <c r="J8529" s="5">
        <v>8800</v>
      </c>
      <c r="K8529" s="6">
        <f t="shared" si="349"/>
        <v>1.6775138977728681</v>
      </c>
    </row>
    <row r="8530" spans="1:11">
      <c r="A8530" s="4">
        <v>2026</v>
      </c>
      <c r="B8530">
        <v>27</v>
      </c>
      <c r="C8530" t="s">
        <v>54</v>
      </c>
      <c r="D8530" t="s">
        <v>11</v>
      </c>
      <c r="E8530" t="s">
        <v>55</v>
      </c>
      <c r="F8530" t="s">
        <v>60</v>
      </c>
      <c r="G8530" t="str">
        <f t="shared" si="348"/>
        <v>001LIGHT HOUSE</v>
      </c>
      <c r="H8530" s="8">
        <f>VLOOKUP(G8530,[5]Astroflores!$G$2:$H$110,2,FALSE)</f>
        <v>2760</v>
      </c>
      <c r="I8530" s="6">
        <v>1056.7586206473827</v>
      </c>
      <c r="J8530" s="5">
        <v>8000</v>
      </c>
      <c r="K8530" s="6">
        <f t="shared" si="349"/>
        <v>2.6117600993017609</v>
      </c>
    </row>
    <row r="8531" spans="1:11">
      <c r="A8531" s="4">
        <v>2026</v>
      </c>
      <c r="B8531">
        <v>27</v>
      </c>
      <c r="C8531" t="s">
        <v>54</v>
      </c>
      <c r="D8531" t="s">
        <v>11</v>
      </c>
      <c r="E8531" t="s">
        <v>55</v>
      </c>
      <c r="F8531" t="s">
        <v>61</v>
      </c>
      <c r="G8531" t="str">
        <f t="shared" si="348"/>
        <v>001LUMIA</v>
      </c>
      <c r="H8531" s="8">
        <f>VLOOKUP(G8531,[5]Astroflores!$G$2:$H$110,2,FALSE)</f>
        <v>2040</v>
      </c>
      <c r="I8531" s="6">
        <v>1109.596551679753</v>
      </c>
      <c r="J8531" s="5">
        <v>8400</v>
      </c>
      <c r="K8531" s="6">
        <f t="shared" si="349"/>
        <v>1.8385060740426453</v>
      </c>
    </row>
    <row r="8532" spans="1:11">
      <c r="A8532" s="4">
        <v>2026</v>
      </c>
      <c r="B8532">
        <v>27</v>
      </c>
      <c r="C8532" t="s">
        <v>54</v>
      </c>
      <c r="D8532" t="s">
        <v>11</v>
      </c>
      <c r="E8532" t="s">
        <v>55</v>
      </c>
      <c r="F8532" t="s">
        <v>62</v>
      </c>
      <c r="G8532" t="str">
        <f t="shared" si="348"/>
        <v>001MOMENTUM</v>
      </c>
      <c r="H8532" s="8">
        <f>VLOOKUP(G8532,[5]Astroflores!$G$2:$H$110,2,FALSE)</f>
        <v>4275</v>
      </c>
      <c r="I8532" s="6">
        <v>1902.1655171652881</v>
      </c>
      <c r="J8532" s="5">
        <v>14400</v>
      </c>
      <c r="K8532" s="6">
        <f t="shared" si="349"/>
        <v>2.2474384912469869</v>
      </c>
    </row>
    <row r="8533" spans="1:11">
      <c r="A8533" s="4">
        <v>2026</v>
      </c>
      <c r="B8533">
        <v>27</v>
      </c>
      <c r="C8533" t="s">
        <v>54</v>
      </c>
      <c r="D8533" t="s">
        <v>11</v>
      </c>
      <c r="E8533" t="s">
        <v>12</v>
      </c>
      <c r="F8533" t="s">
        <v>63</v>
      </c>
      <c r="G8533" t="str">
        <f t="shared" si="348"/>
        <v>002SUMMER ROMANCE</v>
      </c>
      <c r="H8533" s="8">
        <f>VLOOKUP(G8533,[5]Astroflores!$G$2:$H$110,2,FALSE)</f>
        <v>1200</v>
      </c>
      <c r="I8533" s="6">
        <v>951.10714281909407</v>
      </c>
      <c r="J8533" s="5">
        <v>7200</v>
      </c>
      <c r="K8533" s="6">
        <f t="shared" ref="K8533:K8592" si="350">+H8533/I8533</f>
        <v>1.2616875070911404</v>
      </c>
    </row>
    <row r="8534" spans="1:11">
      <c r="A8534" s="4">
        <v>2026</v>
      </c>
      <c r="B8534">
        <v>27</v>
      </c>
      <c r="C8534" t="s">
        <v>54</v>
      </c>
      <c r="D8534" t="s">
        <v>11</v>
      </c>
      <c r="E8534" t="s">
        <v>12</v>
      </c>
      <c r="F8534" t="s">
        <v>64</v>
      </c>
      <c r="G8534" t="str">
        <f t="shared" si="348"/>
        <v>002SWEETNESS</v>
      </c>
      <c r="H8534" s="8">
        <f>VLOOKUP(G8534,[5]Astroflores!$G$2:$H$110,2,FALSE)</f>
        <v>5790</v>
      </c>
      <c r="I8534" s="6">
        <v>3804.4285712763772</v>
      </c>
      <c r="J8534" s="5">
        <v>28800</v>
      </c>
      <c r="K8534" s="6">
        <f t="shared" si="350"/>
        <v>1.5219105554286878</v>
      </c>
    </row>
    <row r="8535" spans="1:11">
      <c r="A8535" s="4">
        <v>2026</v>
      </c>
      <c r="B8535">
        <v>27</v>
      </c>
      <c r="C8535" t="s">
        <v>54</v>
      </c>
      <c r="D8535" t="s">
        <v>11</v>
      </c>
      <c r="E8535" t="s">
        <v>65</v>
      </c>
      <c r="F8535" t="s">
        <v>66</v>
      </c>
      <c r="G8535" t="str">
        <f t="shared" si="348"/>
        <v>003CABARET</v>
      </c>
      <c r="H8535" s="8">
        <f>VLOOKUP(G8535,[5]Astroflores!$G$2:$H$110,2,FALSE)</f>
        <v>8850</v>
      </c>
      <c r="I8535" s="6">
        <v>2641.8965516184649</v>
      </c>
      <c r="J8535" s="5">
        <v>20000</v>
      </c>
      <c r="K8535" s="6">
        <f t="shared" si="350"/>
        <v>3.3498662143218132</v>
      </c>
    </row>
    <row r="8536" spans="1:11">
      <c r="A8536" s="4">
        <v>2026</v>
      </c>
      <c r="B8536">
        <v>27</v>
      </c>
      <c r="C8536" t="s">
        <v>54</v>
      </c>
      <c r="D8536" t="s">
        <v>11</v>
      </c>
      <c r="E8536" t="s">
        <v>65</v>
      </c>
      <c r="F8536" t="s">
        <v>67</v>
      </c>
      <c r="G8536" t="str">
        <f t="shared" si="348"/>
        <v>003DEEP PURPLE</v>
      </c>
      <c r="H8536" s="8">
        <f>VLOOKUP(G8536,[5]Astroflores!$G$2:$H$110,2,FALSE)</f>
        <v>14310</v>
      </c>
      <c r="I8536" s="6">
        <v>3592.9793102010913</v>
      </c>
      <c r="J8536" s="5">
        <v>26044</v>
      </c>
      <c r="K8536" s="6">
        <f t="shared" si="350"/>
        <v>3.9827671591014813</v>
      </c>
    </row>
    <row r="8537" spans="1:11">
      <c r="A8537" s="4">
        <v>2026</v>
      </c>
      <c r="B8537">
        <v>27</v>
      </c>
      <c r="C8537" t="s">
        <v>54</v>
      </c>
      <c r="D8537" t="s">
        <v>11</v>
      </c>
      <c r="E8537" t="s">
        <v>65</v>
      </c>
      <c r="F8537" t="s">
        <v>57</v>
      </c>
      <c r="G8537" t="str">
        <f t="shared" si="348"/>
        <v>003EXPLORER</v>
      </c>
      <c r="H8537" s="8">
        <f>VLOOKUP(G8537,[5]Astroflores!$G$2:$H$110,2,FALSE)</f>
        <v>3075</v>
      </c>
      <c r="I8537" s="6">
        <v>1268.1103447768633</v>
      </c>
      <c r="J8537" s="5">
        <v>9600</v>
      </c>
      <c r="K8537" s="6">
        <f t="shared" si="350"/>
        <v>2.4248678458191089</v>
      </c>
    </row>
    <row r="8538" spans="1:11">
      <c r="A8538" s="4">
        <v>2026</v>
      </c>
      <c r="B8538">
        <v>27</v>
      </c>
      <c r="C8538" t="s">
        <v>54</v>
      </c>
      <c r="D8538" t="s">
        <v>11</v>
      </c>
      <c r="E8538" t="s">
        <v>65</v>
      </c>
      <c r="F8538" t="s">
        <v>68</v>
      </c>
      <c r="G8538" t="str">
        <f t="shared" si="348"/>
        <v>003JOCKER</v>
      </c>
      <c r="H8538" s="8">
        <f>VLOOKUP(G8538,[5]Astroflores!$G$2:$H$110,2,FALSE)</f>
        <v>1300</v>
      </c>
      <c r="I8538" s="6">
        <v>528.37931032368999</v>
      </c>
      <c r="J8538" s="5">
        <v>4000</v>
      </c>
      <c r="K8538" s="6">
        <f t="shared" si="350"/>
        <v>2.460353716733549</v>
      </c>
    </row>
    <row r="8539" spans="1:11">
      <c r="A8539" s="4">
        <v>2026</v>
      </c>
      <c r="B8539">
        <v>27</v>
      </c>
      <c r="C8539" t="s">
        <v>54</v>
      </c>
      <c r="D8539" t="s">
        <v>11</v>
      </c>
      <c r="E8539" t="s">
        <v>65</v>
      </c>
      <c r="F8539" t="s">
        <v>69</v>
      </c>
      <c r="G8539" t="str">
        <f t="shared" si="348"/>
        <v>003QUICKSAND</v>
      </c>
      <c r="H8539" s="8">
        <f>VLOOKUP(G8539,[5]Astroflores!$G$2:$H$110,2,FALSE)</f>
        <v>2040</v>
      </c>
      <c r="I8539" s="6">
        <v>1162.4344827121247</v>
      </c>
      <c r="J8539" s="5">
        <v>8800</v>
      </c>
      <c r="K8539" s="6">
        <f t="shared" si="350"/>
        <v>1.7549376161316124</v>
      </c>
    </row>
    <row r="8540" spans="1:11">
      <c r="A8540" s="4">
        <v>2026</v>
      </c>
      <c r="B8540">
        <v>27</v>
      </c>
      <c r="C8540" t="s">
        <v>54</v>
      </c>
      <c r="D8540" t="s">
        <v>11</v>
      </c>
      <c r="E8540" t="s">
        <v>14</v>
      </c>
      <c r="F8540" t="s">
        <v>70</v>
      </c>
      <c r="G8540" t="str">
        <f t="shared" si="348"/>
        <v>004COTOPAXI</v>
      </c>
      <c r="H8540" s="8">
        <f>VLOOKUP(G8540,[5]Astroflores!$G$2:$H$110,2,FALSE)</f>
        <v>2010</v>
      </c>
      <c r="I8540" s="6">
        <v>528.3915024419166</v>
      </c>
      <c r="J8540" s="5">
        <v>4000</v>
      </c>
      <c r="K8540" s="6">
        <f t="shared" si="350"/>
        <v>3.8039975864694173</v>
      </c>
    </row>
    <row r="8541" spans="1:11">
      <c r="A8541" s="4">
        <v>2026</v>
      </c>
      <c r="B8541">
        <v>27</v>
      </c>
      <c r="C8541" t="s">
        <v>54</v>
      </c>
      <c r="D8541" t="s">
        <v>11</v>
      </c>
      <c r="E8541" t="s">
        <v>14</v>
      </c>
      <c r="F8541" t="s">
        <v>67</v>
      </c>
      <c r="G8541" t="str">
        <f t="shared" si="348"/>
        <v>004DEEP PURPLE</v>
      </c>
      <c r="H8541" s="8">
        <f>VLOOKUP(G8541,[5]Astroflores!$G$2:$H$110,2,FALSE)</f>
        <v>21360</v>
      </c>
      <c r="I8541" s="6">
        <v>3910.1071427007282</v>
      </c>
      <c r="J8541" s="5">
        <v>29260</v>
      </c>
      <c r="K8541" s="6">
        <f t="shared" si="350"/>
        <v>5.4627659090810878</v>
      </c>
    </row>
    <row r="8542" spans="1:11">
      <c r="A8542" s="4">
        <v>2026</v>
      </c>
      <c r="B8542">
        <v>27</v>
      </c>
      <c r="C8542" t="s">
        <v>54</v>
      </c>
      <c r="D8542" t="s">
        <v>11</v>
      </c>
      <c r="E8542" t="s">
        <v>14</v>
      </c>
      <c r="F8542" t="s">
        <v>71</v>
      </c>
      <c r="G8542" t="str">
        <f t="shared" si="348"/>
        <v>004HOT EXPLORER</v>
      </c>
      <c r="H8542" s="8">
        <f>VLOOKUP(G8542,[5]Astroflores!$G$2:$H$110,2,FALSE)</f>
        <v>3900</v>
      </c>
      <c r="I8542" s="6">
        <v>1902.2142856381945</v>
      </c>
      <c r="J8542" s="5">
        <v>14400</v>
      </c>
      <c r="K8542" s="6">
        <f t="shared" si="350"/>
        <v>2.0502421990230961</v>
      </c>
    </row>
    <row r="8543" spans="1:11">
      <c r="A8543" s="4">
        <v>2026</v>
      </c>
      <c r="B8543">
        <v>27</v>
      </c>
      <c r="C8543" t="s">
        <v>54</v>
      </c>
      <c r="D8543" t="s">
        <v>11</v>
      </c>
      <c r="E8543" t="s">
        <v>14</v>
      </c>
      <c r="F8543" t="s">
        <v>72</v>
      </c>
      <c r="G8543" t="str">
        <f t="shared" si="348"/>
        <v>004HOT MERENGUE</v>
      </c>
      <c r="H8543" s="8">
        <f>VLOOKUP(G8543,[5]Astroflores!$G$2:$H$110,2,FALSE)</f>
        <v>3210</v>
      </c>
      <c r="I8543" s="6">
        <v>1162.4642856677858</v>
      </c>
      <c r="J8543" s="5">
        <v>8800</v>
      </c>
      <c r="K8543" s="6">
        <f t="shared" si="350"/>
        <v>2.7613751575653724</v>
      </c>
    </row>
    <row r="8544" spans="1:11">
      <c r="A8544" s="4">
        <v>2026</v>
      </c>
      <c r="B8544">
        <v>27</v>
      </c>
      <c r="C8544" t="s">
        <v>54</v>
      </c>
      <c r="D8544" t="s">
        <v>11</v>
      </c>
      <c r="E8544" t="s">
        <v>14</v>
      </c>
      <c r="F8544" t="s">
        <v>64</v>
      </c>
      <c r="G8544" t="str">
        <f t="shared" si="348"/>
        <v>004SWEETNESS</v>
      </c>
      <c r="H8544" s="8">
        <f>VLOOKUP(G8544,[5]Astroflores!$G$2:$H$110,2,FALSE)</f>
        <v>510</v>
      </c>
      <c r="I8544" s="6">
        <v>317.03571427303262</v>
      </c>
      <c r="J8544" s="5">
        <v>2400</v>
      </c>
      <c r="K8544" s="6">
        <f t="shared" si="350"/>
        <v>1.6086515715411975</v>
      </c>
    </row>
    <row r="8545" spans="1:11">
      <c r="A8545" s="4">
        <v>2026</v>
      </c>
      <c r="B8545">
        <v>27</v>
      </c>
      <c r="C8545" t="s">
        <v>54</v>
      </c>
      <c r="D8545" t="s">
        <v>11</v>
      </c>
      <c r="E8545" t="s">
        <v>16</v>
      </c>
      <c r="F8545" t="s">
        <v>57</v>
      </c>
      <c r="G8545" t="str">
        <f t="shared" si="348"/>
        <v>005EXPLORER</v>
      </c>
      <c r="H8545" s="8">
        <f>VLOOKUP(G8545,[5]Astroflores!$G$2:$H$110,2,FALSE)</f>
        <v>1925</v>
      </c>
      <c r="I8545" s="6">
        <v>951.10714281875391</v>
      </c>
      <c r="J8545" s="5">
        <v>7200</v>
      </c>
      <c r="K8545" s="6">
        <f t="shared" si="350"/>
        <v>2.0239570426260949</v>
      </c>
    </row>
    <row r="8546" spans="1:11">
      <c r="A8546" s="4">
        <v>2026</v>
      </c>
      <c r="B8546">
        <v>27</v>
      </c>
      <c r="C8546" t="s">
        <v>54</v>
      </c>
      <c r="D8546" t="s">
        <v>11</v>
      </c>
      <c r="E8546" t="s">
        <v>16</v>
      </c>
      <c r="F8546" t="s">
        <v>73</v>
      </c>
      <c r="G8546" t="str">
        <f t="shared" si="348"/>
        <v>005GOLDFINCH</v>
      </c>
      <c r="H8546" s="8">
        <f>VLOOKUP(G8546,[5]Astroflores!$G$2:$H$110,2,FALSE)</f>
        <v>1175</v>
      </c>
      <c r="I8546" s="6">
        <v>898.26785710660101</v>
      </c>
      <c r="J8546" s="5">
        <v>6800</v>
      </c>
      <c r="K8546" s="6">
        <f t="shared" si="350"/>
        <v>1.3080730772052529</v>
      </c>
    </row>
    <row r="8547" spans="1:11">
      <c r="A8547" s="4">
        <v>2026</v>
      </c>
      <c r="B8547">
        <v>27</v>
      </c>
      <c r="C8547" t="s">
        <v>54</v>
      </c>
      <c r="D8547" t="s">
        <v>11</v>
      </c>
      <c r="E8547" t="s">
        <v>16</v>
      </c>
      <c r="F8547" t="s">
        <v>68</v>
      </c>
      <c r="G8547" t="str">
        <f t="shared" si="348"/>
        <v>005JOCKER</v>
      </c>
      <c r="H8547" s="8">
        <f>VLOOKUP(G8547,[5]Astroflores!$G$2:$H$110,2,FALSE)</f>
        <v>2350</v>
      </c>
      <c r="I8547" s="6">
        <v>1162.4642856673661</v>
      </c>
      <c r="J8547" s="5">
        <v>8800</v>
      </c>
      <c r="K8547" s="6">
        <f t="shared" si="350"/>
        <v>2.0215674829535724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16</v>
      </c>
      <c r="F8548" t="s">
        <v>74</v>
      </c>
      <c r="G8548" t="str">
        <f t="shared" si="348"/>
        <v>005VENDELA</v>
      </c>
      <c r="H8548" s="8">
        <f>VLOOKUP(G8548,[5]Astroflores!$G$2:$H$110,2,FALSE)</f>
        <v>1680</v>
      </c>
      <c r="I8548" s="6">
        <v>686.91071425798896</v>
      </c>
      <c r="J8548" s="5">
        <v>5200</v>
      </c>
      <c r="K8548" s="6">
        <f t="shared" si="350"/>
        <v>2.4457327060544696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75</v>
      </c>
      <c r="F8549" t="s">
        <v>76</v>
      </c>
      <c r="G8549" t="str">
        <f t="shared" si="348"/>
        <v>006ATOMIC</v>
      </c>
      <c r="H8549" s="8">
        <f>VLOOKUP(G8549,[5]Astroflores!$G$2:$H$110,2,FALSE)</f>
        <v>1275</v>
      </c>
      <c r="I8549" s="6">
        <v>845.428571394752</v>
      </c>
      <c r="J8549" s="5">
        <v>6400</v>
      </c>
      <c r="K8549" s="6">
        <f t="shared" si="350"/>
        <v>1.5081108483198757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75</v>
      </c>
      <c r="F8550" t="s">
        <v>57</v>
      </c>
      <c r="G8550" t="str">
        <f t="shared" si="348"/>
        <v>006EXPLORER</v>
      </c>
      <c r="H8550" s="8">
        <f>VLOOKUP(G8550,[5]Astroflores!$G$2:$H$110,2,FALSE)</f>
        <v>8050</v>
      </c>
      <c r="I8550" s="6">
        <v>3910.1071427007355</v>
      </c>
      <c r="J8550" s="5">
        <v>29600</v>
      </c>
      <c r="K8550" s="6">
        <f t="shared" si="350"/>
        <v>2.0587671146115487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75</v>
      </c>
      <c r="F8551" t="s">
        <v>77</v>
      </c>
      <c r="G8551" t="str">
        <f t="shared" si="348"/>
        <v>006MONDIAL</v>
      </c>
      <c r="H8551" s="8">
        <f>VLOOKUP(G8551,[5]Astroflores!$G$2:$H$110,2,FALSE)</f>
        <v>6625</v>
      </c>
      <c r="I8551" s="6">
        <v>4015.7857141250793</v>
      </c>
      <c r="J8551" s="5">
        <v>30400</v>
      </c>
      <c r="K8551" s="6">
        <f t="shared" si="350"/>
        <v>1.6497394212787051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20</v>
      </c>
      <c r="F8552" t="s">
        <v>70</v>
      </c>
      <c r="G8552" t="str">
        <f t="shared" si="348"/>
        <v>007COTOPAXI</v>
      </c>
      <c r="H8552" s="8">
        <f>VLOOKUP(G8552,[5]Astroflores!$G$2:$H$110,2,FALSE)</f>
        <v>8100</v>
      </c>
      <c r="I8552" s="6">
        <v>2747.5751230427709</v>
      </c>
      <c r="J8552" s="5">
        <v>20800</v>
      </c>
      <c r="K8552" s="6">
        <f t="shared" si="350"/>
        <v>2.9480540612224453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20</v>
      </c>
      <c r="F8553" t="s">
        <v>78</v>
      </c>
      <c r="G8553" t="str">
        <f t="shared" si="348"/>
        <v>007REDIANT</v>
      </c>
      <c r="H8553" s="8">
        <f>VLOOKUP(G8553,[5]Astroflores!$G$2:$H$110,2,FALSE)</f>
        <v>1920</v>
      </c>
      <c r="I8553" s="6">
        <v>1056.75862064738</v>
      </c>
      <c r="J8553" s="5">
        <v>9600</v>
      </c>
      <c r="K8553" s="6">
        <f t="shared" si="350"/>
        <v>1.8168765908186209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20</v>
      </c>
      <c r="F8554" t="s">
        <v>74</v>
      </c>
      <c r="G8554" t="str">
        <f t="shared" si="348"/>
        <v>007VENDELA</v>
      </c>
      <c r="H8554" s="8">
        <f>VLOOKUP(G8554,[5]Astroflores!$G$2:$H$110,2,FALSE)</f>
        <v>9210</v>
      </c>
      <c r="I8554" s="6">
        <v>3592.9793102011122</v>
      </c>
      <c r="J8554" s="5">
        <v>27820</v>
      </c>
      <c r="K8554" s="6">
        <f t="shared" si="350"/>
        <v>2.5633323225244187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79</v>
      </c>
      <c r="F8555" t="s">
        <v>67</v>
      </c>
      <c r="G8555" t="str">
        <f t="shared" si="348"/>
        <v>008DEEP PURPLE</v>
      </c>
      <c r="H8555" s="8">
        <f>VLOOKUP(G8555,[5]Astroflores!$G$2:$H$110,2,FALSE)</f>
        <v>8190</v>
      </c>
      <c r="I8555" s="6">
        <v>1585.2222221588099</v>
      </c>
      <c r="J8555" s="5">
        <v>11490</v>
      </c>
      <c r="K8555" s="6">
        <f t="shared" si="350"/>
        <v>5.1664680733825303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79</v>
      </c>
      <c r="F8556" t="s">
        <v>81</v>
      </c>
      <c r="G8556" t="str">
        <f t="shared" si="348"/>
        <v>008FREEDOM</v>
      </c>
      <c r="H8556" s="8">
        <f>VLOOKUP(G8556,[5]Astroflores!$G$2:$H$110,2,FALSE)</f>
        <v>4380</v>
      </c>
      <c r="I8556" s="6">
        <v>2219.311111022334</v>
      </c>
      <c r="J8556" s="5">
        <v>16800</v>
      </c>
      <c r="K8556" s="6">
        <f t="shared" si="350"/>
        <v>1.973585396948847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79</v>
      </c>
      <c r="F8557" t="s">
        <v>68</v>
      </c>
      <c r="G8557" t="str">
        <f t="shared" si="348"/>
        <v>008JOCKER</v>
      </c>
      <c r="H8557" s="8">
        <f>VLOOKUP(G8557,[5]Astroflores!$G$2:$H$110,2,FALSE)</f>
        <v>5500</v>
      </c>
      <c r="I8557" s="6">
        <v>2959.0814813631118</v>
      </c>
      <c r="J8557" s="5">
        <v>22400</v>
      </c>
      <c r="K8557" s="6">
        <f t="shared" si="350"/>
        <v>1.8586848772634692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82</v>
      </c>
      <c r="F8558" t="s">
        <v>83</v>
      </c>
      <c r="G8558" t="str">
        <f t="shared" ref="G8558:G8620" si="351">+E8558&amp;F8558</f>
        <v>010COOLDOWN</v>
      </c>
      <c r="H8558" s="8">
        <f>VLOOKUP(G8558,[5]Astroflores!$G$2:$H$110,2,FALSE)</f>
        <v>3520</v>
      </c>
      <c r="I8558" s="6">
        <v>1912.3542857142861</v>
      </c>
      <c r="J8558" s="5">
        <v>16320</v>
      </c>
      <c r="K8558" s="6">
        <f t="shared" si="350"/>
        <v>1.8406631168163696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82</v>
      </c>
      <c r="F8559" t="s">
        <v>84</v>
      </c>
      <c r="G8559" t="str">
        <f t="shared" si="351"/>
        <v>010VIOLET HILL</v>
      </c>
      <c r="H8559" s="8">
        <f>VLOOKUP(G8559,[5]Astroflores!$G$2:$H$110,2,FALSE)</f>
        <v>6180</v>
      </c>
      <c r="I8559" s="6">
        <v>2812.2857142428579</v>
      </c>
      <c r="J8559" s="5">
        <v>20000</v>
      </c>
      <c r="K8559" s="6">
        <f t="shared" si="350"/>
        <v>2.1975007619963041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85</v>
      </c>
      <c r="F8560" t="s">
        <v>86</v>
      </c>
      <c r="G8560" t="str">
        <f t="shared" si="351"/>
        <v>011BRIGHTON</v>
      </c>
      <c r="H8560" s="8">
        <f>VLOOKUP(G8560,[5]Astroflores!$G$2:$H$110,2,FALSE)</f>
        <v>3325</v>
      </c>
      <c r="I8560" s="6">
        <v>1768.8376470588223</v>
      </c>
      <c r="J8560" s="5">
        <v>12800</v>
      </c>
      <c r="K8560" s="6">
        <f t="shared" si="350"/>
        <v>1.8797655090215455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85</v>
      </c>
      <c r="F8561" t="s">
        <v>87</v>
      </c>
      <c r="G8561" t="str">
        <f t="shared" si="351"/>
        <v>011CANDLELIGHT</v>
      </c>
      <c r="H8561" s="8">
        <f>VLOOKUP(G8561,[5]Astroflores!$G$2:$H$110,2,FALSE)</f>
        <v>7180</v>
      </c>
      <c r="I8561" s="6">
        <v>2263.7999998868127</v>
      </c>
      <c r="J8561" s="5">
        <v>17920</v>
      </c>
      <c r="K8561" s="6">
        <f t="shared" si="350"/>
        <v>3.1716582738576693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85</v>
      </c>
      <c r="F8562" t="s">
        <v>88</v>
      </c>
      <c r="G8562" t="str">
        <f t="shared" si="351"/>
        <v>011CAYENNE</v>
      </c>
      <c r="H8562" s="8">
        <f>VLOOKUP(G8562,[5]Astroflores!$G$2:$H$110,2,FALSE)</f>
        <v>1650</v>
      </c>
      <c r="I8562" s="6">
        <v>994.97117647058747</v>
      </c>
      <c r="J8562" s="5">
        <v>7200</v>
      </c>
      <c r="K8562" s="6">
        <f t="shared" si="350"/>
        <v>1.6583394966806619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85</v>
      </c>
      <c r="F8563" t="s">
        <v>61</v>
      </c>
      <c r="G8563" t="str">
        <f t="shared" si="351"/>
        <v>011LUMIA</v>
      </c>
      <c r="H8563" s="8">
        <f>VLOOKUP(G8563,[5]Astroflores!$G$2:$H$110,2,FALSE)</f>
        <v>1890</v>
      </c>
      <c r="I8563" s="6">
        <v>994.97117647058747</v>
      </c>
      <c r="J8563" s="5">
        <v>7920</v>
      </c>
      <c r="K8563" s="6">
        <f t="shared" si="350"/>
        <v>1.8995525143796672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85</v>
      </c>
      <c r="F8564" t="s">
        <v>89</v>
      </c>
      <c r="G8564" t="str">
        <f t="shared" si="351"/>
        <v>011STARDUST</v>
      </c>
      <c r="H8564" s="8">
        <f>VLOOKUP(G8564,[5]Astroflores!$G$2:$H$110,2,FALSE)</f>
        <v>3800</v>
      </c>
      <c r="I8564" s="6">
        <v>2263.7999998868127</v>
      </c>
      <c r="J8564" s="5">
        <v>17920</v>
      </c>
      <c r="K8564" s="6">
        <f t="shared" si="350"/>
        <v>1.678593515412137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90</v>
      </c>
      <c r="F8565" t="s">
        <v>67</v>
      </c>
      <c r="G8565" t="str">
        <f t="shared" si="351"/>
        <v>012DEEP PURPLE</v>
      </c>
      <c r="H8565" s="8">
        <f>VLOOKUP(G8565,[5]Astroflores!$G$2:$H$110,2,FALSE)</f>
        <v>22050</v>
      </c>
      <c r="I8565" s="6">
        <v>6727.0499997982479</v>
      </c>
      <c r="J8565" s="5">
        <v>49210</v>
      </c>
      <c r="K8565" s="6">
        <f t="shared" si="350"/>
        <v>3.2778112249293976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90</v>
      </c>
      <c r="F8566" t="s">
        <v>60</v>
      </c>
      <c r="G8566" t="str">
        <f t="shared" si="351"/>
        <v>012LIGHT HOUSE</v>
      </c>
      <c r="H8566" s="8">
        <f>VLOOKUP(G8566,[5]Astroflores!$G$2:$H$110,2,FALSE)</f>
        <v>2040</v>
      </c>
      <c r="I8566" s="6">
        <v>994.95</v>
      </c>
      <c r="J8566" s="5">
        <v>7200</v>
      </c>
      <c r="K8566" s="6">
        <f t="shared" si="350"/>
        <v>2.0503542891602593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91</v>
      </c>
      <c r="F8567" t="s">
        <v>92</v>
      </c>
      <c r="G8567" t="str">
        <f t="shared" si="351"/>
        <v>013COUNTRY BLUES</v>
      </c>
      <c r="H8567" s="8">
        <f>VLOOKUP(G8567,[5]Astroflores!$G$2:$H$110,2,FALSE)</f>
        <v>1240</v>
      </c>
      <c r="I8567" s="6">
        <v>831.6</v>
      </c>
      <c r="J8567" s="5">
        <v>6300</v>
      </c>
      <c r="K8567" s="6">
        <f t="shared" si="350"/>
        <v>1.491101491101491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91</v>
      </c>
      <c r="F8568" t="s">
        <v>93</v>
      </c>
      <c r="G8568" t="str">
        <f t="shared" si="351"/>
        <v>013LORRAINE</v>
      </c>
      <c r="H8568" s="8">
        <f>VLOOKUP(G8568,[5]Astroflores!$G$2:$H$110,2,FALSE)</f>
        <v>4175</v>
      </c>
      <c r="I8568" s="6">
        <v>1267.2</v>
      </c>
      <c r="J8568" s="5">
        <v>9600</v>
      </c>
      <c r="K8568" s="6">
        <f t="shared" si="350"/>
        <v>3.294665404040404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91</v>
      </c>
      <c r="F8569" t="s">
        <v>61</v>
      </c>
      <c r="G8569" t="str">
        <f t="shared" si="351"/>
        <v>013LUMIA</v>
      </c>
      <c r="H8569" s="8">
        <f>VLOOKUP(G8569,[5]Astroflores!$G$2:$H$110,2,FALSE)</f>
        <v>900</v>
      </c>
      <c r="I8569" s="6">
        <v>316.8</v>
      </c>
      <c r="J8569" s="5">
        <v>2400</v>
      </c>
      <c r="K8569" s="6">
        <f t="shared" si="350"/>
        <v>2.8409090909090908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91</v>
      </c>
      <c r="F8570" t="s">
        <v>74</v>
      </c>
      <c r="G8570" t="str">
        <f t="shared" si="351"/>
        <v>013VENDELA</v>
      </c>
      <c r="H8570" s="8">
        <f>VLOOKUP(G8570,[5]Astroflores!$G$2:$H$110,2,FALSE)</f>
        <v>13380</v>
      </c>
      <c r="I8570" s="6">
        <v>3603.6</v>
      </c>
      <c r="J8570" s="5">
        <v>27296</v>
      </c>
      <c r="K8570" s="6">
        <f t="shared" si="350"/>
        <v>3.7129537129537131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23</v>
      </c>
      <c r="F8571" t="s">
        <v>89</v>
      </c>
      <c r="G8571" t="str">
        <f t="shared" si="351"/>
        <v>014STARDUST</v>
      </c>
      <c r="H8571" s="8">
        <f>VLOOKUP(G8571,[5]Astroflores!$G$2:$H$110,2,FALSE)</f>
        <v>7475</v>
      </c>
      <c r="I8571" s="6">
        <v>3682.8</v>
      </c>
      <c r="J8571" s="5">
        <v>27900</v>
      </c>
      <c r="K8571" s="6">
        <f t="shared" si="350"/>
        <v>2.0297056587379165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25</v>
      </c>
      <c r="F8572" t="s">
        <v>68</v>
      </c>
      <c r="G8572" t="str">
        <f t="shared" si="351"/>
        <v>015JOCKER</v>
      </c>
      <c r="H8572" s="8">
        <f>VLOOKUP(G8572,[5]Astroflores!$G$2:$H$110,2,FALSE)</f>
        <v>6175</v>
      </c>
      <c r="I8572" s="6">
        <v>2376</v>
      </c>
      <c r="J8572" s="5">
        <v>18000</v>
      </c>
      <c r="K8572" s="6">
        <f t="shared" si="350"/>
        <v>2.5989057239057241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27</v>
      </c>
      <c r="F8573" t="s">
        <v>94</v>
      </c>
      <c r="G8573" t="str">
        <f t="shared" si="351"/>
        <v>016DREAM IN PEACH</v>
      </c>
      <c r="H8573" s="8">
        <f>VLOOKUP(G8573,[5]Astroflores!$G$2:$H$110,2,FALSE)</f>
        <v>2400</v>
      </c>
      <c r="I8573" s="6">
        <v>950.4</v>
      </c>
      <c r="J8573" s="5">
        <v>7200</v>
      </c>
      <c r="K8573" s="6">
        <f t="shared" si="350"/>
        <v>2.5252525252525255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27</v>
      </c>
      <c r="F8574" t="s">
        <v>95</v>
      </c>
      <c r="G8574" t="str">
        <f t="shared" si="351"/>
        <v>016NINA</v>
      </c>
      <c r="H8574" s="8">
        <f>VLOOKUP(G8574,[5]Astroflores!$G$2:$H$110,2,FALSE)</f>
        <v>4900</v>
      </c>
      <c r="I8574" s="6">
        <v>1346.4</v>
      </c>
      <c r="J8574" s="5">
        <v>10200</v>
      </c>
      <c r="K8574" s="6">
        <f t="shared" si="350"/>
        <v>3.6393345216874624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30</v>
      </c>
      <c r="F8575" t="s">
        <v>81</v>
      </c>
      <c r="G8575" t="str">
        <f t="shared" si="351"/>
        <v>017FREEDOM</v>
      </c>
      <c r="H8575" s="8">
        <f>VLOOKUP(G8575,[5]Astroflores!$G$2:$H$110,2,FALSE)</f>
        <v>5880</v>
      </c>
      <c r="I8575" s="6">
        <v>2851.2</v>
      </c>
      <c r="J8575" s="5">
        <v>21600</v>
      </c>
      <c r="K8575" s="6">
        <f t="shared" si="350"/>
        <v>2.0622895622895623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30</v>
      </c>
      <c r="F8576" t="s">
        <v>73</v>
      </c>
      <c r="G8576" t="str">
        <f t="shared" si="351"/>
        <v>017GOLDFINCH</v>
      </c>
      <c r="H8576" s="8">
        <f>VLOOKUP(G8576,[5]Astroflores!$G$2:$H$110,2,FALSE)</f>
        <v>3325</v>
      </c>
      <c r="I8576" s="6">
        <v>2138.4</v>
      </c>
      <c r="J8576" s="5">
        <v>16200</v>
      </c>
      <c r="K8576" s="6">
        <f t="shared" si="350"/>
        <v>1.5549008604564158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32</v>
      </c>
      <c r="F8577" t="s">
        <v>86</v>
      </c>
      <c r="G8577" t="str">
        <f t="shared" si="351"/>
        <v>018BRIGHTON</v>
      </c>
      <c r="H8577" s="8">
        <f>VLOOKUP(G8577,[5]Astroflores!$G$2:$H$110,2,FALSE)</f>
        <v>2700</v>
      </c>
      <c r="I8577" s="6">
        <v>963.6</v>
      </c>
      <c r="J8577" s="5">
        <v>7570</v>
      </c>
      <c r="K8577" s="6">
        <f t="shared" si="350"/>
        <v>2.8019925280199254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35</v>
      </c>
      <c r="F8578" t="s">
        <v>86</v>
      </c>
      <c r="G8578" t="str">
        <f t="shared" si="351"/>
        <v>019BRIGHTON</v>
      </c>
      <c r="H8578" s="8">
        <f>VLOOKUP(G8578,[5]Astroflores!$G$2:$H$110,2,FALSE)</f>
        <v>8350</v>
      </c>
      <c r="I8578" s="6">
        <v>3168</v>
      </c>
      <c r="J8578" s="5">
        <v>24000</v>
      </c>
      <c r="K8578" s="6">
        <f t="shared" si="350"/>
        <v>2.6357323232323231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35</v>
      </c>
      <c r="F8579" t="s">
        <v>96</v>
      </c>
      <c r="G8579" t="str">
        <f t="shared" si="351"/>
        <v>019TABATHA</v>
      </c>
      <c r="H8579" s="8">
        <f>VLOOKUP(G8579,[5]Astroflores!$G$2:$H$110,2,FALSE)</f>
        <v>2610</v>
      </c>
      <c r="I8579" s="6">
        <v>1188</v>
      </c>
      <c r="J8579" s="5">
        <v>9000</v>
      </c>
      <c r="K8579" s="6">
        <f t="shared" si="350"/>
        <v>2.1969696969696968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36</v>
      </c>
      <c r="F8580" t="s">
        <v>86</v>
      </c>
      <c r="G8580" t="str">
        <f t="shared" si="351"/>
        <v>020BRIGHTON</v>
      </c>
      <c r="H8580" s="8">
        <f>VLOOKUP(G8580,[5]Astroflores!$G$2:$H$110,2,FALSE)</f>
        <v>6700</v>
      </c>
      <c r="I8580" s="6">
        <v>2732.4</v>
      </c>
      <c r="J8580" s="5">
        <v>20700</v>
      </c>
      <c r="K8580" s="6">
        <f t="shared" si="350"/>
        <v>2.4520567998828868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36</v>
      </c>
      <c r="F8581" t="s">
        <v>97</v>
      </c>
      <c r="G8581" t="str">
        <f t="shared" si="351"/>
        <v>020TYCOON</v>
      </c>
      <c r="H8581" s="8">
        <f>VLOOKUP(G8581,[5]Astroflores!$G$2:$H$110,2,FALSE)</f>
        <v>1380</v>
      </c>
      <c r="I8581" s="6">
        <v>673.2</v>
      </c>
      <c r="J8581" s="5">
        <v>5100</v>
      </c>
      <c r="K8581" s="6">
        <f t="shared" si="350"/>
        <v>2.0499108734402851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38</v>
      </c>
      <c r="F8582" t="s">
        <v>98</v>
      </c>
      <c r="G8582" t="str">
        <f t="shared" si="351"/>
        <v>021SHOW GIRL</v>
      </c>
      <c r="H8582" s="8">
        <f>VLOOKUP(G8582,[5]Astroflores!$G$2:$H$110,2,FALSE)</f>
        <v>1475</v>
      </c>
      <c r="I8582" s="6">
        <v>1100.4749999999999</v>
      </c>
      <c r="J8582" s="5">
        <v>8000</v>
      </c>
      <c r="K8582" s="6">
        <f t="shared" si="350"/>
        <v>1.3403303119107659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43</v>
      </c>
      <c r="F8583" t="s">
        <v>99</v>
      </c>
      <c r="G8583" t="str">
        <f t="shared" si="351"/>
        <v>022CORAL REEF</v>
      </c>
      <c r="H8583" s="8">
        <f>VLOOKUP(G8583,[5]Astroflores!$G$2:$H$110,2,FALSE)</f>
        <v>2725</v>
      </c>
      <c r="I8583" s="6">
        <v>1287</v>
      </c>
      <c r="J8583" s="5">
        <v>9400</v>
      </c>
      <c r="K8583" s="6">
        <f t="shared" si="350"/>
        <v>2.1173271173271173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100</v>
      </c>
      <c r="F8584" t="s">
        <v>70</v>
      </c>
      <c r="G8584" t="str">
        <f t="shared" si="351"/>
        <v>023COTOPAXI</v>
      </c>
      <c r="H8584" s="8">
        <f>VLOOKUP(G8584,[5]Astroflores!$G$2:$H$110,2,FALSE)</f>
        <v>6570</v>
      </c>
      <c r="I8584" s="6">
        <v>2641.14</v>
      </c>
      <c r="J8584" s="5">
        <v>19200</v>
      </c>
      <c r="K8584" s="6">
        <f t="shared" si="350"/>
        <v>2.4875621890547266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100</v>
      </c>
      <c r="F8585" t="s">
        <v>101</v>
      </c>
      <c r="G8585" t="str">
        <f t="shared" si="351"/>
        <v>023FRUTTETO</v>
      </c>
      <c r="H8585" s="8">
        <f>VLOOKUP(G8585,[5]Astroflores!$G$2:$H$110,2,FALSE)</f>
        <v>8490</v>
      </c>
      <c r="I8585" s="6">
        <v>2641.14</v>
      </c>
      <c r="J8585" s="5">
        <v>19200</v>
      </c>
      <c r="K8585" s="6">
        <f t="shared" si="350"/>
        <v>3.2145210022944637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102</v>
      </c>
      <c r="F8586" t="s">
        <v>70</v>
      </c>
      <c r="G8586" t="str">
        <f t="shared" si="351"/>
        <v>024COTOPAXI</v>
      </c>
      <c r="H8586" s="8">
        <f>VLOOKUP(G8586,[5]Astroflores!$G$2:$H$110,2,FALSE)</f>
        <v>3150</v>
      </c>
      <c r="I8586" s="6">
        <v>1430.6174906250001</v>
      </c>
      <c r="J8586" s="5">
        <v>10400</v>
      </c>
      <c r="K8586" s="6">
        <f t="shared" si="350"/>
        <v>2.2018464199146943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102</v>
      </c>
      <c r="F8587" t="s">
        <v>64</v>
      </c>
      <c r="G8587" t="str">
        <f t="shared" si="351"/>
        <v>024SWEETNESS</v>
      </c>
      <c r="H8587" s="8">
        <f>VLOOKUP(G8587,[5]Astroflores!$G$2:$H$110,2,FALSE)</f>
        <v>1950</v>
      </c>
      <c r="I8587" s="6">
        <v>1430.6175000000001</v>
      </c>
      <c r="J8587" s="5">
        <v>10400</v>
      </c>
      <c r="K8587" s="6">
        <f t="shared" si="350"/>
        <v>1.3630477748245076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102</v>
      </c>
      <c r="F8588" t="s">
        <v>97</v>
      </c>
      <c r="G8588" t="str">
        <f t="shared" si="351"/>
        <v>024TYCOON</v>
      </c>
      <c r="H8588" s="8">
        <f>VLOOKUP(G8588,[5]Astroflores!$G$2:$H$110,2,FALSE)</f>
        <v>4230</v>
      </c>
      <c r="I8588" s="6">
        <v>2861.2350000000001</v>
      </c>
      <c r="J8588" s="5">
        <v>20800</v>
      </c>
      <c r="K8588" s="6">
        <f t="shared" si="350"/>
        <v>1.4783825865404274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103</v>
      </c>
      <c r="F8589" t="s">
        <v>104</v>
      </c>
      <c r="G8589" t="str">
        <f t="shared" si="351"/>
        <v>025PINK MONDIAL</v>
      </c>
      <c r="H8589" s="8">
        <f>VLOOKUP(G8589,[5]Astroflores!$G$2:$H$110,2,FALSE)</f>
        <v>5700</v>
      </c>
      <c r="I8589" s="6">
        <v>3071.9505625000002</v>
      </c>
      <c r="J8589" s="5">
        <v>22400</v>
      </c>
      <c r="K8589" s="6">
        <f t="shared" si="350"/>
        <v>1.8554986104207527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45</v>
      </c>
      <c r="F8590" t="s">
        <v>105</v>
      </c>
      <c r="G8590" t="str">
        <f t="shared" si="351"/>
        <v>026LOLA</v>
      </c>
      <c r="H8590" s="8">
        <f>VLOOKUP(G8590,[5]Astroflores!$G$2:$H$110,2,FALSE)</f>
        <v>6300</v>
      </c>
      <c r="I8590" s="6">
        <v>1097.125</v>
      </c>
      <c r="J8590" s="5">
        <v>8000</v>
      </c>
      <c r="K8590" s="6">
        <f t="shared" si="350"/>
        <v>5.7422809616041928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45</v>
      </c>
      <c r="F8591" t="s">
        <v>106</v>
      </c>
      <c r="G8591" t="str">
        <f t="shared" si="351"/>
        <v>026PALOMA</v>
      </c>
      <c r="H8591" s="8">
        <f>VLOOKUP(G8591,[5]Astroflores!$G$2:$H$110,2,FALSE)</f>
        <v>7150</v>
      </c>
      <c r="I8591" s="6">
        <v>2852.5250000000001</v>
      </c>
      <c r="J8591" s="5">
        <v>20800</v>
      </c>
      <c r="K8591" s="6">
        <f t="shared" si="350"/>
        <v>2.5065512133986556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107</v>
      </c>
      <c r="F8592" t="s">
        <v>108</v>
      </c>
      <c r="G8592" t="str">
        <f t="shared" si="351"/>
        <v>027SATISFACTION</v>
      </c>
      <c r="H8592" s="8">
        <f>VLOOKUP(G8592,[5]Astroflores!$G$2:$H$110,2,FALSE)</f>
        <v>5460</v>
      </c>
      <c r="I8592" s="6">
        <v>2633.1</v>
      </c>
      <c r="J8592" s="5">
        <v>19200</v>
      </c>
      <c r="K8592" s="6">
        <f t="shared" si="350"/>
        <v>2.0736014583570697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107</v>
      </c>
      <c r="F8593" t="s">
        <v>109</v>
      </c>
      <c r="G8593" t="str">
        <f t="shared" si="351"/>
        <v>027TIFFANY</v>
      </c>
      <c r="H8593" s="8">
        <f>VLOOKUP(G8593,[5]Astroflores!$G$2:$H$110,2,FALSE)</f>
        <v>4590</v>
      </c>
      <c r="I8593" s="6">
        <v>2633.1</v>
      </c>
      <c r="J8593" s="5">
        <v>19200</v>
      </c>
      <c r="K8593" s="6">
        <f t="shared" ref="K8593:K8631" si="352">+H8593/I8593</f>
        <v>1.7431924347727015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110</v>
      </c>
      <c r="F8594" t="s">
        <v>70</v>
      </c>
      <c r="G8594" t="str">
        <f t="shared" si="351"/>
        <v>028COTOPAXI</v>
      </c>
      <c r="H8594" s="8">
        <f>VLOOKUP(G8594,[5]Astroflores!$G$2:$H$110,2,FALSE)</f>
        <v>5850</v>
      </c>
      <c r="I8594" s="6">
        <v>2852.5250000000001</v>
      </c>
      <c r="J8594" s="5">
        <v>20800</v>
      </c>
      <c r="K8594" s="6">
        <f t="shared" si="352"/>
        <v>2.0508146291443543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110</v>
      </c>
      <c r="F8595" t="s">
        <v>67</v>
      </c>
      <c r="G8595" t="str">
        <f t="shared" si="351"/>
        <v>028DEEP PURPLE</v>
      </c>
      <c r="H8595" s="8">
        <f>VLOOKUP(G8595,[5]Astroflores!$G$2:$H$110,2,FALSE)</f>
        <v>9150</v>
      </c>
      <c r="I8595" s="6">
        <v>2852.5250000000001</v>
      </c>
      <c r="J8595" s="5">
        <v>20800</v>
      </c>
      <c r="K8595" s="6">
        <f t="shared" si="352"/>
        <v>3.207684419943734</v>
      </c>
    </row>
    <row r="8596" spans="1:11">
      <c r="A8596" s="4">
        <v>2026</v>
      </c>
      <c r="B8596">
        <v>27</v>
      </c>
      <c r="C8596" t="s">
        <v>54</v>
      </c>
      <c r="D8596" t="s">
        <v>11</v>
      </c>
      <c r="E8596" t="s">
        <v>111</v>
      </c>
      <c r="F8596" t="s">
        <v>112</v>
      </c>
      <c r="G8596" t="str">
        <f t="shared" si="351"/>
        <v>029PINK FLOYD</v>
      </c>
      <c r="H8596" s="8">
        <f>VLOOKUP(G8596,[5]Astroflores!$G$2:$H$110,2,FALSE)</f>
        <v>3875</v>
      </c>
      <c r="I8596" s="6">
        <v>3071.95</v>
      </c>
      <c r="J8596" s="5">
        <v>22400</v>
      </c>
      <c r="K8596" s="6">
        <f t="shared" si="352"/>
        <v>1.2614137599895832</v>
      </c>
    </row>
    <row r="8597" spans="1:11">
      <c r="A8597" s="4">
        <v>2026</v>
      </c>
      <c r="B8597">
        <v>27</v>
      </c>
      <c r="C8597" t="s">
        <v>54</v>
      </c>
      <c r="D8597" t="s">
        <v>11</v>
      </c>
      <c r="E8597" t="s">
        <v>47</v>
      </c>
      <c r="F8597" t="s">
        <v>57</v>
      </c>
      <c r="G8597" t="str">
        <f t="shared" si="351"/>
        <v>030EXPLORER</v>
      </c>
      <c r="H8597" s="8">
        <f>VLOOKUP(G8597,[5]Astroflores!$G$2:$H$110,2,FALSE)</f>
        <v>3725</v>
      </c>
      <c r="I8597" s="6">
        <v>1645.6875</v>
      </c>
      <c r="J8597" s="5">
        <v>12000</v>
      </c>
      <c r="K8597" s="6">
        <f t="shared" si="352"/>
        <v>2.2634917017963616</v>
      </c>
    </row>
    <row r="8598" spans="1:11">
      <c r="A8598" s="4">
        <v>2026</v>
      </c>
      <c r="B8598">
        <v>28</v>
      </c>
      <c r="C8598" t="s">
        <v>10</v>
      </c>
      <c r="D8598" t="s">
        <v>11</v>
      </c>
      <c r="E8598" t="s">
        <v>12</v>
      </c>
      <c r="F8598" t="s">
        <v>13</v>
      </c>
      <c r="G8598" t="str">
        <f t="shared" si="351"/>
        <v>002SOMERSET</v>
      </c>
      <c r="H8598" s="5">
        <f>VLOOKUP(G8598,[6]Astroflores!$G$2:$H$110,2,FALSE)</f>
        <v>8440</v>
      </c>
      <c r="I8598" s="6">
        <v>4121.4642855494085</v>
      </c>
      <c r="J8598" s="5">
        <v>31200</v>
      </c>
      <c r="K8598" s="6">
        <f t="shared" si="352"/>
        <v>2.0478158768940813</v>
      </c>
    </row>
    <row r="8599" spans="1:11">
      <c r="A8599" s="4">
        <v>2026</v>
      </c>
      <c r="B8599">
        <v>28</v>
      </c>
      <c r="C8599" t="s">
        <v>10</v>
      </c>
      <c r="D8599" t="s">
        <v>11</v>
      </c>
      <c r="E8599" t="s">
        <v>14</v>
      </c>
      <c r="F8599" t="s">
        <v>15</v>
      </c>
      <c r="G8599" t="str">
        <f t="shared" si="351"/>
        <v>004BELLINA</v>
      </c>
      <c r="H8599" s="5">
        <f>VLOOKUP(G8599,[6]Astroflores!$G$2:$H$110,2,FALSE)</f>
        <v>1965</v>
      </c>
      <c r="I8599" s="6">
        <v>1056.7857142434418</v>
      </c>
      <c r="J8599" s="5">
        <v>8000</v>
      </c>
      <c r="K8599" s="6">
        <f t="shared" si="352"/>
        <v>1.859411963575561</v>
      </c>
    </row>
    <row r="8600" spans="1:11">
      <c r="A8600" s="4">
        <v>2026</v>
      </c>
      <c r="B8600">
        <v>28</v>
      </c>
      <c r="C8600" t="s">
        <v>10</v>
      </c>
      <c r="D8600" t="s">
        <v>11</v>
      </c>
      <c r="E8600" t="s">
        <v>16</v>
      </c>
      <c r="F8600" t="s">
        <v>17</v>
      </c>
      <c r="G8600" t="str">
        <f t="shared" si="351"/>
        <v>005ELBA</v>
      </c>
      <c r="H8600" s="5">
        <f>VLOOKUP(G8600,[6]Astroflores!$G$2:$H$110,2,FALSE)</f>
        <v>5700</v>
      </c>
      <c r="I8600" s="6">
        <v>2641.9642856076484</v>
      </c>
      <c r="J8600" s="5">
        <v>19996</v>
      </c>
      <c r="K8600" s="6">
        <f t="shared" si="352"/>
        <v>2.1574856371266229</v>
      </c>
    </row>
    <row r="8601" spans="1:11">
      <c r="A8601" s="4">
        <v>2026</v>
      </c>
      <c r="B8601">
        <v>28</v>
      </c>
      <c r="C8601" t="s">
        <v>10</v>
      </c>
      <c r="D8601" t="s">
        <v>11</v>
      </c>
      <c r="E8601" t="s">
        <v>16</v>
      </c>
      <c r="F8601" t="s">
        <v>18</v>
      </c>
      <c r="G8601" t="str">
        <f t="shared" si="351"/>
        <v>005HOT BUBBLES</v>
      </c>
      <c r="H8601" s="5">
        <f>VLOOKUP(G8601,[6]Astroflores!$G$2:$H$110,2,FALSE)</f>
        <v>1080</v>
      </c>
      <c r="I8601" s="6">
        <v>528.39285712153003</v>
      </c>
      <c r="J8601" s="5">
        <v>4000</v>
      </c>
      <c r="K8601" s="6">
        <f t="shared" si="352"/>
        <v>2.0439337614883781</v>
      </c>
    </row>
    <row r="8602" spans="1:11">
      <c r="A8602" s="4">
        <v>2026</v>
      </c>
      <c r="B8602">
        <v>28</v>
      </c>
      <c r="C8602" t="s">
        <v>10</v>
      </c>
      <c r="D8602" t="s">
        <v>11</v>
      </c>
      <c r="E8602" t="s">
        <v>16</v>
      </c>
      <c r="F8602" t="s">
        <v>19</v>
      </c>
      <c r="G8602" t="str">
        <f t="shared" si="351"/>
        <v>005SUSPIRO</v>
      </c>
      <c r="H8602" s="5">
        <f>VLOOKUP(G8602,[6]Astroflores!$G$2:$H$110,2,FALSE)</f>
        <v>3090</v>
      </c>
      <c r="I8602" s="6">
        <v>1902.2142856375078</v>
      </c>
      <c r="J8602" s="5">
        <v>14400</v>
      </c>
      <c r="K8602" s="6">
        <f t="shared" si="352"/>
        <v>1.6244226653804241</v>
      </c>
    </row>
    <row r="8603" spans="1:11">
      <c r="A8603" s="4">
        <v>2026</v>
      </c>
      <c r="B8603">
        <v>28</v>
      </c>
      <c r="C8603" t="s">
        <v>10</v>
      </c>
      <c r="D8603" t="s">
        <v>11</v>
      </c>
      <c r="E8603" t="s">
        <v>20</v>
      </c>
      <c r="F8603" t="s">
        <v>21</v>
      </c>
      <c r="G8603" t="str">
        <f t="shared" si="351"/>
        <v>007SNOW BUBBLES</v>
      </c>
      <c r="H8603" s="5">
        <f>VLOOKUP(G8603,[6]Astroflores!$G$2:$H$110,2,FALSE)</f>
        <v>1580</v>
      </c>
      <c r="I8603" s="6">
        <v>634.05652706821195</v>
      </c>
      <c r="J8603" s="5">
        <v>4800</v>
      </c>
      <c r="K8603" s="6">
        <f t="shared" si="352"/>
        <v>2.4918913890938041</v>
      </c>
    </row>
    <row r="8604" spans="1:11">
      <c r="A8604" s="4">
        <v>2026</v>
      </c>
      <c r="B8604">
        <v>28</v>
      </c>
      <c r="C8604" t="s">
        <v>10</v>
      </c>
      <c r="D8604" t="s">
        <v>11</v>
      </c>
      <c r="E8604" t="s">
        <v>22</v>
      </c>
      <c r="F8604" t="s">
        <v>18</v>
      </c>
      <c r="G8604" t="str">
        <f t="shared" si="351"/>
        <v>009HOT BUBBLES</v>
      </c>
      <c r="H8604" s="5">
        <f>VLOOKUP(G8604,[6]Astroflores!$G$2:$H$110,2,FALSE)</f>
        <v>7400</v>
      </c>
      <c r="I8604" s="6">
        <v>4487.9999999102474</v>
      </c>
      <c r="J8604" s="5">
        <v>31740</v>
      </c>
      <c r="K8604" s="6">
        <f t="shared" si="352"/>
        <v>1.6488413547566818</v>
      </c>
    </row>
    <row r="8605" spans="1:11">
      <c r="A8605" s="4">
        <v>2026</v>
      </c>
      <c r="B8605">
        <v>28</v>
      </c>
      <c r="C8605" t="s">
        <v>10</v>
      </c>
      <c r="D8605" t="s">
        <v>11</v>
      </c>
      <c r="E8605" t="s">
        <v>23</v>
      </c>
      <c r="F8605" t="s">
        <v>24</v>
      </c>
      <c r="G8605" t="str">
        <f t="shared" si="351"/>
        <v>014FRUITY BUBBLES</v>
      </c>
      <c r="H8605" s="5">
        <f>VLOOKUP(G8605,[6]Astroflores!$G$2:$H$110,2,FALSE)</f>
        <v>4425</v>
      </c>
      <c r="I8605" s="6">
        <v>1702.8</v>
      </c>
      <c r="J8605" s="5">
        <v>12900</v>
      </c>
      <c r="K8605" s="6">
        <f t="shared" si="352"/>
        <v>2.598661028893587</v>
      </c>
    </row>
    <row r="8606" spans="1:11">
      <c r="A8606" s="4">
        <v>2026</v>
      </c>
      <c r="B8606">
        <v>28</v>
      </c>
      <c r="C8606" t="s">
        <v>10</v>
      </c>
      <c r="D8606" t="s">
        <v>11</v>
      </c>
      <c r="E8606" t="s">
        <v>25</v>
      </c>
      <c r="F8606" t="s">
        <v>26</v>
      </c>
      <c r="G8606" t="str">
        <f t="shared" si="351"/>
        <v>015FELLINI</v>
      </c>
      <c r="H8606" s="5">
        <f>VLOOKUP(G8606,[6]Astroflores!$G$2:$H$110,2,FALSE)</f>
        <v>7680</v>
      </c>
      <c r="I8606" s="6">
        <v>3009.6</v>
      </c>
      <c r="J8606" s="5">
        <v>22800</v>
      </c>
      <c r="K8606" s="6">
        <f t="shared" si="352"/>
        <v>2.5518341307814993</v>
      </c>
    </row>
    <row r="8607" spans="1:11">
      <c r="A8607" s="4">
        <v>2026</v>
      </c>
      <c r="B8607">
        <v>28</v>
      </c>
      <c r="C8607" t="s">
        <v>10</v>
      </c>
      <c r="D8607" t="s">
        <v>11</v>
      </c>
      <c r="E8607" t="s">
        <v>27</v>
      </c>
      <c r="F8607" t="s">
        <v>28</v>
      </c>
      <c r="G8607" t="str">
        <f t="shared" si="351"/>
        <v>016GOOD PEACH</v>
      </c>
      <c r="H8607" s="5">
        <f>VLOOKUP(G8607,[6]Astroflores!$G$2:$H$110,2,FALSE)</f>
        <v>3360</v>
      </c>
      <c r="I8607" s="6">
        <v>1386</v>
      </c>
      <c r="J8607" s="5">
        <v>10500</v>
      </c>
      <c r="K8607" s="6">
        <f t="shared" si="352"/>
        <v>2.4242424242424243</v>
      </c>
    </row>
    <row r="8608" spans="1:11">
      <c r="A8608" s="4">
        <v>2026</v>
      </c>
      <c r="B8608">
        <v>28</v>
      </c>
      <c r="C8608" t="s">
        <v>10</v>
      </c>
      <c r="D8608" t="s">
        <v>11</v>
      </c>
      <c r="E8608" t="s">
        <v>27</v>
      </c>
      <c r="F8608" t="s">
        <v>29</v>
      </c>
      <c r="G8608" t="str">
        <f t="shared" si="351"/>
        <v>016GOOD YELLOW</v>
      </c>
      <c r="H8608" s="5">
        <f>VLOOKUP(G8608,[6]Astroflores!$G$2:$H$110,2,FALSE)</f>
        <v>4680</v>
      </c>
      <c r="I8608" s="6">
        <v>1386</v>
      </c>
      <c r="J8608" s="5">
        <v>10500</v>
      </c>
      <c r="K8608" s="6">
        <f t="shared" si="352"/>
        <v>3.3766233766233764</v>
      </c>
    </row>
    <row r="8609" spans="1:11">
      <c r="A8609" s="4">
        <v>2026</v>
      </c>
      <c r="B8609">
        <v>28</v>
      </c>
      <c r="C8609" t="s">
        <v>10</v>
      </c>
      <c r="D8609" t="s">
        <v>11</v>
      </c>
      <c r="E8609" t="s">
        <v>30</v>
      </c>
      <c r="F8609" t="s">
        <v>31</v>
      </c>
      <c r="G8609" t="str">
        <f t="shared" si="351"/>
        <v>017ORANGE STAR</v>
      </c>
      <c r="H8609" s="5">
        <f>VLOOKUP(G8609,[6]Astroflores!$G$2:$H$110,2,FALSE)</f>
        <v>1800</v>
      </c>
      <c r="I8609" s="6">
        <v>1029.5999999999999</v>
      </c>
      <c r="J8609" s="5">
        <v>7800</v>
      </c>
      <c r="K8609" s="6">
        <f t="shared" si="352"/>
        <v>1.7482517482517483</v>
      </c>
    </row>
    <row r="8610" spans="1:11">
      <c r="A8610" s="4">
        <v>2026</v>
      </c>
      <c r="B8610">
        <v>28</v>
      </c>
      <c r="C8610" t="s">
        <v>10</v>
      </c>
      <c r="D8610" t="s">
        <v>11</v>
      </c>
      <c r="E8610" t="s">
        <v>32</v>
      </c>
      <c r="F8610" t="s">
        <v>33</v>
      </c>
      <c r="G8610" t="str">
        <f t="shared" si="351"/>
        <v>018COSMO</v>
      </c>
      <c r="H8610" s="5">
        <f>VLOOKUP(G8610,[6]Astroflores!$G$2:$H$110,2,FALSE)</f>
        <v>5275</v>
      </c>
      <c r="I8610" s="6">
        <v>2653.2</v>
      </c>
      <c r="J8610" s="5">
        <v>20100</v>
      </c>
      <c r="K8610" s="6">
        <f t="shared" si="352"/>
        <v>1.9881652344338914</v>
      </c>
    </row>
    <row r="8611" spans="1:11">
      <c r="A8611" s="4">
        <v>2026</v>
      </c>
      <c r="B8611">
        <v>28</v>
      </c>
      <c r="C8611" t="s">
        <v>10</v>
      </c>
      <c r="D8611" t="s">
        <v>11</v>
      </c>
      <c r="E8611" t="s">
        <v>32</v>
      </c>
      <c r="F8611" t="s">
        <v>34</v>
      </c>
      <c r="G8611" t="str">
        <f t="shared" si="351"/>
        <v>018RUBICON</v>
      </c>
      <c r="H8611" s="5">
        <f>VLOOKUP(G8611,[6]Astroflores!$G$2:$H$110,2,FALSE)</f>
        <v>3540</v>
      </c>
      <c r="I8611" s="6">
        <v>1768.8</v>
      </c>
      <c r="J8611" s="5">
        <v>13400</v>
      </c>
      <c r="K8611" s="6">
        <f t="shared" si="352"/>
        <v>2.0013568521031209</v>
      </c>
    </row>
    <row r="8612" spans="1:11">
      <c r="A8612" s="4">
        <v>2026</v>
      </c>
      <c r="B8612">
        <v>28</v>
      </c>
      <c r="C8612" t="s">
        <v>10</v>
      </c>
      <c r="D8612" t="s">
        <v>11</v>
      </c>
      <c r="E8612" t="s">
        <v>35</v>
      </c>
      <c r="F8612" t="s">
        <v>15</v>
      </c>
      <c r="G8612" t="str">
        <f t="shared" si="351"/>
        <v>019BELLINA</v>
      </c>
      <c r="H8612" s="5">
        <f>VLOOKUP(G8612,[6]Astroflores!$G$2:$H$110,2,FALSE)</f>
        <v>1740</v>
      </c>
      <c r="I8612" s="6">
        <v>1029.5999999999999</v>
      </c>
      <c r="J8612" s="5">
        <v>7800</v>
      </c>
      <c r="K8612" s="6">
        <f t="shared" si="352"/>
        <v>1.6899766899766901</v>
      </c>
    </row>
    <row r="8613" spans="1:11">
      <c r="A8613" s="4">
        <v>2026</v>
      </c>
      <c r="B8613">
        <v>28</v>
      </c>
      <c r="C8613" t="s">
        <v>10</v>
      </c>
      <c r="D8613" t="s">
        <v>11</v>
      </c>
      <c r="E8613" t="s">
        <v>36</v>
      </c>
      <c r="F8613" t="s">
        <v>37</v>
      </c>
      <c r="G8613" t="str">
        <f t="shared" si="351"/>
        <v>020SUMMER DANCE</v>
      </c>
      <c r="H8613" s="5">
        <f>VLOOKUP(G8613,[6]Astroflores!$G$2:$H$110,2,FALSE)</f>
        <v>3675</v>
      </c>
      <c r="I8613" s="6">
        <v>1346.4</v>
      </c>
      <c r="J8613" s="5">
        <v>10200</v>
      </c>
      <c r="K8613" s="6">
        <f t="shared" si="352"/>
        <v>2.7295008912655971</v>
      </c>
    </row>
    <row r="8614" spans="1:11">
      <c r="A8614" s="4">
        <v>2026</v>
      </c>
      <c r="B8614">
        <v>28</v>
      </c>
      <c r="C8614" t="s">
        <v>10</v>
      </c>
      <c r="D8614" t="s">
        <v>11</v>
      </c>
      <c r="E8614" t="s">
        <v>38</v>
      </c>
      <c r="F8614" t="s">
        <v>39</v>
      </c>
      <c r="G8614" t="str">
        <f t="shared" si="351"/>
        <v>021ELEGANT ROSEVER</v>
      </c>
      <c r="H8614" s="5">
        <f>VLOOKUP(G8614,[6]Astroflores!$G$2:$H$110,2,FALSE)</f>
        <v>540</v>
      </c>
      <c r="I8614" s="6">
        <v>440.18999062500001</v>
      </c>
      <c r="J8614" s="5">
        <v>3200</v>
      </c>
      <c r="K8614" s="6">
        <f t="shared" si="352"/>
        <v>1.2267430234687653</v>
      </c>
    </row>
    <row r="8615" spans="1:11">
      <c r="A8615" s="4">
        <v>2026</v>
      </c>
      <c r="B8615">
        <v>28</v>
      </c>
      <c r="C8615" t="s">
        <v>10</v>
      </c>
      <c r="D8615" t="s">
        <v>11</v>
      </c>
      <c r="E8615" t="s">
        <v>38</v>
      </c>
      <c r="F8615" t="s">
        <v>40</v>
      </c>
      <c r="G8615" t="str">
        <f t="shared" si="351"/>
        <v>021FLAME CLUB</v>
      </c>
      <c r="H8615" s="5">
        <f>VLOOKUP(G8615,[6]Astroflores!$G$2:$H$110,2,FALSE)</f>
        <v>1450</v>
      </c>
      <c r="I8615" s="6">
        <v>880.38</v>
      </c>
      <c r="J8615" s="5">
        <v>6400</v>
      </c>
      <c r="K8615" s="6">
        <f t="shared" si="352"/>
        <v>1.6470160612462801</v>
      </c>
    </row>
    <row r="8616" spans="1:11">
      <c r="A8616" s="4">
        <v>2026</v>
      </c>
      <c r="B8616">
        <v>28</v>
      </c>
      <c r="C8616" t="s">
        <v>10</v>
      </c>
      <c r="D8616" t="s">
        <v>11</v>
      </c>
      <c r="E8616" t="s">
        <v>38</v>
      </c>
      <c r="F8616" t="s">
        <v>41</v>
      </c>
      <c r="G8616" t="str">
        <f t="shared" si="351"/>
        <v>021KELLY</v>
      </c>
      <c r="H8616" s="5">
        <f>VLOOKUP(G8616,[6]Astroflores!$G$2:$H$110,2,FALSE)</f>
        <v>450</v>
      </c>
      <c r="I8616" s="6">
        <v>330.14249999999998</v>
      </c>
      <c r="J8616" s="5">
        <v>2400</v>
      </c>
      <c r="K8616" s="6">
        <f t="shared" si="352"/>
        <v>1.3630477748245076</v>
      </c>
    </row>
    <row r="8617" spans="1:11">
      <c r="A8617" s="4">
        <v>2026</v>
      </c>
      <c r="B8617">
        <v>28</v>
      </c>
      <c r="C8617" t="s">
        <v>10</v>
      </c>
      <c r="D8617" t="s">
        <v>11</v>
      </c>
      <c r="E8617" t="s">
        <v>38</v>
      </c>
      <c r="F8617" t="s">
        <v>42</v>
      </c>
      <c r="G8617" t="str">
        <f t="shared" si="351"/>
        <v>021LEILA</v>
      </c>
      <c r="H8617" s="5">
        <f>VLOOKUP(G8617,[6]Astroflores!$G$2:$H$110,2,FALSE)</f>
        <v>700</v>
      </c>
      <c r="I8617" s="6">
        <v>1650.7125000000001</v>
      </c>
      <c r="J8617" s="5">
        <v>12000</v>
      </c>
      <c r="K8617" s="6">
        <f t="shared" si="352"/>
        <v>0.42405930772318012</v>
      </c>
    </row>
    <row r="8618" spans="1:11">
      <c r="A8618" s="4">
        <v>2026</v>
      </c>
      <c r="B8618">
        <v>28</v>
      </c>
      <c r="C8618" t="s">
        <v>10</v>
      </c>
      <c r="D8618" t="s">
        <v>11</v>
      </c>
      <c r="E8618" t="s">
        <v>38</v>
      </c>
      <c r="F8618" t="s">
        <v>21</v>
      </c>
      <c r="G8618" t="str">
        <f t="shared" si="351"/>
        <v>021SNOW BUBBLES</v>
      </c>
      <c r="H8618" s="5">
        <f>VLOOKUP(G8618,[6]Astroflores!$G$2:$H$110,2,FALSE)</f>
        <v>2440</v>
      </c>
      <c r="I8618" s="6">
        <v>1287.0000000000018</v>
      </c>
      <c r="J8618" s="5">
        <v>9400</v>
      </c>
      <c r="K8618" s="6">
        <f t="shared" si="352"/>
        <v>1.8958818958818933</v>
      </c>
    </row>
    <row r="8619" spans="1:11">
      <c r="A8619" s="4">
        <v>2026</v>
      </c>
      <c r="B8619">
        <v>28</v>
      </c>
      <c r="C8619" t="s">
        <v>10</v>
      </c>
      <c r="D8619" t="s">
        <v>11</v>
      </c>
      <c r="E8619" t="s">
        <v>43</v>
      </c>
      <c r="F8619" t="s">
        <v>24</v>
      </c>
      <c r="G8619" t="str">
        <f t="shared" si="351"/>
        <v>022FRUITY BUBBLES</v>
      </c>
      <c r="H8619" s="5">
        <f>VLOOKUP(G8619,[6]Astroflores!$G$2:$H$110,2,FALSE)</f>
        <v>4650</v>
      </c>
      <c r="I8619" s="6">
        <v>2641.14</v>
      </c>
      <c r="J8619" s="5">
        <v>19200</v>
      </c>
      <c r="K8619" s="6">
        <f t="shared" si="352"/>
        <v>1.760603375814989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43</v>
      </c>
      <c r="F8620" t="s">
        <v>28</v>
      </c>
      <c r="G8620" t="str">
        <f t="shared" si="351"/>
        <v>022GOOD PEACH</v>
      </c>
      <c r="H8620" s="5">
        <f>VLOOKUP(G8620,[6]Astroflores!$G$2:$H$110,2,FALSE)</f>
        <v>2070</v>
      </c>
      <c r="I8620" s="6">
        <v>880.38</v>
      </c>
      <c r="J8620" s="5">
        <v>6400</v>
      </c>
      <c r="K8620" s="6">
        <f t="shared" si="352"/>
        <v>2.3512574115722757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43</v>
      </c>
      <c r="F8621" t="s">
        <v>44</v>
      </c>
      <c r="G8621" t="str">
        <f t="shared" ref="G8621:G8678" si="353">+E8621&amp;F8621</f>
        <v>022MIRABEL</v>
      </c>
      <c r="H8621" s="5">
        <f>VLOOKUP(G8621,[6]Astroflores!$G$2:$H$110,2,FALSE)</f>
        <v>2180</v>
      </c>
      <c r="I8621" s="6">
        <v>880.38</v>
      </c>
      <c r="J8621" s="5">
        <v>6400</v>
      </c>
      <c r="K8621" s="6">
        <f t="shared" si="352"/>
        <v>2.4762034575978555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47</v>
      </c>
      <c r="F8622" t="s">
        <v>44</v>
      </c>
      <c r="G8622" t="str">
        <f t="shared" si="353"/>
        <v>030MIRABEL</v>
      </c>
      <c r="H8622" s="5">
        <f>VLOOKUP(G8622,[6]Astroflores!$G$2:$H$110,2,FALSE)</f>
        <v>4980</v>
      </c>
      <c r="I8622" s="6">
        <v>2413.6749943750001</v>
      </c>
      <c r="J8622" s="5">
        <v>17600</v>
      </c>
      <c r="K8622" s="6">
        <f t="shared" si="352"/>
        <v>2.0632438135232567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47</v>
      </c>
      <c r="F8623" t="s">
        <v>13</v>
      </c>
      <c r="G8623" t="str">
        <f t="shared" si="353"/>
        <v>030SOMERSET</v>
      </c>
      <c r="H8623" s="5">
        <f>VLOOKUP(G8623,[6]Astroflores!$G$2:$H$110,2,FALSE)</f>
        <v>4000</v>
      </c>
      <c r="I8623" s="6">
        <v>1645.6875</v>
      </c>
      <c r="J8623" s="5">
        <v>12000</v>
      </c>
      <c r="K8623" s="6">
        <f t="shared" si="352"/>
        <v>2.4305951160229387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48</v>
      </c>
      <c r="F8624" t="s">
        <v>49</v>
      </c>
      <c r="G8624" t="str">
        <f t="shared" si="353"/>
        <v>03182989</v>
      </c>
      <c r="H8624" s="5">
        <f>VLOOKUP(G8624,[6]Astroflores!$G$2:$H$110,2,FALSE)</f>
        <v>780</v>
      </c>
      <c r="I8624" s="6">
        <v>726.32013058333712</v>
      </c>
      <c r="J8624" s="5">
        <v>5712</v>
      </c>
      <c r="K8624" s="6">
        <f t="shared" si="352"/>
        <v>1.0739066248563844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48</v>
      </c>
      <c r="F8625" t="s">
        <v>34</v>
      </c>
      <c r="G8625" t="str">
        <f t="shared" si="353"/>
        <v>031RUBICON</v>
      </c>
      <c r="H8625" s="5">
        <f>VLOOKUP(G8625,[6]Astroflores!$G$2:$H$110,2,FALSE)</f>
        <v>2700</v>
      </c>
      <c r="I8625" s="6">
        <v>924.39958333667107</v>
      </c>
      <c r="J8625" s="5">
        <v>6720</v>
      </c>
      <c r="K8625" s="6">
        <f t="shared" si="352"/>
        <v>2.9208148171748429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48</v>
      </c>
      <c r="F8626" t="s">
        <v>13</v>
      </c>
      <c r="G8626" t="str">
        <f t="shared" si="353"/>
        <v>031SOMERSET</v>
      </c>
      <c r="H8626" s="5">
        <f>VLOOKUP(G8626,[6]Astroflores!$G$2:$H$110,2,FALSE)</f>
        <v>960</v>
      </c>
      <c r="I8626" s="6">
        <v>1122.485208333339</v>
      </c>
      <c r="J8626" s="5">
        <v>8160</v>
      </c>
      <c r="K8626" s="6">
        <f t="shared" si="352"/>
        <v>0.8552451229405541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48</v>
      </c>
      <c r="F8627" t="s">
        <v>50</v>
      </c>
      <c r="G8627" t="str">
        <f t="shared" si="353"/>
        <v>031VELVET BLOSSOMS</v>
      </c>
      <c r="H8627" s="5">
        <f>VLOOKUP(G8627,[6]Astroflores!$G$2:$H$110,2,FALSE)</f>
        <v>760</v>
      </c>
      <c r="I8627" s="6">
        <v>396.17125000000198</v>
      </c>
      <c r="J8627" s="5">
        <v>2880</v>
      </c>
      <c r="K8627" s="6">
        <f t="shared" si="352"/>
        <v>1.9183623243736041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51</v>
      </c>
      <c r="F8628" t="s">
        <v>17</v>
      </c>
      <c r="G8628" t="str">
        <f t="shared" si="353"/>
        <v>032ELBA</v>
      </c>
      <c r="H8628" s="5">
        <f>VLOOKUP(G8628,[6]Astroflores!$G$2:$H$110,2,FALSE)</f>
        <v>3090</v>
      </c>
      <c r="I8628" s="6">
        <v>1535.9749999999999</v>
      </c>
      <c r="J8628" s="5">
        <v>11200</v>
      </c>
      <c r="K8628" s="6">
        <f t="shared" si="352"/>
        <v>2.0117514933511287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51</v>
      </c>
      <c r="F8629" t="s">
        <v>44</v>
      </c>
      <c r="G8629" t="str">
        <f t="shared" si="353"/>
        <v>032MIRABEL</v>
      </c>
      <c r="H8629" s="5">
        <f>VLOOKUP(G8629,[6]Astroflores!$G$2:$H$110,2,FALSE)</f>
        <v>1880</v>
      </c>
      <c r="I8629" s="6">
        <v>1535.9749999999999</v>
      </c>
      <c r="J8629" s="5">
        <v>11200</v>
      </c>
      <c r="K8629" s="6">
        <f t="shared" si="352"/>
        <v>1.2239782548544085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52</v>
      </c>
      <c r="F8630" t="s">
        <v>53</v>
      </c>
      <c r="G8630" t="str">
        <f t="shared" si="353"/>
        <v>033CREAMY FOLIES</v>
      </c>
      <c r="H8630" s="5">
        <f>VLOOKUP(G8630,[6]Astroflores!$G$2:$H$110,2,FALSE)</f>
        <v>780</v>
      </c>
      <c r="I8630" s="6">
        <v>594.25687500000299</v>
      </c>
      <c r="J8630" s="5">
        <v>4320</v>
      </c>
      <c r="K8630" s="6">
        <f t="shared" si="352"/>
        <v>1.312563695624045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52</v>
      </c>
      <c r="F8631" t="s">
        <v>18</v>
      </c>
      <c r="G8631" t="str">
        <f t="shared" si="353"/>
        <v>033HOT BUBBLES</v>
      </c>
      <c r="H8631" s="5">
        <f>VLOOKUP(G8631,[6]Astroflores!$G$2:$H$110,2,FALSE)</f>
        <v>5780</v>
      </c>
      <c r="I8631" s="6">
        <v>2575.1131250013459</v>
      </c>
      <c r="J8631" s="5">
        <v>18720</v>
      </c>
      <c r="K8631" s="6">
        <f t="shared" si="352"/>
        <v>2.24456158600682</v>
      </c>
    </row>
    <row r="8632" spans="1:11">
      <c r="A8632" s="4">
        <v>2026</v>
      </c>
      <c r="B8632">
        <v>28</v>
      </c>
      <c r="C8632" t="s">
        <v>54</v>
      </c>
      <c r="D8632" t="s">
        <v>11</v>
      </c>
      <c r="E8632" t="s">
        <v>55</v>
      </c>
      <c r="F8632" t="s">
        <v>56</v>
      </c>
      <c r="G8632" t="str">
        <f t="shared" si="353"/>
        <v>001BELIEVE IN PINK</v>
      </c>
      <c r="H8632" s="5">
        <f>VLOOKUP(G8632,[6]Astroflores!$G$2:$H$110,2,FALSE)</f>
        <v>1350</v>
      </c>
      <c r="I8632" s="6">
        <v>528.37931032368999</v>
      </c>
      <c r="J8632" s="5">
        <v>4000</v>
      </c>
      <c r="K8632" s="6">
        <f t="shared" ref="K8632:K8637" si="354">IFERROR(H8632/I8632,"")</f>
        <v>2.5549827058386856</v>
      </c>
    </row>
    <row r="8633" spans="1:11">
      <c r="A8633" s="4">
        <v>2026</v>
      </c>
      <c r="B8633">
        <v>28</v>
      </c>
      <c r="C8633" t="s">
        <v>54</v>
      </c>
      <c r="D8633" t="s">
        <v>11</v>
      </c>
      <c r="E8633" t="s">
        <v>55</v>
      </c>
      <c r="F8633" t="s">
        <v>57</v>
      </c>
      <c r="G8633" t="str">
        <f t="shared" si="353"/>
        <v>001EXPLORER</v>
      </c>
      <c r="H8633" s="5">
        <f>VLOOKUP(G8633,[6]Astroflores!$G$2:$H$110,2,FALSE)</f>
        <v>4000</v>
      </c>
      <c r="I8633" s="6">
        <v>2272.0310343918732</v>
      </c>
      <c r="J8633" s="5">
        <v>17200</v>
      </c>
      <c r="K8633" s="6">
        <f t="shared" si="354"/>
        <v>1.7605393321885814</v>
      </c>
    </row>
    <row r="8634" spans="1:11">
      <c r="A8634" s="4">
        <v>2026</v>
      </c>
      <c r="B8634">
        <v>28</v>
      </c>
      <c r="C8634" t="s">
        <v>54</v>
      </c>
      <c r="D8634" t="s">
        <v>11</v>
      </c>
      <c r="E8634" t="s">
        <v>55</v>
      </c>
      <c r="F8634" t="s">
        <v>58</v>
      </c>
      <c r="G8634" t="str">
        <f t="shared" si="353"/>
        <v>001GRACE KELLY</v>
      </c>
      <c r="H8634" s="5">
        <f>VLOOKUP(G8634,[6]Astroflores!$G$2:$H$110,2,FALSE)</f>
        <v>2430</v>
      </c>
      <c r="I8634" s="6">
        <v>1162.4344827121224</v>
      </c>
      <c r="J8634" s="5">
        <v>8800</v>
      </c>
      <c r="K8634" s="6">
        <f t="shared" si="354"/>
        <v>2.0904403956861892</v>
      </c>
    </row>
    <row r="8635" spans="1:11">
      <c r="A8635" s="4">
        <v>2026</v>
      </c>
      <c r="B8635">
        <v>28</v>
      </c>
      <c r="C8635" t="s">
        <v>54</v>
      </c>
      <c r="D8635" t="s">
        <v>11</v>
      </c>
      <c r="E8635" t="s">
        <v>55</v>
      </c>
      <c r="F8635" t="s">
        <v>60</v>
      </c>
      <c r="G8635" t="str">
        <f t="shared" si="353"/>
        <v>001LIGHT HOUSE</v>
      </c>
      <c r="H8635" s="5">
        <f>VLOOKUP(G8635,[6]Astroflores!$G$2:$H$110,2,FALSE)</f>
        <v>2850</v>
      </c>
      <c r="I8635" s="6">
        <v>1056.7586206473827</v>
      </c>
      <c r="J8635" s="5">
        <v>8000</v>
      </c>
      <c r="K8635" s="6">
        <f t="shared" si="354"/>
        <v>2.6969261894963834</v>
      </c>
    </row>
    <row r="8636" spans="1:11">
      <c r="A8636" s="4">
        <v>2026</v>
      </c>
      <c r="B8636">
        <v>28</v>
      </c>
      <c r="C8636" t="s">
        <v>54</v>
      </c>
      <c r="D8636" t="s">
        <v>11</v>
      </c>
      <c r="E8636" t="s">
        <v>55</v>
      </c>
      <c r="F8636" t="s">
        <v>61</v>
      </c>
      <c r="G8636" t="str">
        <f t="shared" si="353"/>
        <v>001LUMIA</v>
      </c>
      <c r="H8636" s="5">
        <f>VLOOKUP(G8636,[6]Astroflores!$G$2:$H$110,2,FALSE)</f>
        <v>3300</v>
      </c>
      <c r="I8636" s="6">
        <v>1109.596551679753</v>
      </c>
      <c r="J8636" s="5">
        <v>8400</v>
      </c>
      <c r="K8636" s="6">
        <f t="shared" si="354"/>
        <v>2.9740539433042792</v>
      </c>
    </row>
    <row r="8637" spans="1:11">
      <c r="A8637" s="4">
        <v>2026</v>
      </c>
      <c r="B8637">
        <v>28</v>
      </c>
      <c r="C8637" t="s">
        <v>54</v>
      </c>
      <c r="D8637" t="s">
        <v>11</v>
      </c>
      <c r="E8637" t="s">
        <v>55</v>
      </c>
      <c r="F8637" t="s">
        <v>62</v>
      </c>
      <c r="G8637" t="str">
        <f t="shared" si="353"/>
        <v>001MOMENTUM</v>
      </c>
      <c r="H8637" s="5">
        <f>VLOOKUP(G8637,[6]Astroflores!$G$2:$H$110,2,FALSE)</f>
        <v>5275</v>
      </c>
      <c r="I8637" s="6">
        <v>1902.1655171652881</v>
      </c>
      <c r="J8637" s="5">
        <v>14400</v>
      </c>
      <c r="K8637" s="6">
        <f t="shared" si="354"/>
        <v>2.773155097386633</v>
      </c>
    </row>
    <row r="8638" spans="1:11">
      <c r="A8638" s="4">
        <v>2026</v>
      </c>
      <c r="B8638">
        <v>28</v>
      </c>
      <c r="C8638" t="s">
        <v>54</v>
      </c>
      <c r="D8638" t="s">
        <v>11</v>
      </c>
      <c r="E8638" t="s">
        <v>12</v>
      </c>
      <c r="F8638" t="s">
        <v>63</v>
      </c>
      <c r="G8638" t="str">
        <f t="shared" si="353"/>
        <v>002SUMMER ROMANCE</v>
      </c>
      <c r="H8638" s="5">
        <f>VLOOKUP(G8638,[6]Astroflores!$G$2:$H$110,2,FALSE)</f>
        <v>1275</v>
      </c>
      <c r="I8638" s="6">
        <v>951.10714281909407</v>
      </c>
      <c r="J8638" s="5">
        <v>7200</v>
      </c>
      <c r="K8638" s="6">
        <f t="shared" ref="K8638:K8697" si="355">+H8638/I8638</f>
        <v>1.3405429762843366</v>
      </c>
    </row>
    <row r="8639" spans="1:11">
      <c r="A8639" s="4">
        <v>2026</v>
      </c>
      <c r="B8639">
        <v>28</v>
      </c>
      <c r="C8639" t="s">
        <v>54</v>
      </c>
      <c r="D8639" t="s">
        <v>11</v>
      </c>
      <c r="E8639" t="s">
        <v>12</v>
      </c>
      <c r="F8639" t="s">
        <v>64</v>
      </c>
      <c r="G8639" t="str">
        <f t="shared" si="353"/>
        <v>002SWEETNESS</v>
      </c>
      <c r="H8639" s="5">
        <f>VLOOKUP(G8639,[6]Astroflores!$G$2:$H$110,2,FALSE)</f>
        <v>6870</v>
      </c>
      <c r="I8639" s="6">
        <v>3804.4285712763772</v>
      </c>
      <c r="J8639" s="5">
        <v>28800</v>
      </c>
      <c r="K8639" s="6">
        <f t="shared" si="355"/>
        <v>1.8057902445241942</v>
      </c>
    </row>
    <row r="8640" spans="1:11">
      <c r="A8640" s="4">
        <v>2026</v>
      </c>
      <c r="B8640">
        <v>28</v>
      </c>
      <c r="C8640" t="s">
        <v>54</v>
      </c>
      <c r="D8640" t="s">
        <v>11</v>
      </c>
      <c r="E8640" t="s">
        <v>65</v>
      </c>
      <c r="F8640" t="s">
        <v>66</v>
      </c>
      <c r="G8640" t="str">
        <f t="shared" si="353"/>
        <v>003CABARET</v>
      </c>
      <c r="H8640" s="5">
        <f>VLOOKUP(G8640,[6]Astroflores!$G$2:$H$110,2,FALSE)</f>
        <v>6870</v>
      </c>
      <c r="I8640" s="6">
        <v>2641.8965516184649</v>
      </c>
      <c r="J8640" s="5">
        <v>20000</v>
      </c>
      <c r="K8640" s="6">
        <f t="shared" si="355"/>
        <v>2.6004046206091362</v>
      </c>
    </row>
    <row r="8641" spans="1:11">
      <c r="A8641" s="4">
        <v>2026</v>
      </c>
      <c r="B8641">
        <v>28</v>
      </c>
      <c r="C8641" t="s">
        <v>54</v>
      </c>
      <c r="D8641" t="s">
        <v>11</v>
      </c>
      <c r="E8641" t="s">
        <v>65</v>
      </c>
      <c r="F8641" t="s">
        <v>67</v>
      </c>
      <c r="G8641" t="str">
        <f t="shared" si="353"/>
        <v>003DEEP PURPLE</v>
      </c>
      <c r="H8641" s="5">
        <f>VLOOKUP(G8641,[6]Astroflores!$G$2:$H$110,2,FALSE)</f>
        <v>8820</v>
      </c>
      <c r="I8641" s="6">
        <v>3592.9793102010913</v>
      </c>
      <c r="J8641" s="5">
        <v>26044</v>
      </c>
      <c r="K8641" s="6">
        <f t="shared" si="355"/>
        <v>2.454787305609718</v>
      </c>
    </row>
    <row r="8642" spans="1:11">
      <c r="A8642" s="4">
        <v>2026</v>
      </c>
      <c r="B8642">
        <v>28</v>
      </c>
      <c r="C8642" t="s">
        <v>54</v>
      </c>
      <c r="D8642" t="s">
        <v>11</v>
      </c>
      <c r="E8642" t="s">
        <v>65</v>
      </c>
      <c r="F8642" t="s">
        <v>57</v>
      </c>
      <c r="G8642" t="str">
        <f t="shared" si="353"/>
        <v>003EXPLORER</v>
      </c>
      <c r="H8642" s="5">
        <f>VLOOKUP(G8642,[6]Astroflores!$G$2:$H$110,2,FALSE)</f>
        <v>2125</v>
      </c>
      <c r="I8642" s="6">
        <v>1268.1103447768633</v>
      </c>
      <c r="J8642" s="5">
        <v>9600</v>
      </c>
      <c r="K8642" s="6">
        <f t="shared" si="355"/>
        <v>1.675721682070116</v>
      </c>
    </row>
    <row r="8643" spans="1:11">
      <c r="A8643" s="4">
        <v>2026</v>
      </c>
      <c r="B8643">
        <v>28</v>
      </c>
      <c r="C8643" t="s">
        <v>54</v>
      </c>
      <c r="D8643" t="s">
        <v>11</v>
      </c>
      <c r="E8643" t="s">
        <v>65</v>
      </c>
      <c r="F8643" t="s">
        <v>68</v>
      </c>
      <c r="G8643" t="str">
        <f t="shared" si="353"/>
        <v>003JOCKER</v>
      </c>
      <c r="H8643" s="5">
        <f>VLOOKUP(G8643,[6]Astroflores!$G$2:$H$110,2,FALSE)</f>
        <v>1125</v>
      </c>
      <c r="I8643" s="6">
        <v>528.37931032368999</v>
      </c>
      <c r="J8643" s="5">
        <v>4000</v>
      </c>
      <c r="K8643" s="6">
        <f t="shared" si="355"/>
        <v>2.1291522548655712</v>
      </c>
    </row>
    <row r="8644" spans="1:11">
      <c r="A8644" s="4">
        <v>2026</v>
      </c>
      <c r="B8644">
        <v>28</v>
      </c>
      <c r="C8644" t="s">
        <v>54</v>
      </c>
      <c r="D8644" t="s">
        <v>11</v>
      </c>
      <c r="E8644" t="s">
        <v>65</v>
      </c>
      <c r="F8644" t="s">
        <v>69</v>
      </c>
      <c r="G8644" t="str">
        <f t="shared" si="353"/>
        <v>003QUICKSAND</v>
      </c>
      <c r="H8644" s="5">
        <f>VLOOKUP(G8644,[6]Astroflores!$G$2:$H$110,2,FALSE)</f>
        <v>1860</v>
      </c>
      <c r="I8644" s="6">
        <v>1162.4344827121247</v>
      </c>
      <c r="J8644" s="5">
        <v>8800</v>
      </c>
      <c r="K8644" s="6">
        <f t="shared" si="355"/>
        <v>1.6000901794141171</v>
      </c>
    </row>
    <row r="8645" spans="1:11">
      <c r="A8645" s="4">
        <v>2026</v>
      </c>
      <c r="B8645">
        <v>28</v>
      </c>
      <c r="C8645" t="s">
        <v>54</v>
      </c>
      <c r="D8645" t="s">
        <v>11</v>
      </c>
      <c r="E8645" t="s">
        <v>14</v>
      </c>
      <c r="F8645" t="s">
        <v>70</v>
      </c>
      <c r="G8645" t="str">
        <f t="shared" si="353"/>
        <v>004COTOPAXI</v>
      </c>
      <c r="H8645" s="5">
        <f>VLOOKUP(G8645,[6]Astroflores!$G$2:$H$110,2,FALSE)</f>
        <v>900</v>
      </c>
      <c r="I8645" s="6">
        <v>528.3915024419166</v>
      </c>
      <c r="J8645" s="5">
        <v>4000</v>
      </c>
      <c r="K8645" s="6">
        <f t="shared" si="355"/>
        <v>1.7032825014042168</v>
      </c>
    </row>
    <row r="8646" spans="1:11">
      <c r="A8646" s="4">
        <v>2026</v>
      </c>
      <c r="B8646">
        <v>28</v>
      </c>
      <c r="C8646" t="s">
        <v>54</v>
      </c>
      <c r="D8646" t="s">
        <v>11</v>
      </c>
      <c r="E8646" t="s">
        <v>14</v>
      </c>
      <c r="F8646" t="s">
        <v>67</v>
      </c>
      <c r="G8646" t="str">
        <f t="shared" si="353"/>
        <v>004DEEP PURPLE</v>
      </c>
      <c r="H8646" s="5">
        <f>VLOOKUP(G8646,[6]Astroflores!$G$2:$H$110,2,FALSE)</f>
        <v>12060</v>
      </c>
      <c r="I8646" s="6">
        <v>3910.1071427007282</v>
      </c>
      <c r="J8646" s="5">
        <v>29260</v>
      </c>
      <c r="K8646" s="6">
        <f t="shared" si="355"/>
        <v>3.0843144599025245</v>
      </c>
    </row>
    <row r="8647" spans="1:11">
      <c r="A8647" s="4">
        <v>2026</v>
      </c>
      <c r="B8647">
        <v>28</v>
      </c>
      <c r="C8647" t="s">
        <v>54</v>
      </c>
      <c r="D8647" t="s">
        <v>11</v>
      </c>
      <c r="E8647" t="s">
        <v>14</v>
      </c>
      <c r="F8647" t="s">
        <v>71</v>
      </c>
      <c r="G8647" t="str">
        <f t="shared" si="353"/>
        <v>004HOT EXPLORER</v>
      </c>
      <c r="H8647" s="5">
        <f>VLOOKUP(G8647,[6]Astroflores!$G$2:$H$110,2,FALSE)</f>
        <v>1675</v>
      </c>
      <c r="I8647" s="6">
        <v>1902.2142856381945</v>
      </c>
      <c r="J8647" s="5">
        <v>14400</v>
      </c>
      <c r="K8647" s="6">
        <f t="shared" si="355"/>
        <v>0.88055273932402212</v>
      </c>
    </row>
    <row r="8648" spans="1:11">
      <c r="A8648" s="4">
        <v>2026</v>
      </c>
      <c r="B8648">
        <v>28</v>
      </c>
      <c r="C8648" t="s">
        <v>54</v>
      </c>
      <c r="D8648" t="s">
        <v>11</v>
      </c>
      <c r="E8648" t="s">
        <v>14</v>
      </c>
      <c r="F8648" t="s">
        <v>72</v>
      </c>
      <c r="G8648" t="str">
        <f t="shared" si="353"/>
        <v>004HOT MERENGUE</v>
      </c>
      <c r="H8648" s="5">
        <f>VLOOKUP(G8648,[6]Astroflores!$G$2:$H$110,2,FALSE)</f>
        <v>2610</v>
      </c>
      <c r="I8648" s="6">
        <v>1162.4642856677858</v>
      </c>
      <c r="J8648" s="5">
        <v>8800</v>
      </c>
      <c r="K8648" s="6">
        <f t="shared" si="355"/>
        <v>2.2452302683008165</v>
      </c>
    </row>
    <row r="8649" spans="1:11">
      <c r="A8649" s="4">
        <v>2026</v>
      </c>
      <c r="B8649">
        <v>28</v>
      </c>
      <c r="C8649" t="s">
        <v>54</v>
      </c>
      <c r="D8649" t="s">
        <v>11</v>
      </c>
      <c r="E8649" t="s">
        <v>14</v>
      </c>
      <c r="F8649" t="s">
        <v>64</v>
      </c>
      <c r="G8649" t="str">
        <f t="shared" si="353"/>
        <v>004SWEETNESS</v>
      </c>
      <c r="H8649" s="5">
        <f>VLOOKUP(G8649,[6]Astroflores!$G$2:$H$110,2,FALSE)</f>
        <v>540</v>
      </c>
      <c r="I8649" s="6">
        <v>317.03571427303262</v>
      </c>
      <c r="J8649" s="5">
        <v>2400</v>
      </c>
      <c r="K8649" s="6">
        <f t="shared" si="355"/>
        <v>1.7032781345730328</v>
      </c>
    </row>
    <row r="8650" spans="1:11">
      <c r="A8650" s="4">
        <v>2026</v>
      </c>
      <c r="B8650">
        <v>28</v>
      </c>
      <c r="C8650" t="s">
        <v>54</v>
      </c>
      <c r="D8650" t="s">
        <v>11</v>
      </c>
      <c r="E8650" t="s">
        <v>16</v>
      </c>
      <c r="F8650" t="s">
        <v>57</v>
      </c>
      <c r="G8650" t="str">
        <f t="shared" si="353"/>
        <v>005EXPLORER</v>
      </c>
      <c r="H8650" s="5">
        <f>VLOOKUP(G8650,[6]Astroflores!$G$2:$H$110,2,FALSE)</f>
        <v>1425</v>
      </c>
      <c r="I8650" s="6">
        <v>951.10714281875391</v>
      </c>
      <c r="J8650" s="5">
        <v>7200</v>
      </c>
      <c r="K8650" s="6">
        <f t="shared" si="355"/>
        <v>1.498253914671265</v>
      </c>
    </row>
    <row r="8651" spans="1:11">
      <c r="A8651" s="4">
        <v>2026</v>
      </c>
      <c r="B8651">
        <v>28</v>
      </c>
      <c r="C8651" t="s">
        <v>54</v>
      </c>
      <c r="D8651" t="s">
        <v>11</v>
      </c>
      <c r="E8651" t="s">
        <v>16</v>
      </c>
      <c r="F8651" t="s">
        <v>73</v>
      </c>
      <c r="G8651" t="str">
        <f t="shared" si="353"/>
        <v>005GOLDFINCH</v>
      </c>
      <c r="H8651" s="5">
        <f>VLOOKUP(G8651,[6]Astroflores!$G$2:$H$110,2,FALSE)</f>
        <v>900</v>
      </c>
      <c r="I8651" s="6">
        <v>898.26785710660101</v>
      </c>
      <c r="J8651" s="5">
        <v>6800</v>
      </c>
      <c r="K8651" s="6">
        <f t="shared" si="355"/>
        <v>1.0019283144550872</v>
      </c>
    </row>
    <row r="8652" spans="1:11">
      <c r="A8652" s="4">
        <v>2026</v>
      </c>
      <c r="B8652">
        <v>28</v>
      </c>
      <c r="C8652" t="s">
        <v>54</v>
      </c>
      <c r="D8652" t="s">
        <v>11</v>
      </c>
      <c r="E8652" t="s">
        <v>16</v>
      </c>
      <c r="F8652" t="s">
        <v>68</v>
      </c>
      <c r="G8652" t="str">
        <f t="shared" si="353"/>
        <v>005JOCKER</v>
      </c>
      <c r="H8652" s="5">
        <f>VLOOKUP(G8652,[6]Astroflores!$G$2:$H$110,2,FALSE)</f>
        <v>2375</v>
      </c>
      <c r="I8652" s="6">
        <v>1162.4642856673661</v>
      </c>
      <c r="J8652" s="5">
        <v>8800</v>
      </c>
      <c r="K8652" s="6">
        <f t="shared" si="355"/>
        <v>2.0430735200062702</v>
      </c>
    </row>
    <row r="8653" spans="1:11">
      <c r="A8653" s="4">
        <v>2026</v>
      </c>
      <c r="B8653">
        <v>28</v>
      </c>
      <c r="C8653" t="s">
        <v>54</v>
      </c>
      <c r="D8653" t="s">
        <v>11</v>
      </c>
      <c r="E8653" t="s">
        <v>16</v>
      </c>
      <c r="F8653" t="s">
        <v>74</v>
      </c>
      <c r="G8653" t="str">
        <f t="shared" si="353"/>
        <v>005VENDELA</v>
      </c>
      <c r="H8653" s="5">
        <f>VLOOKUP(G8653,[6]Astroflores!$G$2:$H$110,2,FALSE)</f>
        <v>1710</v>
      </c>
      <c r="I8653" s="6">
        <v>686.91071425798896</v>
      </c>
      <c r="J8653" s="5">
        <v>5200</v>
      </c>
      <c r="K8653" s="6">
        <f t="shared" si="355"/>
        <v>2.4894065043768712</v>
      </c>
    </row>
    <row r="8654" spans="1:11">
      <c r="A8654" s="4">
        <v>2026</v>
      </c>
      <c r="B8654">
        <v>28</v>
      </c>
      <c r="C8654" t="s">
        <v>54</v>
      </c>
      <c r="D8654" t="s">
        <v>11</v>
      </c>
      <c r="E8654" t="s">
        <v>75</v>
      </c>
      <c r="F8654" t="s">
        <v>76</v>
      </c>
      <c r="G8654" t="str">
        <f t="shared" si="353"/>
        <v>006ATOMIC</v>
      </c>
      <c r="H8654" s="5">
        <f>VLOOKUP(G8654,[6]Astroflores!$G$2:$H$110,2,FALSE)</f>
        <v>950</v>
      </c>
      <c r="I8654" s="6">
        <v>845.428571394752</v>
      </c>
      <c r="J8654" s="5">
        <v>6400</v>
      </c>
      <c r="K8654" s="6">
        <f t="shared" si="355"/>
        <v>1.1236904360030446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75</v>
      </c>
      <c r="F8655" t="s">
        <v>57</v>
      </c>
      <c r="G8655" t="str">
        <f t="shared" si="353"/>
        <v>006EXPLORER</v>
      </c>
      <c r="H8655" s="5">
        <f>VLOOKUP(G8655,[6]Astroflores!$G$2:$H$110,2,FALSE)</f>
        <v>5100</v>
      </c>
      <c r="I8655" s="6">
        <v>3910.1071427007355</v>
      </c>
      <c r="J8655" s="5">
        <v>29600</v>
      </c>
      <c r="K8655" s="6">
        <f t="shared" si="355"/>
        <v>1.3043120850334036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75</v>
      </c>
      <c r="F8656" t="s">
        <v>77</v>
      </c>
      <c r="G8656" t="str">
        <f t="shared" si="353"/>
        <v>006MONDIAL</v>
      </c>
      <c r="H8656" s="5">
        <f>VLOOKUP(G8656,[6]Astroflores!$G$2:$H$110,2,FALSE)</f>
        <v>9500</v>
      </c>
      <c r="I8656" s="6">
        <v>4015.7857141250793</v>
      </c>
      <c r="J8656" s="5">
        <v>30400</v>
      </c>
      <c r="K8656" s="6">
        <f t="shared" si="355"/>
        <v>2.3656640757958791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20</v>
      </c>
      <c r="F8657" t="s">
        <v>70</v>
      </c>
      <c r="G8657" t="str">
        <f t="shared" si="353"/>
        <v>007COTOPAXI</v>
      </c>
      <c r="H8657" s="5">
        <f>VLOOKUP(G8657,[6]Astroflores!$G$2:$H$110,2,FALSE)</f>
        <v>5850</v>
      </c>
      <c r="I8657" s="6">
        <v>2747.5751230427709</v>
      </c>
      <c r="J8657" s="5">
        <v>20800</v>
      </c>
      <c r="K8657" s="6">
        <f t="shared" si="355"/>
        <v>2.1291501553273213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20</v>
      </c>
      <c r="F8658" t="s">
        <v>78</v>
      </c>
      <c r="G8658" t="str">
        <f t="shared" si="353"/>
        <v>007REDIANT</v>
      </c>
      <c r="H8658" s="5">
        <f>VLOOKUP(G8658,[6]Astroflores!$G$2:$H$110,2,FALSE)</f>
        <v>2160</v>
      </c>
      <c r="I8658" s="6">
        <v>1056.75862064738</v>
      </c>
      <c r="J8658" s="5">
        <v>9600</v>
      </c>
      <c r="K8658" s="6">
        <f t="shared" si="355"/>
        <v>2.0439861646709483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20</v>
      </c>
      <c r="F8659" t="s">
        <v>74</v>
      </c>
      <c r="G8659" t="str">
        <f t="shared" si="353"/>
        <v>007VENDELA</v>
      </c>
      <c r="H8659" s="5">
        <f>VLOOKUP(G8659,[6]Astroflores!$G$2:$H$110,2,FALSE)</f>
        <v>10650</v>
      </c>
      <c r="I8659" s="6">
        <v>3592.9793102011122</v>
      </c>
      <c r="J8659" s="5">
        <v>27820</v>
      </c>
      <c r="K8659" s="6">
        <f t="shared" si="355"/>
        <v>2.9641139234402885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79</v>
      </c>
      <c r="F8660" t="s">
        <v>67</v>
      </c>
      <c r="G8660" t="str">
        <f t="shared" si="353"/>
        <v>008DEEP PURPLE</v>
      </c>
      <c r="H8660" s="5">
        <f>VLOOKUP(G8660,[6]Astroflores!$G$2:$H$110,2,FALSE)</f>
        <v>5670</v>
      </c>
      <c r="I8660" s="6">
        <v>1585.2222221588099</v>
      </c>
      <c r="J8660" s="5">
        <v>11490</v>
      </c>
      <c r="K8660" s="6">
        <f t="shared" si="355"/>
        <v>3.5767855892648286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79</v>
      </c>
      <c r="F8661" t="s">
        <v>81</v>
      </c>
      <c r="G8661" t="str">
        <f t="shared" si="353"/>
        <v>008FREEDOM</v>
      </c>
      <c r="H8661" s="5">
        <f>VLOOKUP(G8661,[6]Astroflores!$G$2:$H$110,2,FALSE)</f>
        <v>2610</v>
      </c>
      <c r="I8661" s="6">
        <v>2219.311111022334</v>
      </c>
      <c r="J8661" s="5">
        <v>16800</v>
      </c>
      <c r="K8661" s="6">
        <f t="shared" si="355"/>
        <v>1.1760406132503405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79</v>
      </c>
      <c r="F8662" t="s">
        <v>68</v>
      </c>
      <c r="G8662" t="str">
        <f t="shared" si="353"/>
        <v>008JOCKER</v>
      </c>
      <c r="H8662" s="5">
        <f>VLOOKUP(G8662,[6]Astroflores!$G$2:$H$110,2,FALSE)</f>
        <v>5750</v>
      </c>
      <c r="I8662" s="6">
        <v>2959.0814813631118</v>
      </c>
      <c r="J8662" s="5">
        <v>22400</v>
      </c>
      <c r="K8662" s="6">
        <f t="shared" si="355"/>
        <v>1.9431705535027177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82</v>
      </c>
      <c r="F8663" t="s">
        <v>83</v>
      </c>
      <c r="G8663" t="str">
        <f t="shared" si="353"/>
        <v>010COOLDOWN</v>
      </c>
      <c r="H8663" s="5">
        <f>VLOOKUP(G8663,[6]Astroflores!$G$2:$H$110,2,FALSE)</f>
        <v>3825</v>
      </c>
      <c r="I8663" s="6">
        <v>1912.3542857142861</v>
      </c>
      <c r="J8663" s="5">
        <v>16320</v>
      </c>
      <c r="K8663" s="6">
        <f t="shared" si="355"/>
        <v>2.0001523925632423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82</v>
      </c>
      <c r="F8664" t="s">
        <v>84</v>
      </c>
      <c r="G8664" t="str">
        <f t="shared" si="353"/>
        <v>010VIOLET HILL</v>
      </c>
      <c r="H8664" s="5">
        <f>VLOOKUP(G8664,[6]Astroflores!$G$2:$H$110,2,FALSE)</f>
        <v>5850</v>
      </c>
      <c r="I8664" s="6">
        <v>2812.2857142428579</v>
      </c>
      <c r="J8664" s="5">
        <v>20000</v>
      </c>
      <c r="K8664" s="6">
        <f t="shared" si="355"/>
        <v>2.0801584882974722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85</v>
      </c>
      <c r="F8665" t="s">
        <v>86</v>
      </c>
      <c r="G8665" t="str">
        <f t="shared" si="353"/>
        <v>011BRIGHTON</v>
      </c>
      <c r="H8665" s="5">
        <f>VLOOKUP(G8665,[6]Astroflores!$G$2:$H$110,2,FALSE)</f>
        <v>3550</v>
      </c>
      <c r="I8665" s="6">
        <v>1768.8376470588223</v>
      </c>
      <c r="J8665" s="5">
        <v>12800</v>
      </c>
      <c r="K8665" s="6">
        <f t="shared" si="355"/>
        <v>2.0069676863237556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85</v>
      </c>
      <c r="F8666" t="s">
        <v>87</v>
      </c>
      <c r="G8666" t="str">
        <f t="shared" si="353"/>
        <v>011CANDLELIGHT</v>
      </c>
      <c r="H8666" s="5">
        <f>VLOOKUP(G8666,[6]Astroflores!$G$2:$H$110,2,FALSE)</f>
        <v>4640</v>
      </c>
      <c r="I8666" s="6">
        <v>2263.7999998868127</v>
      </c>
      <c r="J8666" s="5">
        <v>17920</v>
      </c>
      <c r="K8666" s="6">
        <f t="shared" si="355"/>
        <v>2.049651029345346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85</v>
      </c>
      <c r="F8667" t="s">
        <v>88</v>
      </c>
      <c r="G8667" t="str">
        <f t="shared" si="353"/>
        <v>011CAYENNE</v>
      </c>
      <c r="H8667" s="5">
        <f>VLOOKUP(G8667,[6]Astroflores!$G$2:$H$110,2,FALSE)</f>
        <v>1530</v>
      </c>
      <c r="I8667" s="6">
        <v>994.97117647058747</v>
      </c>
      <c r="J8667" s="5">
        <v>7200</v>
      </c>
      <c r="K8667" s="6">
        <f t="shared" si="355"/>
        <v>1.5377329878311592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85</v>
      </c>
      <c r="F8668" t="s">
        <v>61</v>
      </c>
      <c r="G8668" t="str">
        <f t="shared" si="353"/>
        <v>011LUMIA</v>
      </c>
      <c r="H8668" s="5">
        <f>VLOOKUP(G8668,[6]Astroflores!$G$2:$H$110,2,FALSE)</f>
        <v>2640</v>
      </c>
      <c r="I8668" s="6">
        <v>994.97117647058747</v>
      </c>
      <c r="J8668" s="5">
        <v>7920</v>
      </c>
      <c r="K8668" s="6">
        <f t="shared" si="355"/>
        <v>2.6533431946890591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85</v>
      </c>
      <c r="F8669" t="s">
        <v>89</v>
      </c>
      <c r="G8669" t="str">
        <f t="shared" si="353"/>
        <v>011STARDUST</v>
      </c>
      <c r="H8669" s="5">
        <f>VLOOKUP(G8669,[6]Astroflores!$G$2:$H$110,2,FALSE)</f>
        <v>4525</v>
      </c>
      <c r="I8669" s="6">
        <v>2263.7999998868127</v>
      </c>
      <c r="J8669" s="5">
        <v>17920</v>
      </c>
      <c r="K8669" s="6">
        <f t="shared" si="355"/>
        <v>1.9988514887473472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90</v>
      </c>
      <c r="F8670" t="s">
        <v>67</v>
      </c>
      <c r="G8670" t="str">
        <f t="shared" si="353"/>
        <v>012DEEP PURPLE</v>
      </c>
      <c r="H8670" s="5">
        <f>VLOOKUP(G8670,[6]Astroflores!$G$2:$H$110,2,FALSE)</f>
        <v>19410</v>
      </c>
      <c r="I8670" s="6">
        <v>6727.0499997982479</v>
      </c>
      <c r="J8670" s="5">
        <v>49210</v>
      </c>
      <c r="K8670" s="6">
        <f t="shared" si="355"/>
        <v>2.8853657993596196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90</v>
      </c>
      <c r="F8671" t="s">
        <v>60</v>
      </c>
      <c r="G8671" t="str">
        <f t="shared" si="353"/>
        <v>012LIGHT HOUSE</v>
      </c>
      <c r="H8671" s="5">
        <f>VLOOKUP(G8671,[6]Astroflores!$G$2:$H$110,2,FALSE)</f>
        <v>2100</v>
      </c>
      <c r="I8671" s="6">
        <v>994.95</v>
      </c>
      <c r="J8671" s="5">
        <v>7200</v>
      </c>
      <c r="K8671" s="6">
        <f t="shared" si="355"/>
        <v>2.1106588270767372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91</v>
      </c>
      <c r="F8672" t="s">
        <v>92</v>
      </c>
      <c r="G8672" t="str">
        <f t="shared" si="353"/>
        <v>013COUNTRY BLUES</v>
      </c>
      <c r="H8672" s="5">
        <f>VLOOKUP(G8672,[6]Astroflores!$G$2:$H$110,2,FALSE)</f>
        <v>1400</v>
      </c>
      <c r="I8672" s="6">
        <v>831.6</v>
      </c>
      <c r="J8672" s="5">
        <v>6300</v>
      </c>
      <c r="K8672" s="6">
        <f t="shared" si="355"/>
        <v>1.6835016835016834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91</v>
      </c>
      <c r="F8673" t="s">
        <v>93</v>
      </c>
      <c r="G8673" t="str">
        <f t="shared" si="353"/>
        <v>013LORRAINE</v>
      </c>
      <c r="H8673" s="5">
        <f>VLOOKUP(G8673,[6]Astroflores!$G$2:$H$110,2,FALSE)</f>
        <v>4025</v>
      </c>
      <c r="I8673" s="6">
        <v>1267.2</v>
      </c>
      <c r="J8673" s="5">
        <v>9600</v>
      </c>
      <c r="K8673" s="6">
        <f t="shared" si="355"/>
        <v>3.1762941919191916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91</v>
      </c>
      <c r="F8674" t="s">
        <v>61</v>
      </c>
      <c r="G8674" t="str">
        <f t="shared" si="353"/>
        <v>013LUMIA</v>
      </c>
      <c r="H8674" s="5">
        <f>VLOOKUP(G8674,[6]Astroflores!$G$2:$H$110,2,FALSE)</f>
        <v>960</v>
      </c>
      <c r="I8674" s="6">
        <v>316.8</v>
      </c>
      <c r="J8674" s="5">
        <v>2400</v>
      </c>
      <c r="K8674" s="6">
        <f t="shared" si="355"/>
        <v>3.0303030303030303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91</v>
      </c>
      <c r="F8675" t="s">
        <v>74</v>
      </c>
      <c r="G8675" t="str">
        <f t="shared" si="353"/>
        <v>013VENDELA</v>
      </c>
      <c r="H8675" s="5">
        <f>VLOOKUP(G8675,[6]Astroflores!$G$2:$H$110,2,FALSE)</f>
        <v>12150</v>
      </c>
      <c r="I8675" s="6">
        <v>3603.6</v>
      </c>
      <c r="J8675" s="5">
        <v>27296</v>
      </c>
      <c r="K8675" s="6">
        <f t="shared" si="355"/>
        <v>3.3716283716283719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23</v>
      </c>
      <c r="F8676" t="s">
        <v>89</v>
      </c>
      <c r="G8676" t="str">
        <f t="shared" si="353"/>
        <v>014STARDUST</v>
      </c>
      <c r="H8676" s="5">
        <f>VLOOKUP(G8676,[6]Astroflores!$G$2:$H$110,2,FALSE)</f>
        <v>8575</v>
      </c>
      <c r="I8676" s="6">
        <v>3682.8</v>
      </c>
      <c r="J8676" s="5">
        <v>27900</v>
      </c>
      <c r="K8676" s="6">
        <f t="shared" si="355"/>
        <v>2.3283914412946669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25</v>
      </c>
      <c r="F8677" t="s">
        <v>68</v>
      </c>
      <c r="G8677" t="str">
        <f t="shared" si="353"/>
        <v>015JOCKER</v>
      </c>
      <c r="H8677" s="5">
        <f>VLOOKUP(G8677,[6]Astroflores!$G$2:$H$110,2,FALSE)</f>
        <v>6750</v>
      </c>
      <c r="I8677" s="6">
        <v>2376</v>
      </c>
      <c r="J8677" s="5">
        <v>18000</v>
      </c>
      <c r="K8677" s="6">
        <f t="shared" si="355"/>
        <v>2.8409090909090908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27</v>
      </c>
      <c r="F8678" t="s">
        <v>94</v>
      </c>
      <c r="G8678" t="str">
        <f t="shared" si="353"/>
        <v>016DREAM IN PEACH</v>
      </c>
      <c r="H8678" s="5">
        <f>VLOOKUP(G8678,[6]Astroflores!$G$2:$H$110,2,FALSE)</f>
        <v>1800</v>
      </c>
      <c r="I8678" s="6">
        <v>950.4</v>
      </c>
      <c r="J8678" s="5">
        <v>7200</v>
      </c>
      <c r="K8678" s="6">
        <f t="shared" si="355"/>
        <v>1.893939393939394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27</v>
      </c>
      <c r="F8679" t="s">
        <v>95</v>
      </c>
      <c r="G8679" t="str">
        <f t="shared" ref="G8679:G8741" si="356">+E8679&amp;F8679</f>
        <v>016NINA</v>
      </c>
      <c r="H8679" s="5">
        <f>VLOOKUP(G8679,[6]Astroflores!$G$2:$H$110,2,FALSE)</f>
        <v>3300</v>
      </c>
      <c r="I8679" s="6">
        <v>1346.4</v>
      </c>
      <c r="J8679" s="5">
        <v>10200</v>
      </c>
      <c r="K8679" s="6">
        <f t="shared" si="355"/>
        <v>2.4509803921568625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30</v>
      </c>
      <c r="F8680" t="s">
        <v>81</v>
      </c>
      <c r="G8680" t="str">
        <f t="shared" si="356"/>
        <v>017FREEDOM</v>
      </c>
      <c r="H8680" s="5">
        <f>VLOOKUP(G8680,[6]Astroflores!$G$2:$H$110,2,FALSE)</f>
        <v>5400</v>
      </c>
      <c r="I8680" s="6">
        <v>2851.2</v>
      </c>
      <c r="J8680" s="5">
        <v>21600</v>
      </c>
      <c r="K8680" s="6">
        <f t="shared" si="355"/>
        <v>1.893939393939394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30</v>
      </c>
      <c r="F8681" t="s">
        <v>73</v>
      </c>
      <c r="G8681" t="str">
        <f t="shared" si="356"/>
        <v>017GOLDFINCH</v>
      </c>
      <c r="H8681" s="5">
        <f>VLOOKUP(G8681,[6]Astroflores!$G$2:$H$110,2,FALSE)</f>
        <v>3725</v>
      </c>
      <c r="I8681" s="6">
        <v>2138.4</v>
      </c>
      <c r="J8681" s="5">
        <v>16200</v>
      </c>
      <c r="K8681" s="6">
        <f t="shared" si="355"/>
        <v>1.741956603067714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32</v>
      </c>
      <c r="F8682" t="s">
        <v>86</v>
      </c>
      <c r="G8682" t="str">
        <f t="shared" si="356"/>
        <v>018BRIGHTON</v>
      </c>
      <c r="H8682" s="5">
        <f>VLOOKUP(G8682,[6]Astroflores!$G$2:$H$110,2,FALSE)</f>
        <v>2475</v>
      </c>
      <c r="I8682" s="6">
        <v>963.6</v>
      </c>
      <c r="J8682" s="5">
        <v>7570</v>
      </c>
      <c r="K8682" s="6">
        <f t="shared" si="355"/>
        <v>2.5684931506849313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35</v>
      </c>
      <c r="F8683" t="s">
        <v>86</v>
      </c>
      <c r="G8683" t="str">
        <f t="shared" si="356"/>
        <v>019BRIGHTON</v>
      </c>
      <c r="H8683" s="5">
        <f>VLOOKUP(G8683,[6]Astroflores!$G$2:$H$110,2,FALSE)</f>
        <v>9375</v>
      </c>
      <c r="I8683" s="6">
        <v>3168</v>
      </c>
      <c r="J8683" s="5">
        <v>24000</v>
      </c>
      <c r="K8683" s="6">
        <f t="shared" si="355"/>
        <v>2.9592803030303032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35</v>
      </c>
      <c r="F8684" t="s">
        <v>96</v>
      </c>
      <c r="G8684" t="str">
        <f t="shared" si="356"/>
        <v>019TABATHA</v>
      </c>
      <c r="H8684" s="5">
        <f>VLOOKUP(G8684,[6]Astroflores!$G$2:$H$110,2,FALSE)</f>
        <v>2490</v>
      </c>
      <c r="I8684" s="6">
        <v>1188</v>
      </c>
      <c r="J8684" s="5">
        <v>9000</v>
      </c>
      <c r="K8684" s="6">
        <f t="shared" si="355"/>
        <v>2.095959595959596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36</v>
      </c>
      <c r="F8685" t="s">
        <v>86</v>
      </c>
      <c r="G8685" t="str">
        <f t="shared" si="356"/>
        <v>020BRIGHTON</v>
      </c>
      <c r="H8685" s="5">
        <f>VLOOKUP(G8685,[6]Astroflores!$G$2:$H$110,2,FALSE)</f>
        <v>5500</v>
      </c>
      <c r="I8685" s="6">
        <v>2732.4</v>
      </c>
      <c r="J8685" s="5">
        <v>20700</v>
      </c>
      <c r="K8685" s="6">
        <f t="shared" si="355"/>
        <v>2.0128824476650564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36</v>
      </c>
      <c r="F8686" t="s">
        <v>97</v>
      </c>
      <c r="G8686" t="str">
        <f t="shared" si="356"/>
        <v>020TYCOON</v>
      </c>
      <c r="H8686" s="5">
        <f>VLOOKUP(G8686,[6]Astroflores!$G$2:$H$110,2,FALSE)</f>
        <v>1350</v>
      </c>
      <c r="I8686" s="6">
        <v>673.2</v>
      </c>
      <c r="J8686" s="5">
        <v>5100</v>
      </c>
      <c r="K8686" s="6">
        <f t="shared" si="355"/>
        <v>2.0053475935828877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38</v>
      </c>
      <c r="F8687" t="s">
        <v>98</v>
      </c>
      <c r="G8687" t="str">
        <f t="shared" si="356"/>
        <v>021SHOW GIRL</v>
      </c>
      <c r="H8687" s="5">
        <f>VLOOKUP(G8687,[6]Astroflores!$G$2:$H$110,2,FALSE)</f>
        <v>1200</v>
      </c>
      <c r="I8687" s="6">
        <v>1100.4749999999999</v>
      </c>
      <c r="J8687" s="5">
        <v>8000</v>
      </c>
      <c r="K8687" s="6">
        <f t="shared" si="355"/>
        <v>1.0904382198596061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43</v>
      </c>
      <c r="F8688" t="s">
        <v>99</v>
      </c>
      <c r="G8688" t="str">
        <f t="shared" si="356"/>
        <v>022CORAL REEF</v>
      </c>
      <c r="H8688" s="5">
        <f>VLOOKUP(G8688,[6]Astroflores!$G$2:$H$110,2,FALSE)</f>
        <v>2375</v>
      </c>
      <c r="I8688" s="6">
        <v>1287</v>
      </c>
      <c r="J8688" s="5">
        <v>9400</v>
      </c>
      <c r="K8688" s="6">
        <f t="shared" si="355"/>
        <v>1.8453768453768453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100</v>
      </c>
      <c r="F8689" t="s">
        <v>70</v>
      </c>
      <c r="G8689" t="str">
        <f t="shared" si="356"/>
        <v>023COTOPAXI</v>
      </c>
      <c r="H8689" s="5">
        <f>VLOOKUP(G8689,[6]Astroflores!$G$2:$H$110,2,FALSE)</f>
        <v>6330</v>
      </c>
      <c r="I8689" s="6">
        <v>2641.14</v>
      </c>
      <c r="J8689" s="5">
        <v>19200</v>
      </c>
      <c r="K8689" s="6">
        <f t="shared" si="355"/>
        <v>2.3966923373997595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100</v>
      </c>
      <c r="F8690" t="s">
        <v>101</v>
      </c>
      <c r="G8690" t="str">
        <f t="shared" si="356"/>
        <v>023FRUTTETO</v>
      </c>
      <c r="H8690" s="5">
        <f>VLOOKUP(G8690,[6]Astroflores!$G$2:$H$110,2,FALSE)</f>
        <v>6960</v>
      </c>
      <c r="I8690" s="6">
        <v>2641.14</v>
      </c>
      <c r="J8690" s="5">
        <v>19200</v>
      </c>
      <c r="K8690" s="6">
        <f t="shared" si="355"/>
        <v>2.635225697994048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102</v>
      </c>
      <c r="F8691" t="s">
        <v>70</v>
      </c>
      <c r="G8691" t="str">
        <f t="shared" si="356"/>
        <v>024COTOPAXI</v>
      </c>
      <c r="H8691" s="5">
        <f>VLOOKUP(G8691,[6]Astroflores!$G$2:$H$110,2,FALSE)</f>
        <v>4440</v>
      </c>
      <c r="I8691" s="6">
        <v>1430.6174906250001</v>
      </c>
      <c r="J8691" s="5">
        <v>10400</v>
      </c>
      <c r="K8691" s="6">
        <f t="shared" si="355"/>
        <v>3.1035549537845215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102</v>
      </c>
      <c r="F8692" t="s">
        <v>64</v>
      </c>
      <c r="G8692" t="str">
        <f t="shared" si="356"/>
        <v>024SWEETNESS</v>
      </c>
      <c r="H8692" s="5">
        <f>VLOOKUP(G8692,[6]Astroflores!$G$2:$H$110,2,FALSE)</f>
        <v>2220</v>
      </c>
      <c r="I8692" s="6">
        <v>1430.6175000000001</v>
      </c>
      <c r="J8692" s="5">
        <v>10400</v>
      </c>
      <c r="K8692" s="6">
        <f t="shared" si="355"/>
        <v>1.5517774667232855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102</v>
      </c>
      <c r="F8693" t="s">
        <v>97</v>
      </c>
      <c r="G8693" t="str">
        <f t="shared" si="356"/>
        <v>024TYCOON</v>
      </c>
      <c r="H8693" s="5">
        <f>VLOOKUP(G8693,[6]Astroflores!$G$2:$H$110,2,FALSE)</f>
        <v>5070</v>
      </c>
      <c r="I8693" s="6">
        <v>2861.2350000000001</v>
      </c>
      <c r="J8693" s="5">
        <v>20800</v>
      </c>
      <c r="K8693" s="6">
        <f t="shared" si="355"/>
        <v>1.7719621072718599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103</v>
      </c>
      <c r="F8694" t="s">
        <v>104</v>
      </c>
      <c r="G8694" t="str">
        <f t="shared" si="356"/>
        <v>025PINK MONDIAL</v>
      </c>
      <c r="H8694" s="5">
        <f>VLOOKUP(G8694,[6]Astroflores!$G$2:$H$110,2,FALSE)</f>
        <v>7400</v>
      </c>
      <c r="I8694" s="6">
        <v>3071.9505625000002</v>
      </c>
      <c r="J8694" s="5">
        <v>22400</v>
      </c>
      <c r="K8694" s="6">
        <f t="shared" si="355"/>
        <v>2.4088929328269422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45</v>
      </c>
      <c r="F8695" t="s">
        <v>105</v>
      </c>
      <c r="G8695" t="str">
        <f t="shared" si="356"/>
        <v>026LOLA</v>
      </c>
      <c r="H8695" s="5">
        <f>VLOOKUP(G8695,[6]Astroflores!$G$2:$H$110,2,FALSE)</f>
        <v>3400</v>
      </c>
      <c r="I8695" s="6">
        <v>1097.125</v>
      </c>
      <c r="J8695" s="5">
        <v>8000</v>
      </c>
      <c r="K8695" s="6">
        <f t="shared" si="355"/>
        <v>3.0990087729292468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45</v>
      </c>
      <c r="F8696" t="s">
        <v>106</v>
      </c>
      <c r="G8696" t="str">
        <f t="shared" si="356"/>
        <v>026PALOMA</v>
      </c>
      <c r="H8696" s="5">
        <f>VLOOKUP(G8696,[6]Astroflores!$G$2:$H$110,2,FALSE)</f>
        <v>4675</v>
      </c>
      <c r="I8696" s="6">
        <v>2852.5250000000001</v>
      </c>
      <c r="J8696" s="5">
        <v>20800</v>
      </c>
      <c r="K8696" s="6">
        <f t="shared" si="355"/>
        <v>1.638898870299121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107</v>
      </c>
      <c r="F8697" t="s">
        <v>108</v>
      </c>
      <c r="G8697" t="str">
        <f t="shared" si="356"/>
        <v>027SATISFACTION</v>
      </c>
      <c r="H8697" s="5">
        <f>VLOOKUP(G8697,[6]Astroflores!$G$2:$H$110,2,FALSE)</f>
        <v>7230</v>
      </c>
      <c r="I8697" s="6">
        <v>2633.1</v>
      </c>
      <c r="J8697" s="5">
        <v>19200</v>
      </c>
      <c r="K8697" s="6">
        <f t="shared" si="355"/>
        <v>2.7458129201321637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107</v>
      </c>
      <c r="F8698" t="s">
        <v>109</v>
      </c>
      <c r="G8698" t="str">
        <f t="shared" si="356"/>
        <v>027TIFFANY</v>
      </c>
      <c r="H8698" s="5">
        <f>VLOOKUP(G8698,[6]Astroflores!$G$2:$H$110,2,FALSE)</f>
        <v>6360</v>
      </c>
      <c r="I8698" s="6">
        <v>2633.1</v>
      </c>
      <c r="J8698" s="5">
        <v>19200</v>
      </c>
      <c r="K8698" s="6">
        <f t="shared" ref="K8698:K8737" si="357">+H8698/I8698</f>
        <v>2.4154038965477955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110</v>
      </c>
      <c r="F8699" t="s">
        <v>70</v>
      </c>
      <c r="G8699" t="str">
        <f t="shared" si="356"/>
        <v>028COTOPAXI</v>
      </c>
      <c r="H8699" s="5">
        <f>VLOOKUP(G8699,[6]Astroflores!$G$2:$H$110,2,FALSE)</f>
        <v>5010</v>
      </c>
      <c r="I8699" s="6">
        <v>2852.5250000000001</v>
      </c>
      <c r="J8699" s="5">
        <v>20800</v>
      </c>
      <c r="K8699" s="6">
        <f t="shared" si="357"/>
        <v>1.7563386823954215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110</v>
      </c>
      <c r="F8700" t="s">
        <v>67</v>
      </c>
      <c r="G8700" t="str">
        <f t="shared" si="356"/>
        <v>028DEEP PURPLE</v>
      </c>
      <c r="H8700" s="5">
        <f>VLOOKUP(G8700,[6]Astroflores!$G$2:$H$110,2,FALSE)</f>
        <v>7260</v>
      </c>
      <c r="I8700" s="6">
        <v>2852.5250000000001</v>
      </c>
      <c r="J8700" s="5">
        <v>20800</v>
      </c>
      <c r="K8700" s="6">
        <f t="shared" si="357"/>
        <v>2.5451135397586349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111</v>
      </c>
      <c r="F8701" t="s">
        <v>112</v>
      </c>
      <c r="G8701" t="str">
        <f t="shared" si="356"/>
        <v>029PINK FLOYD</v>
      </c>
      <c r="H8701" s="5">
        <f>VLOOKUP(G8701,[6]Astroflores!$G$2:$H$110,2,FALSE)</f>
        <v>4350</v>
      </c>
      <c r="I8701" s="6">
        <v>3071.95</v>
      </c>
      <c r="J8701" s="5">
        <v>22400</v>
      </c>
      <c r="K8701" s="6">
        <f t="shared" si="357"/>
        <v>1.4160386725044354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47</v>
      </c>
      <c r="F8702" t="s">
        <v>57</v>
      </c>
      <c r="G8702" t="str">
        <f t="shared" si="356"/>
        <v>030EXPLORER</v>
      </c>
      <c r="H8702" s="5">
        <f>VLOOKUP(G8702,[6]Astroflores!$G$2:$H$110,2,FALSE)</f>
        <v>2600</v>
      </c>
      <c r="I8702" s="6">
        <v>1645.6875</v>
      </c>
      <c r="J8702" s="5">
        <v>12000</v>
      </c>
      <c r="K8702" s="6">
        <f t="shared" si="357"/>
        <v>1.5798868254149101</v>
      </c>
    </row>
    <row r="8703" spans="1:11">
      <c r="A8703" s="4">
        <v>2026</v>
      </c>
      <c r="B8703">
        <v>29</v>
      </c>
      <c r="C8703" t="s">
        <v>10</v>
      </c>
      <c r="D8703" t="s">
        <v>11</v>
      </c>
      <c r="E8703" t="s">
        <v>12</v>
      </c>
      <c r="F8703" t="s">
        <v>13</v>
      </c>
      <c r="G8703" t="str">
        <f t="shared" si="356"/>
        <v>002SOMERSET</v>
      </c>
      <c r="H8703" s="5">
        <v>5340</v>
      </c>
      <c r="I8703" s="6">
        <v>4121.4642855494085</v>
      </c>
      <c r="J8703" s="5">
        <v>31200</v>
      </c>
      <c r="K8703" s="6">
        <f t="shared" si="357"/>
        <v>1.29565601689744</v>
      </c>
    </row>
    <row r="8704" spans="1:11">
      <c r="A8704" s="4">
        <v>2026</v>
      </c>
      <c r="B8704">
        <v>29</v>
      </c>
      <c r="C8704" t="s">
        <v>10</v>
      </c>
      <c r="D8704" t="s">
        <v>11</v>
      </c>
      <c r="E8704" t="s">
        <v>14</v>
      </c>
      <c r="F8704" t="s">
        <v>15</v>
      </c>
      <c r="G8704" t="str">
        <f t="shared" si="356"/>
        <v>004BELLINA</v>
      </c>
      <c r="H8704" s="5">
        <v>1605</v>
      </c>
      <c r="I8704" s="6">
        <v>1056.7857142434418</v>
      </c>
      <c r="J8704" s="5">
        <v>8000</v>
      </c>
      <c r="K8704" s="6">
        <f t="shared" si="357"/>
        <v>1.5187563366609544</v>
      </c>
    </row>
    <row r="8705" spans="1:11">
      <c r="A8705" s="4">
        <v>2026</v>
      </c>
      <c r="B8705">
        <v>29</v>
      </c>
      <c r="C8705" t="s">
        <v>10</v>
      </c>
      <c r="D8705" t="s">
        <v>11</v>
      </c>
      <c r="E8705" t="s">
        <v>16</v>
      </c>
      <c r="F8705" t="s">
        <v>17</v>
      </c>
      <c r="G8705" t="str">
        <f t="shared" si="356"/>
        <v>005ELBA</v>
      </c>
      <c r="H8705" s="5">
        <v>4770</v>
      </c>
      <c r="I8705" s="6">
        <v>2641.9642856076484</v>
      </c>
      <c r="J8705" s="5">
        <v>19996</v>
      </c>
      <c r="K8705" s="6">
        <f t="shared" si="357"/>
        <v>1.8054748226480686</v>
      </c>
    </row>
    <row r="8706" spans="1:11">
      <c r="A8706" s="4">
        <v>2026</v>
      </c>
      <c r="B8706">
        <v>29</v>
      </c>
      <c r="C8706" t="s">
        <v>10</v>
      </c>
      <c r="D8706" t="s">
        <v>11</v>
      </c>
      <c r="E8706" t="s">
        <v>16</v>
      </c>
      <c r="F8706" t="s">
        <v>18</v>
      </c>
      <c r="G8706" t="str">
        <f t="shared" si="356"/>
        <v>005HOT BUBBLES</v>
      </c>
      <c r="H8706" s="5">
        <v>980</v>
      </c>
      <c r="I8706" s="6">
        <v>528.39285712153003</v>
      </c>
      <c r="J8706" s="5">
        <v>4000</v>
      </c>
      <c r="K8706" s="6">
        <f t="shared" si="357"/>
        <v>1.8546806354246395</v>
      </c>
    </row>
    <row r="8707" spans="1:11">
      <c r="A8707" s="4">
        <v>2026</v>
      </c>
      <c r="B8707">
        <v>29</v>
      </c>
      <c r="C8707" t="s">
        <v>10</v>
      </c>
      <c r="D8707" t="s">
        <v>11</v>
      </c>
      <c r="E8707" t="s">
        <v>16</v>
      </c>
      <c r="F8707" t="s">
        <v>19</v>
      </c>
      <c r="G8707" t="str">
        <f t="shared" si="356"/>
        <v>005SUSPIRO</v>
      </c>
      <c r="H8707" s="5">
        <v>3120</v>
      </c>
      <c r="I8707" s="6">
        <v>1902.2142856375078</v>
      </c>
      <c r="J8707" s="5">
        <v>14400</v>
      </c>
      <c r="K8707" s="6">
        <f t="shared" si="357"/>
        <v>1.6401937592190692</v>
      </c>
    </row>
    <row r="8708" spans="1:11">
      <c r="A8708" s="4">
        <v>2026</v>
      </c>
      <c r="B8708">
        <v>29</v>
      </c>
      <c r="C8708" t="s">
        <v>10</v>
      </c>
      <c r="D8708" t="s">
        <v>11</v>
      </c>
      <c r="E8708" t="s">
        <v>20</v>
      </c>
      <c r="F8708" t="s">
        <v>21</v>
      </c>
      <c r="G8708" t="str">
        <f t="shared" si="356"/>
        <v>007SNOW BUBBLES</v>
      </c>
      <c r="H8708" s="5">
        <v>600</v>
      </c>
      <c r="I8708" s="6">
        <v>634.05652706821195</v>
      </c>
      <c r="J8708" s="5">
        <v>4800</v>
      </c>
      <c r="K8708" s="6">
        <f t="shared" si="357"/>
        <v>0.94628786927612818</v>
      </c>
    </row>
    <row r="8709" spans="1:11">
      <c r="A8709" s="4">
        <v>2026</v>
      </c>
      <c r="B8709">
        <v>29</v>
      </c>
      <c r="C8709" t="s">
        <v>10</v>
      </c>
      <c r="D8709" t="s">
        <v>11</v>
      </c>
      <c r="E8709" t="s">
        <v>22</v>
      </c>
      <c r="F8709" t="s">
        <v>18</v>
      </c>
      <c r="G8709" t="str">
        <f t="shared" si="356"/>
        <v>009HOT BUBBLES</v>
      </c>
      <c r="H8709" s="5">
        <v>5860</v>
      </c>
      <c r="I8709" s="6">
        <v>4487.9999999102474</v>
      </c>
      <c r="J8709" s="5">
        <v>31740</v>
      </c>
      <c r="K8709" s="6">
        <f t="shared" si="357"/>
        <v>1.3057040998478588</v>
      </c>
    </row>
    <row r="8710" spans="1:11">
      <c r="A8710" s="4">
        <v>2026</v>
      </c>
      <c r="B8710">
        <v>29</v>
      </c>
      <c r="C8710" t="s">
        <v>10</v>
      </c>
      <c r="D8710" t="s">
        <v>11</v>
      </c>
      <c r="E8710" t="s">
        <v>23</v>
      </c>
      <c r="F8710" t="s">
        <v>24</v>
      </c>
      <c r="G8710" t="str">
        <f t="shared" si="356"/>
        <v>014FRUITY BUBBLES</v>
      </c>
      <c r="H8710" s="5">
        <v>3700</v>
      </c>
      <c r="I8710" s="6">
        <v>1702.8</v>
      </c>
      <c r="J8710" s="5">
        <v>12900</v>
      </c>
      <c r="K8710" s="6">
        <f t="shared" si="357"/>
        <v>2.1728917077754288</v>
      </c>
    </row>
    <row r="8711" spans="1:11">
      <c r="A8711" s="4">
        <v>2026</v>
      </c>
      <c r="B8711">
        <v>29</v>
      </c>
      <c r="C8711" t="s">
        <v>10</v>
      </c>
      <c r="D8711" t="s">
        <v>11</v>
      </c>
      <c r="E8711" t="s">
        <v>25</v>
      </c>
      <c r="F8711" t="s">
        <v>26</v>
      </c>
      <c r="G8711" t="str">
        <f t="shared" si="356"/>
        <v>015FELLINI</v>
      </c>
      <c r="H8711" s="5">
        <v>4520</v>
      </c>
      <c r="I8711" s="6">
        <v>3009.6</v>
      </c>
      <c r="J8711" s="5">
        <v>22800</v>
      </c>
      <c r="K8711" s="6">
        <f t="shared" si="357"/>
        <v>1.5018607123870282</v>
      </c>
    </row>
    <row r="8712" spans="1:11">
      <c r="A8712" s="4">
        <v>2026</v>
      </c>
      <c r="B8712">
        <v>29</v>
      </c>
      <c r="C8712" t="s">
        <v>10</v>
      </c>
      <c r="D8712" t="s">
        <v>11</v>
      </c>
      <c r="E8712" t="s">
        <v>27</v>
      </c>
      <c r="F8712" t="s">
        <v>28</v>
      </c>
      <c r="G8712" t="str">
        <f t="shared" si="356"/>
        <v>016GOOD PEACH</v>
      </c>
      <c r="H8712" s="5">
        <v>2250</v>
      </c>
      <c r="I8712" s="6">
        <v>1386</v>
      </c>
      <c r="J8712" s="5">
        <v>10500</v>
      </c>
      <c r="K8712" s="6">
        <f t="shared" si="357"/>
        <v>1.6233766233766234</v>
      </c>
    </row>
    <row r="8713" spans="1:11">
      <c r="A8713" s="4">
        <v>2026</v>
      </c>
      <c r="B8713">
        <v>29</v>
      </c>
      <c r="C8713" t="s">
        <v>10</v>
      </c>
      <c r="D8713" t="s">
        <v>11</v>
      </c>
      <c r="E8713" t="s">
        <v>27</v>
      </c>
      <c r="F8713" t="s">
        <v>29</v>
      </c>
      <c r="G8713" t="str">
        <f t="shared" si="356"/>
        <v>016GOOD YELLOW</v>
      </c>
      <c r="H8713" s="5">
        <v>2280</v>
      </c>
      <c r="I8713" s="6">
        <v>1386</v>
      </c>
      <c r="J8713" s="5">
        <v>10500</v>
      </c>
      <c r="K8713" s="6">
        <f t="shared" si="357"/>
        <v>1.6450216450216451</v>
      </c>
    </row>
    <row r="8714" spans="1:11">
      <c r="A8714" s="4">
        <v>2026</v>
      </c>
      <c r="B8714">
        <v>29</v>
      </c>
      <c r="C8714" t="s">
        <v>10</v>
      </c>
      <c r="D8714" t="s">
        <v>11</v>
      </c>
      <c r="E8714" t="s">
        <v>30</v>
      </c>
      <c r="F8714" t="s">
        <v>31</v>
      </c>
      <c r="G8714" t="str">
        <f t="shared" si="356"/>
        <v>017ORANGE STAR</v>
      </c>
      <c r="H8714" s="5">
        <v>2000</v>
      </c>
      <c r="I8714" s="6">
        <v>1029.5999999999999</v>
      </c>
      <c r="J8714" s="5">
        <v>7800</v>
      </c>
      <c r="K8714" s="6">
        <f t="shared" si="357"/>
        <v>1.9425019425019427</v>
      </c>
    </row>
    <row r="8715" spans="1:11">
      <c r="A8715" s="4">
        <v>2026</v>
      </c>
      <c r="B8715">
        <v>29</v>
      </c>
      <c r="C8715" t="s">
        <v>10</v>
      </c>
      <c r="D8715" t="s">
        <v>11</v>
      </c>
      <c r="E8715" t="s">
        <v>32</v>
      </c>
      <c r="F8715" t="s">
        <v>33</v>
      </c>
      <c r="G8715" t="str">
        <f t="shared" si="356"/>
        <v>018COSMO</v>
      </c>
      <c r="H8715" s="5">
        <v>4400</v>
      </c>
      <c r="I8715" s="6">
        <v>2653.2</v>
      </c>
      <c r="J8715" s="5">
        <v>20100</v>
      </c>
      <c r="K8715" s="6">
        <f t="shared" si="357"/>
        <v>1.6583747927031511</v>
      </c>
    </row>
    <row r="8716" spans="1:11">
      <c r="A8716" s="4">
        <v>2026</v>
      </c>
      <c r="B8716">
        <v>29</v>
      </c>
      <c r="C8716" t="s">
        <v>10</v>
      </c>
      <c r="D8716" t="s">
        <v>11</v>
      </c>
      <c r="E8716" t="s">
        <v>32</v>
      </c>
      <c r="F8716" t="s">
        <v>34</v>
      </c>
      <c r="G8716" t="str">
        <f t="shared" si="356"/>
        <v>018RUBICON</v>
      </c>
      <c r="H8716" s="5">
        <v>3330</v>
      </c>
      <c r="I8716" s="6">
        <v>1768.8</v>
      </c>
      <c r="J8716" s="5">
        <v>13400</v>
      </c>
      <c r="K8716" s="6">
        <f t="shared" si="357"/>
        <v>1.8826322930800543</v>
      </c>
    </row>
    <row r="8717" spans="1:11">
      <c r="A8717" s="4">
        <v>2026</v>
      </c>
      <c r="B8717">
        <v>29</v>
      </c>
      <c r="C8717" t="s">
        <v>10</v>
      </c>
      <c r="D8717" t="s">
        <v>11</v>
      </c>
      <c r="E8717" t="s">
        <v>35</v>
      </c>
      <c r="F8717" t="s">
        <v>15</v>
      </c>
      <c r="G8717" t="str">
        <f t="shared" si="356"/>
        <v>019BELLINA</v>
      </c>
      <c r="H8717" s="5">
        <v>1395</v>
      </c>
      <c r="I8717" s="6">
        <v>1029.5999999999999</v>
      </c>
      <c r="J8717" s="5">
        <v>7800</v>
      </c>
      <c r="K8717" s="6">
        <f t="shared" si="357"/>
        <v>1.354895104895105</v>
      </c>
    </row>
    <row r="8718" spans="1:11">
      <c r="A8718" s="4">
        <v>2026</v>
      </c>
      <c r="B8718">
        <v>29</v>
      </c>
      <c r="C8718" t="s">
        <v>10</v>
      </c>
      <c r="D8718" t="s">
        <v>11</v>
      </c>
      <c r="E8718" t="s">
        <v>36</v>
      </c>
      <c r="F8718" t="s">
        <v>37</v>
      </c>
      <c r="G8718" t="str">
        <f t="shared" si="356"/>
        <v>020SUMMER DANCE</v>
      </c>
      <c r="H8718" s="5">
        <v>3175</v>
      </c>
      <c r="I8718" s="6">
        <v>1346.4</v>
      </c>
      <c r="J8718" s="5">
        <v>10200</v>
      </c>
      <c r="K8718" s="6">
        <f t="shared" si="357"/>
        <v>2.3581402257872845</v>
      </c>
    </row>
    <row r="8719" spans="1:11">
      <c r="A8719" s="4">
        <v>2026</v>
      </c>
      <c r="B8719">
        <v>29</v>
      </c>
      <c r="C8719" t="s">
        <v>10</v>
      </c>
      <c r="D8719" t="s">
        <v>11</v>
      </c>
      <c r="E8719" t="s">
        <v>38</v>
      </c>
      <c r="F8719" t="s">
        <v>39</v>
      </c>
      <c r="G8719" t="str">
        <f t="shared" si="356"/>
        <v>021ELEGANT ROSEVER</v>
      </c>
      <c r="H8719" s="5">
        <v>330</v>
      </c>
      <c r="I8719" s="6">
        <v>440.18999062500001</v>
      </c>
      <c r="J8719" s="5">
        <v>3200</v>
      </c>
      <c r="K8719" s="6">
        <f t="shared" si="357"/>
        <v>0.74967629211980102</v>
      </c>
    </row>
    <row r="8720" spans="1:11">
      <c r="A8720" s="4">
        <v>2026</v>
      </c>
      <c r="B8720">
        <v>29</v>
      </c>
      <c r="C8720" t="s">
        <v>10</v>
      </c>
      <c r="D8720" t="s">
        <v>11</v>
      </c>
      <c r="E8720" t="s">
        <v>38</v>
      </c>
      <c r="F8720" t="s">
        <v>40</v>
      </c>
      <c r="G8720" t="str">
        <f t="shared" si="356"/>
        <v>021FLAME CLUB</v>
      </c>
      <c r="H8720" s="5">
        <v>1600</v>
      </c>
      <c r="I8720" s="6">
        <v>880.38</v>
      </c>
      <c r="J8720" s="5">
        <v>6400</v>
      </c>
      <c r="K8720" s="6">
        <f t="shared" si="357"/>
        <v>1.8173970330993434</v>
      </c>
    </row>
    <row r="8721" spans="1:11">
      <c r="A8721" s="4">
        <v>2026</v>
      </c>
      <c r="B8721">
        <v>29</v>
      </c>
      <c r="C8721" t="s">
        <v>10</v>
      </c>
      <c r="D8721" t="s">
        <v>11</v>
      </c>
      <c r="E8721" t="s">
        <v>38</v>
      </c>
      <c r="F8721" t="s">
        <v>41</v>
      </c>
      <c r="G8721" t="str">
        <f t="shared" si="356"/>
        <v>021KELLY</v>
      </c>
      <c r="H8721" s="5">
        <v>650</v>
      </c>
      <c r="I8721" s="6">
        <v>330.14249999999998</v>
      </c>
      <c r="J8721" s="5">
        <v>2400</v>
      </c>
      <c r="K8721" s="6">
        <f t="shared" si="357"/>
        <v>1.9688467858576222</v>
      </c>
    </row>
    <row r="8722" spans="1:11">
      <c r="A8722" s="4">
        <v>2026</v>
      </c>
      <c r="B8722">
        <v>29</v>
      </c>
      <c r="C8722" t="s">
        <v>10</v>
      </c>
      <c r="D8722" t="s">
        <v>11</v>
      </c>
      <c r="E8722" t="s">
        <v>38</v>
      </c>
      <c r="F8722" t="s">
        <v>42</v>
      </c>
      <c r="G8722" t="str">
        <f t="shared" si="356"/>
        <v>021LEILA</v>
      </c>
      <c r="H8722" s="5">
        <v>2900</v>
      </c>
      <c r="I8722" s="6">
        <v>1650.7125000000001</v>
      </c>
      <c r="J8722" s="5">
        <v>12000</v>
      </c>
      <c r="K8722" s="6">
        <f t="shared" si="357"/>
        <v>1.756817131996032</v>
      </c>
    </row>
    <row r="8723" spans="1:11">
      <c r="A8723" s="4">
        <v>2026</v>
      </c>
      <c r="B8723">
        <v>29</v>
      </c>
      <c r="C8723" t="s">
        <v>10</v>
      </c>
      <c r="D8723" t="s">
        <v>11</v>
      </c>
      <c r="E8723" t="s">
        <v>38</v>
      </c>
      <c r="F8723" t="s">
        <v>21</v>
      </c>
      <c r="G8723" t="str">
        <f t="shared" si="356"/>
        <v>021SNOW BUBBLES</v>
      </c>
      <c r="H8723" s="5">
        <v>1260</v>
      </c>
      <c r="I8723" s="6">
        <v>1287.0000000000018</v>
      </c>
      <c r="J8723" s="5">
        <v>9400</v>
      </c>
      <c r="K8723" s="6">
        <f t="shared" si="357"/>
        <v>0.97902097902097762</v>
      </c>
    </row>
    <row r="8724" spans="1:11">
      <c r="A8724" s="4">
        <v>2026</v>
      </c>
      <c r="B8724">
        <v>29</v>
      </c>
      <c r="C8724" t="s">
        <v>10</v>
      </c>
      <c r="D8724" t="s">
        <v>11</v>
      </c>
      <c r="E8724" t="s">
        <v>43</v>
      </c>
      <c r="F8724" t="s">
        <v>24</v>
      </c>
      <c r="G8724" t="str">
        <f t="shared" si="356"/>
        <v>022FRUITY BUBBLES</v>
      </c>
      <c r="H8724" s="5">
        <v>3150</v>
      </c>
      <c r="I8724" s="6">
        <v>2641.14</v>
      </c>
      <c r="J8724" s="5">
        <v>19200</v>
      </c>
      <c r="K8724" s="6">
        <f t="shared" si="357"/>
        <v>1.1926668029714442</v>
      </c>
    </row>
    <row r="8725" spans="1:11">
      <c r="A8725" s="4">
        <v>2026</v>
      </c>
      <c r="B8725">
        <v>29</v>
      </c>
      <c r="C8725" t="s">
        <v>10</v>
      </c>
      <c r="D8725" t="s">
        <v>11</v>
      </c>
      <c r="E8725" t="s">
        <v>43</v>
      </c>
      <c r="F8725" t="s">
        <v>28</v>
      </c>
      <c r="G8725" t="str">
        <f t="shared" si="356"/>
        <v>022GOOD PEACH</v>
      </c>
      <c r="H8725" s="5">
        <v>1770</v>
      </c>
      <c r="I8725" s="6">
        <v>880.38</v>
      </c>
      <c r="J8725" s="5">
        <v>6400</v>
      </c>
      <c r="K8725" s="6">
        <f t="shared" si="357"/>
        <v>2.0104954678661486</v>
      </c>
    </row>
    <row r="8726" spans="1:11">
      <c r="A8726" s="4">
        <v>2026</v>
      </c>
      <c r="B8726">
        <v>29</v>
      </c>
      <c r="C8726" t="s">
        <v>10</v>
      </c>
      <c r="D8726" t="s">
        <v>11</v>
      </c>
      <c r="E8726" t="s">
        <v>43</v>
      </c>
      <c r="F8726" t="s">
        <v>44</v>
      </c>
      <c r="G8726" t="str">
        <f t="shared" si="356"/>
        <v>022MIRABEL</v>
      </c>
      <c r="H8726" s="5">
        <v>1340</v>
      </c>
      <c r="I8726" s="6">
        <v>880.38</v>
      </c>
      <c r="J8726" s="5">
        <v>6400</v>
      </c>
      <c r="K8726" s="6">
        <f t="shared" si="357"/>
        <v>1.5220700152207001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45</v>
      </c>
      <c r="F8727" t="s">
        <v>46</v>
      </c>
      <c r="G8727" t="str">
        <f t="shared" si="356"/>
        <v>026PURPLE BUBBLY</v>
      </c>
      <c r="H8727" s="5">
        <v>770</v>
      </c>
      <c r="I8727" s="6">
        <v>1755.4</v>
      </c>
      <c r="J8727" s="5">
        <v>12800</v>
      </c>
      <c r="K8727" s="6">
        <f t="shared" si="357"/>
        <v>0.43864646234476468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47</v>
      </c>
      <c r="F8728" t="s">
        <v>44</v>
      </c>
      <c r="G8728" t="str">
        <f t="shared" si="356"/>
        <v>030MIRABEL</v>
      </c>
      <c r="H8728" s="5">
        <v>2540</v>
      </c>
      <c r="I8728" s="6">
        <v>2413.6749943750001</v>
      </c>
      <c r="J8728" s="5">
        <v>17600</v>
      </c>
      <c r="K8728" s="6">
        <f t="shared" si="357"/>
        <v>1.0523372060941911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47</v>
      </c>
      <c r="F8729" t="s">
        <v>13</v>
      </c>
      <c r="G8729" t="str">
        <f t="shared" si="356"/>
        <v>030SOMERSET</v>
      </c>
      <c r="H8729" s="5">
        <v>3380</v>
      </c>
      <c r="I8729" s="6">
        <v>1645.6875</v>
      </c>
      <c r="J8729" s="5">
        <v>12000</v>
      </c>
      <c r="K8729" s="6">
        <f t="shared" si="357"/>
        <v>2.053852873039383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48</v>
      </c>
      <c r="F8730" t="s">
        <v>49</v>
      </c>
      <c r="G8730" t="str">
        <f t="shared" si="356"/>
        <v>03182989</v>
      </c>
      <c r="H8730" s="5">
        <v>500</v>
      </c>
      <c r="I8730" s="6">
        <v>726.32013058333712</v>
      </c>
      <c r="J8730" s="5">
        <v>5712</v>
      </c>
      <c r="K8730" s="6">
        <f t="shared" si="357"/>
        <v>0.68840168260024648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48</v>
      </c>
      <c r="F8731" t="s">
        <v>34</v>
      </c>
      <c r="G8731" t="str">
        <f t="shared" si="356"/>
        <v>031RUBICON</v>
      </c>
      <c r="H8731" s="5">
        <v>2580</v>
      </c>
      <c r="I8731" s="6">
        <v>924.39958333667107</v>
      </c>
      <c r="J8731" s="5">
        <v>6720</v>
      </c>
      <c r="K8731" s="6">
        <f t="shared" si="357"/>
        <v>2.7910008253004057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48</v>
      </c>
      <c r="F8732" t="s">
        <v>13</v>
      </c>
      <c r="G8732" t="str">
        <f t="shared" si="356"/>
        <v>031SOMERSET</v>
      </c>
      <c r="H8732" s="5">
        <v>200</v>
      </c>
      <c r="I8732" s="6">
        <v>1122.485208333339</v>
      </c>
      <c r="J8732" s="5">
        <v>8160</v>
      </c>
      <c r="K8732" s="6">
        <f t="shared" si="357"/>
        <v>0.17817606727928212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48</v>
      </c>
      <c r="F8733" t="s">
        <v>50</v>
      </c>
      <c r="G8733" t="str">
        <f t="shared" si="356"/>
        <v>031VELVET BLOSSOMS</v>
      </c>
      <c r="H8733" s="5">
        <v>260</v>
      </c>
      <c r="I8733" s="6">
        <v>396.17125000000198</v>
      </c>
      <c r="J8733" s="5">
        <v>2880</v>
      </c>
      <c r="K8733" s="6">
        <f t="shared" si="357"/>
        <v>0.65628184781202248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51</v>
      </c>
      <c r="F8734" t="s">
        <v>17</v>
      </c>
      <c r="G8734" t="str">
        <f t="shared" si="356"/>
        <v>032ELBA</v>
      </c>
      <c r="H8734" s="5">
        <v>2040</v>
      </c>
      <c r="I8734" s="6">
        <v>1535.9749999999999</v>
      </c>
      <c r="J8734" s="5">
        <v>11200</v>
      </c>
      <c r="K8734" s="6">
        <f t="shared" si="357"/>
        <v>1.3281466169696774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51</v>
      </c>
      <c r="F8735" t="s">
        <v>44</v>
      </c>
      <c r="G8735" t="str">
        <f t="shared" si="356"/>
        <v>032MIRABEL</v>
      </c>
      <c r="H8735" s="5">
        <v>1700</v>
      </c>
      <c r="I8735" s="6">
        <v>1535.9749999999999</v>
      </c>
      <c r="J8735" s="5">
        <v>11200</v>
      </c>
      <c r="K8735" s="6">
        <f t="shared" si="357"/>
        <v>1.1067888474747312</v>
      </c>
    </row>
    <row r="8736" spans="1:11">
      <c r="A8736" s="4">
        <v>2026</v>
      </c>
      <c r="B8736">
        <v>29</v>
      </c>
      <c r="C8736" t="s">
        <v>10</v>
      </c>
      <c r="D8736" t="s">
        <v>11</v>
      </c>
      <c r="E8736" t="s">
        <v>52</v>
      </c>
      <c r="F8736" t="s">
        <v>53</v>
      </c>
      <c r="G8736" t="str">
        <f t="shared" si="356"/>
        <v>033CREAMY FOLIES</v>
      </c>
      <c r="H8736" s="5">
        <v>810</v>
      </c>
      <c r="I8736" s="6">
        <v>594.25687500000299</v>
      </c>
      <c r="J8736" s="5">
        <v>4320</v>
      </c>
      <c r="K8736" s="6">
        <f t="shared" si="357"/>
        <v>1.3630469146865081</v>
      </c>
    </row>
    <row r="8737" spans="1:11">
      <c r="A8737" s="4">
        <v>2026</v>
      </c>
      <c r="B8737">
        <v>29</v>
      </c>
      <c r="C8737" t="s">
        <v>10</v>
      </c>
      <c r="D8737" t="s">
        <v>11</v>
      </c>
      <c r="E8737" t="s">
        <v>52</v>
      </c>
      <c r="F8737" t="s">
        <v>18</v>
      </c>
      <c r="G8737" t="str">
        <f t="shared" si="356"/>
        <v>033HOT BUBBLES</v>
      </c>
      <c r="H8737" s="5">
        <v>2620</v>
      </c>
      <c r="I8737" s="6">
        <v>2575.1131250013459</v>
      </c>
      <c r="J8737" s="5">
        <v>18720</v>
      </c>
      <c r="K8737" s="6">
        <f t="shared" si="357"/>
        <v>1.0174310303352714</v>
      </c>
    </row>
    <row r="8738" spans="1:11">
      <c r="A8738" s="4">
        <v>2026</v>
      </c>
      <c r="B8738">
        <v>29</v>
      </c>
      <c r="C8738" t="s">
        <v>54</v>
      </c>
      <c r="D8738" t="s">
        <v>11</v>
      </c>
      <c r="E8738" t="s">
        <v>55</v>
      </c>
      <c r="F8738" t="s">
        <v>56</v>
      </c>
      <c r="G8738" t="str">
        <f t="shared" si="356"/>
        <v>001BELIEVE IN PINK</v>
      </c>
      <c r="H8738" s="5">
        <v>1800</v>
      </c>
      <c r="I8738" s="6">
        <v>528.37931032368999</v>
      </c>
      <c r="J8738" s="5">
        <v>4000</v>
      </c>
      <c r="K8738" s="6">
        <f t="shared" ref="K8738:K8743" si="358">IFERROR(H8738/I8738,"")</f>
        <v>3.4066436077849143</v>
      </c>
    </row>
    <row r="8739" spans="1:11">
      <c r="A8739" s="4">
        <v>2026</v>
      </c>
      <c r="B8739">
        <v>29</v>
      </c>
      <c r="C8739" t="s">
        <v>54</v>
      </c>
      <c r="D8739" t="s">
        <v>11</v>
      </c>
      <c r="E8739" t="s">
        <v>55</v>
      </c>
      <c r="F8739" t="s">
        <v>57</v>
      </c>
      <c r="G8739" t="str">
        <f t="shared" si="356"/>
        <v>001EXPLORER</v>
      </c>
      <c r="H8739" s="5">
        <v>3000</v>
      </c>
      <c r="I8739" s="6">
        <v>2272.0310343918732</v>
      </c>
      <c r="J8739" s="5">
        <v>17200</v>
      </c>
      <c r="K8739" s="6">
        <f t="shared" si="358"/>
        <v>1.3204044991414361</v>
      </c>
    </row>
    <row r="8740" spans="1:11">
      <c r="A8740" s="4">
        <v>2026</v>
      </c>
      <c r="B8740">
        <v>29</v>
      </c>
      <c r="C8740" t="s">
        <v>54</v>
      </c>
      <c r="D8740" t="s">
        <v>11</v>
      </c>
      <c r="E8740" t="s">
        <v>55</v>
      </c>
      <c r="F8740" t="s">
        <v>58</v>
      </c>
      <c r="G8740" t="str">
        <f t="shared" si="356"/>
        <v>001GRACE KELLY</v>
      </c>
      <c r="H8740" s="5">
        <v>1830</v>
      </c>
      <c r="I8740" s="6">
        <v>1162.4344827121224</v>
      </c>
      <c r="J8740" s="5">
        <v>8800</v>
      </c>
      <c r="K8740" s="6">
        <f t="shared" si="358"/>
        <v>1.5742822732945376</v>
      </c>
    </row>
    <row r="8741" spans="1:11">
      <c r="A8741" s="4">
        <v>2026</v>
      </c>
      <c r="B8741">
        <v>29</v>
      </c>
      <c r="C8741" t="s">
        <v>54</v>
      </c>
      <c r="D8741" t="s">
        <v>11</v>
      </c>
      <c r="E8741" t="s">
        <v>55</v>
      </c>
      <c r="F8741" t="s">
        <v>60</v>
      </c>
      <c r="G8741" t="str">
        <f t="shared" si="356"/>
        <v>001LIGHT HOUSE</v>
      </c>
      <c r="H8741" s="5">
        <v>1920</v>
      </c>
      <c r="I8741" s="6">
        <v>1056.7586206473827</v>
      </c>
      <c r="J8741" s="5">
        <v>8000</v>
      </c>
      <c r="K8741" s="6">
        <f t="shared" si="358"/>
        <v>1.8168765908186162</v>
      </c>
    </row>
    <row r="8742" spans="1:11">
      <c r="A8742" s="4">
        <v>2026</v>
      </c>
      <c r="B8742">
        <v>29</v>
      </c>
      <c r="C8742" t="s">
        <v>54</v>
      </c>
      <c r="D8742" t="s">
        <v>11</v>
      </c>
      <c r="E8742" t="s">
        <v>55</v>
      </c>
      <c r="F8742" t="s">
        <v>61</v>
      </c>
      <c r="G8742" t="str">
        <f t="shared" ref="G8742:G8801" si="359">+E8742&amp;F8742</f>
        <v>001LUMIA</v>
      </c>
      <c r="H8742" s="5">
        <v>1920</v>
      </c>
      <c r="I8742" s="6">
        <v>1109.596551679753</v>
      </c>
      <c r="J8742" s="5">
        <v>8400</v>
      </c>
      <c r="K8742" s="6">
        <f t="shared" si="358"/>
        <v>1.7303586579224897</v>
      </c>
    </row>
    <row r="8743" spans="1:11">
      <c r="A8743" s="4">
        <v>2026</v>
      </c>
      <c r="B8743">
        <v>29</v>
      </c>
      <c r="C8743" t="s">
        <v>54</v>
      </c>
      <c r="D8743" t="s">
        <v>11</v>
      </c>
      <c r="E8743" t="s">
        <v>55</v>
      </c>
      <c r="F8743" t="s">
        <v>62</v>
      </c>
      <c r="G8743" t="str">
        <f t="shared" si="359"/>
        <v>001MOMENTUM</v>
      </c>
      <c r="H8743" s="5">
        <v>3175</v>
      </c>
      <c r="I8743" s="6">
        <v>1902.1655171652881</v>
      </c>
      <c r="J8743" s="5">
        <v>14400</v>
      </c>
      <c r="K8743" s="6">
        <f t="shared" si="358"/>
        <v>1.6691502244933765</v>
      </c>
    </row>
    <row r="8744" spans="1:11">
      <c r="A8744" s="4">
        <v>2026</v>
      </c>
      <c r="B8744">
        <v>29</v>
      </c>
      <c r="C8744" t="s">
        <v>54</v>
      </c>
      <c r="D8744" t="s">
        <v>11</v>
      </c>
      <c r="E8744" t="s">
        <v>12</v>
      </c>
      <c r="F8744" t="s">
        <v>63</v>
      </c>
      <c r="G8744" t="str">
        <f t="shared" si="359"/>
        <v>002SUMMER ROMANCE</v>
      </c>
      <c r="H8744" s="5">
        <v>700</v>
      </c>
      <c r="I8744" s="6">
        <v>951.10714281909407</v>
      </c>
      <c r="J8744" s="5">
        <v>7200</v>
      </c>
      <c r="K8744" s="6">
        <f t="shared" ref="K8744:K8803" si="360">+H8744/I8744</f>
        <v>0.7359843791364985</v>
      </c>
    </row>
    <row r="8745" spans="1:11">
      <c r="A8745" s="4">
        <v>2026</v>
      </c>
      <c r="B8745">
        <v>29</v>
      </c>
      <c r="C8745" t="s">
        <v>54</v>
      </c>
      <c r="D8745" t="s">
        <v>11</v>
      </c>
      <c r="E8745" t="s">
        <v>12</v>
      </c>
      <c r="F8745" t="s">
        <v>64</v>
      </c>
      <c r="G8745" t="str">
        <f t="shared" si="359"/>
        <v>002SWEETNESS</v>
      </c>
      <c r="H8745" s="5">
        <v>5550</v>
      </c>
      <c r="I8745" s="6">
        <v>3804.4285712763772</v>
      </c>
      <c r="J8745" s="5">
        <v>28800</v>
      </c>
      <c r="K8745" s="6">
        <f t="shared" si="360"/>
        <v>1.4588261800741307</v>
      </c>
    </row>
    <row r="8746" spans="1:11">
      <c r="A8746" s="4">
        <v>2026</v>
      </c>
      <c r="B8746">
        <v>29</v>
      </c>
      <c r="C8746" t="s">
        <v>54</v>
      </c>
      <c r="D8746" t="s">
        <v>11</v>
      </c>
      <c r="E8746" t="s">
        <v>65</v>
      </c>
      <c r="F8746" t="s">
        <v>66</v>
      </c>
      <c r="G8746" t="str">
        <f t="shared" si="359"/>
        <v>003CABARET</v>
      </c>
      <c r="H8746" s="5">
        <v>8760</v>
      </c>
      <c r="I8746" s="6">
        <v>2641.8965516184649</v>
      </c>
      <c r="J8746" s="5">
        <v>20000</v>
      </c>
      <c r="K8746" s="6">
        <f t="shared" si="360"/>
        <v>3.3157997782439645</v>
      </c>
    </row>
    <row r="8747" spans="1:11">
      <c r="A8747" s="4">
        <v>2026</v>
      </c>
      <c r="B8747">
        <v>29</v>
      </c>
      <c r="C8747" t="s">
        <v>54</v>
      </c>
      <c r="D8747" t="s">
        <v>11</v>
      </c>
      <c r="E8747" t="s">
        <v>65</v>
      </c>
      <c r="F8747" t="s">
        <v>67</v>
      </c>
      <c r="G8747" t="str">
        <f t="shared" si="359"/>
        <v>003DEEP PURPLE</v>
      </c>
      <c r="H8747" s="5">
        <v>16530</v>
      </c>
      <c r="I8747" s="6">
        <v>3592.9793102010913</v>
      </c>
      <c r="J8747" s="5">
        <v>26044</v>
      </c>
      <c r="K8747" s="6">
        <f t="shared" si="360"/>
        <v>4.6006387938467848</v>
      </c>
    </row>
    <row r="8748" spans="1:11">
      <c r="A8748" s="4">
        <v>2026</v>
      </c>
      <c r="B8748">
        <v>29</v>
      </c>
      <c r="C8748" t="s">
        <v>54</v>
      </c>
      <c r="D8748" t="s">
        <v>11</v>
      </c>
      <c r="E8748" t="s">
        <v>65</v>
      </c>
      <c r="F8748" t="s">
        <v>57</v>
      </c>
      <c r="G8748" t="str">
        <f t="shared" si="359"/>
        <v>003EXPLORER</v>
      </c>
      <c r="H8748" s="5">
        <v>1725</v>
      </c>
      <c r="I8748" s="6">
        <v>1268.1103447768633</v>
      </c>
      <c r="J8748" s="5">
        <v>9600</v>
      </c>
      <c r="K8748" s="6">
        <f t="shared" si="360"/>
        <v>1.3602917183863295</v>
      </c>
    </row>
    <row r="8749" spans="1:11">
      <c r="A8749" s="4">
        <v>2026</v>
      </c>
      <c r="B8749">
        <v>29</v>
      </c>
      <c r="C8749" t="s">
        <v>54</v>
      </c>
      <c r="D8749" t="s">
        <v>11</v>
      </c>
      <c r="E8749" t="s">
        <v>65</v>
      </c>
      <c r="F8749" t="s">
        <v>68</v>
      </c>
      <c r="G8749" t="str">
        <f t="shared" si="359"/>
        <v>003JOCKER</v>
      </c>
      <c r="H8749" s="5">
        <v>725</v>
      </c>
      <c r="I8749" s="6">
        <v>528.37931032368999</v>
      </c>
      <c r="J8749" s="5">
        <v>4000</v>
      </c>
      <c r="K8749" s="6">
        <f t="shared" si="360"/>
        <v>1.3721203420244794</v>
      </c>
    </row>
    <row r="8750" spans="1:11">
      <c r="A8750" s="4">
        <v>2026</v>
      </c>
      <c r="B8750">
        <v>29</v>
      </c>
      <c r="C8750" t="s">
        <v>54</v>
      </c>
      <c r="D8750" t="s">
        <v>11</v>
      </c>
      <c r="E8750" t="s">
        <v>65</v>
      </c>
      <c r="F8750" t="s">
        <v>69</v>
      </c>
      <c r="G8750" t="str">
        <f t="shared" si="359"/>
        <v>003QUICKSAND</v>
      </c>
      <c r="H8750" s="5">
        <v>1560</v>
      </c>
      <c r="I8750" s="6">
        <v>1162.4344827121247</v>
      </c>
      <c r="J8750" s="5">
        <v>8800</v>
      </c>
      <c r="K8750" s="6">
        <f t="shared" si="360"/>
        <v>1.3420111182182917</v>
      </c>
    </row>
    <row r="8751" spans="1:11">
      <c r="A8751" s="4">
        <v>2026</v>
      </c>
      <c r="B8751">
        <v>29</v>
      </c>
      <c r="C8751" t="s">
        <v>54</v>
      </c>
      <c r="D8751" t="s">
        <v>11</v>
      </c>
      <c r="E8751" t="s">
        <v>14</v>
      </c>
      <c r="F8751" t="s">
        <v>70</v>
      </c>
      <c r="G8751" t="str">
        <f t="shared" si="359"/>
        <v>004COTOPAXI</v>
      </c>
      <c r="H8751" s="5">
        <v>870</v>
      </c>
      <c r="I8751" s="6">
        <v>528.3915024419166</v>
      </c>
      <c r="J8751" s="5">
        <v>4000</v>
      </c>
      <c r="K8751" s="6">
        <f t="shared" si="360"/>
        <v>1.6465064180240763</v>
      </c>
    </row>
    <row r="8752" spans="1:11">
      <c r="A8752" s="4">
        <v>2026</v>
      </c>
      <c r="B8752">
        <v>29</v>
      </c>
      <c r="C8752" t="s">
        <v>54</v>
      </c>
      <c r="D8752" t="s">
        <v>11</v>
      </c>
      <c r="E8752" t="s">
        <v>14</v>
      </c>
      <c r="F8752" t="s">
        <v>67</v>
      </c>
      <c r="G8752" t="str">
        <f t="shared" si="359"/>
        <v>004DEEP PURPLE</v>
      </c>
      <c r="H8752" s="5">
        <v>20940</v>
      </c>
      <c r="I8752" s="6">
        <v>3910.1071427007282</v>
      </c>
      <c r="J8752" s="5">
        <v>29260</v>
      </c>
      <c r="K8752" s="6">
        <f t="shared" si="360"/>
        <v>5.3553519726665728</v>
      </c>
    </row>
    <row r="8753" spans="1:11">
      <c r="A8753" s="4">
        <v>2026</v>
      </c>
      <c r="B8753">
        <v>29</v>
      </c>
      <c r="C8753" t="s">
        <v>54</v>
      </c>
      <c r="D8753" t="s">
        <v>11</v>
      </c>
      <c r="E8753" t="s">
        <v>14</v>
      </c>
      <c r="F8753" t="s">
        <v>71</v>
      </c>
      <c r="G8753" t="str">
        <f t="shared" si="359"/>
        <v>004HOT EXPLORER</v>
      </c>
      <c r="H8753" s="5">
        <v>1775</v>
      </c>
      <c r="I8753" s="6">
        <v>1902.2142856381945</v>
      </c>
      <c r="J8753" s="5">
        <v>14400</v>
      </c>
      <c r="K8753" s="6">
        <f t="shared" si="360"/>
        <v>0.9331230521194861</v>
      </c>
    </row>
    <row r="8754" spans="1:11">
      <c r="A8754" s="4">
        <v>2026</v>
      </c>
      <c r="B8754">
        <v>29</v>
      </c>
      <c r="C8754" t="s">
        <v>54</v>
      </c>
      <c r="D8754" t="s">
        <v>11</v>
      </c>
      <c r="E8754" t="s">
        <v>14</v>
      </c>
      <c r="F8754" t="s">
        <v>72</v>
      </c>
      <c r="G8754" t="str">
        <f t="shared" si="359"/>
        <v>004HOT MERENGUE</v>
      </c>
      <c r="H8754" s="5">
        <v>3090</v>
      </c>
      <c r="I8754" s="6">
        <v>1162.4642856677858</v>
      </c>
      <c r="J8754" s="5">
        <v>8800</v>
      </c>
      <c r="K8754" s="6">
        <f t="shared" si="360"/>
        <v>2.6581461797124613</v>
      </c>
    </row>
    <row r="8755" spans="1:11">
      <c r="A8755" s="4">
        <v>2026</v>
      </c>
      <c r="B8755">
        <v>29</v>
      </c>
      <c r="C8755" t="s">
        <v>54</v>
      </c>
      <c r="D8755" t="s">
        <v>11</v>
      </c>
      <c r="E8755" t="s">
        <v>14</v>
      </c>
      <c r="F8755" t="s">
        <v>64</v>
      </c>
      <c r="G8755" t="str">
        <f t="shared" si="359"/>
        <v>004SWEETNESS</v>
      </c>
      <c r="H8755" s="5">
        <v>810</v>
      </c>
      <c r="I8755" s="6">
        <v>317.03571427303262</v>
      </c>
      <c r="J8755" s="5">
        <v>2400</v>
      </c>
      <c r="K8755" s="6">
        <f t="shared" si="360"/>
        <v>2.5549172018595492</v>
      </c>
    </row>
    <row r="8756" spans="1:11">
      <c r="A8756" s="4">
        <v>2026</v>
      </c>
      <c r="B8756">
        <v>29</v>
      </c>
      <c r="C8756" t="s">
        <v>54</v>
      </c>
      <c r="D8756" t="s">
        <v>11</v>
      </c>
      <c r="E8756" t="s">
        <v>16</v>
      </c>
      <c r="F8756" t="s">
        <v>57</v>
      </c>
      <c r="G8756" t="str">
        <f t="shared" si="359"/>
        <v>005EXPLORER</v>
      </c>
      <c r="H8756" s="5">
        <v>1025</v>
      </c>
      <c r="I8756" s="6">
        <v>951.10714281875391</v>
      </c>
      <c r="J8756" s="5">
        <v>7200</v>
      </c>
      <c r="K8756" s="6">
        <f t="shared" si="360"/>
        <v>1.0776914123074011</v>
      </c>
    </row>
    <row r="8757" spans="1:11">
      <c r="A8757" s="4">
        <v>2026</v>
      </c>
      <c r="B8757">
        <v>29</v>
      </c>
      <c r="C8757" t="s">
        <v>54</v>
      </c>
      <c r="D8757" t="s">
        <v>11</v>
      </c>
      <c r="E8757" t="s">
        <v>16</v>
      </c>
      <c r="F8757" t="s">
        <v>73</v>
      </c>
      <c r="G8757" t="str">
        <f t="shared" si="359"/>
        <v>005GOLDFINCH</v>
      </c>
      <c r="H8757" s="5">
        <v>1225</v>
      </c>
      <c r="I8757" s="6">
        <v>898.26785710660101</v>
      </c>
      <c r="J8757" s="5">
        <v>6800</v>
      </c>
      <c r="K8757" s="6">
        <f t="shared" si="360"/>
        <v>1.3637357613416468</v>
      </c>
    </row>
    <row r="8758" spans="1:11">
      <c r="A8758" s="4">
        <v>2026</v>
      </c>
      <c r="B8758">
        <v>29</v>
      </c>
      <c r="C8758" t="s">
        <v>54</v>
      </c>
      <c r="D8758" t="s">
        <v>11</v>
      </c>
      <c r="E8758" t="s">
        <v>16</v>
      </c>
      <c r="F8758" t="s">
        <v>68</v>
      </c>
      <c r="G8758" t="str">
        <f t="shared" si="359"/>
        <v>005JOCKER</v>
      </c>
      <c r="H8758" s="5">
        <v>1900</v>
      </c>
      <c r="I8758" s="6">
        <v>1162.4642856673661</v>
      </c>
      <c r="J8758" s="5">
        <v>8800</v>
      </c>
      <c r="K8758" s="6">
        <f t="shared" si="360"/>
        <v>1.6344588160050162</v>
      </c>
    </row>
    <row r="8759" spans="1:11">
      <c r="A8759" s="4">
        <v>2026</v>
      </c>
      <c r="B8759">
        <v>29</v>
      </c>
      <c r="C8759" t="s">
        <v>54</v>
      </c>
      <c r="D8759" t="s">
        <v>11</v>
      </c>
      <c r="E8759" t="s">
        <v>16</v>
      </c>
      <c r="F8759" t="s">
        <v>74</v>
      </c>
      <c r="G8759" t="str">
        <f t="shared" si="359"/>
        <v>005VENDELA</v>
      </c>
      <c r="H8759" s="5">
        <v>1320</v>
      </c>
      <c r="I8759" s="6">
        <v>686.91071425798896</v>
      </c>
      <c r="J8759" s="5">
        <v>5200</v>
      </c>
      <c r="K8759" s="6">
        <f t="shared" si="360"/>
        <v>1.9216471261856549</v>
      </c>
    </row>
    <row r="8760" spans="1:11">
      <c r="A8760" s="4">
        <v>2026</v>
      </c>
      <c r="B8760">
        <v>29</v>
      </c>
      <c r="C8760" t="s">
        <v>54</v>
      </c>
      <c r="D8760" t="s">
        <v>11</v>
      </c>
      <c r="E8760" t="s">
        <v>75</v>
      </c>
      <c r="F8760" t="s">
        <v>76</v>
      </c>
      <c r="G8760" t="str">
        <f t="shared" si="359"/>
        <v>006ATOMIC</v>
      </c>
      <c r="H8760" s="5">
        <v>2075</v>
      </c>
      <c r="I8760" s="6">
        <v>845.428571394752</v>
      </c>
      <c r="J8760" s="5">
        <v>6400</v>
      </c>
      <c r="K8760" s="6">
        <f t="shared" si="360"/>
        <v>2.4543764786382289</v>
      </c>
    </row>
    <row r="8761" spans="1:11">
      <c r="A8761" s="4">
        <v>2026</v>
      </c>
      <c r="B8761">
        <v>29</v>
      </c>
      <c r="C8761" t="s">
        <v>54</v>
      </c>
      <c r="D8761" t="s">
        <v>11</v>
      </c>
      <c r="E8761" t="s">
        <v>75</v>
      </c>
      <c r="F8761" t="s">
        <v>57</v>
      </c>
      <c r="G8761" t="str">
        <f t="shared" si="359"/>
        <v>006EXPLORER</v>
      </c>
      <c r="H8761" s="5">
        <v>5625</v>
      </c>
      <c r="I8761" s="6">
        <v>3910.1071427007355</v>
      </c>
      <c r="J8761" s="5">
        <v>29600</v>
      </c>
      <c r="K8761" s="6">
        <f t="shared" si="360"/>
        <v>1.438579505551548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75</v>
      </c>
      <c r="F8762" t="s">
        <v>77</v>
      </c>
      <c r="G8762" t="str">
        <f t="shared" si="359"/>
        <v>006MONDIAL</v>
      </c>
      <c r="H8762" s="5">
        <v>5625</v>
      </c>
      <c r="I8762" s="6">
        <v>4015.7857141250793</v>
      </c>
      <c r="J8762" s="5">
        <v>30400</v>
      </c>
      <c r="K8762" s="6">
        <f t="shared" si="360"/>
        <v>1.4007221501422968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20</v>
      </c>
      <c r="F8763" t="s">
        <v>70</v>
      </c>
      <c r="G8763" t="str">
        <f t="shared" si="359"/>
        <v>007COTOPAXI</v>
      </c>
      <c r="H8763" s="5">
        <v>6870</v>
      </c>
      <c r="I8763" s="6">
        <v>2747.5751230427709</v>
      </c>
      <c r="J8763" s="5">
        <v>20800</v>
      </c>
      <c r="K8763" s="6">
        <f t="shared" si="360"/>
        <v>2.5003865926664441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20</v>
      </c>
      <c r="F8764" t="s">
        <v>78</v>
      </c>
      <c r="G8764" t="str">
        <f t="shared" si="359"/>
        <v>007REDIANT</v>
      </c>
      <c r="H8764" s="5">
        <v>930</v>
      </c>
      <c r="I8764" s="6">
        <v>1056.75862064738</v>
      </c>
      <c r="J8764" s="5">
        <v>9600</v>
      </c>
      <c r="K8764" s="6">
        <f t="shared" si="360"/>
        <v>0.88004959867776944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20</v>
      </c>
      <c r="F8765" t="s">
        <v>74</v>
      </c>
      <c r="G8765" t="str">
        <f t="shared" si="359"/>
        <v>007VENDELA</v>
      </c>
      <c r="H8765" s="5">
        <v>8670</v>
      </c>
      <c r="I8765" s="6">
        <v>3592.9793102011122</v>
      </c>
      <c r="J8765" s="5">
        <v>27820</v>
      </c>
      <c r="K8765" s="6">
        <f t="shared" si="360"/>
        <v>2.4130392221809673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79</v>
      </c>
      <c r="F8766" t="s">
        <v>67</v>
      </c>
      <c r="G8766" t="str">
        <f t="shared" si="359"/>
        <v>008DEEP PURPLE</v>
      </c>
      <c r="H8766" s="5">
        <v>7740</v>
      </c>
      <c r="I8766" s="6">
        <v>1585.2222221588099</v>
      </c>
      <c r="J8766" s="5">
        <v>11490</v>
      </c>
      <c r="K8766" s="6">
        <f t="shared" si="360"/>
        <v>4.8825962012186546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79</v>
      </c>
      <c r="F8767" t="s">
        <v>81</v>
      </c>
      <c r="G8767" t="str">
        <f t="shared" si="359"/>
        <v>008FREEDOM</v>
      </c>
      <c r="H8767" s="5">
        <v>4440</v>
      </c>
      <c r="I8767" s="6">
        <v>2219.311111022334</v>
      </c>
      <c r="J8767" s="5">
        <v>16800</v>
      </c>
      <c r="K8767" s="6">
        <f t="shared" si="360"/>
        <v>2.0006208133454066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79</v>
      </c>
      <c r="F8768" t="s">
        <v>68</v>
      </c>
      <c r="G8768" t="str">
        <f t="shared" si="359"/>
        <v>008JOCKER</v>
      </c>
      <c r="H8768" s="5">
        <v>3125</v>
      </c>
      <c r="I8768" s="6">
        <v>2959.0814813631118</v>
      </c>
      <c r="J8768" s="5">
        <v>22400</v>
      </c>
      <c r="K8768" s="6">
        <f t="shared" si="360"/>
        <v>1.0560709529906074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82</v>
      </c>
      <c r="F8769" t="s">
        <v>83</v>
      </c>
      <c r="G8769" t="str">
        <f t="shared" si="359"/>
        <v>010COOLDOWN</v>
      </c>
      <c r="H8769" s="5">
        <v>825</v>
      </c>
      <c r="I8769" s="6">
        <v>1912.3542857142861</v>
      </c>
      <c r="J8769" s="5">
        <v>16320</v>
      </c>
      <c r="K8769" s="6">
        <f t="shared" si="360"/>
        <v>0.43140541800383664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82</v>
      </c>
      <c r="F8770" t="s">
        <v>84</v>
      </c>
      <c r="G8770" t="str">
        <f t="shared" si="359"/>
        <v>010VIOLET HILL</v>
      </c>
      <c r="H8770" s="5">
        <v>1260</v>
      </c>
      <c r="I8770" s="6">
        <v>2812.2857142428579</v>
      </c>
      <c r="J8770" s="5">
        <v>20000</v>
      </c>
      <c r="K8770" s="6">
        <f t="shared" si="360"/>
        <v>0.448034135940994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85</v>
      </c>
      <c r="F8771" t="s">
        <v>86</v>
      </c>
      <c r="G8771" t="str">
        <f t="shared" si="359"/>
        <v>011BRIGHTON</v>
      </c>
      <c r="H8771" s="5">
        <v>2350</v>
      </c>
      <c r="I8771" s="6">
        <v>1768.8376470588223</v>
      </c>
      <c r="J8771" s="5">
        <v>12800</v>
      </c>
      <c r="K8771" s="6">
        <f t="shared" si="360"/>
        <v>1.3285560740453028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85</v>
      </c>
      <c r="F8772" t="s">
        <v>87</v>
      </c>
      <c r="G8772" t="str">
        <f t="shared" si="359"/>
        <v>011CANDLELIGHT</v>
      </c>
      <c r="H8772" s="5">
        <v>3980</v>
      </c>
      <c r="I8772" s="6">
        <v>2263.7999998868127</v>
      </c>
      <c r="J8772" s="5">
        <v>17920</v>
      </c>
      <c r="K8772" s="6">
        <f t="shared" si="360"/>
        <v>1.758105839826396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85</v>
      </c>
      <c r="F8773" t="s">
        <v>88</v>
      </c>
      <c r="G8773" t="str">
        <f t="shared" si="359"/>
        <v>011CAYENNE</v>
      </c>
      <c r="H8773" s="5">
        <v>1800</v>
      </c>
      <c r="I8773" s="6">
        <v>994.97117647058747</v>
      </c>
      <c r="J8773" s="5">
        <v>7200</v>
      </c>
      <c r="K8773" s="6">
        <f t="shared" si="360"/>
        <v>1.8090976327425401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85</v>
      </c>
      <c r="F8774" t="s">
        <v>61</v>
      </c>
      <c r="G8774" t="str">
        <f t="shared" si="359"/>
        <v>011LUMIA</v>
      </c>
      <c r="H8774" s="5">
        <v>1620</v>
      </c>
      <c r="I8774" s="6">
        <v>994.97117647058747</v>
      </c>
      <c r="J8774" s="5">
        <v>7920</v>
      </c>
      <c r="K8774" s="6">
        <f t="shared" si="360"/>
        <v>1.6281878694682861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85</v>
      </c>
      <c r="F8775" t="s">
        <v>89</v>
      </c>
      <c r="G8775" t="str">
        <f t="shared" si="359"/>
        <v>011STARDUST</v>
      </c>
      <c r="H8775" s="5">
        <v>3375</v>
      </c>
      <c r="I8775" s="6">
        <v>2263.7999998868127</v>
      </c>
      <c r="J8775" s="5">
        <v>17920</v>
      </c>
      <c r="K8775" s="6">
        <f t="shared" si="360"/>
        <v>1.4908560827673585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90</v>
      </c>
      <c r="F8776" t="s">
        <v>67</v>
      </c>
      <c r="G8776" t="str">
        <f t="shared" si="359"/>
        <v>012DEEP PURPLE</v>
      </c>
      <c r="H8776" s="5">
        <v>19860</v>
      </c>
      <c r="I8776" s="6">
        <v>6727.0499997982479</v>
      </c>
      <c r="J8776" s="5">
        <v>49210</v>
      </c>
      <c r="K8776" s="6">
        <f t="shared" si="360"/>
        <v>2.9522599059908319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90</v>
      </c>
      <c r="F8777" t="s">
        <v>60</v>
      </c>
      <c r="G8777" t="str">
        <f t="shared" si="359"/>
        <v>012LIGHT HOUSE</v>
      </c>
      <c r="H8777" s="5">
        <v>1500</v>
      </c>
      <c r="I8777" s="6">
        <v>994.95</v>
      </c>
      <c r="J8777" s="5">
        <v>7200</v>
      </c>
      <c r="K8777" s="6">
        <f t="shared" si="360"/>
        <v>1.5076134479119554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91</v>
      </c>
      <c r="F8778" t="s">
        <v>92</v>
      </c>
      <c r="G8778" t="str">
        <f t="shared" si="359"/>
        <v>013COUNTRY BLUES</v>
      </c>
      <c r="H8778" s="5">
        <v>1775</v>
      </c>
      <c r="I8778" s="6">
        <v>831.6</v>
      </c>
      <c r="J8778" s="5">
        <v>6300</v>
      </c>
      <c r="K8778" s="6">
        <f t="shared" si="360"/>
        <v>2.1344396344396346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91</v>
      </c>
      <c r="F8779" t="s">
        <v>93</v>
      </c>
      <c r="G8779" t="str">
        <f t="shared" si="359"/>
        <v>013LORRAINE</v>
      </c>
      <c r="H8779" s="5">
        <v>3300</v>
      </c>
      <c r="I8779" s="6">
        <v>1267.2</v>
      </c>
      <c r="J8779" s="5">
        <v>9600</v>
      </c>
      <c r="K8779" s="6">
        <f t="shared" si="360"/>
        <v>2.6041666666666665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91</v>
      </c>
      <c r="F8780" t="s">
        <v>61</v>
      </c>
      <c r="G8780" t="str">
        <f t="shared" si="359"/>
        <v>013LUMIA</v>
      </c>
      <c r="H8780" s="5">
        <v>720</v>
      </c>
      <c r="I8780" s="6">
        <v>316.8</v>
      </c>
      <c r="J8780" s="5">
        <v>2400</v>
      </c>
      <c r="K8780" s="6">
        <f t="shared" si="360"/>
        <v>2.2727272727272725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91</v>
      </c>
      <c r="F8781" t="s">
        <v>74</v>
      </c>
      <c r="G8781" t="str">
        <f t="shared" si="359"/>
        <v>013VENDELA</v>
      </c>
      <c r="H8781" s="5">
        <v>9960</v>
      </c>
      <c r="I8781" s="6">
        <v>3603.6</v>
      </c>
      <c r="J8781" s="5">
        <v>27296</v>
      </c>
      <c r="K8781" s="6">
        <f t="shared" si="360"/>
        <v>2.763902763902764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23</v>
      </c>
      <c r="F8782" t="s">
        <v>89</v>
      </c>
      <c r="G8782" t="str">
        <f t="shared" si="359"/>
        <v>014STARDUST</v>
      </c>
      <c r="H8782" s="5">
        <v>7050</v>
      </c>
      <c r="I8782" s="6">
        <v>3682.8</v>
      </c>
      <c r="J8782" s="5">
        <v>27900</v>
      </c>
      <c r="K8782" s="6">
        <f t="shared" si="360"/>
        <v>1.9143043336591723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25</v>
      </c>
      <c r="F8783" t="s">
        <v>68</v>
      </c>
      <c r="G8783" t="str">
        <f t="shared" si="359"/>
        <v>015JOCKER</v>
      </c>
      <c r="H8783" s="5">
        <v>3700</v>
      </c>
      <c r="I8783" s="6">
        <v>2376</v>
      </c>
      <c r="J8783" s="5">
        <v>18000</v>
      </c>
      <c r="K8783" s="6">
        <f t="shared" si="360"/>
        <v>1.5572390572390573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27</v>
      </c>
      <c r="F8784" t="s">
        <v>94</v>
      </c>
      <c r="G8784" t="str">
        <f t="shared" si="359"/>
        <v>016DREAM IN PEACH</v>
      </c>
      <c r="H8784" s="5">
        <v>1830</v>
      </c>
      <c r="I8784" s="6">
        <v>950.4</v>
      </c>
      <c r="J8784" s="5">
        <v>7200</v>
      </c>
      <c r="K8784" s="6">
        <f t="shared" si="360"/>
        <v>1.9255050505050506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27</v>
      </c>
      <c r="F8785" t="s">
        <v>95</v>
      </c>
      <c r="G8785" t="str">
        <f t="shared" si="359"/>
        <v>016NINA</v>
      </c>
      <c r="H8785" s="5">
        <v>3025</v>
      </c>
      <c r="I8785" s="6">
        <v>1346.4</v>
      </c>
      <c r="J8785" s="5">
        <v>10200</v>
      </c>
      <c r="K8785" s="6">
        <f t="shared" si="360"/>
        <v>2.2467320261437909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30</v>
      </c>
      <c r="F8786" t="s">
        <v>81</v>
      </c>
      <c r="G8786" t="str">
        <f t="shared" si="359"/>
        <v>017FREEDOM</v>
      </c>
      <c r="H8786" s="5">
        <v>7110</v>
      </c>
      <c r="I8786" s="6">
        <v>2851.2</v>
      </c>
      <c r="J8786" s="5">
        <v>21600</v>
      </c>
      <c r="K8786" s="6">
        <f t="shared" si="360"/>
        <v>2.493686868686869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30</v>
      </c>
      <c r="F8787" t="s">
        <v>73</v>
      </c>
      <c r="G8787" t="str">
        <f t="shared" si="359"/>
        <v>017GOLDFINCH</v>
      </c>
      <c r="H8787" s="5">
        <v>2950</v>
      </c>
      <c r="I8787" s="6">
        <v>2138.4</v>
      </c>
      <c r="J8787" s="5">
        <v>16200</v>
      </c>
      <c r="K8787" s="6">
        <f t="shared" si="360"/>
        <v>1.3795361017583239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32</v>
      </c>
      <c r="F8788" t="s">
        <v>86</v>
      </c>
      <c r="G8788" t="str">
        <f t="shared" si="359"/>
        <v>018BRIGHTON</v>
      </c>
      <c r="H8788" s="5">
        <v>2450</v>
      </c>
      <c r="I8788" s="6">
        <v>963.6</v>
      </c>
      <c r="J8788" s="5">
        <v>7570</v>
      </c>
      <c r="K8788" s="6">
        <f t="shared" si="360"/>
        <v>2.5425487754254879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35</v>
      </c>
      <c r="F8789" t="s">
        <v>86</v>
      </c>
      <c r="G8789" t="str">
        <f t="shared" si="359"/>
        <v>019BRIGHTON</v>
      </c>
      <c r="H8789" s="5">
        <v>8375</v>
      </c>
      <c r="I8789" s="6">
        <v>3168</v>
      </c>
      <c r="J8789" s="5">
        <v>24000</v>
      </c>
      <c r="K8789" s="6">
        <f t="shared" si="360"/>
        <v>2.6436237373737375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35</v>
      </c>
      <c r="F8790" t="s">
        <v>96</v>
      </c>
      <c r="G8790" t="str">
        <f t="shared" si="359"/>
        <v>019TABATHA</v>
      </c>
      <c r="H8790" s="5">
        <v>3090</v>
      </c>
      <c r="I8790" s="6">
        <v>1188</v>
      </c>
      <c r="J8790" s="5">
        <v>9000</v>
      </c>
      <c r="K8790" s="6">
        <f t="shared" si="360"/>
        <v>2.6010101010101012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36</v>
      </c>
      <c r="F8791" t="s">
        <v>86</v>
      </c>
      <c r="G8791" t="str">
        <f t="shared" si="359"/>
        <v>020BRIGHTON</v>
      </c>
      <c r="H8791" s="5">
        <v>4775</v>
      </c>
      <c r="I8791" s="6">
        <v>2732.4</v>
      </c>
      <c r="J8791" s="5">
        <v>20700</v>
      </c>
      <c r="K8791" s="6">
        <f t="shared" si="360"/>
        <v>1.7475479432001171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36</v>
      </c>
      <c r="F8792" t="s">
        <v>97</v>
      </c>
      <c r="G8792" t="str">
        <f t="shared" si="359"/>
        <v>020TYCOON</v>
      </c>
      <c r="H8792" s="5">
        <v>1440</v>
      </c>
      <c r="I8792" s="6">
        <v>673.2</v>
      </c>
      <c r="J8792" s="5">
        <v>5100</v>
      </c>
      <c r="K8792" s="6">
        <f t="shared" si="360"/>
        <v>2.1390374331550799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38</v>
      </c>
      <c r="F8793" t="s">
        <v>98</v>
      </c>
      <c r="G8793" t="str">
        <f t="shared" si="359"/>
        <v>021SHOW GIRL</v>
      </c>
      <c r="H8793" s="5">
        <v>1075</v>
      </c>
      <c r="I8793" s="6">
        <v>1100.4749999999999</v>
      </c>
      <c r="J8793" s="5">
        <v>8000</v>
      </c>
      <c r="K8793" s="6">
        <f t="shared" si="360"/>
        <v>0.97685090529089724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43</v>
      </c>
      <c r="F8794" t="s">
        <v>99</v>
      </c>
      <c r="G8794" t="str">
        <f t="shared" si="359"/>
        <v>022CORAL REEF</v>
      </c>
      <c r="H8794" s="5">
        <v>2400</v>
      </c>
      <c r="I8794" s="6">
        <v>1287</v>
      </c>
      <c r="J8794" s="5">
        <v>9400</v>
      </c>
      <c r="K8794" s="6">
        <f t="shared" si="360"/>
        <v>1.8648018648018647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100</v>
      </c>
      <c r="F8795" t="s">
        <v>70</v>
      </c>
      <c r="G8795" t="str">
        <f t="shared" si="359"/>
        <v>023COTOPAXI</v>
      </c>
      <c r="H8795" s="5">
        <v>5880</v>
      </c>
      <c r="I8795" s="6">
        <v>2641.14</v>
      </c>
      <c r="J8795" s="5">
        <v>19200</v>
      </c>
      <c r="K8795" s="6">
        <f t="shared" si="360"/>
        <v>2.226311365546696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100</v>
      </c>
      <c r="F8796" t="s">
        <v>101</v>
      </c>
      <c r="G8796" t="str">
        <f t="shared" si="359"/>
        <v>023FRUTTETO</v>
      </c>
      <c r="H8796" s="5">
        <v>8700</v>
      </c>
      <c r="I8796" s="6">
        <v>2641.14</v>
      </c>
      <c r="J8796" s="5">
        <v>19200</v>
      </c>
      <c r="K8796" s="6">
        <f t="shared" si="360"/>
        <v>3.2940321224925602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102</v>
      </c>
      <c r="F8797" t="s">
        <v>70</v>
      </c>
      <c r="G8797" t="str">
        <f t="shared" si="359"/>
        <v>024COTOPAXI</v>
      </c>
      <c r="H8797" s="5">
        <v>2580</v>
      </c>
      <c r="I8797" s="6">
        <v>1430.6174906250001</v>
      </c>
      <c r="J8797" s="5">
        <v>10400</v>
      </c>
      <c r="K8797" s="6">
        <f t="shared" si="360"/>
        <v>1.8034170677396544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102</v>
      </c>
      <c r="F8798" t="s">
        <v>64</v>
      </c>
      <c r="G8798" t="str">
        <f t="shared" si="359"/>
        <v>024SWEETNESS</v>
      </c>
      <c r="H8798" s="5">
        <v>840</v>
      </c>
      <c r="I8798" s="6">
        <v>1430.6175000000001</v>
      </c>
      <c r="J8798" s="5">
        <v>10400</v>
      </c>
      <c r="K8798" s="6">
        <f t="shared" si="360"/>
        <v>0.58715904146286479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102</v>
      </c>
      <c r="F8799" t="s">
        <v>97</v>
      </c>
      <c r="G8799" t="str">
        <f t="shared" si="359"/>
        <v>024TYCOON</v>
      </c>
      <c r="H8799" s="5">
        <v>1890</v>
      </c>
      <c r="I8799" s="6">
        <v>2861.2350000000001</v>
      </c>
      <c r="J8799" s="5">
        <v>20800</v>
      </c>
      <c r="K8799" s="6">
        <f t="shared" si="360"/>
        <v>0.66055392164572291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103</v>
      </c>
      <c r="F8800" t="s">
        <v>104</v>
      </c>
      <c r="G8800" t="str">
        <f t="shared" si="359"/>
        <v>025PINK MONDIAL</v>
      </c>
      <c r="H8800" s="5">
        <v>4675</v>
      </c>
      <c r="I8800" s="6">
        <v>3071.9505625000002</v>
      </c>
      <c r="J8800" s="5">
        <v>22400</v>
      </c>
      <c r="K8800" s="6">
        <f t="shared" si="360"/>
        <v>1.521834386617021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45</v>
      </c>
      <c r="F8801" t="s">
        <v>105</v>
      </c>
      <c r="G8801" t="str">
        <f t="shared" si="359"/>
        <v>026LOLA</v>
      </c>
      <c r="H8801" s="5">
        <v>5225</v>
      </c>
      <c r="I8801" s="6">
        <v>1097.125</v>
      </c>
      <c r="J8801" s="5">
        <v>8000</v>
      </c>
      <c r="K8801" s="6">
        <f t="shared" si="360"/>
        <v>4.7624473054574459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45</v>
      </c>
      <c r="F8802" t="s">
        <v>106</v>
      </c>
      <c r="G8802" t="str">
        <f t="shared" ref="G8802:G8864" si="361">+E8802&amp;F8802</f>
        <v>026PALOMA</v>
      </c>
      <c r="H8802" s="5">
        <v>6325</v>
      </c>
      <c r="I8802" s="6">
        <v>2852.5250000000001</v>
      </c>
      <c r="J8802" s="5">
        <v>20800</v>
      </c>
      <c r="K8802" s="6">
        <f t="shared" si="360"/>
        <v>2.2173337656988106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107</v>
      </c>
      <c r="F8803" t="s">
        <v>108</v>
      </c>
      <c r="G8803" t="str">
        <f t="shared" si="361"/>
        <v>027SATISFACTION</v>
      </c>
      <c r="H8803" s="5">
        <v>2610</v>
      </c>
      <c r="I8803" s="6">
        <v>2633.1</v>
      </c>
      <c r="J8803" s="5">
        <v>19200</v>
      </c>
      <c r="K8803" s="6">
        <f t="shared" si="360"/>
        <v>0.99122707075310479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107</v>
      </c>
      <c r="F8804" t="s">
        <v>109</v>
      </c>
      <c r="G8804" t="str">
        <f t="shared" si="361"/>
        <v>027TIFFANY</v>
      </c>
      <c r="H8804" s="5">
        <v>2040</v>
      </c>
      <c r="I8804" s="6">
        <v>2633.1</v>
      </c>
      <c r="J8804" s="5">
        <v>19200</v>
      </c>
      <c r="K8804" s="6">
        <f t="shared" ref="K8804:K8843" si="362">+H8804/I8804</f>
        <v>0.7747521932323117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110</v>
      </c>
      <c r="F8805" t="s">
        <v>70</v>
      </c>
      <c r="G8805" t="str">
        <f t="shared" si="361"/>
        <v>028COTOPAXI</v>
      </c>
      <c r="H8805" s="5">
        <v>3210</v>
      </c>
      <c r="I8805" s="6">
        <v>2852.5250000000001</v>
      </c>
      <c r="J8805" s="5">
        <v>20800</v>
      </c>
      <c r="K8805" s="6">
        <f t="shared" si="362"/>
        <v>1.125318796504851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110</v>
      </c>
      <c r="F8806" t="s">
        <v>67</v>
      </c>
      <c r="G8806" t="str">
        <f t="shared" si="361"/>
        <v>028DEEP PURPLE</v>
      </c>
      <c r="H8806" s="5">
        <v>7440</v>
      </c>
      <c r="I8806" s="6">
        <v>2852.5250000000001</v>
      </c>
      <c r="J8806" s="5">
        <v>20800</v>
      </c>
      <c r="K8806" s="6">
        <f t="shared" si="362"/>
        <v>2.6082155283476918</v>
      </c>
    </row>
    <row r="8807" spans="1:11">
      <c r="A8807" s="4">
        <v>2026</v>
      </c>
      <c r="B8807">
        <v>29</v>
      </c>
      <c r="C8807" t="s">
        <v>54</v>
      </c>
      <c r="D8807" t="s">
        <v>11</v>
      </c>
      <c r="E8807" t="s">
        <v>111</v>
      </c>
      <c r="F8807" t="s">
        <v>112</v>
      </c>
      <c r="G8807" t="str">
        <f t="shared" si="361"/>
        <v>029PINK FLOYD</v>
      </c>
      <c r="H8807" s="5">
        <v>3925</v>
      </c>
      <c r="I8807" s="6">
        <v>3071.95</v>
      </c>
      <c r="J8807" s="5">
        <v>22400</v>
      </c>
      <c r="K8807" s="6">
        <f t="shared" si="362"/>
        <v>1.2776900665700941</v>
      </c>
    </row>
    <row r="8808" spans="1:11">
      <c r="A8808" s="4">
        <v>2026</v>
      </c>
      <c r="B8808">
        <v>29</v>
      </c>
      <c r="C8808" t="s">
        <v>54</v>
      </c>
      <c r="D8808" t="s">
        <v>11</v>
      </c>
      <c r="E8808" t="s">
        <v>47</v>
      </c>
      <c r="F8808" t="s">
        <v>57</v>
      </c>
      <c r="G8808" t="str">
        <f t="shared" si="361"/>
        <v>030EXPLORER</v>
      </c>
      <c r="H8808" s="5">
        <v>2275</v>
      </c>
      <c r="I8808" s="6">
        <v>1645.6875</v>
      </c>
      <c r="J8808" s="5">
        <v>12000</v>
      </c>
      <c r="K8808" s="6">
        <f t="shared" si="362"/>
        <v>1.3824009722380464</v>
      </c>
    </row>
    <row r="8809" spans="1:11">
      <c r="A8809" s="4">
        <v>2026</v>
      </c>
      <c r="B8809">
        <v>30</v>
      </c>
      <c r="C8809" t="s">
        <v>10</v>
      </c>
      <c r="D8809" t="s">
        <v>11</v>
      </c>
      <c r="E8809" t="s">
        <v>12</v>
      </c>
      <c r="F8809" t="s">
        <v>13</v>
      </c>
      <c r="G8809" t="str">
        <f t="shared" si="361"/>
        <v>002SOMERSET</v>
      </c>
      <c r="H8809" s="5">
        <v>10880</v>
      </c>
      <c r="I8809" s="6">
        <v>4121.4642855494085</v>
      </c>
      <c r="J8809" s="5">
        <v>31200</v>
      </c>
      <c r="K8809" s="6">
        <f t="shared" si="362"/>
        <v>2.6398384763753087</v>
      </c>
    </row>
    <row r="8810" spans="1:11">
      <c r="A8810" s="4">
        <v>2026</v>
      </c>
      <c r="B8810">
        <v>30</v>
      </c>
      <c r="C8810" t="s">
        <v>10</v>
      </c>
      <c r="D8810" t="s">
        <v>11</v>
      </c>
      <c r="E8810" t="s">
        <v>14</v>
      </c>
      <c r="F8810" t="s">
        <v>15</v>
      </c>
      <c r="G8810" t="str">
        <f t="shared" si="361"/>
        <v>004BELLINA</v>
      </c>
      <c r="H8810" s="5">
        <v>2130</v>
      </c>
      <c r="I8810" s="6">
        <v>1056.7857142434418</v>
      </c>
      <c r="J8810" s="5">
        <v>8000</v>
      </c>
      <c r="K8810" s="6">
        <f t="shared" si="362"/>
        <v>2.0155457925780893</v>
      </c>
    </row>
    <row r="8811" spans="1:11">
      <c r="A8811" s="4">
        <v>2026</v>
      </c>
      <c r="B8811">
        <v>30</v>
      </c>
      <c r="C8811" t="s">
        <v>10</v>
      </c>
      <c r="D8811" t="s">
        <v>11</v>
      </c>
      <c r="E8811" t="s">
        <v>16</v>
      </c>
      <c r="F8811" t="s">
        <v>17</v>
      </c>
      <c r="G8811" t="str">
        <f t="shared" si="361"/>
        <v>005ELBA</v>
      </c>
      <c r="H8811" s="5">
        <v>7860</v>
      </c>
      <c r="I8811" s="6">
        <v>2641.9642856076484</v>
      </c>
      <c r="J8811" s="5">
        <v>19996</v>
      </c>
      <c r="K8811" s="6">
        <f t="shared" si="362"/>
        <v>2.9750591417219745</v>
      </c>
    </row>
    <row r="8812" spans="1:11">
      <c r="A8812" s="4">
        <v>2026</v>
      </c>
      <c r="B8812">
        <v>30</v>
      </c>
      <c r="C8812" t="s">
        <v>10</v>
      </c>
      <c r="D8812" t="s">
        <v>11</v>
      </c>
      <c r="E8812" t="s">
        <v>16</v>
      </c>
      <c r="F8812" t="s">
        <v>18</v>
      </c>
      <c r="G8812" t="str">
        <f t="shared" si="361"/>
        <v>005HOT BUBBLES</v>
      </c>
      <c r="H8812" s="5">
        <v>1020</v>
      </c>
      <c r="I8812" s="6">
        <v>528.39285712153003</v>
      </c>
      <c r="J8812" s="5">
        <v>4000</v>
      </c>
      <c r="K8812" s="6">
        <f t="shared" si="362"/>
        <v>1.9303818858501349</v>
      </c>
    </row>
    <row r="8813" spans="1:11">
      <c r="A8813" s="4">
        <v>2026</v>
      </c>
      <c r="B8813">
        <v>30</v>
      </c>
      <c r="C8813" t="s">
        <v>10</v>
      </c>
      <c r="D8813" t="s">
        <v>11</v>
      </c>
      <c r="E8813" t="s">
        <v>16</v>
      </c>
      <c r="F8813" t="s">
        <v>19</v>
      </c>
      <c r="G8813" t="str">
        <f t="shared" si="361"/>
        <v>005SUSPIRO</v>
      </c>
      <c r="H8813" s="5">
        <v>2940</v>
      </c>
      <c r="I8813" s="6">
        <v>1902.2142856375078</v>
      </c>
      <c r="J8813" s="5">
        <v>14400</v>
      </c>
      <c r="K8813" s="6">
        <f t="shared" si="362"/>
        <v>1.5455671961871997</v>
      </c>
    </row>
    <row r="8814" spans="1:11">
      <c r="A8814" s="4">
        <v>2026</v>
      </c>
      <c r="B8814">
        <v>30</v>
      </c>
      <c r="C8814" t="s">
        <v>10</v>
      </c>
      <c r="D8814" t="s">
        <v>11</v>
      </c>
      <c r="E8814" t="s">
        <v>20</v>
      </c>
      <c r="F8814" t="s">
        <v>21</v>
      </c>
      <c r="G8814" t="str">
        <f t="shared" si="361"/>
        <v>007SNOW BUBBLES</v>
      </c>
      <c r="H8814" s="5">
        <v>780</v>
      </c>
      <c r="I8814" s="6">
        <v>634.05652706821195</v>
      </c>
      <c r="J8814" s="5">
        <v>4800</v>
      </c>
      <c r="K8814" s="6">
        <f t="shared" si="362"/>
        <v>1.2301742300589666</v>
      </c>
    </row>
    <row r="8815" spans="1:11">
      <c r="A8815" s="4">
        <v>2026</v>
      </c>
      <c r="B8815">
        <v>30</v>
      </c>
      <c r="C8815" t="s">
        <v>10</v>
      </c>
      <c r="D8815" t="s">
        <v>11</v>
      </c>
      <c r="E8815" t="s">
        <v>22</v>
      </c>
      <c r="F8815" t="s">
        <v>18</v>
      </c>
      <c r="G8815" t="str">
        <f t="shared" si="361"/>
        <v>009HOT BUBBLES</v>
      </c>
      <c r="H8815" s="5">
        <v>7320</v>
      </c>
      <c r="I8815" s="6">
        <v>4487.9999999102474</v>
      </c>
      <c r="J8815" s="5">
        <v>31740</v>
      </c>
      <c r="K8815" s="6">
        <f t="shared" si="362"/>
        <v>1.6310160428133662</v>
      </c>
    </row>
    <row r="8816" spans="1:11">
      <c r="A8816" s="4">
        <v>2026</v>
      </c>
      <c r="B8816">
        <v>30</v>
      </c>
      <c r="C8816" t="s">
        <v>10</v>
      </c>
      <c r="D8816" t="s">
        <v>11</v>
      </c>
      <c r="E8816" t="s">
        <v>23</v>
      </c>
      <c r="F8816" t="s">
        <v>24</v>
      </c>
      <c r="G8816" t="str">
        <f t="shared" si="361"/>
        <v>014FRUITY BUBBLES</v>
      </c>
      <c r="H8816" s="5">
        <v>4900</v>
      </c>
      <c r="I8816" s="6">
        <v>1702.8</v>
      </c>
      <c r="J8816" s="5">
        <v>12900</v>
      </c>
      <c r="K8816" s="6">
        <f t="shared" si="362"/>
        <v>2.8776133427296218</v>
      </c>
    </row>
    <row r="8817" spans="1:11">
      <c r="A8817" s="4">
        <v>2026</v>
      </c>
      <c r="B8817">
        <v>30</v>
      </c>
      <c r="C8817" t="s">
        <v>10</v>
      </c>
      <c r="D8817" t="s">
        <v>11</v>
      </c>
      <c r="E8817" t="s">
        <v>25</v>
      </c>
      <c r="F8817" t="s">
        <v>26</v>
      </c>
      <c r="G8817" t="str">
        <f t="shared" si="361"/>
        <v>015FELLINI</v>
      </c>
      <c r="H8817" s="5">
        <v>6080</v>
      </c>
      <c r="I8817" s="6">
        <v>3009.6</v>
      </c>
      <c r="J8817" s="5">
        <v>22800</v>
      </c>
      <c r="K8817" s="6">
        <f t="shared" si="362"/>
        <v>2.0202020202020203</v>
      </c>
    </row>
    <row r="8818" spans="1:11">
      <c r="A8818" s="4">
        <v>2026</v>
      </c>
      <c r="B8818">
        <v>30</v>
      </c>
      <c r="C8818" t="s">
        <v>10</v>
      </c>
      <c r="D8818" t="s">
        <v>11</v>
      </c>
      <c r="E8818" t="s">
        <v>27</v>
      </c>
      <c r="F8818" t="s">
        <v>28</v>
      </c>
      <c r="G8818" t="str">
        <f t="shared" si="361"/>
        <v>016GOOD PEACH</v>
      </c>
      <c r="H8818" s="5">
        <v>2850</v>
      </c>
      <c r="I8818" s="6">
        <v>1386</v>
      </c>
      <c r="J8818" s="5">
        <v>10500</v>
      </c>
      <c r="K8818" s="6">
        <f t="shared" si="362"/>
        <v>2.0562770562770565</v>
      </c>
    </row>
    <row r="8819" spans="1:11">
      <c r="A8819" s="4">
        <v>2026</v>
      </c>
      <c r="B8819">
        <v>30</v>
      </c>
      <c r="C8819" t="s">
        <v>10</v>
      </c>
      <c r="D8819" t="s">
        <v>11</v>
      </c>
      <c r="E8819" t="s">
        <v>27</v>
      </c>
      <c r="F8819" t="s">
        <v>29</v>
      </c>
      <c r="G8819" t="str">
        <f t="shared" si="361"/>
        <v>016GOOD YELLOW</v>
      </c>
      <c r="H8819" s="5">
        <v>2730</v>
      </c>
      <c r="I8819" s="6">
        <v>1386</v>
      </c>
      <c r="J8819" s="5">
        <v>10500</v>
      </c>
      <c r="K8819" s="6">
        <f t="shared" si="362"/>
        <v>1.9696969696969697</v>
      </c>
    </row>
    <row r="8820" spans="1:11">
      <c r="A8820" s="4">
        <v>2026</v>
      </c>
      <c r="B8820">
        <v>30</v>
      </c>
      <c r="C8820" t="s">
        <v>10</v>
      </c>
      <c r="D8820" t="s">
        <v>11</v>
      </c>
      <c r="E8820" t="s">
        <v>30</v>
      </c>
      <c r="F8820" t="s">
        <v>31</v>
      </c>
      <c r="G8820" t="str">
        <f t="shared" si="361"/>
        <v>017ORANGE STAR</v>
      </c>
      <c r="H8820" s="5">
        <v>2400</v>
      </c>
      <c r="I8820" s="6">
        <v>1029.5999999999999</v>
      </c>
      <c r="J8820" s="5">
        <v>7800</v>
      </c>
      <c r="K8820" s="6">
        <f t="shared" si="362"/>
        <v>2.3310023310023311</v>
      </c>
    </row>
    <row r="8821" spans="1:11">
      <c r="A8821" s="4">
        <v>2026</v>
      </c>
      <c r="B8821">
        <v>30</v>
      </c>
      <c r="C8821" t="s">
        <v>10</v>
      </c>
      <c r="D8821" t="s">
        <v>11</v>
      </c>
      <c r="E8821" t="s">
        <v>32</v>
      </c>
      <c r="F8821" t="s">
        <v>33</v>
      </c>
      <c r="G8821" t="str">
        <f t="shared" si="361"/>
        <v>018COSMO</v>
      </c>
      <c r="H8821" s="5">
        <v>5700</v>
      </c>
      <c r="I8821" s="6">
        <v>2653.2</v>
      </c>
      <c r="J8821" s="5">
        <v>20100</v>
      </c>
      <c r="K8821" s="6">
        <f t="shared" si="362"/>
        <v>2.1483491632745366</v>
      </c>
    </row>
    <row r="8822" spans="1:11">
      <c r="A8822" s="4">
        <v>2026</v>
      </c>
      <c r="B8822">
        <v>30</v>
      </c>
      <c r="C8822" t="s">
        <v>10</v>
      </c>
      <c r="D8822" t="s">
        <v>11</v>
      </c>
      <c r="E8822" t="s">
        <v>32</v>
      </c>
      <c r="F8822" t="s">
        <v>34</v>
      </c>
      <c r="G8822" t="str">
        <f t="shared" si="361"/>
        <v>018RUBICON</v>
      </c>
      <c r="H8822" s="5">
        <v>4320</v>
      </c>
      <c r="I8822" s="6">
        <v>1768.8</v>
      </c>
      <c r="J8822" s="5">
        <v>13400</v>
      </c>
      <c r="K8822" s="6">
        <f t="shared" si="362"/>
        <v>2.4423337856173677</v>
      </c>
    </row>
    <row r="8823" spans="1:11">
      <c r="A8823" s="4">
        <v>2026</v>
      </c>
      <c r="B8823">
        <v>30</v>
      </c>
      <c r="C8823" t="s">
        <v>10</v>
      </c>
      <c r="D8823" t="s">
        <v>11</v>
      </c>
      <c r="E8823" t="s">
        <v>35</v>
      </c>
      <c r="F8823" t="s">
        <v>15</v>
      </c>
      <c r="G8823" t="str">
        <f t="shared" si="361"/>
        <v>019BELLINA</v>
      </c>
      <c r="H8823" s="5">
        <v>1965</v>
      </c>
      <c r="I8823" s="6">
        <v>1029.5999999999999</v>
      </c>
      <c r="J8823" s="5">
        <v>7800</v>
      </c>
      <c r="K8823" s="6">
        <f t="shared" si="362"/>
        <v>1.9085081585081587</v>
      </c>
    </row>
    <row r="8824" spans="1:11">
      <c r="A8824" s="4">
        <v>2026</v>
      </c>
      <c r="B8824">
        <v>30</v>
      </c>
      <c r="C8824" t="s">
        <v>10</v>
      </c>
      <c r="D8824" t="s">
        <v>11</v>
      </c>
      <c r="E8824" t="s">
        <v>36</v>
      </c>
      <c r="F8824" t="s">
        <v>37</v>
      </c>
      <c r="G8824" t="str">
        <f t="shared" si="361"/>
        <v>020SUMMER DANCE</v>
      </c>
      <c r="H8824" s="5">
        <v>3850</v>
      </c>
      <c r="I8824" s="6">
        <v>1346.4</v>
      </c>
      <c r="J8824" s="5">
        <v>10200</v>
      </c>
      <c r="K8824" s="6">
        <f t="shared" si="362"/>
        <v>2.8594771241830061</v>
      </c>
    </row>
    <row r="8825" spans="1:11">
      <c r="A8825" s="4">
        <v>2026</v>
      </c>
      <c r="B8825">
        <v>30</v>
      </c>
      <c r="C8825" t="s">
        <v>10</v>
      </c>
      <c r="D8825" t="s">
        <v>11</v>
      </c>
      <c r="E8825" t="s">
        <v>38</v>
      </c>
      <c r="F8825" t="s">
        <v>39</v>
      </c>
      <c r="G8825" t="str">
        <f t="shared" si="361"/>
        <v>021ELEGANT ROSEVER</v>
      </c>
      <c r="H8825" s="5">
        <v>810</v>
      </c>
      <c r="I8825" s="6">
        <v>440.18999062500001</v>
      </c>
      <c r="J8825" s="5">
        <v>3200</v>
      </c>
      <c r="K8825" s="6">
        <f t="shared" si="362"/>
        <v>1.840114535203148</v>
      </c>
    </row>
    <row r="8826" spans="1:11">
      <c r="A8826" s="4">
        <v>2026</v>
      </c>
      <c r="B8826">
        <v>30</v>
      </c>
      <c r="C8826" t="s">
        <v>10</v>
      </c>
      <c r="D8826" t="s">
        <v>11</v>
      </c>
      <c r="E8826" t="s">
        <v>38</v>
      </c>
      <c r="F8826" t="s">
        <v>40</v>
      </c>
      <c r="G8826" t="str">
        <f t="shared" si="361"/>
        <v>021FLAME CLUB</v>
      </c>
      <c r="H8826" s="5">
        <v>2050</v>
      </c>
      <c r="I8826" s="6">
        <v>880.38</v>
      </c>
      <c r="J8826" s="5">
        <v>6400</v>
      </c>
      <c r="K8826" s="6">
        <f t="shared" si="362"/>
        <v>2.3285399486585336</v>
      </c>
    </row>
    <row r="8827" spans="1:11">
      <c r="A8827" s="4">
        <v>2026</v>
      </c>
      <c r="B8827">
        <v>30</v>
      </c>
      <c r="C8827" t="s">
        <v>10</v>
      </c>
      <c r="D8827" t="s">
        <v>11</v>
      </c>
      <c r="E8827" t="s">
        <v>38</v>
      </c>
      <c r="F8827" t="s">
        <v>41</v>
      </c>
      <c r="G8827" t="str">
        <f t="shared" si="361"/>
        <v>021KELLY</v>
      </c>
      <c r="H8827" s="5">
        <v>600</v>
      </c>
      <c r="I8827" s="6">
        <v>330.14249999999998</v>
      </c>
      <c r="J8827" s="5">
        <v>2400</v>
      </c>
      <c r="K8827" s="6">
        <f t="shared" si="362"/>
        <v>1.8173970330993436</v>
      </c>
    </row>
    <row r="8828" spans="1:11">
      <c r="A8828" s="4">
        <v>2026</v>
      </c>
      <c r="B8828">
        <v>30</v>
      </c>
      <c r="C8828" t="s">
        <v>10</v>
      </c>
      <c r="D8828" t="s">
        <v>11</v>
      </c>
      <c r="E8828" t="s">
        <v>38</v>
      </c>
      <c r="F8828" t="s">
        <v>42</v>
      </c>
      <c r="G8828" t="str">
        <f t="shared" si="361"/>
        <v>021LEILA</v>
      </c>
      <c r="H8828" s="5">
        <v>2900</v>
      </c>
      <c r="I8828" s="6">
        <v>1650.7125000000001</v>
      </c>
      <c r="J8828" s="5">
        <v>12000</v>
      </c>
      <c r="K8828" s="6">
        <f t="shared" si="362"/>
        <v>1.756817131996032</v>
      </c>
    </row>
    <row r="8829" spans="1:11">
      <c r="A8829" s="4">
        <v>2026</v>
      </c>
      <c r="B8829">
        <v>30</v>
      </c>
      <c r="C8829" t="s">
        <v>10</v>
      </c>
      <c r="D8829" t="s">
        <v>11</v>
      </c>
      <c r="E8829" t="s">
        <v>38</v>
      </c>
      <c r="F8829" t="s">
        <v>21</v>
      </c>
      <c r="G8829" t="str">
        <f t="shared" si="361"/>
        <v>021SNOW BUBBLES</v>
      </c>
      <c r="H8829" s="5">
        <v>1820</v>
      </c>
      <c r="I8829" s="6">
        <v>1287.0000000000018</v>
      </c>
      <c r="J8829" s="5">
        <v>9400</v>
      </c>
      <c r="K8829" s="6">
        <f t="shared" si="362"/>
        <v>1.4141414141414121</v>
      </c>
    </row>
    <row r="8830" spans="1:11">
      <c r="A8830" s="4">
        <v>2026</v>
      </c>
      <c r="B8830">
        <v>30</v>
      </c>
      <c r="C8830" t="s">
        <v>10</v>
      </c>
      <c r="D8830" t="s">
        <v>11</v>
      </c>
      <c r="E8830" t="s">
        <v>43</v>
      </c>
      <c r="F8830" t="s">
        <v>24</v>
      </c>
      <c r="G8830" t="str">
        <f t="shared" si="361"/>
        <v>022FRUITY BUBBLES</v>
      </c>
      <c r="H8830" s="5">
        <v>2700</v>
      </c>
      <c r="I8830" s="6">
        <v>2641.14</v>
      </c>
      <c r="J8830" s="5">
        <v>19200</v>
      </c>
      <c r="K8830" s="6">
        <f t="shared" si="362"/>
        <v>1.0222858311183807</v>
      </c>
    </row>
    <row r="8831" spans="1:11">
      <c r="A8831" s="4">
        <v>2026</v>
      </c>
      <c r="B8831">
        <v>30</v>
      </c>
      <c r="C8831" t="s">
        <v>10</v>
      </c>
      <c r="D8831" t="s">
        <v>11</v>
      </c>
      <c r="E8831" t="s">
        <v>43</v>
      </c>
      <c r="F8831" t="s">
        <v>28</v>
      </c>
      <c r="G8831" t="str">
        <f t="shared" si="361"/>
        <v>022GOOD PEACH</v>
      </c>
      <c r="H8831" s="5">
        <v>2160</v>
      </c>
      <c r="I8831" s="6">
        <v>880.38</v>
      </c>
      <c r="J8831" s="5">
        <v>6400</v>
      </c>
      <c r="K8831" s="6">
        <f t="shared" si="362"/>
        <v>2.4534859946841139</v>
      </c>
    </row>
    <row r="8832" spans="1:11">
      <c r="A8832" s="4">
        <v>2026</v>
      </c>
      <c r="B8832">
        <v>30</v>
      </c>
      <c r="C8832" t="s">
        <v>10</v>
      </c>
      <c r="D8832" t="s">
        <v>11</v>
      </c>
      <c r="E8832" t="s">
        <v>43</v>
      </c>
      <c r="F8832" t="s">
        <v>44</v>
      </c>
      <c r="G8832" t="str">
        <f t="shared" si="361"/>
        <v>022MIRABEL</v>
      </c>
      <c r="H8832" s="5">
        <v>1260</v>
      </c>
      <c r="I8832" s="6">
        <v>880.38</v>
      </c>
      <c r="J8832" s="5">
        <v>6400</v>
      </c>
      <c r="K8832" s="6">
        <f t="shared" si="362"/>
        <v>1.431200163565733</v>
      </c>
    </row>
    <row r="8833" spans="1:11">
      <c r="A8833" s="4">
        <v>2026</v>
      </c>
      <c r="B8833">
        <v>30</v>
      </c>
      <c r="C8833" t="s">
        <v>10</v>
      </c>
      <c r="D8833" t="s">
        <v>11</v>
      </c>
      <c r="E8833" t="s">
        <v>45</v>
      </c>
      <c r="F8833" t="s">
        <v>46</v>
      </c>
      <c r="G8833" t="str">
        <f t="shared" si="361"/>
        <v>026PURPLE BUBBLY</v>
      </c>
      <c r="H8833" s="5">
        <v>910</v>
      </c>
      <c r="I8833" s="6">
        <v>1755.4</v>
      </c>
      <c r="J8833" s="5">
        <v>12800</v>
      </c>
      <c r="K8833" s="6">
        <f t="shared" si="362"/>
        <v>0.51840036458926742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47</v>
      </c>
      <c r="F8834" t="s">
        <v>44</v>
      </c>
      <c r="G8834" t="str">
        <f t="shared" si="361"/>
        <v>030MIRABEL</v>
      </c>
      <c r="H8834" s="5">
        <v>2680</v>
      </c>
      <c r="I8834" s="6">
        <v>2413.6749943750001</v>
      </c>
      <c r="J8834" s="5">
        <v>17600</v>
      </c>
      <c r="K8834" s="6">
        <f t="shared" si="362"/>
        <v>1.110340044225367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47</v>
      </c>
      <c r="F8835" t="s">
        <v>13</v>
      </c>
      <c r="G8835" t="str">
        <f t="shared" si="361"/>
        <v>030SOMERSET</v>
      </c>
      <c r="H8835" s="5">
        <v>4940</v>
      </c>
      <c r="I8835" s="6">
        <v>1645.6875</v>
      </c>
      <c r="J8835" s="5">
        <v>12000</v>
      </c>
      <c r="K8835" s="6">
        <f t="shared" si="362"/>
        <v>3.0017849682883293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48</v>
      </c>
      <c r="F8836" t="s">
        <v>49</v>
      </c>
      <c r="G8836" t="str">
        <f t="shared" si="361"/>
        <v>03182989</v>
      </c>
      <c r="H8836" s="5">
        <v>660</v>
      </c>
      <c r="I8836" s="6">
        <v>726.32013058333712</v>
      </c>
      <c r="J8836" s="5">
        <v>5712</v>
      </c>
      <c r="K8836" s="6">
        <f t="shared" si="362"/>
        <v>0.90869022103232533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48</v>
      </c>
      <c r="F8837" t="s">
        <v>34</v>
      </c>
      <c r="G8837" t="str">
        <f t="shared" si="361"/>
        <v>031RUBICON</v>
      </c>
      <c r="H8837" s="5">
        <v>2340</v>
      </c>
      <c r="I8837" s="6">
        <v>924.39958333667107</v>
      </c>
      <c r="J8837" s="5">
        <v>6720</v>
      </c>
      <c r="K8837" s="6">
        <f t="shared" si="362"/>
        <v>2.5313728415515304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48</v>
      </c>
      <c r="F8838" t="s">
        <v>13</v>
      </c>
      <c r="G8838" t="str">
        <f t="shared" si="361"/>
        <v>031SOMERSET</v>
      </c>
      <c r="H8838" s="5">
        <v>800</v>
      </c>
      <c r="I8838" s="6">
        <v>1122.485208333339</v>
      </c>
      <c r="J8838" s="5">
        <v>8160</v>
      </c>
      <c r="K8838" s="6">
        <f t="shared" si="362"/>
        <v>0.71270426911712847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48</v>
      </c>
      <c r="F8839" t="s">
        <v>50</v>
      </c>
      <c r="G8839" t="str">
        <f t="shared" si="361"/>
        <v>031VELVET BLOSSOMS</v>
      </c>
      <c r="H8839" s="5">
        <v>320</v>
      </c>
      <c r="I8839" s="6">
        <v>396.17125000000198</v>
      </c>
      <c r="J8839" s="5">
        <v>2880</v>
      </c>
      <c r="K8839" s="6">
        <f t="shared" si="362"/>
        <v>0.80773150499941226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51</v>
      </c>
      <c r="F8840" t="s">
        <v>17</v>
      </c>
      <c r="G8840" t="str">
        <f t="shared" si="361"/>
        <v>032ELBA</v>
      </c>
      <c r="H8840" s="5">
        <v>2220</v>
      </c>
      <c r="I8840" s="6">
        <v>1535.9749999999999</v>
      </c>
      <c r="J8840" s="5">
        <v>11200</v>
      </c>
      <c r="K8840" s="6">
        <f t="shared" si="362"/>
        <v>1.4453360243493547</v>
      </c>
    </row>
    <row r="8841" spans="1:11">
      <c r="A8841" s="4">
        <v>2026</v>
      </c>
      <c r="B8841">
        <v>30</v>
      </c>
      <c r="C8841" t="s">
        <v>10</v>
      </c>
      <c r="D8841" t="s">
        <v>11</v>
      </c>
      <c r="E8841" t="s">
        <v>51</v>
      </c>
      <c r="F8841" t="s">
        <v>44</v>
      </c>
      <c r="G8841" t="str">
        <f t="shared" si="361"/>
        <v>032MIRABEL</v>
      </c>
      <c r="H8841" s="5">
        <v>1820</v>
      </c>
      <c r="I8841" s="6">
        <v>1535.9749999999999</v>
      </c>
      <c r="J8841" s="5">
        <v>11200</v>
      </c>
      <c r="K8841" s="6">
        <f t="shared" si="362"/>
        <v>1.1849151190611826</v>
      </c>
    </row>
    <row r="8842" spans="1:11">
      <c r="A8842" s="4">
        <v>2026</v>
      </c>
      <c r="B8842">
        <v>30</v>
      </c>
      <c r="C8842" t="s">
        <v>10</v>
      </c>
      <c r="D8842" t="s">
        <v>11</v>
      </c>
      <c r="E8842" t="s">
        <v>52</v>
      </c>
      <c r="F8842" t="s">
        <v>53</v>
      </c>
      <c r="G8842" t="str">
        <f t="shared" si="361"/>
        <v>033CREAMY FOLIES</v>
      </c>
      <c r="H8842" s="5">
        <v>1080</v>
      </c>
      <c r="I8842" s="6">
        <v>594.25687500000299</v>
      </c>
      <c r="J8842" s="5">
        <v>4320</v>
      </c>
      <c r="K8842" s="6">
        <f t="shared" si="362"/>
        <v>1.8173958862486774</v>
      </c>
    </row>
    <row r="8843" spans="1:11">
      <c r="A8843" s="4">
        <v>2026</v>
      </c>
      <c r="B8843">
        <v>30</v>
      </c>
      <c r="C8843" t="s">
        <v>10</v>
      </c>
      <c r="D8843" t="s">
        <v>11</v>
      </c>
      <c r="E8843" t="s">
        <v>52</v>
      </c>
      <c r="F8843" t="s">
        <v>18</v>
      </c>
      <c r="G8843" t="str">
        <f t="shared" si="361"/>
        <v>033HOT BUBBLES</v>
      </c>
      <c r="H8843" s="5">
        <v>2580</v>
      </c>
      <c r="I8843" s="6">
        <v>2575.1131250013459</v>
      </c>
      <c r="J8843" s="5">
        <v>18720</v>
      </c>
      <c r="K8843" s="6">
        <f t="shared" si="362"/>
        <v>1.0018977321622138</v>
      </c>
    </row>
    <row r="8844" spans="1:11">
      <c r="A8844" s="4">
        <v>2026</v>
      </c>
      <c r="B8844">
        <v>30</v>
      </c>
      <c r="C8844" t="s">
        <v>54</v>
      </c>
      <c r="D8844" t="s">
        <v>11</v>
      </c>
      <c r="E8844" t="s">
        <v>55</v>
      </c>
      <c r="F8844" t="s">
        <v>56</v>
      </c>
      <c r="G8844" t="str">
        <f t="shared" si="361"/>
        <v>001BELIEVE IN PINK</v>
      </c>
      <c r="H8844" s="5">
        <v>1860</v>
      </c>
      <c r="I8844" s="6">
        <v>528.37931032368999</v>
      </c>
      <c r="J8844" s="5">
        <v>4000</v>
      </c>
      <c r="K8844" s="6">
        <f t="shared" ref="K8844:K8849" si="363">IFERROR(H8844/I8844,"")</f>
        <v>3.5201983947110778</v>
      </c>
    </row>
    <row r="8845" spans="1:11">
      <c r="A8845" s="4">
        <v>2026</v>
      </c>
      <c r="B8845">
        <v>30</v>
      </c>
      <c r="C8845" t="s">
        <v>54</v>
      </c>
      <c r="D8845" t="s">
        <v>11</v>
      </c>
      <c r="E8845" t="s">
        <v>55</v>
      </c>
      <c r="F8845" t="s">
        <v>57</v>
      </c>
      <c r="G8845" t="str">
        <f t="shared" si="361"/>
        <v>001EXPLORER</v>
      </c>
      <c r="H8845" s="5">
        <v>3825</v>
      </c>
      <c r="I8845" s="6">
        <v>2272.0310343918732</v>
      </c>
      <c r="J8845" s="5">
        <v>17200</v>
      </c>
      <c r="K8845" s="6">
        <f t="shared" si="363"/>
        <v>1.6835157364053308</v>
      </c>
    </row>
    <row r="8846" spans="1:11">
      <c r="A8846" s="4">
        <v>2026</v>
      </c>
      <c r="B8846">
        <v>30</v>
      </c>
      <c r="C8846" t="s">
        <v>54</v>
      </c>
      <c r="D8846" t="s">
        <v>11</v>
      </c>
      <c r="E8846" t="s">
        <v>55</v>
      </c>
      <c r="F8846" t="s">
        <v>58</v>
      </c>
      <c r="G8846" t="str">
        <f t="shared" si="361"/>
        <v>001GRACE KELLY</v>
      </c>
      <c r="H8846" s="5">
        <v>2070</v>
      </c>
      <c r="I8846" s="6">
        <v>1162.4344827121224</v>
      </c>
      <c r="J8846" s="5">
        <v>8800</v>
      </c>
      <c r="K8846" s="6">
        <f t="shared" si="363"/>
        <v>1.7807455222511983</v>
      </c>
    </row>
    <row r="8847" spans="1:11">
      <c r="A8847" s="4">
        <v>2026</v>
      </c>
      <c r="B8847">
        <v>30</v>
      </c>
      <c r="C8847" t="s">
        <v>54</v>
      </c>
      <c r="D8847" t="s">
        <v>11</v>
      </c>
      <c r="E8847" t="s">
        <v>55</v>
      </c>
      <c r="F8847" t="s">
        <v>60</v>
      </c>
      <c r="G8847" t="str">
        <f t="shared" si="361"/>
        <v>001LIGHT HOUSE</v>
      </c>
      <c r="H8847" s="5">
        <v>2550</v>
      </c>
      <c r="I8847" s="6">
        <v>1056.7586206473827</v>
      </c>
      <c r="J8847" s="5">
        <v>8000</v>
      </c>
      <c r="K8847" s="6">
        <f t="shared" si="363"/>
        <v>2.4130392221809744</v>
      </c>
    </row>
    <row r="8848" spans="1:11">
      <c r="A8848" s="4">
        <v>2026</v>
      </c>
      <c r="B8848">
        <v>30</v>
      </c>
      <c r="C8848" t="s">
        <v>54</v>
      </c>
      <c r="D8848" t="s">
        <v>11</v>
      </c>
      <c r="E8848" t="s">
        <v>55</v>
      </c>
      <c r="F8848" t="s">
        <v>61</v>
      </c>
      <c r="G8848" t="str">
        <f t="shared" si="361"/>
        <v>001LUMIA</v>
      </c>
      <c r="H8848" s="5">
        <v>2400</v>
      </c>
      <c r="I8848" s="6">
        <v>1109.596551679753</v>
      </c>
      <c r="J8848" s="5">
        <v>8400</v>
      </c>
      <c r="K8848" s="6">
        <f t="shared" si="363"/>
        <v>2.1629483224031123</v>
      </c>
    </row>
    <row r="8849" spans="1:11">
      <c r="A8849" s="4">
        <v>2026</v>
      </c>
      <c r="B8849">
        <v>30</v>
      </c>
      <c r="C8849" t="s">
        <v>54</v>
      </c>
      <c r="D8849" t="s">
        <v>11</v>
      </c>
      <c r="E8849" t="s">
        <v>55</v>
      </c>
      <c r="F8849" t="s">
        <v>62</v>
      </c>
      <c r="G8849" t="str">
        <f t="shared" si="361"/>
        <v>001MOMENTUM</v>
      </c>
      <c r="H8849" s="5">
        <v>3650</v>
      </c>
      <c r="I8849" s="6">
        <v>1902.1655171652881</v>
      </c>
      <c r="J8849" s="5">
        <v>14400</v>
      </c>
      <c r="K8849" s="6">
        <f t="shared" si="363"/>
        <v>1.9188656124097083</v>
      </c>
    </row>
    <row r="8850" spans="1:11">
      <c r="A8850" s="4">
        <v>2026</v>
      </c>
      <c r="B8850">
        <v>30</v>
      </c>
      <c r="C8850" t="s">
        <v>54</v>
      </c>
      <c r="D8850" t="s">
        <v>11</v>
      </c>
      <c r="E8850" t="s">
        <v>12</v>
      </c>
      <c r="F8850" t="s">
        <v>63</v>
      </c>
      <c r="G8850" t="str">
        <f t="shared" si="361"/>
        <v>002SUMMER ROMANCE</v>
      </c>
      <c r="H8850" s="5">
        <v>850</v>
      </c>
      <c r="I8850" s="6">
        <v>951.10714281909407</v>
      </c>
      <c r="J8850" s="5">
        <v>7200</v>
      </c>
      <c r="K8850" s="6">
        <f t="shared" ref="K8850:K8912" si="364">+H8850/I8850</f>
        <v>0.89369531752289111</v>
      </c>
    </row>
    <row r="8851" spans="1:11">
      <c r="A8851" s="4">
        <v>2026</v>
      </c>
      <c r="B8851">
        <v>30</v>
      </c>
      <c r="C8851" t="s">
        <v>54</v>
      </c>
      <c r="D8851" t="s">
        <v>11</v>
      </c>
      <c r="E8851" t="s">
        <v>12</v>
      </c>
      <c r="F8851" t="s">
        <v>64</v>
      </c>
      <c r="G8851" t="str">
        <f t="shared" si="361"/>
        <v>002SWEETNESS</v>
      </c>
      <c r="H8851" s="7">
        <v>7170</v>
      </c>
      <c r="I8851" s="6">
        <v>3804.4285712763772</v>
      </c>
      <c r="J8851" s="5">
        <v>28800</v>
      </c>
      <c r="K8851" s="6">
        <f t="shared" si="364"/>
        <v>1.8846457137173904</v>
      </c>
    </row>
    <row r="8852" spans="1:11">
      <c r="A8852" s="4">
        <v>2026</v>
      </c>
      <c r="B8852">
        <v>30</v>
      </c>
      <c r="C8852" t="s">
        <v>54</v>
      </c>
      <c r="D8852" t="s">
        <v>11</v>
      </c>
      <c r="E8852" t="s">
        <v>65</v>
      </c>
      <c r="F8852" t="s">
        <v>66</v>
      </c>
      <c r="G8852" t="str">
        <f t="shared" si="361"/>
        <v>003CABARET</v>
      </c>
      <c r="H8852" s="7">
        <v>9750</v>
      </c>
      <c r="I8852" s="6">
        <v>2641.8965516184649</v>
      </c>
      <c r="J8852" s="5">
        <v>20000</v>
      </c>
      <c r="K8852" s="6">
        <f t="shared" si="364"/>
        <v>3.6905305751003028</v>
      </c>
    </row>
    <row r="8853" spans="1:11">
      <c r="A8853" s="4">
        <v>2026</v>
      </c>
      <c r="B8853">
        <v>30</v>
      </c>
      <c r="C8853" t="s">
        <v>54</v>
      </c>
      <c r="D8853" t="s">
        <v>11</v>
      </c>
      <c r="E8853" t="s">
        <v>65</v>
      </c>
      <c r="F8853" t="s">
        <v>67</v>
      </c>
      <c r="G8853" t="str">
        <f t="shared" si="361"/>
        <v>003DEEP PURPLE</v>
      </c>
      <c r="H8853" s="7">
        <v>15810</v>
      </c>
      <c r="I8853" s="6">
        <v>3592.9793102010913</v>
      </c>
      <c r="J8853" s="5">
        <v>26044</v>
      </c>
      <c r="K8853" s="6">
        <f t="shared" si="364"/>
        <v>4.4002479933888479</v>
      </c>
    </row>
    <row r="8854" spans="1:11">
      <c r="A8854" s="4">
        <v>2026</v>
      </c>
      <c r="B8854">
        <v>30</v>
      </c>
      <c r="C8854" t="s">
        <v>54</v>
      </c>
      <c r="D8854" t="s">
        <v>11</v>
      </c>
      <c r="E8854" t="s">
        <v>65</v>
      </c>
      <c r="F8854" t="s">
        <v>57</v>
      </c>
      <c r="G8854" t="str">
        <f t="shared" si="361"/>
        <v>003EXPLORER</v>
      </c>
      <c r="H8854" s="7">
        <v>2300</v>
      </c>
      <c r="I8854" s="6">
        <v>1268.1103447768633</v>
      </c>
      <c r="J8854" s="5">
        <v>9600</v>
      </c>
      <c r="K8854" s="6">
        <f t="shared" si="364"/>
        <v>1.8137222911817725</v>
      </c>
    </row>
    <row r="8855" spans="1:11">
      <c r="A8855" s="4">
        <v>2026</v>
      </c>
      <c r="B8855">
        <v>30</v>
      </c>
      <c r="C8855" t="s">
        <v>54</v>
      </c>
      <c r="D8855" t="s">
        <v>11</v>
      </c>
      <c r="E8855" t="s">
        <v>65</v>
      </c>
      <c r="F8855" t="s">
        <v>68</v>
      </c>
      <c r="G8855" t="str">
        <f t="shared" si="361"/>
        <v>003JOCKER</v>
      </c>
      <c r="H8855" s="7">
        <v>950</v>
      </c>
      <c r="I8855" s="6">
        <v>528.37931032368999</v>
      </c>
      <c r="J8855" s="5">
        <v>4000</v>
      </c>
      <c r="K8855" s="6">
        <f t="shared" si="364"/>
        <v>1.7979507929975935</v>
      </c>
    </row>
    <row r="8856" spans="1:11">
      <c r="A8856" s="4">
        <v>2026</v>
      </c>
      <c r="B8856">
        <v>30</v>
      </c>
      <c r="C8856" t="s">
        <v>54</v>
      </c>
      <c r="D8856" t="s">
        <v>11</v>
      </c>
      <c r="E8856" t="s">
        <v>65</v>
      </c>
      <c r="F8856" t="s">
        <v>69</v>
      </c>
      <c r="G8856" t="str">
        <f t="shared" si="361"/>
        <v>003QUICKSAND</v>
      </c>
      <c r="H8856" s="7">
        <v>2220</v>
      </c>
      <c r="I8856" s="6">
        <v>1162.4344827121247</v>
      </c>
      <c r="J8856" s="5">
        <v>8800</v>
      </c>
      <c r="K8856" s="6">
        <f t="shared" si="364"/>
        <v>1.9097850528491076</v>
      </c>
    </row>
    <row r="8857" spans="1:11">
      <c r="A8857" s="4">
        <v>2026</v>
      </c>
      <c r="B8857">
        <v>30</v>
      </c>
      <c r="C8857" t="s">
        <v>54</v>
      </c>
      <c r="D8857" t="s">
        <v>11</v>
      </c>
      <c r="E8857" t="s">
        <v>14</v>
      </c>
      <c r="F8857" t="s">
        <v>70</v>
      </c>
      <c r="G8857" t="str">
        <f t="shared" si="361"/>
        <v>004COTOPAXI</v>
      </c>
      <c r="H8857" s="7">
        <v>930</v>
      </c>
      <c r="I8857" s="6">
        <v>528.3915024419166</v>
      </c>
      <c r="J8857" s="5">
        <v>4000</v>
      </c>
      <c r="K8857" s="6">
        <f t="shared" si="364"/>
        <v>1.7600585847843573</v>
      </c>
    </row>
    <row r="8858" spans="1:11">
      <c r="A8858" s="4">
        <v>2026</v>
      </c>
      <c r="B8858">
        <v>30</v>
      </c>
      <c r="C8858" t="s">
        <v>54</v>
      </c>
      <c r="D8858" t="s">
        <v>11</v>
      </c>
      <c r="E8858" t="s">
        <v>14</v>
      </c>
      <c r="F8858" t="s">
        <v>67</v>
      </c>
      <c r="G8858" t="str">
        <f t="shared" si="361"/>
        <v>004DEEP PURPLE</v>
      </c>
      <c r="H8858" s="7">
        <v>19050</v>
      </c>
      <c r="I8858" s="6">
        <v>3910.1071427007282</v>
      </c>
      <c r="J8858" s="5">
        <v>29260</v>
      </c>
      <c r="K8858" s="6">
        <f t="shared" si="364"/>
        <v>4.8719892588012517</v>
      </c>
    </row>
    <row r="8859" spans="1:11">
      <c r="A8859" s="4">
        <v>2026</v>
      </c>
      <c r="B8859">
        <v>30</v>
      </c>
      <c r="C8859" t="s">
        <v>54</v>
      </c>
      <c r="D8859" t="s">
        <v>11</v>
      </c>
      <c r="E8859" t="s">
        <v>14</v>
      </c>
      <c r="F8859" t="s">
        <v>71</v>
      </c>
      <c r="G8859" t="str">
        <f t="shared" si="361"/>
        <v>004HOT EXPLORER</v>
      </c>
      <c r="H8859" s="7">
        <v>1950</v>
      </c>
      <c r="I8859" s="6">
        <v>1902.2142856381945</v>
      </c>
      <c r="J8859" s="5">
        <v>14400</v>
      </c>
      <c r="K8859" s="6">
        <f t="shared" si="364"/>
        <v>1.0251210995115481</v>
      </c>
    </row>
    <row r="8860" spans="1:11">
      <c r="A8860" s="4">
        <v>2026</v>
      </c>
      <c r="B8860">
        <v>30</v>
      </c>
      <c r="C8860" t="s">
        <v>54</v>
      </c>
      <c r="D8860" t="s">
        <v>11</v>
      </c>
      <c r="E8860" t="s">
        <v>14</v>
      </c>
      <c r="F8860" t="s">
        <v>72</v>
      </c>
      <c r="G8860" t="str">
        <f t="shared" si="361"/>
        <v>004HOT MERENGUE</v>
      </c>
      <c r="H8860" s="7">
        <v>2940</v>
      </c>
      <c r="I8860" s="6">
        <v>1162.4642856677858</v>
      </c>
      <c r="J8860" s="5">
        <v>8800</v>
      </c>
      <c r="K8860" s="6">
        <f t="shared" si="364"/>
        <v>2.5291099573963223</v>
      </c>
    </row>
    <row r="8861" spans="1:11">
      <c r="A8861" s="4">
        <v>2026</v>
      </c>
      <c r="B8861">
        <v>30</v>
      </c>
      <c r="C8861" t="s">
        <v>54</v>
      </c>
      <c r="D8861" t="s">
        <v>11</v>
      </c>
      <c r="E8861" t="s">
        <v>14</v>
      </c>
      <c r="F8861" t="s">
        <v>64</v>
      </c>
      <c r="G8861" t="str">
        <f t="shared" si="361"/>
        <v>004SWEETNESS</v>
      </c>
      <c r="H8861" s="7">
        <v>780</v>
      </c>
      <c r="I8861" s="6">
        <v>317.03571427303262</v>
      </c>
      <c r="J8861" s="5">
        <v>2400</v>
      </c>
      <c r="K8861" s="6">
        <f t="shared" si="364"/>
        <v>2.4602906388277139</v>
      </c>
    </row>
    <row r="8862" spans="1:11">
      <c r="A8862" s="4">
        <v>2026</v>
      </c>
      <c r="B8862">
        <v>30</v>
      </c>
      <c r="C8862" t="s">
        <v>54</v>
      </c>
      <c r="D8862" t="s">
        <v>11</v>
      </c>
      <c r="E8862" t="s">
        <v>16</v>
      </c>
      <c r="F8862" t="s">
        <v>57</v>
      </c>
      <c r="G8862" t="str">
        <f t="shared" si="361"/>
        <v>005EXPLORER</v>
      </c>
      <c r="H8862" s="7">
        <v>1075</v>
      </c>
      <c r="I8862" s="6">
        <v>951.10714281875391</v>
      </c>
      <c r="J8862" s="5">
        <v>7200</v>
      </c>
      <c r="K8862" s="6">
        <f t="shared" si="364"/>
        <v>1.1302617251028841</v>
      </c>
    </row>
    <row r="8863" spans="1:11">
      <c r="A8863" s="4">
        <v>2026</v>
      </c>
      <c r="B8863">
        <v>30</v>
      </c>
      <c r="C8863" t="s">
        <v>54</v>
      </c>
      <c r="D8863" t="s">
        <v>11</v>
      </c>
      <c r="E8863" t="s">
        <v>16</v>
      </c>
      <c r="F8863" t="s">
        <v>73</v>
      </c>
      <c r="G8863" t="str">
        <f t="shared" si="361"/>
        <v>005GOLDFINCH</v>
      </c>
      <c r="H8863" s="7">
        <v>1500</v>
      </c>
      <c r="I8863" s="6">
        <v>898.26785710660101</v>
      </c>
      <c r="J8863" s="5">
        <v>6800</v>
      </c>
      <c r="K8863" s="6">
        <f t="shared" si="364"/>
        <v>1.6698805240918122</v>
      </c>
    </row>
    <row r="8864" spans="1:11">
      <c r="A8864" s="4">
        <v>2026</v>
      </c>
      <c r="B8864">
        <v>30</v>
      </c>
      <c r="C8864" t="s">
        <v>54</v>
      </c>
      <c r="D8864" t="s">
        <v>11</v>
      </c>
      <c r="E8864" t="s">
        <v>16</v>
      </c>
      <c r="F8864" t="s">
        <v>68</v>
      </c>
      <c r="G8864" t="str">
        <f t="shared" si="361"/>
        <v>005JOCKER</v>
      </c>
      <c r="H8864" s="7">
        <v>2675</v>
      </c>
      <c r="I8864" s="6">
        <v>1162.4642856673661</v>
      </c>
      <c r="J8864" s="5">
        <v>8800</v>
      </c>
      <c r="K8864" s="6">
        <f t="shared" si="364"/>
        <v>2.301145964638641</v>
      </c>
    </row>
    <row r="8865" spans="1:11">
      <c r="A8865" s="4">
        <v>2026</v>
      </c>
      <c r="B8865">
        <v>30</v>
      </c>
      <c r="C8865" t="s">
        <v>54</v>
      </c>
      <c r="D8865" t="s">
        <v>11</v>
      </c>
      <c r="E8865" t="s">
        <v>16</v>
      </c>
      <c r="F8865" t="s">
        <v>74</v>
      </c>
      <c r="G8865" t="str">
        <f t="shared" ref="G8865:G8917" si="365">+E8865&amp;F8865</f>
        <v>005VENDELA</v>
      </c>
      <c r="H8865" s="7">
        <v>2400</v>
      </c>
      <c r="I8865" s="6">
        <v>686.91071425798896</v>
      </c>
      <c r="J8865" s="5">
        <v>5200</v>
      </c>
      <c r="K8865" s="6">
        <f t="shared" si="364"/>
        <v>3.4939038657920998</v>
      </c>
    </row>
    <row r="8866" spans="1:11">
      <c r="A8866" s="4">
        <v>2026</v>
      </c>
      <c r="B8866">
        <v>30</v>
      </c>
      <c r="C8866" t="s">
        <v>54</v>
      </c>
      <c r="D8866" t="s">
        <v>11</v>
      </c>
      <c r="E8866" t="s">
        <v>75</v>
      </c>
      <c r="F8866" t="s">
        <v>76</v>
      </c>
      <c r="G8866" t="str">
        <f t="shared" si="365"/>
        <v>006ATOMIC</v>
      </c>
      <c r="H8866" s="7">
        <v>1725</v>
      </c>
      <c r="I8866" s="6">
        <v>845.428571394752</v>
      </c>
      <c r="J8866" s="5">
        <v>6400</v>
      </c>
      <c r="K8866" s="6">
        <f t="shared" si="364"/>
        <v>2.0403852653739496</v>
      </c>
    </row>
    <row r="8867" spans="1:11">
      <c r="A8867" s="4">
        <v>2026</v>
      </c>
      <c r="B8867">
        <v>30</v>
      </c>
      <c r="C8867" t="s">
        <v>54</v>
      </c>
      <c r="D8867" t="s">
        <v>11</v>
      </c>
      <c r="E8867" t="s">
        <v>75</v>
      </c>
      <c r="F8867" t="s">
        <v>57</v>
      </c>
      <c r="G8867" t="str">
        <f t="shared" si="365"/>
        <v>006EXPLORER</v>
      </c>
      <c r="H8867" s="7">
        <v>5825</v>
      </c>
      <c r="I8867" s="6">
        <v>3910.1071427007355</v>
      </c>
      <c r="J8867" s="5">
        <v>29600</v>
      </c>
      <c r="K8867" s="6">
        <f t="shared" si="364"/>
        <v>1.4897289990822697</v>
      </c>
    </row>
    <row r="8868" spans="1:11">
      <c r="A8868" s="4">
        <v>2026</v>
      </c>
      <c r="B8868">
        <v>30</v>
      </c>
      <c r="C8868" t="s">
        <v>54</v>
      </c>
      <c r="D8868" t="s">
        <v>11</v>
      </c>
      <c r="E8868" t="s">
        <v>75</v>
      </c>
      <c r="F8868" t="s">
        <v>77</v>
      </c>
      <c r="G8868" t="str">
        <f t="shared" si="365"/>
        <v>006MONDIAL</v>
      </c>
      <c r="H8868" s="7">
        <v>8150</v>
      </c>
      <c r="I8868" s="6">
        <v>4015.7857141250793</v>
      </c>
      <c r="J8868" s="5">
        <v>30400</v>
      </c>
      <c r="K8868" s="6">
        <f t="shared" si="364"/>
        <v>2.0294907597617278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20</v>
      </c>
      <c r="F8869" t="s">
        <v>70</v>
      </c>
      <c r="G8869" t="str">
        <f t="shared" si="365"/>
        <v>007COTOPAXI</v>
      </c>
      <c r="H8869" s="7">
        <v>6840</v>
      </c>
      <c r="I8869" s="6">
        <v>2747.5751230427709</v>
      </c>
      <c r="J8869" s="5">
        <v>20800</v>
      </c>
      <c r="K8869" s="6">
        <f t="shared" si="364"/>
        <v>2.4894678739211757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20</v>
      </c>
      <c r="F8870" t="s">
        <v>78</v>
      </c>
      <c r="G8870" t="str">
        <f t="shared" si="365"/>
        <v>007REDIANT</v>
      </c>
      <c r="H8870" s="7">
        <v>1110</v>
      </c>
      <c r="I8870" s="6">
        <v>1056.75862064738</v>
      </c>
      <c r="J8870" s="5">
        <v>9600</v>
      </c>
      <c r="K8870" s="6">
        <f t="shared" si="364"/>
        <v>1.0503817790670151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20</v>
      </c>
      <c r="F8871" t="s">
        <v>63</v>
      </c>
      <c r="G8871" t="str">
        <f t="shared" si="365"/>
        <v>007SUMMER ROMANCE</v>
      </c>
      <c r="H8871" s="7">
        <v>375</v>
      </c>
      <c r="I8871" s="6">
        <v>317.02758619421581</v>
      </c>
      <c r="J8871" s="5">
        <v>2640</v>
      </c>
      <c r="K8871" s="6">
        <f t="shared" si="364"/>
        <v>1.1828623638141995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20</v>
      </c>
      <c r="F8872" t="s">
        <v>114</v>
      </c>
      <c r="G8872" t="str">
        <f t="shared" si="365"/>
        <v>007TOPACIO</v>
      </c>
      <c r="H8872" s="7">
        <v>0</v>
      </c>
      <c r="I8872" s="6">
        <v>52.837931032368999</v>
      </c>
      <c r="J8872" s="5">
        <v>440</v>
      </c>
      <c r="K8872" s="6">
        <f t="shared" si="364"/>
        <v>0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20</v>
      </c>
      <c r="F8873" t="s">
        <v>74</v>
      </c>
      <c r="G8873" t="str">
        <f t="shared" si="365"/>
        <v>007VENDELA</v>
      </c>
      <c r="H8873" s="7">
        <v>12660</v>
      </c>
      <c r="I8873" s="6">
        <v>3592.9793102011122</v>
      </c>
      <c r="J8873" s="5">
        <v>27820</v>
      </c>
      <c r="K8873" s="6">
        <f t="shared" si="364"/>
        <v>3.5235382413853569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79</v>
      </c>
      <c r="F8874" t="s">
        <v>67</v>
      </c>
      <c r="G8874" t="str">
        <f t="shared" si="365"/>
        <v>008DEEP PURPLE</v>
      </c>
      <c r="H8874" s="7">
        <v>9030</v>
      </c>
      <c r="I8874" s="6">
        <v>1585.2222221588099</v>
      </c>
      <c r="J8874" s="5">
        <v>11490</v>
      </c>
      <c r="K8874" s="6">
        <f t="shared" si="364"/>
        <v>5.6963622347550977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79</v>
      </c>
      <c r="F8875" t="s">
        <v>81</v>
      </c>
      <c r="G8875" t="str">
        <f t="shared" si="365"/>
        <v>008FREEDOM</v>
      </c>
      <c r="H8875" s="7">
        <v>6000</v>
      </c>
      <c r="I8875" s="6">
        <v>2219.311111022334</v>
      </c>
      <c r="J8875" s="5">
        <v>16800</v>
      </c>
      <c r="K8875" s="6">
        <f t="shared" si="364"/>
        <v>2.7035416396559548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79</v>
      </c>
      <c r="F8876" t="s">
        <v>68</v>
      </c>
      <c r="G8876" t="str">
        <f t="shared" si="365"/>
        <v>008JOCKER</v>
      </c>
      <c r="H8876" s="7">
        <v>4800</v>
      </c>
      <c r="I8876" s="6">
        <v>2959.0814813631118</v>
      </c>
      <c r="J8876" s="5">
        <v>22400</v>
      </c>
      <c r="K8876" s="6">
        <f t="shared" si="364"/>
        <v>1.6221249837935732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79</v>
      </c>
      <c r="F8877" t="s">
        <v>63</v>
      </c>
      <c r="G8877" t="str">
        <f t="shared" si="365"/>
        <v>008SUMMER ROMANCE</v>
      </c>
      <c r="H8877" s="7">
        <v>0</v>
      </c>
      <c r="I8877" s="6">
        <v>1796.5851851133182</v>
      </c>
      <c r="J8877" s="5">
        <v>13600</v>
      </c>
      <c r="K8877" s="6">
        <f t="shared" si="364"/>
        <v>0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82</v>
      </c>
      <c r="F8878" t="s">
        <v>83</v>
      </c>
      <c r="G8878" t="str">
        <f t="shared" si="365"/>
        <v>010COOLDOWN</v>
      </c>
      <c r="H8878" s="7">
        <v>1925</v>
      </c>
      <c r="I8878" s="6">
        <v>1912.3542857142861</v>
      </c>
      <c r="J8878" s="5">
        <v>16320</v>
      </c>
      <c r="K8878" s="6">
        <f t="shared" si="364"/>
        <v>1.0066126420089521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82</v>
      </c>
      <c r="F8879" t="s">
        <v>84</v>
      </c>
      <c r="G8879" t="str">
        <f t="shared" si="365"/>
        <v>010VIOLET HILL</v>
      </c>
      <c r="H8879" s="7">
        <v>1260</v>
      </c>
      <c r="I8879" s="6">
        <v>2812.2857142428579</v>
      </c>
      <c r="J8879" s="5">
        <v>20000</v>
      </c>
      <c r="K8879" s="6">
        <f t="shared" si="364"/>
        <v>0.448034135940994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85</v>
      </c>
      <c r="F8880" t="s">
        <v>86</v>
      </c>
      <c r="G8880" t="str">
        <f t="shared" si="365"/>
        <v>011BRIGHTON</v>
      </c>
      <c r="H8880" s="7">
        <v>4150</v>
      </c>
      <c r="I8880" s="6">
        <v>1768.8376470588223</v>
      </c>
      <c r="J8880" s="5">
        <v>12800</v>
      </c>
      <c r="K8880" s="6">
        <f t="shared" si="364"/>
        <v>2.3461734924629818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85</v>
      </c>
      <c r="F8881" t="s">
        <v>87</v>
      </c>
      <c r="G8881" t="str">
        <f t="shared" si="365"/>
        <v>011CANDLELIGHT</v>
      </c>
      <c r="H8881" s="7">
        <v>5480</v>
      </c>
      <c r="I8881" s="6">
        <v>2263.7999998868127</v>
      </c>
      <c r="J8881" s="5">
        <v>17920</v>
      </c>
      <c r="K8881" s="6">
        <f t="shared" si="364"/>
        <v>2.4207085432785553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85</v>
      </c>
      <c r="F8882" t="s">
        <v>88</v>
      </c>
      <c r="G8882" t="str">
        <f t="shared" si="365"/>
        <v>011CAYENNE</v>
      </c>
      <c r="H8882" s="7">
        <v>2520</v>
      </c>
      <c r="I8882" s="6">
        <v>994.97117647058747</v>
      </c>
      <c r="J8882" s="5">
        <v>7200</v>
      </c>
      <c r="K8882" s="6">
        <f t="shared" si="364"/>
        <v>2.5327366858395561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85</v>
      </c>
      <c r="F8883" t="s">
        <v>61</v>
      </c>
      <c r="G8883" t="str">
        <f t="shared" si="365"/>
        <v>011LUMIA</v>
      </c>
      <c r="H8883" s="7">
        <v>2250</v>
      </c>
      <c r="I8883" s="6">
        <v>994.97117647058747</v>
      </c>
      <c r="J8883" s="5">
        <v>7920</v>
      </c>
      <c r="K8883" s="6">
        <f t="shared" si="364"/>
        <v>2.2613720409281752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85</v>
      </c>
      <c r="F8884" t="s">
        <v>89</v>
      </c>
      <c r="G8884" t="str">
        <f t="shared" si="365"/>
        <v>011STARDUST</v>
      </c>
      <c r="H8884" s="7">
        <v>4175</v>
      </c>
      <c r="I8884" s="6">
        <v>2263.7999998868127</v>
      </c>
      <c r="J8884" s="5">
        <v>17920</v>
      </c>
      <c r="K8884" s="6">
        <f t="shared" si="364"/>
        <v>1.8442441912751768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90</v>
      </c>
      <c r="F8885" t="s">
        <v>67</v>
      </c>
      <c r="G8885" t="str">
        <f t="shared" si="365"/>
        <v>012DEEP PURPLE</v>
      </c>
      <c r="H8885" s="7">
        <v>22500</v>
      </c>
      <c r="I8885" s="6">
        <v>6727.0499997982479</v>
      </c>
      <c r="J8885" s="5">
        <v>49210</v>
      </c>
      <c r="K8885" s="6">
        <f t="shared" si="364"/>
        <v>3.3447053315606099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90</v>
      </c>
      <c r="F8886" t="s">
        <v>60</v>
      </c>
      <c r="G8886" t="str">
        <f t="shared" si="365"/>
        <v>012LIGHT HOUSE</v>
      </c>
      <c r="H8886" s="7">
        <v>1920</v>
      </c>
      <c r="I8886" s="6">
        <v>994.95</v>
      </c>
      <c r="J8886" s="5">
        <v>7200</v>
      </c>
      <c r="K8886" s="6">
        <f t="shared" si="364"/>
        <v>1.9297452133273028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91</v>
      </c>
      <c r="F8887" t="s">
        <v>92</v>
      </c>
      <c r="G8887" t="str">
        <f t="shared" si="365"/>
        <v>013COUNTRY BLUES</v>
      </c>
      <c r="H8887" s="7">
        <v>2075</v>
      </c>
      <c r="I8887" s="6">
        <v>831.6</v>
      </c>
      <c r="J8887" s="5">
        <v>6300</v>
      </c>
      <c r="K8887" s="6">
        <f t="shared" si="364"/>
        <v>2.4951899951899952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91</v>
      </c>
      <c r="F8888" t="s">
        <v>93</v>
      </c>
      <c r="G8888" t="str">
        <f t="shared" si="365"/>
        <v>013LORRAINE</v>
      </c>
      <c r="H8888" s="7">
        <v>4325</v>
      </c>
      <c r="I8888" s="6">
        <v>1267.2</v>
      </c>
      <c r="J8888" s="5">
        <v>9600</v>
      </c>
      <c r="K8888" s="6">
        <f t="shared" si="364"/>
        <v>3.4130366161616159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91</v>
      </c>
      <c r="F8889" t="s">
        <v>61</v>
      </c>
      <c r="G8889" t="str">
        <f t="shared" si="365"/>
        <v>013LUMIA</v>
      </c>
      <c r="H8889" s="7">
        <v>900</v>
      </c>
      <c r="I8889" s="6">
        <v>316.8</v>
      </c>
      <c r="J8889" s="5">
        <v>2400</v>
      </c>
      <c r="K8889" s="6">
        <f t="shared" si="364"/>
        <v>2.8409090909090908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91</v>
      </c>
      <c r="F8890" t="s">
        <v>74</v>
      </c>
      <c r="G8890" t="str">
        <f t="shared" si="365"/>
        <v>013VENDELA</v>
      </c>
      <c r="H8890" s="7">
        <v>11460</v>
      </c>
      <c r="I8890" s="6">
        <v>3603.6</v>
      </c>
      <c r="J8890" s="5">
        <v>27296</v>
      </c>
      <c r="K8890" s="6">
        <f t="shared" si="364"/>
        <v>3.1801531801531802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23</v>
      </c>
      <c r="F8891" t="s">
        <v>89</v>
      </c>
      <c r="G8891" t="str">
        <f t="shared" si="365"/>
        <v>014STARDUST</v>
      </c>
      <c r="H8891" s="7">
        <v>8750</v>
      </c>
      <c r="I8891" s="6">
        <v>3682.8</v>
      </c>
      <c r="J8891" s="5">
        <v>27900</v>
      </c>
      <c r="K8891" s="6">
        <f t="shared" si="364"/>
        <v>2.3759096339741501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25</v>
      </c>
      <c r="F8892" t="s">
        <v>68</v>
      </c>
      <c r="G8892" t="str">
        <f t="shared" si="365"/>
        <v>015JOCKER</v>
      </c>
      <c r="H8892" s="7">
        <v>6300</v>
      </c>
      <c r="I8892" s="6">
        <v>2376</v>
      </c>
      <c r="J8892" s="5">
        <v>18000</v>
      </c>
      <c r="K8892" s="6">
        <f t="shared" si="364"/>
        <v>2.6515151515151514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27</v>
      </c>
      <c r="F8893" t="s">
        <v>94</v>
      </c>
      <c r="G8893" t="str">
        <f t="shared" si="365"/>
        <v>016DREAM IN PEACH</v>
      </c>
      <c r="H8893" s="7">
        <v>2520</v>
      </c>
      <c r="I8893" s="6">
        <v>950.4</v>
      </c>
      <c r="J8893" s="5">
        <v>7200</v>
      </c>
      <c r="K8893" s="6">
        <f t="shared" si="364"/>
        <v>2.6515151515151514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27</v>
      </c>
      <c r="F8894" t="s">
        <v>95</v>
      </c>
      <c r="G8894" t="str">
        <f t="shared" si="365"/>
        <v>016NINA</v>
      </c>
      <c r="H8894" s="7">
        <v>3825</v>
      </c>
      <c r="I8894" s="6">
        <v>1346.4</v>
      </c>
      <c r="J8894" s="5">
        <v>10200</v>
      </c>
      <c r="K8894" s="6">
        <f t="shared" si="364"/>
        <v>2.8409090909090908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30</v>
      </c>
      <c r="F8895" t="s">
        <v>81</v>
      </c>
      <c r="G8895" t="str">
        <f t="shared" si="365"/>
        <v>017FREEDOM</v>
      </c>
      <c r="H8895" s="7">
        <v>6780</v>
      </c>
      <c r="I8895" s="6">
        <v>2851.2</v>
      </c>
      <c r="J8895" s="5">
        <v>21600</v>
      </c>
      <c r="K8895" s="6">
        <f t="shared" si="364"/>
        <v>2.377946127946128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30</v>
      </c>
      <c r="F8896" t="s">
        <v>73</v>
      </c>
      <c r="G8896" t="str">
        <f t="shared" si="365"/>
        <v>017GOLDFINCH</v>
      </c>
      <c r="H8896" s="7">
        <v>3550</v>
      </c>
      <c r="I8896" s="6">
        <v>2138.4</v>
      </c>
      <c r="J8896" s="5">
        <v>16200</v>
      </c>
      <c r="K8896" s="6">
        <f t="shared" si="364"/>
        <v>1.6601197156752712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32</v>
      </c>
      <c r="F8897" t="s">
        <v>86</v>
      </c>
      <c r="G8897" t="str">
        <f t="shared" si="365"/>
        <v>018BRIGHTON</v>
      </c>
      <c r="H8897" s="7">
        <v>2600</v>
      </c>
      <c r="I8897" s="6">
        <v>963.6</v>
      </c>
      <c r="J8897" s="5">
        <v>7570</v>
      </c>
      <c r="K8897" s="6">
        <f t="shared" si="364"/>
        <v>2.6982150269821501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35</v>
      </c>
      <c r="F8898" t="s">
        <v>86</v>
      </c>
      <c r="G8898" t="str">
        <f t="shared" si="365"/>
        <v>019BRIGHTON</v>
      </c>
      <c r="H8898" s="7">
        <v>9775</v>
      </c>
      <c r="I8898" s="6">
        <v>3168</v>
      </c>
      <c r="J8898" s="5">
        <v>24000</v>
      </c>
      <c r="K8898" s="6">
        <f t="shared" si="364"/>
        <v>3.0855429292929295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35</v>
      </c>
      <c r="F8899" t="s">
        <v>96</v>
      </c>
      <c r="G8899" t="str">
        <f t="shared" si="365"/>
        <v>019TABATHA</v>
      </c>
      <c r="H8899" s="7">
        <v>3690</v>
      </c>
      <c r="I8899" s="6">
        <v>1188</v>
      </c>
      <c r="J8899" s="5">
        <v>9000</v>
      </c>
      <c r="K8899" s="6">
        <f t="shared" si="364"/>
        <v>3.106060606060606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36</v>
      </c>
      <c r="F8900" t="s">
        <v>86</v>
      </c>
      <c r="G8900" t="str">
        <f t="shared" si="365"/>
        <v>020BRIGHTON</v>
      </c>
      <c r="H8900" s="7">
        <v>6075</v>
      </c>
      <c r="I8900" s="6">
        <v>2732.4</v>
      </c>
      <c r="J8900" s="5">
        <v>20700</v>
      </c>
      <c r="K8900" s="6">
        <f t="shared" si="364"/>
        <v>2.2233201581027666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36</v>
      </c>
      <c r="F8901" t="s">
        <v>97</v>
      </c>
      <c r="G8901" t="str">
        <f t="shared" si="365"/>
        <v>020TYCOON</v>
      </c>
      <c r="H8901" s="7">
        <v>1440</v>
      </c>
      <c r="I8901" s="6">
        <v>673.2</v>
      </c>
      <c r="J8901" s="5">
        <v>5100</v>
      </c>
      <c r="K8901" s="6">
        <f t="shared" si="364"/>
        <v>2.1390374331550799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38</v>
      </c>
      <c r="F8902" t="s">
        <v>98</v>
      </c>
      <c r="G8902" t="str">
        <f t="shared" si="365"/>
        <v>021SHOW GIRL</v>
      </c>
      <c r="H8902" s="7">
        <v>1175</v>
      </c>
      <c r="I8902" s="6">
        <v>1100.4749999999999</v>
      </c>
      <c r="J8902" s="5">
        <v>8000</v>
      </c>
      <c r="K8902" s="6">
        <f t="shared" si="364"/>
        <v>1.0677207569458644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43</v>
      </c>
      <c r="F8903" t="s">
        <v>99</v>
      </c>
      <c r="G8903" t="str">
        <f t="shared" si="365"/>
        <v>022CORAL REEF</v>
      </c>
      <c r="H8903" s="7">
        <v>3100</v>
      </c>
      <c r="I8903" s="6">
        <v>1287</v>
      </c>
      <c r="J8903" s="5">
        <v>9400</v>
      </c>
      <c r="K8903" s="6">
        <f t="shared" si="364"/>
        <v>2.4087024087024087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100</v>
      </c>
      <c r="F8904" t="s">
        <v>70</v>
      </c>
      <c r="G8904" t="str">
        <f t="shared" si="365"/>
        <v>023COTOPAXI</v>
      </c>
      <c r="H8904" s="7">
        <v>5940</v>
      </c>
      <c r="I8904" s="6">
        <v>2641.14</v>
      </c>
      <c r="J8904" s="5">
        <v>19200</v>
      </c>
      <c r="K8904" s="6">
        <f t="shared" si="364"/>
        <v>2.2490288284604376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100</v>
      </c>
      <c r="F8905" t="s">
        <v>101</v>
      </c>
      <c r="G8905" t="str">
        <f t="shared" si="365"/>
        <v>023FRUTTETO</v>
      </c>
      <c r="H8905" s="7">
        <v>8340</v>
      </c>
      <c r="I8905" s="6">
        <v>2641.14</v>
      </c>
      <c r="J8905" s="5">
        <v>19200</v>
      </c>
      <c r="K8905" s="6">
        <f t="shared" si="364"/>
        <v>3.1577273450101093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102</v>
      </c>
      <c r="F8906" t="s">
        <v>70</v>
      </c>
      <c r="G8906" t="str">
        <f t="shared" si="365"/>
        <v>024COTOPAXI</v>
      </c>
      <c r="H8906" s="7">
        <v>3000</v>
      </c>
      <c r="I8906" s="6">
        <v>1430.6174906250001</v>
      </c>
      <c r="J8906" s="5">
        <v>10400</v>
      </c>
      <c r="K8906" s="6">
        <f t="shared" si="364"/>
        <v>2.096996590394947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102</v>
      </c>
      <c r="F8907" t="s">
        <v>64</v>
      </c>
      <c r="G8907" t="str">
        <f t="shared" si="365"/>
        <v>024SWEETNESS</v>
      </c>
      <c r="H8907" s="7">
        <v>1020</v>
      </c>
      <c r="I8907" s="6">
        <v>1430.6175000000001</v>
      </c>
      <c r="J8907" s="5">
        <v>10400</v>
      </c>
      <c r="K8907" s="6">
        <f t="shared" si="364"/>
        <v>0.71297883606205015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102</v>
      </c>
      <c r="F8908" t="s">
        <v>97</v>
      </c>
      <c r="G8908" t="str">
        <f t="shared" si="365"/>
        <v>024TYCOON</v>
      </c>
      <c r="H8908" s="7">
        <v>2220</v>
      </c>
      <c r="I8908" s="6">
        <v>2861.2350000000001</v>
      </c>
      <c r="J8908" s="5">
        <v>20800</v>
      </c>
      <c r="K8908" s="6">
        <f t="shared" si="364"/>
        <v>0.77588873336164277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103</v>
      </c>
      <c r="F8909" t="s">
        <v>104</v>
      </c>
      <c r="G8909" t="str">
        <f t="shared" si="365"/>
        <v>025PINK MONDIAL</v>
      </c>
      <c r="H8909" s="7">
        <v>5825</v>
      </c>
      <c r="I8909" s="6">
        <v>3071.9505625000002</v>
      </c>
      <c r="J8909" s="5">
        <v>22400</v>
      </c>
      <c r="K8909" s="6">
        <f t="shared" si="364"/>
        <v>1.8961893694212077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45</v>
      </c>
      <c r="F8910" t="s">
        <v>105</v>
      </c>
      <c r="G8910" t="str">
        <f t="shared" si="365"/>
        <v>026LOLA</v>
      </c>
      <c r="H8910" s="7">
        <v>6750</v>
      </c>
      <c r="I8910" s="6">
        <v>1097.125</v>
      </c>
      <c r="J8910" s="5">
        <v>8000</v>
      </c>
      <c r="K8910" s="6">
        <f t="shared" si="364"/>
        <v>6.1524438874330638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45</v>
      </c>
      <c r="F8911" t="s">
        <v>106</v>
      </c>
      <c r="G8911" t="str">
        <f t="shared" si="365"/>
        <v>026PALOMA</v>
      </c>
      <c r="H8911" s="7">
        <v>7350</v>
      </c>
      <c r="I8911" s="6">
        <v>2852.5250000000001</v>
      </c>
      <c r="J8911" s="5">
        <v>20800</v>
      </c>
      <c r="K8911" s="6">
        <f t="shared" si="364"/>
        <v>2.5766645340531635</v>
      </c>
    </row>
    <row r="8912" spans="1:11">
      <c r="A8912" s="4">
        <v>2026</v>
      </c>
      <c r="B8912">
        <v>30</v>
      </c>
      <c r="C8912" t="s">
        <v>54</v>
      </c>
      <c r="D8912" t="s">
        <v>11</v>
      </c>
      <c r="E8912" t="s">
        <v>107</v>
      </c>
      <c r="F8912" t="s">
        <v>108</v>
      </c>
      <c r="G8912" t="str">
        <f t="shared" si="365"/>
        <v>027SATISFACTION</v>
      </c>
      <c r="H8912" s="7">
        <v>4200</v>
      </c>
      <c r="I8912" s="6">
        <v>2633.1</v>
      </c>
      <c r="J8912" s="5">
        <v>19200</v>
      </c>
      <c r="K8912" s="6">
        <f t="shared" si="364"/>
        <v>1.5950780448900537</v>
      </c>
    </row>
    <row r="8913" spans="1:11">
      <c r="A8913" s="4">
        <v>2026</v>
      </c>
      <c r="B8913">
        <v>30</v>
      </c>
      <c r="C8913" t="s">
        <v>54</v>
      </c>
      <c r="D8913" t="s">
        <v>11</v>
      </c>
      <c r="E8913" t="s">
        <v>107</v>
      </c>
      <c r="F8913" t="s">
        <v>109</v>
      </c>
      <c r="G8913" t="str">
        <f t="shared" si="365"/>
        <v>027TIFFANY</v>
      </c>
      <c r="H8913" s="7">
        <v>3330</v>
      </c>
      <c r="I8913" s="6">
        <v>2633.1</v>
      </c>
      <c r="J8913" s="5">
        <v>19200</v>
      </c>
      <c r="K8913" s="6">
        <f t="shared" ref="K8913:K8917" si="366">+H8913/I8913</f>
        <v>1.2646690213056853</v>
      </c>
    </row>
    <row r="8914" spans="1:11">
      <c r="A8914" s="4">
        <v>2026</v>
      </c>
      <c r="B8914">
        <v>30</v>
      </c>
      <c r="C8914" t="s">
        <v>54</v>
      </c>
      <c r="D8914" t="s">
        <v>11</v>
      </c>
      <c r="E8914" t="s">
        <v>110</v>
      </c>
      <c r="F8914" t="s">
        <v>70</v>
      </c>
      <c r="G8914" t="str">
        <f t="shared" si="365"/>
        <v>028COTOPAXI</v>
      </c>
      <c r="H8914" s="7">
        <v>2460</v>
      </c>
      <c r="I8914" s="6">
        <v>2852.5250000000001</v>
      </c>
      <c r="J8914" s="5">
        <v>20800</v>
      </c>
      <c r="K8914" s="6">
        <f t="shared" si="366"/>
        <v>0.8623938440504465</v>
      </c>
    </row>
    <row r="8915" spans="1:11">
      <c r="A8915" s="4">
        <v>2026</v>
      </c>
      <c r="B8915">
        <v>30</v>
      </c>
      <c r="C8915" t="s">
        <v>54</v>
      </c>
      <c r="D8915" t="s">
        <v>11</v>
      </c>
      <c r="E8915" t="s">
        <v>110</v>
      </c>
      <c r="F8915" t="s">
        <v>67</v>
      </c>
      <c r="G8915" t="str">
        <f t="shared" si="365"/>
        <v>028DEEP PURPLE</v>
      </c>
      <c r="H8915" s="7">
        <v>9150</v>
      </c>
      <c r="I8915" s="6">
        <v>2852.5250000000001</v>
      </c>
      <c r="J8915" s="5">
        <v>20800</v>
      </c>
      <c r="K8915" s="6">
        <f t="shared" si="366"/>
        <v>3.207684419943734</v>
      </c>
    </row>
    <row r="8916" spans="1:11">
      <c r="A8916" s="4">
        <v>2026</v>
      </c>
      <c r="B8916">
        <v>30</v>
      </c>
      <c r="C8916" t="s">
        <v>54</v>
      </c>
      <c r="D8916" t="s">
        <v>11</v>
      </c>
      <c r="E8916" t="s">
        <v>111</v>
      </c>
      <c r="F8916" t="s">
        <v>112</v>
      </c>
      <c r="G8916" t="str">
        <f t="shared" si="365"/>
        <v>029PINK FLOYD</v>
      </c>
      <c r="H8916" s="7">
        <v>5875</v>
      </c>
      <c r="I8916" s="6">
        <v>3071.95</v>
      </c>
      <c r="J8916" s="5">
        <v>22400</v>
      </c>
      <c r="K8916" s="6">
        <f t="shared" si="366"/>
        <v>1.9124660232100132</v>
      </c>
    </row>
    <row r="8917" spans="1:11" ht="13.5" customHeight="1">
      <c r="A8917" s="4">
        <v>2026</v>
      </c>
      <c r="B8917">
        <v>30</v>
      </c>
      <c r="C8917" t="s">
        <v>54</v>
      </c>
      <c r="D8917" t="s">
        <v>11</v>
      </c>
      <c r="E8917" t="s">
        <v>47</v>
      </c>
      <c r="F8917" t="s">
        <v>57</v>
      </c>
      <c r="G8917" t="str">
        <f t="shared" si="365"/>
        <v>030EXPLORER</v>
      </c>
      <c r="H8917" s="7">
        <v>1775</v>
      </c>
      <c r="I8917" s="6">
        <v>1645.6875</v>
      </c>
      <c r="J8917" s="5">
        <v>12000</v>
      </c>
      <c r="K8917" s="6">
        <f t="shared" si="366"/>
        <v>1.078576582735179</v>
      </c>
    </row>
    <row r="8918" spans="1:11">
      <c r="A8918" s="4">
        <v>2026</v>
      </c>
      <c r="B8918">
        <v>31</v>
      </c>
      <c r="C8918" t="s">
        <v>10</v>
      </c>
      <c r="D8918" t="s">
        <v>11</v>
      </c>
      <c r="E8918" t="s">
        <v>12</v>
      </c>
      <c r="F8918" t="s">
        <v>13</v>
      </c>
      <c r="G8918" t="str">
        <f t="shared" ref="G8918:G8979" si="367">+E8918&amp;F8918</f>
        <v>002SOMERSET</v>
      </c>
      <c r="H8918" s="5">
        <v>10120</v>
      </c>
      <c r="I8918" s="6">
        <v>4121.4642855494085</v>
      </c>
      <c r="J8918" s="5">
        <v>31200</v>
      </c>
      <c r="K8918" s="6">
        <f t="shared" ref="K8918:K8952" si="368">+H8918/I8918</f>
        <v>2.4554379945696803</v>
      </c>
    </row>
    <row r="8919" spans="1:11">
      <c r="A8919" s="4">
        <v>2026</v>
      </c>
      <c r="B8919">
        <v>31</v>
      </c>
      <c r="C8919" t="s">
        <v>10</v>
      </c>
      <c r="D8919" t="s">
        <v>11</v>
      </c>
      <c r="E8919" t="s">
        <v>14</v>
      </c>
      <c r="F8919" t="s">
        <v>15</v>
      </c>
      <c r="G8919" t="str">
        <f t="shared" si="367"/>
        <v>004BELLINA</v>
      </c>
      <c r="H8919" s="5">
        <v>2055</v>
      </c>
      <c r="I8919" s="6">
        <v>1056.7857142434418</v>
      </c>
      <c r="J8919" s="5">
        <v>8000</v>
      </c>
      <c r="K8919" s="6">
        <f t="shared" si="368"/>
        <v>1.9445758703042129</v>
      </c>
    </row>
    <row r="8920" spans="1:11">
      <c r="A8920" s="4">
        <v>2026</v>
      </c>
      <c r="B8920">
        <v>31</v>
      </c>
      <c r="C8920" t="s">
        <v>10</v>
      </c>
      <c r="D8920" t="s">
        <v>11</v>
      </c>
      <c r="E8920" t="s">
        <v>16</v>
      </c>
      <c r="F8920" t="s">
        <v>17</v>
      </c>
      <c r="G8920" t="str">
        <f t="shared" si="367"/>
        <v>005ELBA</v>
      </c>
      <c r="H8920" s="5">
        <v>9090</v>
      </c>
      <c r="I8920" s="6">
        <v>2641.9642856076484</v>
      </c>
      <c r="J8920" s="5">
        <v>19996</v>
      </c>
      <c r="K8920" s="6">
        <f t="shared" si="368"/>
        <v>3.4406218318387718</v>
      </c>
    </row>
    <row r="8921" spans="1:11">
      <c r="A8921" s="4">
        <v>2026</v>
      </c>
      <c r="B8921">
        <v>31</v>
      </c>
      <c r="C8921" t="s">
        <v>10</v>
      </c>
      <c r="D8921" t="s">
        <v>11</v>
      </c>
      <c r="E8921" t="s">
        <v>16</v>
      </c>
      <c r="F8921" t="s">
        <v>18</v>
      </c>
      <c r="G8921" t="str">
        <f t="shared" si="367"/>
        <v>005HOT BUBBLES</v>
      </c>
      <c r="H8921" s="5">
        <v>1260</v>
      </c>
      <c r="I8921" s="6">
        <v>528.39285712153003</v>
      </c>
      <c r="J8921" s="5">
        <v>4000</v>
      </c>
      <c r="K8921" s="6">
        <f t="shared" si="368"/>
        <v>2.384589388403108</v>
      </c>
    </row>
    <row r="8922" spans="1:11">
      <c r="A8922" s="4">
        <v>2026</v>
      </c>
      <c r="B8922">
        <v>31</v>
      </c>
      <c r="C8922" t="s">
        <v>10</v>
      </c>
      <c r="D8922" t="s">
        <v>11</v>
      </c>
      <c r="E8922" t="s">
        <v>16</v>
      </c>
      <c r="F8922" t="s">
        <v>19</v>
      </c>
      <c r="G8922" t="str">
        <f t="shared" si="367"/>
        <v>005SUSPIRO</v>
      </c>
      <c r="H8922" s="5">
        <v>3000</v>
      </c>
      <c r="I8922" s="6">
        <v>1902.2142856375078</v>
      </c>
      <c r="J8922" s="5">
        <v>14400</v>
      </c>
      <c r="K8922" s="6">
        <f t="shared" si="368"/>
        <v>1.5771093838644894</v>
      </c>
    </row>
    <row r="8923" spans="1:11">
      <c r="A8923" s="4">
        <v>2026</v>
      </c>
      <c r="B8923">
        <v>31</v>
      </c>
      <c r="C8923" t="s">
        <v>10</v>
      </c>
      <c r="D8923" t="s">
        <v>11</v>
      </c>
      <c r="E8923" t="s">
        <v>20</v>
      </c>
      <c r="F8923" t="s">
        <v>21</v>
      </c>
      <c r="G8923" t="str">
        <f t="shared" si="367"/>
        <v>007SNOW BUBBLES</v>
      </c>
      <c r="H8923" s="5">
        <v>1300</v>
      </c>
      <c r="I8923" s="6">
        <v>634.05652706821195</v>
      </c>
      <c r="J8923" s="5">
        <v>4800</v>
      </c>
      <c r="K8923" s="6">
        <f t="shared" si="368"/>
        <v>2.0502903834316113</v>
      </c>
    </row>
    <row r="8924" spans="1:11">
      <c r="A8924" s="4">
        <v>2026</v>
      </c>
      <c r="B8924">
        <v>31</v>
      </c>
      <c r="C8924" t="s">
        <v>10</v>
      </c>
      <c r="D8924" t="s">
        <v>11</v>
      </c>
      <c r="E8924" t="s">
        <v>22</v>
      </c>
      <c r="F8924" t="s">
        <v>18</v>
      </c>
      <c r="G8924" t="str">
        <f t="shared" si="367"/>
        <v>009HOT BUBBLES</v>
      </c>
      <c r="H8924" s="5">
        <v>9360</v>
      </c>
      <c r="I8924" s="6">
        <v>4487.9999999102474</v>
      </c>
      <c r="J8924" s="5">
        <v>31740</v>
      </c>
      <c r="K8924" s="6">
        <f t="shared" si="368"/>
        <v>2.0855614973679111</v>
      </c>
    </row>
    <row r="8925" spans="1:11">
      <c r="A8925" s="4">
        <v>2026</v>
      </c>
      <c r="B8925">
        <v>31</v>
      </c>
      <c r="C8925" t="s">
        <v>10</v>
      </c>
      <c r="D8925" t="s">
        <v>11</v>
      </c>
      <c r="E8925" t="s">
        <v>23</v>
      </c>
      <c r="F8925" t="s">
        <v>24</v>
      </c>
      <c r="G8925" t="str">
        <f t="shared" si="367"/>
        <v>014FRUITY BUBBLES</v>
      </c>
      <c r="H8925" s="5">
        <v>4550</v>
      </c>
      <c r="I8925" s="6">
        <v>1702.8</v>
      </c>
      <c r="J8925" s="5">
        <v>12900</v>
      </c>
      <c r="K8925" s="6">
        <f t="shared" si="368"/>
        <v>2.6720695325346489</v>
      </c>
    </row>
    <row r="8926" spans="1:11">
      <c r="A8926" s="4">
        <v>2026</v>
      </c>
      <c r="B8926">
        <v>31</v>
      </c>
      <c r="C8926" t="s">
        <v>10</v>
      </c>
      <c r="D8926" t="s">
        <v>11</v>
      </c>
      <c r="E8926" t="s">
        <v>25</v>
      </c>
      <c r="F8926" t="s">
        <v>26</v>
      </c>
      <c r="G8926" t="str">
        <f t="shared" si="367"/>
        <v>015FELLINI</v>
      </c>
      <c r="H8926" s="5">
        <v>7700</v>
      </c>
      <c r="I8926" s="6">
        <v>3009.6</v>
      </c>
      <c r="J8926" s="5">
        <v>22800</v>
      </c>
      <c r="K8926" s="6">
        <f t="shared" si="368"/>
        <v>2.5584795321637426</v>
      </c>
    </row>
    <row r="8927" spans="1:11">
      <c r="A8927" s="4">
        <v>2026</v>
      </c>
      <c r="B8927">
        <v>31</v>
      </c>
      <c r="C8927" t="s">
        <v>10</v>
      </c>
      <c r="D8927" t="s">
        <v>11</v>
      </c>
      <c r="E8927" t="s">
        <v>27</v>
      </c>
      <c r="F8927" t="s">
        <v>28</v>
      </c>
      <c r="G8927" t="str">
        <f t="shared" si="367"/>
        <v>016GOOD PEACH</v>
      </c>
      <c r="H8927" s="5">
        <v>2760</v>
      </c>
      <c r="I8927" s="6">
        <v>1386</v>
      </c>
      <c r="J8927" s="5">
        <v>10500</v>
      </c>
      <c r="K8927" s="6">
        <f t="shared" si="368"/>
        <v>1.9913419913419914</v>
      </c>
    </row>
    <row r="8928" spans="1:11">
      <c r="A8928" s="4">
        <v>2026</v>
      </c>
      <c r="B8928">
        <v>31</v>
      </c>
      <c r="C8928" t="s">
        <v>10</v>
      </c>
      <c r="D8928" t="s">
        <v>11</v>
      </c>
      <c r="E8928" t="s">
        <v>27</v>
      </c>
      <c r="F8928" t="s">
        <v>29</v>
      </c>
      <c r="G8928" t="str">
        <f t="shared" si="367"/>
        <v>016GOOD YELLOW</v>
      </c>
      <c r="H8928" s="5">
        <v>2760</v>
      </c>
      <c r="I8928" s="6">
        <v>1386</v>
      </c>
      <c r="J8928" s="5">
        <v>10500</v>
      </c>
      <c r="K8928" s="6">
        <f t="shared" si="368"/>
        <v>1.9913419913419914</v>
      </c>
    </row>
    <row r="8929" spans="1:11">
      <c r="A8929" s="4">
        <v>2026</v>
      </c>
      <c r="B8929">
        <v>31</v>
      </c>
      <c r="C8929" t="s">
        <v>10</v>
      </c>
      <c r="D8929" t="s">
        <v>11</v>
      </c>
      <c r="E8929" t="s">
        <v>30</v>
      </c>
      <c r="F8929" t="s">
        <v>31</v>
      </c>
      <c r="G8929" t="str">
        <f t="shared" si="367"/>
        <v>017ORANGE STAR</v>
      </c>
      <c r="H8929" s="5">
        <v>2575</v>
      </c>
      <c r="I8929" s="6">
        <v>1029.5999999999999</v>
      </c>
      <c r="J8929" s="5">
        <v>7800</v>
      </c>
      <c r="K8929" s="6">
        <f t="shared" si="368"/>
        <v>2.5009712509712512</v>
      </c>
    </row>
    <row r="8930" spans="1:11">
      <c r="A8930" s="4">
        <v>2026</v>
      </c>
      <c r="B8930">
        <v>31</v>
      </c>
      <c r="C8930" t="s">
        <v>10</v>
      </c>
      <c r="D8930" t="s">
        <v>11</v>
      </c>
      <c r="E8930" t="s">
        <v>32</v>
      </c>
      <c r="F8930" t="s">
        <v>33</v>
      </c>
      <c r="G8930" t="str">
        <f t="shared" si="367"/>
        <v>018COSMO</v>
      </c>
      <c r="H8930" s="5">
        <v>6275</v>
      </c>
      <c r="I8930" s="6">
        <v>2653.2</v>
      </c>
      <c r="J8930" s="5">
        <v>20100</v>
      </c>
      <c r="K8930" s="6">
        <f t="shared" si="368"/>
        <v>2.3650685964118803</v>
      </c>
    </row>
    <row r="8931" spans="1:11">
      <c r="A8931" s="4">
        <v>2026</v>
      </c>
      <c r="B8931">
        <v>31</v>
      </c>
      <c r="C8931" t="s">
        <v>10</v>
      </c>
      <c r="D8931" t="s">
        <v>11</v>
      </c>
      <c r="E8931" t="s">
        <v>32</v>
      </c>
      <c r="F8931" t="s">
        <v>34</v>
      </c>
      <c r="G8931" t="str">
        <f t="shared" si="367"/>
        <v>018RUBICON</v>
      </c>
      <c r="H8931" s="5">
        <v>5820</v>
      </c>
      <c r="I8931" s="6">
        <v>1768.8</v>
      </c>
      <c r="J8931" s="5">
        <v>13400</v>
      </c>
      <c r="K8931" s="6">
        <f t="shared" si="368"/>
        <v>3.2903663500678428</v>
      </c>
    </row>
    <row r="8932" spans="1:11">
      <c r="A8932" s="4">
        <v>2026</v>
      </c>
      <c r="B8932">
        <v>31</v>
      </c>
      <c r="C8932" t="s">
        <v>10</v>
      </c>
      <c r="D8932" t="s">
        <v>11</v>
      </c>
      <c r="E8932" t="s">
        <v>35</v>
      </c>
      <c r="F8932" t="s">
        <v>15</v>
      </c>
      <c r="G8932" t="str">
        <f t="shared" si="367"/>
        <v>019BELLINA</v>
      </c>
      <c r="H8932" s="5">
        <v>2520</v>
      </c>
      <c r="I8932" s="6">
        <v>1029.5999999999999</v>
      </c>
      <c r="J8932" s="5">
        <v>7800</v>
      </c>
      <c r="K8932" s="6">
        <f t="shared" si="368"/>
        <v>2.4475524475524479</v>
      </c>
    </row>
    <row r="8933" spans="1:11">
      <c r="A8933" s="4">
        <v>2026</v>
      </c>
      <c r="B8933">
        <v>31</v>
      </c>
      <c r="C8933" t="s">
        <v>10</v>
      </c>
      <c r="D8933" t="s">
        <v>11</v>
      </c>
      <c r="E8933" t="s">
        <v>36</v>
      </c>
      <c r="F8933" t="s">
        <v>37</v>
      </c>
      <c r="G8933" t="str">
        <f t="shared" si="367"/>
        <v>020SUMMER DANCE</v>
      </c>
      <c r="H8933" s="5">
        <v>4450</v>
      </c>
      <c r="I8933" s="6">
        <v>1346.4</v>
      </c>
      <c r="J8933" s="5">
        <v>10200</v>
      </c>
      <c r="K8933" s="6">
        <f t="shared" si="368"/>
        <v>3.3051099227569813</v>
      </c>
    </row>
    <row r="8934" spans="1:11">
      <c r="A8934" s="4">
        <v>2026</v>
      </c>
      <c r="B8934">
        <v>31</v>
      </c>
      <c r="C8934" t="s">
        <v>10</v>
      </c>
      <c r="D8934" t="s">
        <v>11</v>
      </c>
      <c r="E8934" t="s">
        <v>38</v>
      </c>
      <c r="F8934" t="s">
        <v>39</v>
      </c>
      <c r="G8934" t="str">
        <f t="shared" si="367"/>
        <v>021ELEGANT ROSEVER</v>
      </c>
      <c r="H8934" s="5">
        <v>540</v>
      </c>
      <c r="I8934" s="6">
        <v>440.18999062500001</v>
      </c>
      <c r="J8934" s="5">
        <v>3200</v>
      </c>
      <c r="K8934" s="6">
        <f t="shared" si="368"/>
        <v>1.2267430234687653</v>
      </c>
    </row>
    <row r="8935" spans="1:11">
      <c r="A8935" s="4">
        <v>2026</v>
      </c>
      <c r="B8935">
        <v>31</v>
      </c>
      <c r="C8935" t="s">
        <v>10</v>
      </c>
      <c r="D8935" t="s">
        <v>11</v>
      </c>
      <c r="E8935" t="s">
        <v>38</v>
      </c>
      <c r="F8935" t="s">
        <v>40</v>
      </c>
      <c r="G8935" t="str">
        <f t="shared" si="367"/>
        <v>021FLAME CLUB</v>
      </c>
      <c r="H8935" s="5">
        <v>1850</v>
      </c>
      <c r="I8935" s="6">
        <v>880.38</v>
      </c>
      <c r="J8935" s="5">
        <v>6400</v>
      </c>
      <c r="K8935" s="6">
        <f t="shared" si="368"/>
        <v>2.1013653195211157</v>
      </c>
    </row>
    <row r="8936" spans="1:11">
      <c r="A8936" s="4">
        <v>2026</v>
      </c>
      <c r="B8936">
        <v>31</v>
      </c>
      <c r="C8936" t="s">
        <v>10</v>
      </c>
      <c r="D8936" t="s">
        <v>11</v>
      </c>
      <c r="E8936" t="s">
        <v>38</v>
      </c>
      <c r="F8936" t="s">
        <v>41</v>
      </c>
      <c r="G8936" t="str">
        <f t="shared" si="367"/>
        <v>021KELLY</v>
      </c>
      <c r="H8936" s="5">
        <v>675</v>
      </c>
      <c r="I8936" s="6">
        <v>330.14249999999998</v>
      </c>
      <c r="J8936" s="5">
        <v>2400</v>
      </c>
      <c r="K8936" s="6">
        <f t="shared" si="368"/>
        <v>2.0445716622367613</v>
      </c>
    </row>
    <row r="8937" spans="1:11">
      <c r="A8937" s="4">
        <v>2026</v>
      </c>
      <c r="B8937">
        <v>31</v>
      </c>
      <c r="C8937" t="s">
        <v>10</v>
      </c>
      <c r="D8937" t="s">
        <v>11</v>
      </c>
      <c r="E8937" t="s">
        <v>38</v>
      </c>
      <c r="F8937" t="s">
        <v>42</v>
      </c>
      <c r="G8937" t="str">
        <f t="shared" si="367"/>
        <v>021LEILA</v>
      </c>
      <c r="H8937" s="5">
        <v>2525</v>
      </c>
      <c r="I8937" s="6">
        <v>1650.7125000000001</v>
      </c>
      <c r="J8937" s="5">
        <v>12000</v>
      </c>
      <c r="K8937" s="6">
        <f t="shared" si="368"/>
        <v>1.529642502858614</v>
      </c>
    </row>
    <row r="8938" spans="1:11">
      <c r="A8938" s="4">
        <v>2026</v>
      </c>
      <c r="B8938">
        <v>31</v>
      </c>
      <c r="C8938" t="s">
        <v>10</v>
      </c>
      <c r="D8938" t="s">
        <v>11</v>
      </c>
      <c r="E8938" t="s">
        <v>38</v>
      </c>
      <c r="F8938" t="s">
        <v>21</v>
      </c>
      <c r="G8938" t="str">
        <f t="shared" si="367"/>
        <v>021SNOW BUBBLES</v>
      </c>
      <c r="H8938" s="5">
        <v>3080</v>
      </c>
      <c r="I8938" s="6">
        <v>1287.0000000000018</v>
      </c>
      <c r="J8938" s="5">
        <v>9400</v>
      </c>
      <c r="K8938" s="6">
        <f t="shared" si="368"/>
        <v>2.39316239316239</v>
      </c>
    </row>
    <row r="8939" spans="1:11">
      <c r="A8939" s="4">
        <v>2026</v>
      </c>
      <c r="B8939">
        <v>31</v>
      </c>
      <c r="C8939" t="s">
        <v>10</v>
      </c>
      <c r="D8939" t="s">
        <v>11</v>
      </c>
      <c r="E8939" t="s">
        <v>43</v>
      </c>
      <c r="F8939" t="s">
        <v>24</v>
      </c>
      <c r="G8939" t="str">
        <f t="shared" si="367"/>
        <v>022FRUITY BUBBLES</v>
      </c>
      <c r="H8939" s="5">
        <v>3975</v>
      </c>
      <c r="I8939" s="6">
        <v>2641.14</v>
      </c>
      <c r="J8939" s="5">
        <v>19200</v>
      </c>
      <c r="K8939" s="6">
        <f t="shared" si="368"/>
        <v>1.5050319180353939</v>
      </c>
    </row>
    <row r="8940" spans="1:11">
      <c r="A8940" s="4">
        <v>2026</v>
      </c>
      <c r="B8940">
        <v>31</v>
      </c>
      <c r="C8940" t="s">
        <v>10</v>
      </c>
      <c r="D8940" t="s">
        <v>11</v>
      </c>
      <c r="E8940" t="s">
        <v>43</v>
      </c>
      <c r="F8940" t="s">
        <v>28</v>
      </c>
      <c r="G8940" t="str">
        <f t="shared" si="367"/>
        <v>022GOOD PEACH</v>
      </c>
      <c r="H8940" s="5">
        <v>1890</v>
      </c>
      <c r="I8940" s="6">
        <v>880.38</v>
      </c>
      <c r="J8940" s="5">
        <v>6400</v>
      </c>
      <c r="K8940" s="6">
        <f t="shared" si="368"/>
        <v>2.1468002453485995</v>
      </c>
    </row>
    <row r="8941" spans="1:11">
      <c r="A8941" s="4">
        <v>2026</v>
      </c>
      <c r="B8941">
        <v>31</v>
      </c>
      <c r="C8941" t="s">
        <v>10</v>
      </c>
      <c r="D8941" t="s">
        <v>11</v>
      </c>
      <c r="E8941" t="s">
        <v>43</v>
      </c>
      <c r="F8941" t="s">
        <v>44</v>
      </c>
      <c r="G8941" t="str">
        <f t="shared" si="367"/>
        <v>022MIRABEL</v>
      </c>
      <c r="H8941" s="5">
        <v>1300</v>
      </c>
      <c r="I8941" s="6">
        <v>880.38</v>
      </c>
      <c r="J8941" s="5">
        <v>6400</v>
      </c>
      <c r="K8941" s="6">
        <f t="shared" si="368"/>
        <v>1.4766350893932165</v>
      </c>
    </row>
    <row r="8942" spans="1:11">
      <c r="A8942" s="4">
        <v>2026</v>
      </c>
      <c r="B8942">
        <v>31</v>
      </c>
      <c r="C8942" t="s">
        <v>10</v>
      </c>
      <c r="D8942" t="s">
        <v>11</v>
      </c>
      <c r="E8942" t="s">
        <v>45</v>
      </c>
      <c r="F8942" t="s">
        <v>46</v>
      </c>
      <c r="G8942" t="str">
        <f t="shared" si="367"/>
        <v>026PURPLE BUBBLY</v>
      </c>
      <c r="H8942" s="5">
        <v>1110</v>
      </c>
      <c r="I8942" s="6">
        <v>1755.4</v>
      </c>
      <c r="J8942" s="5">
        <v>12800</v>
      </c>
      <c r="K8942" s="6">
        <f t="shared" si="368"/>
        <v>0.63233451065284263</v>
      </c>
    </row>
    <row r="8943" spans="1:11">
      <c r="A8943" s="4">
        <v>2026</v>
      </c>
      <c r="B8943">
        <v>31</v>
      </c>
      <c r="C8943" t="s">
        <v>10</v>
      </c>
      <c r="D8943" t="s">
        <v>11</v>
      </c>
      <c r="E8943" t="s">
        <v>47</v>
      </c>
      <c r="F8943" t="s">
        <v>44</v>
      </c>
      <c r="G8943" t="str">
        <f t="shared" si="367"/>
        <v>030MIRABEL</v>
      </c>
      <c r="H8943" s="5">
        <v>4040</v>
      </c>
      <c r="I8943" s="6">
        <v>2413.6749943750001</v>
      </c>
      <c r="J8943" s="5">
        <v>17600</v>
      </c>
      <c r="K8943" s="6">
        <f t="shared" si="368"/>
        <v>1.6737961860710755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47</v>
      </c>
      <c r="F8944" t="s">
        <v>13</v>
      </c>
      <c r="G8944" t="str">
        <f t="shared" si="367"/>
        <v>030SOMERSET</v>
      </c>
      <c r="H8944" s="5">
        <v>4920</v>
      </c>
      <c r="I8944" s="6">
        <v>1645.6875</v>
      </c>
      <c r="J8944" s="5">
        <v>12000</v>
      </c>
      <c r="K8944" s="6">
        <f t="shared" si="368"/>
        <v>2.9896319927082144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48</v>
      </c>
      <c r="F8945" t="s">
        <v>49</v>
      </c>
      <c r="G8945" t="str">
        <f t="shared" si="367"/>
        <v>03182989</v>
      </c>
      <c r="H8945" s="5">
        <v>820</v>
      </c>
      <c r="I8945" s="6">
        <v>726.32013058333712</v>
      </c>
      <c r="J8945" s="5">
        <v>5712</v>
      </c>
      <c r="K8945" s="6">
        <f t="shared" si="368"/>
        <v>1.1289787594644043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48</v>
      </c>
      <c r="F8946" t="s">
        <v>34</v>
      </c>
      <c r="G8946" t="str">
        <f t="shared" si="367"/>
        <v>031RUBICON</v>
      </c>
      <c r="H8946" s="5">
        <v>2100</v>
      </c>
      <c r="I8946" s="6">
        <v>924.39958333667107</v>
      </c>
      <c r="J8946" s="5">
        <v>6720</v>
      </c>
      <c r="K8946" s="6">
        <f t="shared" si="368"/>
        <v>2.2717448578026556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48</v>
      </c>
      <c r="F8947" t="s">
        <v>13</v>
      </c>
      <c r="G8947" t="str">
        <f t="shared" si="367"/>
        <v>031SOMERSET</v>
      </c>
      <c r="H8947" s="5">
        <v>2160</v>
      </c>
      <c r="I8947" s="6">
        <v>1122.485208333339</v>
      </c>
      <c r="J8947" s="5">
        <v>8160</v>
      </c>
      <c r="K8947" s="6">
        <f t="shared" si="368"/>
        <v>1.9243015266162469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48</v>
      </c>
      <c r="F8948" t="s">
        <v>50</v>
      </c>
      <c r="G8948" t="str">
        <f t="shared" si="367"/>
        <v>031VELVET BLOSSOMS</v>
      </c>
      <c r="H8948" s="5">
        <v>300</v>
      </c>
      <c r="I8948" s="6">
        <v>396.17125000000198</v>
      </c>
      <c r="J8948" s="5">
        <v>2880</v>
      </c>
      <c r="K8948" s="6">
        <f t="shared" si="368"/>
        <v>0.75724828593694904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51</v>
      </c>
      <c r="F8949" t="s">
        <v>17</v>
      </c>
      <c r="G8949" t="str">
        <f t="shared" si="367"/>
        <v>032ELBA</v>
      </c>
      <c r="H8949" s="5">
        <v>3150</v>
      </c>
      <c r="I8949" s="6">
        <v>1535.9749999999999</v>
      </c>
      <c r="J8949" s="5">
        <v>11200</v>
      </c>
      <c r="K8949" s="6">
        <f t="shared" si="368"/>
        <v>2.0508146291443548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51</v>
      </c>
      <c r="F8950" t="s">
        <v>44</v>
      </c>
      <c r="G8950" t="str">
        <f t="shared" si="367"/>
        <v>032MIRABEL</v>
      </c>
      <c r="H8950" s="5">
        <v>1740</v>
      </c>
      <c r="I8950" s="6">
        <v>1535.9749999999999</v>
      </c>
      <c r="J8950" s="5">
        <v>11200</v>
      </c>
      <c r="K8950" s="6">
        <f t="shared" si="368"/>
        <v>1.1328309380035484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52</v>
      </c>
      <c r="F8951" t="s">
        <v>53</v>
      </c>
      <c r="G8951" t="str">
        <f t="shared" si="367"/>
        <v>033CREAMY FOLIES</v>
      </c>
      <c r="H8951" s="5">
        <v>1110</v>
      </c>
      <c r="I8951" s="6">
        <v>594.25687500000299</v>
      </c>
      <c r="J8951" s="5">
        <v>4320</v>
      </c>
      <c r="K8951" s="6">
        <f t="shared" si="368"/>
        <v>1.8678791053111408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52</v>
      </c>
      <c r="F8952" t="s">
        <v>18</v>
      </c>
      <c r="G8952" t="str">
        <f t="shared" si="367"/>
        <v>033HOT BUBBLES</v>
      </c>
      <c r="H8952" s="5">
        <v>2280</v>
      </c>
      <c r="I8952" s="6">
        <v>2575.1131250013459</v>
      </c>
      <c r="J8952" s="5">
        <v>18720</v>
      </c>
      <c r="K8952" s="6">
        <f t="shared" si="368"/>
        <v>0.88539799586428203</v>
      </c>
    </row>
    <row r="8953" spans="1:11">
      <c r="A8953" s="4">
        <v>2026</v>
      </c>
      <c r="B8953">
        <v>31</v>
      </c>
      <c r="C8953" t="s">
        <v>54</v>
      </c>
      <c r="D8953" t="s">
        <v>11</v>
      </c>
      <c r="E8953" t="s">
        <v>55</v>
      </c>
      <c r="F8953" t="s">
        <v>56</v>
      </c>
      <c r="G8953" t="str">
        <f t="shared" si="367"/>
        <v>001BELIEVE IN PINK</v>
      </c>
      <c r="H8953" s="5">
        <v>1890</v>
      </c>
      <c r="I8953" s="6">
        <v>528.37931032368999</v>
      </c>
      <c r="J8953" s="5">
        <v>4000</v>
      </c>
      <c r="K8953" s="6">
        <f t="shared" ref="K8953:K8958" si="369">IFERROR(H8953/I8953,"")</f>
        <v>3.5769757881741597</v>
      </c>
    </row>
    <row r="8954" spans="1:11">
      <c r="A8954" s="4">
        <v>2026</v>
      </c>
      <c r="B8954">
        <v>31</v>
      </c>
      <c r="C8954" t="s">
        <v>54</v>
      </c>
      <c r="D8954" t="s">
        <v>11</v>
      </c>
      <c r="E8954" t="s">
        <v>55</v>
      </c>
      <c r="F8954" t="s">
        <v>57</v>
      </c>
      <c r="G8954" t="str">
        <f t="shared" si="367"/>
        <v>001EXPLORER</v>
      </c>
      <c r="H8954" s="5">
        <v>3825</v>
      </c>
      <c r="I8954" s="6">
        <v>2272.0310343918732</v>
      </c>
      <c r="J8954" s="5">
        <v>17200</v>
      </c>
      <c r="K8954" s="6">
        <f t="shared" si="369"/>
        <v>1.6835157364053308</v>
      </c>
    </row>
    <row r="8955" spans="1:11">
      <c r="A8955" s="4">
        <v>2026</v>
      </c>
      <c r="B8955">
        <v>31</v>
      </c>
      <c r="C8955" t="s">
        <v>54</v>
      </c>
      <c r="D8955" t="s">
        <v>11</v>
      </c>
      <c r="E8955" t="s">
        <v>55</v>
      </c>
      <c r="F8955" t="s">
        <v>58</v>
      </c>
      <c r="G8955" t="str">
        <f t="shared" si="367"/>
        <v>001GRACE KELLY</v>
      </c>
      <c r="H8955" s="5">
        <v>2100</v>
      </c>
      <c r="I8955" s="6">
        <v>1162.4344827121224</v>
      </c>
      <c r="J8955" s="5">
        <v>8800</v>
      </c>
      <c r="K8955" s="6">
        <f t="shared" si="369"/>
        <v>1.8065534283707809</v>
      </c>
    </row>
    <row r="8956" spans="1:11">
      <c r="A8956" s="4">
        <v>2026</v>
      </c>
      <c r="B8956">
        <v>31</v>
      </c>
      <c r="C8956" t="s">
        <v>54</v>
      </c>
      <c r="D8956" t="s">
        <v>11</v>
      </c>
      <c r="E8956" t="s">
        <v>55</v>
      </c>
      <c r="F8956" t="s">
        <v>60</v>
      </c>
      <c r="G8956" t="str">
        <f t="shared" si="367"/>
        <v>001LIGHT HOUSE</v>
      </c>
      <c r="H8956" s="5">
        <v>2100</v>
      </c>
      <c r="I8956" s="6">
        <v>1056.7586206473827</v>
      </c>
      <c r="J8956" s="5">
        <v>8000</v>
      </c>
      <c r="K8956" s="6">
        <f t="shared" si="369"/>
        <v>1.9872087712078614</v>
      </c>
    </row>
    <row r="8957" spans="1:11">
      <c r="A8957" s="4">
        <v>2026</v>
      </c>
      <c r="B8957">
        <v>31</v>
      </c>
      <c r="C8957" t="s">
        <v>54</v>
      </c>
      <c r="D8957" t="s">
        <v>11</v>
      </c>
      <c r="E8957" t="s">
        <v>55</v>
      </c>
      <c r="F8957" t="s">
        <v>61</v>
      </c>
      <c r="G8957" t="str">
        <f t="shared" si="367"/>
        <v>001LUMIA</v>
      </c>
      <c r="H8957" s="5">
        <v>2760</v>
      </c>
      <c r="I8957" s="6">
        <v>1109.596551679753</v>
      </c>
      <c r="J8957" s="5">
        <v>8400</v>
      </c>
      <c r="K8957" s="6">
        <f t="shared" si="369"/>
        <v>2.4873905707635791</v>
      </c>
    </row>
    <row r="8958" spans="1:11">
      <c r="A8958" s="4">
        <v>2026</v>
      </c>
      <c r="B8958">
        <v>31</v>
      </c>
      <c r="C8958" t="s">
        <v>54</v>
      </c>
      <c r="D8958" t="s">
        <v>11</v>
      </c>
      <c r="E8958" t="s">
        <v>55</v>
      </c>
      <c r="F8958" t="s">
        <v>62</v>
      </c>
      <c r="G8958" t="str">
        <f t="shared" si="367"/>
        <v>001MOMENTUM</v>
      </c>
      <c r="H8958" s="5">
        <v>4450</v>
      </c>
      <c r="I8958" s="6">
        <v>1902.1655171652881</v>
      </c>
      <c r="J8958" s="5">
        <v>14400</v>
      </c>
      <c r="K8958" s="6">
        <f t="shared" si="369"/>
        <v>2.3394388973214251</v>
      </c>
    </row>
    <row r="8959" spans="1:11">
      <c r="A8959" s="4">
        <v>2026</v>
      </c>
      <c r="B8959">
        <v>31</v>
      </c>
      <c r="C8959" t="s">
        <v>54</v>
      </c>
      <c r="D8959" t="s">
        <v>11</v>
      </c>
      <c r="E8959" t="s">
        <v>12</v>
      </c>
      <c r="F8959" t="s">
        <v>63</v>
      </c>
      <c r="G8959" t="str">
        <f t="shared" si="367"/>
        <v>002SUMMER ROMANCE</v>
      </c>
      <c r="H8959" s="5">
        <v>875</v>
      </c>
      <c r="I8959" s="6">
        <v>951.10714281909407</v>
      </c>
      <c r="J8959" s="5">
        <v>7200</v>
      </c>
      <c r="K8959" s="6">
        <f t="shared" ref="K8959:K9019" si="370">+H8959/I8959</f>
        <v>0.91998047392062321</v>
      </c>
    </row>
    <row r="8960" spans="1:11">
      <c r="A8960" s="4">
        <v>2026</v>
      </c>
      <c r="B8960">
        <v>31</v>
      </c>
      <c r="C8960" t="s">
        <v>54</v>
      </c>
      <c r="D8960" t="s">
        <v>11</v>
      </c>
      <c r="E8960" t="s">
        <v>12</v>
      </c>
      <c r="F8960" t="s">
        <v>64</v>
      </c>
      <c r="G8960" t="str">
        <f t="shared" si="367"/>
        <v>002SWEETNESS</v>
      </c>
      <c r="H8960" s="5">
        <v>8640</v>
      </c>
      <c r="I8960" s="6">
        <v>3804.4285712763772</v>
      </c>
      <c r="J8960" s="5">
        <v>28800</v>
      </c>
      <c r="K8960" s="6">
        <f t="shared" si="370"/>
        <v>2.2710375127640523</v>
      </c>
    </row>
    <row r="8961" spans="1:11">
      <c r="A8961" s="4">
        <v>2026</v>
      </c>
      <c r="B8961">
        <v>31</v>
      </c>
      <c r="C8961" t="s">
        <v>54</v>
      </c>
      <c r="D8961" t="s">
        <v>11</v>
      </c>
      <c r="E8961" t="s">
        <v>65</v>
      </c>
      <c r="F8961" t="s">
        <v>66</v>
      </c>
      <c r="G8961" t="str">
        <f t="shared" si="367"/>
        <v>003CABARET</v>
      </c>
      <c r="H8961" s="5">
        <v>8820</v>
      </c>
      <c r="I8961" s="6">
        <v>2641.8965516184649</v>
      </c>
      <c r="J8961" s="5">
        <v>20000</v>
      </c>
      <c r="K8961" s="6">
        <f t="shared" si="370"/>
        <v>3.338510735629197</v>
      </c>
    </row>
    <row r="8962" spans="1:11">
      <c r="A8962" s="4">
        <v>2026</v>
      </c>
      <c r="B8962">
        <v>31</v>
      </c>
      <c r="C8962" t="s">
        <v>54</v>
      </c>
      <c r="D8962" t="s">
        <v>11</v>
      </c>
      <c r="E8962" t="s">
        <v>65</v>
      </c>
      <c r="F8962" t="s">
        <v>67</v>
      </c>
      <c r="G8962" t="str">
        <f t="shared" si="367"/>
        <v>003DEEP PURPLE</v>
      </c>
      <c r="H8962" s="5">
        <v>14970</v>
      </c>
      <c r="I8962" s="6">
        <v>3592.9793102010913</v>
      </c>
      <c r="J8962" s="5">
        <v>26044</v>
      </c>
      <c r="K8962" s="6">
        <f t="shared" si="370"/>
        <v>4.1664587261879227</v>
      </c>
    </row>
    <row r="8963" spans="1:11">
      <c r="A8963" s="4">
        <v>2026</v>
      </c>
      <c r="B8963">
        <v>31</v>
      </c>
      <c r="C8963" t="s">
        <v>54</v>
      </c>
      <c r="D8963" t="s">
        <v>11</v>
      </c>
      <c r="E8963" t="s">
        <v>65</v>
      </c>
      <c r="F8963" t="s">
        <v>57</v>
      </c>
      <c r="G8963" t="str">
        <f t="shared" si="367"/>
        <v>003EXPLORER</v>
      </c>
      <c r="H8963" s="5">
        <v>2525</v>
      </c>
      <c r="I8963" s="6">
        <v>1268.1103447768633</v>
      </c>
      <c r="J8963" s="5">
        <v>9600</v>
      </c>
      <c r="K8963" s="6">
        <f t="shared" si="370"/>
        <v>1.9911516457539025</v>
      </c>
    </row>
    <row r="8964" spans="1:11">
      <c r="A8964" s="4">
        <v>2026</v>
      </c>
      <c r="B8964">
        <v>31</v>
      </c>
      <c r="C8964" t="s">
        <v>54</v>
      </c>
      <c r="D8964" t="s">
        <v>11</v>
      </c>
      <c r="E8964" t="s">
        <v>65</v>
      </c>
      <c r="F8964" t="s">
        <v>68</v>
      </c>
      <c r="G8964" t="str">
        <f t="shared" si="367"/>
        <v>003JOCKER</v>
      </c>
      <c r="H8964" s="5">
        <v>1475</v>
      </c>
      <c r="I8964" s="6">
        <v>528.37931032368999</v>
      </c>
      <c r="J8964" s="5">
        <v>4000</v>
      </c>
      <c r="K8964" s="6">
        <f t="shared" si="370"/>
        <v>2.7915551786015267</v>
      </c>
    </row>
    <row r="8965" spans="1:11">
      <c r="A8965" s="4">
        <v>2026</v>
      </c>
      <c r="B8965">
        <v>31</v>
      </c>
      <c r="C8965" t="s">
        <v>54</v>
      </c>
      <c r="D8965" t="s">
        <v>11</v>
      </c>
      <c r="E8965" t="s">
        <v>65</v>
      </c>
      <c r="F8965" t="s">
        <v>69</v>
      </c>
      <c r="G8965" t="str">
        <f t="shared" si="367"/>
        <v>003QUICKSAND</v>
      </c>
      <c r="H8965" s="5">
        <v>2250</v>
      </c>
      <c r="I8965" s="6">
        <v>1162.4344827121247</v>
      </c>
      <c r="J8965" s="5">
        <v>8800</v>
      </c>
      <c r="K8965" s="6">
        <f t="shared" si="370"/>
        <v>1.93559295896869</v>
      </c>
    </row>
    <row r="8966" spans="1:11">
      <c r="A8966" s="4">
        <v>2026</v>
      </c>
      <c r="B8966">
        <v>31</v>
      </c>
      <c r="C8966" t="s">
        <v>54</v>
      </c>
      <c r="D8966" t="s">
        <v>11</v>
      </c>
      <c r="E8966" t="s">
        <v>14</v>
      </c>
      <c r="F8966" t="s">
        <v>70</v>
      </c>
      <c r="G8966" t="str">
        <f t="shared" si="367"/>
        <v>004COTOPAXI</v>
      </c>
      <c r="H8966" s="5">
        <v>1110</v>
      </c>
      <c r="I8966" s="6">
        <v>528.3915024419166</v>
      </c>
      <c r="J8966" s="5">
        <v>4000</v>
      </c>
      <c r="K8966" s="6">
        <f t="shared" si="370"/>
        <v>2.1007150850652008</v>
      </c>
    </row>
    <row r="8967" spans="1:11">
      <c r="A8967" s="4">
        <v>2026</v>
      </c>
      <c r="B8967">
        <v>31</v>
      </c>
      <c r="C8967" t="s">
        <v>54</v>
      </c>
      <c r="D8967" t="s">
        <v>11</v>
      </c>
      <c r="E8967" t="s">
        <v>14</v>
      </c>
      <c r="F8967" t="s">
        <v>67</v>
      </c>
      <c r="G8967" t="str">
        <f t="shared" si="367"/>
        <v>004DEEP PURPLE</v>
      </c>
      <c r="H8967" s="5">
        <v>18660</v>
      </c>
      <c r="I8967" s="6">
        <v>3910.1071427007282</v>
      </c>
      <c r="J8967" s="5">
        <v>29260</v>
      </c>
      <c r="K8967" s="6">
        <f t="shared" si="370"/>
        <v>4.772247746416344</v>
      </c>
    </row>
    <row r="8968" spans="1:11">
      <c r="A8968" s="4">
        <v>2026</v>
      </c>
      <c r="B8968">
        <v>31</v>
      </c>
      <c r="C8968" t="s">
        <v>54</v>
      </c>
      <c r="D8968" t="s">
        <v>11</v>
      </c>
      <c r="E8968" t="s">
        <v>14</v>
      </c>
      <c r="F8968" t="s">
        <v>71</v>
      </c>
      <c r="G8968" t="str">
        <f t="shared" si="367"/>
        <v>004HOT EXPLORER</v>
      </c>
      <c r="H8968" s="5">
        <v>2825</v>
      </c>
      <c r="I8968" s="6">
        <v>1902.2142856381945</v>
      </c>
      <c r="J8968" s="5">
        <v>14400</v>
      </c>
      <c r="K8968" s="6">
        <f t="shared" si="370"/>
        <v>1.4851113364718582</v>
      </c>
    </row>
    <row r="8969" spans="1:11">
      <c r="A8969" s="4">
        <v>2026</v>
      </c>
      <c r="B8969">
        <v>31</v>
      </c>
      <c r="C8969" t="s">
        <v>54</v>
      </c>
      <c r="D8969" t="s">
        <v>11</v>
      </c>
      <c r="E8969" t="s">
        <v>14</v>
      </c>
      <c r="F8969" t="s">
        <v>72</v>
      </c>
      <c r="G8969" t="str">
        <f t="shared" si="367"/>
        <v>004HOT MERENGUE</v>
      </c>
      <c r="H8969" s="5">
        <v>2850</v>
      </c>
      <c r="I8969" s="6">
        <v>1162.4642856677858</v>
      </c>
      <c r="J8969" s="5">
        <v>8800</v>
      </c>
      <c r="K8969" s="6">
        <f t="shared" si="370"/>
        <v>2.4516882240066389</v>
      </c>
    </row>
    <row r="8970" spans="1:11">
      <c r="A8970" s="4">
        <v>2026</v>
      </c>
      <c r="B8970">
        <v>31</v>
      </c>
      <c r="C8970" t="s">
        <v>54</v>
      </c>
      <c r="D8970" t="s">
        <v>11</v>
      </c>
      <c r="E8970" t="s">
        <v>14</v>
      </c>
      <c r="F8970" t="s">
        <v>64</v>
      </c>
      <c r="G8970" t="str">
        <f t="shared" si="367"/>
        <v>004SWEETNESS</v>
      </c>
      <c r="H8970" s="5">
        <v>1050</v>
      </c>
      <c r="I8970" s="6">
        <v>317.03571427303262</v>
      </c>
      <c r="J8970" s="5">
        <v>2400</v>
      </c>
      <c r="K8970" s="6">
        <f t="shared" si="370"/>
        <v>3.3119297061142303</v>
      </c>
    </row>
    <row r="8971" spans="1:11">
      <c r="A8971" s="4">
        <v>2026</v>
      </c>
      <c r="B8971">
        <v>31</v>
      </c>
      <c r="C8971" t="s">
        <v>54</v>
      </c>
      <c r="D8971" t="s">
        <v>11</v>
      </c>
      <c r="E8971" t="s">
        <v>16</v>
      </c>
      <c r="F8971" t="s">
        <v>57</v>
      </c>
      <c r="G8971" t="str">
        <f t="shared" si="367"/>
        <v>005EXPLORER</v>
      </c>
      <c r="H8971" s="5">
        <v>1300</v>
      </c>
      <c r="I8971" s="6">
        <v>951.10714281875391</v>
      </c>
      <c r="J8971" s="5">
        <v>7200</v>
      </c>
      <c r="K8971" s="6">
        <f t="shared" si="370"/>
        <v>1.3668281326825575</v>
      </c>
    </row>
    <row r="8972" spans="1:11">
      <c r="A8972" s="4">
        <v>2026</v>
      </c>
      <c r="B8972">
        <v>31</v>
      </c>
      <c r="C8972" t="s">
        <v>54</v>
      </c>
      <c r="D8972" t="s">
        <v>11</v>
      </c>
      <c r="E8972" t="s">
        <v>16</v>
      </c>
      <c r="F8972" t="s">
        <v>73</v>
      </c>
      <c r="G8972" t="str">
        <f t="shared" si="367"/>
        <v>005GOLDFINCH</v>
      </c>
      <c r="H8972" s="5">
        <v>1025</v>
      </c>
      <c r="I8972" s="6">
        <v>898.26785710660101</v>
      </c>
      <c r="J8972" s="5">
        <v>6800</v>
      </c>
      <c r="K8972" s="6">
        <f t="shared" si="370"/>
        <v>1.1410850247960718</v>
      </c>
    </row>
    <row r="8973" spans="1:11">
      <c r="A8973" s="4">
        <v>2026</v>
      </c>
      <c r="B8973">
        <v>31</v>
      </c>
      <c r="C8973" t="s">
        <v>54</v>
      </c>
      <c r="D8973" t="s">
        <v>11</v>
      </c>
      <c r="E8973" t="s">
        <v>16</v>
      </c>
      <c r="F8973" t="s">
        <v>68</v>
      </c>
      <c r="G8973" t="str">
        <f t="shared" si="367"/>
        <v>005JOCKER</v>
      </c>
      <c r="H8973" s="5">
        <v>3075</v>
      </c>
      <c r="I8973" s="6">
        <v>1162.4642856673661</v>
      </c>
      <c r="J8973" s="5">
        <v>8800</v>
      </c>
      <c r="K8973" s="6">
        <f t="shared" si="370"/>
        <v>2.6452425574818026</v>
      </c>
    </row>
    <row r="8974" spans="1:11">
      <c r="A8974" s="4">
        <v>2026</v>
      </c>
      <c r="B8974">
        <v>31</v>
      </c>
      <c r="C8974" t="s">
        <v>54</v>
      </c>
      <c r="D8974" t="s">
        <v>11</v>
      </c>
      <c r="E8974" t="s">
        <v>16</v>
      </c>
      <c r="F8974" t="s">
        <v>74</v>
      </c>
      <c r="G8974" t="str">
        <f t="shared" si="367"/>
        <v>005VENDELA</v>
      </c>
      <c r="H8974" s="5">
        <v>2340</v>
      </c>
      <c r="I8974" s="6">
        <v>686.91071425798896</v>
      </c>
      <c r="J8974" s="5">
        <v>5200</v>
      </c>
      <c r="K8974" s="6">
        <f t="shared" si="370"/>
        <v>3.406556269147297</v>
      </c>
    </row>
    <row r="8975" spans="1:11">
      <c r="A8975" s="4">
        <v>2026</v>
      </c>
      <c r="B8975">
        <v>31</v>
      </c>
      <c r="C8975" t="s">
        <v>54</v>
      </c>
      <c r="D8975" t="s">
        <v>11</v>
      </c>
      <c r="E8975" t="s">
        <v>75</v>
      </c>
      <c r="F8975" t="s">
        <v>76</v>
      </c>
      <c r="G8975" t="str">
        <f t="shared" si="367"/>
        <v>006ATOMIC</v>
      </c>
      <c r="H8975" s="5">
        <v>1475</v>
      </c>
      <c r="I8975" s="6">
        <v>845.428571394752</v>
      </c>
      <c r="J8975" s="5">
        <v>6400</v>
      </c>
      <c r="K8975" s="6">
        <f t="shared" si="370"/>
        <v>1.7446772558994641</v>
      </c>
    </row>
    <row r="8976" spans="1:11">
      <c r="A8976" s="4">
        <v>2026</v>
      </c>
      <c r="B8976">
        <v>31</v>
      </c>
      <c r="C8976" t="s">
        <v>54</v>
      </c>
      <c r="D8976" t="s">
        <v>11</v>
      </c>
      <c r="E8976" t="s">
        <v>75</v>
      </c>
      <c r="F8976" t="s">
        <v>57</v>
      </c>
      <c r="G8976" t="str">
        <f t="shared" si="367"/>
        <v>006EXPLORER</v>
      </c>
      <c r="H8976" s="5">
        <v>6375</v>
      </c>
      <c r="I8976" s="6">
        <v>3910.1071427007355</v>
      </c>
      <c r="J8976" s="5">
        <v>29600</v>
      </c>
      <c r="K8976" s="6">
        <f t="shared" si="370"/>
        <v>1.6303901062917543</v>
      </c>
    </row>
    <row r="8977" spans="1:11">
      <c r="A8977" s="4">
        <v>2026</v>
      </c>
      <c r="B8977">
        <v>31</v>
      </c>
      <c r="C8977" t="s">
        <v>54</v>
      </c>
      <c r="D8977" t="s">
        <v>11</v>
      </c>
      <c r="E8977" t="s">
        <v>75</v>
      </c>
      <c r="F8977" t="s">
        <v>77</v>
      </c>
      <c r="G8977" t="str">
        <f t="shared" si="367"/>
        <v>006MONDIAL</v>
      </c>
      <c r="H8977" s="5">
        <v>8700</v>
      </c>
      <c r="I8977" s="6">
        <v>4015.7857141250793</v>
      </c>
      <c r="J8977" s="5">
        <v>30400</v>
      </c>
      <c r="K8977" s="6">
        <f t="shared" si="370"/>
        <v>2.1664502588867522</v>
      </c>
    </row>
    <row r="8978" spans="1:11">
      <c r="A8978" s="4">
        <v>2026</v>
      </c>
      <c r="B8978">
        <v>31</v>
      </c>
      <c r="C8978" t="s">
        <v>54</v>
      </c>
      <c r="D8978" t="s">
        <v>11</v>
      </c>
      <c r="E8978" t="s">
        <v>20</v>
      </c>
      <c r="F8978" t="s">
        <v>70</v>
      </c>
      <c r="G8978" t="str">
        <f t="shared" si="367"/>
        <v>007COTOPAXI</v>
      </c>
      <c r="H8978" s="5">
        <v>7140</v>
      </c>
      <c r="I8978" s="6">
        <v>2747.5751230427709</v>
      </c>
      <c r="J8978" s="5">
        <v>20800</v>
      </c>
      <c r="K8978" s="6">
        <f t="shared" si="370"/>
        <v>2.5986550613738588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20</v>
      </c>
      <c r="F8979" t="s">
        <v>78</v>
      </c>
      <c r="G8979" t="str">
        <f t="shared" si="367"/>
        <v>007REDIANT</v>
      </c>
      <c r="H8979" s="5">
        <v>1500</v>
      </c>
      <c r="I8979" s="6">
        <v>1056.75862064738</v>
      </c>
      <c r="J8979" s="5">
        <v>9600</v>
      </c>
      <c r="K8979" s="6">
        <f t="shared" si="370"/>
        <v>1.4194348365770475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20</v>
      </c>
      <c r="F8980" t="s">
        <v>74</v>
      </c>
      <c r="G8980" t="str">
        <f t="shared" ref="G8980:G9043" si="371">+E8980&amp;F8980</f>
        <v>007VENDELA</v>
      </c>
      <c r="H8980" s="5">
        <v>13260</v>
      </c>
      <c r="I8980" s="6">
        <v>3592.9793102011122</v>
      </c>
      <c r="J8980" s="5">
        <v>27820</v>
      </c>
      <c r="K8980" s="6">
        <f t="shared" si="370"/>
        <v>3.6905305751003028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79</v>
      </c>
      <c r="F8981" t="s">
        <v>67</v>
      </c>
      <c r="G8981" t="str">
        <f t="shared" si="371"/>
        <v>008DEEP PURPLE</v>
      </c>
      <c r="H8981" s="5">
        <v>8790</v>
      </c>
      <c r="I8981" s="6">
        <v>1585.2222221588099</v>
      </c>
      <c r="J8981" s="5">
        <v>11490</v>
      </c>
      <c r="K8981" s="6">
        <f t="shared" si="370"/>
        <v>5.5449639029343638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79</v>
      </c>
      <c r="F8982" t="s">
        <v>81</v>
      </c>
      <c r="G8982" t="str">
        <f t="shared" si="371"/>
        <v>008FREEDOM</v>
      </c>
      <c r="H8982" s="5">
        <v>4710</v>
      </c>
      <c r="I8982" s="6">
        <v>2219.311111022334</v>
      </c>
      <c r="J8982" s="5">
        <v>16800</v>
      </c>
      <c r="K8982" s="6">
        <f t="shared" si="370"/>
        <v>2.1222801871299248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79</v>
      </c>
      <c r="F8983" t="s">
        <v>68</v>
      </c>
      <c r="G8983" t="str">
        <f t="shared" si="371"/>
        <v>008JOCKER</v>
      </c>
      <c r="H8983" s="5">
        <v>7300</v>
      </c>
      <c r="I8983" s="6">
        <v>2959.0814813631118</v>
      </c>
      <c r="J8983" s="5">
        <v>22400</v>
      </c>
      <c r="K8983" s="6">
        <f t="shared" si="370"/>
        <v>2.4669817461860593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82</v>
      </c>
      <c r="F8984" t="s">
        <v>83</v>
      </c>
      <c r="G8984" t="str">
        <f t="shared" si="371"/>
        <v>010COOLDOWN</v>
      </c>
      <c r="H8984" s="5">
        <v>1700</v>
      </c>
      <c r="I8984" s="6">
        <v>1912.3542857142861</v>
      </c>
      <c r="J8984" s="5">
        <v>16320</v>
      </c>
      <c r="K8984" s="6">
        <f t="shared" si="370"/>
        <v>0.88895661891699662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82</v>
      </c>
      <c r="F8985" t="s">
        <v>84</v>
      </c>
      <c r="G8985" t="str">
        <f t="shared" si="371"/>
        <v>010VIOLET HILL</v>
      </c>
      <c r="H8985" s="5">
        <v>3330</v>
      </c>
      <c r="I8985" s="6">
        <v>2812.2857142428579</v>
      </c>
      <c r="J8985" s="5">
        <v>20000</v>
      </c>
      <c r="K8985" s="6">
        <f t="shared" si="370"/>
        <v>1.1840902164154841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85</v>
      </c>
      <c r="F8986" t="s">
        <v>86</v>
      </c>
      <c r="G8986" t="str">
        <f t="shared" si="371"/>
        <v>011BRIGHTON</v>
      </c>
      <c r="H8986" s="5">
        <v>6050</v>
      </c>
      <c r="I8986" s="6">
        <v>1768.8376470588223</v>
      </c>
      <c r="J8986" s="5">
        <v>12800</v>
      </c>
      <c r="K8986" s="6">
        <f t="shared" si="370"/>
        <v>3.4203252119038647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85</v>
      </c>
      <c r="F8987" t="s">
        <v>87</v>
      </c>
      <c r="G8987" t="str">
        <f t="shared" si="371"/>
        <v>011CANDLELIGHT</v>
      </c>
      <c r="H8987" s="5">
        <v>6580</v>
      </c>
      <c r="I8987" s="6">
        <v>2263.7999998868127</v>
      </c>
      <c r="J8987" s="5">
        <v>17920</v>
      </c>
      <c r="K8987" s="6">
        <f t="shared" si="370"/>
        <v>2.9066171924768054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85</v>
      </c>
      <c r="F8988" t="s">
        <v>88</v>
      </c>
      <c r="G8988" t="str">
        <f t="shared" si="371"/>
        <v>011CAYENNE</v>
      </c>
      <c r="H8988" s="5">
        <v>2610</v>
      </c>
      <c r="I8988" s="6">
        <v>994.97117647058747</v>
      </c>
      <c r="J8988" s="5">
        <v>7200</v>
      </c>
      <c r="K8988" s="6">
        <f t="shared" si="370"/>
        <v>2.6231915674766833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85</v>
      </c>
      <c r="F8989" t="s">
        <v>61</v>
      </c>
      <c r="G8989" t="str">
        <f t="shared" si="371"/>
        <v>011LUMIA</v>
      </c>
      <c r="H8989" s="5">
        <v>3150</v>
      </c>
      <c r="I8989" s="6">
        <v>994.97117647058747</v>
      </c>
      <c r="J8989" s="5">
        <v>7920</v>
      </c>
      <c r="K8989" s="6">
        <f t="shared" si="370"/>
        <v>3.1659208572994455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85</v>
      </c>
      <c r="F8990" t="s">
        <v>89</v>
      </c>
      <c r="G8990" t="str">
        <f t="shared" si="371"/>
        <v>011STARDUST</v>
      </c>
      <c r="H8990" s="5">
        <v>4375</v>
      </c>
      <c r="I8990" s="6">
        <v>2263.7999998868127</v>
      </c>
      <c r="J8990" s="5">
        <v>17920</v>
      </c>
      <c r="K8990" s="6">
        <f t="shared" si="370"/>
        <v>1.9325912184021312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90</v>
      </c>
      <c r="F8991" t="s">
        <v>67</v>
      </c>
      <c r="G8991" t="str">
        <f t="shared" si="371"/>
        <v>012DEEP PURPLE</v>
      </c>
      <c r="H8991" s="5">
        <v>24570</v>
      </c>
      <c r="I8991" s="6">
        <v>6727.0499997982479</v>
      </c>
      <c r="J8991" s="5">
        <v>49210</v>
      </c>
      <c r="K8991" s="6">
        <f t="shared" si="370"/>
        <v>3.6524182220641861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90</v>
      </c>
      <c r="F8992" t="s">
        <v>60</v>
      </c>
      <c r="G8992" t="str">
        <f t="shared" si="371"/>
        <v>012LIGHT HOUSE</v>
      </c>
      <c r="H8992" s="5">
        <v>2010</v>
      </c>
      <c r="I8992" s="6">
        <v>994.95</v>
      </c>
      <c r="J8992" s="5">
        <v>7200</v>
      </c>
      <c r="K8992" s="6">
        <f t="shared" si="370"/>
        <v>2.0202020202020199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91</v>
      </c>
      <c r="F8993" t="s">
        <v>92</v>
      </c>
      <c r="G8993" t="str">
        <f t="shared" si="371"/>
        <v>013COUNTRY BLUES</v>
      </c>
      <c r="H8993" s="5">
        <v>1925</v>
      </c>
      <c r="I8993" s="6">
        <v>831.6</v>
      </c>
      <c r="J8993" s="5">
        <v>6300</v>
      </c>
      <c r="K8993" s="6">
        <f t="shared" si="370"/>
        <v>2.3148148148148149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91</v>
      </c>
      <c r="F8994" t="s">
        <v>93</v>
      </c>
      <c r="G8994" t="str">
        <f t="shared" si="371"/>
        <v>013LORRAINE</v>
      </c>
      <c r="H8994" s="5">
        <v>5625</v>
      </c>
      <c r="I8994" s="6">
        <v>1267.2</v>
      </c>
      <c r="J8994" s="5">
        <v>9600</v>
      </c>
      <c r="K8994" s="6">
        <f t="shared" si="370"/>
        <v>4.4389204545454541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91</v>
      </c>
      <c r="F8995" t="s">
        <v>61</v>
      </c>
      <c r="G8995" t="str">
        <f t="shared" si="371"/>
        <v>013LUMIA</v>
      </c>
      <c r="H8995" s="5">
        <v>1350</v>
      </c>
      <c r="I8995" s="6">
        <v>316.8</v>
      </c>
      <c r="J8995" s="5">
        <v>2400</v>
      </c>
      <c r="K8995" s="6">
        <f t="shared" si="370"/>
        <v>4.2613636363636358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91</v>
      </c>
      <c r="F8996" t="s">
        <v>74</v>
      </c>
      <c r="G8996" t="str">
        <f t="shared" si="371"/>
        <v>013VENDELA</v>
      </c>
      <c r="H8996" s="5">
        <v>11400</v>
      </c>
      <c r="I8996" s="6">
        <v>3603.6</v>
      </c>
      <c r="J8996" s="5">
        <v>27296</v>
      </c>
      <c r="K8996" s="6">
        <f t="shared" si="370"/>
        <v>3.1635031635031634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23</v>
      </c>
      <c r="F8997" t="s">
        <v>89</v>
      </c>
      <c r="G8997" t="str">
        <f t="shared" si="371"/>
        <v>014STARDUST</v>
      </c>
      <c r="H8997" s="5">
        <v>9325</v>
      </c>
      <c r="I8997" s="6">
        <v>3682.8</v>
      </c>
      <c r="J8997" s="5">
        <v>27900</v>
      </c>
      <c r="K8997" s="6">
        <f t="shared" si="370"/>
        <v>2.5320408384924513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25</v>
      </c>
      <c r="F8998" t="s">
        <v>68</v>
      </c>
      <c r="G8998" t="str">
        <f t="shared" si="371"/>
        <v>015JOCKER</v>
      </c>
      <c r="H8998" s="5">
        <v>8775</v>
      </c>
      <c r="I8998" s="6">
        <v>2376</v>
      </c>
      <c r="J8998" s="5">
        <v>18000</v>
      </c>
      <c r="K8998" s="6">
        <f t="shared" si="370"/>
        <v>3.6931818181818183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27</v>
      </c>
      <c r="F8999" t="s">
        <v>94</v>
      </c>
      <c r="G8999" t="str">
        <f t="shared" si="371"/>
        <v>016DREAM IN PEACH</v>
      </c>
      <c r="H8999" s="5">
        <v>1620</v>
      </c>
      <c r="I8999" s="6">
        <v>950.4</v>
      </c>
      <c r="J8999" s="5">
        <v>7200</v>
      </c>
      <c r="K8999" s="6">
        <f t="shared" si="370"/>
        <v>1.7045454545454546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27</v>
      </c>
      <c r="F9000" t="s">
        <v>95</v>
      </c>
      <c r="G9000" t="str">
        <f t="shared" si="371"/>
        <v>016NINA</v>
      </c>
      <c r="H9000" s="5">
        <v>4575</v>
      </c>
      <c r="I9000" s="6">
        <v>1346.4</v>
      </c>
      <c r="J9000" s="5">
        <v>10200</v>
      </c>
      <c r="K9000" s="6">
        <f t="shared" si="370"/>
        <v>3.3979500891265593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30</v>
      </c>
      <c r="F9001" t="s">
        <v>81</v>
      </c>
      <c r="G9001" t="str">
        <f t="shared" si="371"/>
        <v>017FREEDOM</v>
      </c>
      <c r="H9001" s="5">
        <v>6120</v>
      </c>
      <c r="I9001" s="6">
        <v>2851.2</v>
      </c>
      <c r="J9001" s="5">
        <v>21600</v>
      </c>
      <c r="K9001" s="6">
        <f t="shared" si="370"/>
        <v>2.1464646464646466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30</v>
      </c>
      <c r="F9002" t="s">
        <v>73</v>
      </c>
      <c r="G9002" t="str">
        <f t="shared" si="371"/>
        <v>017GOLDFINCH</v>
      </c>
      <c r="H9002" s="5">
        <v>3475</v>
      </c>
      <c r="I9002" s="6">
        <v>2138.4</v>
      </c>
      <c r="J9002" s="5">
        <v>16200</v>
      </c>
      <c r="K9002" s="6">
        <f t="shared" si="370"/>
        <v>1.6250467639356527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32</v>
      </c>
      <c r="F9003" t="s">
        <v>86</v>
      </c>
      <c r="G9003" t="str">
        <f t="shared" si="371"/>
        <v>018BRIGHTON</v>
      </c>
      <c r="H9003" s="5">
        <v>2125</v>
      </c>
      <c r="I9003" s="6">
        <v>963.6</v>
      </c>
      <c r="J9003" s="5">
        <v>7570</v>
      </c>
      <c r="K9003" s="6">
        <f t="shared" si="370"/>
        <v>2.205271897052719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35</v>
      </c>
      <c r="F9004" t="s">
        <v>86</v>
      </c>
      <c r="G9004" t="str">
        <f t="shared" si="371"/>
        <v>019BRIGHTON</v>
      </c>
      <c r="H9004" s="5">
        <v>9075</v>
      </c>
      <c r="I9004" s="6">
        <v>3168</v>
      </c>
      <c r="J9004" s="5">
        <v>24000</v>
      </c>
      <c r="K9004" s="6">
        <f t="shared" si="370"/>
        <v>2.8645833333333335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35</v>
      </c>
      <c r="F9005" t="s">
        <v>96</v>
      </c>
      <c r="G9005" t="str">
        <f t="shared" si="371"/>
        <v>019TABATHA</v>
      </c>
      <c r="H9005" s="5">
        <v>3690</v>
      </c>
      <c r="I9005" s="6">
        <v>1188</v>
      </c>
      <c r="J9005" s="5">
        <v>9000</v>
      </c>
      <c r="K9005" s="6">
        <f t="shared" si="370"/>
        <v>3.106060606060606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36</v>
      </c>
      <c r="F9006" t="s">
        <v>86</v>
      </c>
      <c r="G9006" t="str">
        <f t="shared" si="371"/>
        <v>020BRIGHTON</v>
      </c>
      <c r="H9006" s="5">
        <v>5350</v>
      </c>
      <c r="I9006" s="6">
        <v>2732.4</v>
      </c>
      <c r="J9006" s="5">
        <v>20700</v>
      </c>
      <c r="K9006" s="6">
        <f t="shared" si="370"/>
        <v>1.9579856536378275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36</v>
      </c>
      <c r="F9007" t="s">
        <v>97</v>
      </c>
      <c r="G9007" t="str">
        <f t="shared" si="371"/>
        <v>020TYCOON</v>
      </c>
      <c r="H9007" s="5">
        <v>1200</v>
      </c>
      <c r="I9007" s="6">
        <v>673.2</v>
      </c>
      <c r="J9007" s="5">
        <v>5100</v>
      </c>
      <c r="K9007" s="6">
        <f t="shared" si="370"/>
        <v>1.7825311942959001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38</v>
      </c>
      <c r="F9008" t="s">
        <v>98</v>
      </c>
      <c r="G9008" t="str">
        <f t="shared" si="371"/>
        <v>021SHOW GIRL</v>
      </c>
      <c r="H9008" s="5">
        <v>1550</v>
      </c>
      <c r="I9008" s="6">
        <v>1100.4749999999999</v>
      </c>
      <c r="J9008" s="5">
        <v>8000</v>
      </c>
      <c r="K9008" s="6">
        <f t="shared" si="370"/>
        <v>1.4084827006519913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43</v>
      </c>
      <c r="F9009" t="s">
        <v>99</v>
      </c>
      <c r="G9009" t="str">
        <f t="shared" si="371"/>
        <v>022CORAL REEF</v>
      </c>
      <c r="H9009" s="5">
        <v>2475</v>
      </c>
      <c r="I9009" s="6">
        <v>1287</v>
      </c>
      <c r="J9009" s="5">
        <v>9400</v>
      </c>
      <c r="K9009" s="6">
        <f t="shared" si="370"/>
        <v>1.9230769230769231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100</v>
      </c>
      <c r="F9010" t="s">
        <v>70</v>
      </c>
      <c r="G9010" t="str">
        <f t="shared" si="371"/>
        <v>023COTOPAXI</v>
      </c>
      <c r="H9010" s="5">
        <v>6120</v>
      </c>
      <c r="I9010" s="6">
        <v>2641.14</v>
      </c>
      <c r="J9010" s="5">
        <v>19200</v>
      </c>
      <c r="K9010" s="6">
        <f t="shared" si="370"/>
        <v>2.317181217201663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100</v>
      </c>
      <c r="F9011" t="s">
        <v>101</v>
      </c>
      <c r="G9011" t="str">
        <f t="shared" si="371"/>
        <v>023FRUTTETO</v>
      </c>
      <c r="H9011" s="5">
        <v>8250</v>
      </c>
      <c r="I9011" s="6">
        <v>2641.14</v>
      </c>
      <c r="J9011" s="5">
        <v>19200</v>
      </c>
      <c r="K9011" s="6">
        <f t="shared" si="370"/>
        <v>3.1236511506394966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102</v>
      </c>
      <c r="F9012" t="s">
        <v>70</v>
      </c>
      <c r="G9012" t="str">
        <f t="shared" si="371"/>
        <v>024COTOPAXI</v>
      </c>
      <c r="H9012" s="5">
        <v>2640</v>
      </c>
      <c r="I9012" s="6">
        <v>1430.6174906250001</v>
      </c>
      <c r="J9012" s="5">
        <v>10400</v>
      </c>
      <c r="K9012" s="6">
        <f t="shared" si="370"/>
        <v>1.8453569995475532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102</v>
      </c>
      <c r="F9013" t="s">
        <v>64</v>
      </c>
      <c r="G9013" t="str">
        <f t="shared" si="371"/>
        <v>024SWEETNESS</v>
      </c>
      <c r="H9013" s="5">
        <v>1680</v>
      </c>
      <c r="I9013" s="6">
        <v>1430.6175000000001</v>
      </c>
      <c r="J9013" s="5">
        <v>10400</v>
      </c>
      <c r="K9013" s="6">
        <f t="shared" si="370"/>
        <v>1.1743180829257296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102</v>
      </c>
      <c r="F9014" t="s">
        <v>97</v>
      </c>
      <c r="G9014" t="str">
        <f t="shared" si="371"/>
        <v>024TYCOON</v>
      </c>
      <c r="H9014" s="5">
        <v>2610</v>
      </c>
      <c r="I9014" s="6">
        <v>2861.2350000000001</v>
      </c>
      <c r="J9014" s="5">
        <v>20800</v>
      </c>
      <c r="K9014" s="6">
        <f t="shared" si="370"/>
        <v>0.9121935108440935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103</v>
      </c>
      <c r="F9015" t="s">
        <v>104</v>
      </c>
      <c r="G9015" t="str">
        <f t="shared" si="371"/>
        <v>025PINK MONDIAL</v>
      </c>
      <c r="H9015" s="5">
        <v>5725</v>
      </c>
      <c r="I9015" s="6">
        <v>3071.9505625000002</v>
      </c>
      <c r="J9015" s="5">
        <v>22400</v>
      </c>
      <c r="K9015" s="6">
        <f t="shared" si="370"/>
        <v>1.8636367622208438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45</v>
      </c>
      <c r="F9016" t="s">
        <v>105</v>
      </c>
      <c r="G9016" t="str">
        <f t="shared" si="371"/>
        <v>026LOLA</v>
      </c>
      <c r="H9016" s="5">
        <v>5250</v>
      </c>
      <c r="I9016" s="6">
        <v>1097.125</v>
      </c>
      <c r="J9016" s="5">
        <v>8000</v>
      </c>
      <c r="K9016" s="6">
        <f t="shared" si="370"/>
        <v>4.7852341346701603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45</v>
      </c>
      <c r="F9017" t="s">
        <v>106</v>
      </c>
      <c r="G9017" t="str">
        <f t="shared" si="371"/>
        <v>026PALOMA</v>
      </c>
      <c r="H9017" s="5">
        <v>7075</v>
      </c>
      <c r="I9017" s="6">
        <v>2852.5250000000001</v>
      </c>
      <c r="J9017" s="5">
        <v>20800</v>
      </c>
      <c r="K9017" s="6">
        <f t="shared" si="370"/>
        <v>2.4802587181532152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107</v>
      </c>
      <c r="F9018" t="s">
        <v>108</v>
      </c>
      <c r="G9018" t="str">
        <f t="shared" si="371"/>
        <v>027SATISFACTION</v>
      </c>
      <c r="H9018" s="5">
        <v>7440</v>
      </c>
      <c r="I9018" s="6">
        <v>2633.1</v>
      </c>
      <c r="J9018" s="5">
        <v>19200</v>
      </c>
      <c r="K9018" s="6">
        <f t="shared" si="370"/>
        <v>2.8255668223766666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107</v>
      </c>
      <c r="F9019" t="s">
        <v>109</v>
      </c>
      <c r="G9019" t="str">
        <f t="shared" si="371"/>
        <v>027TIFFANY</v>
      </c>
      <c r="H9019" s="5">
        <v>6270</v>
      </c>
      <c r="I9019" s="6">
        <v>2633.1</v>
      </c>
      <c r="J9019" s="5">
        <v>19200</v>
      </c>
      <c r="K9019" s="6">
        <f t="shared" si="370"/>
        <v>2.3812236527287229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110</v>
      </c>
      <c r="F9020" t="s">
        <v>70</v>
      </c>
      <c r="G9020" t="str">
        <f t="shared" si="371"/>
        <v>028COTOPAXI</v>
      </c>
      <c r="H9020" s="5">
        <v>3480</v>
      </c>
      <c r="I9020" s="6">
        <v>2852.5250000000001</v>
      </c>
      <c r="J9020" s="5">
        <v>20800</v>
      </c>
      <c r="K9020" s="6">
        <f t="shared" ref="K9020:K9058" si="372">+H9020/I9020</f>
        <v>1.2199717793884366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110</v>
      </c>
      <c r="F9021" t="s">
        <v>67</v>
      </c>
      <c r="G9021" t="str">
        <f t="shared" si="371"/>
        <v>028DEEP PURPLE</v>
      </c>
      <c r="H9021" s="5">
        <v>11430</v>
      </c>
      <c r="I9021" s="6">
        <v>2852.5250000000001</v>
      </c>
      <c r="J9021" s="5">
        <v>20800</v>
      </c>
      <c r="K9021" s="6">
        <f t="shared" si="372"/>
        <v>4.0069762754051235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111</v>
      </c>
      <c r="F9022" t="s">
        <v>112</v>
      </c>
      <c r="G9022" t="str">
        <f t="shared" si="371"/>
        <v>029PINK FLOYD</v>
      </c>
      <c r="H9022" s="5">
        <v>6125</v>
      </c>
      <c r="I9022" s="6">
        <v>3071.95</v>
      </c>
      <c r="J9022" s="5">
        <v>22400</v>
      </c>
      <c r="K9022" s="6">
        <f t="shared" si="372"/>
        <v>1.993847556112567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47</v>
      </c>
      <c r="F9023" t="s">
        <v>57</v>
      </c>
      <c r="G9023" t="str">
        <f t="shared" si="371"/>
        <v>030EXPLORER</v>
      </c>
      <c r="H9023" s="5">
        <v>1875</v>
      </c>
      <c r="I9023" s="6">
        <v>1645.6875</v>
      </c>
      <c r="J9023" s="5">
        <v>12000</v>
      </c>
      <c r="K9023" s="6">
        <f t="shared" si="372"/>
        <v>1.1393414606357526</v>
      </c>
    </row>
    <row r="9024" spans="1:11">
      <c r="A9024" s="4">
        <v>2026</v>
      </c>
      <c r="B9024">
        <v>32</v>
      </c>
      <c r="C9024" t="s">
        <v>10</v>
      </c>
      <c r="D9024" t="s">
        <v>11</v>
      </c>
      <c r="E9024" t="s">
        <v>12</v>
      </c>
      <c r="F9024" t="s">
        <v>13</v>
      </c>
      <c r="G9024" t="str">
        <f t="shared" si="371"/>
        <v>002SOMERSET</v>
      </c>
      <c r="H9024" s="5">
        <v>8860</v>
      </c>
      <c r="I9024" s="6">
        <v>4121.4642855494085</v>
      </c>
      <c r="J9024" s="5">
        <v>31200</v>
      </c>
      <c r="K9024" s="6">
        <f t="shared" si="372"/>
        <v>2.149721406312981</v>
      </c>
    </row>
    <row r="9025" spans="1:11">
      <c r="A9025" s="4">
        <v>2026</v>
      </c>
      <c r="B9025">
        <v>32</v>
      </c>
      <c r="C9025" t="s">
        <v>10</v>
      </c>
      <c r="D9025" t="s">
        <v>11</v>
      </c>
      <c r="E9025" t="s">
        <v>14</v>
      </c>
      <c r="F9025" t="s">
        <v>15</v>
      </c>
      <c r="G9025" t="str">
        <f t="shared" si="371"/>
        <v>004BELLINA</v>
      </c>
      <c r="H9025" s="5">
        <v>1470</v>
      </c>
      <c r="I9025" s="6">
        <v>1056.7857142434418</v>
      </c>
      <c r="J9025" s="5">
        <v>8000</v>
      </c>
      <c r="K9025" s="6">
        <f t="shared" si="372"/>
        <v>1.3910104765679769</v>
      </c>
    </row>
    <row r="9026" spans="1:11">
      <c r="A9026" s="4">
        <v>2026</v>
      </c>
      <c r="B9026">
        <v>32</v>
      </c>
      <c r="C9026" t="s">
        <v>10</v>
      </c>
      <c r="D9026" t="s">
        <v>11</v>
      </c>
      <c r="E9026" t="s">
        <v>16</v>
      </c>
      <c r="F9026" t="s">
        <v>17</v>
      </c>
      <c r="G9026" t="str">
        <f t="shared" si="371"/>
        <v>005ELBA</v>
      </c>
      <c r="H9026" s="5">
        <v>7200</v>
      </c>
      <c r="I9026" s="6">
        <v>2641.9642856076484</v>
      </c>
      <c r="J9026" s="5">
        <v>19996</v>
      </c>
      <c r="K9026" s="6">
        <f t="shared" si="372"/>
        <v>2.7252450153178391</v>
      </c>
    </row>
    <row r="9027" spans="1:11">
      <c r="A9027" s="4">
        <v>2026</v>
      </c>
      <c r="B9027">
        <v>32</v>
      </c>
      <c r="C9027" t="s">
        <v>10</v>
      </c>
      <c r="D9027" t="s">
        <v>11</v>
      </c>
      <c r="E9027" t="s">
        <v>16</v>
      </c>
      <c r="F9027" t="s">
        <v>18</v>
      </c>
      <c r="G9027" t="str">
        <f t="shared" si="371"/>
        <v>005HOT BUBBLES</v>
      </c>
      <c r="H9027" s="5">
        <v>1160</v>
      </c>
      <c r="I9027" s="6">
        <v>528.39285712153003</v>
      </c>
      <c r="J9027" s="5">
        <v>4000</v>
      </c>
      <c r="K9027" s="6">
        <f t="shared" si="372"/>
        <v>2.1953362623393691</v>
      </c>
    </row>
    <row r="9028" spans="1:11">
      <c r="A9028" s="4">
        <v>2026</v>
      </c>
      <c r="B9028">
        <v>32</v>
      </c>
      <c r="C9028" t="s">
        <v>10</v>
      </c>
      <c r="D9028" t="s">
        <v>11</v>
      </c>
      <c r="E9028" t="s">
        <v>16</v>
      </c>
      <c r="F9028" t="s">
        <v>19</v>
      </c>
      <c r="G9028" t="str">
        <f t="shared" si="371"/>
        <v>005SUSPIRO</v>
      </c>
      <c r="H9028" s="5">
        <v>2490</v>
      </c>
      <c r="I9028" s="6">
        <v>1902.2142856375078</v>
      </c>
      <c r="J9028" s="5">
        <v>14400</v>
      </c>
      <c r="K9028" s="6">
        <f t="shared" si="372"/>
        <v>1.3090007886075263</v>
      </c>
    </row>
    <row r="9029" spans="1:11">
      <c r="A9029" s="4">
        <v>2026</v>
      </c>
      <c r="B9029">
        <v>32</v>
      </c>
      <c r="C9029" t="s">
        <v>10</v>
      </c>
      <c r="D9029" t="s">
        <v>11</v>
      </c>
      <c r="E9029" t="s">
        <v>20</v>
      </c>
      <c r="F9029" t="s">
        <v>21</v>
      </c>
      <c r="G9029" t="str">
        <f t="shared" si="371"/>
        <v>007SNOW BUBBLES</v>
      </c>
      <c r="H9029" s="5">
        <v>1100</v>
      </c>
      <c r="I9029" s="6">
        <v>634.05652706821195</v>
      </c>
      <c r="J9029" s="5">
        <v>4800</v>
      </c>
      <c r="K9029" s="6">
        <f t="shared" si="372"/>
        <v>1.7348610936729016</v>
      </c>
    </row>
    <row r="9030" spans="1:11">
      <c r="A9030" s="4">
        <v>2026</v>
      </c>
      <c r="B9030">
        <v>32</v>
      </c>
      <c r="C9030" t="s">
        <v>10</v>
      </c>
      <c r="D9030" t="s">
        <v>11</v>
      </c>
      <c r="E9030" t="s">
        <v>22</v>
      </c>
      <c r="F9030" t="s">
        <v>18</v>
      </c>
      <c r="G9030" t="str">
        <f t="shared" si="371"/>
        <v>009HOT BUBBLES</v>
      </c>
      <c r="H9030" s="5">
        <v>9660</v>
      </c>
      <c r="I9030" s="6">
        <v>4487.9999999102474</v>
      </c>
      <c r="J9030" s="5">
        <v>31740</v>
      </c>
      <c r="K9030" s="6">
        <f t="shared" si="372"/>
        <v>2.1524064171553441</v>
      </c>
    </row>
    <row r="9031" spans="1:11">
      <c r="A9031" s="4">
        <v>2026</v>
      </c>
      <c r="B9031">
        <v>32</v>
      </c>
      <c r="C9031" t="s">
        <v>10</v>
      </c>
      <c r="D9031" t="s">
        <v>11</v>
      </c>
      <c r="E9031" t="s">
        <v>23</v>
      </c>
      <c r="F9031" t="s">
        <v>24</v>
      </c>
      <c r="G9031" t="str">
        <f t="shared" si="371"/>
        <v>014FRUITY BUBBLES</v>
      </c>
      <c r="H9031" s="5">
        <v>3625</v>
      </c>
      <c r="I9031" s="6">
        <v>1702.8</v>
      </c>
      <c r="J9031" s="5">
        <v>12900</v>
      </c>
      <c r="K9031" s="6">
        <f t="shared" si="372"/>
        <v>2.1288466055907915</v>
      </c>
    </row>
    <row r="9032" spans="1:11">
      <c r="A9032" s="4">
        <v>2026</v>
      </c>
      <c r="B9032">
        <v>32</v>
      </c>
      <c r="C9032" t="s">
        <v>10</v>
      </c>
      <c r="D9032" t="s">
        <v>11</v>
      </c>
      <c r="E9032" t="s">
        <v>25</v>
      </c>
      <c r="F9032" t="s">
        <v>26</v>
      </c>
      <c r="G9032" t="str">
        <f t="shared" si="371"/>
        <v>015FELLINI</v>
      </c>
      <c r="H9032" s="5">
        <v>6700</v>
      </c>
      <c r="I9032" s="6">
        <v>3009.6</v>
      </c>
      <c r="J9032" s="5">
        <v>22800</v>
      </c>
      <c r="K9032" s="6">
        <f t="shared" si="372"/>
        <v>2.2262094630515685</v>
      </c>
    </row>
    <row r="9033" spans="1:11">
      <c r="A9033" s="4">
        <v>2026</v>
      </c>
      <c r="B9033">
        <v>32</v>
      </c>
      <c r="C9033" t="s">
        <v>10</v>
      </c>
      <c r="D9033" t="s">
        <v>11</v>
      </c>
      <c r="E9033" t="s">
        <v>27</v>
      </c>
      <c r="F9033" t="s">
        <v>28</v>
      </c>
      <c r="G9033" t="str">
        <f t="shared" si="371"/>
        <v>016GOOD PEACH</v>
      </c>
      <c r="H9033" s="5">
        <v>2670</v>
      </c>
      <c r="I9033" s="6">
        <v>1386</v>
      </c>
      <c r="J9033" s="5">
        <v>10500</v>
      </c>
      <c r="K9033" s="6">
        <f t="shared" si="372"/>
        <v>1.9264069264069263</v>
      </c>
    </row>
    <row r="9034" spans="1:11">
      <c r="A9034" s="4">
        <v>2026</v>
      </c>
      <c r="B9034">
        <v>32</v>
      </c>
      <c r="C9034" t="s">
        <v>10</v>
      </c>
      <c r="D9034" t="s">
        <v>11</v>
      </c>
      <c r="E9034" t="s">
        <v>27</v>
      </c>
      <c r="F9034" t="s">
        <v>29</v>
      </c>
      <c r="G9034" t="str">
        <f t="shared" si="371"/>
        <v>016GOOD YELLOW</v>
      </c>
      <c r="H9034" s="5">
        <v>2910</v>
      </c>
      <c r="I9034" s="6">
        <v>1386</v>
      </c>
      <c r="J9034" s="5">
        <v>10500</v>
      </c>
      <c r="K9034" s="6">
        <f t="shared" si="372"/>
        <v>2.0995670995670994</v>
      </c>
    </row>
    <row r="9035" spans="1:11">
      <c r="A9035" s="4">
        <v>2026</v>
      </c>
      <c r="B9035">
        <v>32</v>
      </c>
      <c r="C9035" t="s">
        <v>10</v>
      </c>
      <c r="D9035" t="s">
        <v>11</v>
      </c>
      <c r="E9035" t="s">
        <v>30</v>
      </c>
      <c r="F9035" t="s">
        <v>31</v>
      </c>
      <c r="G9035" t="str">
        <f t="shared" si="371"/>
        <v>017ORANGE STAR</v>
      </c>
      <c r="H9035" s="5">
        <v>1875</v>
      </c>
      <c r="I9035" s="6">
        <v>1029.5999999999999</v>
      </c>
      <c r="J9035" s="5">
        <v>7800</v>
      </c>
      <c r="K9035" s="6">
        <f t="shared" si="372"/>
        <v>1.8210955710955712</v>
      </c>
    </row>
    <row r="9036" spans="1:11">
      <c r="A9036" s="4">
        <v>2026</v>
      </c>
      <c r="B9036">
        <v>32</v>
      </c>
      <c r="C9036" t="s">
        <v>10</v>
      </c>
      <c r="D9036" t="s">
        <v>11</v>
      </c>
      <c r="E9036" t="s">
        <v>32</v>
      </c>
      <c r="F9036" t="s">
        <v>33</v>
      </c>
      <c r="G9036" t="str">
        <f t="shared" si="371"/>
        <v>018COSMO</v>
      </c>
      <c r="H9036" s="5">
        <v>5825</v>
      </c>
      <c r="I9036" s="6">
        <v>2653.2</v>
      </c>
      <c r="J9036" s="5">
        <v>20100</v>
      </c>
      <c r="K9036" s="6">
        <f t="shared" si="372"/>
        <v>2.1954620835217851</v>
      </c>
    </row>
    <row r="9037" spans="1:11">
      <c r="A9037" s="4">
        <v>2026</v>
      </c>
      <c r="B9037">
        <v>32</v>
      </c>
      <c r="C9037" t="s">
        <v>10</v>
      </c>
      <c r="D9037" t="s">
        <v>11</v>
      </c>
      <c r="E9037" t="s">
        <v>32</v>
      </c>
      <c r="F9037" t="s">
        <v>34</v>
      </c>
      <c r="G9037" t="str">
        <f t="shared" si="371"/>
        <v>018RUBICON</v>
      </c>
      <c r="H9037" s="5">
        <v>4980</v>
      </c>
      <c r="I9037" s="6">
        <v>1768.8</v>
      </c>
      <c r="J9037" s="5">
        <v>13400</v>
      </c>
      <c r="K9037" s="6">
        <f t="shared" si="372"/>
        <v>2.8154681139755766</v>
      </c>
    </row>
    <row r="9038" spans="1:11">
      <c r="A9038" s="4">
        <v>2026</v>
      </c>
      <c r="B9038">
        <v>32</v>
      </c>
      <c r="C9038" t="s">
        <v>10</v>
      </c>
      <c r="D9038" t="s">
        <v>11</v>
      </c>
      <c r="E9038" t="s">
        <v>35</v>
      </c>
      <c r="F9038" t="s">
        <v>15</v>
      </c>
      <c r="G9038" t="str">
        <f t="shared" si="371"/>
        <v>019BELLINA</v>
      </c>
      <c r="H9038" s="5">
        <v>2010</v>
      </c>
      <c r="I9038" s="6">
        <v>1029.5999999999999</v>
      </c>
      <c r="J9038" s="5">
        <v>7800</v>
      </c>
      <c r="K9038" s="6">
        <f t="shared" si="372"/>
        <v>1.9522144522144524</v>
      </c>
    </row>
    <row r="9039" spans="1:11">
      <c r="A9039" s="4">
        <v>2026</v>
      </c>
      <c r="B9039">
        <v>32</v>
      </c>
      <c r="C9039" t="s">
        <v>10</v>
      </c>
      <c r="D9039" t="s">
        <v>11</v>
      </c>
      <c r="E9039" t="s">
        <v>36</v>
      </c>
      <c r="F9039" t="s">
        <v>37</v>
      </c>
      <c r="G9039" t="str">
        <f t="shared" si="371"/>
        <v>020SUMMER DANCE</v>
      </c>
      <c r="H9039" s="5">
        <v>4350</v>
      </c>
      <c r="I9039" s="6">
        <v>1346.4</v>
      </c>
      <c r="J9039" s="5">
        <v>10200</v>
      </c>
      <c r="K9039" s="6">
        <f t="shared" si="372"/>
        <v>3.2308377896613187</v>
      </c>
    </row>
    <row r="9040" spans="1:11">
      <c r="A9040" s="4">
        <v>2026</v>
      </c>
      <c r="B9040">
        <v>32</v>
      </c>
      <c r="C9040" t="s">
        <v>10</v>
      </c>
      <c r="D9040" t="s">
        <v>11</v>
      </c>
      <c r="E9040" t="s">
        <v>38</v>
      </c>
      <c r="F9040" t="s">
        <v>39</v>
      </c>
      <c r="G9040" t="str">
        <f t="shared" si="371"/>
        <v>021ELEGANT ROSEVER</v>
      </c>
      <c r="H9040" s="5">
        <v>510</v>
      </c>
      <c r="I9040" s="6">
        <v>440.18999062500001</v>
      </c>
      <c r="J9040" s="5">
        <v>3200</v>
      </c>
      <c r="K9040" s="6">
        <f t="shared" si="372"/>
        <v>1.1585906332760563</v>
      </c>
    </row>
    <row r="9041" spans="1:11">
      <c r="A9041" s="4">
        <v>2026</v>
      </c>
      <c r="B9041">
        <v>32</v>
      </c>
      <c r="C9041" t="s">
        <v>10</v>
      </c>
      <c r="D9041" t="s">
        <v>11</v>
      </c>
      <c r="E9041" t="s">
        <v>38</v>
      </c>
      <c r="F9041" t="s">
        <v>40</v>
      </c>
      <c r="G9041" t="str">
        <f t="shared" si="371"/>
        <v>021FLAME CLUB</v>
      </c>
      <c r="H9041" s="5">
        <v>2075</v>
      </c>
      <c r="I9041" s="6">
        <v>880.38</v>
      </c>
      <c r="J9041" s="5">
        <v>6400</v>
      </c>
      <c r="K9041" s="6">
        <f t="shared" si="372"/>
        <v>2.3569367773007111</v>
      </c>
    </row>
    <row r="9042" spans="1:11">
      <c r="A9042" s="4">
        <v>2026</v>
      </c>
      <c r="B9042">
        <v>32</v>
      </c>
      <c r="C9042" t="s">
        <v>10</v>
      </c>
      <c r="D9042" t="s">
        <v>11</v>
      </c>
      <c r="E9042" t="s">
        <v>38</v>
      </c>
      <c r="F9042" t="s">
        <v>41</v>
      </c>
      <c r="G9042" t="str">
        <f t="shared" si="371"/>
        <v>021KELLY</v>
      </c>
      <c r="H9042" s="5">
        <v>650</v>
      </c>
      <c r="I9042" s="6">
        <v>330.14249999999998</v>
      </c>
      <c r="J9042" s="5">
        <v>2400</v>
      </c>
      <c r="K9042" s="6">
        <f t="shared" si="372"/>
        <v>1.9688467858576222</v>
      </c>
    </row>
    <row r="9043" spans="1:11">
      <c r="A9043" s="4">
        <v>2026</v>
      </c>
      <c r="B9043">
        <v>32</v>
      </c>
      <c r="C9043" t="s">
        <v>10</v>
      </c>
      <c r="D9043" t="s">
        <v>11</v>
      </c>
      <c r="E9043" t="s">
        <v>38</v>
      </c>
      <c r="F9043" t="s">
        <v>42</v>
      </c>
      <c r="G9043" t="str">
        <f t="shared" si="371"/>
        <v>021LEILA</v>
      </c>
      <c r="H9043" s="5">
        <v>2200</v>
      </c>
      <c r="I9043" s="6">
        <v>1650.7125000000001</v>
      </c>
      <c r="J9043" s="5">
        <v>12000</v>
      </c>
      <c r="K9043" s="6">
        <f t="shared" si="372"/>
        <v>1.3327578242728517</v>
      </c>
    </row>
    <row r="9044" spans="1:11">
      <c r="A9044" s="4">
        <v>2026</v>
      </c>
      <c r="B9044">
        <v>32</v>
      </c>
      <c r="C9044" t="s">
        <v>10</v>
      </c>
      <c r="D9044" t="s">
        <v>11</v>
      </c>
      <c r="E9044" t="s">
        <v>38</v>
      </c>
      <c r="F9044" t="s">
        <v>21</v>
      </c>
      <c r="G9044" t="str">
        <f t="shared" ref="G9044:G9106" si="373">+E9044&amp;F9044</f>
        <v>021SNOW BUBBLES</v>
      </c>
      <c r="H9044" s="5">
        <v>3880</v>
      </c>
      <c r="I9044" s="6">
        <v>1287.0000000000018</v>
      </c>
      <c r="J9044" s="5">
        <v>9400</v>
      </c>
      <c r="K9044" s="6">
        <f t="shared" si="372"/>
        <v>3.0147630147630107</v>
      </c>
    </row>
    <row r="9045" spans="1:11">
      <c r="A9045" s="4">
        <v>2026</v>
      </c>
      <c r="B9045">
        <v>32</v>
      </c>
      <c r="C9045" t="s">
        <v>10</v>
      </c>
      <c r="D9045" t="s">
        <v>11</v>
      </c>
      <c r="E9045" t="s">
        <v>43</v>
      </c>
      <c r="F9045" t="s">
        <v>24</v>
      </c>
      <c r="G9045" t="str">
        <f t="shared" si="373"/>
        <v>022FRUITY BUBBLES</v>
      </c>
      <c r="H9045" s="5">
        <v>5725</v>
      </c>
      <c r="I9045" s="6">
        <v>2641.14</v>
      </c>
      <c r="J9045" s="5">
        <v>19200</v>
      </c>
      <c r="K9045" s="6">
        <f t="shared" si="372"/>
        <v>2.1676245863528627</v>
      </c>
    </row>
    <row r="9046" spans="1:11">
      <c r="A9046" s="4">
        <v>2026</v>
      </c>
      <c r="B9046">
        <v>32</v>
      </c>
      <c r="C9046" t="s">
        <v>10</v>
      </c>
      <c r="D9046" t="s">
        <v>11</v>
      </c>
      <c r="E9046" t="s">
        <v>43</v>
      </c>
      <c r="F9046" t="s">
        <v>28</v>
      </c>
      <c r="G9046" t="str">
        <f t="shared" si="373"/>
        <v>022GOOD PEACH</v>
      </c>
      <c r="H9046" s="5">
        <v>2130</v>
      </c>
      <c r="I9046" s="6">
        <v>880.38</v>
      </c>
      <c r="J9046" s="5">
        <v>6400</v>
      </c>
      <c r="K9046" s="6">
        <f t="shared" si="372"/>
        <v>2.4194098003135012</v>
      </c>
    </row>
    <row r="9047" spans="1:11">
      <c r="A9047" s="4">
        <v>2026</v>
      </c>
      <c r="B9047">
        <v>32</v>
      </c>
      <c r="C9047" t="s">
        <v>10</v>
      </c>
      <c r="D9047" t="s">
        <v>11</v>
      </c>
      <c r="E9047" t="s">
        <v>43</v>
      </c>
      <c r="F9047" t="s">
        <v>44</v>
      </c>
      <c r="G9047" t="str">
        <f t="shared" si="373"/>
        <v>022MIRABEL</v>
      </c>
      <c r="H9047" s="5">
        <v>1760</v>
      </c>
      <c r="I9047" s="6">
        <v>880.38</v>
      </c>
      <c r="J9047" s="5">
        <v>6400</v>
      </c>
      <c r="K9047" s="6">
        <f t="shared" si="372"/>
        <v>1.9991367364092778</v>
      </c>
    </row>
    <row r="9048" spans="1:11">
      <c r="A9048" s="4">
        <v>2026</v>
      </c>
      <c r="B9048">
        <v>32</v>
      </c>
      <c r="C9048" t="s">
        <v>10</v>
      </c>
      <c r="D9048" t="s">
        <v>11</v>
      </c>
      <c r="E9048" t="s">
        <v>45</v>
      </c>
      <c r="F9048" t="s">
        <v>46</v>
      </c>
      <c r="G9048" t="str">
        <f t="shared" si="373"/>
        <v>026PURPLE BUBBLY</v>
      </c>
      <c r="H9048" s="5">
        <v>510</v>
      </c>
      <c r="I9048" s="6">
        <v>1755.4</v>
      </c>
      <c r="J9048" s="5">
        <v>12800</v>
      </c>
      <c r="K9048" s="6">
        <f t="shared" si="372"/>
        <v>0.29053207246211687</v>
      </c>
    </row>
    <row r="9049" spans="1:11">
      <c r="A9049" s="4">
        <v>2026</v>
      </c>
      <c r="B9049">
        <v>32</v>
      </c>
      <c r="C9049" t="s">
        <v>10</v>
      </c>
      <c r="D9049" t="s">
        <v>11</v>
      </c>
      <c r="E9049" t="s">
        <v>47</v>
      </c>
      <c r="F9049" t="s">
        <v>44</v>
      </c>
      <c r="G9049" t="str">
        <f t="shared" si="373"/>
        <v>030MIRABEL</v>
      </c>
      <c r="H9049" s="5">
        <v>3920</v>
      </c>
      <c r="I9049" s="6">
        <v>2413.6749943750001</v>
      </c>
      <c r="J9049" s="5">
        <v>17600</v>
      </c>
      <c r="K9049" s="6">
        <f t="shared" si="372"/>
        <v>1.6240794676729249</v>
      </c>
    </row>
    <row r="9050" spans="1:11">
      <c r="A9050" s="4">
        <v>2026</v>
      </c>
      <c r="B9050">
        <v>32</v>
      </c>
      <c r="C9050" t="s">
        <v>10</v>
      </c>
      <c r="D9050" t="s">
        <v>11</v>
      </c>
      <c r="E9050" t="s">
        <v>47</v>
      </c>
      <c r="F9050" t="s">
        <v>13</v>
      </c>
      <c r="G9050" t="str">
        <f t="shared" si="373"/>
        <v>030SOMERSET</v>
      </c>
      <c r="H9050" s="5">
        <v>4240</v>
      </c>
      <c r="I9050" s="6">
        <v>1645.6875</v>
      </c>
      <c r="J9050" s="5">
        <v>12000</v>
      </c>
      <c r="K9050" s="6">
        <f t="shared" si="372"/>
        <v>2.5764308229843151</v>
      </c>
    </row>
    <row r="9051" spans="1:11">
      <c r="A9051" s="4">
        <v>2026</v>
      </c>
      <c r="B9051">
        <v>32</v>
      </c>
      <c r="C9051" t="s">
        <v>10</v>
      </c>
      <c r="D9051" t="s">
        <v>11</v>
      </c>
      <c r="E9051" t="s">
        <v>48</v>
      </c>
      <c r="F9051" t="s">
        <v>49</v>
      </c>
      <c r="G9051" t="str">
        <f t="shared" si="373"/>
        <v>03182989</v>
      </c>
      <c r="H9051" s="5">
        <v>1680</v>
      </c>
      <c r="I9051" s="6">
        <v>726.32013058333712</v>
      </c>
      <c r="J9051" s="5">
        <v>5712</v>
      </c>
      <c r="K9051" s="6">
        <f t="shared" si="372"/>
        <v>2.313029653536828</v>
      </c>
    </row>
    <row r="9052" spans="1:11">
      <c r="A9052" s="4">
        <v>2026</v>
      </c>
      <c r="B9052">
        <v>32</v>
      </c>
      <c r="C9052" t="s">
        <v>10</v>
      </c>
      <c r="D9052" t="s">
        <v>11</v>
      </c>
      <c r="E9052" t="s">
        <v>48</v>
      </c>
      <c r="F9052" t="s">
        <v>34</v>
      </c>
      <c r="G9052" t="str">
        <f t="shared" si="373"/>
        <v>031RUBICON</v>
      </c>
      <c r="H9052" s="5">
        <v>2040</v>
      </c>
      <c r="I9052" s="6">
        <v>924.39958333667107</v>
      </c>
      <c r="J9052" s="5">
        <v>6720</v>
      </c>
      <c r="K9052" s="6">
        <f t="shared" si="372"/>
        <v>2.206837861865437</v>
      </c>
    </row>
    <row r="9053" spans="1:11">
      <c r="A9053" s="4">
        <v>2026</v>
      </c>
      <c r="B9053">
        <v>32</v>
      </c>
      <c r="C9053" t="s">
        <v>10</v>
      </c>
      <c r="D9053" t="s">
        <v>11</v>
      </c>
      <c r="E9053" t="s">
        <v>48</v>
      </c>
      <c r="F9053" t="s">
        <v>13</v>
      </c>
      <c r="G9053" t="str">
        <f t="shared" si="373"/>
        <v>031SOMERSET</v>
      </c>
      <c r="H9053" s="5">
        <v>2640</v>
      </c>
      <c r="I9053" s="6">
        <v>1122.485208333339</v>
      </c>
      <c r="J9053" s="5">
        <v>8160</v>
      </c>
      <c r="K9053" s="6">
        <f t="shared" si="372"/>
        <v>2.3519240880865238</v>
      </c>
    </row>
    <row r="9054" spans="1:11">
      <c r="A9054" s="4">
        <v>2026</v>
      </c>
      <c r="B9054">
        <v>32</v>
      </c>
      <c r="C9054" t="s">
        <v>10</v>
      </c>
      <c r="D9054" t="s">
        <v>11</v>
      </c>
      <c r="E9054" t="s">
        <v>48</v>
      </c>
      <c r="F9054" t="s">
        <v>50</v>
      </c>
      <c r="G9054" t="str">
        <f t="shared" si="373"/>
        <v>031VELVET BLOSSOMS</v>
      </c>
      <c r="H9054" s="5">
        <v>500</v>
      </c>
      <c r="I9054" s="6">
        <v>396.17125000000198</v>
      </c>
      <c r="J9054" s="5">
        <v>2880</v>
      </c>
      <c r="K9054" s="6">
        <f t="shared" si="372"/>
        <v>1.2620804765615816</v>
      </c>
    </row>
    <row r="9055" spans="1:11">
      <c r="A9055" s="4">
        <v>2026</v>
      </c>
      <c r="B9055">
        <v>32</v>
      </c>
      <c r="C9055" t="s">
        <v>10</v>
      </c>
      <c r="D9055" t="s">
        <v>11</v>
      </c>
      <c r="E9055" t="s">
        <v>51</v>
      </c>
      <c r="F9055" t="s">
        <v>17</v>
      </c>
      <c r="G9055" t="str">
        <f t="shared" si="373"/>
        <v>032ELBA</v>
      </c>
      <c r="H9055" s="5">
        <v>2850</v>
      </c>
      <c r="I9055" s="6">
        <v>1535.9749999999999</v>
      </c>
      <c r="J9055" s="5">
        <v>11200</v>
      </c>
      <c r="K9055" s="6">
        <f t="shared" si="372"/>
        <v>1.8554989501782257</v>
      </c>
    </row>
    <row r="9056" spans="1:11">
      <c r="A9056" s="4">
        <v>2026</v>
      </c>
      <c r="B9056">
        <v>32</v>
      </c>
      <c r="C9056" t="s">
        <v>10</v>
      </c>
      <c r="D9056" t="s">
        <v>11</v>
      </c>
      <c r="E9056" t="s">
        <v>51</v>
      </c>
      <c r="F9056" t="s">
        <v>44</v>
      </c>
      <c r="G9056" t="str">
        <f t="shared" si="373"/>
        <v>032MIRABEL</v>
      </c>
      <c r="H9056" s="5">
        <v>2140</v>
      </c>
      <c r="I9056" s="6">
        <v>1535.9749999999999</v>
      </c>
      <c r="J9056" s="5">
        <v>11200</v>
      </c>
      <c r="K9056" s="6">
        <f t="shared" si="372"/>
        <v>1.3932518432917202</v>
      </c>
    </row>
    <row r="9057" spans="1:11">
      <c r="A9057" s="4">
        <v>2026</v>
      </c>
      <c r="B9057">
        <v>32</v>
      </c>
      <c r="C9057" t="s">
        <v>10</v>
      </c>
      <c r="D9057" t="s">
        <v>11</v>
      </c>
      <c r="E9057" t="s">
        <v>52</v>
      </c>
      <c r="F9057" t="s">
        <v>53</v>
      </c>
      <c r="G9057" t="str">
        <f t="shared" si="373"/>
        <v>033CREAMY FOLIES</v>
      </c>
      <c r="H9057" s="5">
        <v>1410</v>
      </c>
      <c r="I9057" s="6">
        <v>594.25687500000299</v>
      </c>
      <c r="J9057" s="5">
        <v>4320</v>
      </c>
      <c r="K9057" s="6">
        <f t="shared" si="372"/>
        <v>2.3727112959357735</v>
      </c>
    </row>
    <row r="9058" spans="1:11">
      <c r="A9058" s="4">
        <v>2026</v>
      </c>
      <c r="B9058">
        <v>32</v>
      </c>
      <c r="C9058" t="s">
        <v>10</v>
      </c>
      <c r="D9058" t="s">
        <v>11</v>
      </c>
      <c r="E9058" t="s">
        <v>52</v>
      </c>
      <c r="F9058" t="s">
        <v>18</v>
      </c>
      <c r="G9058" t="str">
        <f t="shared" si="373"/>
        <v>033HOT BUBBLES</v>
      </c>
      <c r="H9058" s="5">
        <v>2660</v>
      </c>
      <c r="I9058" s="6">
        <v>2575.1131250013459</v>
      </c>
      <c r="J9058" s="5">
        <v>18720</v>
      </c>
      <c r="K9058" s="6">
        <f t="shared" si="372"/>
        <v>1.032964328508329</v>
      </c>
    </row>
    <row r="9059" spans="1:11">
      <c r="A9059" s="4">
        <v>2026</v>
      </c>
      <c r="B9059">
        <v>32</v>
      </c>
      <c r="C9059" t="s">
        <v>54</v>
      </c>
      <c r="D9059" t="s">
        <v>11</v>
      </c>
      <c r="E9059" t="s">
        <v>55</v>
      </c>
      <c r="F9059" t="s">
        <v>56</v>
      </c>
      <c r="G9059" t="str">
        <f t="shared" si="373"/>
        <v>001BELIEVE IN PINK</v>
      </c>
      <c r="H9059" s="5">
        <v>1410</v>
      </c>
      <c r="I9059" s="6">
        <v>528.37931032368999</v>
      </c>
      <c r="J9059" s="5">
        <v>4000</v>
      </c>
      <c r="K9059" s="6">
        <f t="shared" ref="K9059:K9064" si="374">IFERROR(H9059/I9059,"")</f>
        <v>2.6685374927648495</v>
      </c>
    </row>
    <row r="9060" spans="1:11">
      <c r="A9060" s="4">
        <v>2026</v>
      </c>
      <c r="B9060">
        <v>32</v>
      </c>
      <c r="C9060" t="s">
        <v>54</v>
      </c>
      <c r="D9060" t="s">
        <v>11</v>
      </c>
      <c r="E9060" t="s">
        <v>55</v>
      </c>
      <c r="F9060" t="s">
        <v>57</v>
      </c>
      <c r="G9060" t="str">
        <f t="shared" si="373"/>
        <v>001EXPLORER</v>
      </c>
      <c r="H9060" s="5">
        <v>3400</v>
      </c>
      <c r="I9060" s="6">
        <v>2272.0310343918732</v>
      </c>
      <c r="J9060" s="5">
        <v>17200</v>
      </c>
      <c r="K9060" s="6">
        <f t="shared" si="374"/>
        <v>1.4964584323602941</v>
      </c>
    </row>
    <row r="9061" spans="1:11">
      <c r="A9061" s="4">
        <v>2026</v>
      </c>
      <c r="B9061">
        <v>32</v>
      </c>
      <c r="C9061" t="s">
        <v>54</v>
      </c>
      <c r="D9061" t="s">
        <v>11</v>
      </c>
      <c r="E9061" t="s">
        <v>55</v>
      </c>
      <c r="F9061" t="s">
        <v>58</v>
      </c>
      <c r="G9061" t="str">
        <f t="shared" si="373"/>
        <v>001GRACE KELLY</v>
      </c>
      <c r="H9061" s="5">
        <v>1530</v>
      </c>
      <c r="I9061" s="6">
        <v>1162.4344827121224</v>
      </c>
      <c r="J9061" s="5">
        <v>8800</v>
      </c>
      <c r="K9061" s="6">
        <f t="shared" si="374"/>
        <v>1.3162032120987117</v>
      </c>
    </row>
    <row r="9062" spans="1:11">
      <c r="A9062" s="4">
        <v>2026</v>
      </c>
      <c r="B9062">
        <v>32</v>
      </c>
      <c r="C9062" t="s">
        <v>54</v>
      </c>
      <c r="D9062" t="s">
        <v>11</v>
      </c>
      <c r="E9062" t="s">
        <v>55</v>
      </c>
      <c r="F9062" t="s">
        <v>60</v>
      </c>
      <c r="G9062" t="str">
        <f t="shared" si="373"/>
        <v>001LIGHT HOUSE</v>
      </c>
      <c r="H9062" s="5">
        <v>1590</v>
      </c>
      <c r="I9062" s="6">
        <v>1056.7586206473827</v>
      </c>
      <c r="J9062" s="5">
        <v>8000</v>
      </c>
      <c r="K9062" s="6">
        <f t="shared" si="374"/>
        <v>1.5046009267716665</v>
      </c>
    </row>
    <row r="9063" spans="1:11">
      <c r="A9063" s="4">
        <v>2026</v>
      </c>
      <c r="B9063">
        <v>32</v>
      </c>
      <c r="C9063" t="s">
        <v>54</v>
      </c>
      <c r="D9063" t="s">
        <v>11</v>
      </c>
      <c r="E9063" t="s">
        <v>55</v>
      </c>
      <c r="F9063" t="s">
        <v>61</v>
      </c>
      <c r="G9063" t="str">
        <f t="shared" si="373"/>
        <v>001LUMIA</v>
      </c>
      <c r="H9063" s="5">
        <v>3310</v>
      </c>
      <c r="I9063" s="6">
        <v>1109.596551679753</v>
      </c>
      <c r="J9063" s="5">
        <v>8400</v>
      </c>
      <c r="K9063" s="6">
        <f t="shared" si="374"/>
        <v>2.983066227980959</v>
      </c>
    </row>
    <row r="9064" spans="1:11">
      <c r="A9064" s="4">
        <v>2026</v>
      </c>
      <c r="B9064">
        <v>32</v>
      </c>
      <c r="C9064" t="s">
        <v>54</v>
      </c>
      <c r="D9064" t="s">
        <v>11</v>
      </c>
      <c r="E9064" t="s">
        <v>55</v>
      </c>
      <c r="F9064" t="s">
        <v>62</v>
      </c>
      <c r="G9064" t="str">
        <f t="shared" si="373"/>
        <v>001MOMENTUM</v>
      </c>
      <c r="H9064" s="5">
        <v>4200</v>
      </c>
      <c r="I9064" s="6">
        <v>1902.1655171652881</v>
      </c>
      <c r="J9064" s="5">
        <v>14400</v>
      </c>
      <c r="K9064" s="6">
        <f t="shared" si="374"/>
        <v>2.2080097457865135</v>
      </c>
    </row>
    <row r="9065" spans="1:11">
      <c r="A9065" s="4">
        <v>2026</v>
      </c>
      <c r="B9065">
        <v>32</v>
      </c>
      <c r="C9065" t="s">
        <v>54</v>
      </c>
      <c r="D9065" t="s">
        <v>11</v>
      </c>
      <c r="E9065" t="s">
        <v>12</v>
      </c>
      <c r="F9065" t="s">
        <v>63</v>
      </c>
      <c r="G9065" t="str">
        <f t="shared" si="373"/>
        <v>002SUMMER ROMANCE</v>
      </c>
      <c r="H9065" s="5">
        <v>1150</v>
      </c>
      <c r="I9065" s="6">
        <v>951.10714281909407</v>
      </c>
      <c r="J9065" s="5">
        <v>7200</v>
      </c>
      <c r="K9065" s="6">
        <f t="shared" ref="K9065:K9128" si="375">+H9065/I9065</f>
        <v>1.2091171942956762</v>
      </c>
    </row>
    <row r="9066" spans="1:11">
      <c r="A9066" s="4">
        <v>2026</v>
      </c>
      <c r="B9066">
        <v>32</v>
      </c>
      <c r="C9066" t="s">
        <v>54</v>
      </c>
      <c r="D9066" t="s">
        <v>11</v>
      </c>
      <c r="E9066" t="s">
        <v>12</v>
      </c>
      <c r="F9066" t="s">
        <v>64</v>
      </c>
      <c r="G9066" t="str">
        <f t="shared" si="373"/>
        <v>002SWEETNESS</v>
      </c>
      <c r="H9066" s="5">
        <v>7080</v>
      </c>
      <c r="I9066" s="6">
        <v>3804.4285712763772</v>
      </c>
      <c r="J9066" s="5">
        <v>28800</v>
      </c>
      <c r="K9066" s="6">
        <f t="shared" si="375"/>
        <v>1.8609890729594316</v>
      </c>
    </row>
    <row r="9067" spans="1:11">
      <c r="A9067" s="4">
        <v>2026</v>
      </c>
      <c r="B9067">
        <v>32</v>
      </c>
      <c r="C9067" t="s">
        <v>54</v>
      </c>
      <c r="D9067" t="s">
        <v>11</v>
      </c>
      <c r="E9067" t="s">
        <v>65</v>
      </c>
      <c r="F9067" t="s">
        <v>66</v>
      </c>
      <c r="G9067" t="str">
        <f t="shared" si="373"/>
        <v>003CABARET</v>
      </c>
      <c r="H9067" s="5">
        <v>4920</v>
      </c>
      <c r="I9067" s="6">
        <v>2641.8965516184649</v>
      </c>
      <c r="J9067" s="5">
        <v>20000</v>
      </c>
      <c r="K9067" s="6">
        <f t="shared" si="375"/>
        <v>1.8622985055890759</v>
      </c>
    </row>
    <row r="9068" spans="1:11">
      <c r="A9068" s="4">
        <v>2026</v>
      </c>
      <c r="B9068">
        <v>32</v>
      </c>
      <c r="C9068" t="s">
        <v>54</v>
      </c>
      <c r="D9068" t="s">
        <v>11</v>
      </c>
      <c r="E9068" t="s">
        <v>65</v>
      </c>
      <c r="F9068" t="s">
        <v>67</v>
      </c>
      <c r="G9068" t="str">
        <f t="shared" si="373"/>
        <v>003DEEP PURPLE</v>
      </c>
      <c r="H9068" s="5">
        <v>9930</v>
      </c>
      <c r="I9068" s="6">
        <v>3592.9793102010913</v>
      </c>
      <c r="J9068" s="5">
        <v>26044</v>
      </c>
      <c r="K9068" s="6">
        <f t="shared" si="375"/>
        <v>2.7637231229823698</v>
      </c>
    </row>
    <row r="9069" spans="1:11">
      <c r="A9069" s="4">
        <v>2026</v>
      </c>
      <c r="B9069">
        <v>32</v>
      </c>
      <c r="C9069" t="s">
        <v>54</v>
      </c>
      <c r="D9069" t="s">
        <v>11</v>
      </c>
      <c r="E9069" t="s">
        <v>65</v>
      </c>
      <c r="F9069" t="s">
        <v>57</v>
      </c>
      <c r="G9069" t="str">
        <f t="shared" si="373"/>
        <v>003EXPLORER</v>
      </c>
      <c r="H9069" s="5">
        <v>2050</v>
      </c>
      <c r="I9069" s="6">
        <v>1268.1103447768633</v>
      </c>
      <c r="J9069" s="5">
        <v>9600</v>
      </c>
      <c r="K9069" s="6">
        <f t="shared" si="375"/>
        <v>1.6165785638794059</v>
      </c>
    </row>
    <row r="9070" spans="1:11">
      <c r="A9070" s="4">
        <v>2026</v>
      </c>
      <c r="B9070">
        <v>32</v>
      </c>
      <c r="C9070" t="s">
        <v>54</v>
      </c>
      <c r="D9070" t="s">
        <v>11</v>
      </c>
      <c r="E9070" t="s">
        <v>65</v>
      </c>
      <c r="F9070" t="s">
        <v>68</v>
      </c>
      <c r="G9070" t="str">
        <f t="shared" si="373"/>
        <v>003JOCKER</v>
      </c>
      <c r="H9070" s="5">
        <v>1200</v>
      </c>
      <c r="I9070" s="6">
        <v>528.37931032368999</v>
      </c>
      <c r="J9070" s="5">
        <v>4000</v>
      </c>
      <c r="K9070" s="6">
        <f t="shared" si="375"/>
        <v>2.2710957385232762</v>
      </c>
    </row>
    <row r="9071" spans="1:11">
      <c r="A9071" s="4">
        <v>2026</v>
      </c>
      <c r="B9071">
        <v>32</v>
      </c>
      <c r="C9071" t="s">
        <v>54</v>
      </c>
      <c r="D9071" t="s">
        <v>11</v>
      </c>
      <c r="E9071" t="s">
        <v>65</v>
      </c>
      <c r="F9071" t="s">
        <v>69</v>
      </c>
      <c r="G9071" t="str">
        <f t="shared" si="373"/>
        <v>003QUICKSAND</v>
      </c>
      <c r="H9071" s="5">
        <v>2190</v>
      </c>
      <c r="I9071" s="6">
        <v>1162.4344827121247</v>
      </c>
      <c r="J9071" s="5">
        <v>8800</v>
      </c>
      <c r="K9071" s="6">
        <f t="shared" si="375"/>
        <v>1.883977146729525</v>
      </c>
    </row>
    <row r="9072" spans="1:11">
      <c r="A9072" s="4">
        <v>2026</v>
      </c>
      <c r="B9072">
        <v>32</v>
      </c>
      <c r="C9072" t="s">
        <v>54</v>
      </c>
      <c r="D9072" t="s">
        <v>11</v>
      </c>
      <c r="E9072" t="s">
        <v>14</v>
      </c>
      <c r="F9072" t="s">
        <v>70</v>
      </c>
      <c r="G9072" t="str">
        <f t="shared" si="373"/>
        <v>004COTOPAXI</v>
      </c>
      <c r="H9072" s="5">
        <v>1380</v>
      </c>
      <c r="I9072" s="6">
        <v>528.3915024419166</v>
      </c>
      <c r="J9072" s="5">
        <v>4000</v>
      </c>
      <c r="K9072" s="6">
        <f t="shared" si="375"/>
        <v>2.6116998354864656</v>
      </c>
    </row>
    <row r="9073" spans="1:11">
      <c r="A9073" s="4">
        <v>2026</v>
      </c>
      <c r="B9073">
        <v>32</v>
      </c>
      <c r="C9073" t="s">
        <v>54</v>
      </c>
      <c r="D9073" t="s">
        <v>11</v>
      </c>
      <c r="E9073" t="s">
        <v>14</v>
      </c>
      <c r="F9073" t="s">
        <v>67</v>
      </c>
      <c r="G9073" t="str">
        <f t="shared" si="373"/>
        <v>004DEEP PURPLE</v>
      </c>
      <c r="H9073" s="5">
        <v>12570</v>
      </c>
      <c r="I9073" s="6">
        <v>3910.1071427007282</v>
      </c>
      <c r="J9073" s="5">
        <v>29260</v>
      </c>
      <c r="K9073" s="6">
        <f t="shared" si="375"/>
        <v>3.2147456684058651</v>
      </c>
    </row>
    <row r="9074" spans="1:11">
      <c r="A9074" s="4">
        <v>2026</v>
      </c>
      <c r="B9074">
        <v>32</v>
      </c>
      <c r="C9074" t="s">
        <v>54</v>
      </c>
      <c r="D9074" t="s">
        <v>11</v>
      </c>
      <c r="E9074" t="s">
        <v>14</v>
      </c>
      <c r="F9074" t="s">
        <v>71</v>
      </c>
      <c r="G9074" t="str">
        <f t="shared" si="373"/>
        <v>004HOT EXPLORER</v>
      </c>
      <c r="H9074" s="5">
        <v>2300</v>
      </c>
      <c r="I9074" s="6">
        <v>1902.2142856381945</v>
      </c>
      <c r="J9074" s="5">
        <v>14400</v>
      </c>
      <c r="K9074" s="6">
        <f t="shared" si="375"/>
        <v>1.2091171942956722</v>
      </c>
    </row>
    <row r="9075" spans="1:11">
      <c r="A9075" s="4">
        <v>2026</v>
      </c>
      <c r="B9075">
        <v>32</v>
      </c>
      <c r="C9075" t="s">
        <v>54</v>
      </c>
      <c r="D9075" t="s">
        <v>11</v>
      </c>
      <c r="E9075" t="s">
        <v>14</v>
      </c>
      <c r="F9075" t="s">
        <v>72</v>
      </c>
      <c r="G9075" t="str">
        <f t="shared" si="373"/>
        <v>004HOT MERENGUE</v>
      </c>
      <c r="H9075" s="5">
        <v>2220</v>
      </c>
      <c r="I9075" s="6">
        <v>1162.4642856677858</v>
      </c>
      <c r="J9075" s="5">
        <v>8800</v>
      </c>
      <c r="K9075" s="6">
        <f t="shared" si="375"/>
        <v>1.9097360902788556</v>
      </c>
    </row>
    <row r="9076" spans="1:11">
      <c r="A9076" s="4">
        <v>2026</v>
      </c>
      <c r="B9076">
        <v>32</v>
      </c>
      <c r="C9076" t="s">
        <v>54</v>
      </c>
      <c r="D9076" t="s">
        <v>11</v>
      </c>
      <c r="E9076" t="s">
        <v>14</v>
      </c>
      <c r="F9076" t="s">
        <v>64</v>
      </c>
      <c r="G9076" t="str">
        <f t="shared" si="373"/>
        <v>004SWEETNESS</v>
      </c>
      <c r="H9076" s="5">
        <v>840</v>
      </c>
      <c r="I9076" s="6">
        <v>317.03571427303262</v>
      </c>
      <c r="J9076" s="5">
        <v>2400</v>
      </c>
      <c r="K9076" s="6">
        <f t="shared" si="375"/>
        <v>2.649543764891384</v>
      </c>
    </row>
    <row r="9077" spans="1:11">
      <c r="A9077" s="4">
        <v>2026</v>
      </c>
      <c r="B9077">
        <v>32</v>
      </c>
      <c r="C9077" t="s">
        <v>54</v>
      </c>
      <c r="D9077" t="s">
        <v>11</v>
      </c>
      <c r="E9077" t="s">
        <v>16</v>
      </c>
      <c r="F9077" t="s">
        <v>57</v>
      </c>
      <c r="G9077" t="str">
        <f t="shared" si="373"/>
        <v>005EXPLORER</v>
      </c>
      <c r="H9077" s="5">
        <v>1000</v>
      </c>
      <c r="I9077" s="6">
        <v>951.10714281875391</v>
      </c>
      <c r="J9077" s="5">
        <v>7200</v>
      </c>
      <c r="K9077" s="6">
        <f t="shared" si="375"/>
        <v>1.0514062559096597</v>
      </c>
    </row>
    <row r="9078" spans="1:11">
      <c r="A9078" s="4">
        <v>2026</v>
      </c>
      <c r="B9078">
        <v>32</v>
      </c>
      <c r="C9078" t="s">
        <v>54</v>
      </c>
      <c r="D9078" t="s">
        <v>11</v>
      </c>
      <c r="E9078" t="s">
        <v>16</v>
      </c>
      <c r="F9078" t="s">
        <v>73</v>
      </c>
      <c r="G9078" t="str">
        <f t="shared" si="373"/>
        <v>005GOLDFINCH</v>
      </c>
      <c r="H9078" s="5">
        <v>825</v>
      </c>
      <c r="I9078" s="6">
        <v>898.26785710660101</v>
      </c>
      <c r="J9078" s="5">
        <v>6800</v>
      </c>
      <c r="K9078" s="6">
        <f t="shared" si="375"/>
        <v>0.91843428825049678</v>
      </c>
    </row>
    <row r="9079" spans="1:11">
      <c r="A9079" s="4">
        <v>2026</v>
      </c>
      <c r="B9079">
        <v>32</v>
      </c>
      <c r="C9079" t="s">
        <v>54</v>
      </c>
      <c r="D9079" t="s">
        <v>11</v>
      </c>
      <c r="E9079" t="s">
        <v>16</v>
      </c>
      <c r="F9079" t="s">
        <v>68</v>
      </c>
      <c r="G9079" t="str">
        <f t="shared" si="373"/>
        <v>005JOCKER</v>
      </c>
      <c r="H9079" s="5">
        <v>1950</v>
      </c>
      <c r="I9079" s="6">
        <v>1162.4642856673661</v>
      </c>
      <c r="J9079" s="5">
        <v>8800</v>
      </c>
      <c r="K9079" s="6">
        <f t="shared" si="375"/>
        <v>1.6774708901104112</v>
      </c>
    </row>
    <row r="9080" spans="1:11">
      <c r="A9080" s="4">
        <v>2026</v>
      </c>
      <c r="B9080">
        <v>32</v>
      </c>
      <c r="C9080" t="s">
        <v>54</v>
      </c>
      <c r="D9080" t="s">
        <v>11</v>
      </c>
      <c r="E9080" t="s">
        <v>16</v>
      </c>
      <c r="F9080" t="s">
        <v>74</v>
      </c>
      <c r="G9080" t="str">
        <f t="shared" si="373"/>
        <v>005VENDELA</v>
      </c>
      <c r="H9080" s="5">
        <v>2190</v>
      </c>
      <c r="I9080" s="6">
        <v>686.91071425798896</v>
      </c>
      <c r="J9080" s="5">
        <v>5200</v>
      </c>
      <c r="K9080" s="6">
        <f t="shared" si="375"/>
        <v>3.1881872775352909</v>
      </c>
    </row>
    <row r="9081" spans="1:11">
      <c r="A9081" s="4">
        <v>2026</v>
      </c>
      <c r="B9081">
        <v>32</v>
      </c>
      <c r="C9081" t="s">
        <v>54</v>
      </c>
      <c r="D9081" t="s">
        <v>11</v>
      </c>
      <c r="E9081" t="s">
        <v>75</v>
      </c>
      <c r="F9081" t="s">
        <v>76</v>
      </c>
      <c r="G9081" t="str">
        <f t="shared" si="373"/>
        <v>006ATOMIC</v>
      </c>
      <c r="H9081" s="5">
        <v>925</v>
      </c>
      <c r="I9081" s="6">
        <v>845.428571394752</v>
      </c>
      <c r="J9081" s="5">
        <v>6400</v>
      </c>
      <c r="K9081" s="6">
        <f t="shared" si="375"/>
        <v>1.0941196350555962</v>
      </c>
    </row>
    <row r="9082" spans="1:11">
      <c r="A9082" s="4">
        <v>2026</v>
      </c>
      <c r="B9082">
        <v>32</v>
      </c>
      <c r="C9082" t="s">
        <v>54</v>
      </c>
      <c r="D9082" t="s">
        <v>11</v>
      </c>
      <c r="E9082" t="s">
        <v>75</v>
      </c>
      <c r="F9082" t="s">
        <v>57</v>
      </c>
      <c r="G9082" t="str">
        <f t="shared" si="373"/>
        <v>006EXPLORER</v>
      </c>
      <c r="H9082" s="5">
        <v>5375</v>
      </c>
      <c r="I9082" s="6">
        <v>3910.1071427007355</v>
      </c>
      <c r="J9082" s="5">
        <v>29600</v>
      </c>
      <c r="K9082" s="6">
        <f t="shared" si="375"/>
        <v>1.3746426386381458</v>
      </c>
    </row>
    <row r="9083" spans="1:11">
      <c r="A9083" s="4">
        <v>2026</v>
      </c>
      <c r="B9083">
        <v>32</v>
      </c>
      <c r="C9083" t="s">
        <v>54</v>
      </c>
      <c r="D9083" t="s">
        <v>11</v>
      </c>
      <c r="E9083" t="s">
        <v>75</v>
      </c>
      <c r="F9083" t="s">
        <v>77</v>
      </c>
      <c r="G9083" t="str">
        <f t="shared" si="373"/>
        <v>006MONDIAL</v>
      </c>
      <c r="H9083" s="5">
        <v>6250</v>
      </c>
      <c r="I9083" s="6">
        <v>4015.7857141250793</v>
      </c>
      <c r="J9083" s="5">
        <v>30400</v>
      </c>
      <c r="K9083" s="6">
        <f t="shared" si="375"/>
        <v>1.5563579446025519</v>
      </c>
    </row>
    <row r="9084" spans="1:11">
      <c r="A9084" s="4">
        <v>2026</v>
      </c>
      <c r="B9084">
        <v>32</v>
      </c>
      <c r="C9084" t="s">
        <v>54</v>
      </c>
      <c r="D9084" t="s">
        <v>11</v>
      </c>
      <c r="E9084" t="s">
        <v>20</v>
      </c>
      <c r="F9084" t="s">
        <v>70</v>
      </c>
      <c r="G9084" t="str">
        <f t="shared" si="373"/>
        <v>007COTOPAXI</v>
      </c>
      <c r="H9084" s="5">
        <v>5730</v>
      </c>
      <c r="I9084" s="6">
        <v>2747.5751230427709</v>
      </c>
      <c r="J9084" s="5">
        <v>20800</v>
      </c>
      <c r="K9084" s="6">
        <f t="shared" si="375"/>
        <v>2.0854752803462482</v>
      </c>
    </row>
    <row r="9085" spans="1:11">
      <c r="A9085" s="4">
        <v>2026</v>
      </c>
      <c r="B9085">
        <v>32</v>
      </c>
      <c r="C9085" t="s">
        <v>54</v>
      </c>
      <c r="D9085" t="s">
        <v>11</v>
      </c>
      <c r="E9085" t="s">
        <v>20</v>
      </c>
      <c r="F9085" t="s">
        <v>78</v>
      </c>
      <c r="G9085" t="str">
        <f t="shared" si="373"/>
        <v>007REDIANT</v>
      </c>
      <c r="H9085" s="5">
        <v>1200</v>
      </c>
      <c r="I9085" s="6">
        <v>1056.75862064738</v>
      </c>
      <c r="J9085" s="5">
        <v>9600</v>
      </c>
      <c r="K9085" s="6">
        <f t="shared" si="375"/>
        <v>1.1355478692616381</v>
      </c>
    </row>
    <row r="9086" spans="1:11">
      <c r="A9086" s="4">
        <v>2026</v>
      </c>
      <c r="B9086">
        <v>32</v>
      </c>
      <c r="C9086" t="s">
        <v>54</v>
      </c>
      <c r="D9086" t="s">
        <v>11</v>
      </c>
      <c r="E9086" t="s">
        <v>20</v>
      </c>
      <c r="F9086" t="s">
        <v>63</v>
      </c>
      <c r="G9086" t="str">
        <f t="shared" si="373"/>
        <v>007SUMMER ROMANCE</v>
      </c>
      <c r="H9086" s="5">
        <v>300</v>
      </c>
      <c r="I9086" s="6">
        <v>317.02758619421581</v>
      </c>
      <c r="J9086" s="5">
        <v>2640</v>
      </c>
      <c r="K9086" s="6">
        <f t="shared" si="375"/>
        <v>0.94628989105135963</v>
      </c>
    </row>
    <row r="9087" spans="1:11">
      <c r="A9087" s="4">
        <v>2026</v>
      </c>
      <c r="B9087">
        <v>32</v>
      </c>
      <c r="C9087" t="s">
        <v>54</v>
      </c>
      <c r="D9087" t="s">
        <v>11</v>
      </c>
      <c r="E9087" t="s">
        <v>20</v>
      </c>
      <c r="F9087" t="s">
        <v>114</v>
      </c>
      <c r="G9087" t="str">
        <f t="shared" si="373"/>
        <v>007TOPACIO</v>
      </c>
      <c r="H9087" s="5">
        <v>0</v>
      </c>
      <c r="I9087" s="6">
        <v>52.837931032368999</v>
      </c>
      <c r="J9087" s="5">
        <v>440</v>
      </c>
      <c r="K9087" s="6">
        <f t="shared" si="375"/>
        <v>0</v>
      </c>
    </row>
    <row r="9088" spans="1:11">
      <c r="A9088" s="4">
        <v>2026</v>
      </c>
      <c r="B9088">
        <v>32</v>
      </c>
      <c r="C9088" t="s">
        <v>54</v>
      </c>
      <c r="D9088" t="s">
        <v>11</v>
      </c>
      <c r="E9088" t="s">
        <v>20</v>
      </c>
      <c r="F9088" t="s">
        <v>74</v>
      </c>
      <c r="G9088" t="str">
        <f t="shared" si="373"/>
        <v>007VENDELA</v>
      </c>
      <c r="H9088" s="5">
        <v>14790</v>
      </c>
      <c r="I9088" s="6">
        <v>3592.9793102011122</v>
      </c>
      <c r="J9088" s="5">
        <v>27820</v>
      </c>
      <c r="K9088" s="6">
        <f t="shared" si="375"/>
        <v>4.1163610260734149</v>
      </c>
    </row>
    <row r="9089" spans="1:11">
      <c r="A9089" s="4">
        <v>2026</v>
      </c>
      <c r="B9089">
        <v>32</v>
      </c>
      <c r="C9089" t="s">
        <v>54</v>
      </c>
      <c r="D9089" t="s">
        <v>11</v>
      </c>
      <c r="E9089" t="s">
        <v>79</v>
      </c>
      <c r="F9089" t="s">
        <v>67</v>
      </c>
      <c r="G9089" t="str">
        <f t="shared" si="373"/>
        <v>008DEEP PURPLE</v>
      </c>
      <c r="H9089" s="5">
        <v>5970</v>
      </c>
      <c r="I9089" s="6">
        <v>1585.2222221588099</v>
      </c>
      <c r="J9089" s="5">
        <v>11490</v>
      </c>
      <c r="K9089" s="6">
        <f t="shared" si="375"/>
        <v>3.7660335040407453</v>
      </c>
    </row>
    <row r="9090" spans="1:11">
      <c r="A9090" s="4">
        <v>2026</v>
      </c>
      <c r="B9090">
        <v>32</v>
      </c>
      <c r="C9090" t="s">
        <v>54</v>
      </c>
      <c r="D9090" t="s">
        <v>11</v>
      </c>
      <c r="E9090" t="s">
        <v>79</v>
      </c>
      <c r="F9090" t="s">
        <v>81</v>
      </c>
      <c r="G9090" t="str">
        <f t="shared" si="373"/>
        <v>008FREEDOM</v>
      </c>
      <c r="H9090" s="5">
        <v>3330</v>
      </c>
      <c r="I9090" s="6">
        <v>2219.311111022334</v>
      </c>
      <c r="J9090" s="5">
        <v>16800</v>
      </c>
      <c r="K9090" s="6">
        <f t="shared" si="375"/>
        <v>1.500465610009055</v>
      </c>
    </row>
    <row r="9091" spans="1:11">
      <c r="A9091" s="4">
        <v>2026</v>
      </c>
      <c r="B9091">
        <v>32</v>
      </c>
      <c r="C9091" t="s">
        <v>54</v>
      </c>
      <c r="D9091" t="s">
        <v>11</v>
      </c>
      <c r="E9091" t="s">
        <v>79</v>
      </c>
      <c r="F9091" t="s">
        <v>68</v>
      </c>
      <c r="G9091" t="str">
        <f t="shared" si="373"/>
        <v>008JOCKER</v>
      </c>
      <c r="H9091" s="5">
        <v>4975</v>
      </c>
      <c r="I9091" s="6">
        <v>2959.0814813631118</v>
      </c>
      <c r="J9091" s="5">
        <v>22400</v>
      </c>
      <c r="K9091" s="6">
        <f t="shared" si="375"/>
        <v>1.6812649571610472</v>
      </c>
    </row>
    <row r="9092" spans="1:11">
      <c r="A9092" s="4">
        <v>2026</v>
      </c>
      <c r="B9092">
        <v>32</v>
      </c>
      <c r="C9092" t="s">
        <v>54</v>
      </c>
      <c r="D9092" t="s">
        <v>11</v>
      </c>
      <c r="E9092" t="s">
        <v>79</v>
      </c>
      <c r="F9092" t="s">
        <v>63</v>
      </c>
      <c r="G9092" t="str">
        <f t="shared" si="373"/>
        <v>008SUMMER ROMANCE</v>
      </c>
      <c r="H9092" s="5">
        <v>0</v>
      </c>
      <c r="I9092" s="6">
        <v>1796.5851851133182</v>
      </c>
      <c r="J9092" s="5">
        <v>13600</v>
      </c>
      <c r="K9092" s="6">
        <f t="shared" si="375"/>
        <v>0</v>
      </c>
    </row>
    <row r="9093" spans="1:11">
      <c r="A9093" s="4">
        <v>2026</v>
      </c>
      <c r="B9093">
        <v>32</v>
      </c>
      <c r="C9093" t="s">
        <v>54</v>
      </c>
      <c r="D9093" t="s">
        <v>11</v>
      </c>
      <c r="E9093" t="s">
        <v>82</v>
      </c>
      <c r="F9093" t="s">
        <v>83</v>
      </c>
      <c r="G9093" t="str">
        <f t="shared" si="373"/>
        <v>010COOLDOWN</v>
      </c>
      <c r="H9093" s="5">
        <v>1600</v>
      </c>
      <c r="I9093" s="6">
        <v>1912.3542857142861</v>
      </c>
      <c r="J9093" s="5">
        <v>16320</v>
      </c>
      <c r="K9093" s="6">
        <f t="shared" si="375"/>
        <v>0.83666505309834982</v>
      </c>
    </row>
    <row r="9094" spans="1:11">
      <c r="A9094" s="4">
        <v>2026</v>
      </c>
      <c r="B9094">
        <v>32</v>
      </c>
      <c r="C9094" t="s">
        <v>54</v>
      </c>
      <c r="D9094" t="s">
        <v>11</v>
      </c>
      <c r="E9094" t="s">
        <v>82</v>
      </c>
      <c r="F9094" t="s">
        <v>84</v>
      </c>
      <c r="G9094" t="str">
        <f t="shared" si="373"/>
        <v>010VIOLET HILL</v>
      </c>
      <c r="H9094" s="5">
        <v>2700</v>
      </c>
      <c r="I9094" s="6">
        <v>2812.2857142428579</v>
      </c>
      <c r="J9094" s="5">
        <v>20000</v>
      </c>
      <c r="K9094" s="6">
        <f t="shared" si="375"/>
        <v>0.96007314844498715</v>
      </c>
    </row>
    <row r="9095" spans="1:11">
      <c r="A9095" s="4">
        <v>2026</v>
      </c>
      <c r="B9095">
        <v>32</v>
      </c>
      <c r="C9095" t="s">
        <v>54</v>
      </c>
      <c r="D9095" t="s">
        <v>11</v>
      </c>
      <c r="E9095" t="s">
        <v>85</v>
      </c>
      <c r="F9095" t="s">
        <v>86</v>
      </c>
      <c r="G9095" t="str">
        <f t="shared" si="373"/>
        <v>011BRIGHTON</v>
      </c>
      <c r="H9095" s="5">
        <v>4375</v>
      </c>
      <c r="I9095" s="6">
        <v>1768.8376470588223</v>
      </c>
      <c r="J9095" s="5">
        <v>12800</v>
      </c>
      <c r="K9095" s="6">
        <f t="shared" si="375"/>
        <v>2.4733756697651916</v>
      </c>
    </row>
    <row r="9096" spans="1:11">
      <c r="A9096" s="4">
        <v>2026</v>
      </c>
      <c r="B9096">
        <v>32</v>
      </c>
      <c r="C9096" t="s">
        <v>54</v>
      </c>
      <c r="D9096" t="s">
        <v>11</v>
      </c>
      <c r="E9096" t="s">
        <v>85</v>
      </c>
      <c r="F9096" t="s">
        <v>87</v>
      </c>
      <c r="G9096" t="str">
        <f t="shared" si="373"/>
        <v>011CANDLELIGHT</v>
      </c>
      <c r="H9096" s="5">
        <v>3880</v>
      </c>
      <c r="I9096" s="6">
        <v>2263.7999998868127</v>
      </c>
      <c r="J9096" s="5">
        <v>17920</v>
      </c>
      <c r="K9096" s="6">
        <f t="shared" si="375"/>
        <v>1.7139323262629187</v>
      </c>
    </row>
    <row r="9097" spans="1:11">
      <c r="A9097" s="4">
        <v>2026</v>
      </c>
      <c r="B9097">
        <v>32</v>
      </c>
      <c r="C9097" t="s">
        <v>54</v>
      </c>
      <c r="D9097" t="s">
        <v>11</v>
      </c>
      <c r="E9097" t="s">
        <v>85</v>
      </c>
      <c r="F9097" t="s">
        <v>88</v>
      </c>
      <c r="G9097" t="str">
        <f t="shared" si="373"/>
        <v>011CAYENNE</v>
      </c>
      <c r="H9097" s="5">
        <v>1140</v>
      </c>
      <c r="I9097" s="6">
        <v>994.97117647058747</v>
      </c>
      <c r="J9097" s="5">
        <v>7200</v>
      </c>
      <c r="K9097" s="6">
        <f t="shared" si="375"/>
        <v>1.1457618340702755</v>
      </c>
    </row>
    <row r="9098" spans="1:11">
      <c r="A9098" s="4">
        <v>2026</v>
      </c>
      <c r="B9098">
        <v>32</v>
      </c>
      <c r="C9098" t="s">
        <v>54</v>
      </c>
      <c r="D9098" t="s">
        <v>11</v>
      </c>
      <c r="E9098" t="s">
        <v>85</v>
      </c>
      <c r="F9098" t="s">
        <v>61</v>
      </c>
      <c r="G9098" t="str">
        <f t="shared" si="373"/>
        <v>011LUMIA</v>
      </c>
      <c r="H9098" s="5">
        <v>2930</v>
      </c>
      <c r="I9098" s="6">
        <v>994.97117647058747</v>
      </c>
      <c r="J9098" s="5">
        <v>7920</v>
      </c>
      <c r="K9098" s="6">
        <f t="shared" si="375"/>
        <v>2.9448089244086906</v>
      </c>
    </row>
    <row r="9099" spans="1:11">
      <c r="A9099" s="4">
        <v>2026</v>
      </c>
      <c r="B9099">
        <v>32</v>
      </c>
      <c r="C9099" t="s">
        <v>54</v>
      </c>
      <c r="D9099" t="s">
        <v>11</v>
      </c>
      <c r="E9099" t="s">
        <v>85</v>
      </c>
      <c r="F9099" t="s">
        <v>89</v>
      </c>
      <c r="G9099" t="str">
        <f t="shared" si="373"/>
        <v>011STARDUST</v>
      </c>
      <c r="H9099" s="5">
        <v>2825</v>
      </c>
      <c r="I9099" s="6">
        <v>2263.7999998868127</v>
      </c>
      <c r="J9099" s="5">
        <v>17920</v>
      </c>
      <c r="K9099" s="6">
        <f t="shared" si="375"/>
        <v>1.2479017581682335</v>
      </c>
    </row>
    <row r="9100" spans="1:11">
      <c r="A9100" s="4">
        <v>2026</v>
      </c>
      <c r="B9100">
        <v>32</v>
      </c>
      <c r="C9100" t="s">
        <v>54</v>
      </c>
      <c r="D9100" t="s">
        <v>11</v>
      </c>
      <c r="E9100" t="s">
        <v>90</v>
      </c>
      <c r="F9100" t="s">
        <v>67</v>
      </c>
      <c r="G9100" t="str">
        <f t="shared" si="373"/>
        <v>012DEEP PURPLE</v>
      </c>
      <c r="H9100" s="5">
        <v>17400</v>
      </c>
      <c r="I9100" s="6">
        <v>6727.0499997982479</v>
      </c>
      <c r="J9100" s="5">
        <v>49210</v>
      </c>
      <c r="K9100" s="6">
        <f t="shared" si="375"/>
        <v>2.5865721230735383</v>
      </c>
    </row>
    <row r="9101" spans="1:11">
      <c r="A9101" s="4">
        <v>2026</v>
      </c>
      <c r="B9101">
        <v>32</v>
      </c>
      <c r="C9101" t="s">
        <v>54</v>
      </c>
      <c r="D9101" t="s">
        <v>11</v>
      </c>
      <c r="E9101" t="s">
        <v>90</v>
      </c>
      <c r="F9101" t="s">
        <v>60</v>
      </c>
      <c r="G9101" t="str">
        <f t="shared" si="373"/>
        <v>012LIGHT HOUSE</v>
      </c>
      <c r="H9101" s="5">
        <v>1740</v>
      </c>
      <c r="I9101" s="6">
        <v>994.95</v>
      </c>
      <c r="J9101" s="5">
        <v>7200</v>
      </c>
      <c r="K9101" s="6">
        <f t="shared" si="375"/>
        <v>1.748831599577868</v>
      </c>
    </row>
    <row r="9102" spans="1:11">
      <c r="A9102" s="4">
        <v>2026</v>
      </c>
      <c r="B9102">
        <v>32</v>
      </c>
      <c r="C9102" t="s">
        <v>54</v>
      </c>
      <c r="D9102" t="s">
        <v>11</v>
      </c>
      <c r="E9102" t="s">
        <v>91</v>
      </c>
      <c r="F9102" t="s">
        <v>92</v>
      </c>
      <c r="G9102" t="str">
        <f t="shared" si="373"/>
        <v>013COUNTRY BLUES</v>
      </c>
      <c r="H9102" s="5">
        <v>1375</v>
      </c>
      <c r="I9102" s="6">
        <v>831.6</v>
      </c>
      <c r="J9102" s="5">
        <v>6300</v>
      </c>
      <c r="K9102" s="6">
        <f t="shared" si="375"/>
        <v>1.6534391534391535</v>
      </c>
    </row>
    <row r="9103" spans="1:11">
      <c r="A9103" s="4">
        <v>2026</v>
      </c>
      <c r="B9103">
        <v>32</v>
      </c>
      <c r="C9103" t="s">
        <v>54</v>
      </c>
      <c r="D9103" t="s">
        <v>11</v>
      </c>
      <c r="E9103" t="s">
        <v>91</v>
      </c>
      <c r="F9103" t="s">
        <v>93</v>
      </c>
      <c r="G9103" t="str">
        <f t="shared" si="373"/>
        <v>013LORRAINE</v>
      </c>
      <c r="H9103" s="5">
        <v>4300</v>
      </c>
      <c r="I9103" s="6">
        <v>1267.2</v>
      </c>
      <c r="J9103" s="5">
        <v>9600</v>
      </c>
      <c r="K9103" s="6">
        <f t="shared" si="375"/>
        <v>3.3933080808080809</v>
      </c>
    </row>
    <row r="9104" spans="1:11">
      <c r="A9104" s="4">
        <v>2026</v>
      </c>
      <c r="B9104">
        <v>32</v>
      </c>
      <c r="C9104" t="s">
        <v>54</v>
      </c>
      <c r="D9104" t="s">
        <v>11</v>
      </c>
      <c r="E9104" t="s">
        <v>91</v>
      </c>
      <c r="F9104" t="s">
        <v>61</v>
      </c>
      <c r="G9104" t="str">
        <f t="shared" si="373"/>
        <v>013LUMIA</v>
      </c>
      <c r="H9104" s="5">
        <v>1000</v>
      </c>
      <c r="I9104" s="6">
        <v>316.8</v>
      </c>
      <c r="J9104" s="5">
        <v>2400</v>
      </c>
      <c r="K9104" s="6">
        <f t="shared" si="375"/>
        <v>3.1565656565656566</v>
      </c>
    </row>
    <row r="9105" spans="1:11">
      <c r="A9105" s="4">
        <v>2026</v>
      </c>
      <c r="B9105">
        <v>32</v>
      </c>
      <c r="C9105" t="s">
        <v>54</v>
      </c>
      <c r="D9105" t="s">
        <v>11</v>
      </c>
      <c r="E9105" t="s">
        <v>91</v>
      </c>
      <c r="F9105" t="s">
        <v>74</v>
      </c>
      <c r="G9105" t="str">
        <f t="shared" si="373"/>
        <v>013VENDELA</v>
      </c>
      <c r="H9105" s="5">
        <v>11280</v>
      </c>
      <c r="I9105" s="6">
        <v>3603.6</v>
      </c>
      <c r="J9105" s="5">
        <v>27296</v>
      </c>
      <c r="K9105" s="6">
        <f t="shared" si="375"/>
        <v>3.1302031302031303</v>
      </c>
    </row>
    <row r="9106" spans="1:11">
      <c r="A9106" s="4">
        <v>2026</v>
      </c>
      <c r="B9106">
        <v>32</v>
      </c>
      <c r="C9106" t="s">
        <v>54</v>
      </c>
      <c r="D9106" t="s">
        <v>11</v>
      </c>
      <c r="E9106" t="s">
        <v>23</v>
      </c>
      <c r="F9106" t="s">
        <v>89</v>
      </c>
      <c r="G9106" t="str">
        <f t="shared" si="373"/>
        <v>014STARDUST</v>
      </c>
      <c r="H9106" s="5">
        <v>5850</v>
      </c>
      <c r="I9106" s="6">
        <v>3682.8</v>
      </c>
      <c r="J9106" s="5">
        <v>27900</v>
      </c>
      <c r="K9106" s="6">
        <f t="shared" si="375"/>
        <v>1.5884652981427174</v>
      </c>
    </row>
    <row r="9107" spans="1:11">
      <c r="A9107" s="4">
        <v>2026</v>
      </c>
      <c r="B9107">
        <v>32</v>
      </c>
      <c r="C9107" t="s">
        <v>54</v>
      </c>
      <c r="D9107" t="s">
        <v>11</v>
      </c>
      <c r="E9107" t="s">
        <v>25</v>
      </c>
      <c r="F9107" t="s">
        <v>68</v>
      </c>
      <c r="G9107" t="str">
        <f t="shared" ref="G9107:G9174" si="376">+E9107&amp;F9107</f>
        <v>015JOCKER</v>
      </c>
      <c r="H9107" s="5">
        <v>4825</v>
      </c>
      <c r="I9107" s="6">
        <v>2376</v>
      </c>
      <c r="J9107" s="5">
        <v>18000</v>
      </c>
      <c r="K9107" s="6">
        <f t="shared" si="375"/>
        <v>2.0307239057239057</v>
      </c>
    </row>
    <row r="9108" spans="1:11">
      <c r="A9108" s="4">
        <v>2026</v>
      </c>
      <c r="B9108">
        <v>32</v>
      </c>
      <c r="C9108" t="s">
        <v>54</v>
      </c>
      <c r="D9108" t="s">
        <v>11</v>
      </c>
      <c r="E9108" t="s">
        <v>27</v>
      </c>
      <c r="F9108" t="s">
        <v>94</v>
      </c>
      <c r="G9108" t="str">
        <f t="shared" si="376"/>
        <v>016DREAM IN PEACH</v>
      </c>
      <c r="H9108" s="5">
        <v>810</v>
      </c>
      <c r="I9108" s="6">
        <v>950.4</v>
      </c>
      <c r="J9108" s="5">
        <v>7200</v>
      </c>
      <c r="K9108" s="6">
        <f t="shared" si="375"/>
        <v>0.85227272727272729</v>
      </c>
    </row>
    <row r="9109" spans="1:11">
      <c r="A9109" s="4">
        <v>2026</v>
      </c>
      <c r="B9109">
        <v>32</v>
      </c>
      <c r="C9109" t="s">
        <v>54</v>
      </c>
      <c r="D9109" t="s">
        <v>11</v>
      </c>
      <c r="E9109" t="s">
        <v>27</v>
      </c>
      <c r="F9109" t="s">
        <v>95</v>
      </c>
      <c r="G9109" t="str">
        <f t="shared" si="376"/>
        <v>016NINA</v>
      </c>
      <c r="H9109" s="5">
        <v>3275</v>
      </c>
      <c r="I9109" s="6">
        <v>1346.4</v>
      </c>
      <c r="J9109" s="5">
        <v>10200</v>
      </c>
      <c r="K9109" s="6">
        <f t="shared" si="375"/>
        <v>2.4324123588829472</v>
      </c>
    </row>
    <row r="9110" spans="1:11">
      <c r="A9110" s="4">
        <v>2026</v>
      </c>
      <c r="B9110">
        <v>32</v>
      </c>
      <c r="C9110" t="s">
        <v>54</v>
      </c>
      <c r="D9110" t="s">
        <v>11</v>
      </c>
      <c r="E9110" t="s">
        <v>30</v>
      </c>
      <c r="F9110" t="s">
        <v>81</v>
      </c>
      <c r="G9110" t="str">
        <f t="shared" si="376"/>
        <v>017FREEDOM</v>
      </c>
      <c r="H9110" s="5">
        <v>5190</v>
      </c>
      <c r="I9110" s="6">
        <v>2851.2</v>
      </c>
      <c r="J9110" s="5">
        <v>21600</v>
      </c>
      <c r="K9110" s="6">
        <f t="shared" si="375"/>
        <v>1.8202861952861955</v>
      </c>
    </row>
    <row r="9111" spans="1:11">
      <c r="A9111" s="4">
        <v>2026</v>
      </c>
      <c r="B9111">
        <v>32</v>
      </c>
      <c r="C9111" t="s">
        <v>54</v>
      </c>
      <c r="D9111" t="s">
        <v>11</v>
      </c>
      <c r="E9111" t="s">
        <v>30</v>
      </c>
      <c r="F9111" t="s">
        <v>73</v>
      </c>
      <c r="G9111" t="str">
        <f t="shared" si="376"/>
        <v>017GOLDFINCH</v>
      </c>
      <c r="H9111" s="5">
        <v>2600</v>
      </c>
      <c r="I9111" s="6">
        <v>2138.4</v>
      </c>
      <c r="J9111" s="5">
        <v>16200</v>
      </c>
      <c r="K9111" s="6">
        <f t="shared" si="375"/>
        <v>1.2158623269734381</v>
      </c>
    </row>
    <row r="9112" spans="1:11">
      <c r="A9112" s="4">
        <v>2026</v>
      </c>
      <c r="B9112">
        <v>32</v>
      </c>
      <c r="C9112" t="s">
        <v>54</v>
      </c>
      <c r="D9112" t="s">
        <v>11</v>
      </c>
      <c r="E9112" t="s">
        <v>32</v>
      </c>
      <c r="F9112" t="s">
        <v>86</v>
      </c>
      <c r="G9112" t="str">
        <f t="shared" si="376"/>
        <v>018BRIGHTON</v>
      </c>
      <c r="H9112" s="5">
        <v>1725</v>
      </c>
      <c r="I9112" s="6">
        <v>963.6</v>
      </c>
      <c r="J9112" s="5">
        <v>7570</v>
      </c>
      <c r="K9112" s="6">
        <f t="shared" si="375"/>
        <v>1.790161892901619</v>
      </c>
    </row>
    <row r="9113" spans="1:11">
      <c r="A9113" s="4">
        <v>2026</v>
      </c>
      <c r="B9113">
        <v>32</v>
      </c>
      <c r="C9113" t="s">
        <v>54</v>
      </c>
      <c r="D9113" t="s">
        <v>11</v>
      </c>
      <c r="E9113" t="s">
        <v>35</v>
      </c>
      <c r="F9113" t="s">
        <v>86</v>
      </c>
      <c r="G9113" t="str">
        <f t="shared" si="376"/>
        <v>019BRIGHTON</v>
      </c>
      <c r="H9113" s="5">
        <v>6250</v>
      </c>
      <c r="I9113" s="6">
        <v>3168</v>
      </c>
      <c r="J9113" s="5">
        <v>24000</v>
      </c>
      <c r="K9113" s="6">
        <f t="shared" si="375"/>
        <v>1.9728535353535352</v>
      </c>
    </row>
    <row r="9114" spans="1:11">
      <c r="A9114" s="4">
        <v>2026</v>
      </c>
      <c r="B9114">
        <v>32</v>
      </c>
      <c r="C9114" t="s">
        <v>54</v>
      </c>
      <c r="D9114" t="s">
        <v>11</v>
      </c>
      <c r="E9114" t="s">
        <v>35</v>
      </c>
      <c r="F9114" t="s">
        <v>96</v>
      </c>
      <c r="G9114" t="str">
        <f t="shared" si="376"/>
        <v>019TABATHA</v>
      </c>
      <c r="H9114" s="5">
        <v>2400</v>
      </c>
      <c r="I9114" s="6">
        <v>1188</v>
      </c>
      <c r="J9114" s="5">
        <v>9000</v>
      </c>
      <c r="K9114" s="6">
        <f t="shared" si="375"/>
        <v>2.0202020202020203</v>
      </c>
    </row>
    <row r="9115" spans="1:11">
      <c r="A9115" s="4">
        <v>2026</v>
      </c>
      <c r="B9115">
        <v>32</v>
      </c>
      <c r="C9115" t="s">
        <v>54</v>
      </c>
      <c r="D9115" t="s">
        <v>11</v>
      </c>
      <c r="E9115" t="s">
        <v>36</v>
      </c>
      <c r="F9115" t="s">
        <v>86</v>
      </c>
      <c r="G9115" t="str">
        <f t="shared" si="376"/>
        <v>020BRIGHTON</v>
      </c>
      <c r="H9115" s="5">
        <v>4200</v>
      </c>
      <c r="I9115" s="6">
        <v>2732.4</v>
      </c>
      <c r="J9115" s="5">
        <v>20700</v>
      </c>
      <c r="K9115" s="6">
        <f t="shared" si="375"/>
        <v>1.5371102327624067</v>
      </c>
    </row>
    <row r="9116" spans="1:11">
      <c r="A9116" s="4">
        <v>2026</v>
      </c>
      <c r="B9116">
        <v>32</v>
      </c>
      <c r="C9116" t="s">
        <v>54</v>
      </c>
      <c r="D9116" t="s">
        <v>11</v>
      </c>
      <c r="E9116" t="s">
        <v>36</v>
      </c>
      <c r="F9116" t="s">
        <v>97</v>
      </c>
      <c r="G9116" t="str">
        <f t="shared" si="376"/>
        <v>020TYCOON</v>
      </c>
      <c r="H9116" s="5">
        <v>720</v>
      </c>
      <c r="I9116" s="6">
        <v>673.2</v>
      </c>
      <c r="J9116" s="5">
        <v>5100</v>
      </c>
      <c r="K9116" s="6">
        <f t="shared" si="375"/>
        <v>1.0695187165775399</v>
      </c>
    </row>
    <row r="9117" spans="1:11">
      <c r="A9117" s="4">
        <v>2026</v>
      </c>
      <c r="B9117">
        <v>32</v>
      </c>
      <c r="C9117" t="s">
        <v>54</v>
      </c>
      <c r="D9117" t="s">
        <v>11</v>
      </c>
      <c r="E9117" t="s">
        <v>38</v>
      </c>
      <c r="F9117" t="s">
        <v>98</v>
      </c>
      <c r="G9117" t="str">
        <f t="shared" si="376"/>
        <v>021SHOW GIRL</v>
      </c>
      <c r="H9117" s="5">
        <v>1525</v>
      </c>
      <c r="I9117" s="6">
        <v>1100.4749999999999</v>
      </c>
      <c r="J9117" s="5">
        <v>8000</v>
      </c>
      <c r="K9117" s="6">
        <f t="shared" si="375"/>
        <v>1.3857652377382494</v>
      </c>
    </row>
    <row r="9118" spans="1:11">
      <c r="A9118" s="4">
        <v>2026</v>
      </c>
      <c r="B9118">
        <v>32</v>
      </c>
      <c r="C9118" t="s">
        <v>54</v>
      </c>
      <c r="D9118" t="s">
        <v>11</v>
      </c>
      <c r="E9118" t="s">
        <v>43</v>
      </c>
      <c r="F9118" t="s">
        <v>99</v>
      </c>
      <c r="G9118" t="str">
        <f t="shared" si="376"/>
        <v>022CORAL REEF</v>
      </c>
      <c r="H9118" s="5">
        <v>2150</v>
      </c>
      <c r="I9118" s="6">
        <v>1287</v>
      </c>
      <c r="J9118" s="5">
        <v>9400</v>
      </c>
      <c r="K9118" s="6">
        <f t="shared" si="375"/>
        <v>1.6705516705516705</v>
      </c>
    </row>
    <row r="9119" spans="1:11">
      <c r="A9119" s="4">
        <v>2026</v>
      </c>
      <c r="B9119">
        <v>32</v>
      </c>
      <c r="C9119" t="s">
        <v>54</v>
      </c>
      <c r="D9119" t="s">
        <v>11</v>
      </c>
      <c r="E9119" t="s">
        <v>100</v>
      </c>
      <c r="F9119" t="s">
        <v>70</v>
      </c>
      <c r="G9119" t="str">
        <f t="shared" si="376"/>
        <v>023COTOPAXI</v>
      </c>
      <c r="H9119" s="5">
        <v>7140</v>
      </c>
      <c r="I9119" s="6">
        <v>2641.14</v>
      </c>
      <c r="J9119" s="5">
        <v>19200</v>
      </c>
      <c r="K9119" s="6">
        <f t="shared" si="375"/>
        <v>2.7033780867352735</v>
      </c>
    </row>
    <row r="9120" spans="1:11">
      <c r="A9120" s="4">
        <v>2026</v>
      </c>
      <c r="B9120">
        <v>32</v>
      </c>
      <c r="C9120" t="s">
        <v>54</v>
      </c>
      <c r="D9120" t="s">
        <v>11</v>
      </c>
      <c r="E9120" t="s">
        <v>100</v>
      </c>
      <c r="F9120" t="s">
        <v>101</v>
      </c>
      <c r="G9120" t="str">
        <f t="shared" si="376"/>
        <v>023FRUTTETO</v>
      </c>
      <c r="H9120" s="5">
        <v>4620</v>
      </c>
      <c r="I9120" s="6">
        <v>2641.14</v>
      </c>
      <c r="J9120" s="5">
        <v>19200</v>
      </c>
      <c r="K9120" s="6">
        <f t="shared" si="375"/>
        <v>1.7492446443581182</v>
      </c>
    </row>
    <row r="9121" spans="1:11">
      <c r="A9121" s="4">
        <v>2026</v>
      </c>
      <c r="B9121">
        <v>32</v>
      </c>
      <c r="C9121" t="s">
        <v>54</v>
      </c>
      <c r="D9121" t="s">
        <v>11</v>
      </c>
      <c r="E9121" t="s">
        <v>102</v>
      </c>
      <c r="F9121" t="s">
        <v>70</v>
      </c>
      <c r="G9121" t="str">
        <f t="shared" si="376"/>
        <v>024COTOPAXI</v>
      </c>
      <c r="H9121" s="5">
        <v>3180</v>
      </c>
      <c r="I9121" s="6">
        <v>1430.6174906250001</v>
      </c>
      <c r="J9121" s="5">
        <v>10400</v>
      </c>
      <c r="K9121" s="6">
        <f t="shared" si="375"/>
        <v>2.2228163858186436</v>
      </c>
    </row>
    <row r="9122" spans="1:11">
      <c r="A9122" s="4">
        <v>2026</v>
      </c>
      <c r="B9122">
        <v>32</v>
      </c>
      <c r="C9122" t="s">
        <v>54</v>
      </c>
      <c r="D9122" t="s">
        <v>11</v>
      </c>
      <c r="E9122" t="s">
        <v>102</v>
      </c>
      <c r="F9122" t="s">
        <v>64</v>
      </c>
      <c r="G9122" t="str">
        <f t="shared" si="376"/>
        <v>024SWEETNESS</v>
      </c>
      <c r="H9122" s="5">
        <v>1680</v>
      </c>
      <c r="I9122" s="6">
        <v>1430.6175000000001</v>
      </c>
      <c r="J9122" s="5">
        <v>10400</v>
      </c>
      <c r="K9122" s="6">
        <f t="shared" si="375"/>
        <v>1.1743180829257296</v>
      </c>
    </row>
    <row r="9123" spans="1:11">
      <c r="A9123" s="4">
        <v>2026</v>
      </c>
      <c r="B9123">
        <v>32</v>
      </c>
      <c r="C9123" t="s">
        <v>54</v>
      </c>
      <c r="D9123" t="s">
        <v>11</v>
      </c>
      <c r="E9123" t="s">
        <v>102</v>
      </c>
      <c r="F9123" t="s">
        <v>97</v>
      </c>
      <c r="G9123" t="str">
        <f t="shared" si="376"/>
        <v>024TYCOON</v>
      </c>
      <c r="H9123" s="5">
        <v>2370</v>
      </c>
      <c r="I9123" s="6">
        <v>2861.2350000000001</v>
      </c>
      <c r="J9123" s="5">
        <v>20800</v>
      </c>
      <c r="K9123" s="6">
        <f t="shared" si="375"/>
        <v>0.82831364777797001</v>
      </c>
    </row>
    <row r="9124" spans="1:11">
      <c r="A9124" s="4">
        <v>2026</v>
      </c>
      <c r="B9124">
        <v>32</v>
      </c>
      <c r="C9124" t="s">
        <v>54</v>
      </c>
      <c r="D9124" t="s">
        <v>11</v>
      </c>
      <c r="E9124" t="s">
        <v>103</v>
      </c>
      <c r="F9124" t="s">
        <v>104</v>
      </c>
      <c r="G9124" t="str">
        <f t="shared" si="376"/>
        <v>025PINK MONDIAL</v>
      </c>
      <c r="H9124" s="5">
        <v>4625</v>
      </c>
      <c r="I9124" s="6">
        <v>3071.9505625000002</v>
      </c>
      <c r="J9124" s="5">
        <v>22400</v>
      </c>
      <c r="K9124" s="6">
        <f t="shared" si="375"/>
        <v>1.5055580830168389</v>
      </c>
    </row>
    <row r="9125" spans="1:11">
      <c r="A9125" s="4">
        <v>2026</v>
      </c>
      <c r="B9125">
        <v>32</v>
      </c>
      <c r="C9125" t="s">
        <v>54</v>
      </c>
      <c r="D9125" t="s">
        <v>11</v>
      </c>
      <c r="E9125" t="s">
        <v>45</v>
      </c>
      <c r="F9125" t="s">
        <v>105</v>
      </c>
      <c r="G9125" t="str">
        <f t="shared" si="376"/>
        <v>026LOLA</v>
      </c>
      <c r="H9125" s="5">
        <v>2775</v>
      </c>
      <c r="I9125" s="6">
        <v>1097.125</v>
      </c>
      <c r="J9125" s="5">
        <v>8000</v>
      </c>
      <c r="K9125" s="6">
        <f t="shared" si="375"/>
        <v>2.5293380426113705</v>
      </c>
    </row>
    <row r="9126" spans="1:11">
      <c r="A9126" s="4">
        <v>2026</v>
      </c>
      <c r="B9126">
        <v>32</v>
      </c>
      <c r="C9126" t="s">
        <v>54</v>
      </c>
      <c r="D9126" t="s">
        <v>11</v>
      </c>
      <c r="E9126" t="s">
        <v>45</v>
      </c>
      <c r="F9126" t="s">
        <v>106</v>
      </c>
      <c r="G9126" t="str">
        <f t="shared" si="376"/>
        <v>026PALOMA</v>
      </c>
      <c r="H9126" s="5">
        <v>4775</v>
      </c>
      <c r="I9126" s="6">
        <v>2852.5250000000001</v>
      </c>
      <c r="J9126" s="5">
        <v>20800</v>
      </c>
      <c r="K9126" s="6">
        <f t="shared" si="375"/>
        <v>1.6739555306263749</v>
      </c>
    </row>
    <row r="9127" spans="1:11">
      <c r="A9127" s="4">
        <v>2026</v>
      </c>
      <c r="B9127">
        <v>32</v>
      </c>
      <c r="C9127" t="s">
        <v>54</v>
      </c>
      <c r="D9127" t="s">
        <v>11</v>
      </c>
      <c r="E9127" t="s">
        <v>107</v>
      </c>
      <c r="F9127" t="s">
        <v>108</v>
      </c>
      <c r="G9127" t="str">
        <f t="shared" si="376"/>
        <v>027SATISFACTION</v>
      </c>
      <c r="H9127" s="5">
        <v>4680</v>
      </c>
      <c r="I9127" s="6">
        <v>2633.1</v>
      </c>
      <c r="J9127" s="5">
        <v>19200</v>
      </c>
      <c r="K9127" s="6">
        <f t="shared" si="375"/>
        <v>1.7773726785917741</v>
      </c>
    </row>
    <row r="9128" spans="1:11">
      <c r="A9128" s="4">
        <v>2026</v>
      </c>
      <c r="B9128">
        <v>32</v>
      </c>
      <c r="C9128" t="s">
        <v>54</v>
      </c>
      <c r="D9128" t="s">
        <v>11</v>
      </c>
      <c r="E9128" t="s">
        <v>107</v>
      </c>
      <c r="F9128" t="s">
        <v>109</v>
      </c>
      <c r="G9128" t="str">
        <f t="shared" si="376"/>
        <v>027TIFFANY</v>
      </c>
      <c r="H9128" s="5">
        <v>4350</v>
      </c>
      <c r="I9128" s="6">
        <v>2633.1</v>
      </c>
      <c r="J9128" s="5">
        <v>19200</v>
      </c>
      <c r="K9128" s="6">
        <f t="shared" si="375"/>
        <v>1.6520451179218412</v>
      </c>
    </row>
    <row r="9129" spans="1:11">
      <c r="A9129" s="4">
        <v>2026</v>
      </c>
      <c r="B9129">
        <v>32</v>
      </c>
      <c r="C9129" t="s">
        <v>54</v>
      </c>
      <c r="D9129" t="s">
        <v>11</v>
      </c>
      <c r="E9129" t="s">
        <v>110</v>
      </c>
      <c r="F9129" t="s">
        <v>70</v>
      </c>
      <c r="G9129" t="str">
        <f t="shared" si="376"/>
        <v>028COTOPAXI</v>
      </c>
      <c r="H9129" s="5">
        <v>4650</v>
      </c>
      <c r="I9129" s="6">
        <v>2852.5250000000001</v>
      </c>
      <c r="J9129" s="5">
        <v>20800</v>
      </c>
      <c r="K9129" s="6">
        <f t="shared" ref="K9129:K9191" si="377">+H9129/I9129</f>
        <v>1.6301347052173074</v>
      </c>
    </row>
    <row r="9130" spans="1:11">
      <c r="A9130" s="4">
        <v>2026</v>
      </c>
      <c r="B9130">
        <v>32</v>
      </c>
      <c r="C9130" t="s">
        <v>54</v>
      </c>
      <c r="D9130" t="s">
        <v>11</v>
      </c>
      <c r="E9130" t="s">
        <v>110</v>
      </c>
      <c r="F9130" t="s">
        <v>67</v>
      </c>
      <c r="G9130" t="str">
        <f t="shared" si="376"/>
        <v>028DEEP PURPLE</v>
      </c>
      <c r="H9130" s="5">
        <v>8490</v>
      </c>
      <c r="I9130" s="6">
        <v>2852.5250000000001</v>
      </c>
      <c r="J9130" s="5">
        <v>20800</v>
      </c>
      <c r="K9130" s="6">
        <f t="shared" si="377"/>
        <v>2.9763104617838581</v>
      </c>
    </row>
    <row r="9131" spans="1:11">
      <c r="A9131" s="4">
        <v>2026</v>
      </c>
      <c r="B9131">
        <v>32</v>
      </c>
      <c r="C9131" t="s">
        <v>54</v>
      </c>
      <c r="D9131" t="s">
        <v>11</v>
      </c>
      <c r="E9131" t="s">
        <v>111</v>
      </c>
      <c r="F9131" t="s">
        <v>112</v>
      </c>
      <c r="G9131" t="str">
        <f t="shared" si="376"/>
        <v>029PINK FLOYD</v>
      </c>
      <c r="H9131" s="5">
        <v>4775</v>
      </c>
      <c r="I9131" s="6">
        <v>3071.95</v>
      </c>
      <c r="J9131" s="5">
        <v>22400</v>
      </c>
      <c r="K9131" s="6">
        <f t="shared" si="377"/>
        <v>1.5543872784387767</v>
      </c>
    </row>
    <row r="9132" spans="1:11">
      <c r="A9132" s="4">
        <v>2026</v>
      </c>
      <c r="B9132">
        <v>32</v>
      </c>
      <c r="C9132" t="s">
        <v>54</v>
      </c>
      <c r="D9132" t="s">
        <v>11</v>
      </c>
      <c r="E9132" t="s">
        <v>47</v>
      </c>
      <c r="F9132" t="s">
        <v>57</v>
      </c>
      <c r="G9132" t="str">
        <f t="shared" si="376"/>
        <v>030EXPLORER</v>
      </c>
      <c r="H9132" s="5">
        <v>1675</v>
      </c>
      <c r="I9132" s="6">
        <v>1645.6875</v>
      </c>
      <c r="J9132" s="5">
        <v>12000</v>
      </c>
      <c r="K9132" s="6">
        <f t="shared" si="377"/>
        <v>1.0178117048346056</v>
      </c>
    </row>
    <row r="9133" spans="1:11">
      <c r="A9133" s="4">
        <v>2026</v>
      </c>
      <c r="B9133">
        <v>23</v>
      </c>
      <c r="C9133" t="s">
        <v>54</v>
      </c>
      <c r="D9133" t="s">
        <v>11</v>
      </c>
      <c r="E9133" t="s">
        <v>79</v>
      </c>
      <c r="F9133" t="s">
        <v>61</v>
      </c>
      <c r="G9133" t="str">
        <f t="shared" si="376"/>
        <v>008LUMIA</v>
      </c>
      <c r="H9133" s="5">
        <v>3570</v>
      </c>
      <c r="I9133" s="6">
        <v>1796.5851851133182</v>
      </c>
      <c r="J9133" s="5">
        <v>13600</v>
      </c>
      <c r="K9133" s="6">
        <f t="shared" si="377"/>
        <v>1.9871031051471266</v>
      </c>
    </row>
    <row r="9134" spans="1:11">
      <c r="A9134" s="4">
        <v>2026</v>
      </c>
      <c r="B9134">
        <v>24</v>
      </c>
      <c r="C9134" t="s">
        <v>54</v>
      </c>
      <c r="D9134" t="s">
        <v>11</v>
      </c>
      <c r="E9134" t="s">
        <v>79</v>
      </c>
      <c r="F9134" t="s">
        <v>61</v>
      </c>
      <c r="G9134" t="str">
        <f t="shared" si="376"/>
        <v>008LUMIA</v>
      </c>
      <c r="H9134" s="5">
        <v>420</v>
      </c>
      <c r="I9134" s="6">
        <v>1796.5851851133182</v>
      </c>
      <c r="J9134" s="5">
        <v>13600</v>
      </c>
      <c r="K9134" s="6">
        <f t="shared" si="377"/>
        <v>0.23377683589966197</v>
      </c>
    </row>
    <row r="9135" spans="1:11">
      <c r="A9135" s="4">
        <v>2026</v>
      </c>
      <c r="B9135">
        <v>25</v>
      </c>
      <c r="C9135" t="s">
        <v>54</v>
      </c>
      <c r="D9135" t="s">
        <v>11</v>
      </c>
      <c r="E9135" t="s">
        <v>79</v>
      </c>
      <c r="F9135" t="s">
        <v>61</v>
      </c>
      <c r="G9135" t="str">
        <f t="shared" si="376"/>
        <v>008LUMIA</v>
      </c>
      <c r="H9135" s="5">
        <v>7710</v>
      </c>
      <c r="I9135" s="6">
        <v>1796.5851851133182</v>
      </c>
      <c r="J9135" s="5">
        <v>13600</v>
      </c>
      <c r="K9135" s="6">
        <f t="shared" si="377"/>
        <v>4.291474773300938</v>
      </c>
    </row>
    <row r="9136" spans="1:11">
      <c r="A9136" s="4">
        <v>2026</v>
      </c>
      <c r="B9136">
        <v>26</v>
      </c>
      <c r="C9136" t="s">
        <v>54</v>
      </c>
      <c r="D9136" t="s">
        <v>11</v>
      </c>
      <c r="E9136" t="s">
        <v>79</v>
      </c>
      <c r="F9136" t="s">
        <v>61</v>
      </c>
      <c r="G9136" t="str">
        <f t="shared" si="376"/>
        <v>008LUMIA</v>
      </c>
      <c r="H9136" s="5">
        <v>3810</v>
      </c>
      <c r="I9136" s="6">
        <v>1796.5851851133182</v>
      </c>
      <c r="J9136" s="5">
        <v>13600</v>
      </c>
      <c r="K9136" s="6">
        <f t="shared" si="377"/>
        <v>2.1206898685183622</v>
      </c>
    </row>
    <row r="9137" spans="1:11">
      <c r="A9137" s="4">
        <v>2026</v>
      </c>
      <c r="B9137">
        <v>27</v>
      </c>
      <c r="C9137" t="s">
        <v>54</v>
      </c>
      <c r="D9137" t="s">
        <v>11</v>
      </c>
      <c r="E9137" t="s">
        <v>79</v>
      </c>
      <c r="F9137" t="s">
        <v>61</v>
      </c>
      <c r="G9137" t="str">
        <f t="shared" si="376"/>
        <v>008LUMIA</v>
      </c>
      <c r="H9137" s="8">
        <f>VLOOKUP(G9137,[5]Astroflores!$G$2:$H$110,2,FALSE)</f>
        <v>3240</v>
      </c>
      <c r="I9137" s="6">
        <v>1796.5851851133182</v>
      </c>
      <c r="J9137" s="5">
        <v>13600</v>
      </c>
      <c r="K9137" s="6">
        <f t="shared" si="377"/>
        <v>1.8034213055116781</v>
      </c>
    </row>
    <row r="9138" spans="1:11">
      <c r="A9138" s="4">
        <v>2026</v>
      </c>
      <c r="B9138">
        <v>28</v>
      </c>
      <c r="C9138" t="s">
        <v>54</v>
      </c>
      <c r="D9138" t="s">
        <v>11</v>
      </c>
      <c r="E9138" t="s">
        <v>79</v>
      </c>
      <c r="F9138" t="s">
        <v>61</v>
      </c>
      <c r="G9138" t="str">
        <f t="shared" si="376"/>
        <v>008LUMIA</v>
      </c>
      <c r="H9138" s="5">
        <f>VLOOKUP(G9138,[6]Astroflores!$G$2:$H$110,2,FALSE)</f>
        <v>2850</v>
      </c>
      <c r="I9138" s="6">
        <v>1796.5851851133182</v>
      </c>
      <c r="J9138" s="5">
        <v>13600</v>
      </c>
      <c r="K9138" s="6">
        <f t="shared" si="377"/>
        <v>1.5863428150334205</v>
      </c>
    </row>
    <row r="9139" spans="1:11">
      <c r="A9139" s="4">
        <v>2026</v>
      </c>
      <c r="B9139">
        <v>29</v>
      </c>
      <c r="C9139" t="s">
        <v>54</v>
      </c>
      <c r="D9139" t="s">
        <v>11</v>
      </c>
      <c r="E9139" t="s">
        <v>79</v>
      </c>
      <c r="F9139" t="s">
        <v>61</v>
      </c>
      <c r="G9139" t="str">
        <f t="shared" si="376"/>
        <v>008LUMIA</v>
      </c>
      <c r="H9139" s="5">
        <v>4440</v>
      </c>
      <c r="I9139" s="6">
        <v>1796.5851851133182</v>
      </c>
      <c r="J9139" s="5">
        <v>13600</v>
      </c>
      <c r="K9139" s="6">
        <f t="shared" si="377"/>
        <v>2.4713551223678549</v>
      </c>
    </row>
    <row r="9140" spans="1:11">
      <c r="A9140" s="4">
        <v>2026</v>
      </c>
      <c r="B9140">
        <v>30</v>
      </c>
      <c r="C9140" t="s">
        <v>54</v>
      </c>
      <c r="D9140" t="s">
        <v>11</v>
      </c>
      <c r="E9140" t="s">
        <v>79</v>
      </c>
      <c r="F9140" t="s">
        <v>61</v>
      </c>
      <c r="G9140" t="str">
        <f t="shared" si="376"/>
        <v>008LUMIA</v>
      </c>
      <c r="H9140" s="5">
        <v>2100</v>
      </c>
      <c r="I9140" s="6">
        <v>1796.5851851133182</v>
      </c>
      <c r="J9140" s="5">
        <v>13600</v>
      </c>
      <c r="K9140" s="6">
        <f t="shared" si="377"/>
        <v>1.1688841794983098</v>
      </c>
    </row>
    <row r="9141" spans="1:11">
      <c r="A9141" s="4">
        <v>2026</v>
      </c>
      <c r="B9141">
        <v>31</v>
      </c>
      <c r="C9141" t="s">
        <v>54</v>
      </c>
      <c r="D9141" t="s">
        <v>11</v>
      </c>
      <c r="E9141" t="s">
        <v>79</v>
      </c>
      <c r="F9141" t="s">
        <v>61</v>
      </c>
      <c r="G9141" t="str">
        <f t="shared" si="376"/>
        <v>008LUMIA</v>
      </c>
      <c r="H9141" s="5">
        <v>2190</v>
      </c>
      <c r="I9141" s="6">
        <v>1796.5851851133164</v>
      </c>
      <c r="J9141" s="5">
        <v>13600</v>
      </c>
      <c r="K9141" s="6">
        <f t="shared" si="377"/>
        <v>1.2189792157625243</v>
      </c>
    </row>
    <row r="9142" spans="1:11">
      <c r="A9142" s="4">
        <v>2026</v>
      </c>
      <c r="B9142">
        <v>32</v>
      </c>
      <c r="C9142" t="s">
        <v>54</v>
      </c>
      <c r="D9142" t="s">
        <v>11</v>
      </c>
      <c r="E9142" t="s">
        <v>79</v>
      </c>
      <c r="F9142" t="s">
        <v>61</v>
      </c>
      <c r="G9142" t="str">
        <f t="shared" si="376"/>
        <v>008LUMIA</v>
      </c>
      <c r="H9142" s="5">
        <v>1620</v>
      </c>
      <c r="I9142" s="6">
        <v>1796.5851851133164</v>
      </c>
      <c r="J9142" s="5">
        <v>13600</v>
      </c>
      <c r="K9142" s="6">
        <f t="shared" si="377"/>
        <v>0.90171065275583995</v>
      </c>
    </row>
    <row r="9143" spans="1:11">
      <c r="A9143" s="4">
        <v>2026</v>
      </c>
      <c r="B9143">
        <v>33</v>
      </c>
      <c r="C9143" t="s">
        <v>54</v>
      </c>
      <c r="D9143" t="s">
        <v>11</v>
      </c>
      <c r="E9143" t="s">
        <v>79</v>
      </c>
      <c r="F9143" t="s">
        <v>61</v>
      </c>
      <c r="G9143" t="str">
        <f t="shared" ref="G9143" si="378">+E9143&amp;F9143</f>
        <v>008LUMIA</v>
      </c>
      <c r="H9143" s="5">
        <v>3570</v>
      </c>
      <c r="I9143" s="6">
        <v>1796.5851851133164</v>
      </c>
      <c r="J9143" s="5">
        <v>13600</v>
      </c>
      <c r="K9143" s="6">
        <f t="shared" ref="K9143" si="379">+H9143/I9143</f>
        <v>1.9871031051471286</v>
      </c>
    </row>
    <row r="9144" spans="1:11">
      <c r="A9144" s="4">
        <v>2026</v>
      </c>
      <c r="B9144">
        <v>34</v>
      </c>
      <c r="C9144" t="s">
        <v>54</v>
      </c>
      <c r="D9144" t="s">
        <v>11</v>
      </c>
      <c r="E9144" t="s">
        <v>79</v>
      </c>
      <c r="F9144" t="s">
        <v>61</v>
      </c>
      <c r="G9144" t="str">
        <f t="shared" ref="G9144" si="380">+E9144&amp;F9144</f>
        <v>008LUMIA</v>
      </c>
      <c r="H9144" s="5">
        <v>1860</v>
      </c>
      <c r="I9144" s="6">
        <v>1796.5851851133164</v>
      </c>
      <c r="J9144" s="5">
        <v>13600</v>
      </c>
      <c r="K9144" s="6">
        <f t="shared" ref="K9144" si="381">+H9144/I9144</f>
        <v>1.0352974161270754</v>
      </c>
    </row>
    <row r="9145" spans="1:11">
      <c r="A9145" s="4">
        <v>2026</v>
      </c>
      <c r="B9145">
        <v>23</v>
      </c>
      <c r="C9145" t="s">
        <v>10</v>
      </c>
      <c r="D9145" t="s">
        <v>11</v>
      </c>
      <c r="E9145" t="s">
        <v>38</v>
      </c>
      <c r="F9145" t="s">
        <v>115</v>
      </c>
      <c r="G9145" t="str">
        <f t="shared" si="376"/>
        <v>021PISTACHIO KISS</v>
      </c>
      <c r="H9145" s="5">
        <v>200</v>
      </c>
      <c r="I9145" s="6">
        <v>220.095</v>
      </c>
      <c r="J9145" s="5">
        <v>6400</v>
      </c>
      <c r="K9145" s="6">
        <f t="shared" si="377"/>
        <v>0.90869851654967171</v>
      </c>
    </row>
    <row r="9146" spans="1:11">
      <c r="A9146" s="4">
        <v>2026</v>
      </c>
      <c r="B9146">
        <v>24</v>
      </c>
      <c r="C9146" t="s">
        <v>10</v>
      </c>
      <c r="D9146" t="s">
        <v>11</v>
      </c>
      <c r="E9146" t="s">
        <v>38</v>
      </c>
      <c r="F9146" t="s">
        <v>115</v>
      </c>
      <c r="G9146" t="str">
        <f t="shared" si="376"/>
        <v>021PISTACHIO KISS</v>
      </c>
      <c r="H9146" s="5">
        <v>125</v>
      </c>
      <c r="I9146" s="6">
        <v>220.095</v>
      </c>
      <c r="J9146" s="5">
        <v>6400</v>
      </c>
      <c r="K9146" s="6">
        <f t="shared" si="377"/>
        <v>0.56793657284354482</v>
      </c>
    </row>
    <row r="9147" spans="1:11">
      <c r="A9147" s="4">
        <v>2026</v>
      </c>
      <c r="B9147">
        <v>25</v>
      </c>
      <c r="C9147" t="s">
        <v>10</v>
      </c>
      <c r="D9147" t="s">
        <v>11</v>
      </c>
      <c r="E9147" t="s">
        <v>38</v>
      </c>
      <c r="F9147" t="s">
        <v>115</v>
      </c>
      <c r="G9147" t="str">
        <f t="shared" si="376"/>
        <v>021PISTACHIO KISS</v>
      </c>
      <c r="H9147" s="5">
        <v>25</v>
      </c>
      <c r="I9147" s="6">
        <v>880.38</v>
      </c>
      <c r="J9147" s="5">
        <v>6400</v>
      </c>
      <c r="K9147" s="6">
        <f t="shared" si="377"/>
        <v>2.8396828642177241E-2</v>
      </c>
    </row>
    <row r="9148" spans="1:11">
      <c r="A9148" s="4">
        <v>2026</v>
      </c>
      <c r="B9148">
        <v>26</v>
      </c>
      <c r="C9148" t="s">
        <v>10</v>
      </c>
      <c r="D9148" t="s">
        <v>11</v>
      </c>
      <c r="E9148" t="s">
        <v>38</v>
      </c>
      <c r="F9148" t="s">
        <v>115</v>
      </c>
      <c r="G9148" t="str">
        <f t="shared" si="376"/>
        <v>021PISTACHIO KISS</v>
      </c>
      <c r="H9148" s="5">
        <v>25</v>
      </c>
      <c r="I9148" s="6">
        <v>880.38</v>
      </c>
      <c r="J9148" s="5">
        <v>6400</v>
      </c>
      <c r="K9148" s="6">
        <f t="shared" si="377"/>
        <v>2.8396828642177241E-2</v>
      </c>
    </row>
    <row r="9149" spans="1:11">
      <c r="A9149" s="4">
        <v>2026</v>
      </c>
      <c r="B9149">
        <v>27</v>
      </c>
      <c r="C9149" t="s">
        <v>10</v>
      </c>
      <c r="D9149" t="s">
        <v>11</v>
      </c>
      <c r="E9149" t="s">
        <v>38</v>
      </c>
      <c r="F9149" t="s">
        <v>115</v>
      </c>
      <c r="G9149" t="str">
        <f t="shared" si="376"/>
        <v>021PISTACHIO KISS</v>
      </c>
      <c r="H9149" s="8">
        <f>VLOOKUP(G9149,[5]Astroflores!$G$2:$H$110,2,FALSE)</f>
        <v>75</v>
      </c>
      <c r="I9149" s="6">
        <v>880.38</v>
      </c>
      <c r="J9149" s="5">
        <v>6400</v>
      </c>
      <c r="K9149" s="6">
        <f t="shared" si="377"/>
        <v>8.5190485926531723E-2</v>
      </c>
    </row>
    <row r="9150" spans="1:11">
      <c r="A9150" s="4">
        <v>2026</v>
      </c>
      <c r="B9150">
        <v>28</v>
      </c>
      <c r="C9150" t="s">
        <v>10</v>
      </c>
      <c r="D9150" t="s">
        <v>11</v>
      </c>
      <c r="E9150" t="s">
        <v>38</v>
      </c>
      <c r="F9150" t="s">
        <v>115</v>
      </c>
      <c r="G9150" t="str">
        <f t="shared" si="376"/>
        <v>021PISTACHIO KISS</v>
      </c>
      <c r="H9150" s="5">
        <f>VLOOKUP(G9150,[6]Astroflores!$G$2:$H$110,2,FALSE)</f>
        <v>75</v>
      </c>
      <c r="I9150" s="6">
        <v>880.38</v>
      </c>
      <c r="J9150" s="5">
        <v>6400</v>
      </c>
      <c r="K9150" s="6">
        <f t="shared" si="377"/>
        <v>8.5190485926531723E-2</v>
      </c>
    </row>
    <row r="9151" spans="1:11">
      <c r="A9151" s="4">
        <v>2026</v>
      </c>
      <c r="B9151">
        <v>29</v>
      </c>
      <c r="C9151" t="s">
        <v>10</v>
      </c>
      <c r="D9151" t="s">
        <v>11</v>
      </c>
      <c r="E9151" t="s">
        <v>38</v>
      </c>
      <c r="F9151" t="s">
        <v>115</v>
      </c>
      <c r="G9151" t="str">
        <f t="shared" si="376"/>
        <v>021PISTACHIO KISS</v>
      </c>
      <c r="H9151" s="5">
        <v>50</v>
      </c>
      <c r="I9151" s="6">
        <v>880.37999999999965</v>
      </c>
      <c r="J9151" s="5">
        <v>6400</v>
      </c>
      <c r="K9151" s="6">
        <f t="shared" si="377"/>
        <v>5.6793657284354503E-2</v>
      </c>
    </row>
    <row r="9152" spans="1:11">
      <c r="A9152" s="4">
        <v>2026</v>
      </c>
      <c r="B9152">
        <v>30</v>
      </c>
      <c r="C9152" t="s">
        <v>10</v>
      </c>
      <c r="D9152" t="s">
        <v>11</v>
      </c>
      <c r="E9152" t="s">
        <v>38</v>
      </c>
      <c r="F9152" t="s">
        <v>115</v>
      </c>
      <c r="G9152" t="str">
        <f t="shared" si="376"/>
        <v>021PISTACHIO KISS</v>
      </c>
      <c r="H9152" s="5">
        <v>75</v>
      </c>
      <c r="I9152" s="6">
        <v>880.37999999999965</v>
      </c>
      <c r="J9152" s="5">
        <v>6400</v>
      </c>
      <c r="K9152" s="6">
        <f t="shared" si="377"/>
        <v>8.5190485926531764E-2</v>
      </c>
    </row>
    <row r="9153" spans="1:11">
      <c r="A9153" s="4">
        <v>2026</v>
      </c>
      <c r="B9153">
        <v>31</v>
      </c>
      <c r="C9153" t="s">
        <v>10</v>
      </c>
      <c r="D9153" t="s">
        <v>11</v>
      </c>
      <c r="E9153" t="s">
        <v>38</v>
      </c>
      <c r="F9153" t="s">
        <v>115</v>
      </c>
      <c r="G9153" t="str">
        <f t="shared" si="376"/>
        <v>021PISTACHIO KISS</v>
      </c>
      <c r="H9153" s="5">
        <v>150</v>
      </c>
      <c r="I9153" s="6">
        <v>880.37999999999965</v>
      </c>
      <c r="J9153" s="5">
        <v>6400</v>
      </c>
      <c r="K9153" s="6">
        <f t="shared" si="377"/>
        <v>0.17038097185306353</v>
      </c>
    </row>
    <row r="9154" spans="1:11">
      <c r="A9154" s="4">
        <v>2026</v>
      </c>
      <c r="B9154">
        <v>32</v>
      </c>
      <c r="C9154" t="s">
        <v>10</v>
      </c>
      <c r="D9154" t="s">
        <v>11</v>
      </c>
      <c r="E9154" t="s">
        <v>38</v>
      </c>
      <c r="F9154" t="s">
        <v>115</v>
      </c>
      <c r="G9154" t="str">
        <f t="shared" si="376"/>
        <v>021PISTACHIO KISS</v>
      </c>
      <c r="H9154" s="5">
        <v>75</v>
      </c>
      <c r="I9154" s="6">
        <v>880.37999999999965</v>
      </c>
      <c r="J9154" s="5">
        <v>6400</v>
      </c>
      <c r="K9154" s="6">
        <f t="shared" si="377"/>
        <v>8.5190485926531764E-2</v>
      </c>
    </row>
    <row r="9155" spans="1:11">
      <c r="A9155" s="4">
        <v>2026</v>
      </c>
      <c r="B9155">
        <v>33</v>
      </c>
      <c r="C9155" t="s">
        <v>10</v>
      </c>
      <c r="D9155" t="s">
        <v>11</v>
      </c>
      <c r="E9155" t="s">
        <v>38</v>
      </c>
      <c r="F9155" t="s">
        <v>115</v>
      </c>
      <c r="G9155" t="str">
        <f t="shared" ref="G9155:G9156" si="382">+E9155&amp;F9155</f>
        <v>021PISTACHIO KISS</v>
      </c>
      <c r="H9155" s="5">
        <v>200</v>
      </c>
      <c r="I9155" s="6">
        <v>880.37999999999965</v>
      </c>
      <c r="J9155" s="5">
        <v>6400</v>
      </c>
      <c r="K9155" s="6">
        <f t="shared" ref="K9155:K9156" si="383">+H9155/I9155</f>
        <v>0.22717462913741801</v>
      </c>
    </row>
    <row r="9156" spans="1:11">
      <c r="A9156" s="4">
        <v>2026</v>
      </c>
      <c r="B9156">
        <v>34</v>
      </c>
      <c r="C9156" t="s">
        <v>10</v>
      </c>
      <c r="D9156" t="s">
        <v>11</v>
      </c>
      <c r="E9156" t="s">
        <v>38</v>
      </c>
      <c r="F9156" t="s">
        <v>115</v>
      </c>
      <c r="G9156" t="str">
        <f t="shared" si="382"/>
        <v>021PISTACHIO KISS</v>
      </c>
      <c r="H9156" s="5">
        <v>125</v>
      </c>
      <c r="I9156" s="6">
        <v>880.37999999999965</v>
      </c>
      <c r="J9156" s="5">
        <v>6400</v>
      </c>
      <c r="K9156" s="6">
        <f t="shared" si="383"/>
        <v>0.14198414321088626</v>
      </c>
    </row>
    <row r="9157" spans="1:11">
      <c r="A9157" s="4">
        <v>2026</v>
      </c>
      <c r="B9157">
        <v>33</v>
      </c>
      <c r="C9157" t="s">
        <v>10</v>
      </c>
      <c r="D9157" t="s">
        <v>11</v>
      </c>
      <c r="E9157" t="s">
        <v>12</v>
      </c>
      <c r="F9157" t="s">
        <v>13</v>
      </c>
      <c r="G9157" t="str">
        <f t="shared" si="376"/>
        <v>002SOMERSET</v>
      </c>
      <c r="H9157" s="5">
        <v>9760</v>
      </c>
      <c r="I9157" s="6">
        <v>4121.4642855494085</v>
      </c>
      <c r="J9157" s="5">
        <v>31200</v>
      </c>
      <c r="K9157" s="6">
        <f t="shared" si="377"/>
        <v>2.3680903979249091</v>
      </c>
    </row>
    <row r="9158" spans="1:11">
      <c r="A9158" s="4">
        <v>2026</v>
      </c>
      <c r="B9158">
        <v>33</v>
      </c>
      <c r="C9158" t="s">
        <v>10</v>
      </c>
      <c r="D9158" t="s">
        <v>11</v>
      </c>
      <c r="E9158" t="s">
        <v>14</v>
      </c>
      <c r="F9158" t="s">
        <v>15</v>
      </c>
      <c r="G9158" t="str">
        <f t="shared" si="376"/>
        <v>004BELLINA</v>
      </c>
      <c r="H9158" s="5">
        <v>1020</v>
      </c>
      <c r="I9158" s="6">
        <v>1056.7857142434418</v>
      </c>
      <c r="J9158" s="5">
        <v>8000</v>
      </c>
      <c r="K9158" s="6">
        <f t="shared" si="377"/>
        <v>0.96519094292471874</v>
      </c>
    </row>
    <row r="9159" spans="1:11">
      <c r="A9159" s="4">
        <v>2026</v>
      </c>
      <c r="B9159">
        <v>33</v>
      </c>
      <c r="C9159" t="s">
        <v>10</v>
      </c>
      <c r="D9159" t="s">
        <v>11</v>
      </c>
      <c r="E9159" t="s">
        <v>16</v>
      </c>
      <c r="F9159" t="s">
        <v>17</v>
      </c>
      <c r="G9159" t="str">
        <f t="shared" si="376"/>
        <v>005ELBA</v>
      </c>
      <c r="H9159" s="5">
        <v>8340</v>
      </c>
      <c r="I9159" s="6">
        <v>2641.9642856076484</v>
      </c>
      <c r="J9159" s="5">
        <v>19996</v>
      </c>
      <c r="K9159" s="6">
        <f t="shared" si="377"/>
        <v>3.1567421427431639</v>
      </c>
    </row>
    <row r="9160" spans="1:11">
      <c r="A9160" s="4">
        <v>2026</v>
      </c>
      <c r="B9160">
        <v>33</v>
      </c>
      <c r="C9160" t="s">
        <v>10</v>
      </c>
      <c r="D9160" t="s">
        <v>11</v>
      </c>
      <c r="E9160" t="s">
        <v>16</v>
      </c>
      <c r="F9160" t="s">
        <v>18</v>
      </c>
      <c r="G9160" t="str">
        <f t="shared" si="376"/>
        <v>005HOT BUBBLES</v>
      </c>
      <c r="H9160" s="5">
        <v>1560</v>
      </c>
      <c r="I9160" s="6">
        <v>528.39285712153003</v>
      </c>
      <c r="J9160" s="5">
        <v>4000</v>
      </c>
      <c r="K9160" s="6">
        <f t="shared" si="377"/>
        <v>2.9523487665943238</v>
      </c>
    </row>
    <row r="9161" spans="1:11">
      <c r="A9161" s="4">
        <v>2026</v>
      </c>
      <c r="B9161">
        <v>33</v>
      </c>
      <c r="C9161" t="s">
        <v>10</v>
      </c>
      <c r="D9161" t="s">
        <v>11</v>
      </c>
      <c r="E9161" t="s">
        <v>16</v>
      </c>
      <c r="F9161" t="s">
        <v>19</v>
      </c>
      <c r="G9161" t="str">
        <f t="shared" si="376"/>
        <v>005SUSPIRO</v>
      </c>
      <c r="H9161" s="5">
        <v>3330</v>
      </c>
      <c r="I9161" s="6">
        <v>1902.2142856375078</v>
      </c>
      <c r="J9161" s="5">
        <v>14400</v>
      </c>
      <c r="K9161" s="6">
        <f t="shared" si="377"/>
        <v>1.7505914160895832</v>
      </c>
    </row>
    <row r="9162" spans="1:11">
      <c r="A9162" s="4">
        <v>2026</v>
      </c>
      <c r="B9162">
        <v>33</v>
      </c>
      <c r="C9162" t="s">
        <v>10</v>
      </c>
      <c r="D9162" t="s">
        <v>11</v>
      </c>
      <c r="E9162" t="s">
        <v>20</v>
      </c>
      <c r="F9162" t="s">
        <v>21</v>
      </c>
      <c r="G9162" t="str">
        <f t="shared" si="376"/>
        <v>007SNOW BUBBLES</v>
      </c>
      <c r="H9162" s="5">
        <v>1180</v>
      </c>
      <c r="I9162" s="6">
        <v>634.05652706821195</v>
      </c>
      <c r="J9162" s="5">
        <v>4800</v>
      </c>
      <c r="K9162" s="6">
        <f t="shared" si="377"/>
        <v>1.8610328095763855</v>
      </c>
    </row>
    <row r="9163" spans="1:11">
      <c r="A9163" s="4">
        <v>2026</v>
      </c>
      <c r="B9163">
        <v>33</v>
      </c>
      <c r="C9163" t="s">
        <v>10</v>
      </c>
      <c r="D9163" t="s">
        <v>11</v>
      </c>
      <c r="E9163" t="s">
        <v>22</v>
      </c>
      <c r="F9163" t="s">
        <v>18</v>
      </c>
      <c r="G9163" t="str">
        <f t="shared" si="376"/>
        <v>009HOT BUBBLES</v>
      </c>
      <c r="H9163" s="5">
        <v>11820</v>
      </c>
      <c r="I9163" s="6">
        <v>4487.9999999102474</v>
      </c>
      <c r="J9163" s="5">
        <v>31740</v>
      </c>
      <c r="K9163" s="6">
        <f t="shared" si="377"/>
        <v>2.633689839624862</v>
      </c>
    </row>
    <row r="9164" spans="1:11">
      <c r="A9164" s="4">
        <v>2026</v>
      </c>
      <c r="B9164">
        <v>33</v>
      </c>
      <c r="C9164" t="s">
        <v>10</v>
      </c>
      <c r="D9164" t="s">
        <v>11</v>
      </c>
      <c r="E9164" t="s">
        <v>23</v>
      </c>
      <c r="F9164" t="s">
        <v>24</v>
      </c>
      <c r="G9164" t="str">
        <f t="shared" si="376"/>
        <v>014FRUITY BUBBLES</v>
      </c>
      <c r="H9164" s="5">
        <v>3000</v>
      </c>
      <c r="I9164" s="6">
        <v>1702.8</v>
      </c>
      <c r="J9164" s="5">
        <v>12900</v>
      </c>
      <c r="K9164" s="6">
        <f t="shared" si="377"/>
        <v>1.7618040873854828</v>
      </c>
    </row>
    <row r="9165" spans="1:11">
      <c r="A9165" s="4">
        <v>2026</v>
      </c>
      <c r="B9165">
        <v>33</v>
      </c>
      <c r="C9165" t="s">
        <v>10</v>
      </c>
      <c r="D9165" t="s">
        <v>11</v>
      </c>
      <c r="E9165" t="s">
        <v>25</v>
      </c>
      <c r="F9165" t="s">
        <v>26</v>
      </c>
      <c r="G9165" t="str">
        <f t="shared" si="376"/>
        <v>015FELLINI</v>
      </c>
      <c r="H9165" s="5">
        <v>6960</v>
      </c>
      <c r="I9165" s="6">
        <v>3009.6</v>
      </c>
      <c r="J9165" s="5">
        <v>22800</v>
      </c>
      <c r="K9165" s="6">
        <f t="shared" si="377"/>
        <v>2.3125996810207337</v>
      </c>
    </row>
    <row r="9166" spans="1:11">
      <c r="A9166" s="4">
        <v>2026</v>
      </c>
      <c r="B9166">
        <v>33</v>
      </c>
      <c r="C9166" t="s">
        <v>10</v>
      </c>
      <c r="D9166" t="s">
        <v>11</v>
      </c>
      <c r="E9166" t="s">
        <v>27</v>
      </c>
      <c r="F9166" t="s">
        <v>28</v>
      </c>
      <c r="G9166" t="str">
        <f t="shared" si="376"/>
        <v>016GOOD PEACH</v>
      </c>
      <c r="H9166" s="5">
        <v>3360</v>
      </c>
      <c r="I9166" s="6">
        <v>1386</v>
      </c>
      <c r="J9166" s="5">
        <v>10500</v>
      </c>
      <c r="K9166" s="6">
        <f t="shared" si="377"/>
        <v>2.4242424242424243</v>
      </c>
    </row>
    <row r="9167" spans="1:11">
      <c r="A9167" s="4">
        <v>2026</v>
      </c>
      <c r="B9167">
        <v>33</v>
      </c>
      <c r="C9167" t="s">
        <v>10</v>
      </c>
      <c r="D9167" t="s">
        <v>11</v>
      </c>
      <c r="E9167" t="s">
        <v>27</v>
      </c>
      <c r="F9167" t="s">
        <v>29</v>
      </c>
      <c r="G9167" t="str">
        <f t="shared" si="376"/>
        <v>016GOOD YELLOW</v>
      </c>
      <c r="H9167" s="5">
        <v>3120</v>
      </c>
      <c r="I9167" s="6">
        <v>1386</v>
      </c>
      <c r="J9167" s="5">
        <v>10500</v>
      </c>
      <c r="K9167" s="6">
        <f t="shared" si="377"/>
        <v>2.2510822510822512</v>
      </c>
    </row>
    <row r="9168" spans="1:11">
      <c r="A9168" s="4">
        <v>2026</v>
      </c>
      <c r="B9168">
        <v>33</v>
      </c>
      <c r="C9168" t="s">
        <v>10</v>
      </c>
      <c r="D9168" t="s">
        <v>11</v>
      </c>
      <c r="E9168" t="s">
        <v>30</v>
      </c>
      <c r="F9168" t="s">
        <v>31</v>
      </c>
      <c r="G9168" t="str">
        <f t="shared" si="376"/>
        <v>017ORANGE STAR</v>
      </c>
      <c r="H9168" s="5">
        <v>1375</v>
      </c>
      <c r="I9168" s="6">
        <v>1029.5999999999999</v>
      </c>
      <c r="J9168" s="5">
        <v>7800</v>
      </c>
      <c r="K9168" s="6">
        <f t="shared" si="377"/>
        <v>1.3354700854700856</v>
      </c>
    </row>
    <row r="9169" spans="1:11">
      <c r="A9169" s="4">
        <v>2026</v>
      </c>
      <c r="B9169">
        <v>33</v>
      </c>
      <c r="C9169" t="s">
        <v>10</v>
      </c>
      <c r="D9169" t="s">
        <v>11</v>
      </c>
      <c r="E9169" t="s">
        <v>32</v>
      </c>
      <c r="F9169" t="s">
        <v>33</v>
      </c>
      <c r="G9169" t="str">
        <f t="shared" si="376"/>
        <v>018COSMO</v>
      </c>
      <c r="H9169" s="5">
        <v>4575</v>
      </c>
      <c r="I9169" s="6">
        <v>2653.2</v>
      </c>
      <c r="J9169" s="5">
        <v>20100</v>
      </c>
      <c r="K9169" s="6">
        <f t="shared" si="377"/>
        <v>1.724332881049299</v>
      </c>
    </row>
    <row r="9170" spans="1:11">
      <c r="A9170" s="4">
        <v>2026</v>
      </c>
      <c r="B9170">
        <v>33</v>
      </c>
      <c r="C9170" t="s">
        <v>10</v>
      </c>
      <c r="D9170" t="s">
        <v>11</v>
      </c>
      <c r="E9170" t="s">
        <v>32</v>
      </c>
      <c r="F9170" t="s">
        <v>34</v>
      </c>
      <c r="G9170" t="str">
        <f t="shared" si="376"/>
        <v>018RUBICON</v>
      </c>
      <c r="H9170" s="5">
        <v>4770</v>
      </c>
      <c r="I9170" s="6">
        <v>1768.8</v>
      </c>
      <c r="J9170" s="5">
        <v>13400</v>
      </c>
      <c r="K9170" s="6">
        <f t="shared" si="377"/>
        <v>2.6967435549525103</v>
      </c>
    </row>
    <row r="9171" spans="1:11">
      <c r="A9171" s="4">
        <v>2026</v>
      </c>
      <c r="B9171">
        <v>33</v>
      </c>
      <c r="C9171" t="s">
        <v>10</v>
      </c>
      <c r="D9171" t="s">
        <v>11</v>
      </c>
      <c r="E9171" t="s">
        <v>35</v>
      </c>
      <c r="F9171" t="s">
        <v>15</v>
      </c>
      <c r="G9171" t="str">
        <f t="shared" si="376"/>
        <v>019BELLINA</v>
      </c>
      <c r="H9171" s="5">
        <v>1770</v>
      </c>
      <c r="I9171" s="6">
        <v>1029.5999999999999</v>
      </c>
      <c r="J9171" s="5">
        <v>7800</v>
      </c>
      <c r="K9171" s="6">
        <f t="shared" si="377"/>
        <v>1.7191142191142192</v>
      </c>
    </row>
    <row r="9172" spans="1:11">
      <c r="A9172" s="4">
        <v>2026</v>
      </c>
      <c r="B9172">
        <v>33</v>
      </c>
      <c r="C9172" t="s">
        <v>10</v>
      </c>
      <c r="D9172" t="s">
        <v>11</v>
      </c>
      <c r="E9172" t="s">
        <v>36</v>
      </c>
      <c r="F9172" t="s">
        <v>37</v>
      </c>
      <c r="G9172" t="str">
        <f t="shared" si="376"/>
        <v>020SUMMER DANCE</v>
      </c>
      <c r="H9172" s="5">
        <v>4000</v>
      </c>
      <c r="I9172" s="6">
        <v>1346.4</v>
      </c>
      <c r="J9172" s="5">
        <v>10200</v>
      </c>
      <c r="K9172" s="6">
        <f t="shared" si="377"/>
        <v>2.9708853238265003</v>
      </c>
    </row>
    <row r="9173" spans="1:11">
      <c r="A9173" s="4">
        <v>2026</v>
      </c>
      <c r="B9173">
        <v>33</v>
      </c>
      <c r="C9173" t="s">
        <v>10</v>
      </c>
      <c r="D9173" t="s">
        <v>11</v>
      </c>
      <c r="E9173" t="s">
        <v>38</v>
      </c>
      <c r="F9173" t="s">
        <v>39</v>
      </c>
      <c r="G9173" t="str">
        <f t="shared" si="376"/>
        <v>021ELEGANT ROSEVER</v>
      </c>
      <c r="H9173" s="5">
        <v>420</v>
      </c>
      <c r="I9173" s="6">
        <v>440.18999062500001</v>
      </c>
      <c r="J9173" s="5">
        <v>3200</v>
      </c>
      <c r="K9173" s="6">
        <f t="shared" si="377"/>
        <v>0.95413346269792865</v>
      </c>
    </row>
    <row r="9174" spans="1:11">
      <c r="A9174" s="4">
        <v>2026</v>
      </c>
      <c r="B9174">
        <v>33</v>
      </c>
      <c r="C9174" t="s">
        <v>10</v>
      </c>
      <c r="D9174" t="s">
        <v>11</v>
      </c>
      <c r="E9174" t="s">
        <v>38</v>
      </c>
      <c r="F9174" t="s">
        <v>40</v>
      </c>
      <c r="G9174" t="str">
        <f t="shared" si="376"/>
        <v>021FLAME CLUB</v>
      </c>
      <c r="H9174" s="5">
        <v>1975</v>
      </c>
      <c r="I9174" s="6">
        <v>880.38</v>
      </c>
      <c r="J9174" s="5">
        <v>6400</v>
      </c>
      <c r="K9174" s="6">
        <f t="shared" si="377"/>
        <v>2.2433494627320023</v>
      </c>
    </row>
    <row r="9175" spans="1:11">
      <c r="A9175" s="4">
        <v>2026</v>
      </c>
      <c r="B9175">
        <v>33</v>
      </c>
      <c r="C9175" t="s">
        <v>10</v>
      </c>
      <c r="D9175" t="s">
        <v>11</v>
      </c>
      <c r="E9175" t="s">
        <v>38</v>
      </c>
      <c r="F9175" t="s">
        <v>41</v>
      </c>
      <c r="G9175" t="str">
        <f t="shared" ref="G9175:G9237" si="384">+E9175&amp;F9175</f>
        <v>021KELLY</v>
      </c>
      <c r="H9175" s="5">
        <v>675</v>
      </c>
      <c r="I9175" s="6">
        <v>330.14249999999998</v>
      </c>
      <c r="J9175" s="5">
        <v>2400</v>
      </c>
      <c r="K9175" s="6">
        <f t="shared" si="377"/>
        <v>2.0445716622367613</v>
      </c>
    </row>
    <row r="9176" spans="1:11">
      <c r="A9176" s="4">
        <v>2026</v>
      </c>
      <c r="B9176">
        <v>33</v>
      </c>
      <c r="C9176" t="s">
        <v>10</v>
      </c>
      <c r="D9176" t="s">
        <v>11</v>
      </c>
      <c r="E9176" t="s">
        <v>38</v>
      </c>
      <c r="F9176" t="s">
        <v>42</v>
      </c>
      <c r="G9176" t="str">
        <f t="shared" si="384"/>
        <v>021LEILA</v>
      </c>
      <c r="H9176" s="5">
        <v>2175</v>
      </c>
      <c r="I9176" s="6">
        <v>1650.7125000000001</v>
      </c>
      <c r="J9176" s="5">
        <v>12000</v>
      </c>
      <c r="K9176" s="6">
        <f t="shared" si="377"/>
        <v>1.317612848997024</v>
      </c>
    </row>
    <row r="9177" spans="1:11">
      <c r="A9177" s="4">
        <v>2026</v>
      </c>
      <c r="B9177">
        <v>33</v>
      </c>
      <c r="C9177" t="s">
        <v>10</v>
      </c>
      <c r="D9177" t="s">
        <v>11</v>
      </c>
      <c r="E9177" t="s">
        <v>38</v>
      </c>
      <c r="F9177" t="s">
        <v>21</v>
      </c>
      <c r="G9177" t="str">
        <f t="shared" si="384"/>
        <v>021SNOW BUBBLES</v>
      </c>
      <c r="H9177" s="5">
        <v>2900</v>
      </c>
      <c r="I9177" s="6">
        <v>1287.0000000000018</v>
      </c>
      <c r="J9177" s="5">
        <v>9400</v>
      </c>
      <c r="K9177" s="6">
        <f t="shared" si="377"/>
        <v>2.25330225330225</v>
      </c>
    </row>
    <row r="9178" spans="1:11">
      <c r="A9178" s="4">
        <v>2026</v>
      </c>
      <c r="B9178">
        <v>33</v>
      </c>
      <c r="C9178" t="s">
        <v>10</v>
      </c>
      <c r="D9178" t="s">
        <v>11</v>
      </c>
      <c r="E9178" t="s">
        <v>43</v>
      </c>
      <c r="F9178" t="s">
        <v>24</v>
      </c>
      <c r="G9178" t="str">
        <f t="shared" si="384"/>
        <v>022FRUITY BUBBLES</v>
      </c>
      <c r="H9178" s="5">
        <v>5375</v>
      </c>
      <c r="I9178" s="6">
        <v>2641.14</v>
      </c>
      <c r="J9178" s="5">
        <v>19200</v>
      </c>
      <c r="K9178" s="6">
        <f t="shared" si="377"/>
        <v>2.0351060526893692</v>
      </c>
    </row>
    <row r="9179" spans="1:11">
      <c r="A9179" s="4">
        <v>2026</v>
      </c>
      <c r="B9179">
        <v>33</v>
      </c>
      <c r="C9179" t="s">
        <v>10</v>
      </c>
      <c r="D9179" t="s">
        <v>11</v>
      </c>
      <c r="E9179" t="s">
        <v>43</v>
      </c>
      <c r="F9179" t="s">
        <v>28</v>
      </c>
      <c r="G9179" t="str">
        <f t="shared" si="384"/>
        <v>022GOOD PEACH</v>
      </c>
      <c r="H9179" s="5">
        <v>1980</v>
      </c>
      <c r="I9179" s="6">
        <v>880.38</v>
      </c>
      <c r="J9179" s="5">
        <v>6400</v>
      </c>
      <c r="K9179" s="6">
        <f t="shared" si="377"/>
        <v>2.2490288284604376</v>
      </c>
    </row>
    <row r="9180" spans="1:11">
      <c r="A9180" s="4">
        <v>2026</v>
      </c>
      <c r="B9180">
        <v>33</v>
      </c>
      <c r="C9180" t="s">
        <v>10</v>
      </c>
      <c r="D9180" t="s">
        <v>11</v>
      </c>
      <c r="E9180" t="s">
        <v>43</v>
      </c>
      <c r="F9180" t="s">
        <v>44</v>
      </c>
      <c r="G9180" t="str">
        <f t="shared" si="384"/>
        <v>022MIRABEL</v>
      </c>
      <c r="H9180" s="5">
        <v>1760</v>
      </c>
      <c r="I9180" s="6">
        <v>880.38</v>
      </c>
      <c r="J9180" s="5">
        <v>6400</v>
      </c>
      <c r="K9180" s="6">
        <f t="shared" si="377"/>
        <v>1.9991367364092778</v>
      </c>
    </row>
    <row r="9181" spans="1:11">
      <c r="A9181" s="4">
        <v>2026</v>
      </c>
      <c r="B9181">
        <v>33</v>
      </c>
      <c r="C9181" t="s">
        <v>10</v>
      </c>
      <c r="D9181" t="s">
        <v>11</v>
      </c>
      <c r="E9181" t="s">
        <v>45</v>
      </c>
      <c r="F9181" t="s">
        <v>46</v>
      </c>
      <c r="G9181" t="str">
        <f t="shared" si="384"/>
        <v>026PURPLE BUBBLY</v>
      </c>
      <c r="H9181" s="5">
        <v>430</v>
      </c>
      <c r="I9181" s="6">
        <v>1755.4</v>
      </c>
      <c r="J9181" s="5">
        <v>12800</v>
      </c>
      <c r="K9181" s="6">
        <f t="shared" si="377"/>
        <v>0.24495841403668678</v>
      </c>
    </row>
    <row r="9182" spans="1:11">
      <c r="A9182" s="4">
        <v>2026</v>
      </c>
      <c r="B9182">
        <v>33</v>
      </c>
      <c r="C9182" t="s">
        <v>10</v>
      </c>
      <c r="D9182" t="s">
        <v>11</v>
      </c>
      <c r="E9182" t="s">
        <v>47</v>
      </c>
      <c r="F9182" t="s">
        <v>44</v>
      </c>
      <c r="G9182" t="str">
        <f t="shared" si="384"/>
        <v>030MIRABEL</v>
      </c>
      <c r="H9182" s="5">
        <v>4960</v>
      </c>
      <c r="I9182" s="6">
        <v>2413.6749943750001</v>
      </c>
      <c r="J9182" s="5">
        <v>17600</v>
      </c>
      <c r="K9182" s="6">
        <f t="shared" si="377"/>
        <v>2.0549576937902314</v>
      </c>
    </row>
    <row r="9183" spans="1:11">
      <c r="A9183" s="4">
        <v>2026</v>
      </c>
      <c r="B9183">
        <v>33</v>
      </c>
      <c r="C9183" t="s">
        <v>10</v>
      </c>
      <c r="D9183" t="s">
        <v>11</v>
      </c>
      <c r="E9183" t="s">
        <v>47</v>
      </c>
      <c r="F9183" t="s">
        <v>13</v>
      </c>
      <c r="G9183" t="str">
        <f t="shared" si="384"/>
        <v>030SOMERSET</v>
      </c>
      <c r="H9183" s="5">
        <v>3520</v>
      </c>
      <c r="I9183" s="6">
        <v>1645.6875</v>
      </c>
      <c r="J9183" s="5">
        <v>12000</v>
      </c>
      <c r="K9183" s="6">
        <f t="shared" si="377"/>
        <v>2.1389237021001861</v>
      </c>
    </row>
    <row r="9184" spans="1:11">
      <c r="A9184" s="4">
        <v>2026</v>
      </c>
      <c r="B9184">
        <v>33</v>
      </c>
      <c r="C9184" t="s">
        <v>10</v>
      </c>
      <c r="D9184" t="s">
        <v>11</v>
      </c>
      <c r="E9184" t="s">
        <v>48</v>
      </c>
      <c r="F9184" t="s">
        <v>49</v>
      </c>
      <c r="G9184" t="str">
        <f t="shared" si="384"/>
        <v>03182989</v>
      </c>
      <c r="H9184" s="5">
        <v>1300</v>
      </c>
      <c r="I9184" s="6">
        <v>726.32013058333712</v>
      </c>
      <c r="J9184" s="5">
        <v>5712</v>
      </c>
      <c r="K9184" s="6">
        <f t="shared" si="377"/>
        <v>1.7898443747606407</v>
      </c>
    </row>
    <row r="9185" spans="1:11">
      <c r="A9185" s="4">
        <v>2026</v>
      </c>
      <c r="B9185">
        <v>33</v>
      </c>
      <c r="C9185" t="s">
        <v>10</v>
      </c>
      <c r="D9185" t="s">
        <v>11</v>
      </c>
      <c r="E9185" t="s">
        <v>48</v>
      </c>
      <c r="F9185" t="s">
        <v>34</v>
      </c>
      <c r="G9185" t="str">
        <f t="shared" si="384"/>
        <v>031RUBICON</v>
      </c>
      <c r="H9185" s="5">
        <v>2250</v>
      </c>
      <c r="I9185" s="6">
        <v>924.39958333667107</v>
      </c>
      <c r="J9185" s="5">
        <v>6720</v>
      </c>
      <c r="K9185" s="6">
        <f t="shared" si="377"/>
        <v>2.4340123476457025</v>
      </c>
    </row>
    <row r="9186" spans="1:11">
      <c r="A9186" s="4">
        <v>2026</v>
      </c>
      <c r="B9186">
        <v>33</v>
      </c>
      <c r="C9186" t="s">
        <v>10</v>
      </c>
      <c r="D9186" t="s">
        <v>11</v>
      </c>
      <c r="E9186" t="s">
        <v>48</v>
      </c>
      <c r="F9186" t="s">
        <v>13</v>
      </c>
      <c r="G9186" t="str">
        <f t="shared" si="384"/>
        <v>031SOMERSET</v>
      </c>
      <c r="H9186" s="5">
        <v>2500</v>
      </c>
      <c r="I9186" s="6">
        <v>1122.485208333339</v>
      </c>
      <c r="J9186" s="5">
        <v>8160</v>
      </c>
      <c r="K9186" s="6">
        <f t="shared" si="377"/>
        <v>2.2272008409910264</v>
      </c>
    </row>
    <row r="9187" spans="1:11">
      <c r="A9187" s="4">
        <v>2026</v>
      </c>
      <c r="B9187">
        <v>33</v>
      </c>
      <c r="C9187" t="s">
        <v>10</v>
      </c>
      <c r="D9187" t="s">
        <v>11</v>
      </c>
      <c r="E9187" t="s">
        <v>48</v>
      </c>
      <c r="F9187" t="s">
        <v>50</v>
      </c>
      <c r="G9187" t="str">
        <f t="shared" si="384"/>
        <v>031VELVET BLOSSOMS</v>
      </c>
      <c r="H9187" s="5">
        <v>380</v>
      </c>
      <c r="I9187" s="6">
        <v>396.17125000000198</v>
      </c>
      <c r="J9187" s="5">
        <v>2880</v>
      </c>
      <c r="K9187" s="6">
        <f t="shared" si="377"/>
        <v>0.95918116218680205</v>
      </c>
    </row>
    <row r="9188" spans="1:11">
      <c r="A9188" s="4">
        <v>2026</v>
      </c>
      <c r="B9188">
        <v>33</v>
      </c>
      <c r="C9188" t="s">
        <v>10</v>
      </c>
      <c r="D9188" t="s">
        <v>11</v>
      </c>
      <c r="E9188" t="s">
        <v>51</v>
      </c>
      <c r="F9188" t="s">
        <v>17</v>
      </c>
      <c r="G9188" t="str">
        <f t="shared" si="384"/>
        <v>032ELBA</v>
      </c>
      <c r="H9188" s="5">
        <v>2670</v>
      </c>
      <c r="I9188" s="6">
        <v>1535.9749999999999</v>
      </c>
      <c r="J9188" s="5">
        <v>11200</v>
      </c>
      <c r="K9188" s="6">
        <f t="shared" si="377"/>
        <v>1.7383095427985482</v>
      </c>
    </row>
    <row r="9189" spans="1:11">
      <c r="A9189" s="4">
        <v>2026</v>
      </c>
      <c r="B9189">
        <v>33</v>
      </c>
      <c r="C9189" t="s">
        <v>10</v>
      </c>
      <c r="D9189" t="s">
        <v>11</v>
      </c>
      <c r="E9189" t="s">
        <v>51</v>
      </c>
      <c r="F9189" t="s">
        <v>44</v>
      </c>
      <c r="G9189" t="str">
        <f t="shared" si="384"/>
        <v>032MIRABEL</v>
      </c>
      <c r="H9189" s="5">
        <v>2040</v>
      </c>
      <c r="I9189" s="6">
        <v>1535.9749999999999</v>
      </c>
      <c r="J9189" s="5">
        <v>11200</v>
      </c>
      <c r="K9189" s="6">
        <f t="shared" si="377"/>
        <v>1.3281466169696774</v>
      </c>
    </row>
    <row r="9190" spans="1:11">
      <c r="A9190" s="4">
        <v>2026</v>
      </c>
      <c r="B9190">
        <v>33</v>
      </c>
      <c r="C9190" t="s">
        <v>10</v>
      </c>
      <c r="D9190" t="s">
        <v>11</v>
      </c>
      <c r="E9190" t="s">
        <v>52</v>
      </c>
      <c r="F9190" t="s">
        <v>53</v>
      </c>
      <c r="G9190" t="str">
        <f t="shared" si="384"/>
        <v>033CREAMY FOLIES</v>
      </c>
      <c r="H9190" s="5">
        <v>1260</v>
      </c>
      <c r="I9190" s="6">
        <v>594.25687500000299</v>
      </c>
      <c r="J9190" s="5">
        <v>4320</v>
      </c>
      <c r="K9190" s="6">
        <f t="shared" si="377"/>
        <v>2.120295200623457</v>
      </c>
    </row>
    <row r="9191" spans="1:11">
      <c r="A9191" s="4">
        <v>2026</v>
      </c>
      <c r="B9191">
        <v>33</v>
      </c>
      <c r="C9191" t="s">
        <v>10</v>
      </c>
      <c r="D9191" t="s">
        <v>11</v>
      </c>
      <c r="E9191" t="s">
        <v>52</v>
      </c>
      <c r="F9191" t="s">
        <v>18</v>
      </c>
      <c r="G9191" t="str">
        <f t="shared" si="384"/>
        <v>033HOT BUBBLES</v>
      </c>
      <c r="H9191" s="5">
        <v>2560</v>
      </c>
      <c r="I9191" s="6">
        <v>2575.1131250013459</v>
      </c>
      <c r="J9191" s="5">
        <v>18720</v>
      </c>
      <c r="K9191" s="6">
        <f t="shared" si="377"/>
        <v>0.9941310830756851</v>
      </c>
    </row>
    <row r="9192" spans="1:11">
      <c r="A9192" s="4">
        <v>2026</v>
      </c>
      <c r="B9192">
        <v>33</v>
      </c>
      <c r="C9192" t="s">
        <v>54</v>
      </c>
      <c r="D9192" t="s">
        <v>11</v>
      </c>
      <c r="E9192" t="s">
        <v>55</v>
      </c>
      <c r="F9192" t="s">
        <v>56</v>
      </c>
      <c r="G9192" t="str">
        <f t="shared" si="384"/>
        <v>001BELIEVE IN PINK</v>
      </c>
      <c r="H9192" s="5">
        <v>1110</v>
      </c>
      <c r="I9192" s="6">
        <v>528.37931032368999</v>
      </c>
      <c r="J9192" s="5">
        <v>4000</v>
      </c>
      <c r="K9192" s="6">
        <f t="shared" ref="K9192:K9198" si="385">IFERROR(H9192/I9192,"")</f>
        <v>2.1007635581340303</v>
      </c>
    </row>
    <row r="9193" spans="1:11">
      <c r="A9193" s="4">
        <v>2026</v>
      </c>
      <c r="B9193">
        <v>33</v>
      </c>
      <c r="C9193" t="s">
        <v>54</v>
      </c>
      <c r="D9193" t="s">
        <v>11</v>
      </c>
      <c r="E9193" t="s">
        <v>55</v>
      </c>
      <c r="F9193" t="s">
        <v>57</v>
      </c>
      <c r="G9193" t="str">
        <f t="shared" si="384"/>
        <v>001EXPLORER</v>
      </c>
      <c r="H9193" s="5">
        <v>3000</v>
      </c>
      <c r="I9193" s="6">
        <v>2272.0310343918732</v>
      </c>
      <c r="J9193" s="5">
        <v>17200</v>
      </c>
      <c r="K9193" s="6">
        <f t="shared" si="385"/>
        <v>1.3204044991414361</v>
      </c>
    </row>
    <row r="9194" spans="1:11">
      <c r="A9194" s="4">
        <v>2026</v>
      </c>
      <c r="B9194">
        <v>33</v>
      </c>
      <c r="C9194" t="s">
        <v>54</v>
      </c>
      <c r="D9194" t="s">
        <v>11</v>
      </c>
      <c r="E9194" t="s">
        <v>55</v>
      </c>
      <c r="F9194" t="s">
        <v>58</v>
      </c>
      <c r="G9194" t="str">
        <f t="shared" si="384"/>
        <v>001GRACE KELLY</v>
      </c>
      <c r="H9194" s="5">
        <v>1290</v>
      </c>
      <c r="I9194" s="6">
        <v>1162.4344827121224</v>
      </c>
      <c r="J9194" s="5">
        <v>8800</v>
      </c>
      <c r="K9194" s="6">
        <f t="shared" si="385"/>
        <v>1.109739963142051</v>
      </c>
    </row>
    <row r="9195" spans="1:11">
      <c r="A9195" s="4">
        <v>2026</v>
      </c>
      <c r="B9195">
        <v>33</v>
      </c>
      <c r="C9195" t="s">
        <v>54</v>
      </c>
      <c r="D9195" t="s">
        <v>11</v>
      </c>
      <c r="E9195" t="s">
        <v>55</v>
      </c>
      <c r="F9195" t="s">
        <v>59</v>
      </c>
      <c r="G9195" t="str">
        <f t="shared" si="384"/>
        <v>001IDOLE</v>
      </c>
      <c r="H9195" s="5">
        <v>1225</v>
      </c>
      <c r="I9195" s="6">
        <v>1162.4344827121181</v>
      </c>
      <c r="J9195" s="5">
        <v>8800</v>
      </c>
      <c r="K9195" s="6">
        <f t="shared" si="385"/>
        <v>1.0538228332162929</v>
      </c>
    </row>
    <row r="9196" spans="1:11">
      <c r="A9196" s="4">
        <v>2026</v>
      </c>
      <c r="B9196">
        <v>33</v>
      </c>
      <c r="C9196" t="s">
        <v>54</v>
      </c>
      <c r="D9196" t="s">
        <v>11</v>
      </c>
      <c r="E9196" t="s">
        <v>55</v>
      </c>
      <c r="F9196" t="s">
        <v>60</v>
      </c>
      <c r="G9196" t="str">
        <f t="shared" si="384"/>
        <v>001LIGHT HOUSE</v>
      </c>
      <c r="H9196" s="5">
        <v>1560</v>
      </c>
      <c r="I9196" s="6">
        <v>1056.7586206473827</v>
      </c>
      <c r="J9196" s="5">
        <v>8000</v>
      </c>
      <c r="K9196" s="6">
        <f t="shared" si="385"/>
        <v>1.4762122300401257</v>
      </c>
    </row>
    <row r="9197" spans="1:11">
      <c r="A9197" s="4">
        <v>2026</v>
      </c>
      <c r="B9197">
        <v>33</v>
      </c>
      <c r="C9197" t="s">
        <v>54</v>
      </c>
      <c r="D9197" t="s">
        <v>11</v>
      </c>
      <c r="E9197" t="s">
        <v>55</v>
      </c>
      <c r="F9197" t="s">
        <v>61</v>
      </c>
      <c r="G9197" t="str">
        <f t="shared" si="384"/>
        <v>001LUMIA</v>
      </c>
      <c r="H9197" s="5">
        <v>1770</v>
      </c>
      <c r="I9197" s="6">
        <v>1109.596551679753</v>
      </c>
      <c r="J9197" s="5">
        <v>8400</v>
      </c>
      <c r="K9197" s="6">
        <f t="shared" si="385"/>
        <v>1.5951743877722953</v>
      </c>
    </row>
    <row r="9198" spans="1:11">
      <c r="A9198" s="4">
        <v>2026</v>
      </c>
      <c r="B9198">
        <v>33</v>
      </c>
      <c r="C9198" t="s">
        <v>54</v>
      </c>
      <c r="D9198" t="s">
        <v>11</v>
      </c>
      <c r="E9198" t="s">
        <v>55</v>
      </c>
      <c r="F9198" t="s">
        <v>62</v>
      </c>
      <c r="G9198" t="str">
        <f t="shared" si="384"/>
        <v>001MOMENTUM</v>
      </c>
      <c r="H9198" s="5">
        <v>3475</v>
      </c>
      <c r="I9198" s="6">
        <v>1902.1655171652881</v>
      </c>
      <c r="J9198" s="5">
        <v>14400</v>
      </c>
      <c r="K9198" s="6">
        <f t="shared" si="385"/>
        <v>1.8268652063352702</v>
      </c>
    </row>
    <row r="9199" spans="1:11">
      <c r="A9199" s="4">
        <v>2026</v>
      </c>
      <c r="B9199">
        <v>33</v>
      </c>
      <c r="C9199" t="s">
        <v>54</v>
      </c>
      <c r="D9199" t="s">
        <v>11</v>
      </c>
      <c r="E9199" t="s">
        <v>12</v>
      </c>
      <c r="F9199" t="s">
        <v>63</v>
      </c>
      <c r="G9199" t="str">
        <f t="shared" si="384"/>
        <v>002SUMMER ROMANCE</v>
      </c>
      <c r="H9199" s="5">
        <v>1450</v>
      </c>
      <c r="I9199" s="6">
        <v>951.10714281909407</v>
      </c>
      <c r="J9199" s="5">
        <v>7200</v>
      </c>
      <c r="K9199" s="6">
        <f t="shared" ref="K9199:K9261" si="386">+H9199/I9199</f>
        <v>1.5245390710684612</v>
      </c>
    </row>
    <row r="9200" spans="1:11">
      <c r="A9200" s="4">
        <v>2026</v>
      </c>
      <c r="B9200">
        <v>33</v>
      </c>
      <c r="C9200" t="s">
        <v>54</v>
      </c>
      <c r="D9200" t="s">
        <v>11</v>
      </c>
      <c r="E9200" t="s">
        <v>12</v>
      </c>
      <c r="F9200" t="s">
        <v>64</v>
      </c>
      <c r="G9200" t="str">
        <f t="shared" si="384"/>
        <v>002SWEETNESS</v>
      </c>
      <c r="H9200" s="5">
        <v>5850</v>
      </c>
      <c r="I9200" s="6">
        <v>3804.4285712763772</v>
      </c>
      <c r="J9200" s="5">
        <v>28800</v>
      </c>
      <c r="K9200" s="6">
        <f t="shared" si="386"/>
        <v>1.5376816492673269</v>
      </c>
    </row>
    <row r="9201" spans="1:11">
      <c r="A9201" s="4">
        <v>2026</v>
      </c>
      <c r="B9201">
        <v>33</v>
      </c>
      <c r="C9201" t="s">
        <v>54</v>
      </c>
      <c r="D9201" t="s">
        <v>11</v>
      </c>
      <c r="E9201" t="s">
        <v>65</v>
      </c>
      <c r="F9201" t="s">
        <v>66</v>
      </c>
      <c r="G9201" t="str">
        <f t="shared" si="384"/>
        <v>003CABARET</v>
      </c>
      <c r="H9201" s="5">
        <v>5010</v>
      </c>
      <c r="I9201" s="6">
        <v>2641.8965516184649</v>
      </c>
      <c r="J9201" s="5">
        <v>20000</v>
      </c>
      <c r="K9201" s="6">
        <f t="shared" si="386"/>
        <v>1.8963649416669248</v>
      </c>
    </row>
    <row r="9202" spans="1:11">
      <c r="A9202" s="4">
        <v>2026</v>
      </c>
      <c r="B9202">
        <v>33</v>
      </c>
      <c r="C9202" t="s">
        <v>54</v>
      </c>
      <c r="D9202" t="s">
        <v>11</v>
      </c>
      <c r="E9202" t="s">
        <v>65</v>
      </c>
      <c r="F9202" t="s">
        <v>67</v>
      </c>
      <c r="G9202" t="str">
        <f t="shared" si="384"/>
        <v>003DEEP PURPLE</v>
      </c>
      <c r="H9202" s="5">
        <v>7650</v>
      </c>
      <c r="I9202" s="6">
        <v>3592.9793102010913</v>
      </c>
      <c r="J9202" s="5">
        <v>26044</v>
      </c>
      <c r="K9202" s="6">
        <f t="shared" si="386"/>
        <v>2.1291522548655717</v>
      </c>
    </row>
    <row r="9203" spans="1:11">
      <c r="A9203" s="4">
        <v>2026</v>
      </c>
      <c r="B9203">
        <v>33</v>
      </c>
      <c r="C9203" t="s">
        <v>54</v>
      </c>
      <c r="D9203" t="s">
        <v>11</v>
      </c>
      <c r="E9203" t="s">
        <v>65</v>
      </c>
      <c r="F9203" t="s">
        <v>57</v>
      </c>
      <c r="G9203" t="str">
        <f t="shared" si="384"/>
        <v>003EXPLORER</v>
      </c>
      <c r="H9203" s="5">
        <v>2175</v>
      </c>
      <c r="I9203" s="6">
        <v>1268.1103447768633</v>
      </c>
      <c r="J9203" s="5">
        <v>9600</v>
      </c>
      <c r="K9203" s="6">
        <f t="shared" si="386"/>
        <v>1.7151504275305893</v>
      </c>
    </row>
    <row r="9204" spans="1:11">
      <c r="A9204" s="4">
        <v>2026</v>
      </c>
      <c r="B9204">
        <v>33</v>
      </c>
      <c r="C9204" t="s">
        <v>54</v>
      </c>
      <c r="D9204" t="s">
        <v>11</v>
      </c>
      <c r="E9204" t="s">
        <v>65</v>
      </c>
      <c r="F9204" t="s">
        <v>68</v>
      </c>
      <c r="G9204" t="str">
        <f t="shared" si="384"/>
        <v>003JOCKER</v>
      </c>
      <c r="H9204" s="5">
        <v>1000</v>
      </c>
      <c r="I9204" s="6">
        <v>528.37931032368999</v>
      </c>
      <c r="J9204" s="5">
        <v>4000</v>
      </c>
      <c r="K9204" s="6">
        <f t="shared" si="386"/>
        <v>1.8925797821027301</v>
      </c>
    </row>
    <row r="9205" spans="1:11">
      <c r="A9205" s="4">
        <v>2026</v>
      </c>
      <c r="B9205">
        <v>33</v>
      </c>
      <c r="C9205" t="s">
        <v>54</v>
      </c>
      <c r="D9205" t="s">
        <v>11</v>
      </c>
      <c r="E9205" t="s">
        <v>65</v>
      </c>
      <c r="F9205" t="s">
        <v>69</v>
      </c>
      <c r="G9205" t="str">
        <f t="shared" si="384"/>
        <v>003QUICKSAND</v>
      </c>
      <c r="H9205" s="5">
        <v>1560</v>
      </c>
      <c r="I9205" s="6">
        <v>1162.4344827121247</v>
      </c>
      <c r="J9205" s="5">
        <v>8800</v>
      </c>
      <c r="K9205" s="6">
        <f t="shared" si="386"/>
        <v>1.3420111182182917</v>
      </c>
    </row>
    <row r="9206" spans="1:11">
      <c r="A9206" s="4">
        <v>2026</v>
      </c>
      <c r="B9206">
        <v>33</v>
      </c>
      <c r="C9206" t="s">
        <v>54</v>
      </c>
      <c r="D9206" t="s">
        <v>11</v>
      </c>
      <c r="E9206" t="s">
        <v>14</v>
      </c>
      <c r="F9206" t="s">
        <v>70</v>
      </c>
      <c r="G9206" t="str">
        <f t="shared" si="384"/>
        <v>004COTOPAXI</v>
      </c>
      <c r="H9206" s="5">
        <v>720</v>
      </c>
      <c r="I9206" s="6">
        <v>528.3915024419166</v>
      </c>
      <c r="J9206" s="5">
        <v>4000</v>
      </c>
      <c r="K9206" s="6">
        <f t="shared" si="386"/>
        <v>1.3626260011233733</v>
      </c>
    </row>
    <row r="9207" spans="1:11">
      <c r="A9207" s="4">
        <v>2026</v>
      </c>
      <c r="B9207">
        <v>33</v>
      </c>
      <c r="C9207" t="s">
        <v>54</v>
      </c>
      <c r="D9207" t="s">
        <v>11</v>
      </c>
      <c r="E9207" t="s">
        <v>14</v>
      </c>
      <c r="F9207" t="s">
        <v>67</v>
      </c>
      <c r="G9207" t="str">
        <f t="shared" si="384"/>
        <v>004DEEP PURPLE</v>
      </c>
      <c r="H9207" s="5">
        <v>9930</v>
      </c>
      <c r="I9207" s="6">
        <v>3910.1071427007282</v>
      </c>
      <c r="J9207" s="5">
        <v>29260</v>
      </c>
      <c r="K9207" s="6">
        <f t="shared" si="386"/>
        <v>2.5395723538003372</v>
      </c>
    </row>
    <row r="9208" spans="1:11">
      <c r="A9208" s="4">
        <v>2026</v>
      </c>
      <c r="B9208">
        <v>33</v>
      </c>
      <c r="C9208" t="s">
        <v>54</v>
      </c>
      <c r="D9208" t="s">
        <v>11</v>
      </c>
      <c r="E9208" t="s">
        <v>14</v>
      </c>
      <c r="F9208" t="s">
        <v>71</v>
      </c>
      <c r="G9208" t="str">
        <f t="shared" si="384"/>
        <v>004HOT EXPLORER</v>
      </c>
      <c r="H9208" s="5">
        <v>2300</v>
      </c>
      <c r="I9208" s="6">
        <v>1902.2142856381945</v>
      </c>
      <c r="J9208" s="5">
        <v>14400</v>
      </c>
      <c r="K9208" s="6">
        <f t="shared" si="386"/>
        <v>1.2091171942956722</v>
      </c>
    </row>
    <row r="9209" spans="1:11">
      <c r="A9209" s="4">
        <v>2026</v>
      </c>
      <c r="B9209">
        <v>33</v>
      </c>
      <c r="C9209" t="s">
        <v>54</v>
      </c>
      <c r="D9209" t="s">
        <v>11</v>
      </c>
      <c r="E9209" t="s">
        <v>14</v>
      </c>
      <c r="F9209" t="s">
        <v>72</v>
      </c>
      <c r="G9209" t="str">
        <f t="shared" si="384"/>
        <v>004HOT MERENGUE</v>
      </c>
      <c r="H9209" s="5">
        <v>2250</v>
      </c>
      <c r="I9209" s="6">
        <v>1162.4642856677858</v>
      </c>
      <c r="J9209" s="5">
        <v>8800</v>
      </c>
      <c r="K9209" s="6">
        <f t="shared" si="386"/>
        <v>1.9355433347420834</v>
      </c>
    </row>
    <row r="9210" spans="1:11">
      <c r="A9210" s="4">
        <v>2026</v>
      </c>
      <c r="B9210">
        <v>33</v>
      </c>
      <c r="C9210" t="s">
        <v>54</v>
      </c>
      <c r="D9210" t="s">
        <v>11</v>
      </c>
      <c r="E9210" t="s">
        <v>14</v>
      </c>
      <c r="F9210" t="s">
        <v>64</v>
      </c>
      <c r="G9210" t="str">
        <f t="shared" si="384"/>
        <v>004SWEETNESS</v>
      </c>
      <c r="H9210" s="5">
        <v>720</v>
      </c>
      <c r="I9210" s="6">
        <v>317.03571427303262</v>
      </c>
      <c r="J9210" s="5">
        <v>2400</v>
      </c>
      <c r="K9210" s="6">
        <f t="shared" si="386"/>
        <v>2.2710375127640434</v>
      </c>
    </row>
    <row r="9211" spans="1:11">
      <c r="A9211" s="4">
        <v>2026</v>
      </c>
      <c r="B9211">
        <v>33</v>
      </c>
      <c r="C9211" t="s">
        <v>54</v>
      </c>
      <c r="D9211" t="s">
        <v>11</v>
      </c>
      <c r="E9211" t="s">
        <v>16</v>
      </c>
      <c r="F9211" t="s">
        <v>57</v>
      </c>
      <c r="G9211" t="str">
        <f t="shared" si="384"/>
        <v>005EXPLORER</v>
      </c>
      <c r="H9211" s="5">
        <v>1075</v>
      </c>
      <c r="I9211" s="6">
        <v>951.10714281875391</v>
      </c>
      <c r="J9211" s="5">
        <v>7200</v>
      </c>
      <c r="K9211" s="6">
        <f t="shared" si="386"/>
        <v>1.1302617251028841</v>
      </c>
    </row>
    <row r="9212" spans="1:11">
      <c r="A9212" s="4">
        <v>2026</v>
      </c>
      <c r="B9212">
        <v>33</v>
      </c>
      <c r="C9212" t="s">
        <v>54</v>
      </c>
      <c r="D9212" t="s">
        <v>11</v>
      </c>
      <c r="E9212" t="s">
        <v>16</v>
      </c>
      <c r="F9212" t="s">
        <v>73</v>
      </c>
      <c r="G9212" t="str">
        <f t="shared" si="384"/>
        <v>005GOLDFINCH</v>
      </c>
      <c r="H9212" s="5">
        <v>750</v>
      </c>
      <c r="I9212" s="6">
        <v>898.26785710660101</v>
      </c>
      <c r="J9212" s="5">
        <v>6800</v>
      </c>
      <c r="K9212" s="6">
        <f t="shared" si="386"/>
        <v>0.8349402620459061</v>
      </c>
    </row>
    <row r="9213" spans="1:11">
      <c r="A9213" s="4">
        <v>2026</v>
      </c>
      <c r="B9213">
        <v>33</v>
      </c>
      <c r="C9213" t="s">
        <v>54</v>
      </c>
      <c r="D9213" t="s">
        <v>11</v>
      </c>
      <c r="E9213" t="s">
        <v>16</v>
      </c>
      <c r="F9213" t="s">
        <v>68</v>
      </c>
      <c r="G9213" t="str">
        <f t="shared" si="384"/>
        <v>005JOCKER</v>
      </c>
      <c r="H9213" s="5">
        <v>2050</v>
      </c>
      <c r="I9213" s="6">
        <v>1162.4642856673661</v>
      </c>
      <c r="J9213" s="5">
        <v>8800</v>
      </c>
      <c r="K9213" s="6">
        <f t="shared" si="386"/>
        <v>1.7634950383212016</v>
      </c>
    </row>
    <row r="9214" spans="1:11">
      <c r="A9214" s="4">
        <v>2026</v>
      </c>
      <c r="B9214">
        <v>33</v>
      </c>
      <c r="C9214" t="s">
        <v>54</v>
      </c>
      <c r="D9214" t="s">
        <v>11</v>
      </c>
      <c r="E9214" t="s">
        <v>16</v>
      </c>
      <c r="F9214" t="s">
        <v>74</v>
      </c>
      <c r="G9214" t="str">
        <f t="shared" si="384"/>
        <v>005VENDELA</v>
      </c>
      <c r="H9214" s="5">
        <v>2490</v>
      </c>
      <c r="I9214" s="6">
        <v>686.91071425798896</v>
      </c>
      <c r="J9214" s="5">
        <v>5200</v>
      </c>
      <c r="K9214" s="6">
        <f t="shared" si="386"/>
        <v>3.6249252607593037</v>
      </c>
    </row>
    <row r="9215" spans="1:11">
      <c r="A9215" s="4">
        <v>2026</v>
      </c>
      <c r="B9215">
        <v>33</v>
      </c>
      <c r="C9215" t="s">
        <v>54</v>
      </c>
      <c r="D9215" t="s">
        <v>11</v>
      </c>
      <c r="E9215" t="s">
        <v>75</v>
      </c>
      <c r="F9215" t="s">
        <v>76</v>
      </c>
      <c r="G9215" t="str">
        <f t="shared" si="384"/>
        <v>006ATOMIC</v>
      </c>
      <c r="H9215" s="5">
        <v>725</v>
      </c>
      <c r="I9215" s="6">
        <v>845.428571394752</v>
      </c>
      <c r="J9215" s="5">
        <v>6400</v>
      </c>
      <c r="K9215" s="6">
        <f t="shared" si="386"/>
        <v>0.85755322747600771</v>
      </c>
    </row>
    <row r="9216" spans="1:11">
      <c r="A9216" s="4">
        <v>2026</v>
      </c>
      <c r="B9216">
        <v>33</v>
      </c>
      <c r="C9216" t="s">
        <v>54</v>
      </c>
      <c r="D9216" t="s">
        <v>11</v>
      </c>
      <c r="E9216" t="s">
        <v>75</v>
      </c>
      <c r="F9216" t="s">
        <v>57</v>
      </c>
      <c r="G9216" t="str">
        <f t="shared" si="384"/>
        <v>006EXPLORER</v>
      </c>
      <c r="H9216" s="5">
        <v>5175</v>
      </c>
      <c r="I9216" s="6">
        <v>3910.1071427007355</v>
      </c>
      <c r="J9216" s="5">
        <v>29600</v>
      </c>
      <c r="K9216" s="6">
        <f t="shared" si="386"/>
        <v>1.3234931451074241</v>
      </c>
    </row>
    <row r="9217" spans="1:11">
      <c r="A9217" s="4">
        <v>2026</v>
      </c>
      <c r="B9217">
        <v>33</v>
      </c>
      <c r="C9217" t="s">
        <v>54</v>
      </c>
      <c r="D9217" t="s">
        <v>11</v>
      </c>
      <c r="E9217" t="s">
        <v>75</v>
      </c>
      <c r="F9217" t="s">
        <v>77</v>
      </c>
      <c r="G9217" t="str">
        <f t="shared" si="384"/>
        <v>006MONDIAL</v>
      </c>
      <c r="H9217" s="5">
        <v>5200</v>
      </c>
      <c r="I9217" s="6">
        <v>4015.7857141250793</v>
      </c>
      <c r="J9217" s="5">
        <v>30400</v>
      </c>
      <c r="K9217" s="6">
        <f t="shared" si="386"/>
        <v>1.2948898099093233</v>
      </c>
    </row>
    <row r="9218" spans="1:11">
      <c r="A9218" s="4">
        <v>2026</v>
      </c>
      <c r="B9218">
        <v>33</v>
      </c>
      <c r="C9218" t="s">
        <v>54</v>
      </c>
      <c r="D9218" t="s">
        <v>11</v>
      </c>
      <c r="E9218" t="s">
        <v>20</v>
      </c>
      <c r="F9218" t="s">
        <v>70</v>
      </c>
      <c r="G9218" t="str">
        <f t="shared" si="384"/>
        <v>007COTOPAXI</v>
      </c>
      <c r="H9218" s="5">
        <v>4800</v>
      </c>
      <c r="I9218" s="6">
        <v>2747.5751230427709</v>
      </c>
      <c r="J9218" s="5">
        <v>20800</v>
      </c>
      <c r="K9218" s="6">
        <f t="shared" si="386"/>
        <v>1.7469949992429303</v>
      </c>
    </row>
    <row r="9219" spans="1:11">
      <c r="A9219" s="4">
        <v>2026</v>
      </c>
      <c r="B9219">
        <v>33</v>
      </c>
      <c r="C9219" t="s">
        <v>54</v>
      </c>
      <c r="D9219" t="s">
        <v>11</v>
      </c>
      <c r="E9219" t="s">
        <v>20</v>
      </c>
      <c r="F9219" t="s">
        <v>78</v>
      </c>
      <c r="G9219" t="str">
        <f t="shared" si="384"/>
        <v>007REDIANT</v>
      </c>
      <c r="H9219" s="5">
        <v>1410</v>
      </c>
      <c r="I9219" s="6">
        <v>1056.75862064738</v>
      </c>
      <c r="J9219" s="5">
        <v>9600</v>
      </c>
      <c r="K9219" s="6">
        <f t="shared" si="386"/>
        <v>1.3342687463824248</v>
      </c>
    </row>
    <row r="9220" spans="1:11">
      <c r="A9220" s="4">
        <v>2026</v>
      </c>
      <c r="B9220">
        <v>33</v>
      </c>
      <c r="C9220" t="s">
        <v>54</v>
      </c>
      <c r="D9220" t="s">
        <v>11</v>
      </c>
      <c r="E9220" t="s">
        <v>20</v>
      </c>
      <c r="F9220" t="s">
        <v>63</v>
      </c>
      <c r="G9220" t="str">
        <f t="shared" si="384"/>
        <v>007SUMMER ROMANCE</v>
      </c>
      <c r="H9220" s="5">
        <v>0</v>
      </c>
      <c r="I9220" s="6">
        <v>317.02758619421581</v>
      </c>
      <c r="J9220" s="5">
        <v>2640</v>
      </c>
      <c r="K9220" s="6">
        <f t="shared" si="386"/>
        <v>0</v>
      </c>
    </row>
    <row r="9221" spans="1:11">
      <c r="A9221" s="4">
        <v>2026</v>
      </c>
      <c r="B9221">
        <v>33</v>
      </c>
      <c r="C9221" t="s">
        <v>54</v>
      </c>
      <c r="D9221" t="s">
        <v>11</v>
      </c>
      <c r="E9221" t="s">
        <v>20</v>
      </c>
      <c r="F9221" t="s">
        <v>114</v>
      </c>
      <c r="G9221" t="str">
        <f t="shared" si="384"/>
        <v>007TOPACIO</v>
      </c>
      <c r="H9221" s="5">
        <v>0</v>
      </c>
      <c r="I9221" s="6">
        <v>52.837931032368999</v>
      </c>
      <c r="J9221" s="5">
        <v>440</v>
      </c>
      <c r="K9221" s="6">
        <f t="shared" si="386"/>
        <v>0</v>
      </c>
    </row>
    <row r="9222" spans="1:11">
      <c r="A9222" s="4">
        <v>2026</v>
      </c>
      <c r="B9222">
        <v>33</v>
      </c>
      <c r="C9222" t="s">
        <v>54</v>
      </c>
      <c r="D9222" t="s">
        <v>11</v>
      </c>
      <c r="E9222" t="s">
        <v>20</v>
      </c>
      <c r="F9222" t="s">
        <v>74</v>
      </c>
      <c r="G9222" t="str">
        <f t="shared" si="384"/>
        <v>007VENDELA</v>
      </c>
      <c r="H9222" s="5">
        <v>13350</v>
      </c>
      <c r="I9222" s="6">
        <v>3592.9793102011122</v>
      </c>
      <c r="J9222" s="5">
        <v>27820</v>
      </c>
      <c r="K9222" s="6">
        <f t="shared" si="386"/>
        <v>3.7155794251575447</v>
      </c>
    </row>
    <row r="9223" spans="1:11">
      <c r="A9223" s="4">
        <v>2026</v>
      </c>
      <c r="B9223">
        <v>33</v>
      </c>
      <c r="C9223" t="s">
        <v>54</v>
      </c>
      <c r="D9223" t="s">
        <v>11</v>
      </c>
      <c r="E9223" t="s">
        <v>79</v>
      </c>
      <c r="F9223" t="s">
        <v>67</v>
      </c>
      <c r="G9223" t="str">
        <f t="shared" si="384"/>
        <v>008DEEP PURPLE</v>
      </c>
      <c r="H9223" s="5">
        <v>4620</v>
      </c>
      <c r="I9223" s="6">
        <v>1585.2222221588099</v>
      </c>
      <c r="J9223" s="5">
        <v>11490</v>
      </c>
      <c r="K9223" s="6">
        <f t="shared" si="386"/>
        <v>2.9144178875491198</v>
      </c>
    </row>
    <row r="9224" spans="1:11">
      <c r="A9224" s="4">
        <v>2026</v>
      </c>
      <c r="B9224">
        <v>33</v>
      </c>
      <c r="C9224" t="s">
        <v>54</v>
      </c>
      <c r="D9224" t="s">
        <v>11</v>
      </c>
      <c r="E9224" t="s">
        <v>79</v>
      </c>
      <c r="F9224" t="s">
        <v>81</v>
      </c>
      <c r="G9224" t="str">
        <f t="shared" si="384"/>
        <v>008FREEDOM</v>
      </c>
      <c r="H9224" s="5">
        <v>3720</v>
      </c>
      <c r="I9224" s="6">
        <v>2219.311111022334</v>
      </c>
      <c r="J9224" s="5">
        <v>16800</v>
      </c>
      <c r="K9224" s="6">
        <f t="shared" si="386"/>
        <v>1.6761958165866921</v>
      </c>
    </row>
    <row r="9225" spans="1:11">
      <c r="A9225" s="4">
        <v>2026</v>
      </c>
      <c r="B9225">
        <v>33</v>
      </c>
      <c r="C9225" t="s">
        <v>54</v>
      </c>
      <c r="D9225" t="s">
        <v>11</v>
      </c>
      <c r="E9225" t="s">
        <v>79</v>
      </c>
      <c r="F9225" t="s">
        <v>68</v>
      </c>
      <c r="G9225" t="str">
        <f t="shared" si="384"/>
        <v>008JOCKER</v>
      </c>
      <c r="H9225" s="5">
        <v>4200</v>
      </c>
      <c r="I9225" s="6">
        <v>2959.0814813631118</v>
      </c>
      <c r="J9225" s="5">
        <v>22400</v>
      </c>
      <c r="K9225" s="6">
        <f t="shared" si="386"/>
        <v>1.4193593608193764</v>
      </c>
    </row>
    <row r="9226" spans="1:11">
      <c r="A9226" s="4">
        <v>2026</v>
      </c>
      <c r="B9226">
        <v>33</v>
      </c>
      <c r="C9226" t="s">
        <v>54</v>
      </c>
      <c r="D9226" t="s">
        <v>11</v>
      </c>
      <c r="E9226" t="s">
        <v>82</v>
      </c>
      <c r="F9226" t="s">
        <v>83</v>
      </c>
      <c r="G9226" t="str">
        <f t="shared" si="384"/>
        <v>010COOLDOWN</v>
      </c>
      <c r="H9226" s="5">
        <v>1275</v>
      </c>
      <c r="I9226" s="6">
        <v>1912.3542857142861</v>
      </c>
      <c r="J9226" s="5">
        <v>16320</v>
      </c>
      <c r="K9226" s="6">
        <f t="shared" si="386"/>
        <v>0.66671746418774747</v>
      </c>
    </row>
    <row r="9227" spans="1:11">
      <c r="A9227" s="4">
        <v>2026</v>
      </c>
      <c r="B9227">
        <v>33</v>
      </c>
      <c r="C9227" t="s">
        <v>54</v>
      </c>
      <c r="D9227" t="s">
        <v>11</v>
      </c>
      <c r="E9227" t="s">
        <v>82</v>
      </c>
      <c r="F9227" t="s">
        <v>84</v>
      </c>
      <c r="G9227" t="str">
        <f t="shared" si="384"/>
        <v>010VIOLET HILL</v>
      </c>
      <c r="H9227" s="5">
        <v>2970</v>
      </c>
      <c r="I9227" s="6">
        <v>2812.2857142428579</v>
      </c>
      <c r="J9227" s="5">
        <v>20000</v>
      </c>
      <c r="K9227" s="6">
        <f t="shared" si="386"/>
        <v>1.0560804632894858</v>
      </c>
    </row>
    <row r="9228" spans="1:11">
      <c r="A9228" s="4">
        <v>2026</v>
      </c>
      <c r="B9228">
        <v>33</v>
      </c>
      <c r="C9228" t="s">
        <v>54</v>
      </c>
      <c r="D9228" t="s">
        <v>11</v>
      </c>
      <c r="E9228" t="s">
        <v>85</v>
      </c>
      <c r="F9228" t="s">
        <v>86</v>
      </c>
      <c r="G9228" t="str">
        <f t="shared" si="384"/>
        <v>011BRIGHTON</v>
      </c>
      <c r="H9228" s="5">
        <v>3600</v>
      </c>
      <c r="I9228" s="6">
        <v>1768.8376470588223</v>
      </c>
      <c r="J9228" s="5">
        <v>12800</v>
      </c>
      <c r="K9228" s="6">
        <f t="shared" si="386"/>
        <v>2.0352348368353574</v>
      </c>
    </row>
    <row r="9229" spans="1:11">
      <c r="A9229" s="4">
        <v>2026</v>
      </c>
      <c r="B9229">
        <v>33</v>
      </c>
      <c r="C9229" t="s">
        <v>54</v>
      </c>
      <c r="D9229" t="s">
        <v>11</v>
      </c>
      <c r="E9229" t="s">
        <v>85</v>
      </c>
      <c r="F9229" t="s">
        <v>87</v>
      </c>
      <c r="G9229" t="str">
        <f t="shared" si="384"/>
        <v>011CANDLELIGHT</v>
      </c>
      <c r="H9229" s="5">
        <v>3720</v>
      </c>
      <c r="I9229" s="6">
        <v>2263.7999998868127</v>
      </c>
      <c r="J9229" s="5">
        <v>17920</v>
      </c>
      <c r="K9229" s="6">
        <f t="shared" si="386"/>
        <v>1.643254704561355</v>
      </c>
    </row>
    <row r="9230" spans="1:11">
      <c r="A9230" s="4">
        <v>2026</v>
      </c>
      <c r="B9230">
        <v>33</v>
      </c>
      <c r="C9230" t="s">
        <v>54</v>
      </c>
      <c r="D9230" t="s">
        <v>11</v>
      </c>
      <c r="E9230" t="s">
        <v>85</v>
      </c>
      <c r="F9230" t="s">
        <v>88</v>
      </c>
      <c r="G9230" t="str">
        <f t="shared" si="384"/>
        <v>011CAYENNE</v>
      </c>
      <c r="H9230" s="5">
        <v>1680</v>
      </c>
      <c r="I9230" s="6">
        <v>994.97117647058747</v>
      </c>
      <c r="J9230" s="5">
        <v>7200</v>
      </c>
      <c r="K9230" s="6">
        <f t="shared" si="386"/>
        <v>1.6884911238930376</v>
      </c>
    </row>
    <row r="9231" spans="1:11">
      <c r="A9231" s="4">
        <v>2026</v>
      </c>
      <c r="B9231">
        <v>33</v>
      </c>
      <c r="C9231" t="s">
        <v>54</v>
      </c>
      <c r="D9231" t="s">
        <v>11</v>
      </c>
      <c r="E9231" t="s">
        <v>85</v>
      </c>
      <c r="F9231" t="s">
        <v>61</v>
      </c>
      <c r="G9231" t="str">
        <f t="shared" si="384"/>
        <v>011LUMIA</v>
      </c>
      <c r="H9231" s="5">
        <v>1740</v>
      </c>
      <c r="I9231" s="6">
        <v>994.97117647058747</v>
      </c>
      <c r="J9231" s="5">
        <v>7920</v>
      </c>
      <c r="K9231" s="6">
        <f t="shared" si="386"/>
        <v>1.7487943783177888</v>
      </c>
    </row>
    <row r="9232" spans="1:11">
      <c r="A9232" s="4">
        <v>2026</v>
      </c>
      <c r="B9232">
        <v>33</v>
      </c>
      <c r="C9232" t="s">
        <v>54</v>
      </c>
      <c r="D9232" t="s">
        <v>11</v>
      </c>
      <c r="E9232" t="s">
        <v>85</v>
      </c>
      <c r="F9232" t="s">
        <v>89</v>
      </c>
      <c r="G9232" t="str">
        <f t="shared" si="384"/>
        <v>011STARDUST</v>
      </c>
      <c r="H9232" s="5">
        <v>2525</v>
      </c>
      <c r="I9232" s="6">
        <v>2263.7999998868127</v>
      </c>
      <c r="J9232" s="5">
        <v>17920</v>
      </c>
      <c r="K9232" s="6">
        <f t="shared" si="386"/>
        <v>1.1153812174778015</v>
      </c>
    </row>
    <row r="9233" spans="1:11">
      <c r="A9233" s="4">
        <v>2026</v>
      </c>
      <c r="B9233">
        <v>33</v>
      </c>
      <c r="C9233" t="s">
        <v>54</v>
      </c>
      <c r="D9233" t="s">
        <v>11</v>
      </c>
      <c r="E9233" t="s">
        <v>90</v>
      </c>
      <c r="F9233" t="s">
        <v>67</v>
      </c>
      <c r="G9233" t="str">
        <f t="shared" si="384"/>
        <v>012DEEP PURPLE</v>
      </c>
      <c r="H9233" s="5">
        <v>14010</v>
      </c>
      <c r="I9233" s="6">
        <v>6727.0499997982479</v>
      </c>
      <c r="J9233" s="5">
        <v>49210</v>
      </c>
      <c r="K9233" s="6">
        <f t="shared" si="386"/>
        <v>2.0826365197850731</v>
      </c>
    </row>
    <row r="9234" spans="1:11">
      <c r="A9234" s="4">
        <v>2026</v>
      </c>
      <c r="B9234">
        <v>33</v>
      </c>
      <c r="C9234" t="s">
        <v>54</v>
      </c>
      <c r="D9234" t="s">
        <v>11</v>
      </c>
      <c r="E9234" t="s">
        <v>90</v>
      </c>
      <c r="F9234" t="s">
        <v>60</v>
      </c>
      <c r="G9234" t="str">
        <f t="shared" si="384"/>
        <v>012LIGHT HOUSE</v>
      </c>
      <c r="H9234" s="5">
        <v>1380</v>
      </c>
      <c r="I9234" s="6">
        <v>994.95</v>
      </c>
      <c r="J9234" s="5">
        <v>7200</v>
      </c>
      <c r="K9234" s="6">
        <f t="shared" si="386"/>
        <v>1.3870043720789988</v>
      </c>
    </row>
    <row r="9235" spans="1:11">
      <c r="A9235" s="4">
        <v>2026</v>
      </c>
      <c r="B9235">
        <v>33</v>
      </c>
      <c r="C9235" t="s">
        <v>54</v>
      </c>
      <c r="D9235" t="s">
        <v>11</v>
      </c>
      <c r="E9235" t="s">
        <v>91</v>
      </c>
      <c r="F9235" t="s">
        <v>92</v>
      </c>
      <c r="G9235" t="str">
        <f t="shared" si="384"/>
        <v>013COUNTRY BLUES</v>
      </c>
      <c r="H9235" s="5">
        <v>1250</v>
      </c>
      <c r="I9235" s="6">
        <v>831.6</v>
      </c>
      <c r="J9235" s="5">
        <v>6300</v>
      </c>
      <c r="K9235" s="6">
        <f t="shared" si="386"/>
        <v>1.5031265031265031</v>
      </c>
    </row>
    <row r="9236" spans="1:11">
      <c r="A9236" s="4">
        <v>2026</v>
      </c>
      <c r="B9236">
        <v>33</v>
      </c>
      <c r="C9236" t="s">
        <v>54</v>
      </c>
      <c r="D9236" t="s">
        <v>11</v>
      </c>
      <c r="E9236" t="s">
        <v>91</v>
      </c>
      <c r="F9236" t="s">
        <v>93</v>
      </c>
      <c r="G9236" t="str">
        <f t="shared" si="384"/>
        <v>013LORRAINE</v>
      </c>
      <c r="H9236" s="5">
        <v>3175</v>
      </c>
      <c r="I9236" s="6">
        <v>1267.2</v>
      </c>
      <c r="J9236" s="5">
        <v>9600</v>
      </c>
      <c r="K9236" s="6">
        <f t="shared" si="386"/>
        <v>2.5055239898989896</v>
      </c>
    </row>
    <row r="9237" spans="1:11">
      <c r="A9237" s="4">
        <v>2026</v>
      </c>
      <c r="B9237">
        <v>33</v>
      </c>
      <c r="C9237" t="s">
        <v>54</v>
      </c>
      <c r="D9237" t="s">
        <v>11</v>
      </c>
      <c r="E9237" t="s">
        <v>91</v>
      </c>
      <c r="F9237" t="s">
        <v>61</v>
      </c>
      <c r="G9237" t="str">
        <f t="shared" si="384"/>
        <v>013LUMIA</v>
      </c>
      <c r="H9237" s="5">
        <v>570</v>
      </c>
      <c r="I9237" s="6">
        <v>316.8</v>
      </c>
      <c r="J9237" s="5">
        <v>2400</v>
      </c>
      <c r="K9237" s="6">
        <f t="shared" si="386"/>
        <v>1.7992424242424241</v>
      </c>
    </row>
    <row r="9238" spans="1:11">
      <c r="A9238" s="4">
        <v>2026</v>
      </c>
      <c r="B9238">
        <v>33</v>
      </c>
      <c r="C9238" t="s">
        <v>54</v>
      </c>
      <c r="D9238" t="s">
        <v>11</v>
      </c>
      <c r="E9238" t="s">
        <v>91</v>
      </c>
      <c r="F9238" t="s">
        <v>74</v>
      </c>
      <c r="G9238" t="str">
        <f t="shared" ref="G9238:G9265" si="387">+E9238&amp;F9238</f>
        <v>013VENDELA</v>
      </c>
      <c r="H9238" s="5">
        <v>9480</v>
      </c>
      <c r="I9238" s="6">
        <v>3603.6</v>
      </c>
      <c r="J9238" s="5">
        <v>27296</v>
      </c>
      <c r="K9238" s="6">
        <f t="shared" si="386"/>
        <v>2.6307026307026309</v>
      </c>
    </row>
    <row r="9239" spans="1:11">
      <c r="A9239" s="4">
        <v>2026</v>
      </c>
      <c r="B9239">
        <v>33</v>
      </c>
      <c r="C9239" t="s">
        <v>54</v>
      </c>
      <c r="D9239" t="s">
        <v>11</v>
      </c>
      <c r="E9239" t="s">
        <v>23</v>
      </c>
      <c r="F9239" t="s">
        <v>89</v>
      </c>
      <c r="G9239" t="str">
        <f t="shared" si="387"/>
        <v>014STARDUST</v>
      </c>
      <c r="H9239" s="5">
        <v>4400</v>
      </c>
      <c r="I9239" s="6">
        <v>3682.8</v>
      </c>
      <c r="J9239" s="5">
        <v>27900</v>
      </c>
      <c r="K9239" s="6">
        <f t="shared" si="386"/>
        <v>1.1947431302270011</v>
      </c>
    </row>
    <row r="9240" spans="1:11">
      <c r="A9240" s="4">
        <v>2026</v>
      </c>
      <c r="B9240">
        <v>33</v>
      </c>
      <c r="C9240" t="s">
        <v>54</v>
      </c>
      <c r="D9240" t="s">
        <v>11</v>
      </c>
      <c r="E9240" t="s">
        <v>25</v>
      </c>
      <c r="F9240" t="s">
        <v>68</v>
      </c>
      <c r="G9240" t="str">
        <f t="shared" si="387"/>
        <v>015JOCKER</v>
      </c>
      <c r="H9240" s="5">
        <v>3250</v>
      </c>
      <c r="I9240" s="6">
        <v>2376</v>
      </c>
      <c r="J9240" s="5">
        <v>18000</v>
      </c>
      <c r="K9240" s="6">
        <f t="shared" si="386"/>
        <v>1.3678451178451179</v>
      </c>
    </row>
    <row r="9241" spans="1:11">
      <c r="A9241" s="4">
        <v>2026</v>
      </c>
      <c r="B9241">
        <v>33</v>
      </c>
      <c r="C9241" t="s">
        <v>54</v>
      </c>
      <c r="D9241" t="s">
        <v>11</v>
      </c>
      <c r="E9241" t="s">
        <v>27</v>
      </c>
      <c r="F9241" t="s">
        <v>94</v>
      </c>
      <c r="G9241" t="str">
        <f t="shared" si="387"/>
        <v>016DREAM IN PEACH</v>
      </c>
      <c r="H9241" s="5">
        <v>450</v>
      </c>
      <c r="I9241" s="6">
        <v>950.4</v>
      </c>
      <c r="J9241" s="5">
        <v>7200</v>
      </c>
      <c r="K9241" s="6">
        <f t="shared" si="386"/>
        <v>0.47348484848484851</v>
      </c>
    </row>
    <row r="9242" spans="1:11">
      <c r="A9242" s="4">
        <v>2026</v>
      </c>
      <c r="B9242">
        <v>33</v>
      </c>
      <c r="C9242" t="s">
        <v>54</v>
      </c>
      <c r="D9242" t="s">
        <v>11</v>
      </c>
      <c r="E9242" t="s">
        <v>27</v>
      </c>
      <c r="F9242" t="s">
        <v>95</v>
      </c>
      <c r="G9242" t="str">
        <f t="shared" si="387"/>
        <v>016NINA</v>
      </c>
      <c r="H9242" s="5">
        <v>3075</v>
      </c>
      <c r="I9242" s="6">
        <v>1346.4</v>
      </c>
      <c r="J9242" s="5">
        <v>10200</v>
      </c>
      <c r="K9242" s="6">
        <f t="shared" si="386"/>
        <v>2.2838680926916219</v>
      </c>
    </row>
    <row r="9243" spans="1:11">
      <c r="A9243" s="4">
        <v>2026</v>
      </c>
      <c r="B9243">
        <v>33</v>
      </c>
      <c r="C9243" t="s">
        <v>54</v>
      </c>
      <c r="D9243" t="s">
        <v>11</v>
      </c>
      <c r="E9243" t="s">
        <v>30</v>
      </c>
      <c r="F9243" t="s">
        <v>81</v>
      </c>
      <c r="G9243" t="str">
        <f t="shared" si="387"/>
        <v>017FREEDOM</v>
      </c>
      <c r="H9243" s="5">
        <v>5040</v>
      </c>
      <c r="I9243" s="6">
        <v>2851.2</v>
      </c>
      <c r="J9243" s="5">
        <v>21600</v>
      </c>
      <c r="K9243" s="6">
        <f t="shared" si="386"/>
        <v>1.7676767676767677</v>
      </c>
    </row>
    <row r="9244" spans="1:11">
      <c r="A9244" s="4">
        <v>2026</v>
      </c>
      <c r="B9244">
        <v>33</v>
      </c>
      <c r="C9244" t="s">
        <v>54</v>
      </c>
      <c r="D9244" t="s">
        <v>11</v>
      </c>
      <c r="E9244" t="s">
        <v>30</v>
      </c>
      <c r="F9244" t="s">
        <v>73</v>
      </c>
      <c r="G9244" t="str">
        <f t="shared" si="387"/>
        <v>017GOLDFINCH</v>
      </c>
      <c r="H9244" s="5">
        <v>2425</v>
      </c>
      <c r="I9244" s="6">
        <v>2138.4</v>
      </c>
      <c r="J9244" s="5">
        <v>16200</v>
      </c>
      <c r="K9244" s="6">
        <f t="shared" si="386"/>
        <v>1.134025439580995</v>
      </c>
    </row>
    <row r="9245" spans="1:11">
      <c r="A9245" s="4">
        <v>2026</v>
      </c>
      <c r="B9245">
        <v>33</v>
      </c>
      <c r="C9245" t="s">
        <v>54</v>
      </c>
      <c r="D9245" t="s">
        <v>11</v>
      </c>
      <c r="E9245" t="s">
        <v>32</v>
      </c>
      <c r="F9245" t="s">
        <v>86</v>
      </c>
      <c r="G9245" t="str">
        <f t="shared" si="387"/>
        <v>018BRIGHTON</v>
      </c>
      <c r="H9245" s="5">
        <v>1450</v>
      </c>
      <c r="I9245" s="6">
        <v>963.6</v>
      </c>
      <c r="J9245" s="5">
        <v>7570</v>
      </c>
      <c r="K9245" s="6">
        <f t="shared" si="386"/>
        <v>1.5047737650477375</v>
      </c>
    </row>
    <row r="9246" spans="1:11">
      <c r="A9246" s="4">
        <v>2026</v>
      </c>
      <c r="B9246">
        <v>33</v>
      </c>
      <c r="C9246" t="s">
        <v>54</v>
      </c>
      <c r="D9246" t="s">
        <v>11</v>
      </c>
      <c r="E9246" t="s">
        <v>35</v>
      </c>
      <c r="F9246" t="s">
        <v>86</v>
      </c>
      <c r="G9246" t="str">
        <f t="shared" si="387"/>
        <v>019BRIGHTON</v>
      </c>
      <c r="H9246" s="5">
        <v>4950</v>
      </c>
      <c r="I9246" s="6">
        <v>3168</v>
      </c>
      <c r="J9246" s="5">
        <v>24000</v>
      </c>
      <c r="K9246" s="6">
        <f t="shared" si="386"/>
        <v>1.5625</v>
      </c>
    </row>
    <row r="9247" spans="1:11">
      <c r="A9247" s="4">
        <v>2026</v>
      </c>
      <c r="B9247">
        <v>33</v>
      </c>
      <c r="C9247" t="s">
        <v>54</v>
      </c>
      <c r="D9247" t="s">
        <v>11</v>
      </c>
      <c r="E9247" t="s">
        <v>35</v>
      </c>
      <c r="F9247" t="s">
        <v>96</v>
      </c>
      <c r="G9247" t="str">
        <f t="shared" si="387"/>
        <v>019TABATHA</v>
      </c>
      <c r="H9247" s="5">
        <v>2490</v>
      </c>
      <c r="I9247" s="6">
        <v>1188</v>
      </c>
      <c r="J9247" s="5">
        <v>9000</v>
      </c>
      <c r="K9247" s="6">
        <f t="shared" si="386"/>
        <v>2.095959595959596</v>
      </c>
    </row>
    <row r="9248" spans="1:11">
      <c r="A9248" s="4">
        <v>2026</v>
      </c>
      <c r="B9248">
        <v>33</v>
      </c>
      <c r="C9248" t="s">
        <v>54</v>
      </c>
      <c r="D9248" t="s">
        <v>11</v>
      </c>
      <c r="E9248" t="s">
        <v>36</v>
      </c>
      <c r="F9248" t="s">
        <v>86</v>
      </c>
      <c r="G9248" t="str">
        <f t="shared" si="387"/>
        <v>020BRIGHTON</v>
      </c>
      <c r="H9248" s="5">
        <v>4625</v>
      </c>
      <c r="I9248" s="6">
        <v>2732.4</v>
      </c>
      <c r="J9248" s="5">
        <v>20700</v>
      </c>
      <c r="K9248" s="6">
        <f t="shared" si="386"/>
        <v>1.6926511491728882</v>
      </c>
    </row>
    <row r="9249" spans="1:11">
      <c r="A9249" s="4">
        <v>2026</v>
      </c>
      <c r="B9249">
        <v>33</v>
      </c>
      <c r="C9249" t="s">
        <v>54</v>
      </c>
      <c r="D9249" t="s">
        <v>11</v>
      </c>
      <c r="E9249" t="s">
        <v>36</v>
      </c>
      <c r="F9249" t="s">
        <v>97</v>
      </c>
      <c r="G9249" t="str">
        <f t="shared" si="387"/>
        <v>020TYCOON</v>
      </c>
      <c r="H9249" s="5">
        <v>930</v>
      </c>
      <c r="I9249" s="6">
        <v>673.2</v>
      </c>
      <c r="J9249" s="5">
        <v>5100</v>
      </c>
      <c r="K9249" s="6">
        <f t="shared" si="386"/>
        <v>1.3814616755793225</v>
      </c>
    </row>
    <row r="9250" spans="1:11">
      <c r="A9250" s="4">
        <v>2026</v>
      </c>
      <c r="B9250">
        <v>33</v>
      </c>
      <c r="C9250" t="s">
        <v>54</v>
      </c>
      <c r="D9250" t="s">
        <v>11</v>
      </c>
      <c r="E9250" t="s">
        <v>38</v>
      </c>
      <c r="F9250" t="s">
        <v>98</v>
      </c>
      <c r="G9250" t="str">
        <f t="shared" si="387"/>
        <v>021SHOW GIRL</v>
      </c>
      <c r="H9250" s="5">
        <v>1275</v>
      </c>
      <c r="I9250" s="6">
        <v>1100.4749999999999</v>
      </c>
      <c r="J9250" s="5">
        <v>8000</v>
      </c>
      <c r="K9250" s="6">
        <f t="shared" si="386"/>
        <v>1.1585906086008315</v>
      </c>
    </row>
    <row r="9251" spans="1:11">
      <c r="A9251" s="4">
        <v>2026</v>
      </c>
      <c r="B9251">
        <v>33</v>
      </c>
      <c r="C9251" t="s">
        <v>54</v>
      </c>
      <c r="D9251" t="s">
        <v>11</v>
      </c>
      <c r="E9251" t="s">
        <v>43</v>
      </c>
      <c r="F9251" t="s">
        <v>99</v>
      </c>
      <c r="G9251" t="str">
        <f t="shared" si="387"/>
        <v>022CORAL REEF</v>
      </c>
      <c r="H9251" s="5">
        <v>2025</v>
      </c>
      <c r="I9251" s="6">
        <v>1287</v>
      </c>
      <c r="J9251" s="5">
        <v>9400</v>
      </c>
      <c r="K9251" s="6">
        <f t="shared" si="386"/>
        <v>1.5734265734265733</v>
      </c>
    </row>
    <row r="9252" spans="1:11">
      <c r="A9252" s="4">
        <v>2026</v>
      </c>
      <c r="B9252">
        <v>33</v>
      </c>
      <c r="C9252" t="s">
        <v>54</v>
      </c>
      <c r="D9252" t="s">
        <v>11</v>
      </c>
      <c r="E9252" t="s">
        <v>100</v>
      </c>
      <c r="F9252" t="s">
        <v>70</v>
      </c>
      <c r="G9252" t="str">
        <f t="shared" si="387"/>
        <v>023COTOPAXI</v>
      </c>
      <c r="H9252" s="5">
        <v>5400</v>
      </c>
      <c r="I9252" s="6">
        <v>2641.14</v>
      </c>
      <c r="J9252" s="5">
        <v>19200</v>
      </c>
      <c r="K9252" s="6">
        <f t="shared" si="386"/>
        <v>2.0445716622367613</v>
      </c>
    </row>
    <row r="9253" spans="1:11">
      <c r="A9253" s="4">
        <v>2026</v>
      </c>
      <c r="B9253">
        <v>33</v>
      </c>
      <c r="C9253" t="s">
        <v>54</v>
      </c>
      <c r="D9253" t="s">
        <v>11</v>
      </c>
      <c r="E9253" t="s">
        <v>100</v>
      </c>
      <c r="F9253" t="s">
        <v>101</v>
      </c>
      <c r="G9253" t="str">
        <f t="shared" si="387"/>
        <v>023FRUTTETO</v>
      </c>
      <c r="H9253" s="5">
        <v>3330</v>
      </c>
      <c r="I9253" s="6">
        <v>2641.14</v>
      </c>
      <c r="J9253" s="5">
        <v>19200</v>
      </c>
      <c r="K9253" s="6">
        <f t="shared" si="386"/>
        <v>1.2608191917126697</v>
      </c>
    </row>
    <row r="9254" spans="1:11">
      <c r="A9254" s="4">
        <v>2026</v>
      </c>
      <c r="B9254">
        <v>33</v>
      </c>
      <c r="C9254" t="s">
        <v>54</v>
      </c>
      <c r="D9254" t="s">
        <v>11</v>
      </c>
      <c r="E9254" t="s">
        <v>102</v>
      </c>
      <c r="F9254" t="s">
        <v>70</v>
      </c>
      <c r="G9254" t="str">
        <f t="shared" si="387"/>
        <v>024COTOPAXI</v>
      </c>
      <c r="H9254" s="5">
        <v>2610</v>
      </c>
      <c r="I9254" s="6">
        <v>1430.6174906250001</v>
      </c>
      <c r="J9254" s="5">
        <v>10400</v>
      </c>
      <c r="K9254" s="6">
        <f t="shared" si="386"/>
        <v>1.8243870336436037</v>
      </c>
    </row>
    <row r="9255" spans="1:11">
      <c r="A9255" s="4">
        <v>2026</v>
      </c>
      <c r="B9255">
        <v>33</v>
      </c>
      <c r="C9255" t="s">
        <v>54</v>
      </c>
      <c r="D9255" t="s">
        <v>11</v>
      </c>
      <c r="E9255" t="s">
        <v>102</v>
      </c>
      <c r="F9255" t="s">
        <v>64</v>
      </c>
      <c r="G9255" t="str">
        <f t="shared" si="387"/>
        <v>024SWEETNESS</v>
      </c>
      <c r="H9255" s="5">
        <v>1470</v>
      </c>
      <c r="I9255" s="6">
        <v>1430.6175000000001</v>
      </c>
      <c r="J9255" s="5">
        <v>10400</v>
      </c>
      <c r="K9255" s="6">
        <f t="shared" si="386"/>
        <v>1.0275283225600134</v>
      </c>
    </row>
    <row r="9256" spans="1:11">
      <c r="A9256" s="4">
        <v>2026</v>
      </c>
      <c r="B9256">
        <v>33</v>
      </c>
      <c r="C9256" t="s">
        <v>54</v>
      </c>
      <c r="D9256" t="s">
        <v>11</v>
      </c>
      <c r="E9256" t="s">
        <v>102</v>
      </c>
      <c r="F9256" t="s">
        <v>97</v>
      </c>
      <c r="G9256" t="str">
        <f t="shared" si="387"/>
        <v>024TYCOON</v>
      </c>
      <c r="H9256" s="5">
        <v>2640</v>
      </c>
      <c r="I9256" s="6">
        <v>2861.2350000000001</v>
      </c>
      <c r="J9256" s="5">
        <v>20800</v>
      </c>
      <c r="K9256" s="6">
        <f t="shared" si="386"/>
        <v>0.92267849372735899</v>
      </c>
    </row>
    <row r="9257" spans="1:11">
      <c r="A9257" s="4">
        <v>2026</v>
      </c>
      <c r="B9257">
        <v>33</v>
      </c>
      <c r="C9257" t="s">
        <v>54</v>
      </c>
      <c r="D9257" t="s">
        <v>11</v>
      </c>
      <c r="E9257" t="s">
        <v>103</v>
      </c>
      <c r="F9257" t="s">
        <v>104</v>
      </c>
      <c r="G9257" t="str">
        <f t="shared" si="387"/>
        <v>025PINK MONDIAL</v>
      </c>
      <c r="H9257" s="5">
        <v>4600</v>
      </c>
      <c r="I9257" s="6">
        <v>3071.9505625000002</v>
      </c>
      <c r="J9257" s="5">
        <v>22400</v>
      </c>
      <c r="K9257" s="6">
        <f t="shared" si="386"/>
        <v>1.4974199312167478</v>
      </c>
    </row>
    <row r="9258" spans="1:11">
      <c r="A9258" s="4">
        <v>2026</v>
      </c>
      <c r="B9258">
        <v>33</v>
      </c>
      <c r="C9258" t="s">
        <v>54</v>
      </c>
      <c r="D9258" t="s">
        <v>11</v>
      </c>
      <c r="E9258" t="s">
        <v>45</v>
      </c>
      <c r="F9258" t="s">
        <v>105</v>
      </c>
      <c r="G9258" t="str">
        <f t="shared" si="387"/>
        <v>026LOLA</v>
      </c>
      <c r="H9258" s="5">
        <v>3000</v>
      </c>
      <c r="I9258" s="6">
        <v>1097.125</v>
      </c>
      <c r="J9258" s="5">
        <v>8000</v>
      </c>
      <c r="K9258" s="6">
        <f t="shared" si="386"/>
        <v>2.734419505525806</v>
      </c>
    </row>
    <row r="9259" spans="1:11">
      <c r="A9259" s="4">
        <v>2026</v>
      </c>
      <c r="B9259">
        <v>33</v>
      </c>
      <c r="C9259" t="s">
        <v>54</v>
      </c>
      <c r="D9259" t="s">
        <v>11</v>
      </c>
      <c r="E9259" t="s">
        <v>45</v>
      </c>
      <c r="F9259" t="s">
        <v>106</v>
      </c>
      <c r="G9259" t="str">
        <f t="shared" si="387"/>
        <v>026PALOMA</v>
      </c>
      <c r="H9259" s="5">
        <v>4225</v>
      </c>
      <c r="I9259" s="6">
        <v>2852.5250000000001</v>
      </c>
      <c r="J9259" s="5">
        <v>20800</v>
      </c>
      <c r="K9259" s="6">
        <f t="shared" si="386"/>
        <v>1.4811438988264782</v>
      </c>
    </row>
    <row r="9260" spans="1:11">
      <c r="A9260" s="4">
        <v>2026</v>
      </c>
      <c r="B9260">
        <v>33</v>
      </c>
      <c r="C9260" t="s">
        <v>54</v>
      </c>
      <c r="D9260" t="s">
        <v>11</v>
      </c>
      <c r="E9260" t="s">
        <v>107</v>
      </c>
      <c r="F9260" t="s">
        <v>108</v>
      </c>
      <c r="G9260" t="str">
        <f t="shared" si="387"/>
        <v>027SATISFACTION</v>
      </c>
      <c r="H9260" s="5">
        <v>3900</v>
      </c>
      <c r="I9260" s="6">
        <v>2633.1</v>
      </c>
      <c r="J9260" s="5">
        <v>19200</v>
      </c>
      <c r="K9260" s="6">
        <f t="shared" si="386"/>
        <v>1.4811438988264785</v>
      </c>
    </row>
    <row r="9261" spans="1:11">
      <c r="A9261" s="4">
        <v>2026</v>
      </c>
      <c r="B9261">
        <v>33</v>
      </c>
      <c r="C9261" t="s">
        <v>54</v>
      </c>
      <c r="D9261" t="s">
        <v>11</v>
      </c>
      <c r="E9261" t="s">
        <v>107</v>
      </c>
      <c r="F9261" t="s">
        <v>109</v>
      </c>
      <c r="G9261" t="str">
        <f t="shared" si="387"/>
        <v>027TIFFANY</v>
      </c>
      <c r="H9261" s="5">
        <v>3750</v>
      </c>
      <c r="I9261" s="6">
        <v>2633.1</v>
      </c>
      <c r="J9261" s="5">
        <v>19200</v>
      </c>
      <c r="K9261" s="6">
        <f t="shared" si="386"/>
        <v>1.4241768257946907</v>
      </c>
    </row>
    <row r="9262" spans="1:11">
      <c r="A9262" s="4">
        <v>2026</v>
      </c>
      <c r="B9262">
        <v>33</v>
      </c>
      <c r="C9262" t="s">
        <v>54</v>
      </c>
      <c r="D9262" t="s">
        <v>11</v>
      </c>
      <c r="E9262" t="s">
        <v>110</v>
      </c>
      <c r="F9262" t="s">
        <v>70</v>
      </c>
      <c r="G9262" t="str">
        <f t="shared" si="387"/>
        <v>028COTOPAXI</v>
      </c>
      <c r="H9262" s="5">
        <v>3840</v>
      </c>
      <c r="I9262" s="6">
        <v>2852.5250000000001</v>
      </c>
      <c r="J9262" s="5">
        <v>20800</v>
      </c>
      <c r="K9262" s="6">
        <f t="shared" ref="K9262:K9265" si="388">+H9262/I9262</f>
        <v>1.3461757565665506</v>
      </c>
    </row>
    <row r="9263" spans="1:11">
      <c r="A9263" s="4">
        <v>2026</v>
      </c>
      <c r="B9263">
        <v>33</v>
      </c>
      <c r="C9263" t="s">
        <v>54</v>
      </c>
      <c r="D9263" t="s">
        <v>11</v>
      </c>
      <c r="E9263" t="s">
        <v>110</v>
      </c>
      <c r="F9263" t="s">
        <v>67</v>
      </c>
      <c r="G9263" t="str">
        <f t="shared" si="387"/>
        <v>028DEEP PURPLE</v>
      </c>
      <c r="H9263" s="5">
        <v>7950</v>
      </c>
      <c r="I9263" s="6">
        <v>2852.5250000000001</v>
      </c>
      <c r="J9263" s="5">
        <v>20800</v>
      </c>
      <c r="K9263" s="6">
        <f t="shared" si="388"/>
        <v>2.7870044960166869</v>
      </c>
    </row>
    <row r="9264" spans="1:11">
      <c r="A9264" s="4">
        <v>2026</v>
      </c>
      <c r="B9264">
        <v>33</v>
      </c>
      <c r="C9264" t="s">
        <v>54</v>
      </c>
      <c r="D9264" t="s">
        <v>11</v>
      </c>
      <c r="E9264" t="s">
        <v>111</v>
      </c>
      <c r="F9264" t="s">
        <v>112</v>
      </c>
      <c r="G9264" t="str">
        <f t="shared" si="387"/>
        <v>029PINK FLOYD</v>
      </c>
      <c r="H9264" s="5">
        <v>4300</v>
      </c>
      <c r="I9264" s="6">
        <v>3071.95</v>
      </c>
      <c r="J9264" s="5">
        <v>22400</v>
      </c>
      <c r="K9264" s="6">
        <f t="shared" si="388"/>
        <v>1.3997623659239247</v>
      </c>
    </row>
    <row r="9265" spans="1:11">
      <c r="A9265" s="4">
        <v>2026</v>
      </c>
      <c r="B9265">
        <v>33</v>
      </c>
      <c r="C9265" t="s">
        <v>54</v>
      </c>
      <c r="D9265" t="s">
        <v>11</v>
      </c>
      <c r="E9265" t="s">
        <v>47</v>
      </c>
      <c r="F9265" t="s">
        <v>57</v>
      </c>
      <c r="G9265" t="str">
        <f t="shared" si="387"/>
        <v>030EXPLORER</v>
      </c>
      <c r="H9265" s="5">
        <v>1675</v>
      </c>
      <c r="I9265" s="6">
        <v>1645.6875</v>
      </c>
      <c r="J9265" s="5">
        <v>12000</v>
      </c>
      <c r="K9265" s="6">
        <f t="shared" si="388"/>
        <v>1.0178117048346056</v>
      </c>
    </row>
    <row r="9266" spans="1:11">
      <c r="A9266" s="4">
        <v>2026</v>
      </c>
      <c r="B9266">
        <v>33</v>
      </c>
      <c r="C9266" t="s">
        <v>10</v>
      </c>
      <c r="D9266" t="s">
        <v>11</v>
      </c>
      <c r="E9266" t="s">
        <v>38</v>
      </c>
      <c r="F9266" t="s">
        <v>115</v>
      </c>
      <c r="G9266" t="s">
        <v>117</v>
      </c>
      <c r="H9266" s="5">
        <v>150</v>
      </c>
      <c r="I9266" s="6">
        <v>880.37999999999965</v>
      </c>
      <c r="J9266" s="5">
        <v>6400</v>
      </c>
      <c r="K9266" s="6">
        <v>8.5190485926531764E-2</v>
      </c>
    </row>
    <row r="9267" spans="1:11">
      <c r="A9267" s="4">
        <v>2026</v>
      </c>
      <c r="B9267">
        <v>34</v>
      </c>
      <c r="C9267" t="s">
        <v>10</v>
      </c>
      <c r="D9267" t="s">
        <v>11</v>
      </c>
      <c r="E9267" t="s">
        <v>12</v>
      </c>
      <c r="F9267" t="s">
        <v>13</v>
      </c>
      <c r="G9267" t="str">
        <f t="shared" ref="G9267:G9329" si="389">+E9267&amp;F9267</f>
        <v>002SOMERSET</v>
      </c>
      <c r="H9267" s="5">
        <v>8500</v>
      </c>
      <c r="I9267" s="6">
        <v>4121.4642855494085</v>
      </c>
      <c r="J9267" s="5">
        <v>31200</v>
      </c>
      <c r="K9267" s="6">
        <f t="shared" ref="K9267:K9301" si="390">+H9267/I9267</f>
        <v>2.0623738096682098</v>
      </c>
    </row>
    <row r="9268" spans="1:11">
      <c r="A9268" s="4">
        <v>2026</v>
      </c>
      <c r="B9268">
        <v>34</v>
      </c>
      <c r="C9268" t="s">
        <v>10</v>
      </c>
      <c r="D9268" t="s">
        <v>11</v>
      </c>
      <c r="E9268" t="s">
        <v>14</v>
      </c>
      <c r="F9268" t="s">
        <v>15</v>
      </c>
      <c r="G9268" t="str">
        <f t="shared" si="389"/>
        <v>004BELLINA</v>
      </c>
      <c r="H9268" s="5">
        <v>1035</v>
      </c>
      <c r="I9268" s="6">
        <v>1056.7857142434418</v>
      </c>
      <c r="J9268" s="5">
        <v>8000</v>
      </c>
      <c r="K9268" s="6">
        <f t="shared" si="390"/>
        <v>0.97938492737949401</v>
      </c>
    </row>
    <row r="9269" spans="1:11">
      <c r="A9269" s="4">
        <v>2026</v>
      </c>
      <c r="B9269">
        <v>34</v>
      </c>
      <c r="C9269" t="s">
        <v>10</v>
      </c>
      <c r="D9269" t="s">
        <v>11</v>
      </c>
      <c r="E9269" t="s">
        <v>16</v>
      </c>
      <c r="F9269" t="s">
        <v>17</v>
      </c>
      <c r="G9269" t="str">
        <f t="shared" si="389"/>
        <v>005ELBA</v>
      </c>
      <c r="H9269" s="5">
        <v>9270</v>
      </c>
      <c r="I9269" s="6">
        <v>2641.9642856076484</v>
      </c>
      <c r="J9269" s="5">
        <v>19996</v>
      </c>
      <c r="K9269" s="6">
        <f t="shared" si="390"/>
        <v>3.5087529572217182</v>
      </c>
    </row>
    <row r="9270" spans="1:11">
      <c r="A9270" s="4">
        <v>2026</v>
      </c>
      <c r="B9270">
        <v>34</v>
      </c>
      <c r="C9270" t="s">
        <v>10</v>
      </c>
      <c r="D9270" t="s">
        <v>11</v>
      </c>
      <c r="E9270" t="s">
        <v>16</v>
      </c>
      <c r="F9270" t="s">
        <v>18</v>
      </c>
      <c r="G9270" t="str">
        <f t="shared" si="389"/>
        <v>005HOT BUBBLES</v>
      </c>
      <c r="H9270" s="5">
        <v>1800</v>
      </c>
      <c r="I9270" s="6">
        <v>528.39285712153003</v>
      </c>
      <c r="J9270" s="5">
        <v>4000</v>
      </c>
      <c r="K9270" s="6">
        <f t="shared" si="390"/>
        <v>3.406556269147297</v>
      </c>
    </row>
    <row r="9271" spans="1:11">
      <c r="A9271" s="4">
        <v>2026</v>
      </c>
      <c r="B9271">
        <v>34</v>
      </c>
      <c r="C9271" t="s">
        <v>10</v>
      </c>
      <c r="D9271" t="s">
        <v>11</v>
      </c>
      <c r="E9271" t="s">
        <v>16</v>
      </c>
      <c r="F9271" t="s">
        <v>19</v>
      </c>
      <c r="G9271" t="str">
        <f t="shared" si="389"/>
        <v>005SUSPIRO</v>
      </c>
      <c r="H9271" s="5">
        <v>3300</v>
      </c>
      <c r="I9271" s="6">
        <v>1902.2142856375078</v>
      </c>
      <c r="J9271" s="5">
        <v>14400</v>
      </c>
      <c r="K9271" s="6">
        <f t="shared" si="390"/>
        <v>1.7348203222509384</v>
      </c>
    </row>
    <row r="9272" spans="1:11">
      <c r="A9272" s="4">
        <v>2026</v>
      </c>
      <c r="B9272">
        <v>34</v>
      </c>
      <c r="C9272" t="s">
        <v>10</v>
      </c>
      <c r="D9272" t="s">
        <v>11</v>
      </c>
      <c r="E9272" t="s">
        <v>20</v>
      </c>
      <c r="F9272" t="s">
        <v>21</v>
      </c>
      <c r="G9272" t="str">
        <f t="shared" si="389"/>
        <v>007SNOW BUBBLES</v>
      </c>
      <c r="H9272" s="5">
        <v>1360</v>
      </c>
      <c r="I9272" s="6">
        <v>634.05652706821195</v>
      </c>
      <c r="J9272" s="5">
        <v>4800</v>
      </c>
      <c r="K9272" s="6">
        <f t="shared" si="390"/>
        <v>2.1449191703592239</v>
      </c>
    </row>
    <row r="9273" spans="1:11">
      <c r="A9273" s="4">
        <v>2026</v>
      </c>
      <c r="B9273">
        <v>34</v>
      </c>
      <c r="C9273" t="s">
        <v>10</v>
      </c>
      <c r="D9273" t="s">
        <v>11</v>
      </c>
      <c r="E9273" t="s">
        <v>22</v>
      </c>
      <c r="F9273" t="s">
        <v>18</v>
      </c>
      <c r="G9273" t="str">
        <f t="shared" si="389"/>
        <v>009HOT BUBBLES</v>
      </c>
      <c r="H9273" s="5">
        <v>13040</v>
      </c>
      <c r="I9273" s="6">
        <v>4487.9999999102474</v>
      </c>
      <c r="J9273" s="5">
        <v>31740</v>
      </c>
      <c r="K9273" s="6">
        <f t="shared" si="390"/>
        <v>2.905525846760423</v>
      </c>
    </row>
    <row r="9274" spans="1:11">
      <c r="A9274" s="4">
        <v>2026</v>
      </c>
      <c r="B9274">
        <v>34</v>
      </c>
      <c r="C9274" t="s">
        <v>10</v>
      </c>
      <c r="D9274" t="s">
        <v>11</v>
      </c>
      <c r="E9274" t="s">
        <v>23</v>
      </c>
      <c r="F9274" t="s">
        <v>24</v>
      </c>
      <c r="G9274" t="str">
        <f t="shared" si="389"/>
        <v>014FRUITY BUBBLES</v>
      </c>
      <c r="H9274" s="5">
        <v>2375</v>
      </c>
      <c r="I9274" s="6">
        <v>1702.8</v>
      </c>
      <c r="J9274" s="5">
        <v>12900</v>
      </c>
      <c r="K9274" s="6">
        <f t="shared" si="390"/>
        <v>1.3947615691801738</v>
      </c>
    </row>
    <row r="9275" spans="1:11">
      <c r="A9275" s="4">
        <v>2026</v>
      </c>
      <c r="B9275">
        <v>34</v>
      </c>
      <c r="C9275" t="s">
        <v>10</v>
      </c>
      <c r="D9275" t="s">
        <v>11</v>
      </c>
      <c r="E9275" t="s">
        <v>25</v>
      </c>
      <c r="F9275" t="s">
        <v>26</v>
      </c>
      <c r="G9275" t="str">
        <f t="shared" si="389"/>
        <v>015FELLINI</v>
      </c>
      <c r="H9275" s="5">
        <v>5380</v>
      </c>
      <c r="I9275" s="6">
        <v>3009.6</v>
      </c>
      <c r="J9275" s="5">
        <v>22800</v>
      </c>
      <c r="K9275" s="6">
        <f t="shared" si="390"/>
        <v>1.7876129718234981</v>
      </c>
    </row>
    <row r="9276" spans="1:11">
      <c r="A9276" s="4">
        <v>2026</v>
      </c>
      <c r="B9276">
        <v>34</v>
      </c>
      <c r="C9276" t="s">
        <v>10</v>
      </c>
      <c r="D9276" t="s">
        <v>11</v>
      </c>
      <c r="E9276" t="s">
        <v>27</v>
      </c>
      <c r="F9276" t="s">
        <v>28</v>
      </c>
      <c r="G9276" t="str">
        <f t="shared" si="389"/>
        <v>016GOOD PEACH</v>
      </c>
      <c r="H9276" s="5">
        <v>3300</v>
      </c>
      <c r="I9276" s="6">
        <v>1386</v>
      </c>
      <c r="J9276" s="5">
        <v>10500</v>
      </c>
      <c r="K9276" s="6">
        <f t="shared" si="390"/>
        <v>2.3809523809523809</v>
      </c>
    </row>
    <row r="9277" spans="1:11">
      <c r="A9277" s="4">
        <v>2026</v>
      </c>
      <c r="B9277">
        <v>34</v>
      </c>
      <c r="C9277" t="s">
        <v>10</v>
      </c>
      <c r="D9277" t="s">
        <v>11</v>
      </c>
      <c r="E9277" t="s">
        <v>27</v>
      </c>
      <c r="F9277" t="s">
        <v>29</v>
      </c>
      <c r="G9277" t="str">
        <f t="shared" si="389"/>
        <v>016GOOD YELLOW</v>
      </c>
      <c r="H9277" s="5">
        <v>2880</v>
      </c>
      <c r="I9277" s="6">
        <v>1386</v>
      </c>
      <c r="J9277" s="5">
        <v>10500</v>
      </c>
      <c r="K9277" s="6">
        <f t="shared" si="390"/>
        <v>2.0779220779220777</v>
      </c>
    </row>
    <row r="9278" spans="1:11">
      <c r="A9278" s="4">
        <v>2026</v>
      </c>
      <c r="B9278">
        <v>34</v>
      </c>
      <c r="C9278" t="s">
        <v>10</v>
      </c>
      <c r="D9278" t="s">
        <v>11</v>
      </c>
      <c r="E9278" t="s">
        <v>30</v>
      </c>
      <c r="F9278" t="s">
        <v>31</v>
      </c>
      <c r="G9278" t="str">
        <f t="shared" si="389"/>
        <v>017ORANGE STAR</v>
      </c>
      <c r="H9278" s="5">
        <v>1175</v>
      </c>
      <c r="I9278" s="6">
        <v>1029.5999999999999</v>
      </c>
      <c r="J9278" s="5">
        <v>7800</v>
      </c>
      <c r="K9278" s="6">
        <f t="shared" si="390"/>
        <v>1.1412198912198914</v>
      </c>
    </row>
    <row r="9279" spans="1:11">
      <c r="A9279" s="4">
        <v>2026</v>
      </c>
      <c r="B9279">
        <v>34</v>
      </c>
      <c r="C9279" t="s">
        <v>10</v>
      </c>
      <c r="D9279" t="s">
        <v>11</v>
      </c>
      <c r="E9279" t="s">
        <v>32</v>
      </c>
      <c r="F9279" t="s">
        <v>33</v>
      </c>
      <c r="G9279" t="str">
        <f t="shared" si="389"/>
        <v>018COSMO</v>
      </c>
      <c r="H9279" s="5">
        <v>3750</v>
      </c>
      <c r="I9279" s="6">
        <v>2653.2</v>
      </c>
      <c r="J9279" s="5">
        <v>20100</v>
      </c>
      <c r="K9279" s="6">
        <f t="shared" si="390"/>
        <v>1.4133876074174583</v>
      </c>
    </row>
    <row r="9280" spans="1:11">
      <c r="A9280" s="4">
        <v>2026</v>
      </c>
      <c r="B9280">
        <v>34</v>
      </c>
      <c r="C9280" t="s">
        <v>10</v>
      </c>
      <c r="D9280" t="s">
        <v>11</v>
      </c>
      <c r="E9280" t="s">
        <v>32</v>
      </c>
      <c r="F9280" t="s">
        <v>34</v>
      </c>
      <c r="G9280" t="str">
        <f t="shared" si="389"/>
        <v>018RUBICON</v>
      </c>
      <c r="H9280" s="5">
        <v>4530</v>
      </c>
      <c r="I9280" s="6">
        <v>1768.8</v>
      </c>
      <c r="J9280" s="5">
        <v>13400</v>
      </c>
      <c r="K9280" s="6">
        <f t="shared" si="390"/>
        <v>2.5610583446404345</v>
      </c>
    </row>
    <row r="9281" spans="1:11">
      <c r="A9281" s="4">
        <v>2026</v>
      </c>
      <c r="B9281">
        <v>34</v>
      </c>
      <c r="C9281" t="s">
        <v>10</v>
      </c>
      <c r="D9281" t="s">
        <v>11</v>
      </c>
      <c r="E9281" t="s">
        <v>35</v>
      </c>
      <c r="F9281" t="s">
        <v>15</v>
      </c>
      <c r="G9281" t="str">
        <f t="shared" si="389"/>
        <v>019BELLINA</v>
      </c>
      <c r="H9281" s="5">
        <v>1800</v>
      </c>
      <c r="I9281" s="6">
        <v>1029.5999999999999</v>
      </c>
      <c r="J9281" s="5">
        <v>7800</v>
      </c>
      <c r="K9281" s="6">
        <f t="shared" si="390"/>
        <v>1.7482517482517483</v>
      </c>
    </row>
    <row r="9282" spans="1:11">
      <c r="A9282" s="4">
        <v>2026</v>
      </c>
      <c r="B9282">
        <v>34</v>
      </c>
      <c r="C9282" t="s">
        <v>10</v>
      </c>
      <c r="D9282" t="s">
        <v>11</v>
      </c>
      <c r="E9282" t="s">
        <v>36</v>
      </c>
      <c r="F9282" t="s">
        <v>37</v>
      </c>
      <c r="G9282" t="str">
        <f t="shared" si="389"/>
        <v>020SUMMER DANCE</v>
      </c>
      <c r="H9282" s="5">
        <v>3025</v>
      </c>
      <c r="I9282" s="6">
        <v>1346.4</v>
      </c>
      <c r="J9282" s="5">
        <v>10200</v>
      </c>
      <c r="K9282" s="6">
        <f t="shared" si="390"/>
        <v>2.2467320261437909</v>
      </c>
    </row>
    <row r="9283" spans="1:11">
      <c r="A9283" s="4">
        <v>2026</v>
      </c>
      <c r="B9283">
        <v>34</v>
      </c>
      <c r="C9283" t="s">
        <v>10</v>
      </c>
      <c r="D9283" t="s">
        <v>11</v>
      </c>
      <c r="E9283" t="s">
        <v>38</v>
      </c>
      <c r="F9283" t="s">
        <v>39</v>
      </c>
      <c r="G9283" t="str">
        <f t="shared" si="389"/>
        <v>021ELEGANT ROSEVER</v>
      </c>
      <c r="H9283" s="5">
        <v>300</v>
      </c>
      <c r="I9283" s="6">
        <v>440.18999062500001</v>
      </c>
      <c r="J9283" s="5">
        <v>3200</v>
      </c>
      <c r="K9283" s="6">
        <f t="shared" si="390"/>
        <v>0.68152390192709189</v>
      </c>
    </row>
    <row r="9284" spans="1:11">
      <c r="A9284" s="4">
        <v>2026</v>
      </c>
      <c r="B9284">
        <v>34</v>
      </c>
      <c r="C9284" t="s">
        <v>10</v>
      </c>
      <c r="D9284" t="s">
        <v>11</v>
      </c>
      <c r="E9284" t="s">
        <v>38</v>
      </c>
      <c r="F9284" t="s">
        <v>40</v>
      </c>
      <c r="G9284" t="str">
        <f t="shared" si="389"/>
        <v>021FLAME CLUB</v>
      </c>
      <c r="H9284" s="5">
        <v>1600</v>
      </c>
      <c r="I9284" s="6">
        <v>880.38</v>
      </c>
      <c r="J9284" s="5">
        <v>6400</v>
      </c>
      <c r="K9284" s="6">
        <f t="shared" si="390"/>
        <v>1.8173970330993434</v>
      </c>
    </row>
    <row r="9285" spans="1:11">
      <c r="A9285" s="4">
        <v>2026</v>
      </c>
      <c r="B9285">
        <v>34</v>
      </c>
      <c r="C9285" t="s">
        <v>10</v>
      </c>
      <c r="D9285" t="s">
        <v>11</v>
      </c>
      <c r="E9285" t="s">
        <v>38</v>
      </c>
      <c r="F9285" t="s">
        <v>41</v>
      </c>
      <c r="G9285" t="str">
        <f t="shared" si="389"/>
        <v>021KELLY</v>
      </c>
      <c r="H9285" s="5">
        <v>550</v>
      </c>
      <c r="I9285" s="6">
        <v>330.14249999999998</v>
      </c>
      <c r="J9285" s="5">
        <v>2400</v>
      </c>
      <c r="K9285" s="6">
        <f t="shared" si="390"/>
        <v>1.6659472803410649</v>
      </c>
    </row>
    <row r="9286" spans="1:11">
      <c r="A9286" s="4">
        <v>2026</v>
      </c>
      <c r="B9286">
        <v>34</v>
      </c>
      <c r="C9286" t="s">
        <v>10</v>
      </c>
      <c r="D9286" t="s">
        <v>11</v>
      </c>
      <c r="E9286" t="s">
        <v>38</v>
      </c>
      <c r="F9286" t="s">
        <v>42</v>
      </c>
      <c r="G9286" t="str">
        <f t="shared" si="389"/>
        <v>021LEILA</v>
      </c>
      <c r="H9286" s="5">
        <v>2400</v>
      </c>
      <c r="I9286" s="6">
        <v>1650.7125000000001</v>
      </c>
      <c r="J9286" s="5">
        <v>12000</v>
      </c>
      <c r="K9286" s="6">
        <f t="shared" si="390"/>
        <v>1.4539176264794746</v>
      </c>
    </row>
    <row r="9287" spans="1:11">
      <c r="A9287" s="4">
        <v>2026</v>
      </c>
      <c r="B9287">
        <v>34</v>
      </c>
      <c r="C9287" t="s">
        <v>10</v>
      </c>
      <c r="D9287" t="s">
        <v>11</v>
      </c>
      <c r="E9287" t="s">
        <v>38</v>
      </c>
      <c r="F9287" t="s">
        <v>21</v>
      </c>
      <c r="G9287" t="str">
        <f t="shared" si="389"/>
        <v>021SNOW BUBBLES</v>
      </c>
      <c r="H9287" s="5">
        <v>2320</v>
      </c>
      <c r="I9287" s="6">
        <v>1287.0000000000018</v>
      </c>
      <c r="J9287" s="5">
        <v>9400</v>
      </c>
      <c r="K9287" s="6">
        <f t="shared" si="390"/>
        <v>1.8026418026418001</v>
      </c>
    </row>
    <row r="9288" spans="1:11">
      <c r="A9288" s="4">
        <v>2026</v>
      </c>
      <c r="B9288">
        <v>34</v>
      </c>
      <c r="C9288" t="s">
        <v>10</v>
      </c>
      <c r="D9288" t="s">
        <v>11</v>
      </c>
      <c r="E9288" t="s">
        <v>43</v>
      </c>
      <c r="F9288" t="s">
        <v>24</v>
      </c>
      <c r="G9288" t="str">
        <f t="shared" si="389"/>
        <v>022FRUITY BUBBLES</v>
      </c>
      <c r="H9288" s="5">
        <v>5100</v>
      </c>
      <c r="I9288" s="6">
        <v>2641.14</v>
      </c>
      <c r="J9288" s="5">
        <v>19200</v>
      </c>
      <c r="K9288" s="6">
        <f t="shared" si="390"/>
        <v>1.9309843476680526</v>
      </c>
    </row>
    <row r="9289" spans="1:11">
      <c r="A9289" s="4">
        <v>2026</v>
      </c>
      <c r="B9289">
        <v>34</v>
      </c>
      <c r="C9289" t="s">
        <v>10</v>
      </c>
      <c r="D9289" t="s">
        <v>11</v>
      </c>
      <c r="E9289" t="s">
        <v>43</v>
      </c>
      <c r="F9289" t="s">
        <v>28</v>
      </c>
      <c r="G9289" t="str">
        <f t="shared" si="389"/>
        <v>022GOOD PEACH</v>
      </c>
      <c r="H9289" s="5">
        <v>2160</v>
      </c>
      <c r="I9289" s="6">
        <v>880.38</v>
      </c>
      <c r="J9289" s="5">
        <v>6400</v>
      </c>
      <c r="K9289" s="6">
        <f t="shared" si="390"/>
        <v>2.4534859946841139</v>
      </c>
    </row>
    <row r="9290" spans="1:11">
      <c r="A9290" s="4">
        <v>2026</v>
      </c>
      <c r="B9290">
        <v>34</v>
      </c>
      <c r="C9290" t="s">
        <v>10</v>
      </c>
      <c r="D9290" t="s">
        <v>11</v>
      </c>
      <c r="E9290" t="s">
        <v>43</v>
      </c>
      <c r="F9290" t="s">
        <v>44</v>
      </c>
      <c r="G9290" t="str">
        <f t="shared" si="389"/>
        <v>022MIRABEL</v>
      </c>
      <c r="H9290" s="5">
        <v>1720</v>
      </c>
      <c r="I9290" s="6">
        <v>880.38</v>
      </c>
      <c r="J9290" s="5">
        <v>6400</v>
      </c>
      <c r="K9290" s="6">
        <f t="shared" si="390"/>
        <v>1.9537018105817943</v>
      </c>
    </row>
    <row r="9291" spans="1:11">
      <c r="A9291" s="4">
        <v>2026</v>
      </c>
      <c r="B9291">
        <v>34</v>
      </c>
      <c r="C9291" t="s">
        <v>10</v>
      </c>
      <c r="D9291" t="s">
        <v>11</v>
      </c>
      <c r="E9291" t="s">
        <v>45</v>
      </c>
      <c r="F9291" t="s">
        <v>46</v>
      </c>
      <c r="G9291" t="str">
        <f t="shared" si="389"/>
        <v>026PURPLE BUBBLY</v>
      </c>
      <c r="H9291" s="5">
        <v>480</v>
      </c>
      <c r="I9291" s="6">
        <v>1755.4</v>
      </c>
      <c r="J9291" s="5">
        <v>12800</v>
      </c>
      <c r="K9291" s="6">
        <f t="shared" si="390"/>
        <v>0.27344195055258058</v>
      </c>
    </row>
    <row r="9292" spans="1:11">
      <c r="A9292" s="4">
        <v>2026</v>
      </c>
      <c r="B9292">
        <v>34</v>
      </c>
      <c r="C9292" t="s">
        <v>10</v>
      </c>
      <c r="D9292" t="s">
        <v>11</v>
      </c>
      <c r="E9292" t="s">
        <v>47</v>
      </c>
      <c r="F9292" t="s">
        <v>44</v>
      </c>
      <c r="G9292" t="str">
        <f t="shared" si="389"/>
        <v>030MIRABEL</v>
      </c>
      <c r="H9292" s="5">
        <v>4300</v>
      </c>
      <c r="I9292" s="6">
        <v>2413.6749943750001</v>
      </c>
      <c r="J9292" s="5">
        <v>17600</v>
      </c>
      <c r="K9292" s="6">
        <f t="shared" si="390"/>
        <v>1.7815157426004022</v>
      </c>
    </row>
    <row r="9293" spans="1:11">
      <c r="A9293" s="4">
        <v>2026</v>
      </c>
      <c r="B9293">
        <v>34</v>
      </c>
      <c r="C9293" t="s">
        <v>10</v>
      </c>
      <c r="D9293" t="s">
        <v>11</v>
      </c>
      <c r="E9293" t="s">
        <v>47</v>
      </c>
      <c r="F9293" t="s">
        <v>13</v>
      </c>
      <c r="G9293" t="str">
        <f t="shared" si="389"/>
        <v>030SOMERSET</v>
      </c>
      <c r="H9293" s="5">
        <v>2600</v>
      </c>
      <c r="I9293" s="6">
        <v>1645.6875</v>
      </c>
      <c r="J9293" s="5">
        <v>12000</v>
      </c>
      <c r="K9293" s="6">
        <f t="shared" si="390"/>
        <v>1.5798868254149101</v>
      </c>
    </row>
    <row r="9294" spans="1:11">
      <c r="A9294" s="4">
        <v>2026</v>
      </c>
      <c r="B9294">
        <v>34</v>
      </c>
      <c r="C9294" t="s">
        <v>10</v>
      </c>
      <c r="D9294" t="s">
        <v>11</v>
      </c>
      <c r="E9294" t="s">
        <v>48</v>
      </c>
      <c r="F9294" t="s">
        <v>49</v>
      </c>
      <c r="G9294" t="str">
        <f t="shared" si="389"/>
        <v>03182989</v>
      </c>
      <c r="H9294" s="5">
        <v>1820</v>
      </c>
      <c r="I9294" s="6">
        <v>726.32013058333712</v>
      </c>
      <c r="J9294" s="5">
        <v>5712</v>
      </c>
      <c r="K9294" s="6">
        <f t="shared" si="390"/>
        <v>2.505782124664897</v>
      </c>
    </row>
    <row r="9295" spans="1:11">
      <c r="A9295" s="4">
        <v>2026</v>
      </c>
      <c r="B9295">
        <v>34</v>
      </c>
      <c r="C9295" t="s">
        <v>10</v>
      </c>
      <c r="D9295" t="s">
        <v>11</v>
      </c>
      <c r="E9295" t="s">
        <v>48</v>
      </c>
      <c r="F9295" t="s">
        <v>34</v>
      </c>
      <c r="G9295" t="str">
        <f t="shared" si="389"/>
        <v>031RUBICON</v>
      </c>
      <c r="H9295" s="5">
        <v>1890</v>
      </c>
      <c r="I9295" s="6">
        <v>924.39958333667107</v>
      </c>
      <c r="J9295" s="5">
        <v>6720</v>
      </c>
      <c r="K9295" s="6">
        <f t="shared" si="390"/>
        <v>2.04457037202239</v>
      </c>
    </row>
    <row r="9296" spans="1:11">
      <c r="A9296" s="4">
        <v>2026</v>
      </c>
      <c r="B9296">
        <v>34</v>
      </c>
      <c r="C9296" t="s">
        <v>10</v>
      </c>
      <c r="D9296" t="s">
        <v>11</v>
      </c>
      <c r="E9296" t="s">
        <v>48</v>
      </c>
      <c r="F9296" t="s">
        <v>13</v>
      </c>
      <c r="G9296" t="str">
        <f t="shared" si="389"/>
        <v>031SOMERSET</v>
      </c>
      <c r="H9296" s="5">
        <v>2480</v>
      </c>
      <c r="I9296" s="6">
        <v>1122.485208333339</v>
      </c>
      <c r="J9296" s="5">
        <v>8160</v>
      </c>
      <c r="K9296" s="6">
        <f t="shared" si="390"/>
        <v>2.2093832342630981</v>
      </c>
    </row>
    <row r="9297" spans="1:11">
      <c r="A9297" s="4">
        <v>2026</v>
      </c>
      <c r="B9297">
        <v>34</v>
      </c>
      <c r="C9297" t="s">
        <v>10</v>
      </c>
      <c r="D9297" t="s">
        <v>11</v>
      </c>
      <c r="E9297" t="s">
        <v>48</v>
      </c>
      <c r="F9297" t="s">
        <v>50</v>
      </c>
      <c r="G9297" t="str">
        <f t="shared" si="389"/>
        <v>031VELVET BLOSSOMS</v>
      </c>
      <c r="H9297" s="5">
        <v>280</v>
      </c>
      <c r="I9297" s="6">
        <v>396.17125000000198</v>
      </c>
      <c r="J9297" s="5">
        <v>2880</v>
      </c>
      <c r="K9297" s="6">
        <f t="shared" si="390"/>
        <v>0.7067650668744857</v>
      </c>
    </row>
    <row r="9298" spans="1:11">
      <c r="A9298" s="4">
        <v>2026</v>
      </c>
      <c r="B9298">
        <v>34</v>
      </c>
      <c r="C9298" t="s">
        <v>10</v>
      </c>
      <c r="D9298" t="s">
        <v>11</v>
      </c>
      <c r="E9298" t="s">
        <v>51</v>
      </c>
      <c r="F9298" t="s">
        <v>17</v>
      </c>
      <c r="G9298" t="str">
        <f t="shared" si="389"/>
        <v>032ELBA</v>
      </c>
      <c r="H9298" s="5">
        <v>3060</v>
      </c>
      <c r="I9298" s="6">
        <v>1535.9749999999999</v>
      </c>
      <c r="J9298" s="5">
        <v>11200</v>
      </c>
      <c r="K9298" s="6">
        <f t="shared" si="390"/>
        <v>1.9922199254545159</v>
      </c>
    </row>
    <row r="9299" spans="1:11">
      <c r="A9299" s="4">
        <v>2026</v>
      </c>
      <c r="B9299">
        <v>34</v>
      </c>
      <c r="C9299" t="s">
        <v>10</v>
      </c>
      <c r="D9299" t="s">
        <v>11</v>
      </c>
      <c r="E9299" t="s">
        <v>51</v>
      </c>
      <c r="F9299" t="s">
        <v>44</v>
      </c>
      <c r="G9299" t="str">
        <f t="shared" si="389"/>
        <v>032MIRABEL</v>
      </c>
      <c r="H9299" s="5">
        <v>1860</v>
      </c>
      <c r="I9299" s="6">
        <v>1535.9749999999999</v>
      </c>
      <c r="J9299" s="5">
        <v>11200</v>
      </c>
      <c r="K9299" s="6">
        <f t="shared" si="390"/>
        <v>1.2109572095899999</v>
      </c>
    </row>
    <row r="9300" spans="1:11">
      <c r="A9300" s="4">
        <v>2026</v>
      </c>
      <c r="B9300">
        <v>34</v>
      </c>
      <c r="C9300" t="s">
        <v>10</v>
      </c>
      <c r="D9300" t="s">
        <v>11</v>
      </c>
      <c r="E9300" t="s">
        <v>52</v>
      </c>
      <c r="F9300" t="s">
        <v>53</v>
      </c>
      <c r="G9300" t="str">
        <f t="shared" si="389"/>
        <v>033CREAMY FOLIES</v>
      </c>
      <c r="H9300" s="5">
        <v>1440</v>
      </c>
      <c r="I9300" s="6">
        <v>594.25687500000299</v>
      </c>
      <c r="J9300" s="5">
        <v>4320</v>
      </c>
      <c r="K9300" s="6">
        <f t="shared" si="390"/>
        <v>2.4231945149982366</v>
      </c>
    </row>
    <row r="9301" spans="1:11">
      <c r="A9301" s="4">
        <v>2026</v>
      </c>
      <c r="B9301">
        <v>34</v>
      </c>
      <c r="C9301" t="s">
        <v>10</v>
      </c>
      <c r="D9301" t="s">
        <v>11</v>
      </c>
      <c r="E9301" t="s">
        <v>52</v>
      </c>
      <c r="F9301" t="s">
        <v>18</v>
      </c>
      <c r="G9301" t="str">
        <f t="shared" si="389"/>
        <v>033HOT BUBBLES</v>
      </c>
      <c r="H9301" s="5">
        <v>2820</v>
      </c>
      <c r="I9301" s="6">
        <v>2575.1131250013459</v>
      </c>
      <c r="J9301" s="5">
        <v>18720</v>
      </c>
      <c r="K9301" s="6">
        <f t="shared" si="390"/>
        <v>1.0950975212005594</v>
      </c>
    </row>
    <row r="9302" spans="1:11">
      <c r="A9302" s="4">
        <v>2026</v>
      </c>
      <c r="B9302">
        <v>34</v>
      </c>
      <c r="C9302" t="s">
        <v>54</v>
      </c>
      <c r="D9302" t="s">
        <v>11</v>
      </c>
      <c r="E9302" t="s">
        <v>55</v>
      </c>
      <c r="F9302" t="s">
        <v>56</v>
      </c>
      <c r="G9302" t="str">
        <f t="shared" si="389"/>
        <v>001BELIEVE IN PINK</v>
      </c>
      <c r="H9302" s="5">
        <v>990</v>
      </c>
      <c r="I9302" s="6">
        <v>528.37931032368999</v>
      </c>
      <c r="J9302" s="5">
        <v>4000</v>
      </c>
      <c r="K9302" s="6">
        <f t="shared" ref="K9302:K9307" si="391">IFERROR(H9302/I9302,"")</f>
        <v>1.8736539842817028</v>
      </c>
    </row>
    <row r="9303" spans="1:11">
      <c r="A9303" s="4">
        <v>2026</v>
      </c>
      <c r="B9303">
        <v>34</v>
      </c>
      <c r="C9303" t="s">
        <v>54</v>
      </c>
      <c r="D9303" t="s">
        <v>11</v>
      </c>
      <c r="E9303" t="s">
        <v>55</v>
      </c>
      <c r="F9303" t="s">
        <v>57</v>
      </c>
      <c r="G9303" t="str">
        <f t="shared" si="389"/>
        <v>001EXPLORER</v>
      </c>
      <c r="H9303" s="5">
        <v>2700</v>
      </c>
      <c r="I9303" s="6">
        <v>2272.0310343918732</v>
      </c>
      <c r="J9303" s="5">
        <v>17200</v>
      </c>
      <c r="K9303" s="6">
        <f t="shared" si="391"/>
        <v>1.1883640492272924</v>
      </c>
    </row>
    <row r="9304" spans="1:11">
      <c r="A9304" s="4">
        <v>2026</v>
      </c>
      <c r="B9304">
        <v>34</v>
      </c>
      <c r="C9304" t="s">
        <v>54</v>
      </c>
      <c r="D9304" t="s">
        <v>11</v>
      </c>
      <c r="E9304" t="s">
        <v>55</v>
      </c>
      <c r="F9304" t="s">
        <v>58</v>
      </c>
      <c r="G9304" t="str">
        <f t="shared" si="389"/>
        <v>001GRACE KELLY</v>
      </c>
      <c r="H9304" s="5">
        <v>1590</v>
      </c>
      <c r="I9304" s="6">
        <v>1162.4344827121224</v>
      </c>
      <c r="J9304" s="5">
        <v>8800</v>
      </c>
      <c r="K9304" s="6">
        <f t="shared" si="391"/>
        <v>1.3678190243378769</v>
      </c>
    </row>
    <row r="9305" spans="1:11">
      <c r="A9305" s="4">
        <v>2026</v>
      </c>
      <c r="B9305">
        <v>34</v>
      </c>
      <c r="C9305" t="s">
        <v>54</v>
      </c>
      <c r="D9305" t="s">
        <v>11</v>
      </c>
      <c r="E9305" t="s">
        <v>55</v>
      </c>
      <c r="F9305" t="s">
        <v>59</v>
      </c>
      <c r="G9305" t="str">
        <f t="shared" si="389"/>
        <v>001IDOLE</v>
      </c>
      <c r="H9305" s="5">
        <v>1120</v>
      </c>
      <c r="I9305" s="6">
        <v>1162.4344827121181</v>
      </c>
      <c r="J9305" s="5">
        <v>8800</v>
      </c>
      <c r="K9305" s="6">
        <f t="shared" si="391"/>
        <v>0.96349516179775341</v>
      </c>
    </row>
    <row r="9306" spans="1:11">
      <c r="A9306" s="4">
        <v>2026</v>
      </c>
      <c r="B9306">
        <v>34</v>
      </c>
      <c r="C9306" t="s">
        <v>54</v>
      </c>
      <c r="D9306" t="s">
        <v>11</v>
      </c>
      <c r="E9306" t="s">
        <v>55</v>
      </c>
      <c r="F9306" t="s">
        <v>60</v>
      </c>
      <c r="G9306" t="str">
        <f t="shared" si="389"/>
        <v>001LIGHT HOUSE</v>
      </c>
      <c r="H9306" s="5">
        <v>1140</v>
      </c>
      <c r="I9306" s="6">
        <v>1056.7586206473827</v>
      </c>
      <c r="J9306" s="5">
        <v>8000</v>
      </c>
      <c r="K9306" s="6">
        <f t="shared" si="391"/>
        <v>1.0787704757985535</v>
      </c>
    </row>
    <row r="9307" spans="1:11">
      <c r="A9307" s="4">
        <v>2026</v>
      </c>
      <c r="B9307">
        <v>34</v>
      </c>
      <c r="C9307" t="s">
        <v>54</v>
      </c>
      <c r="D9307" t="s">
        <v>11</v>
      </c>
      <c r="E9307" t="s">
        <v>55</v>
      </c>
      <c r="F9307" t="s">
        <v>62</v>
      </c>
      <c r="G9307" t="str">
        <f t="shared" si="389"/>
        <v>001MOMENTUM</v>
      </c>
      <c r="H9307" s="5">
        <v>3275</v>
      </c>
      <c r="I9307" s="6">
        <v>1902.1655171652881</v>
      </c>
      <c r="J9307" s="5">
        <v>14400</v>
      </c>
      <c r="K9307" s="6">
        <f t="shared" si="391"/>
        <v>1.721721885107341</v>
      </c>
    </row>
    <row r="9308" spans="1:11">
      <c r="A9308" s="4">
        <v>2026</v>
      </c>
      <c r="B9308">
        <v>34</v>
      </c>
      <c r="C9308" t="s">
        <v>54</v>
      </c>
      <c r="D9308" t="s">
        <v>11</v>
      </c>
      <c r="E9308" t="s">
        <v>12</v>
      </c>
      <c r="F9308" t="s">
        <v>63</v>
      </c>
      <c r="G9308" t="str">
        <f t="shared" si="389"/>
        <v>002SUMMER ROMANCE</v>
      </c>
      <c r="H9308" s="5">
        <v>2100</v>
      </c>
      <c r="I9308" s="6">
        <v>951.10714281909407</v>
      </c>
      <c r="J9308" s="5">
        <v>7200</v>
      </c>
      <c r="K9308" s="6">
        <f t="shared" ref="K9308:K9368" si="392">+H9308/I9308</f>
        <v>2.2079531374094956</v>
      </c>
    </row>
    <row r="9309" spans="1:11">
      <c r="A9309" s="4">
        <v>2026</v>
      </c>
      <c r="B9309">
        <v>34</v>
      </c>
      <c r="C9309" t="s">
        <v>54</v>
      </c>
      <c r="D9309" t="s">
        <v>11</v>
      </c>
      <c r="E9309" t="s">
        <v>12</v>
      </c>
      <c r="F9309" t="s">
        <v>64</v>
      </c>
      <c r="G9309" t="str">
        <f t="shared" si="389"/>
        <v>002SWEETNESS</v>
      </c>
      <c r="H9309" s="5">
        <v>6090</v>
      </c>
      <c r="I9309" s="6">
        <v>3804.4285712763772</v>
      </c>
      <c r="J9309" s="5">
        <v>28800</v>
      </c>
      <c r="K9309" s="6">
        <f t="shared" si="392"/>
        <v>1.600766024621884</v>
      </c>
    </row>
    <row r="9310" spans="1:11">
      <c r="A9310" s="4">
        <v>2026</v>
      </c>
      <c r="B9310">
        <v>34</v>
      </c>
      <c r="C9310" t="s">
        <v>54</v>
      </c>
      <c r="D9310" t="s">
        <v>11</v>
      </c>
      <c r="E9310" t="s">
        <v>65</v>
      </c>
      <c r="F9310" t="s">
        <v>66</v>
      </c>
      <c r="G9310" t="str">
        <f t="shared" si="389"/>
        <v>003CABARET</v>
      </c>
      <c r="H9310" s="5">
        <v>4290</v>
      </c>
      <c r="I9310" s="6">
        <v>2641.8965516184649</v>
      </c>
      <c r="J9310" s="5">
        <v>20000</v>
      </c>
      <c r="K9310" s="6">
        <f t="shared" si="392"/>
        <v>1.6238334530441332</v>
      </c>
    </row>
    <row r="9311" spans="1:11">
      <c r="A9311" s="4">
        <v>2026</v>
      </c>
      <c r="B9311">
        <v>34</v>
      </c>
      <c r="C9311" t="s">
        <v>54</v>
      </c>
      <c r="D9311" t="s">
        <v>11</v>
      </c>
      <c r="E9311" t="s">
        <v>65</v>
      </c>
      <c r="F9311" t="s">
        <v>67</v>
      </c>
      <c r="G9311" t="str">
        <f t="shared" si="389"/>
        <v>003DEEP PURPLE</v>
      </c>
      <c r="H9311" s="5">
        <v>5850</v>
      </c>
      <c r="I9311" s="6">
        <v>3592.9793102010913</v>
      </c>
      <c r="J9311" s="5">
        <v>26044</v>
      </c>
      <c r="K9311" s="6">
        <f t="shared" si="392"/>
        <v>1.6281752537207312</v>
      </c>
    </row>
    <row r="9312" spans="1:11">
      <c r="A9312" s="4">
        <v>2026</v>
      </c>
      <c r="B9312">
        <v>34</v>
      </c>
      <c r="C9312" t="s">
        <v>54</v>
      </c>
      <c r="D9312" t="s">
        <v>11</v>
      </c>
      <c r="E9312" t="s">
        <v>65</v>
      </c>
      <c r="F9312" t="s">
        <v>57</v>
      </c>
      <c r="G9312" t="str">
        <f t="shared" si="389"/>
        <v>003EXPLORER</v>
      </c>
      <c r="H9312" s="5">
        <v>2100</v>
      </c>
      <c r="I9312" s="6">
        <v>1268.1103447768633</v>
      </c>
      <c r="J9312" s="5">
        <v>9600</v>
      </c>
      <c r="K9312" s="6">
        <f t="shared" si="392"/>
        <v>1.6560073093398793</v>
      </c>
    </row>
    <row r="9313" spans="1:11">
      <c r="A9313" s="4">
        <v>2026</v>
      </c>
      <c r="B9313">
        <v>34</v>
      </c>
      <c r="C9313" t="s">
        <v>54</v>
      </c>
      <c r="D9313" t="s">
        <v>11</v>
      </c>
      <c r="E9313" t="s">
        <v>65</v>
      </c>
      <c r="F9313" t="s">
        <v>68</v>
      </c>
      <c r="G9313" t="str">
        <f t="shared" si="389"/>
        <v>003JOCKER</v>
      </c>
      <c r="H9313" s="5">
        <v>900</v>
      </c>
      <c r="I9313" s="6">
        <v>528.37931032368999</v>
      </c>
      <c r="J9313" s="5">
        <v>4000</v>
      </c>
      <c r="K9313" s="6">
        <f t="shared" si="392"/>
        <v>1.7033218038924571</v>
      </c>
    </row>
    <row r="9314" spans="1:11">
      <c r="A9314" s="4">
        <v>2026</v>
      </c>
      <c r="B9314">
        <v>34</v>
      </c>
      <c r="C9314" t="s">
        <v>54</v>
      </c>
      <c r="D9314" t="s">
        <v>11</v>
      </c>
      <c r="E9314" t="s">
        <v>65</v>
      </c>
      <c r="F9314" t="s">
        <v>69</v>
      </c>
      <c r="G9314" t="str">
        <f t="shared" si="389"/>
        <v>003QUICKSAND</v>
      </c>
      <c r="H9314" s="5">
        <v>1680</v>
      </c>
      <c r="I9314" s="6">
        <v>1162.4344827121247</v>
      </c>
      <c r="J9314" s="5">
        <v>8800</v>
      </c>
      <c r="K9314" s="6">
        <f t="shared" si="392"/>
        <v>1.4452427426966219</v>
      </c>
    </row>
    <row r="9315" spans="1:11">
      <c r="A9315" s="4">
        <v>2026</v>
      </c>
      <c r="B9315">
        <v>34</v>
      </c>
      <c r="C9315" t="s">
        <v>54</v>
      </c>
      <c r="D9315" t="s">
        <v>11</v>
      </c>
      <c r="E9315" t="s">
        <v>14</v>
      </c>
      <c r="F9315" t="s">
        <v>70</v>
      </c>
      <c r="G9315" t="str">
        <f t="shared" si="389"/>
        <v>004COTOPAXI</v>
      </c>
      <c r="H9315" s="5">
        <v>720</v>
      </c>
      <c r="I9315" s="6">
        <v>528.3915024419166</v>
      </c>
      <c r="J9315" s="5">
        <v>4000</v>
      </c>
      <c r="K9315" s="6">
        <f t="shared" si="392"/>
        <v>1.3626260011233733</v>
      </c>
    </row>
    <row r="9316" spans="1:11">
      <c r="A9316" s="4">
        <v>2026</v>
      </c>
      <c r="B9316">
        <v>34</v>
      </c>
      <c r="C9316" t="s">
        <v>54</v>
      </c>
      <c r="D9316" t="s">
        <v>11</v>
      </c>
      <c r="E9316" t="s">
        <v>14</v>
      </c>
      <c r="F9316" t="s">
        <v>67</v>
      </c>
      <c r="G9316" t="str">
        <f t="shared" si="389"/>
        <v>004DEEP PURPLE</v>
      </c>
      <c r="H9316" s="5">
        <v>8070</v>
      </c>
      <c r="I9316" s="6">
        <v>3910.1071427007282</v>
      </c>
      <c r="J9316" s="5">
        <v>29260</v>
      </c>
      <c r="K9316" s="6">
        <f t="shared" si="392"/>
        <v>2.0638820639646247</v>
      </c>
    </row>
    <row r="9317" spans="1:11">
      <c r="A9317" s="4">
        <v>2026</v>
      </c>
      <c r="B9317">
        <v>34</v>
      </c>
      <c r="C9317" t="s">
        <v>54</v>
      </c>
      <c r="D9317" t="s">
        <v>11</v>
      </c>
      <c r="E9317" t="s">
        <v>14</v>
      </c>
      <c r="F9317" t="s">
        <v>71</v>
      </c>
      <c r="G9317" t="str">
        <f t="shared" si="389"/>
        <v>004HOT EXPLORER</v>
      </c>
      <c r="H9317" s="5">
        <v>2450</v>
      </c>
      <c r="I9317" s="6">
        <v>1902.2142856381945</v>
      </c>
      <c r="J9317" s="5">
        <v>14400</v>
      </c>
      <c r="K9317" s="6">
        <f t="shared" si="392"/>
        <v>1.2879726634888682</v>
      </c>
    </row>
    <row r="9318" spans="1:11">
      <c r="A9318" s="4">
        <v>2026</v>
      </c>
      <c r="B9318">
        <v>34</v>
      </c>
      <c r="C9318" t="s">
        <v>54</v>
      </c>
      <c r="D9318" t="s">
        <v>11</v>
      </c>
      <c r="E9318" t="s">
        <v>14</v>
      </c>
      <c r="F9318" t="s">
        <v>72</v>
      </c>
      <c r="G9318" t="str">
        <f t="shared" si="389"/>
        <v>004HOT MERENGUE</v>
      </c>
      <c r="H9318" s="5">
        <v>1860</v>
      </c>
      <c r="I9318" s="6">
        <v>1162.4642856677858</v>
      </c>
      <c r="J9318" s="5">
        <v>8800</v>
      </c>
      <c r="K9318" s="6">
        <f t="shared" si="392"/>
        <v>1.6000491567201223</v>
      </c>
    </row>
    <row r="9319" spans="1:11">
      <c r="A9319" s="4">
        <v>2026</v>
      </c>
      <c r="B9319">
        <v>34</v>
      </c>
      <c r="C9319" t="s">
        <v>54</v>
      </c>
      <c r="D9319" t="s">
        <v>11</v>
      </c>
      <c r="E9319" t="s">
        <v>14</v>
      </c>
      <c r="F9319" t="s">
        <v>64</v>
      </c>
      <c r="G9319" t="str">
        <f t="shared" si="389"/>
        <v>004SWEETNESS</v>
      </c>
      <c r="H9319" s="5">
        <v>690</v>
      </c>
      <c r="I9319" s="6">
        <v>317.03571427303262</v>
      </c>
      <c r="J9319" s="5">
        <v>2400</v>
      </c>
      <c r="K9319" s="6">
        <f t="shared" si="392"/>
        <v>2.1764109497322086</v>
      </c>
    </row>
    <row r="9320" spans="1:11">
      <c r="A9320" s="4">
        <v>2026</v>
      </c>
      <c r="B9320">
        <v>34</v>
      </c>
      <c r="C9320" t="s">
        <v>54</v>
      </c>
      <c r="D9320" t="s">
        <v>11</v>
      </c>
      <c r="E9320" t="s">
        <v>16</v>
      </c>
      <c r="F9320" t="s">
        <v>57</v>
      </c>
      <c r="G9320" t="str">
        <f t="shared" si="389"/>
        <v>005EXPLORER</v>
      </c>
      <c r="H9320" s="5">
        <v>1525</v>
      </c>
      <c r="I9320" s="6">
        <v>951.10714281875391</v>
      </c>
      <c r="J9320" s="5">
        <v>7200</v>
      </c>
      <c r="K9320" s="6">
        <f t="shared" si="392"/>
        <v>1.6033945402622309</v>
      </c>
    </row>
    <row r="9321" spans="1:11">
      <c r="A9321" s="4">
        <v>2026</v>
      </c>
      <c r="B9321">
        <v>34</v>
      </c>
      <c r="C9321" t="s">
        <v>54</v>
      </c>
      <c r="D9321" t="s">
        <v>11</v>
      </c>
      <c r="E9321" t="s">
        <v>16</v>
      </c>
      <c r="F9321" t="s">
        <v>73</v>
      </c>
      <c r="G9321" t="str">
        <f t="shared" si="389"/>
        <v>005GOLDFINCH</v>
      </c>
      <c r="H9321" s="5">
        <v>675</v>
      </c>
      <c r="I9321" s="6">
        <v>898.26785710660101</v>
      </c>
      <c r="J9321" s="5">
        <v>6800</v>
      </c>
      <c r="K9321" s="6">
        <f t="shared" si="392"/>
        <v>0.75144623584131554</v>
      </c>
    </row>
    <row r="9322" spans="1:11">
      <c r="A9322" s="4">
        <v>2026</v>
      </c>
      <c r="B9322">
        <v>34</v>
      </c>
      <c r="C9322" t="s">
        <v>54</v>
      </c>
      <c r="D9322" t="s">
        <v>11</v>
      </c>
      <c r="E9322" t="s">
        <v>16</v>
      </c>
      <c r="F9322" t="s">
        <v>68</v>
      </c>
      <c r="G9322" t="str">
        <f t="shared" si="389"/>
        <v>005JOCKER</v>
      </c>
      <c r="H9322" s="5">
        <v>1950</v>
      </c>
      <c r="I9322" s="6">
        <v>1162.4642856673661</v>
      </c>
      <c r="J9322" s="5">
        <v>8800</v>
      </c>
      <c r="K9322" s="6">
        <f t="shared" si="392"/>
        <v>1.6774708901104112</v>
      </c>
    </row>
    <row r="9323" spans="1:11">
      <c r="A9323" s="4">
        <v>2026</v>
      </c>
      <c r="B9323">
        <v>34</v>
      </c>
      <c r="C9323" t="s">
        <v>54</v>
      </c>
      <c r="D9323" t="s">
        <v>11</v>
      </c>
      <c r="E9323" t="s">
        <v>16</v>
      </c>
      <c r="F9323" t="s">
        <v>74</v>
      </c>
      <c r="G9323" t="str">
        <f t="shared" si="389"/>
        <v>005VENDELA</v>
      </c>
      <c r="H9323" s="5">
        <v>2460</v>
      </c>
      <c r="I9323" s="6">
        <v>686.91071425798896</v>
      </c>
      <c r="J9323" s="5">
        <v>5200</v>
      </c>
      <c r="K9323" s="6">
        <f t="shared" si="392"/>
        <v>3.5812514624369021</v>
      </c>
    </row>
    <row r="9324" spans="1:11">
      <c r="A9324" s="4">
        <v>2026</v>
      </c>
      <c r="B9324">
        <v>34</v>
      </c>
      <c r="C9324" t="s">
        <v>54</v>
      </c>
      <c r="D9324" t="s">
        <v>11</v>
      </c>
      <c r="E9324" t="s">
        <v>75</v>
      </c>
      <c r="F9324" t="s">
        <v>76</v>
      </c>
      <c r="G9324" t="str">
        <f t="shared" si="389"/>
        <v>006ATOMIC</v>
      </c>
      <c r="H9324" s="5">
        <v>650</v>
      </c>
      <c r="I9324" s="6">
        <v>845.428571394752</v>
      </c>
      <c r="J9324" s="5">
        <v>6400</v>
      </c>
      <c r="K9324" s="6">
        <f t="shared" si="392"/>
        <v>0.7688408246336621</v>
      </c>
    </row>
    <row r="9325" spans="1:11">
      <c r="A9325" s="4">
        <v>2026</v>
      </c>
      <c r="B9325">
        <v>34</v>
      </c>
      <c r="C9325" t="s">
        <v>54</v>
      </c>
      <c r="D9325" t="s">
        <v>11</v>
      </c>
      <c r="E9325" t="s">
        <v>75</v>
      </c>
      <c r="F9325" t="s">
        <v>57</v>
      </c>
      <c r="G9325" t="str">
        <f t="shared" si="389"/>
        <v>006EXPLORER</v>
      </c>
      <c r="H9325" s="5">
        <v>5400</v>
      </c>
      <c r="I9325" s="6">
        <v>3910.1071427007355</v>
      </c>
      <c r="J9325" s="5">
        <v>29600</v>
      </c>
      <c r="K9325" s="6">
        <f t="shared" si="392"/>
        <v>1.3810363253294859</v>
      </c>
    </row>
    <row r="9326" spans="1:11">
      <c r="A9326" s="4">
        <v>2026</v>
      </c>
      <c r="B9326">
        <v>34</v>
      </c>
      <c r="C9326" t="s">
        <v>54</v>
      </c>
      <c r="D9326" t="s">
        <v>11</v>
      </c>
      <c r="E9326" t="s">
        <v>75</v>
      </c>
      <c r="F9326" t="s">
        <v>77</v>
      </c>
      <c r="G9326" t="str">
        <f t="shared" si="389"/>
        <v>006MONDIAL</v>
      </c>
      <c r="H9326" s="5">
        <v>5800</v>
      </c>
      <c r="I9326" s="6">
        <v>4015.7857141250793</v>
      </c>
      <c r="J9326" s="5">
        <v>30400</v>
      </c>
      <c r="K9326" s="6">
        <f t="shared" si="392"/>
        <v>1.4443001725911684</v>
      </c>
    </row>
    <row r="9327" spans="1:11">
      <c r="A9327" s="4">
        <v>2026</v>
      </c>
      <c r="B9327">
        <v>34</v>
      </c>
      <c r="C9327" t="s">
        <v>54</v>
      </c>
      <c r="D9327" t="s">
        <v>11</v>
      </c>
      <c r="E9327" t="s">
        <v>20</v>
      </c>
      <c r="F9327" t="s">
        <v>70</v>
      </c>
      <c r="G9327" t="str">
        <f t="shared" si="389"/>
        <v>007COTOPAXI</v>
      </c>
      <c r="H9327" s="5">
        <v>7590</v>
      </c>
      <c r="I9327" s="6">
        <v>2747.5751230427709</v>
      </c>
      <c r="J9327" s="5">
        <v>20800</v>
      </c>
      <c r="K9327" s="6">
        <f t="shared" si="392"/>
        <v>2.7624358425528839</v>
      </c>
    </row>
    <row r="9328" spans="1:11">
      <c r="A9328" s="4">
        <v>2026</v>
      </c>
      <c r="B9328">
        <v>34</v>
      </c>
      <c r="C9328" t="s">
        <v>54</v>
      </c>
      <c r="D9328" t="s">
        <v>11</v>
      </c>
      <c r="E9328" t="s">
        <v>20</v>
      </c>
      <c r="F9328" t="s">
        <v>78</v>
      </c>
      <c r="G9328" t="str">
        <f t="shared" si="389"/>
        <v>007REDIANT</v>
      </c>
      <c r="H9328" s="5">
        <v>1350</v>
      </c>
      <c r="I9328" s="6">
        <v>1056.75862064738</v>
      </c>
      <c r="J9328" s="5">
        <v>9600</v>
      </c>
      <c r="K9328" s="6">
        <f t="shared" si="392"/>
        <v>1.2774913529193428</v>
      </c>
    </row>
    <row r="9329" spans="1:11">
      <c r="A9329" s="4">
        <v>2026</v>
      </c>
      <c r="B9329">
        <v>34</v>
      </c>
      <c r="C9329" t="s">
        <v>54</v>
      </c>
      <c r="D9329" t="s">
        <v>11</v>
      </c>
      <c r="E9329" t="s">
        <v>20</v>
      </c>
      <c r="F9329" t="s">
        <v>63</v>
      </c>
      <c r="G9329" t="str">
        <f t="shared" si="389"/>
        <v>007SUMMER ROMANCE</v>
      </c>
      <c r="H9329" s="5">
        <v>0</v>
      </c>
      <c r="I9329" s="6">
        <v>317.02758619421581</v>
      </c>
      <c r="J9329" s="5">
        <v>2640</v>
      </c>
      <c r="K9329" s="6">
        <f t="shared" si="392"/>
        <v>0</v>
      </c>
    </row>
    <row r="9330" spans="1:11">
      <c r="A9330" s="4">
        <v>2026</v>
      </c>
      <c r="B9330">
        <v>34</v>
      </c>
      <c r="C9330" t="s">
        <v>54</v>
      </c>
      <c r="D9330" t="s">
        <v>11</v>
      </c>
      <c r="E9330" t="s">
        <v>20</v>
      </c>
      <c r="F9330" t="s">
        <v>114</v>
      </c>
      <c r="G9330" t="str">
        <f t="shared" ref="G9330:G9375" si="393">+E9330&amp;F9330</f>
        <v>007TOPACIO</v>
      </c>
      <c r="H9330" s="5">
        <v>0</v>
      </c>
      <c r="I9330" s="6">
        <v>52.837931032368999</v>
      </c>
      <c r="J9330" s="5">
        <v>440</v>
      </c>
      <c r="K9330" s="6">
        <f t="shared" si="392"/>
        <v>0</v>
      </c>
    </row>
    <row r="9331" spans="1:11">
      <c r="A9331" s="4">
        <v>2026</v>
      </c>
      <c r="B9331">
        <v>34</v>
      </c>
      <c r="C9331" t="s">
        <v>54</v>
      </c>
      <c r="D9331" t="s">
        <v>11</v>
      </c>
      <c r="E9331" t="s">
        <v>20</v>
      </c>
      <c r="F9331" t="s">
        <v>74</v>
      </c>
      <c r="G9331" t="str">
        <f t="shared" si="393"/>
        <v>007VENDELA</v>
      </c>
      <c r="H9331" s="5">
        <v>12090</v>
      </c>
      <c r="I9331" s="6">
        <v>3592.9793102011122</v>
      </c>
      <c r="J9331" s="5">
        <v>27820</v>
      </c>
      <c r="K9331" s="6">
        <f t="shared" si="392"/>
        <v>3.3648955243561587</v>
      </c>
    </row>
    <row r="9332" spans="1:11">
      <c r="A9332" s="4">
        <v>2026</v>
      </c>
      <c r="B9332">
        <v>34</v>
      </c>
      <c r="C9332" t="s">
        <v>54</v>
      </c>
      <c r="D9332" t="s">
        <v>11</v>
      </c>
      <c r="E9332" t="s">
        <v>79</v>
      </c>
      <c r="F9332" t="s">
        <v>67</v>
      </c>
      <c r="G9332" t="str">
        <f t="shared" si="393"/>
        <v>008DEEP PURPLE</v>
      </c>
      <c r="H9332" s="5">
        <v>3330</v>
      </c>
      <c r="I9332" s="6">
        <v>1585.2222221588099</v>
      </c>
      <c r="J9332" s="5">
        <v>11490</v>
      </c>
      <c r="K9332" s="6">
        <f t="shared" si="392"/>
        <v>2.1006518540126771</v>
      </c>
    </row>
    <row r="9333" spans="1:11">
      <c r="A9333" s="4">
        <v>2026</v>
      </c>
      <c r="B9333">
        <v>34</v>
      </c>
      <c r="C9333" t="s">
        <v>54</v>
      </c>
      <c r="D9333" t="s">
        <v>11</v>
      </c>
      <c r="E9333" t="s">
        <v>79</v>
      </c>
      <c r="F9333" t="s">
        <v>81</v>
      </c>
      <c r="G9333" t="str">
        <f t="shared" si="393"/>
        <v>008FREEDOM</v>
      </c>
      <c r="H9333" s="5">
        <v>3900</v>
      </c>
      <c r="I9333" s="6">
        <v>2219.311111022334</v>
      </c>
      <c r="J9333" s="5">
        <v>16800</v>
      </c>
      <c r="K9333" s="6">
        <f t="shared" si="392"/>
        <v>1.7573020657763707</v>
      </c>
    </row>
    <row r="9334" spans="1:11">
      <c r="A9334" s="4">
        <v>2026</v>
      </c>
      <c r="B9334">
        <v>34</v>
      </c>
      <c r="C9334" t="s">
        <v>54</v>
      </c>
      <c r="D9334" t="s">
        <v>11</v>
      </c>
      <c r="E9334" t="s">
        <v>79</v>
      </c>
      <c r="F9334" t="s">
        <v>68</v>
      </c>
      <c r="G9334" t="str">
        <f t="shared" si="393"/>
        <v>008JOCKER</v>
      </c>
      <c r="H9334" s="5">
        <v>4375</v>
      </c>
      <c r="I9334" s="6">
        <v>2959.0814813631118</v>
      </c>
      <c r="J9334" s="5">
        <v>22400</v>
      </c>
      <c r="K9334" s="6">
        <f t="shared" si="392"/>
        <v>1.4784993341868504</v>
      </c>
    </row>
    <row r="9335" spans="1:11">
      <c r="A9335" s="4">
        <v>2026</v>
      </c>
      <c r="B9335">
        <v>34</v>
      </c>
      <c r="C9335" t="s">
        <v>54</v>
      </c>
      <c r="D9335" t="s">
        <v>11</v>
      </c>
      <c r="E9335" t="s">
        <v>82</v>
      </c>
      <c r="F9335" t="s">
        <v>83</v>
      </c>
      <c r="G9335" t="str">
        <f t="shared" si="393"/>
        <v>010COOLDOWN</v>
      </c>
      <c r="H9335" s="5">
        <v>2425</v>
      </c>
      <c r="I9335" s="6">
        <v>1912.3542857142861</v>
      </c>
      <c r="J9335" s="5">
        <v>16320</v>
      </c>
      <c r="K9335" s="6">
        <f t="shared" si="392"/>
        <v>1.2680704711021864</v>
      </c>
    </row>
    <row r="9336" spans="1:11">
      <c r="A9336" s="4">
        <v>2026</v>
      </c>
      <c r="B9336">
        <v>34</v>
      </c>
      <c r="C9336" t="s">
        <v>54</v>
      </c>
      <c r="D9336" t="s">
        <v>11</v>
      </c>
      <c r="E9336" t="s">
        <v>82</v>
      </c>
      <c r="F9336" t="s">
        <v>84</v>
      </c>
      <c r="G9336" t="str">
        <f t="shared" si="393"/>
        <v>010VIOLET HILL</v>
      </c>
      <c r="H9336" s="5">
        <v>3030</v>
      </c>
      <c r="I9336" s="6">
        <v>2812.2857142428579</v>
      </c>
      <c r="J9336" s="5">
        <v>20000</v>
      </c>
      <c r="K9336" s="6">
        <f t="shared" si="392"/>
        <v>1.0774154221438188</v>
      </c>
    </row>
    <row r="9337" spans="1:11">
      <c r="A9337" s="4">
        <v>2026</v>
      </c>
      <c r="B9337">
        <v>34</v>
      </c>
      <c r="C9337" t="s">
        <v>54</v>
      </c>
      <c r="D9337" t="s">
        <v>11</v>
      </c>
      <c r="E9337" t="s">
        <v>85</v>
      </c>
      <c r="F9337" t="s">
        <v>86</v>
      </c>
      <c r="G9337" t="str">
        <f t="shared" si="393"/>
        <v>011BRIGHTON</v>
      </c>
      <c r="H9337" s="5">
        <v>3250</v>
      </c>
      <c r="I9337" s="6">
        <v>1768.8376470588223</v>
      </c>
      <c r="J9337" s="5">
        <v>12800</v>
      </c>
      <c r="K9337" s="6">
        <f t="shared" si="392"/>
        <v>1.8373647832541422</v>
      </c>
    </row>
    <row r="9338" spans="1:11">
      <c r="A9338" s="4">
        <v>2026</v>
      </c>
      <c r="B9338">
        <v>34</v>
      </c>
      <c r="C9338" t="s">
        <v>54</v>
      </c>
      <c r="D9338" t="s">
        <v>11</v>
      </c>
      <c r="E9338" t="s">
        <v>85</v>
      </c>
      <c r="F9338" t="s">
        <v>87</v>
      </c>
      <c r="G9338" t="str">
        <f t="shared" si="393"/>
        <v>011CANDLELIGHT</v>
      </c>
      <c r="H9338" s="5">
        <v>4360</v>
      </c>
      <c r="I9338" s="6">
        <v>2263.7999998868127</v>
      </c>
      <c r="J9338" s="5">
        <v>17920</v>
      </c>
      <c r="K9338" s="6">
        <f t="shared" si="392"/>
        <v>1.9259651913676097</v>
      </c>
    </row>
    <row r="9339" spans="1:11">
      <c r="A9339" s="4">
        <v>2026</v>
      </c>
      <c r="B9339">
        <v>34</v>
      </c>
      <c r="C9339" t="s">
        <v>54</v>
      </c>
      <c r="D9339" t="s">
        <v>11</v>
      </c>
      <c r="E9339" t="s">
        <v>85</v>
      </c>
      <c r="F9339" t="s">
        <v>88</v>
      </c>
      <c r="G9339" t="str">
        <f t="shared" si="393"/>
        <v>011CAYENNE</v>
      </c>
      <c r="H9339" s="5">
        <v>1440</v>
      </c>
      <c r="I9339" s="6">
        <v>994.97117647058747</v>
      </c>
      <c r="J9339" s="5">
        <v>7200</v>
      </c>
      <c r="K9339" s="6">
        <f t="shared" si="392"/>
        <v>1.4472781061940321</v>
      </c>
    </row>
    <row r="9340" spans="1:11">
      <c r="A9340" s="4">
        <v>2026</v>
      </c>
      <c r="B9340">
        <v>34</v>
      </c>
      <c r="C9340" t="s">
        <v>54</v>
      </c>
      <c r="D9340" t="s">
        <v>11</v>
      </c>
      <c r="E9340" t="s">
        <v>85</v>
      </c>
      <c r="F9340" t="s">
        <v>89</v>
      </c>
      <c r="G9340" t="str">
        <f t="shared" si="393"/>
        <v>011STARDUST</v>
      </c>
      <c r="H9340" s="5">
        <v>2500</v>
      </c>
      <c r="I9340" s="6">
        <v>2263.7999998868127</v>
      </c>
      <c r="J9340" s="5">
        <v>17920</v>
      </c>
      <c r="K9340" s="6">
        <f t="shared" si="392"/>
        <v>1.1043378390869323</v>
      </c>
    </row>
    <row r="9341" spans="1:11">
      <c r="A9341" s="4">
        <v>2026</v>
      </c>
      <c r="B9341">
        <v>34</v>
      </c>
      <c r="C9341" t="s">
        <v>54</v>
      </c>
      <c r="D9341" t="s">
        <v>11</v>
      </c>
      <c r="E9341" t="s">
        <v>90</v>
      </c>
      <c r="F9341" t="s">
        <v>67</v>
      </c>
      <c r="G9341" t="str">
        <f t="shared" si="393"/>
        <v>012DEEP PURPLE</v>
      </c>
      <c r="H9341" s="5">
        <v>11820</v>
      </c>
      <c r="I9341" s="6">
        <v>6727.0499997982479</v>
      </c>
      <c r="J9341" s="5">
        <v>49210</v>
      </c>
      <c r="K9341" s="6">
        <f t="shared" si="392"/>
        <v>1.7570852008465072</v>
      </c>
    </row>
    <row r="9342" spans="1:11">
      <c r="A9342" s="4">
        <v>2026</v>
      </c>
      <c r="B9342">
        <v>34</v>
      </c>
      <c r="C9342" t="s">
        <v>54</v>
      </c>
      <c r="D9342" t="s">
        <v>11</v>
      </c>
      <c r="E9342" t="s">
        <v>90</v>
      </c>
      <c r="F9342" t="s">
        <v>60</v>
      </c>
      <c r="G9342" t="str">
        <f t="shared" si="393"/>
        <v>012LIGHT HOUSE</v>
      </c>
      <c r="H9342" s="5">
        <v>1140</v>
      </c>
      <c r="I9342" s="6">
        <v>994.95</v>
      </c>
      <c r="J9342" s="5">
        <v>7200</v>
      </c>
      <c r="K9342" s="6">
        <f t="shared" si="392"/>
        <v>1.145786220413086</v>
      </c>
    </row>
    <row r="9343" spans="1:11">
      <c r="A9343" s="4">
        <v>2026</v>
      </c>
      <c r="B9343">
        <v>34</v>
      </c>
      <c r="C9343" t="s">
        <v>54</v>
      </c>
      <c r="D9343" t="s">
        <v>11</v>
      </c>
      <c r="E9343" t="s">
        <v>91</v>
      </c>
      <c r="F9343" t="s">
        <v>92</v>
      </c>
      <c r="G9343" t="str">
        <f t="shared" si="393"/>
        <v>013COUNTRY BLUES</v>
      </c>
      <c r="H9343" s="5">
        <v>1475</v>
      </c>
      <c r="I9343" s="6">
        <v>831.6</v>
      </c>
      <c r="J9343" s="5">
        <v>6300</v>
      </c>
      <c r="K9343" s="6">
        <f t="shared" si="392"/>
        <v>1.7736892736892735</v>
      </c>
    </row>
    <row r="9344" spans="1:11">
      <c r="A9344" s="4">
        <v>2026</v>
      </c>
      <c r="B9344">
        <v>34</v>
      </c>
      <c r="C9344" t="s">
        <v>54</v>
      </c>
      <c r="D9344" t="s">
        <v>11</v>
      </c>
      <c r="E9344" t="s">
        <v>91</v>
      </c>
      <c r="F9344" t="s">
        <v>93</v>
      </c>
      <c r="G9344" t="str">
        <f t="shared" si="393"/>
        <v>013LORRAINE</v>
      </c>
      <c r="H9344" s="5">
        <v>2200</v>
      </c>
      <c r="I9344" s="6">
        <v>1267.2</v>
      </c>
      <c r="J9344" s="5">
        <v>9600</v>
      </c>
      <c r="K9344" s="6">
        <f t="shared" si="392"/>
        <v>1.7361111111111109</v>
      </c>
    </row>
    <row r="9345" spans="1:11">
      <c r="A9345" s="4">
        <v>2026</v>
      </c>
      <c r="B9345">
        <v>34</v>
      </c>
      <c r="C9345" t="s">
        <v>54</v>
      </c>
      <c r="D9345" t="s">
        <v>11</v>
      </c>
      <c r="E9345" t="s">
        <v>91</v>
      </c>
      <c r="F9345" t="s">
        <v>74</v>
      </c>
      <c r="G9345" t="str">
        <f t="shared" si="393"/>
        <v>013VENDELA</v>
      </c>
      <c r="H9345" s="5">
        <v>7320</v>
      </c>
      <c r="I9345" s="6">
        <v>3603.6</v>
      </c>
      <c r="J9345" s="5">
        <v>27296</v>
      </c>
      <c r="K9345" s="6">
        <f t="shared" si="392"/>
        <v>2.0313020313020314</v>
      </c>
    </row>
    <row r="9346" spans="1:11">
      <c r="A9346" s="4">
        <v>2026</v>
      </c>
      <c r="B9346">
        <v>34</v>
      </c>
      <c r="C9346" t="s">
        <v>54</v>
      </c>
      <c r="D9346" t="s">
        <v>11</v>
      </c>
      <c r="E9346" t="s">
        <v>23</v>
      </c>
      <c r="F9346" t="s">
        <v>89</v>
      </c>
      <c r="G9346" t="str">
        <f t="shared" si="393"/>
        <v>014STARDUST</v>
      </c>
      <c r="H9346" s="5">
        <v>3500</v>
      </c>
      <c r="I9346" s="6">
        <v>3682.8</v>
      </c>
      <c r="J9346" s="5">
        <v>27900</v>
      </c>
      <c r="K9346" s="6">
        <f t="shared" si="392"/>
        <v>0.95036385358966002</v>
      </c>
    </row>
    <row r="9347" spans="1:11">
      <c r="A9347" s="4">
        <v>2026</v>
      </c>
      <c r="B9347">
        <v>34</v>
      </c>
      <c r="C9347" t="s">
        <v>54</v>
      </c>
      <c r="D9347" t="s">
        <v>11</v>
      </c>
      <c r="E9347" t="s">
        <v>25</v>
      </c>
      <c r="F9347" t="s">
        <v>68</v>
      </c>
      <c r="G9347" t="str">
        <f t="shared" si="393"/>
        <v>015JOCKER</v>
      </c>
      <c r="H9347" s="5">
        <v>2450</v>
      </c>
      <c r="I9347" s="6">
        <v>2376</v>
      </c>
      <c r="J9347" s="5">
        <v>18000</v>
      </c>
      <c r="K9347" s="6">
        <f t="shared" si="392"/>
        <v>1.0311447811447811</v>
      </c>
    </row>
    <row r="9348" spans="1:11">
      <c r="A9348" s="4">
        <v>2026</v>
      </c>
      <c r="B9348">
        <v>34</v>
      </c>
      <c r="C9348" t="s">
        <v>54</v>
      </c>
      <c r="D9348" t="s">
        <v>11</v>
      </c>
      <c r="E9348" t="s">
        <v>27</v>
      </c>
      <c r="F9348" t="s">
        <v>94</v>
      </c>
      <c r="G9348" t="str">
        <f t="shared" si="393"/>
        <v>016DREAM IN PEACH</v>
      </c>
      <c r="H9348" s="5">
        <v>420</v>
      </c>
      <c r="I9348" s="6">
        <v>950.4</v>
      </c>
      <c r="J9348" s="5">
        <v>7200</v>
      </c>
      <c r="K9348" s="6">
        <f t="shared" si="392"/>
        <v>0.44191919191919193</v>
      </c>
    </row>
    <row r="9349" spans="1:11">
      <c r="A9349" s="4">
        <v>2026</v>
      </c>
      <c r="B9349">
        <v>34</v>
      </c>
      <c r="C9349" t="s">
        <v>54</v>
      </c>
      <c r="D9349" t="s">
        <v>11</v>
      </c>
      <c r="E9349" t="s">
        <v>27</v>
      </c>
      <c r="F9349" t="s">
        <v>95</v>
      </c>
      <c r="G9349" t="str">
        <f t="shared" si="393"/>
        <v>016NINA</v>
      </c>
      <c r="H9349" s="5">
        <v>2825</v>
      </c>
      <c r="I9349" s="6">
        <v>1346.4</v>
      </c>
      <c r="J9349" s="5">
        <v>10200</v>
      </c>
      <c r="K9349" s="6">
        <f t="shared" si="392"/>
        <v>2.0981877599524656</v>
      </c>
    </row>
    <row r="9350" spans="1:11">
      <c r="A9350" s="4">
        <v>2026</v>
      </c>
      <c r="B9350">
        <v>34</v>
      </c>
      <c r="C9350" t="s">
        <v>54</v>
      </c>
      <c r="D9350" t="s">
        <v>11</v>
      </c>
      <c r="E9350" t="s">
        <v>30</v>
      </c>
      <c r="F9350" t="s">
        <v>81</v>
      </c>
      <c r="G9350" t="str">
        <f t="shared" si="393"/>
        <v>017FREEDOM</v>
      </c>
      <c r="H9350" s="5">
        <v>4380</v>
      </c>
      <c r="I9350" s="6">
        <v>2851.2</v>
      </c>
      <c r="J9350" s="5">
        <v>21600</v>
      </c>
      <c r="K9350" s="6">
        <f t="shared" si="392"/>
        <v>1.5361952861952863</v>
      </c>
    </row>
    <row r="9351" spans="1:11">
      <c r="A9351" s="4">
        <v>2026</v>
      </c>
      <c r="B9351">
        <v>34</v>
      </c>
      <c r="C9351" t="s">
        <v>54</v>
      </c>
      <c r="D9351" t="s">
        <v>11</v>
      </c>
      <c r="E9351" t="s">
        <v>30</v>
      </c>
      <c r="F9351" t="s">
        <v>73</v>
      </c>
      <c r="G9351" t="str">
        <f t="shared" si="393"/>
        <v>017GOLDFINCH</v>
      </c>
      <c r="H9351" s="5">
        <v>2025</v>
      </c>
      <c r="I9351" s="6">
        <v>2138.4</v>
      </c>
      <c r="J9351" s="5">
        <v>16200</v>
      </c>
      <c r="K9351" s="6">
        <f t="shared" si="392"/>
        <v>0.94696969696969691</v>
      </c>
    </row>
    <row r="9352" spans="1:11">
      <c r="A9352" s="4">
        <v>2026</v>
      </c>
      <c r="B9352">
        <v>34</v>
      </c>
      <c r="C9352" t="s">
        <v>54</v>
      </c>
      <c r="D9352" t="s">
        <v>11</v>
      </c>
      <c r="E9352" t="s">
        <v>32</v>
      </c>
      <c r="F9352" t="s">
        <v>86</v>
      </c>
      <c r="G9352" t="str">
        <f t="shared" si="393"/>
        <v>018BRIGHTON</v>
      </c>
      <c r="H9352" s="5">
        <v>1500</v>
      </c>
      <c r="I9352" s="6">
        <v>963.6</v>
      </c>
      <c r="J9352" s="5">
        <v>7570</v>
      </c>
      <c r="K9352" s="6">
        <f t="shared" si="392"/>
        <v>1.5566625155666252</v>
      </c>
    </row>
    <row r="9353" spans="1:11">
      <c r="A9353" s="4">
        <v>2026</v>
      </c>
      <c r="B9353">
        <v>34</v>
      </c>
      <c r="C9353" t="s">
        <v>54</v>
      </c>
      <c r="D9353" t="s">
        <v>11</v>
      </c>
      <c r="E9353" t="s">
        <v>35</v>
      </c>
      <c r="F9353" t="s">
        <v>86</v>
      </c>
      <c r="G9353" t="str">
        <f t="shared" si="393"/>
        <v>019BRIGHTON</v>
      </c>
      <c r="H9353" s="5">
        <v>4650</v>
      </c>
      <c r="I9353" s="6">
        <v>3168</v>
      </c>
      <c r="J9353" s="5">
        <v>24000</v>
      </c>
      <c r="K9353" s="6">
        <f t="shared" si="392"/>
        <v>1.4678030303030303</v>
      </c>
    </row>
    <row r="9354" spans="1:11">
      <c r="A9354" s="4">
        <v>2026</v>
      </c>
      <c r="B9354">
        <v>34</v>
      </c>
      <c r="C9354" t="s">
        <v>54</v>
      </c>
      <c r="D9354" t="s">
        <v>11</v>
      </c>
      <c r="E9354" t="s">
        <v>35</v>
      </c>
      <c r="F9354" t="s">
        <v>96</v>
      </c>
      <c r="G9354" t="str">
        <f t="shared" si="393"/>
        <v>019TABATHA</v>
      </c>
      <c r="H9354" s="5">
        <v>1830</v>
      </c>
      <c r="I9354" s="6">
        <v>1188</v>
      </c>
      <c r="J9354" s="5">
        <v>9000</v>
      </c>
      <c r="K9354" s="6">
        <f t="shared" si="392"/>
        <v>1.5404040404040404</v>
      </c>
    </row>
    <row r="9355" spans="1:11">
      <c r="A9355" s="4">
        <v>2026</v>
      </c>
      <c r="B9355">
        <v>34</v>
      </c>
      <c r="C9355" t="s">
        <v>54</v>
      </c>
      <c r="D9355" t="s">
        <v>11</v>
      </c>
      <c r="E9355" t="s">
        <v>36</v>
      </c>
      <c r="F9355" t="s">
        <v>86</v>
      </c>
      <c r="G9355" t="str">
        <f t="shared" si="393"/>
        <v>020BRIGHTON</v>
      </c>
      <c r="H9355" s="5">
        <v>3975</v>
      </c>
      <c r="I9355" s="6">
        <v>2732.4</v>
      </c>
      <c r="J9355" s="5">
        <v>20700</v>
      </c>
      <c r="K9355" s="6">
        <f t="shared" si="392"/>
        <v>1.4547650417215634</v>
      </c>
    </row>
    <row r="9356" spans="1:11">
      <c r="A9356" s="4">
        <v>2026</v>
      </c>
      <c r="B9356">
        <v>34</v>
      </c>
      <c r="C9356" t="s">
        <v>54</v>
      </c>
      <c r="D9356" t="s">
        <v>11</v>
      </c>
      <c r="E9356" t="s">
        <v>36</v>
      </c>
      <c r="F9356" t="s">
        <v>97</v>
      </c>
      <c r="G9356" t="str">
        <f t="shared" si="393"/>
        <v>020TYCOON</v>
      </c>
      <c r="H9356" s="5">
        <v>720</v>
      </c>
      <c r="I9356" s="6">
        <v>673.2</v>
      </c>
      <c r="J9356" s="5">
        <v>5100</v>
      </c>
      <c r="K9356" s="6">
        <f t="shared" si="392"/>
        <v>1.0695187165775399</v>
      </c>
    </row>
    <row r="9357" spans="1:11">
      <c r="A9357" s="4">
        <v>2026</v>
      </c>
      <c r="B9357">
        <v>34</v>
      </c>
      <c r="C9357" t="s">
        <v>54</v>
      </c>
      <c r="D9357" t="s">
        <v>11</v>
      </c>
      <c r="E9357" t="s">
        <v>38</v>
      </c>
      <c r="F9357" t="s">
        <v>98</v>
      </c>
      <c r="G9357" t="str">
        <f t="shared" si="393"/>
        <v>021SHOW GIRL</v>
      </c>
      <c r="H9357" s="5">
        <v>1825</v>
      </c>
      <c r="I9357" s="6">
        <v>1100.4749999999999</v>
      </c>
      <c r="J9357" s="5">
        <v>8000</v>
      </c>
      <c r="K9357" s="6">
        <f t="shared" si="392"/>
        <v>1.6583747927031511</v>
      </c>
    </row>
    <row r="9358" spans="1:11">
      <c r="A9358" s="4">
        <v>2026</v>
      </c>
      <c r="B9358">
        <v>34</v>
      </c>
      <c r="C9358" t="s">
        <v>54</v>
      </c>
      <c r="D9358" t="s">
        <v>11</v>
      </c>
      <c r="E9358" t="s">
        <v>43</v>
      </c>
      <c r="F9358" t="s">
        <v>99</v>
      </c>
      <c r="G9358" t="str">
        <f t="shared" si="393"/>
        <v>022CORAL REEF</v>
      </c>
      <c r="H9358" s="5">
        <v>1325</v>
      </c>
      <c r="I9358" s="6">
        <v>1287</v>
      </c>
      <c r="J9358" s="5">
        <v>9400</v>
      </c>
      <c r="K9358" s="6">
        <f t="shared" si="392"/>
        <v>1.0295260295260296</v>
      </c>
    </row>
    <row r="9359" spans="1:11">
      <c r="A9359" s="4">
        <v>2026</v>
      </c>
      <c r="B9359">
        <v>34</v>
      </c>
      <c r="C9359" t="s">
        <v>54</v>
      </c>
      <c r="D9359" t="s">
        <v>11</v>
      </c>
      <c r="E9359" t="s">
        <v>100</v>
      </c>
      <c r="F9359" t="s">
        <v>70</v>
      </c>
      <c r="G9359" t="str">
        <f t="shared" si="393"/>
        <v>023COTOPAXI</v>
      </c>
      <c r="H9359" s="5">
        <v>6960</v>
      </c>
      <c r="I9359" s="6">
        <v>2641.14</v>
      </c>
      <c r="J9359" s="5">
        <v>19200</v>
      </c>
      <c r="K9359" s="6">
        <f t="shared" si="392"/>
        <v>2.635225697994048</v>
      </c>
    </row>
    <row r="9360" spans="1:11">
      <c r="A9360" s="4">
        <v>2026</v>
      </c>
      <c r="B9360">
        <v>34</v>
      </c>
      <c r="C9360" t="s">
        <v>54</v>
      </c>
      <c r="D9360" t="s">
        <v>11</v>
      </c>
      <c r="E9360" t="s">
        <v>100</v>
      </c>
      <c r="F9360" t="s">
        <v>101</v>
      </c>
      <c r="G9360" t="str">
        <f t="shared" si="393"/>
        <v>023FRUTTETO</v>
      </c>
      <c r="H9360" s="5">
        <v>3780</v>
      </c>
      <c r="I9360" s="6">
        <v>2641.14</v>
      </c>
      <c r="J9360" s="5">
        <v>19200</v>
      </c>
      <c r="K9360" s="6">
        <f t="shared" si="392"/>
        <v>1.431200163565733</v>
      </c>
    </row>
    <row r="9361" spans="1:11">
      <c r="A9361" s="4">
        <v>2026</v>
      </c>
      <c r="B9361">
        <v>34</v>
      </c>
      <c r="C9361" t="s">
        <v>54</v>
      </c>
      <c r="D9361" t="s">
        <v>11</v>
      </c>
      <c r="E9361" t="s">
        <v>102</v>
      </c>
      <c r="F9361" t="s">
        <v>70</v>
      </c>
      <c r="G9361" t="str">
        <f t="shared" si="393"/>
        <v>024COTOPAXI</v>
      </c>
      <c r="H9361" s="5">
        <v>3660</v>
      </c>
      <c r="I9361" s="6">
        <v>1430.6174906250001</v>
      </c>
      <c r="J9361" s="5">
        <v>10400</v>
      </c>
      <c r="K9361" s="6">
        <f t="shared" si="392"/>
        <v>2.5583358402818352</v>
      </c>
    </row>
    <row r="9362" spans="1:11">
      <c r="A9362" s="4">
        <v>2026</v>
      </c>
      <c r="B9362">
        <v>34</v>
      </c>
      <c r="C9362" t="s">
        <v>54</v>
      </c>
      <c r="D9362" t="s">
        <v>11</v>
      </c>
      <c r="E9362" t="s">
        <v>102</v>
      </c>
      <c r="F9362" t="s">
        <v>64</v>
      </c>
      <c r="G9362" t="str">
        <f t="shared" si="393"/>
        <v>024SWEETNESS</v>
      </c>
      <c r="H9362" s="5">
        <v>1890</v>
      </c>
      <c r="I9362" s="6">
        <v>1430.6175000000001</v>
      </c>
      <c r="J9362" s="5">
        <v>10400</v>
      </c>
      <c r="K9362" s="6">
        <f t="shared" si="392"/>
        <v>1.3211078432914458</v>
      </c>
    </row>
    <row r="9363" spans="1:11">
      <c r="A9363" s="4">
        <v>2026</v>
      </c>
      <c r="B9363">
        <v>34</v>
      </c>
      <c r="C9363" t="s">
        <v>54</v>
      </c>
      <c r="D9363" t="s">
        <v>11</v>
      </c>
      <c r="E9363" t="s">
        <v>102</v>
      </c>
      <c r="F9363" t="s">
        <v>97</v>
      </c>
      <c r="G9363" t="str">
        <f t="shared" si="393"/>
        <v>024TYCOON</v>
      </c>
      <c r="H9363" s="5">
        <v>3270</v>
      </c>
      <c r="I9363" s="6">
        <v>2861.2350000000001</v>
      </c>
      <c r="J9363" s="5">
        <v>20800</v>
      </c>
      <c r="K9363" s="6">
        <f t="shared" si="392"/>
        <v>1.1428631342759332</v>
      </c>
    </row>
    <row r="9364" spans="1:11">
      <c r="A9364" s="4">
        <v>2026</v>
      </c>
      <c r="B9364">
        <v>34</v>
      </c>
      <c r="C9364" t="s">
        <v>54</v>
      </c>
      <c r="D9364" t="s">
        <v>11</v>
      </c>
      <c r="E9364" t="s">
        <v>103</v>
      </c>
      <c r="F9364" t="s">
        <v>104</v>
      </c>
      <c r="G9364" t="str">
        <f t="shared" si="393"/>
        <v>025PINK MONDIAL</v>
      </c>
      <c r="H9364" s="5">
        <v>3825</v>
      </c>
      <c r="I9364" s="6">
        <v>3071.9505625000002</v>
      </c>
      <c r="J9364" s="5">
        <v>22400</v>
      </c>
      <c r="K9364" s="6">
        <f t="shared" si="392"/>
        <v>1.2451372254139261</v>
      </c>
    </row>
    <row r="9365" spans="1:11">
      <c r="A9365" s="4">
        <v>2026</v>
      </c>
      <c r="B9365">
        <v>34</v>
      </c>
      <c r="C9365" t="s">
        <v>54</v>
      </c>
      <c r="D9365" t="s">
        <v>11</v>
      </c>
      <c r="E9365" t="s">
        <v>45</v>
      </c>
      <c r="F9365" t="s">
        <v>105</v>
      </c>
      <c r="G9365" t="str">
        <f t="shared" si="393"/>
        <v>026LOLA</v>
      </c>
      <c r="H9365" s="5">
        <v>3300</v>
      </c>
      <c r="I9365" s="6">
        <v>1097.125</v>
      </c>
      <c r="J9365" s="5">
        <v>8000</v>
      </c>
      <c r="K9365" s="6">
        <f t="shared" si="392"/>
        <v>3.0078614560783867</v>
      </c>
    </row>
    <row r="9366" spans="1:11">
      <c r="A9366" s="4">
        <v>2026</v>
      </c>
      <c r="B9366">
        <v>34</v>
      </c>
      <c r="C9366" t="s">
        <v>54</v>
      </c>
      <c r="D9366" t="s">
        <v>11</v>
      </c>
      <c r="E9366" t="s">
        <v>45</v>
      </c>
      <c r="F9366" t="s">
        <v>106</v>
      </c>
      <c r="G9366" t="str">
        <f t="shared" si="393"/>
        <v>026PALOMA</v>
      </c>
      <c r="H9366" s="5">
        <v>4350</v>
      </c>
      <c r="I9366" s="6">
        <v>2852.5250000000001</v>
      </c>
      <c r="J9366" s="5">
        <v>20800</v>
      </c>
      <c r="K9366" s="6">
        <f t="shared" si="392"/>
        <v>1.5249647242355457</v>
      </c>
    </row>
    <row r="9367" spans="1:11">
      <c r="A9367" s="4">
        <v>2026</v>
      </c>
      <c r="B9367">
        <v>34</v>
      </c>
      <c r="C9367" t="s">
        <v>54</v>
      </c>
      <c r="D9367" t="s">
        <v>11</v>
      </c>
      <c r="E9367" t="s">
        <v>107</v>
      </c>
      <c r="F9367" t="s">
        <v>108</v>
      </c>
      <c r="G9367" t="str">
        <f t="shared" si="393"/>
        <v>027SATISFACTION</v>
      </c>
      <c r="H9367" s="5">
        <v>4830</v>
      </c>
      <c r="I9367" s="6">
        <v>2633.1</v>
      </c>
      <c r="J9367" s="5">
        <v>19200</v>
      </c>
      <c r="K9367" s="6">
        <f t="shared" si="392"/>
        <v>1.8343397516235616</v>
      </c>
    </row>
    <row r="9368" spans="1:11">
      <c r="A9368" s="4">
        <v>2026</v>
      </c>
      <c r="B9368">
        <v>34</v>
      </c>
      <c r="C9368" t="s">
        <v>54</v>
      </c>
      <c r="D9368" t="s">
        <v>11</v>
      </c>
      <c r="E9368" t="s">
        <v>107</v>
      </c>
      <c r="F9368" t="s">
        <v>109</v>
      </c>
      <c r="G9368" t="str">
        <f t="shared" si="393"/>
        <v>027TIFFANY</v>
      </c>
      <c r="H9368" s="5">
        <v>4770</v>
      </c>
      <c r="I9368" s="6">
        <v>2633.1</v>
      </c>
      <c r="J9368" s="5">
        <v>19200</v>
      </c>
      <c r="K9368" s="6">
        <f t="shared" si="392"/>
        <v>1.8115529224108466</v>
      </c>
    </row>
    <row r="9369" spans="1:11">
      <c r="A9369" s="4">
        <v>2026</v>
      </c>
      <c r="B9369">
        <v>34</v>
      </c>
      <c r="C9369" t="s">
        <v>54</v>
      </c>
      <c r="D9369" t="s">
        <v>11</v>
      </c>
      <c r="E9369" t="s">
        <v>110</v>
      </c>
      <c r="F9369" t="s">
        <v>70</v>
      </c>
      <c r="G9369" t="str">
        <f t="shared" si="393"/>
        <v>028COTOPAXI</v>
      </c>
      <c r="H9369" s="5">
        <v>5280</v>
      </c>
      <c r="I9369" s="6">
        <v>2852.5250000000001</v>
      </c>
      <c r="J9369" s="5">
        <v>20800</v>
      </c>
      <c r="K9369" s="6">
        <f t="shared" ref="K9369:K9372" si="394">+H9369/I9369</f>
        <v>1.850991665279007</v>
      </c>
    </row>
    <row r="9370" spans="1:11">
      <c r="A9370" s="4">
        <v>2026</v>
      </c>
      <c r="B9370">
        <v>34</v>
      </c>
      <c r="C9370" t="s">
        <v>54</v>
      </c>
      <c r="D9370" t="s">
        <v>11</v>
      </c>
      <c r="E9370" t="s">
        <v>110</v>
      </c>
      <c r="F9370" t="s">
        <v>67</v>
      </c>
      <c r="G9370" t="str">
        <f t="shared" si="393"/>
        <v>028DEEP PURPLE</v>
      </c>
      <c r="H9370" s="5">
        <v>6960</v>
      </c>
      <c r="I9370" s="6">
        <v>2852.5250000000001</v>
      </c>
      <c r="J9370" s="5">
        <v>20800</v>
      </c>
      <c r="K9370" s="6">
        <f t="shared" si="394"/>
        <v>2.4399435587768732</v>
      </c>
    </row>
    <row r="9371" spans="1:11">
      <c r="A9371" s="4">
        <v>2026</v>
      </c>
      <c r="B9371">
        <v>34</v>
      </c>
      <c r="C9371" t="s">
        <v>54</v>
      </c>
      <c r="D9371" t="s">
        <v>11</v>
      </c>
      <c r="E9371" t="s">
        <v>111</v>
      </c>
      <c r="F9371" t="s">
        <v>112</v>
      </c>
      <c r="G9371" t="str">
        <f t="shared" si="393"/>
        <v>029PINK FLOYD</v>
      </c>
      <c r="H9371" s="5">
        <v>3200</v>
      </c>
      <c r="I9371" s="6">
        <v>3071.95</v>
      </c>
      <c r="J9371" s="5">
        <v>22400</v>
      </c>
      <c r="K9371" s="6">
        <f t="shared" si="394"/>
        <v>1.0416836211526881</v>
      </c>
    </row>
    <row r="9372" spans="1:11">
      <c r="A9372" s="4">
        <v>2026</v>
      </c>
      <c r="B9372">
        <v>34</v>
      </c>
      <c r="C9372" t="s">
        <v>54</v>
      </c>
      <c r="D9372" t="s">
        <v>11</v>
      </c>
      <c r="E9372" t="s">
        <v>47</v>
      </c>
      <c r="F9372" t="s">
        <v>57</v>
      </c>
      <c r="G9372" t="str">
        <f t="shared" si="393"/>
        <v>030EXPLORER</v>
      </c>
      <c r="H9372" s="5">
        <v>1200</v>
      </c>
      <c r="I9372" s="6">
        <v>1645.6875</v>
      </c>
      <c r="J9372" s="5">
        <v>12000</v>
      </c>
      <c r="K9372" s="6">
        <f t="shared" si="394"/>
        <v>0.72917853480688166</v>
      </c>
    </row>
    <row r="9373" spans="1:11">
      <c r="A9373" s="4">
        <v>2026</v>
      </c>
      <c r="B9373">
        <v>34</v>
      </c>
      <c r="C9373" t="s">
        <v>54</v>
      </c>
      <c r="D9373" t="s">
        <v>11</v>
      </c>
      <c r="E9373" t="s">
        <v>55</v>
      </c>
      <c r="F9373" t="s">
        <v>61</v>
      </c>
      <c r="G9373" t="str">
        <f t="shared" si="393"/>
        <v>001LUMIA</v>
      </c>
      <c r="H9373" s="5">
        <v>1200</v>
      </c>
      <c r="I9373" s="6">
        <v>1109.596551679753</v>
      </c>
      <c r="J9373" s="5">
        <v>8400</v>
      </c>
      <c r="K9373" s="6">
        <f t="shared" ref="K9373" si="395">IFERROR(H9373/I9373,"")</f>
        <v>1.0814741612015562</v>
      </c>
    </row>
    <row r="9374" spans="1:11">
      <c r="A9374" s="4">
        <v>2026</v>
      </c>
      <c r="B9374">
        <v>34</v>
      </c>
      <c r="C9374" t="s">
        <v>54</v>
      </c>
      <c r="D9374" t="s">
        <v>11</v>
      </c>
      <c r="E9374" t="s">
        <v>85</v>
      </c>
      <c r="F9374" t="s">
        <v>61</v>
      </c>
      <c r="G9374" t="str">
        <f t="shared" si="393"/>
        <v>011LUMIA</v>
      </c>
      <c r="H9374" s="5">
        <v>1560</v>
      </c>
      <c r="I9374" s="6">
        <v>994.97117647058747</v>
      </c>
      <c r="J9374" s="5">
        <v>7920</v>
      </c>
      <c r="K9374" s="6">
        <f t="shared" ref="K9374:K9375" si="396">+H9374/I9374</f>
        <v>1.5678846150435348</v>
      </c>
    </row>
    <row r="9375" spans="1:11">
      <c r="A9375" s="4">
        <v>2026</v>
      </c>
      <c r="B9375">
        <v>34</v>
      </c>
      <c r="C9375" t="s">
        <v>54</v>
      </c>
      <c r="D9375" t="s">
        <v>11</v>
      </c>
      <c r="E9375" t="s">
        <v>91</v>
      </c>
      <c r="F9375" t="s">
        <v>61</v>
      </c>
      <c r="G9375" t="str">
        <f t="shared" si="393"/>
        <v>013LUMIA</v>
      </c>
      <c r="H9375" s="5">
        <v>330</v>
      </c>
      <c r="I9375" s="6">
        <v>316.8</v>
      </c>
      <c r="J9375" s="5">
        <v>2400</v>
      </c>
      <c r="K9375" s="6">
        <f t="shared" si="396"/>
        <v>1.0416666666666665</v>
      </c>
    </row>
  </sheetData>
  <autoFilter ref="A1:K9375">
    <filterColumn colId="0"/>
    <filterColumn colId="1"/>
    <filterColumn colId="6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2026-07-22T23:27:29Z</dcterms:modified>
</cp:coreProperties>
</file>