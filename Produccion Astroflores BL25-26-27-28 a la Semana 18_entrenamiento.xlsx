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codeName="ThisWorkbook"/>
  <bookViews>
    <workbookView xWindow="-120" yWindow="0" windowWidth="8565" windowHeight="11640"/>
  </bookViews>
  <sheets>
    <sheet name="Astroflores" sheetId="1" r:id="rId1"/>
  </sheets>
  <definedNames>
    <definedName name="_xlnm._FilterDatabase" localSheetId="0" hidden="1">Astroflores!$A$1:$S$584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0" i="1"/>
  <c r="S584"/>
  <c r="Q584"/>
  <c r="G584"/>
  <c r="S583"/>
  <c r="Q583"/>
  <c r="G583"/>
  <c r="S582"/>
  <c r="Q582"/>
  <c r="G582"/>
  <c r="S581"/>
  <c r="Q581"/>
  <c r="G581"/>
  <c r="S510"/>
  <c r="Q510"/>
  <c r="G510"/>
  <c r="S509"/>
  <c r="Q509"/>
  <c r="G509"/>
  <c r="S508"/>
  <c r="Q508"/>
  <c r="G508"/>
  <c r="S507"/>
  <c r="Q507"/>
  <c r="G507"/>
  <c r="S371"/>
  <c r="Q371"/>
  <c r="G371"/>
  <c r="S370"/>
  <c r="Q370"/>
  <c r="G370"/>
  <c r="S369"/>
  <c r="Q369"/>
  <c r="G369"/>
  <c r="S368"/>
  <c r="Q368"/>
  <c r="G368"/>
  <c r="S297"/>
  <c r="Q297"/>
  <c r="G297"/>
  <c r="S296"/>
  <c r="Q296"/>
  <c r="G296"/>
  <c r="S295"/>
  <c r="Q295"/>
  <c r="G295"/>
  <c r="S294"/>
  <c r="Q294"/>
  <c r="G294"/>
  <c r="S223"/>
  <c r="Q223"/>
  <c r="G223"/>
  <c r="S222"/>
  <c r="Q222"/>
  <c r="G222"/>
  <c r="S221"/>
  <c r="Q221"/>
  <c r="G221"/>
  <c r="Q220"/>
  <c r="G220"/>
  <c r="S149"/>
  <c r="Q149"/>
  <c r="G149"/>
  <c r="S148"/>
  <c r="Q148"/>
  <c r="G148"/>
  <c r="S147"/>
  <c r="Q147"/>
  <c r="G147"/>
  <c r="S146"/>
  <c r="Q146"/>
  <c r="G146"/>
  <c r="S75"/>
  <c r="Q75"/>
  <c r="G75"/>
  <c r="S74"/>
  <c r="Q74"/>
  <c r="G74"/>
  <c r="S73"/>
  <c r="Q73"/>
  <c r="G73"/>
  <c r="S72"/>
  <c r="Q72"/>
  <c r="G72"/>
  <c r="Q580"/>
  <c r="Q579"/>
  <c r="Q578"/>
  <c r="Q577"/>
  <c r="Q576"/>
  <c r="Q575"/>
  <c r="Q574"/>
  <c r="Q573"/>
  <c r="Q572"/>
  <c r="Q571"/>
  <c r="Q570"/>
  <c r="Q569"/>
  <c r="Q568"/>
  <c r="Q567"/>
  <c r="Q566"/>
  <c r="Q565"/>
  <c r="Q564"/>
  <c r="Q563"/>
  <c r="Q562"/>
  <c r="Q561"/>
  <c r="Q560"/>
  <c r="Q559"/>
  <c r="Q558"/>
  <c r="Q557"/>
  <c r="Q556"/>
  <c r="Q555"/>
  <c r="Q554"/>
  <c r="Q553"/>
  <c r="Q552"/>
  <c r="Q551"/>
  <c r="Q550"/>
  <c r="Q549"/>
  <c r="Q548"/>
  <c r="Q547"/>
  <c r="Q546"/>
  <c r="Q545"/>
  <c r="Q544"/>
  <c r="Q543"/>
  <c r="Q542"/>
  <c r="Q541"/>
  <c r="Q540"/>
  <c r="Q539"/>
  <c r="Q538"/>
  <c r="Q537"/>
  <c r="Q536"/>
  <c r="Q535"/>
  <c r="Q534"/>
  <c r="Q533"/>
  <c r="Q532"/>
  <c r="Q531"/>
  <c r="Q530"/>
  <c r="Q529"/>
  <c r="Q528"/>
  <c r="Q527"/>
  <c r="Q526"/>
  <c r="Q525"/>
  <c r="Q524"/>
  <c r="Q523"/>
  <c r="Q522"/>
  <c r="Q521"/>
  <c r="Q520"/>
  <c r="Q519"/>
  <c r="Q518"/>
  <c r="Q517"/>
  <c r="Q516"/>
  <c r="Q515"/>
  <c r="Q514"/>
  <c r="Q513"/>
  <c r="Q512"/>
  <c r="Q511"/>
  <c r="Q506"/>
  <c r="Q505"/>
  <c r="Q504"/>
  <c r="Q503"/>
  <c r="Q502"/>
  <c r="Q501"/>
  <c r="Q500"/>
  <c r="Q499"/>
  <c r="Q498"/>
  <c r="Q497"/>
  <c r="Q496"/>
  <c r="Q495"/>
  <c r="Q494"/>
  <c r="Q493"/>
  <c r="Q492"/>
  <c r="Q491"/>
  <c r="Q490"/>
  <c r="Q489"/>
  <c r="Q488"/>
  <c r="Q487"/>
  <c r="Q486"/>
  <c r="Q485"/>
  <c r="Q484"/>
  <c r="Q483"/>
  <c r="Q482"/>
  <c r="Q481"/>
  <c r="Q480"/>
  <c r="Q479"/>
  <c r="Q478"/>
  <c r="Q477"/>
  <c r="Q476"/>
  <c r="Q475"/>
  <c r="Q474"/>
  <c r="Q473"/>
  <c r="Q472"/>
  <c r="Q471"/>
  <c r="Q470"/>
  <c r="Q469"/>
  <c r="Q468"/>
  <c r="Q467"/>
  <c r="Q466"/>
  <c r="Q465"/>
  <c r="Q464"/>
  <c r="Q463"/>
  <c r="Q462"/>
  <c r="Q461"/>
  <c r="Q460"/>
  <c r="Q459"/>
  <c r="Q458"/>
  <c r="Q457"/>
  <c r="Q456"/>
  <c r="Q455"/>
  <c r="Q454"/>
  <c r="Q453"/>
  <c r="Q452"/>
  <c r="Q451"/>
  <c r="Q450"/>
  <c r="Q449"/>
  <c r="Q448"/>
  <c r="Q447"/>
  <c r="Q446"/>
  <c r="Q445"/>
  <c r="Q444"/>
  <c r="Q443"/>
  <c r="Q442"/>
  <c r="Q441"/>
  <c r="Q440"/>
  <c r="Q439"/>
  <c r="Q438"/>
  <c r="Q437"/>
  <c r="Q436"/>
  <c r="Q435"/>
  <c r="Q434"/>
  <c r="Q433"/>
  <c r="Q432"/>
  <c r="Q431"/>
  <c r="Q430"/>
  <c r="Q429"/>
  <c r="Q428"/>
  <c r="Q427"/>
  <c r="Q426"/>
  <c r="Q425"/>
  <c r="Q424"/>
  <c r="Q423"/>
  <c r="Q422"/>
  <c r="Q421"/>
  <c r="Q420"/>
  <c r="Q419"/>
  <c r="Q418"/>
  <c r="Q417"/>
  <c r="Q416"/>
  <c r="Q415"/>
  <c r="Q414"/>
  <c r="Q413"/>
  <c r="Q412"/>
  <c r="Q411"/>
  <c r="Q410"/>
  <c r="Q409"/>
  <c r="Q408"/>
  <c r="Q407"/>
  <c r="Q406"/>
  <c r="Q405"/>
  <c r="Q404"/>
  <c r="Q403"/>
  <c r="Q402"/>
  <c r="Q401"/>
  <c r="Q400"/>
  <c r="Q399"/>
  <c r="Q398"/>
  <c r="Q397"/>
  <c r="Q396"/>
  <c r="Q395"/>
  <c r="Q394"/>
  <c r="Q393"/>
  <c r="Q392"/>
  <c r="Q391"/>
  <c r="Q390"/>
  <c r="Q389"/>
  <c r="Q388"/>
  <c r="Q387"/>
  <c r="Q386"/>
  <c r="Q385"/>
  <c r="Q384"/>
  <c r="Q383"/>
  <c r="Q382"/>
  <c r="Q381"/>
  <c r="Q380"/>
  <c r="Q379"/>
  <c r="Q378"/>
  <c r="Q377"/>
  <c r="Q376"/>
  <c r="Q375"/>
  <c r="Q374"/>
  <c r="Q373"/>
  <c r="Q372"/>
  <c r="Q367"/>
  <c r="Q366"/>
  <c r="Q365"/>
  <c r="Q364"/>
  <c r="Q363"/>
  <c r="Q362"/>
  <c r="Q361"/>
  <c r="Q360"/>
  <c r="Q359"/>
  <c r="Q358"/>
  <c r="Q357"/>
  <c r="Q356"/>
  <c r="Q355"/>
  <c r="Q354"/>
  <c r="Q353"/>
  <c r="Q352"/>
  <c r="Q351"/>
  <c r="Q350"/>
  <c r="Q349"/>
  <c r="Q348"/>
  <c r="Q347"/>
  <c r="Q346"/>
  <c r="Q345"/>
  <c r="Q344"/>
  <c r="Q343"/>
  <c r="Q342"/>
  <c r="Q341"/>
  <c r="Q340"/>
  <c r="Q339"/>
  <c r="Q338"/>
  <c r="Q337"/>
  <c r="Q336"/>
  <c r="Q335"/>
  <c r="Q334"/>
  <c r="Q333"/>
  <c r="Q332"/>
  <c r="Q331"/>
  <c r="Q330"/>
  <c r="Q329"/>
  <c r="Q328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S580"/>
  <c r="S579"/>
  <c r="S578"/>
  <c r="S577"/>
  <c r="S576"/>
  <c r="S575"/>
  <c r="S574"/>
  <c r="S573"/>
  <c r="S572"/>
  <c r="S571"/>
  <c r="S570"/>
  <c r="S569"/>
  <c r="S568"/>
  <c r="S567"/>
  <c r="S566"/>
  <c r="S565"/>
  <c r="S564"/>
  <c r="S563"/>
  <c r="S562"/>
  <c r="S561"/>
  <c r="S560"/>
  <c r="S559"/>
  <c r="S558"/>
  <c r="S557"/>
  <c r="S556"/>
  <c r="S555"/>
  <c r="S554"/>
  <c r="S553"/>
  <c r="S552"/>
  <c r="S551"/>
  <c r="S550"/>
  <c r="S549"/>
  <c r="S548"/>
  <c r="S547"/>
  <c r="S546"/>
  <c r="S545"/>
  <c r="S544"/>
  <c r="S543"/>
  <c r="S542"/>
  <c r="S541"/>
  <c r="S540"/>
  <c r="S539"/>
  <c r="S538"/>
  <c r="S537"/>
  <c r="S536"/>
  <c r="S535"/>
  <c r="S534"/>
  <c r="S533"/>
  <c r="S532"/>
  <c r="S531"/>
  <c r="S530"/>
  <c r="S529"/>
  <c r="S528"/>
  <c r="S527"/>
  <c r="S526"/>
  <c r="S525"/>
  <c r="S524"/>
  <c r="S523"/>
  <c r="S522"/>
  <c r="S521"/>
  <c r="S520"/>
  <c r="S519"/>
  <c r="S518"/>
  <c r="S517"/>
  <c r="S516"/>
  <c r="S515"/>
  <c r="S514"/>
  <c r="S513"/>
  <c r="S512"/>
  <c r="S511"/>
  <c r="S506"/>
  <c r="S505"/>
  <c r="S504"/>
  <c r="S503"/>
  <c r="S502"/>
  <c r="S501"/>
  <c r="S500"/>
  <c r="S499"/>
  <c r="S498"/>
  <c r="S497"/>
  <c r="S496"/>
  <c r="S495"/>
  <c r="S494"/>
  <c r="S493"/>
  <c r="S492"/>
  <c r="S491"/>
  <c r="S490"/>
  <c r="S489"/>
  <c r="S488"/>
  <c r="S487"/>
  <c r="S486"/>
  <c r="S485"/>
  <c r="S484"/>
  <c r="S483"/>
  <c r="S482"/>
  <c r="S481"/>
  <c r="S480"/>
  <c r="S479"/>
  <c r="S478"/>
  <c r="S477"/>
  <c r="S476"/>
  <c r="S475"/>
  <c r="S474"/>
  <c r="S473"/>
  <c r="S472"/>
  <c r="S471"/>
  <c r="S470"/>
  <c r="S469"/>
  <c r="S468"/>
  <c r="S467"/>
  <c r="S466"/>
  <c r="S465"/>
  <c r="S464"/>
  <c r="S463"/>
  <c r="S462"/>
  <c r="S461"/>
  <c r="S460"/>
  <c r="S459"/>
  <c r="S458"/>
  <c r="S457"/>
  <c r="S456"/>
  <c r="S455"/>
  <c r="S454"/>
  <c r="S453"/>
  <c r="S452"/>
  <c r="S451"/>
  <c r="S450"/>
  <c r="S449"/>
  <c r="S448"/>
  <c r="S447"/>
  <c r="S446"/>
  <c r="S445"/>
  <c r="S444"/>
  <c r="S443"/>
  <c r="S442"/>
  <c r="S441"/>
  <c r="S440"/>
  <c r="S439"/>
  <c r="S438"/>
  <c r="S437"/>
  <c r="S372"/>
  <c r="S367"/>
  <c r="S366"/>
  <c r="S365"/>
  <c r="S364"/>
  <c r="S363"/>
  <c r="S362"/>
  <c r="S361"/>
  <c r="S360"/>
  <c r="S359"/>
  <c r="S358"/>
  <c r="S357"/>
  <c r="S356"/>
  <c r="S355"/>
  <c r="S354"/>
  <c r="S353"/>
  <c r="S352"/>
  <c r="S351"/>
  <c r="S350"/>
  <c r="S349"/>
  <c r="S348"/>
  <c r="S347"/>
  <c r="S346"/>
  <c r="S345"/>
  <c r="S344"/>
  <c r="S343"/>
  <c r="S342"/>
  <c r="S341"/>
  <c r="S340"/>
  <c r="S339"/>
  <c r="S338"/>
  <c r="S337"/>
  <c r="S336"/>
  <c r="S335"/>
  <c r="S334"/>
  <c r="S333"/>
  <c r="S332"/>
  <c r="S331"/>
  <c r="S330"/>
  <c r="S329"/>
  <c r="S328"/>
  <c r="S327"/>
  <c r="S326"/>
  <c r="S325"/>
  <c r="S324"/>
  <c r="S323"/>
  <c r="S322"/>
  <c r="S321"/>
  <c r="S320"/>
  <c r="S319"/>
  <c r="S318"/>
  <c r="S317"/>
  <c r="S316"/>
  <c r="S315"/>
  <c r="S314"/>
  <c r="S313"/>
  <c r="S312"/>
  <c r="S311"/>
  <c r="S310"/>
  <c r="S309"/>
  <c r="S308"/>
  <c r="S307"/>
  <c r="S306"/>
  <c r="S305"/>
  <c r="S304"/>
  <c r="S303"/>
  <c r="S302"/>
  <c r="S301"/>
  <c r="S300"/>
  <c r="S299"/>
  <c r="S298"/>
  <c r="S293"/>
  <c r="S292"/>
  <c r="S291"/>
  <c r="S290"/>
  <c r="S289"/>
  <c r="S288"/>
  <c r="S287"/>
  <c r="S286"/>
  <c r="S285"/>
  <c r="S284"/>
  <c r="S283"/>
  <c r="S282"/>
  <c r="S281"/>
  <c r="S280"/>
  <c r="S279"/>
  <c r="S278"/>
  <c r="S277"/>
  <c r="S276"/>
  <c r="S275"/>
  <c r="S274"/>
  <c r="S273"/>
  <c r="S272"/>
  <c r="S271"/>
  <c r="S270"/>
  <c r="S269"/>
  <c r="S268"/>
  <c r="S267"/>
  <c r="S266"/>
  <c r="S265"/>
  <c r="S264"/>
  <c r="S263"/>
  <c r="S262"/>
  <c r="S261"/>
  <c r="S260"/>
  <c r="S259"/>
  <c r="S258"/>
  <c r="S257"/>
  <c r="S256"/>
  <c r="S255"/>
  <c r="S254"/>
  <c r="S253"/>
  <c r="S252"/>
  <c r="S251"/>
  <c r="S250"/>
  <c r="S249"/>
  <c r="S248"/>
  <c r="S247"/>
  <c r="S246"/>
  <c r="S245"/>
  <c r="S244"/>
  <c r="S243"/>
  <c r="S242"/>
  <c r="S241"/>
  <c r="S240"/>
  <c r="S239"/>
  <c r="S238"/>
  <c r="S237"/>
  <c r="S236"/>
  <c r="S235"/>
  <c r="S234"/>
  <c r="S233"/>
  <c r="S232"/>
  <c r="S231"/>
  <c r="S230"/>
  <c r="S229"/>
  <c r="S228"/>
  <c r="S227"/>
  <c r="S226"/>
  <c r="S225"/>
  <c r="S224"/>
  <c r="S219"/>
  <c r="S218"/>
  <c r="S217"/>
  <c r="S216"/>
  <c r="S215"/>
  <c r="S214"/>
  <c r="S213"/>
  <c r="S212"/>
  <c r="S211"/>
  <c r="S210"/>
  <c r="S209"/>
  <c r="S208"/>
  <c r="S207"/>
  <c r="S206"/>
  <c r="S205"/>
  <c r="S204"/>
  <c r="S203"/>
  <c r="S202"/>
  <c r="S201"/>
  <c r="S200"/>
  <c r="S199"/>
  <c r="S198"/>
  <c r="S197"/>
  <c r="S196"/>
  <c r="S195"/>
  <c r="S194"/>
  <c r="S193"/>
  <c r="S192"/>
  <c r="S191"/>
  <c r="S190"/>
  <c r="S189"/>
  <c r="S188"/>
  <c r="S187"/>
  <c r="S186"/>
  <c r="S185"/>
  <c r="S184"/>
  <c r="S183"/>
  <c r="S182"/>
  <c r="S181"/>
  <c r="S180"/>
  <c r="S179"/>
  <c r="S178"/>
  <c r="S177"/>
  <c r="S176"/>
  <c r="S175"/>
  <c r="S174"/>
  <c r="S173"/>
  <c r="S172"/>
  <c r="S171"/>
  <c r="S170"/>
  <c r="S169"/>
  <c r="S168"/>
  <c r="S167"/>
  <c r="S166"/>
  <c r="S165"/>
  <c r="S164"/>
  <c r="S163"/>
  <c r="S162"/>
  <c r="S161"/>
  <c r="S160"/>
  <c r="S159"/>
  <c r="S158"/>
  <c r="S157"/>
  <c r="S156"/>
  <c r="S155"/>
  <c r="S154"/>
  <c r="S153"/>
  <c r="S152"/>
  <c r="S151"/>
  <c r="S150"/>
  <c r="S145"/>
  <c r="S144"/>
  <c r="S143"/>
  <c r="S142"/>
  <c r="S141"/>
  <c r="S140"/>
  <c r="S139"/>
  <c r="S138"/>
  <c r="S137"/>
  <c r="S136"/>
  <c r="S135"/>
  <c r="S134"/>
  <c r="S133"/>
  <c r="S132"/>
  <c r="S131"/>
  <c r="S130"/>
  <c r="S129"/>
  <c r="S128"/>
  <c r="S127"/>
  <c r="S126"/>
  <c r="S125"/>
  <c r="S124"/>
  <c r="S123"/>
  <c r="S122"/>
  <c r="S121"/>
  <c r="S120"/>
  <c r="S119"/>
  <c r="S118"/>
  <c r="S117"/>
  <c r="S116"/>
  <c r="S115"/>
  <c r="S114"/>
  <c r="S113"/>
  <c r="S112"/>
  <c r="S111"/>
  <c r="S110"/>
  <c r="S109"/>
  <c r="S108"/>
  <c r="S107"/>
  <c r="S106"/>
  <c r="S105"/>
  <c r="S104"/>
  <c r="S103"/>
  <c r="S102"/>
  <c r="S101"/>
  <c r="S100"/>
  <c r="S99"/>
  <c r="S98"/>
  <c r="S97"/>
  <c r="S96"/>
  <c r="S95"/>
  <c r="S94"/>
  <c r="S93"/>
  <c r="S92"/>
  <c r="S91"/>
  <c r="S90"/>
  <c r="S89"/>
  <c r="S88"/>
  <c r="S87"/>
  <c r="S86"/>
  <c r="S85"/>
  <c r="S84"/>
  <c r="S83"/>
  <c r="S82"/>
  <c r="S81"/>
  <c r="S80"/>
  <c r="S79"/>
  <c r="S78"/>
  <c r="S77"/>
  <c r="S76"/>
  <c r="S71"/>
  <c r="S70"/>
  <c r="S69"/>
  <c r="S68"/>
  <c r="S67"/>
  <c r="S66"/>
  <c r="S65"/>
  <c r="S64"/>
  <c r="S63"/>
  <c r="S62"/>
  <c r="S61"/>
  <c r="S60"/>
  <c r="S59"/>
  <c r="S58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S3"/>
  <c r="S2"/>
</calcChain>
</file>

<file path=xl/sharedStrings.xml><?xml version="1.0" encoding="utf-8"?>
<sst xmlns="http://schemas.openxmlformats.org/spreadsheetml/2006/main" count="2351" uniqueCount="34">
  <si>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</si>
  <si>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</si>
  <si>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</si>
  <si>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</si>
  <si>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</si>
  <si>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</si>
  <si>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</si>
  <si>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</si>
  <si>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</si>
  <si>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</si>
  <si>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</si>
  <si>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</si>
  <si>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</si>
  <si>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</si>
  <si>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</si>
  <si>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</si>
  <si>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</si>
  <si>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</si>
  <si>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</si>
  <si>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</si>
  <si>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</si>
  <si>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</si>
  <si>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</si>
  <si>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</si>
  <si>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</si>
  <si>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</si>
  <si>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</si>
  <si>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</si>
  <si>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</si>
  <si>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Modelo</t>
  </si>
  <si>
    <t>%Dif</t>
  </si>
  <si>
    <t>Produccion</t>
  </si>
  <si>
    <t>Tallos/m2</t>
  </si>
  <si>
    <t>Bloque&amp;Varid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</si>
</sst>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64" formatCode="_ * #,##0_ ;_ * \-#,##0_ ;_ * &quot;-&quot;??_ ;_ @_ "/>
    <numFmt numFmtId="165" formatCode="_ * #,##0.00000_ ;_ * \-#,##0.00000_ ;_ * &quot;-&quot;??_ ;_ @_ "/>
    <numFmt numFmtId="166" formatCode="_ * #,##0.000_ ;_ * \-#,##0.000_ ;_ * &quot;-&quot;??_ ;_ @_ 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0" fillId="0" borderId="1" xfId="0" applyBorder="1"/>
    <xf numFmtId="3" fontId="0" fillId="0" borderId="1" xfId="0" applyNumberFormat="1" applyBorder="1"/>
    <xf numFmtId="0" fontId="0" fillId="0" borderId="0" xfId="1" applyNumberFormat="1" applyFont="1"/>
    <xf numFmtId="0" fontId="2" fillId="0" borderId="1" xfId="1" applyNumberFormat="1" applyFont="1" applyBorder="1"/>
    <xf numFmtId="0" fontId="0" fillId="0" borderId="1" xfId="1" applyNumberFormat="1" applyFont="1" applyBorder="1"/>
    <xf numFmtId="1" fontId="0" fillId="0" borderId="0" xfId="0" applyNumberFormat="1"/>
    <xf numFmtId="43" fontId="0" fillId="0" borderId="0" xfId="1" applyNumberFormat="1" applyFont="1"/>
    <xf numFmtId="165" fontId="0" fillId="0" borderId="0" xfId="1" applyNumberFormat="1" applyFont="1"/>
    <xf numFmtId="43" fontId="0" fillId="2" borderId="0" xfId="1" applyNumberFormat="1" applyFont="1" applyFill="1"/>
    <xf numFmtId="164" fontId="2" fillId="0" borderId="0" xfId="1" applyNumberFormat="1" applyFont="1" applyBorder="1"/>
    <xf numFmtId="164" fontId="0" fillId="0" borderId="0" xfId="1" applyNumberFormat="1" applyFont="1" applyBorder="1"/>
    <xf numFmtId="166" fontId="0" fillId="0" borderId="0" xfId="1" applyNumberFormat="1" applyFont="1" applyBorder="1"/>
    <xf numFmtId="166" fontId="0" fillId="0" borderId="0" xfId="1" applyNumberFormat="1" applyFont="1"/>
    <xf numFmtId="164" fontId="2" fillId="0" borderId="1" xfId="1" applyNumberFormat="1" applyFont="1" applyBorder="1" applyAlignment="1"/>
    <xf numFmtId="164" fontId="0" fillId="0" borderId="1" xfId="1" applyNumberFormat="1" applyFont="1" applyBorder="1" applyAlignment="1"/>
    <xf numFmtId="0" fontId="0" fillId="0" borderId="1" xfId="0" applyBorder="1" applyAlignment="1"/>
    <xf numFmtId="164" fontId="0" fillId="0" borderId="0" xfId="1" applyNumberFormat="1" applyFont="1" applyAlignment="1"/>
    <xf numFmtId="164" fontId="0" fillId="0" borderId="1" xfId="1" applyNumberFormat="1" applyFont="1" applyBorder="1" applyAlignment="1">
      <alignment horizontal="left"/>
    </xf>
    <xf numFmtId="164" fontId="0" fillId="3" borderId="1" xfId="1" applyNumberFormat="1" applyFont="1" applyFill="1" applyBorder="1"/>
    <xf numFmtId="0" fontId="0" fillId="0" borderId="0" xfId="0" applyAlignment="1">
      <alignment wrapText="1"/>
    </xf>
    <xf numFmtId="0" fontId="0" fillId="3" borderId="0" xfId="0" applyFill="1" applyAlignment="1">
      <alignment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T584"/>
  <sheetViews>
    <sheetView tabSelected="1" workbookViewId="0">
      <pane xSplit="1" ySplit="1" topLeftCell="B565" activePane="bottomRight" state="frozen"/>
      <selection pane="topRight" activeCell="E1" sqref="E1"/>
      <selection pane="bottomLeft" activeCell="A3" sqref="A3"/>
      <selection pane="bottomRight" activeCell="S581" sqref="S581"/>
    </sheetView>
  </sheetViews>
  <sheetFormatPr baseColWidth="10" defaultColWidth="11.375" defaultRowHeight="14.25"/>
  <cols>
    <col min="1" max="1" width="9" style="7" bestFit="1" customWidth="1"/>
    <col min="2" max="2" width="10.625" style="21" bestFit="1" customWidth="1"/>
    <col min="3" max="3" width="11.25" style="2" bestFit="1" customWidth="1"/>
    <col min="4" max="4" width="13.125" style="2" bestFit="1" customWidth="1"/>
    <col min="5" max="5" width="9.375" style="2" bestFit="1" customWidth="1"/>
    <col min="6" max="6" width="14.625" style="2" bestFit="1" customWidth="1"/>
    <col min="7" max="7" width="14.625" style="2" customWidth="1"/>
    <col min="8" max="8" width="14.875" style="2" bestFit="1" customWidth="1"/>
    <col min="9" max="9" width="14" style="2" hidden="1" customWidth="1"/>
    <col min="10" max="10" width="13.125" style="2" hidden="1" customWidth="1"/>
    <col min="11" max="11" width="14.625" style="2" bestFit="1" customWidth="1"/>
    <col min="12" max="12" width="10.125" style="2" bestFit="1" customWidth="1"/>
    <col min="13" max="15" width="7.875" style="2" hidden="1" customWidth="1"/>
    <col min="16" max="16" width="8.625" style="2" hidden="1" customWidth="1"/>
    <col min="17" max="17" width="8.625" style="2" customWidth="1"/>
    <col min="18" max="16384" width="11.375" style="2"/>
  </cols>
  <sheetData>
    <row r="1" spans="1:19" ht="15">
      <c r="A1" s="8" t="s">
        <v>0</v>
      </c>
      <c r="B1" s="1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33</v>
      </c>
      <c r="H1" s="1" t="s">
        <v>31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4" t="s">
        <v>32</v>
      </c>
      <c r="R1" s="2" t="s">
        <v>29</v>
      </c>
      <c r="S1" s="2" t="s">
        <v>30</v>
      </c>
    </row>
    <row r="2" spans="1:19" hidden="1">
      <c r="A2" s="9">
        <v>2025</v>
      </c>
      <c r="B2" s="19">
        <v>1</v>
      </c>
      <c r="C2" s="3" t="s">
        <v>18</v>
      </c>
      <c r="D2" s="3" t="s">
        <v>15</v>
      </c>
      <c r="E2" s="3" t="s">
        <v>26</v>
      </c>
      <c r="F2" s="3" t="s">
        <v>27</v>
      </c>
      <c r="G2" s="3" t="str">
        <f>+E2&amp;F2</f>
        <v>028COTOPAXI</v>
      </c>
      <c r="H2" s="3">
        <v>5370</v>
      </c>
      <c r="I2" s="3">
        <v>7983</v>
      </c>
      <c r="J2" s="3">
        <v>9002</v>
      </c>
      <c r="K2" s="3">
        <v>2852.5250000000001</v>
      </c>
      <c r="L2" s="3">
        <v>20800</v>
      </c>
      <c r="M2" s="3">
        <v>14</v>
      </c>
      <c r="N2" s="3">
        <v>14.926896551724157</v>
      </c>
      <c r="O2" s="3">
        <v>15.150114942528749</v>
      </c>
      <c r="P2" s="3">
        <v>14.717701149425297</v>
      </c>
      <c r="Q2" s="15">
        <f>+H2/K2</f>
        <v>1.8825426595735357</v>
      </c>
      <c r="R2" s="10">
        <v>5629.0052515447378</v>
      </c>
      <c r="S2" s="12">
        <f>+(H2-R2)/H2</f>
        <v>-4.8231890418014491E-2</v>
      </c>
    </row>
    <row r="3" spans="1:19" hidden="1">
      <c r="A3" s="9">
        <v>2025</v>
      </c>
      <c r="B3" s="19">
        <v>2</v>
      </c>
      <c r="C3" s="3" t="s">
        <v>18</v>
      </c>
      <c r="D3" s="3" t="s">
        <v>15</v>
      </c>
      <c r="E3" s="3" t="s">
        <v>26</v>
      </c>
      <c r="F3" s="3" t="s">
        <v>27</v>
      </c>
      <c r="G3" s="3" t="str">
        <f t="shared" ref="G3:G66" si="0">+E3&amp;F3</f>
        <v>028COTOPAXI</v>
      </c>
      <c r="H3" s="3">
        <v>4200</v>
      </c>
      <c r="I3" s="3">
        <v>7056</v>
      </c>
      <c r="J3" s="3">
        <v>8252</v>
      </c>
      <c r="K3" s="3">
        <v>2852.5250000000001</v>
      </c>
      <c r="L3" s="3">
        <v>20800</v>
      </c>
      <c r="M3" s="3">
        <v>14</v>
      </c>
      <c r="N3" s="3">
        <v>15.117031249999988</v>
      </c>
      <c r="O3" s="3">
        <v>15.357656249999996</v>
      </c>
      <c r="P3" s="3">
        <v>14.884374999999986</v>
      </c>
      <c r="Q3" s="16">
        <f t="shared" ref="Q3:Q66" si="1">+H3/K3</f>
        <v>1.4723797337446647</v>
      </c>
      <c r="R3" s="10">
        <v>3208.5329933805001</v>
      </c>
      <c r="S3" s="12">
        <f t="shared" ref="S3:S66" si="2">+(H3-R3)/H3</f>
        <v>0.23606357300464284</v>
      </c>
    </row>
    <row r="4" spans="1:19" hidden="1">
      <c r="A4" s="9">
        <v>2025</v>
      </c>
      <c r="B4" s="19">
        <v>3</v>
      </c>
      <c r="C4" s="3" t="s">
        <v>18</v>
      </c>
      <c r="D4" s="3" t="s">
        <v>15</v>
      </c>
      <c r="E4" s="3" t="s">
        <v>26</v>
      </c>
      <c r="F4" s="3" t="s">
        <v>27</v>
      </c>
      <c r="G4" s="3" t="str">
        <f t="shared" si="0"/>
        <v>028COTOPAXI</v>
      </c>
      <c r="H4" s="3">
        <v>4470</v>
      </c>
      <c r="I4" s="3">
        <v>7782</v>
      </c>
      <c r="J4" s="3">
        <v>7373</v>
      </c>
      <c r="K4" s="3">
        <v>2852.5250000000001</v>
      </c>
      <c r="L4" s="3">
        <v>20800</v>
      </c>
      <c r="M4" s="3">
        <v>14</v>
      </c>
      <c r="N4" s="3">
        <v>14.559689922480603</v>
      </c>
      <c r="O4" s="3">
        <v>14.791627906976728</v>
      </c>
      <c r="P4" s="3">
        <v>14.336744186046507</v>
      </c>
      <c r="Q4" s="16">
        <f t="shared" si="1"/>
        <v>1.5670327166282503</v>
      </c>
      <c r="R4" s="10">
        <v>4679.6918131233633</v>
      </c>
      <c r="S4" s="12">
        <f t="shared" si="2"/>
        <v>-4.6910920161826249E-2</v>
      </c>
    </row>
    <row r="5" spans="1:19" hidden="1">
      <c r="A5" s="9">
        <v>2025</v>
      </c>
      <c r="B5" s="19">
        <v>4</v>
      </c>
      <c r="C5" s="3" t="s">
        <v>18</v>
      </c>
      <c r="D5" s="3" t="s">
        <v>15</v>
      </c>
      <c r="E5" s="3" t="s">
        <v>26</v>
      </c>
      <c r="F5" s="3" t="s">
        <v>27</v>
      </c>
      <c r="G5" s="3" t="str">
        <f t="shared" si="0"/>
        <v>028COTOPAXI</v>
      </c>
      <c r="H5" s="3">
        <v>9510</v>
      </c>
      <c r="I5" s="3">
        <v>9264</v>
      </c>
      <c r="J5" s="3">
        <v>9254</v>
      </c>
      <c r="K5" s="3">
        <v>2852.5250000000001</v>
      </c>
      <c r="L5" s="3">
        <v>20800</v>
      </c>
      <c r="M5" s="3">
        <v>14</v>
      </c>
      <c r="N5" s="3">
        <v>14.620404984423683</v>
      </c>
      <c r="O5" s="3">
        <v>14.90529595015577</v>
      </c>
      <c r="P5" s="3">
        <v>14.333644859813107</v>
      </c>
      <c r="Q5" s="16">
        <f t="shared" si="1"/>
        <v>3.3338883971218483</v>
      </c>
      <c r="R5" s="10">
        <v>8374.4860597207316</v>
      </c>
      <c r="S5" s="12">
        <f t="shared" si="2"/>
        <v>0.11940209676963916</v>
      </c>
    </row>
    <row r="6" spans="1:19" hidden="1">
      <c r="A6" s="9">
        <v>2025</v>
      </c>
      <c r="B6" s="19">
        <v>5</v>
      </c>
      <c r="C6" s="3" t="s">
        <v>18</v>
      </c>
      <c r="D6" s="3" t="s">
        <v>15</v>
      </c>
      <c r="E6" s="3" t="s">
        <v>26</v>
      </c>
      <c r="F6" s="3" t="s">
        <v>27</v>
      </c>
      <c r="G6" s="3" t="str">
        <f t="shared" si="0"/>
        <v>028COTOPAXI</v>
      </c>
      <c r="H6" s="3">
        <v>9720</v>
      </c>
      <c r="I6" s="3">
        <v>14358</v>
      </c>
      <c r="J6" s="3">
        <v>12746</v>
      </c>
      <c r="K6" s="3">
        <v>2852.5250000000001</v>
      </c>
      <c r="L6" s="3">
        <v>20800</v>
      </c>
      <c r="M6" s="3">
        <v>14</v>
      </c>
      <c r="N6" s="3">
        <v>15.759968602825738</v>
      </c>
      <c r="O6" s="3">
        <v>16.024332810047081</v>
      </c>
      <c r="P6" s="3">
        <v>15.492935635792767</v>
      </c>
      <c r="Q6" s="16">
        <f t="shared" si="1"/>
        <v>3.4075073838090812</v>
      </c>
      <c r="R6" s="10">
        <v>4773.4570540408167</v>
      </c>
      <c r="S6" s="12">
        <f t="shared" si="2"/>
        <v>0.50890359526329043</v>
      </c>
    </row>
    <row r="7" spans="1:19" hidden="1">
      <c r="A7" s="9">
        <v>2025</v>
      </c>
      <c r="B7" s="19">
        <v>6</v>
      </c>
      <c r="C7" s="3" t="s">
        <v>18</v>
      </c>
      <c r="D7" s="3" t="s">
        <v>15</v>
      </c>
      <c r="E7" s="3" t="s">
        <v>26</v>
      </c>
      <c r="F7" s="3" t="s">
        <v>27</v>
      </c>
      <c r="G7" s="3" t="str">
        <f t="shared" si="0"/>
        <v>028COTOPAXI</v>
      </c>
      <c r="H7" s="3">
        <v>7320</v>
      </c>
      <c r="I7" s="3">
        <v>7519</v>
      </c>
      <c r="J7" s="3">
        <v>8354</v>
      </c>
      <c r="K7" s="3">
        <v>2852.5250000000001</v>
      </c>
      <c r="L7" s="3">
        <v>20800</v>
      </c>
      <c r="M7" s="3">
        <v>14</v>
      </c>
      <c r="N7" s="3">
        <v>14.483252032520339</v>
      </c>
      <c r="O7" s="3">
        <v>14.696910569105704</v>
      </c>
      <c r="P7" s="3">
        <v>14.273333333333341</v>
      </c>
      <c r="Q7" s="16">
        <f t="shared" si="1"/>
        <v>2.566147535954987</v>
      </c>
      <c r="R7" s="10">
        <v>7232.1790811119554</v>
      </c>
      <c r="S7" s="12">
        <f t="shared" si="2"/>
        <v>1.1997393290716477E-2</v>
      </c>
    </row>
    <row r="8" spans="1:19" hidden="1">
      <c r="A8" s="9">
        <v>2025</v>
      </c>
      <c r="B8" s="19">
        <v>7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3">
        <v>3900</v>
      </c>
      <c r="I8" s="3">
        <v>5242</v>
      </c>
      <c r="J8" s="3">
        <v>4887</v>
      </c>
      <c r="K8" s="3">
        <v>2852.5250000000001</v>
      </c>
      <c r="L8" s="3">
        <v>20800</v>
      </c>
      <c r="M8" s="3">
        <v>14</v>
      </c>
      <c r="N8" s="3">
        <v>13.801155115511554</v>
      </c>
      <c r="O8" s="3">
        <v>14.032838283828401</v>
      </c>
      <c r="P8" s="3">
        <v>13.571947194719476</v>
      </c>
      <c r="Q8" s="16">
        <f t="shared" si="1"/>
        <v>1.367209752762903</v>
      </c>
      <c r="R8" s="10">
        <v>3827.899602174055</v>
      </c>
      <c r="S8" s="12">
        <f t="shared" si="2"/>
        <v>1.848728149383206E-2</v>
      </c>
    </row>
    <row r="9" spans="1:19" hidden="1">
      <c r="A9" s="9">
        <v>2025</v>
      </c>
      <c r="B9" s="19">
        <v>8</v>
      </c>
      <c r="C9" s="3" t="s">
        <v>18</v>
      </c>
      <c r="D9" s="3" t="s">
        <v>15</v>
      </c>
      <c r="E9" s="3" t="s">
        <v>26</v>
      </c>
      <c r="F9" s="3" t="s">
        <v>27</v>
      </c>
      <c r="G9" s="3" t="str">
        <f t="shared" si="0"/>
        <v>028COTOPAXI</v>
      </c>
      <c r="H9" s="3">
        <v>2850</v>
      </c>
      <c r="I9" s="3">
        <v>5283</v>
      </c>
      <c r="J9" s="3">
        <v>4878</v>
      </c>
      <c r="K9" s="3">
        <v>2852.5250000000001</v>
      </c>
      <c r="L9" s="3">
        <v>20800</v>
      </c>
      <c r="M9" s="3">
        <v>14</v>
      </c>
      <c r="N9" s="3">
        <v>14.886996336996331</v>
      </c>
      <c r="O9" s="3">
        <v>15.080952380952363</v>
      </c>
      <c r="P9" s="3">
        <v>14.693406593406582</v>
      </c>
      <c r="Q9" s="16">
        <f t="shared" si="1"/>
        <v>0.99911481932673685</v>
      </c>
      <c r="R9" s="10">
        <v>2919.5390483586052</v>
      </c>
      <c r="S9" s="12">
        <f t="shared" si="2"/>
        <v>-2.439966609073867E-2</v>
      </c>
    </row>
    <row r="10" spans="1:19" hidden="1">
      <c r="A10" s="9">
        <v>2025</v>
      </c>
      <c r="B10" s="19">
        <v>9</v>
      </c>
      <c r="C10" s="3" t="s">
        <v>18</v>
      </c>
      <c r="D10" s="3" t="s">
        <v>15</v>
      </c>
      <c r="E10" s="3" t="s">
        <v>26</v>
      </c>
      <c r="F10" s="3" t="s">
        <v>27</v>
      </c>
      <c r="G10" s="3" t="str">
        <f t="shared" si="0"/>
        <v>028COTOPAXI</v>
      </c>
      <c r="H10" s="3">
        <v>5130</v>
      </c>
      <c r="I10" s="3">
        <v>5401</v>
      </c>
      <c r="J10" s="3">
        <v>5441</v>
      </c>
      <c r="K10" s="3">
        <v>2852.5250000000001</v>
      </c>
      <c r="L10" s="3">
        <v>20800</v>
      </c>
      <c r="M10" s="3">
        <v>14</v>
      </c>
      <c r="N10" s="3">
        <v>14.097372742200333</v>
      </c>
      <c r="O10" s="3">
        <v>14.333333333333339</v>
      </c>
      <c r="P10" s="3">
        <v>13.866009852216745</v>
      </c>
      <c r="Q10" s="16">
        <f t="shared" si="1"/>
        <v>1.7984066747881262</v>
      </c>
      <c r="R10" s="10">
        <v>5364.5736529153319</v>
      </c>
      <c r="S10" s="12">
        <f t="shared" si="2"/>
        <v>-4.572585826809588E-2</v>
      </c>
    </row>
    <row r="11" spans="1:19" hidden="1">
      <c r="A11" s="9">
        <v>2025</v>
      </c>
      <c r="B11" s="19">
        <v>10</v>
      </c>
      <c r="C11" s="3" t="s">
        <v>18</v>
      </c>
      <c r="D11" s="3" t="s">
        <v>15</v>
      </c>
      <c r="E11" s="3" t="s">
        <v>26</v>
      </c>
      <c r="F11" s="3" t="s">
        <v>27</v>
      </c>
      <c r="G11" s="3" t="str">
        <f t="shared" si="0"/>
        <v>028COTOPAXI</v>
      </c>
      <c r="H11" s="3">
        <v>4980</v>
      </c>
      <c r="I11" s="3">
        <v>5190</v>
      </c>
      <c r="J11" s="3">
        <v>5652</v>
      </c>
      <c r="K11" s="3">
        <v>2852.5250000000001</v>
      </c>
      <c r="L11" s="3">
        <v>20800</v>
      </c>
      <c r="M11" s="3">
        <v>14</v>
      </c>
      <c r="N11" s="3">
        <v>14.862558502340111</v>
      </c>
      <c r="O11" s="3">
        <v>15.090171606864288</v>
      </c>
      <c r="P11" s="3">
        <v>14.637597503900155</v>
      </c>
      <c r="Q11" s="16">
        <f t="shared" si="1"/>
        <v>1.7458216842972454</v>
      </c>
      <c r="R11" s="10">
        <v>5261.2982550630331</v>
      </c>
      <c r="S11" s="12">
        <f t="shared" si="2"/>
        <v>-5.648559338615123E-2</v>
      </c>
    </row>
    <row r="12" spans="1:19" hidden="1">
      <c r="A12" s="9">
        <v>2025</v>
      </c>
      <c r="B12" s="19">
        <v>11</v>
      </c>
      <c r="C12" s="3" t="s">
        <v>18</v>
      </c>
      <c r="D12" s="3" t="s">
        <v>15</v>
      </c>
      <c r="E12" s="3" t="s">
        <v>26</v>
      </c>
      <c r="F12" s="3" t="s">
        <v>27</v>
      </c>
      <c r="G12" s="3" t="str">
        <f t="shared" si="0"/>
        <v>028COTOPAXI</v>
      </c>
      <c r="H12" s="3">
        <v>4440</v>
      </c>
      <c r="I12" s="3">
        <v>6325</v>
      </c>
      <c r="J12" s="3">
        <v>5278</v>
      </c>
      <c r="K12" s="3">
        <v>2852.5250000000001</v>
      </c>
      <c r="L12" s="3">
        <v>20800</v>
      </c>
      <c r="M12" s="3">
        <v>14</v>
      </c>
      <c r="N12" s="3">
        <v>13.730322580645163</v>
      </c>
      <c r="O12" s="3">
        <v>13.974354838709669</v>
      </c>
      <c r="P12" s="3">
        <v>13.489193548387098</v>
      </c>
      <c r="Q12" s="16">
        <f t="shared" si="1"/>
        <v>1.5565157185300742</v>
      </c>
      <c r="R12" s="10">
        <v>4689.9699338116789</v>
      </c>
      <c r="S12" s="12">
        <f t="shared" si="2"/>
        <v>-5.6299534642270013E-2</v>
      </c>
    </row>
    <row r="13" spans="1:19" hidden="1">
      <c r="A13" s="9">
        <v>2025</v>
      </c>
      <c r="B13" s="19">
        <v>12</v>
      </c>
      <c r="C13" s="3" t="s">
        <v>18</v>
      </c>
      <c r="D13" s="3" t="s">
        <v>15</v>
      </c>
      <c r="E13" s="3" t="s">
        <v>26</v>
      </c>
      <c r="F13" s="3" t="s">
        <v>27</v>
      </c>
      <c r="G13" s="3" t="str">
        <f t="shared" si="0"/>
        <v>028COTOPAXI</v>
      </c>
      <c r="H13" s="3">
        <v>5880</v>
      </c>
      <c r="I13" s="3">
        <v>5123</v>
      </c>
      <c r="J13" s="3">
        <v>6455</v>
      </c>
      <c r="K13" s="3">
        <v>2852.5250000000001</v>
      </c>
      <c r="L13" s="3">
        <v>20800</v>
      </c>
      <c r="M13" s="3">
        <v>14</v>
      </c>
      <c r="N13" s="3">
        <v>14.314696485623003</v>
      </c>
      <c r="O13" s="3">
        <v>14.549999999999999</v>
      </c>
      <c r="P13" s="3">
        <v>14.083386581469659</v>
      </c>
      <c r="Q13" s="16">
        <f t="shared" si="1"/>
        <v>2.0613316272425308</v>
      </c>
      <c r="R13" s="10">
        <v>6226.5171822602106</v>
      </c>
      <c r="S13" s="12">
        <f t="shared" si="2"/>
        <v>-5.8931493581668465E-2</v>
      </c>
    </row>
    <row r="14" spans="1:19" hidden="1">
      <c r="A14" s="9">
        <v>2025</v>
      </c>
      <c r="B14" s="19">
        <v>13</v>
      </c>
      <c r="C14" s="3" t="s">
        <v>18</v>
      </c>
      <c r="D14" s="3" t="s">
        <v>15</v>
      </c>
      <c r="E14" s="3" t="s">
        <v>26</v>
      </c>
      <c r="F14" s="3" t="s">
        <v>27</v>
      </c>
      <c r="G14" s="3" t="str">
        <f t="shared" si="0"/>
        <v>028COTOPAXI</v>
      </c>
      <c r="H14" s="3">
        <v>6390</v>
      </c>
      <c r="I14" s="3">
        <v>5662</v>
      </c>
      <c r="J14" s="3">
        <v>5760</v>
      </c>
      <c r="K14" s="3">
        <v>2852.5250000000001</v>
      </c>
      <c r="L14" s="3">
        <v>20800</v>
      </c>
      <c r="M14" s="3">
        <v>14</v>
      </c>
      <c r="N14" s="3">
        <v>14.926896551724157</v>
      </c>
      <c r="O14" s="3">
        <v>15.150114942528749</v>
      </c>
      <c r="P14" s="3">
        <v>14.717701149425297</v>
      </c>
      <c r="Q14" s="16">
        <f t="shared" si="1"/>
        <v>2.2401205949115255</v>
      </c>
      <c r="R14" s="10">
        <v>6670.7270437076832</v>
      </c>
      <c r="S14" s="12">
        <f t="shared" si="2"/>
        <v>-4.3932244711687503E-2</v>
      </c>
    </row>
    <row r="15" spans="1:19" hidden="1">
      <c r="A15" s="9">
        <v>2025</v>
      </c>
      <c r="B15" s="19">
        <v>14</v>
      </c>
      <c r="C15" s="3" t="s">
        <v>18</v>
      </c>
      <c r="D15" s="3" t="s">
        <v>15</v>
      </c>
      <c r="E15" s="3" t="s">
        <v>26</v>
      </c>
      <c r="F15" s="3" t="s">
        <v>27</v>
      </c>
      <c r="G15" s="3" t="str">
        <f t="shared" si="0"/>
        <v>028COTOPAXI</v>
      </c>
      <c r="H15" s="3">
        <v>5160</v>
      </c>
      <c r="I15" s="3">
        <v>7437</v>
      </c>
      <c r="J15" s="3">
        <v>6377</v>
      </c>
      <c r="K15" s="3">
        <v>2852.5250000000001</v>
      </c>
      <c r="L15" s="3">
        <v>20800</v>
      </c>
      <c r="M15" s="3">
        <v>14</v>
      </c>
      <c r="N15" s="3">
        <v>15.117031249999988</v>
      </c>
      <c r="O15" s="3">
        <v>15.357656249999996</v>
      </c>
      <c r="P15" s="3">
        <v>14.884374999999986</v>
      </c>
      <c r="Q15" s="16">
        <f t="shared" si="1"/>
        <v>1.8089236728863025</v>
      </c>
      <c r="R15" s="10">
        <v>5401.0596670211626</v>
      </c>
      <c r="S15" s="12">
        <f t="shared" si="2"/>
        <v>-4.6716989732783445E-2</v>
      </c>
    </row>
    <row r="16" spans="1:19" hidden="1">
      <c r="A16" s="9">
        <v>2025</v>
      </c>
      <c r="B16" s="19">
        <v>15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3">
        <v>5370</v>
      </c>
      <c r="I16" s="3">
        <v>7042</v>
      </c>
      <c r="J16" s="3">
        <v>7042</v>
      </c>
      <c r="K16" s="3">
        <v>2852.5250000000001</v>
      </c>
      <c r="L16" s="3">
        <v>20800</v>
      </c>
      <c r="M16" s="3">
        <v>14</v>
      </c>
      <c r="N16" s="3">
        <v>14.559689922480603</v>
      </c>
      <c r="O16" s="3">
        <v>14.791627906976728</v>
      </c>
      <c r="P16" s="3">
        <v>14.336744186046507</v>
      </c>
      <c r="Q16" s="16">
        <f t="shared" si="1"/>
        <v>1.8825426595735357</v>
      </c>
      <c r="R16" s="10">
        <v>5634.9460578760909</v>
      </c>
      <c r="S16" s="12">
        <f t="shared" si="2"/>
        <v>-4.9338185824225493E-2</v>
      </c>
    </row>
    <row r="17" spans="1:19" hidden="1">
      <c r="A17" s="9">
        <v>2025</v>
      </c>
      <c r="B17" s="19">
        <v>16</v>
      </c>
      <c r="C17" s="3" t="s">
        <v>18</v>
      </c>
      <c r="D17" s="3" t="s">
        <v>15</v>
      </c>
      <c r="E17" s="3" t="s">
        <v>26</v>
      </c>
      <c r="F17" s="3" t="s">
        <v>27</v>
      </c>
      <c r="G17" s="3" t="str">
        <f t="shared" si="0"/>
        <v>028COTOPAXI</v>
      </c>
      <c r="H17" s="3">
        <v>4800</v>
      </c>
      <c r="I17" s="3">
        <v>9945</v>
      </c>
      <c r="J17" s="3">
        <v>10469</v>
      </c>
      <c r="K17" s="3">
        <v>2852.5250000000001</v>
      </c>
      <c r="L17" s="3">
        <v>20800</v>
      </c>
      <c r="M17" s="3">
        <v>14</v>
      </c>
      <c r="N17" s="3">
        <v>14.620404984423683</v>
      </c>
      <c r="O17" s="3">
        <v>14.90529595015577</v>
      </c>
      <c r="P17" s="3">
        <v>14.333644859813107</v>
      </c>
      <c r="Q17" s="16">
        <f t="shared" si="1"/>
        <v>1.6827196957081882</v>
      </c>
      <c r="R17" s="10">
        <v>5002.603552661446</v>
      </c>
      <c r="S17" s="12">
        <f t="shared" si="2"/>
        <v>-4.2209073471134576E-2</v>
      </c>
    </row>
    <row r="18" spans="1:19" hidden="1">
      <c r="A18" s="9">
        <v>2025</v>
      </c>
      <c r="B18" s="19">
        <v>17</v>
      </c>
      <c r="C18" s="3" t="s">
        <v>18</v>
      </c>
      <c r="D18" s="3" t="s">
        <v>15</v>
      </c>
      <c r="E18" s="3" t="s">
        <v>26</v>
      </c>
      <c r="F18" s="3" t="s">
        <v>27</v>
      </c>
      <c r="G18" s="3" t="str">
        <f t="shared" si="0"/>
        <v>028COTOPAXI</v>
      </c>
      <c r="H18" s="3">
        <v>3660</v>
      </c>
      <c r="I18" s="3">
        <v>13343</v>
      </c>
      <c r="J18" s="3">
        <v>13343</v>
      </c>
      <c r="K18" s="3">
        <v>2852.5250000000001</v>
      </c>
      <c r="L18" s="3">
        <v>20800</v>
      </c>
      <c r="M18" s="3">
        <v>14</v>
      </c>
      <c r="N18" s="3">
        <v>15.759968602825738</v>
      </c>
      <c r="O18" s="3">
        <v>16.024332810047081</v>
      </c>
      <c r="P18" s="3">
        <v>15.492935635792767</v>
      </c>
      <c r="Q18" s="16">
        <f t="shared" si="1"/>
        <v>1.2830737679774935</v>
      </c>
      <c r="R18" s="10">
        <v>3761.6141730481099</v>
      </c>
      <c r="S18" s="12">
        <f t="shared" si="2"/>
        <v>-2.776343525904643E-2</v>
      </c>
    </row>
    <row r="19" spans="1:19" hidden="1">
      <c r="A19" s="9">
        <v>2025</v>
      </c>
      <c r="B19" s="19">
        <v>18</v>
      </c>
      <c r="C19" s="3" t="s">
        <v>18</v>
      </c>
      <c r="D19" s="3" t="s">
        <v>15</v>
      </c>
      <c r="E19" s="3" t="s">
        <v>26</v>
      </c>
      <c r="F19" s="3" t="s">
        <v>27</v>
      </c>
      <c r="G19" s="3" t="str">
        <f t="shared" si="0"/>
        <v>028COTOPAXI</v>
      </c>
      <c r="H19" s="3">
        <v>7500</v>
      </c>
      <c r="I19" s="3">
        <v>11327</v>
      </c>
      <c r="J19" s="3">
        <v>11327</v>
      </c>
      <c r="K19" s="3">
        <v>2852.5250000000001</v>
      </c>
      <c r="L19" s="3">
        <v>20800</v>
      </c>
      <c r="M19" s="3">
        <v>14</v>
      </c>
      <c r="N19" s="3">
        <v>14.483252032520339</v>
      </c>
      <c r="O19" s="3">
        <v>14.696910569105704</v>
      </c>
      <c r="P19" s="3">
        <v>14.273333333333341</v>
      </c>
      <c r="Q19" s="16">
        <f t="shared" si="1"/>
        <v>2.6292495245440444</v>
      </c>
      <c r="R19" s="10">
        <v>7514.0090057760717</v>
      </c>
      <c r="S19" s="12">
        <f t="shared" si="2"/>
        <v>-1.8678674368095623E-3</v>
      </c>
    </row>
    <row r="20" spans="1:19" hidden="1">
      <c r="A20" s="9">
        <v>2025</v>
      </c>
      <c r="B20" s="19">
        <v>19</v>
      </c>
      <c r="C20" s="3" t="s">
        <v>18</v>
      </c>
      <c r="D20" s="3" t="s">
        <v>15</v>
      </c>
      <c r="E20" s="3" t="s">
        <v>26</v>
      </c>
      <c r="F20" s="3" t="s">
        <v>27</v>
      </c>
      <c r="G20" s="3" t="str">
        <f t="shared" si="0"/>
        <v>028COTOPAXI</v>
      </c>
      <c r="H20" s="3">
        <v>9540</v>
      </c>
      <c r="I20" s="3">
        <v>7476</v>
      </c>
      <c r="J20" s="3">
        <v>6796</v>
      </c>
      <c r="K20" s="3">
        <v>2852.5250000000001</v>
      </c>
      <c r="L20" s="3">
        <v>20800</v>
      </c>
      <c r="M20" s="3">
        <v>14</v>
      </c>
      <c r="N20" s="3">
        <v>13.801155115511554</v>
      </c>
      <c r="O20" s="3">
        <v>14.032838283828401</v>
      </c>
      <c r="P20" s="3">
        <v>13.571947194719476</v>
      </c>
      <c r="Q20" s="16">
        <f t="shared" si="1"/>
        <v>3.3444053952200243</v>
      </c>
      <c r="R20" s="10">
        <v>8915.1175862513937</v>
      </c>
      <c r="S20" s="12">
        <f t="shared" si="2"/>
        <v>6.5501301231510087E-2</v>
      </c>
    </row>
    <row r="21" spans="1:19" hidden="1">
      <c r="A21" s="9">
        <v>2025</v>
      </c>
      <c r="B21" s="19">
        <v>20</v>
      </c>
      <c r="C21" s="3" t="s">
        <v>18</v>
      </c>
      <c r="D21" s="3" t="s">
        <v>15</v>
      </c>
      <c r="E21" s="3" t="s">
        <v>26</v>
      </c>
      <c r="F21" s="3" t="s">
        <v>27</v>
      </c>
      <c r="G21" s="3" t="str">
        <f t="shared" si="0"/>
        <v>028COTOPAXI</v>
      </c>
      <c r="H21" s="3">
        <v>9000</v>
      </c>
      <c r="I21" s="3">
        <v>8505</v>
      </c>
      <c r="J21" s="3">
        <v>7027</v>
      </c>
      <c r="K21" s="3">
        <v>2852.5250000000001</v>
      </c>
      <c r="L21" s="3">
        <v>20800</v>
      </c>
      <c r="M21" s="3">
        <v>14</v>
      </c>
      <c r="N21" s="3">
        <v>14.886996336996331</v>
      </c>
      <c r="O21" s="3">
        <v>15.080952380952363</v>
      </c>
      <c r="P21" s="3">
        <v>14.693406593406582</v>
      </c>
      <c r="Q21" s="16">
        <f t="shared" si="1"/>
        <v>3.1550994294528532</v>
      </c>
      <c r="R21" s="10">
        <v>5081.6170241632944</v>
      </c>
      <c r="S21" s="12">
        <f t="shared" si="2"/>
        <v>0.43537588620407841</v>
      </c>
    </row>
    <row r="22" spans="1:19" hidden="1">
      <c r="A22" s="9">
        <v>2025</v>
      </c>
      <c r="B22" s="19">
        <v>21</v>
      </c>
      <c r="C22" s="3" t="s">
        <v>18</v>
      </c>
      <c r="D22" s="3" t="s">
        <v>15</v>
      </c>
      <c r="E22" s="3" t="s">
        <v>26</v>
      </c>
      <c r="F22" s="3" t="s">
        <v>27</v>
      </c>
      <c r="G22" s="3" t="str">
        <f t="shared" si="0"/>
        <v>028COTOPAXI</v>
      </c>
      <c r="H22" s="3">
        <v>8250</v>
      </c>
      <c r="I22" s="3">
        <v>8421</v>
      </c>
      <c r="J22" s="3">
        <v>8240</v>
      </c>
      <c r="K22" s="3">
        <v>2852.5250000000001</v>
      </c>
      <c r="L22" s="3">
        <v>20800</v>
      </c>
      <c r="M22" s="3">
        <v>14</v>
      </c>
      <c r="N22" s="3">
        <v>14.097372742200333</v>
      </c>
      <c r="O22" s="3">
        <v>14.333333333333339</v>
      </c>
      <c r="P22" s="3">
        <v>13.866009852216745</v>
      </c>
      <c r="Q22" s="16">
        <f t="shared" si="1"/>
        <v>2.8921744769984485</v>
      </c>
      <c r="R22" s="10">
        <v>7848.2547172752229</v>
      </c>
      <c r="S22" s="12">
        <f t="shared" si="2"/>
        <v>4.8696397906033591E-2</v>
      </c>
    </row>
    <row r="23" spans="1:19" hidden="1">
      <c r="A23" s="9">
        <v>2025</v>
      </c>
      <c r="B23" s="19">
        <v>22</v>
      </c>
      <c r="C23" s="3" t="s">
        <v>18</v>
      </c>
      <c r="D23" s="3" t="s">
        <v>15</v>
      </c>
      <c r="E23" s="3" t="s">
        <v>26</v>
      </c>
      <c r="F23" s="3" t="s">
        <v>27</v>
      </c>
      <c r="G23" s="3" t="str">
        <f t="shared" si="0"/>
        <v>028COTOPAXI</v>
      </c>
      <c r="H23" s="3">
        <v>7050</v>
      </c>
      <c r="I23" s="3">
        <v>8043</v>
      </c>
      <c r="J23" s="3">
        <v>7526</v>
      </c>
      <c r="K23" s="3">
        <v>2852.5250000000001</v>
      </c>
      <c r="L23" s="3">
        <v>20800</v>
      </c>
      <c r="M23" s="3">
        <v>14</v>
      </c>
      <c r="N23" s="3">
        <v>14.862558502340111</v>
      </c>
      <c r="O23" s="3">
        <v>15.090171606864288</v>
      </c>
      <c r="P23" s="3">
        <v>14.637597503900155</v>
      </c>
      <c r="Q23" s="16">
        <f t="shared" si="1"/>
        <v>2.4714945530714014</v>
      </c>
      <c r="R23" s="10">
        <v>7472.6543093639193</v>
      </c>
      <c r="S23" s="12">
        <f t="shared" si="2"/>
        <v>-5.9950965867222594E-2</v>
      </c>
    </row>
    <row r="24" spans="1:19" hidden="1">
      <c r="A24" s="9">
        <v>2025</v>
      </c>
      <c r="B24" s="19">
        <v>23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3">
        <v>3630</v>
      </c>
      <c r="I24" s="3">
        <v>6983</v>
      </c>
      <c r="J24" s="3">
        <v>6983</v>
      </c>
      <c r="K24" s="3">
        <v>2852.5250000000001</v>
      </c>
      <c r="L24" s="3">
        <v>20800</v>
      </c>
      <c r="M24" s="3">
        <v>14</v>
      </c>
      <c r="N24" s="3">
        <v>13.730322580645163</v>
      </c>
      <c r="O24" s="3">
        <v>13.974354838709669</v>
      </c>
      <c r="P24" s="3">
        <v>13.489193548387098</v>
      </c>
      <c r="Q24" s="16">
        <f t="shared" si="1"/>
        <v>1.2725567698793174</v>
      </c>
      <c r="R24" s="10">
        <v>3770.5017244668288</v>
      </c>
      <c r="S24" s="12">
        <f t="shared" si="2"/>
        <v>-3.8705709219512073E-2</v>
      </c>
    </row>
    <row r="25" spans="1:19" hidden="1">
      <c r="A25" s="9">
        <v>2025</v>
      </c>
      <c r="B25" s="19">
        <v>24</v>
      </c>
      <c r="C25" s="3" t="s">
        <v>18</v>
      </c>
      <c r="D25" s="3" t="s">
        <v>15</v>
      </c>
      <c r="E25" s="3" t="s">
        <v>26</v>
      </c>
      <c r="F25" s="3" t="s">
        <v>27</v>
      </c>
      <c r="G25" s="3" t="str">
        <f t="shared" si="0"/>
        <v>028COTOPAXI</v>
      </c>
      <c r="H25" s="3">
        <v>3540</v>
      </c>
      <c r="I25" s="3">
        <v>5303</v>
      </c>
      <c r="J25" s="3">
        <v>8605</v>
      </c>
      <c r="K25" s="3">
        <v>2852.5250000000001</v>
      </c>
      <c r="L25" s="3">
        <v>20800</v>
      </c>
      <c r="M25" s="3">
        <v>14</v>
      </c>
      <c r="N25" s="3">
        <v>14.314696485623003</v>
      </c>
      <c r="O25" s="3">
        <v>14.549999999999999</v>
      </c>
      <c r="P25" s="3">
        <v>14.083386581469659</v>
      </c>
      <c r="Q25" s="16">
        <f t="shared" si="1"/>
        <v>1.241005775584789</v>
      </c>
      <c r="R25" s="10">
        <v>3693.054939728971</v>
      </c>
      <c r="S25" s="12">
        <f t="shared" si="2"/>
        <v>-4.323585868050029E-2</v>
      </c>
    </row>
    <row r="26" spans="1:19" hidden="1">
      <c r="A26" s="9">
        <v>2025</v>
      </c>
      <c r="B26" s="19">
        <v>25</v>
      </c>
      <c r="C26" s="3" t="s">
        <v>18</v>
      </c>
      <c r="D26" s="3" t="s">
        <v>15</v>
      </c>
      <c r="E26" s="3" t="s">
        <v>26</v>
      </c>
      <c r="F26" s="3" t="s">
        <v>27</v>
      </c>
      <c r="G26" s="3" t="str">
        <f t="shared" si="0"/>
        <v>028COTOPAXI</v>
      </c>
      <c r="H26" s="3">
        <v>2910</v>
      </c>
      <c r="I26" s="3">
        <v>5127</v>
      </c>
      <c r="J26" s="3">
        <v>5127</v>
      </c>
      <c r="K26" s="3">
        <v>2852.5250000000001</v>
      </c>
      <c r="L26" s="3">
        <v>20800</v>
      </c>
      <c r="M26" s="3">
        <v>14</v>
      </c>
      <c r="N26" s="3">
        <v>13.355342902711323</v>
      </c>
      <c r="O26" s="3">
        <v>13.582615629984048</v>
      </c>
      <c r="P26" s="3">
        <v>13.129505582137151</v>
      </c>
      <c r="Q26" s="16">
        <f t="shared" si="1"/>
        <v>1.0201488155230891</v>
      </c>
      <c r="R26" s="10">
        <v>2961.5550443882989</v>
      </c>
      <c r="S26" s="12">
        <f t="shared" si="2"/>
        <v>-1.7716510099071801E-2</v>
      </c>
    </row>
    <row r="27" spans="1:19" hidden="1">
      <c r="A27" s="9">
        <v>2025</v>
      </c>
      <c r="B27" s="19">
        <v>26</v>
      </c>
      <c r="C27" s="3" t="s">
        <v>18</v>
      </c>
      <c r="D27" s="3" t="s">
        <v>15</v>
      </c>
      <c r="E27" s="3" t="s">
        <v>26</v>
      </c>
      <c r="F27" s="3" t="s">
        <v>27</v>
      </c>
      <c r="G27" s="3" t="str">
        <f t="shared" si="0"/>
        <v>028COTOPAXI</v>
      </c>
      <c r="H27" s="3">
        <v>2670</v>
      </c>
      <c r="I27" s="3">
        <v>5050</v>
      </c>
      <c r="J27" s="3">
        <v>9163</v>
      </c>
      <c r="K27" s="3">
        <v>2852.5250000000001</v>
      </c>
      <c r="L27" s="3">
        <v>20800</v>
      </c>
      <c r="M27" s="3">
        <v>14</v>
      </c>
      <c r="N27" s="3">
        <v>13.694453248811422</v>
      </c>
      <c r="O27" s="3">
        <v>13.929160063391446</v>
      </c>
      <c r="P27" s="3">
        <v>13.455467511885894</v>
      </c>
      <c r="Q27" s="16">
        <f t="shared" si="1"/>
        <v>0.93601283073767971</v>
      </c>
      <c r="R27" s="10">
        <v>2846.3341946143591</v>
      </c>
      <c r="S27" s="12">
        <f t="shared" si="2"/>
        <v>-6.6042769518486574E-2</v>
      </c>
    </row>
    <row r="28" spans="1:19" hidden="1">
      <c r="A28" s="9">
        <v>2025</v>
      </c>
      <c r="B28" s="19">
        <v>27</v>
      </c>
      <c r="C28" s="3" t="s">
        <v>18</v>
      </c>
      <c r="D28" s="3" t="s">
        <v>15</v>
      </c>
      <c r="E28" s="3" t="s">
        <v>26</v>
      </c>
      <c r="F28" s="3" t="s">
        <v>27</v>
      </c>
      <c r="G28" s="3" t="str">
        <f t="shared" si="0"/>
        <v>028COTOPAXI</v>
      </c>
      <c r="H28" s="3">
        <v>4800</v>
      </c>
      <c r="I28" s="3">
        <v>3150</v>
      </c>
      <c r="J28" s="3">
        <v>4883</v>
      </c>
      <c r="K28" s="3">
        <v>2852.5250000000001</v>
      </c>
      <c r="L28" s="3">
        <v>20800</v>
      </c>
      <c r="M28" s="3">
        <v>14</v>
      </c>
      <c r="N28" s="3">
        <v>13.246116504854371</v>
      </c>
      <c r="O28" s="3">
        <v>13.484142394822005</v>
      </c>
      <c r="P28" s="3">
        <v>13.012297734627845</v>
      </c>
      <c r="Q28" s="16">
        <f t="shared" si="1"/>
        <v>1.6827196957081882</v>
      </c>
      <c r="R28" s="10">
        <v>5005.3636617976936</v>
      </c>
      <c r="S28" s="12">
        <f t="shared" si="2"/>
        <v>-4.2784096207852826E-2</v>
      </c>
    </row>
    <row r="29" spans="1:19" hidden="1">
      <c r="A29" s="9">
        <v>2025</v>
      </c>
      <c r="B29" s="19">
        <v>28</v>
      </c>
      <c r="C29" s="3" t="s">
        <v>18</v>
      </c>
      <c r="D29" s="3" t="s">
        <v>15</v>
      </c>
      <c r="E29" s="3" t="s">
        <v>26</v>
      </c>
      <c r="F29" s="3" t="s">
        <v>27</v>
      </c>
      <c r="G29" s="3" t="str">
        <f t="shared" si="0"/>
        <v>028COTOPAXI</v>
      </c>
      <c r="H29" s="3">
        <v>3750</v>
      </c>
      <c r="I29" s="3">
        <v>4745</v>
      </c>
      <c r="J29" s="3">
        <v>3360</v>
      </c>
      <c r="K29" s="3">
        <v>2852.5250000000001</v>
      </c>
      <c r="L29" s="3">
        <v>20800</v>
      </c>
      <c r="M29" s="3">
        <v>14</v>
      </c>
      <c r="N29" s="3">
        <v>13.238155802861698</v>
      </c>
      <c r="O29" s="3">
        <v>13.458664546899842</v>
      </c>
      <c r="P29" s="3">
        <v>13.014467408585055</v>
      </c>
      <c r="Q29" s="16">
        <f t="shared" si="1"/>
        <v>1.3146247622720222</v>
      </c>
      <c r="R29" s="10">
        <v>3909.8361644402098</v>
      </c>
      <c r="S29" s="12">
        <f t="shared" si="2"/>
        <v>-4.262297718405595E-2</v>
      </c>
    </row>
    <row r="30" spans="1:19" hidden="1">
      <c r="A30" s="9">
        <v>2025</v>
      </c>
      <c r="B30" s="19">
        <v>29</v>
      </c>
      <c r="C30" s="3" t="s">
        <v>18</v>
      </c>
      <c r="D30" s="3" t="s">
        <v>15</v>
      </c>
      <c r="E30" s="3" t="s">
        <v>26</v>
      </c>
      <c r="F30" s="3" t="s">
        <v>27</v>
      </c>
      <c r="G30" s="3" t="str">
        <f t="shared" si="0"/>
        <v>028COTOPAXI</v>
      </c>
      <c r="H30" s="3">
        <v>3210</v>
      </c>
      <c r="I30" s="3">
        <v>5471</v>
      </c>
      <c r="J30" s="3">
        <v>5100</v>
      </c>
      <c r="K30" s="3">
        <v>2852.5250000000001</v>
      </c>
      <c r="L30" s="3">
        <v>20800</v>
      </c>
      <c r="M30" s="3">
        <v>14</v>
      </c>
      <c r="N30" s="3">
        <v>13.055999999999999</v>
      </c>
      <c r="O30" s="3">
        <v>13.316666666666679</v>
      </c>
      <c r="P30" s="3">
        <v>12.786833333333337</v>
      </c>
      <c r="Q30" s="16">
        <f t="shared" si="1"/>
        <v>1.125318796504851</v>
      </c>
      <c r="R30" s="10">
        <v>3381.4806770524492</v>
      </c>
      <c r="S30" s="12">
        <f t="shared" si="2"/>
        <v>-5.3420771667429659E-2</v>
      </c>
    </row>
    <row r="31" spans="1:19" hidden="1">
      <c r="A31" s="9">
        <v>2025</v>
      </c>
      <c r="B31" s="19">
        <v>30</v>
      </c>
      <c r="C31" s="3" t="s">
        <v>18</v>
      </c>
      <c r="D31" s="3" t="s">
        <v>15</v>
      </c>
      <c r="E31" s="3" t="s">
        <v>26</v>
      </c>
      <c r="F31" s="3" t="s">
        <v>27</v>
      </c>
      <c r="G31" s="3" t="str">
        <f t="shared" si="0"/>
        <v>028COTOPAXI</v>
      </c>
      <c r="H31" s="3">
        <v>2460</v>
      </c>
      <c r="I31" s="3">
        <v>4867</v>
      </c>
      <c r="J31" s="3">
        <v>6016</v>
      </c>
      <c r="K31" s="3">
        <v>2852.5250000000001</v>
      </c>
      <c r="L31" s="3">
        <v>20800</v>
      </c>
      <c r="M31" s="3">
        <v>14</v>
      </c>
      <c r="N31" s="3">
        <v>14.51277955271564</v>
      </c>
      <c r="O31" s="3">
        <v>14.803514376996825</v>
      </c>
      <c r="P31" s="3">
        <v>14.223162939297143</v>
      </c>
      <c r="Q31" s="16">
        <f t="shared" si="1"/>
        <v>0.8623938440504465</v>
      </c>
      <c r="R31" s="10">
        <v>2701.6353792652908</v>
      </c>
      <c r="S31" s="12">
        <f t="shared" si="2"/>
        <v>-9.8225763928979998E-2</v>
      </c>
    </row>
    <row r="32" spans="1:19" hidden="1">
      <c r="A32" s="9">
        <v>2025</v>
      </c>
      <c r="B32" s="19">
        <v>31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3">
        <v>3480</v>
      </c>
      <c r="I32" s="3">
        <v>5892</v>
      </c>
      <c r="J32" s="3">
        <v>5616</v>
      </c>
      <c r="K32" s="3">
        <v>2852.5250000000001</v>
      </c>
      <c r="L32" s="3">
        <v>20800</v>
      </c>
      <c r="M32" s="3">
        <v>14</v>
      </c>
      <c r="N32" s="3">
        <v>13.78425196850394</v>
      </c>
      <c r="O32" s="3">
        <v>14.065354330708656</v>
      </c>
      <c r="P32" s="3">
        <v>13.503307086614177</v>
      </c>
      <c r="Q32" s="16">
        <f t="shared" si="1"/>
        <v>1.2199717793884366</v>
      </c>
      <c r="R32" s="10">
        <v>3687.5794089377291</v>
      </c>
      <c r="S32" s="12">
        <f t="shared" si="2"/>
        <v>-5.964925544187618E-2</v>
      </c>
    </row>
    <row r="33" spans="1:19" hidden="1">
      <c r="A33" s="9">
        <v>2025</v>
      </c>
      <c r="B33" s="19">
        <v>32</v>
      </c>
      <c r="C33" s="3" t="s">
        <v>18</v>
      </c>
      <c r="D33" s="3" t="s">
        <v>15</v>
      </c>
      <c r="E33" s="3" t="s">
        <v>26</v>
      </c>
      <c r="F33" s="3" t="s">
        <v>27</v>
      </c>
      <c r="G33" s="3" t="str">
        <f t="shared" si="0"/>
        <v>028COTOPAXI</v>
      </c>
      <c r="H33" s="3">
        <v>4650</v>
      </c>
      <c r="I33" s="3">
        <v>7044</v>
      </c>
      <c r="J33" s="3">
        <v>6609</v>
      </c>
      <c r="K33" s="3">
        <v>2852.5250000000001</v>
      </c>
      <c r="L33" s="3">
        <v>20800</v>
      </c>
      <c r="M33" s="3">
        <v>14</v>
      </c>
      <c r="N33" s="3">
        <v>12.659270998415199</v>
      </c>
      <c r="O33" s="3">
        <v>12.943264659271005</v>
      </c>
      <c r="P33" s="3">
        <v>12.377337559429469</v>
      </c>
      <c r="Q33" s="16">
        <f t="shared" si="1"/>
        <v>1.6301347052173074</v>
      </c>
      <c r="R33" s="10">
        <v>4899.1952189405429</v>
      </c>
      <c r="S33" s="12">
        <f t="shared" si="2"/>
        <v>-5.3590369664632875E-2</v>
      </c>
    </row>
    <row r="34" spans="1:19" hidden="1">
      <c r="A34" s="9">
        <v>2025</v>
      </c>
      <c r="B34" s="19">
        <v>33</v>
      </c>
      <c r="C34" s="3" t="s">
        <v>18</v>
      </c>
      <c r="D34" s="3" t="s">
        <v>15</v>
      </c>
      <c r="E34" s="3" t="s">
        <v>26</v>
      </c>
      <c r="F34" s="3" t="s">
        <v>27</v>
      </c>
      <c r="G34" s="3" t="str">
        <f t="shared" si="0"/>
        <v>028COTOPAXI</v>
      </c>
      <c r="H34" s="3">
        <v>3840</v>
      </c>
      <c r="I34" s="3">
        <v>7097</v>
      </c>
      <c r="J34" s="3">
        <v>6836</v>
      </c>
      <c r="K34" s="3">
        <v>2852.5250000000001</v>
      </c>
      <c r="L34" s="3">
        <v>20800</v>
      </c>
      <c r="M34" s="3">
        <v>14</v>
      </c>
      <c r="N34" s="3">
        <v>13.589285714285717</v>
      </c>
      <c r="O34" s="3">
        <v>13.824068322981383</v>
      </c>
      <c r="P34" s="3">
        <v>13.353571428571435</v>
      </c>
      <c r="Q34" s="16">
        <f t="shared" si="1"/>
        <v>1.3461757565665506</v>
      </c>
      <c r="R34" s="10">
        <v>3999.5092938390148</v>
      </c>
      <c r="S34" s="12">
        <f t="shared" si="2"/>
        <v>-4.1538878603910118E-2</v>
      </c>
    </row>
    <row r="35" spans="1:19" hidden="1">
      <c r="A35" s="9">
        <v>2025</v>
      </c>
      <c r="B35" s="19">
        <v>34</v>
      </c>
      <c r="C35" s="3" t="s">
        <v>18</v>
      </c>
      <c r="D35" s="3" t="s">
        <v>15</v>
      </c>
      <c r="E35" s="3" t="s">
        <v>26</v>
      </c>
      <c r="F35" s="3" t="s">
        <v>27</v>
      </c>
      <c r="G35" s="3" t="str">
        <f t="shared" si="0"/>
        <v>028COTOPAXI</v>
      </c>
      <c r="H35" s="3">
        <v>5280</v>
      </c>
      <c r="I35" s="3">
        <v>6410</v>
      </c>
      <c r="J35" s="3">
        <v>7507</v>
      </c>
      <c r="K35" s="3">
        <v>2852.5250000000001</v>
      </c>
      <c r="L35" s="3">
        <v>20800</v>
      </c>
      <c r="M35" s="3">
        <v>14</v>
      </c>
      <c r="N35" s="3">
        <v>12.824486571879941</v>
      </c>
      <c r="O35" s="3">
        <v>13.083254344391783</v>
      </c>
      <c r="P35" s="3">
        <v>12.564612954186416</v>
      </c>
      <c r="Q35" s="16">
        <f t="shared" si="1"/>
        <v>1.850991665279007</v>
      </c>
      <c r="R35" s="10">
        <v>5606.4962798948454</v>
      </c>
      <c r="S35" s="12">
        <f t="shared" si="2"/>
        <v>-6.1836416646751026E-2</v>
      </c>
    </row>
    <row r="36" spans="1:19" hidden="1">
      <c r="A36" s="9">
        <v>2025</v>
      </c>
      <c r="B36" s="19">
        <v>35</v>
      </c>
      <c r="C36" s="3" t="s">
        <v>18</v>
      </c>
      <c r="D36" s="3" t="s">
        <v>15</v>
      </c>
      <c r="E36" s="3" t="s">
        <v>26</v>
      </c>
      <c r="F36" s="3" t="s">
        <v>27</v>
      </c>
      <c r="G36" s="3" t="str">
        <f t="shared" si="0"/>
        <v>028COTOPAXI</v>
      </c>
      <c r="H36" s="3">
        <v>6420</v>
      </c>
      <c r="I36" s="3">
        <v>7080</v>
      </c>
      <c r="J36" s="3">
        <v>7932</v>
      </c>
      <c r="K36" s="3">
        <v>2852.5250000000001</v>
      </c>
      <c r="L36" s="3">
        <v>20800</v>
      </c>
      <c r="M36" s="3">
        <v>14</v>
      </c>
      <c r="N36" s="3">
        <v>13.437577639751549</v>
      </c>
      <c r="O36" s="3">
        <v>13.71583850931677</v>
      </c>
      <c r="P36" s="3">
        <v>13.159472049689436</v>
      </c>
      <c r="Q36" s="16">
        <f t="shared" si="1"/>
        <v>2.250637593009702</v>
      </c>
      <c r="R36" s="10">
        <v>6686.0393280754743</v>
      </c>
      <c r="S36" s="12">
        <f t="shared" si="2"/>
        <v>-4.1439147675307514E-2</v>
      </c>
    </row>
    <row r="37" spans="1:19" hidden="1">
      <c r="A37" s="9">
        <v>2025</v>
      </c>
      <c r="B37" s="19">
        <v>36</v>
      </c>
      <c r="C37" s="3" t="s">
        <v>18</v>
      </c>
      <c r="D37" s="3" t="s">
        <v>15</v>
      </c>
      <c r="E37" s="3" t="s">
        <v>26</v>
      </c>
      <c r="F37" s="3" t="s">
        <v>27</v>
      </c>
      <c r="G37" s="3" t="str">
        <f t="shared" si="0"/>
        <v>028COTOPAXI</v>
      </c>
      <c r="H37" s="3">
        <v>5910</v>
      </c>
      <c r="I37" s="3">
        <v>7149</v>
      </c>
      <c r="J37" s="3">
        <v>7387</v>
      </c>
      <c r="K37" s="3">
        <v>2852.5250000000001</v>
      </c>
      <c r="L37" s="3">
        <v>20800</v>
      </c>
      <c r="M37" s="3">
        <v>14</v>
      </c>
      <c r="N37" s="3">
        <v>12.977672955974834</v>
      </c>
      <c r="O37" s="3">
        <v>13.234119496855346</v>
      </c>
      <c r="P37" s="3">
        <v>12.718081761006273</v>
      </c>
      <c r="Q37" s="16">
        <f t="shared" si="1"/>
        <v>2.0718486253407069</v>
      </c>
      <c r="R37" s="10">
        <v>6208.6930108159049</v>
      </c>
      <c r="S37" s="12">
        <f t="shared" si="2"/>
        <v>-5.0540272557682731E-2</v>
      </c>
    </row>
    <row r="38" spans="1:19" hidden="1">
      <c r="A38" s="9">
        <v>2025</v>
      </c>
      <c r="B38" s="19">
        <v>37</v>
      </c>
      <c r="C38" s="3" t="s">
        <v>18</v>
      </c>
      <c r="D38" s="3" t="s">
        <v>15</v>
      </c>
      <c r="E38" s="3" t="s">
        <v>26</v>
      </c>
      <c r="F38" s="3" t="s">
        <v>27</v>
      </c>
      <c r="G38" s="3" t="str">
        <f t="shared" si="0"/>
        <v>028COTOPAXI</v>
      </c>
      <c r="H38" s="3">
        <v>7380</v>
      </c>
      <c r="I38" s="3">
        <v>7119</v>
      </c>
      <c r="J38" s="3">
        <v>7316</v>
      </c>
      <c r="K38" s="3">
        <v>2852.5250000000001</v>
      </c>
      <c r="L38" s="3">
        <v>20800</v>
      </c>
      <c r="M38" s="3">
        <v>14</v>
      </c>
      <c r="N38" s="3">
        <v>13.589032258064515</v>
      </c>
      <c r="O38" s="3">
        <v>13.865806451612899</v>
      </c>
      <c r="P38" s="3">
        <v>13.317258064516144</v>
      </c>
      <c r="Q38" s="16">
        <f t="shared" si="1"/>
        <v>2.5871815321513396</v>
      </c>
      <c r="R38" s="10">
        <v>7701.7316763258732</v>
      </c>
      <c r="S38" s="12">
        <f t="shared" si="2"/>
        <v>-4.3595078092936744E-2</v>
      </c>
    </row>
    <row r="39" spans="1:19" hidden="1">
      <c r="A39" s="9">
        <v>2025</v>
      </c>
      <c r="B39" s="19">
        <v>38</v>
      </c>
      <c r="C39" s="3" t="s">
        <v>18</v>
      </c>
      <c r="D39" s="3" t="s">
        <v>15</v>
      </c>
      <c r="E39" s="3" t="s">
        <v>26</v>
      </c>
      <c r="F39" s="3" t="s">
        <v>27</v>
      </c>
      <c r="G39" s="3" t="str">
        <f t="shared" si="0"/>
        <v>028COTOPAXI</v>
      </c>
      <c r="H39" s="3">
        <v>7620</v>
      </c>
      <c r="I39" s="3">
        <v>7475</v>
      </c>
      <c r="J39" s="3">
        <v>7233</v>
      </c>
      <c r="K39" s="3">
        <v>2852.5250000000001</v>
      </c>
      <c r="L39" s="3">
        <v>20800</v>
      </c>
      <c r="M39" s="3">
        <v>14</v>
      </c>
      <c r="N39" s="3">
        <v>13.031825273010922</v>
      </c>
      <c r="O39" s="3">
        <v>13.280499219968798</v>
      </c>
      <c r="P39" s="3">
        <v>12.779719188767555</v>
      </c>
      <c r="Q39" s="16">
        <f t="shared" si="1"/>
        <v>2.6713175169367491</v>
      </c>
      <c r="R39" s="10">
        <v>7956.7354681609568</v>
      </c>
      <c r="S39" s="12">
        <f t="shared" si="2"/>
        <v>-4.4191006320335534E-2</v>
      </c>
    </row>
    <row r="40" spans="1:19" hidden="1">
      <c r="A40" s="9">
        <v>2025</v>
      </c>
      <c r="B40" s="19">
        <v>39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3">
        <v>7050</v>
      </c>
      <c r="I40" s="3">
        <v>8558</v>
      </c>
      <c r="J40" s="3">
        <v>7833</v>
      </c>
      <c r="K40" s="3">
        <v>2852.5250000000001</v>
      </c>
      <c r="L40" s="3">
        <v>20800</v>
      </c>
      <c r="M40" s="3">
        <v>14</v>
      </c>
      <c r="N40" s="3">
        <v>14.003096539162122</v>
      </c>
      <c r="O40" s="3">
        <v>14.246265938069232</v>
      </c>
      <c r="P40" s="3">
        <v>13.765573770491811</v>
      </c>
      <c r="Q40" s="16">
        <f t="shared" si="1"/>
        <v>2.4714945530714014</v>
      </c>
      <c r="R40" s="10">
        <v>7656.8620654218448</v>
      </c>
      <c r="S40" s="12">
        <f t="shared" si="2"/>
        <v>-8.6079725591751033E-2</v>
      </c>
    </row>
    <row r="41" spans="1:19" hidden="1">
      <c r="A41" s="9">
        <v>2025</v>
      </c>
      <c r="B41" s="19">
        <v>40</v>
      </c>
      <c r="C41" s="3" t="s">
        <v>18</v>
      </c>
      <c r="D41" s="3" t="s">
        <v>15</v>
      </c>
      <c r="E41" s="3" t="s">
        <v>26</v>
      </c>
      <c r="F41" s="3" t="s">
        <v>27</v>
      </c>
      <c r="G41" s="3" t="str">
        <f t="shared" si="0"/>
        <v>028COTOPAXI</v>
      </c>
      <c r="H41" s="3">
        <v>5580</v>
      </c>
      <c r="I41" s="3">
        <v>7979</v>
      </c>
      <c r="J41" s="3">
        <v>7585</v>
      </c>
      <c r="K41" s="3">
        <v>2852.5250000000001</v>
      </c>
      <c r="L41" s="3">
        <v>20800</v>
      </c>
      <c r="M41" s="3">
        <v>14</v>
      </c>
      <c r="N41" s="3">
        <v>12.843362831858405</v>
      </c>
      <c r="O41" s="3">
        <v>13.098407079646016</v>
      </c>
      <c r="P41" s="3">
        <v>12.592743362831856</v>
      </c>
      <c r="Q41" s="16">
        <f t="shared" si="1"/>
        <v>1.9561616462607689</v>
      </c>
      <c r="R41" s="10">
        <v>5795.4304443341816</v>
      </c>
      <c r="S41" s="12">
        <f t="shared" si="2"/>
        <v>-3.8607606511502086E-2</v>
      </c>
    </row>
    <row r="42" spans="1:19" hidden="1">
      <c r="A42" s="9">
        <v>2025</v>
      </c>
      <c r="B42" s="19">
        <v>41</v>
      </c>
      <c r="C42" s="3" t="s">
        <v>18</v>
      </c>
      <c r="D42" s="3" t="s">
        <v>15</v>
      </c>
      <c r="E42" s="3" t="s">
        <v>26</v>
      </c>
      <c r="F42" s="3" t="s">
        <v>27</v>
      </c>
      <c r="G42" s="3" t="str">
        <f t="shared" si="0"/>
        <v>028COTOPAXI</v>
      </c>
      <c r="H42" s="3">
        <v>6060</v>
      </c>
      <c r="I42" s="3">
        <v>6764</v>
      </c>
      <c r="J42" s="3">
        <v>7717</v>
      </c>
      <c r="K42" s="3">
        <v>2852.5250000000001</v>
      </c>
      <c r="L42" s="3">
        <v>20800</v>
      </c>
      <c r="M42" s="3">
        <v>14</v>
      </c>
      <c r="N42" s="3">
        <v>13.871347248576845</v>
      </c>
      <c r="O42" s="3">
        <v>14.103605313092977</v>
      </c>
      <c r="P42" s="3">
        <v>13.632258064516128</v>
      </c>
      <c r="Q42" s="16">
        <f t="shared" si="1"/>
        <v>2.1244336158315877</v>
      </c>
      <c r="R42" s="10">
        <v>6388.7660357652221</v>
      </c>
      <c r="S42" s="12">
        <f t="shared" si="2"/>
        <v>-5.4251821083369983E-2</v>
      </c>
    </row>
    <row r="43" spans="1:19" hidden="1">
      <c r="A43" s="9">
        <v>2025</v>
      </c>
      <c r="B43" s="19">
        <v>42</v>
      </c>
      <c r="C43" s="3" t="s">
        <v>18</v>
      </c>
      <c r="D43" s="3" t="s">
        <v>15</v>
      </c>
      <c r="E43" s="3" t="s">
        <v>26</v>
      </c>
      <c r="F43" s="3" t="s">
        <v>27</v>
      </c>
      <c r="G43" s="3" t="str">
        <f t="shared" si="0"/>
        <v>028COTOPAXI</v>
      </c>
      <c r="H43" s="3">
        <v>5520</v>
      </c>
      <c r="I43" s="3">
        <v>6318</v>
      </c>
      <c r="J43" s="3">
        <v>6633</v>
      </c>
      <c r="K43" s="3">
        <v>2852.5250000000001</v>
      </c>
      <c r="L43" s="3">
        <v>20800</v>
      </c>
      <c r="M43" s="3">
        <v>14</v>
      </c>
      <c r="N43" s="3">
        <v>12.518382352941172</v>
      </c>
      <c r="O43" s="3">
        <v>12.743627450980384</v>
      </c>
      <c r="P43" s="3">
        <v>12.293382352941165</v>
      </c>
      <c r="Q43" s="16">
        <f t="shared" si="1"/>
        <v>1.9351276500644166</v>
      </c>
      <c r="R43" s="10">
        <v>5791.0142697161846</v>
      </c>
      <c r="S43" s="12">
        <f t="shared" si="2"/>
        <v>-4.9096787992062421E-2</v>
      </c>
    </row>
    <row r="44" spans="1:19" hidden="1">
      <c r="A44" s="9">
        <v>2025</v>
      </c>
      <c r="B44" s="19">
        <v>43</v>
      </c>
      <c r="C44" s="3" t="s">
        <v>18</v>
      </c>
      <c r="D44" s="3" t="s">
        <v>15</v>
      </c>
      <c r="E44" s="3" t="s">
        <v>26</v>
      </c>
      <c r="F44" s="3" t="s">
        <v>27</v>
      </c>
      <c r="G44" s="3" t="str">
        <f t="shared" si="0"/>
        <v>028COTOPAXI</v>
      </c>
      <c r="H44" s="3">
        <v>5040</v>
      </c>
      <c r="I44" s="3">
        <v>5919</v>
      </c>
      <c r="J44" s="3">
        <v>6710</v>
      </c>
      <c r="K44" s="3">
        <v>2852.5250000000001</v>
      </c>
      <c r="L44" s="3">
        <v>20800</v>
      </c>
      <c r="M44" s="3">
        <v>14</v>
      </c>
      <c r="N44" s="3">
        <v>14.965141612200448</v>
      </c>
      <c r="O44" s="3">
        <v>15.249019607843142</v>
      </c>
      <c r="P44" s="3">
        <v>14.683006535947717</v>
      </c>
      <c r="Q44" s="16">
        <f t="shared" si="1"/>
        <v>1.7668556804935978</v>
      </c>
      <c r="R44" s="10">
        <v>5282.6536137514886</v>
      </c>
      <c r="S44" s="12">
        <f t="shared" si="2"/>
        <v>-4.8145558284025516E-2</v>
      </c>
    </row>
    <row r="45" spans="1:19" hidden="1">
      <c r="A45" s="9">
        <v>2025</v>
      </c>
      <c r="B45" s="19">
        <v>44</v>
      </c>
      <c r="C45" s="3" t="s">
        <v>18</v>
      </c>
      <c r="D45" s="3" t="s">
        <v>15</v>
      </c>
      <c r="E45" s="3" t="s">
        <v>26</v>
      </c>
      <c r="F45" s="3" t="s">
        <v>27</v>
      </c>
      <c r="G45" s="3" t="str">
        <f t="shared" si="0"/>
        <v>028COTOPAXI</v>
      </c>
      <c r="H45" s="3">
        <v>3900</v>
      </c>
      <c r="I45" s="3">
        <v>6061</v>
      </c>
      <c r="J45" s="3">
        <v>6101</v>
      </c>
      <c r="K45" s="3">
        <v>2852.5250000000001</v>
      </c>
      <c r="L45" s="3">
        <v>20800</v>
      </c>
      <c r="M45" s="3">
        <v>14</v>
      </c>
      <c r="N45" s="3">
        <v>14.073262839879131</v>
      </c>
      <c r="O45" s="3">
        <v>14.296978851963752</v>
      </c>
      <c r="P45" s="3">
        <v>13.846676737160124</v>
      </c>
      <c r="Q45" s="16">
        <f t="shared" si="1"/>
        <v>1.367209752762903</v>
      </c>
      <c r="R45" s="10">
        <v>4006.7644378542959</v>
      </c>
      <c r="S45" s="12">
        <f t="shared" si="2"/>
        <v>-2.7375496885716902E-2</v>
      </c>
    </row>
    <row r="46" spans="1:19" hidden="1">
      <c r="A46" s="9">
        <v>2025</v>
      </c>
      <c r="B46" s="19">
        <v>45</v>
      </c>
      <c r="C46" s="3" t="s">
        <v>18</v>
      </c>
      <c r="D46" s="3" t="s">
        <v>15</v>
      </c>
      <c r="E46" s="3" t="s">
        <v>26</v>
      </c>
      <c r="F46" s="3" t="s">
        <v>27</v>
      </c>
      <c r="G46" s="3" t="str">
        <f t="shared" si="0"/>
        <v>028COTOPAXI</v>
      </c>
      <c r="H46" s="3">
        <v>3570</v>
      </c>
      <c r="I46" s="3">
        <v>5964</v>
      </c>
      <c r="J46" s="3">
        <v>5815</v>
      </c>
      <c r="K46" s="3">
        <v>2852.5250000000001</v>
      </c>
      <c r="L46" s="3">
        <v>20800</v>
      </c>
      <c r="M46" s="3">
        <v>14</v>
      </c>
      <c r="N46" s="3">
        <v>14.836850152905189</v>
      </c>
      <c r="O46" s="3">
        <v>15.074923547400614</v>
      </c>
      <c r="P46" s="3">
        <v>14.594495412844042</v>
      </c>
      <c r="Q46" s="16">
        <f t="shared" si="1"/>
        <v>1.2515227736829651</v>
      </c>
      <c r="R46" s="10">
        <v>3758.1274229351761</v>
      </c>
      <c r="S46" s="12">
        <f t="shared" si="2"/>
        <v>-5.2696757124699192E-2</v>
      </c>
    </row>
    <row r="47" spans="1:19" hidden="1">
      <c r="A47" s="9">
        <v>2025</v>
      </c>
      <c r="B47" s="19">
        <v>46</v>
      </c>
      <c r="C47" s="3" t="s">
        <v>18</v>
      </c>
      <c r="D47" s="3" t="s">
        <v>15</v>
      </c>
      <c r="E47" s="3" t="s">
        <v>26</v>
      </c>
      <c r="F47" s="3" t="s">
        <v>27</v>
      </c>
      <c r="G47" s="3" t="str">
        <f t="shared" si="0"/>
        <v>028COTOPAXI</v>
      </c>
      <c r="H47" s="3">
        <v>2340</v>
      </c>
      <c r="I47" s="3">
        <v>5304</v>
      </c>
      <c r="J47" s="3">
        <v>5478</v>
      </c>
      <c r="K47" s="3">
        <v>2852.5250000000001</v>
      </c>
      <c r="L47" s="3">
        <v>20800</v>
      </c>
      <c r="M47" s="3">
        <v>14</v>
      </c>
      <c r="N47" s="3">
        <v>14.582800608828016</v>
      </c>
      <c r="O47" s="3">
        <v>14.816590563165887</v>
      </c>
      <c r="P47" s="3">
        <v>14.359512937595126</v>
      </c>
      <c r="Q47" s="16">
        <f t="shared" si="1"/>
        <v>0.82032585165774174</v>
      </c>
      <c r="R47" s="10">
        <v>2701.6353792652908</v>
      </c>
      <c r="S47" s="12">
        <f t="shared" si="2"/>
        <v>-0.15454503387405588</v>
      </c>
    </row>
    <row r="48" spans="1:19" hidden="1">
      <c r="A48" s="9">
        <v>2025</v>
      </c>
      <c r="B48" s="19">
        <v>47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3">
        <v>3600</v>
      </c>
      <c r="I48" s="3">
        <v>3881</v>
      </c>
      <c r="J48" s="3">
        <v>5272</v>
      </c>
      <c r="K48" s="3">
        <v>2852.5250000000001</v>
      </c>
      <c r="L48" s="3">
        <v>20800</v>
      </c>
      <c r="M48" s="3">
        <v>14</v>
      </c>
      <c r="N48" s="3">
        <v>14.756838905775062</v>
      </c>
      <c r="O48" s="3">
        <v>15.013829787234029</v>
      </c>
      <c r="P48" s="3">
        <v>14.501519756838901</v>
      </c>
      <c r="Q48" s="16">
        <f t="shared" si="1"/>
        <v>1.2620397717811411</v>
      </c>
      <c r="R48" s="10">
        <v>3792.8139209891842</v>
      </c>
      <c r="S48" s="12">
        <f t="shared" si="2"/>
        <v>-5.3559422496995621E-2</v>
      </c>
    </row>
    <row r="49" spans="1:19" hidden="1">
      <c r="A49" s="9">
        <v>2025</v>
      </c>
      <c r="B49" s="19">
        <v>48</v>
      </c>
      <c r="C49" s="3" t="s">
        <v>18</v>
      </c>
      <c r="D49" s="3" t="s">
        <v>15</v>
      </c>
      <c r="E49" s="3" t="s">
        <v>26</v>
      </c>
      <c r="F49" s="3" t="s">
        <v>27</v>
      </c>
      <c r="G49" s="3" t="str">
        <f t="shared" si="0"/>
        <v>028COTOPAXI</v>
      </c>
      <c r="H49" s="3">
        <v>6060</v>
      </c>
      <c r="I49" s="3">
        <v>4710</v>
      </c>
      <c r="J49" s="3">
        <v>4758</v>
      </c>
      <c r="K49" s="3">
        <v>2852.5250000000001</v>
      </c>
      <c r="L49" s="3">
        <v>20800</v>
      </c>
      <c r="M49" s="3">
        <v>14</v>
      </c>
      <c r="N49" s="3">
        <v>14.30164670658683</v>
      </c>
      <c r="O49" s="3">
        <v>14.475149700598816</v>
      </c>
      <c r="P49" s="3">
        <v>14.12919161676647</v>
      </c>
      <c r="Q49" s="16">
        <f t="shared" si="1"/>
        <v>2.1244336158315877</v>
      </c>
      <c r="R49" s="10">
        <v>6376.6752556482443</v>
      </c>
      <c r="S49" s="12">
        <f t="shared" si="2"/>
        <v>-5.2256642846244927E-2</v>
      </c>
    </row>
    <row r="50" spans="1:19" hidden="1">
      <c r="A50" s="9">
        <v>2025</v>
      </c>
      <c r="B50" s="19">
        <v>49</v>
      </c>
      <c r="C50" s="3" t="s">
        <v>18</v>
      </c>
      <c r="D50" s="3" t="s">
        <v>15</v>
      </c>
      <c r="E50" s="3" t="s">
        <v>26</v>
      </c>
      <c r="F50" s="3" t="s">
        <v>27</v>
      </c>
      <c r="G50" s="3" t="str">
        <f t="shared" si="0"/>
        <v>028COTOPAXI</v>
      </c>
      <c r="H50" s="3">
        <v>6120</v>
      </c>
      <c r="I50" s="3">
        <v>6213</v>
      </c>
      <c r="J50" s="3">
        <v>4988</v>
      </c>
      <c r="K50" s="3">
        <v>2852.5250000000001</v>
      </c>
      <c r="L50" s="3">
        <v>20800</v>
      </c>
      <c r="M50" s="3">
        <v>14</v>
      </c>
      <c r="N50" s="3">
        <v>12.785714285714281</v>
      </c>
      <c r="O50" s="3">
        <v>13.009821428571421</v>
      </c>
      <c r="P50" s="3">
        <v>12.563839285714286</v>
      </c>
      <c r="Q50" s="16">
        <f t="shared" si="1"/>
        <v>2.1454676120279399</v>
      </c>
      <c r="R50" s="10">
        <v>6427.8788476136451</v>
      </c>
      <c r="S50" s="12">
        <f t="shared" si="2"/>
        <v>-5.0307001244059658E-2</v>
      </c>
    </row>
    <row r="51" spans="1:19" hidden="1">
      <c r="A51" s="9">
        <v>2025</v>
      </c>
      <c r="B51" s="19">
        <v>50</v>
      </c>
      <c r="C51" s="3" t="s">
        <v>18</v>
      </c>
      <c r="D51" s="3" t="s">
        <v>15</v>
      </c>
      <c r="E51" s="3" t="s">
        <v>26</v>
      </c>
      <c r="F51" s="3" t="s">
        <v>27</v>
      </c>
      <c r="G51" s="3" t="str">
        <f t="shared" si="0"/>
        <v>028COTOPAXI</v>
      </c>
      <c r="H51" s="3">
        <v>10920</v>
      </c>
      <c r="I51" s="3">
        <v>6181</v>
      </c>
      <c r="J51" s="3">
        <v>7505</v>
      </c>
      <c r="K51" s="3">
        <v>2852.5250000000001</v>
      </c>
      <c r="L51" s="3">
        <v>20800</v>
      </c>
      <c r="M51" s="3">
        <v>14</v>
      </c>
      <c r="N51" s="3">
        <v>12.562962962962962</v>
      </c>
      <c r="O51" s="3">
        <v>12.822507122507124</v>
      </c>
      <c r="P51" s="3">
        <v>12.308262108262106</v>
      </c>
      <c r="Q51" s="16">
        <f t="shared" si="1"/>
        <v>3.8281873077361284</v>
      </c>
      <c r="R51" s="10">
        <v>10847.343941296031</v>
      </c>
      <c r="S51" s="12">
        <f t="shared" si="2"/>
        <v>6.6534852293012262E-3</v>
      </c>
    </row>
    <row r="52" spans="1:19" hidden="1">
      <c r="A52" s="9">
        <v>2025</v>
      </c>
      <c r="B52" s="19">
        <v>51</v>
      </c>
      <c r="C52" s="3" t="s">
        <v>18</v>
      </c>
      <c r="D52" s="3" t="s">
        <v>15</v>
      </c>
      <c r="E52" s="3" t="s">
        <v>26</v>
      </c>
      <c r="F52" s="3" t="s">
        <v>27</v>
      </c>
      <c r="G52" s="3" t="str">
        <f t="shared" si="0"/>
        <v>028COTOPAXI</v>
      </c>
      <c r="H52" s="3">
        <v>5820</v>
      </c>
      <c r="I52" s="3">
        <v>6225</v>
      </c>
      <c r="J52" s="3">
        <v>5878</v>
      </c>
      <c r="K52" s="3">
        <v>2852.5250000000001</v>
      </c>
      <c r="L52" s="3">
        <v>20800</v>
      </c>
      <c r="M52" s="3">
        <v>14</v>
      </c>
      <c r="N52" s="3">
        <v>14.116666666666669</v>
      </c>
      <c r="O52" s="3">
        <v>14.313541666666683</v>
      </c>
      <c r="P52" s="3">
        <v>13.918303571428599</v>
      </c>
      <c r="Q52" s="16">
        <f t="shared" si="1"/>
        <v>2.0402976310461782</v>
      </c>
      <c r="R52" s="10">
        <v>6182.9860465387383</v>
      </c>
      <c r="S52" s="12">
        <f t="shared" si="2"/>
        <v>-6.2368736518683549E-2</v>
      </c>
    </row>
    <row r="53" spans="1:19" hidden="1">
      <c r="A53" s="9">
        <v>2025</v>
      </c>
      <c r="B53" s="19">
        <v>52</v>
      </c>
      <c r="C53" s="3" t="s">
        <v>18</v>
      </c>
      <c r="D53" s="3" t="s">
        <v>15</v>
      </c>
      <c r="E53" s="3" t="s">
        <v>26</v>
      </c>
      <c r="F53" s="3" t="s">
        <v>27</v>
      </c>
      <c r="G53" s="3" t="str">
        <f t="shared" si="0"/>
        <v>028COTOPAXI</v>
      </c>
      <c r="H53" s="3">
        <v>6000</v>
      </c>
      <c r="I53" s="3">
        <v>8024</v>
      </c>
      <c r="J53" s="3">
        <v>6422</v>
      </c>
      <c r="K53" s="3">
        <v>2852.5250000000001</v>
      </c>
      <c r="L53" s="3">
        <v>20800</v>
      </c>
      <c r="M53" s="3">
        <v>14</v>
      </c>
      <c r="N53" s="3">
        <v>14.780803571428551</v>
      </c>
      <c r="O53" s="3">
        <v>14.962351190476202</v>
      </c>
      <c r="P53" s="3">
        <v>14.597619047619043</v>
      </c>
      <c r="Q53" s="16">
        <f t="shared" si="1"/>
        <v>2.1033996196352356</v>
      </c>
      <c r="R53" s="10">
        <v>6336.5796947372946</v>
      </c>
      <c r="S53" s="12">
        <f t="shared" si="2"/>
        <v>-5.6096615789549102E-2</v>
      </c>
    </row>
    <row r="54" spans="1:19" hidden="1">
      <c r="A54" s="9">
        <v>2026</v>
      </c>
      <c r="B54" s="19">
        <v>1</v>
      </c>
      <c r="C54" s="3" t="s">
        <v>18</v>
      </c>
      <c r="D54" s="3" t="s">
        <v>15</v>
      </c>
      <c r="E54" s="3" t="s">
        <v>26</v>
      </c>
      <c r="F54" s="3" t="s">
        <v>27</v>
      </c>
      <c r="G54" s="3" t="str">
        <f t="shared" si="0"/>
        <v>028COTOPAXI</v>
      </c>
      <c r="H54" s="3">
        <v>10110</v>
      </c>
      <c r="I54" s="3">
        <v>6677</v>
      </c>
      <c r="J54" s="3">
        <v>8692</v>
      </c>
      <c r="K54" s="3">
        <v>2852.5250000000001</v>
      </c>
      <c r="L54" s="3">
        <v>20800</v>
      </c>
      <c r="M54" s="3">
        <v>14</v>
      </c>
      <c r="N54" s="3">
        <v>13.975520833333354</v>
      </c>
      <c r="O54" s="3">
        <v>14.218750000000002</v>
      </c>
      <c r="P54" s="3">
        <v>13.740624999999994</v>
      </c>
      <c r="Q54" s="16">
        <f t="shared" si="1"/>
        <v>3.5442283590853716</v>
      </c>
      <c r="R54" s="10">
        <v>10579.2448398284</v>
      </c>
      <c r="S54" s="12">
        <f t="shared" si="2"/>
        <v>-4.6413930744648821E-2</v>
      </c>
    </row>
    <row r="55" spans="1:19" hidden="1">
      <c r="A55" s="9">
        <v>2026</v>
      </c>
      <c r="B55" s="19">
        <v>2</v>
      </c>
      <c r="C55" s="3" t="s">
        <v>18</v>
      </c>
      <c r="D55" s="3" t="s">
        <v>15</v>
      </c>
      <c r="E55" s="3" t="s">
        <v>26</v>
      </c>
      <c r="F55" s="3" t="s">
        <v>27</v>
      </c>
      <c r="G55" s="3" t="str">
        <f t="shared" si="0"/>
        <v>028COTOPAXI</v>
      </c>
      <c r="H55" s="3">
        <v>6090</v>
      </c>
      <c r="I55" s="3">
        <v>10588</v>
      </c>
      <c r="J55" s="3">
        <v>10588</v>
      </c>
      <c r="K55" s="3">
        <v>2852.5250000000001</v>
      </c>
      <c r="L55" s="3">
        <v>20800</v>
      </c>
      <c r="M55" s="3">
        <v>14</v>
      </c>
      <c r="N55" s="3">
        <v>13.445535714285695</v>
      </c>
      <c r="O55" s="3">
        <v>13.624255952380969</v>
      </c>
      <c r="P55" s="3">
        <v>13.274851190476191</v>
      </c>
      <c r="Q55" s="16">
        <f t="shared" si="1"/>
        <v>2.1349506139297638</v>
      </c>
      <c r="R55" s="10">
        <v>6463.1872151546786</v>
      </c>
      <c r="S55" s="12">
        <f t="shared" si="2"/>
        <v>-6.1278688859553135E-2</v>
      </c>
    </row>
    <row r="56" spans="1:19" hidden="1">
      <c r="A56" s="9">
        <v>2026</v>
      </c>
      <c r="B56" s="19">
        <v>3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3">
        <v>3660</v>
      </c>
      <c r="I56" s="3">
        <v>8449</v>
      </c>
      <c r="J56" s="3">
        <v>8449</v>
      </c>
      <c r="K56" s="3">
        <v>2852.5250000000001</v>
      </c>
      <c r="L56" s="3">
        <v>20800</v>
      </c>
      <c r="M56" s="3">
        <v>14</v>
      </c>
      <c r="N56" s="3">
        <v>14.266517857142849</v>
      </c>
      <c r="O56" s="3">
        <v>14.450297619047618</v>
      </c>
      <c r="P56" s="3">
        <v>14.083184523809532</v>
      </c>
      <c r="Q56" s="16">
        <f t="shared" si="1"/>
        <v>1.2830737679774935</v>
      </c>
      <c r="R56" s="10">
        <v>3847.5711065268738</v>
      </c>
      <c r="S56" s="12">
        <f t="shared" si="2"/>
        <v>-5.1248936209528355E-2</v>
      </c>
    </row>
    <row r="57" spans="1:19" hidden="1">
      <c r="A57" s="9">
        <v>2026</v>
      </c>
      <c r="B57" s="19">
        <v>4</v>
      </c>
      <c r="C57" s="3" t="s">
        <v>18</v>
      </c>
      <c r="D57" s="3" t="s">
        <v>15</v>
      </c>
      <c r="E57" s="3" t="s">
        <v>26</v>
      </c>
      <c r="F57" s="3" t="s">
        <v>27</v>
      </c>
      <c r="G57" s="3" t="str">
        <f t="shared" si="0"/>
        <v>028COTOPAXI</v>
      </c>
      <c r="H57" s="3">
        <v>11580</v>
      </c>
      <c r="I57" s="3">
        <v>10589</v>
      </c>
      <c r="J57" s="3">
        <v>10589</v>
      </c>
      <c r="K57" s="3">
        <v>2852.5250000000001</v>
      </c>
      <c r="L57" s="3">
        <v>20800</v>
      </c>
      <c r="M57" s="3">
        <v>14</v>
      </c>
      <c r="N57" s="3">
        <v>13.962351190476189</v>
      </c>
      <c r="O57" s="3">
        <v>14.126636904761922</v>
      </c>
      <c r="P57" s="3">
        <v>13.802083333333345</v>
      </c>
      <c r="Q57" s="16">
        <f t="shared" si="1"/>
        <v>4.0595612658960043</v>
      </c>
      <c r="R57" s="10">
        <v>10887.23671867861</v>
      </c>
      <c r="S57" s="12">
        <f t="shared" si="2"/>
        <v>5.9824117557978368E-2</v>
      </c>
    </row>
    <row r="58" spans="1:19" hidden="1">
      <c r="A58" s="9">
        <v>2026</v>
      </c>
      <c r="B58" s="19">
        <v>5</v>
      </c>
      <c r="C58" s="3" t="s">
        <v>18</v>
      </c>
      <c r="D58" s="3" t="s">
        <v>15</v>
      </c>
      <c r="E58" s="3" t="s">
        <v>26</v>
      </c>
      <c r="F58" s="3" t="s">
        <v>27</v>
      </c>
      <c r="G58" s="3" t="str">
        <f t="shared" si="0"/>
        <v>028COTOPAXI</v>
      </c>
      <c r="H58" s="3">
        <v>9120</v>
      </c>
      <c r="I58" s="3">
        <v>11764</v>
      </c>
      <c r="J58" s="3">
        <v>11764</v>
      </c>
      <c r="K58" s="3">
        <v>2852.5250000000001</v>
      </c>
      <c r="L58" s="4">
        <v>20800</v>
      </c>
      <c r="M58" s="3">
        <v>14</v>
      </c>
      <c r="N58" s="4">
        <v>13.891220238095249</v>
      </c>
      <c r="O58" s="4">
        <v>14.021428571428576</v>
      </c>
      <c r="P58" s="4">
        <v>13.768154761904773</v>
      </c>
      <c r="Q58" s="16">
        <f t="shared" si="1"/>
        <v>3.1971674218455579</v>
      </c>
      <c r="R58" s="10">
        <v>6205.7249296468044</v>
      </c>
      <c r="S58" s="12">
        <f t="shared" si="2"/>
        <v>0.31954770508258723</v>
      </c>
    </row>
    <row r="59" spans="1:19" hidden="1">
      <c r="A59" s="9">
        <v>2026</v>
      </c>
      <c r="B59" s="19">
        <v>6</v>
      </c>
      <c r="C59" s="3" t="s">
        <v>18</v>
      </c>
      <c r="D59" s="3" t="s">
        <v>15</v>
      </c>
      <c r="E59" s="3" t="s">
        <v>26</v>
      </c>
      <c r="F59" s="3" t="s">
        <v>27</v>
      </c>
      <c r="G59" s="3" t="str">
        <f t="shared" si="0"/>
        <v>028COTOPAXI</v>
      </c>
      <c r="H59" s="3">
        <v>5670</v>
      </c>
      <c r="I59" s="3">
        <v>10249</v>
      </c>
      <c r="J59" s="3">
        <v>10249</v>
      </c>
      <c r="K59" s="3">
        <v>2852.5250000000001</v>
      </c>
      <c r="L59" s="3">
        <v>20800</v>
      </c>
      <c r="M59" s="3">
        <v>14</v>
      </c>
      <c r="N59" s="4">
        <v>13.608779761904751</v>
      </c>
      <c r="O59" s="4">
        <v>13.751190476190473</v>
      </c>
      <c r="P59" s="4">
        <v>13.467410714285698</v>
      </c>
      <c r="Q59" s="16">
        <f t="shared" si="1"/>
        <v>1.9877126405552974</v>
      </c>
      <c r="R59" s="10">
        <v>5924.6782813960499</v>
      </c>
      <c r="S59" s="12">
        <f t="shared" si="2"/>
        <v>-4.4916804479021147E-2</v>
      </c>
    </row>
    <row r="60" spans="1:19" hidden="1">
      <c r="A60" s="9">
        <v>2026</v>
      </c>
      <c r="B60" s="19">
        <v>7</v>
      </c>
      <c r="C60" s="3" t="s">
        <v>18</v>
      </c>
      <c r="D60" s="3" t="s">
        <v>15</v>
      </c>
      <c r="E60" s="3" t="s">
        <v>26</v>
      </c>
      <c r="F60" s="3" t="s">
        <v>27</v>
      </c>
      <c r="G60" s="3" t="str">
        <f t="shared" si="0"/>
        <v>028COTOPAXI</v>
      </c>
      <c r="H60" s="3">
        <v>5280</v>
      </c>
      <c r="I60" s="3">
        <v>5422</v>
      </c>
      <c r="J60" s="3">
        <v>5422</v>
      </c>
      <c r="K60" s="3">
        <v>2852.5250000000001</v>
      </c>
      <c r="L60" s="3">
        <v>20800</v>
      </c>
      <c r="M60" s="3">
        <v>14</v>
      </c>
      <c r="N60" s="3">
        <v>13.648136645962733</v>
      </c>
      <c r="O60" s="3">
        <v>13.84565217391305</v>
      </c>
      <c r="P60" s="3">
        <v>13.459316770186343</v>
      </c>
      <c r="Q60" s="16">
        <f t="shared" si="1"/>
        <v>1.850991665279007</v>
      </c>
      <c r="R60" s="10">
        <v>5644.9774586048779</v>
      </c>
      <c r="S60" s="12">
        <f t="shared" si="2"/>
        <v>-6.912451867516628E-2</v>
      </c>
    </row>
    <row r="61" spans="1:19" hidden="1">
      <c r="A61" s="9">
        <v>2026</v>
      </c>
      <c r="B61" s="19">
        <v>8</v>
      </c>
      <c r="C61" s="3" t="s">
        <v>18</v>
      </c>
      <c r="D61" s="3" t="s">
        <v>15</v>
      </c>
      <c r="E61" s="3" t="s">
        <v>26</v>
      </c>
      <c r="F61" s="3" t="s">
        <v>27</v>
      </c>
      <c r="G61" s="3" t="str">
        <f t="shared" si="0"/>
        <v>028COTOPAXI</v>
      </c>
      <c r="H61" s="3">
        <v>4560</v>
      </c>
      <c r="I61" s="3">
        <v>5103</v>
      </c>
      <c r="J61" s="3">
        <v>5454</v>
      </c>
      <c r="K61" s="3">
        <v>2852.5250000000001</v>
      </c>
      <c r="L61" s="3">
        <v>20800</v>
      </c>
      <c r="M61" s="3">
        <v>14</v>
      </c>
      <c r="N61" s="3">
        <v>13.817410714285709</v>
      </c>
      <c r="O61" s="3">
        <v>13.988244047619043</v>
      </c>
      <c r="P61" s="3">
        <v>13.654017857142849</v>
      </c>
      <c r="Q61" s="16">
        <f t="shared" si="1"/>
        <v>1.598583710922779</v>
      </c>
      <c r="R61" s="10">
        <v>4755.859559532234</v>
      </c>
      <c r="S61" s="12">
        <f t="shared" si="2"/>
        <v>-4.2951657792156581E-2</v>
      </c>
    </row>
    <row r="62" spans="1:19" hidden="1">
      <c r="A62" s="9">
        <v>2026</v>
      </c>
      <c r="B62" s="19">
        <v>9</v>
      </c>
      <c r="C62" s="3" t="s">
        <v>18</v>
      </c>
      <c r="D62" s="3" t="s">
        <v>15</v>
      </c>
      <c r="E62" s="3" t="s">
        <v>26</v>
      </c>
      <c r="F62" s="3" t="s">
        <v>27</v>
      </c>
      <c r="G62" s="3" t="str">
        <f t="shared" si="0"/>
        <v>028COTOPAXI</v>
      </c>
      <c r="H62" s="3">
        <v>4650</v>
      </c>
      <c r="I62" s="3">
        <v>5008</v>
      </c>
      <c r="J62" s="3">
        <v>4820</v>
      </c>
      <c r="K62" s="3">
        <v>2852.5250000000001</v>
      </c>
      <c r="L62" s="3">
        <v>20800</v>
      </c>
      <c r="M62" s="3">
        <v>14</v>
      </c>
      <c r="N62" s="3">
        <v>14.133506944444456</v>
      </c>
      <c r="O62" s="3">
        <v>14.297569444444438</v>
      </c>
      <c r="P62" s="3">
        <v>13.967881944444436</v>
      </c>
      <c r="Q62" s="16">
        <f t="shared" si="1"/>
        <v>1.6301347052173074</v>
      </c>
      <c r="R62" s="10">
        <v>4899.1952189405429</v>
      </c>
      <c r="S62" s="12">
        <f t="shared" si="2"/>
        <v>-5.3590369664632875E-2</v>
      </c>
    </row>
    <row r="63" spans="1:19" hidden="1">
      <c r="A63" s="9">
        <v>2026</v>
      </c>
      <c r="B63" s="20">
        <v>10</v>
      </c>
      <c r="C63" s="5" t="s">
        <v>18</v>
      </c>
      <c r="D63" s="5" t="s">
        <v>15</v>
      </c>
      <c r="E63" s="5" t="s">
        <v>26</v>
      </c>
      <c r="F63" s="5" t="s">
        <v>27</v>
      </c>
      <c r="G63" s="3" t="str">
        <f t="shared" si="0"/>
        <v>028COTOPAXI</v>
      </c>
      <c r="H63" s="6">
        <v>3300</v>
      </c>
      <c r="I63" s="6">
        <v>5259</v>
      </c>
      <c r="J63" s="6">
        <v>4705</v>
      </c>
      <c r="K63" s="3">
        <v>2852.5250000000001</v>
      </c>
      <c r="L63" s="3">
        <v>20800</v>
      </c>
      <c r="M63" s="3">
        <v>14</v>
      </c>
      <c r="N63" s="3">
        <v>15.017410714285699</v>
      </c>
      <c r="O63" s="3">
        <v>15.20238095238096</v>
      </c>
      <c r="P63" s="3">
        <v>14.836011904761907</v>
      </c>
      <c r="Q63" s="16">
        <f t="shared" si="1"/>
        <v>1.1568697907993795</v>
      </c>
      <c r="R63" s="10">
        <v>3526.6541560679411</v>
      </c>
      <c r="S63" s="12">
        <f t="shared" si="2"/>
        <v>-6.8683077596345801E-2</v>
      </c>
    </row>
    <row r="64" spans="1:19" hidden="1">
      <c r="A64" s="9">
        <v>2026</v>
      </c>
      <c r="B64" s="20">
        <v>11</v>
      </c>
      <c r="C64" s="5" t="s">
        <v>18</v>
      </c>
      <c r="D64" s="5" t="s">
        <v>15</v>
      </c>
      <c r="E64" s="5" t="s">
        <v>26</v>
      </c>
      <c r="F64" s="5" t="s">
        <v>27</v>
      </c>
      <c r="G64" s="3" t="str">
        <f t="shared" si="0"/>
        <v>028COTOPAXI</v>
      </c>
      <c r="H64" s="6">
        <v>6900</v>
      </c>
      <c r="I64" s="6">
        <v>5005</v>
      </c>
      <c r="J64" s="6">
        <v>5473</v>
      </c>
      <c r="K64" s="3">
        <v>2852.5250000000001</v>
      </c>
      <c r="L64" s="3">
        <v>20800</v>
      </c>
      <c r="M64" s="3">
        <v>14</v>
      </c>
      <c r="N64" s="3">
        <v>14.47744360902257</v>
      </c>
      <c r="O64" s="3">
        <v>14.635488721804517</v>
      </c>
      <c r="P64" s="3">
        <v>14.324360902255648</v>
      </c>
      <c r="Q64" s="16">
        <f t="shared" si="1"/>
        <v>2.4189095625805206</v>
      </c>
      <c r="R64" s="10">
        <v>7889.1178013235776</v>
      </c>
      <c r="S64" s="12">
        <f t="shared" si="2"/>
        <v>-0.14335040598892429</v>
      </c>
    </row>
    <row r="65" spans="1:20" hidden="1">
      <c r="A65" s="9">
        <v>2026</v>
      </c>
      <c r="B65" s="20">
        <v>12</v>
      </c>
      <c r="C65" s="5" t="s">
        <v>18</v>
      </c>
      <c r="D65" s="5" t="s">
        <v>15</v>
      </c>
      <c r="E65" s="5" t="s">
        <v>26</v>
      </c>
      <c r="F65" s="5" t="s">
        <v>27</v>
      </c>
      <c r="G65" s="3" t="str">
        <f t="shared" si="0"/>
        <v>028COTOPAXI</v>
      </c>
      <c r="H65" s="6">
        <v>7500</v>
      </c>
      <c r="I65" s="6">
        <v>5325</v>
      </c>
      <c r="J65" s="6">
        <v>5325</v>
      </c>
      <c r="K65" s="3">
        <v>2852.5250000000001</v>
      </c>
      <c r="L65" s="3">
        <v>20800</v>
      </c>
      <c r="M65" s="3">
        <v>14</v>
      </c>
      <c r="N65" s="3">
        <v>13.68377976190477</v>
      </c>
      <c r="O65" s="3">
        <v>13.892410714285713</v>
      </c>
      <c r="P65" s="3">
        <v>13.471130952380953</v>
      </c>
      <c r="Q65" s="16">
        <f t="shared" si="1"/>
        <v>2.6292495245440444</v>
      </c>
      <c r="R65" s="10">
        <v>8127.4992270575376</v>
      </c>
      <c r="S65" s="12">
        <f t="shared" si="2"/>
        <v>-8.3666563607671676E-2</v>
      </c>
    </row>
    <row r="66" spans="1:20" hidden="1">
      <c r="A66" s="9">
        <v>2026</v>
      </c>
      <c r="B66" s="20">
        <v>13</v>
      </c>
      <c r="C66" s="5" t="s">
        <v>18</v>
      </c>
      <c r="D66" s="5" t="s">
        <v>15</v>
      </c>
      <c r="E66" s="5" t="s">
        <v>26</v>
      </c>
      <c r="F66" s="5" t="s">
        <v>27</v>
      </c>
      <c r="G66" s="3" t="str">
        <f t="shared" si="0"/>
        <v>028COTOPAXI</v>
      </c>
      <c r="H66" s="6">
        <v>8700</v>
      </c>
      <c r="I66" s="6">
        <v>6249</v>
      </c>
      <c r="J66" s="6">
        <v>6249</v>
      </c>
      <c r="K66" s="3">
        <v>2852.5250000000001</v>
      </c>
      <c r="L66" s="3">
        <v>20800</v>
      </c>
      <c r="M66" s="3">
        <v>14</v>
      </c>
      <c r="N66" s="3">
        <v>14.021726190476178</v>
      </c>
      <c r="O66" s="3">
        <v>14.186755952380958</v>
      </c>
      <c r="P66" s="3">
        <v>13.861755952380944</v>
      </c>
      <c r="Q66" s="16">
        <f t="shared" si="1"/>
        <v>3.0499294484710915</v>
      </c>
      <c r="R66" s="10">
        <v>8405.6873097620155</v>
      </c>
      <c r="S66" s="12">
        <f t="shared" si="2"/>
        <v>3.3829044854940746E-2</v>
      </c>
    </row>
    <row r="67" spans="1:20" hidden="1">
      <c r="A67" s="9">
        <v>2026</v>
      </c>
      <c r="B67" s="20">
        <v>14</v>
      </c>
      <c r="C67" s="5" t="s">
        <v>18</v>
      </c>
      <c r="D67" s="5" t="s">
        <v>15</v>
      </c>
      <c r="E67" s="5" t="s">
        <v>26</v>
      </c>
      <c r="F67" s="5" t="s">
        <v>27</v>
      </c>
      <c r="G67" s="3" t="str">
        <f t="shared" ref="G67:G134" si="3">+E67&amp;F67</f>
        <v>028COTOPAXI</v>
      </c>
      <c r="H67" s="6">
        <v>5340</v>
      </c>
      <c r="I67" s="6">
        <v>8392</v>
      </c>
      <c r="J67" s="6">
        <v>7618</v>
      </c>
      <c r="K67" s="3">
        <v>2852.5249999999987</v>
      </c>
      <c r="L67" s="3">
        <v>20800</v>
      </c>
      <c r="M67" s="3">
        <v>14</v>
      </c>
      <c r="N67" s="3">
        <v>13.443225806451611</v>
      </c>
      <c r="O67" s="3">
        <v>13.619354838709683</v>
      </c>
      <c r="P67" s="3">
        <v>13.269032258064518</v>
      </c>
      <c r="Q67" s="16">
        <f t="shared" ref="Q67:Q134" si="4">+H67/K67</f>
        <v>1.8720256614753603</v>
      </c>
      <c r="R67" s="10">
        <v>5684.3520114149314</v>
      </c>
      <c r="S67" s="12">
        <f t="shared" ref="S67:S134" si="5">+(H67-R67)/H67</f>
        <v>-6.4485395396054579E-2</v>
      </c>
    </row>
    <row r="68" spans="1:20" hidden="1">
      <c r="A68" s="9">
        <v>2026</v>
      </c>
      <c r="B68" s="20">
        <v>15</v>
      </c>
      <c r="C68" s="5" t="s">
        <v>18</v>
      </c>
      <c r="D68" s="5" t="s">
        <v>15</v>
      </c>
      <c r="E68" s="5" t="s">
        <v>26</v>
      </c>
      <c r="F68" s="5" t="s">
        <v>27</v>
      </c>
      <c r="G68" s="3" t="str">
        <f t="shared" si="3"/>
        <v>028COTOPAXI</v>
      </c>
      <c r="H68" s="6">
        <v>6360</v>
      </c>
      <c r="I68" s="6">
        <v>8297</v>
      </c>
      <c r="J68" s="6">
        <v>9166</v>
      </c>
      <c r="K68" s="3">
        <v>2852.5249999999987</v>
      </c>
      <c r="L68" s="3">
        <v>20800</v>
      </c>
      <c r="M68" s="3">
        <v>14</v>
      </c>
      <c r="N68" s="3">
        <v>14.582738095238117</v>
      </c>
      <c r="O68" s="3">
        <v>14.794791666666661</v>
      </c>
      <c r="P68" s="3">
        <v>14.374404761904756</v>
      </c>
      <c r="Q68" s="16">
        <f t="shared" si="4"/>
        <v>2.2296035968133507</v>
      </c>
      <c r="R68" s="10">
        <v>6845.1510202564714</v>
      </c>
      <c r="S68" s="12">
        <f t="shared" si="5"/>
        <v>-7.6281606958564688E-2</v>
      </c>
    </row>
    <row r="69" spans="1:20" hidden="1">
      <c r="A69" s="9">
        <v>2026</v>
      </c>
      <c r="B69" s="20">
        <v>16</v>
      </c>
      <c r="C69" s="5" t="s">
        <v>18</v>
      </c>
      <c r="D69" s="5" t="s">
        <v>15</v>
      </c>
      <c r="E69" s="5" t="s">
        <v>26</v>
      </c>
      <c r="F69" s="5" t="s">
        <v>27</v>
      </c>
      <c r="G69" s="3" t="str">
        <f t="shared" si="3"/>
        <v>028COTOPAXI</v>
      </c>
      <c r="H69" s="6">
        <v>9840</v>
      </c>
      <c r="I69" s="6">
        <v>9145</v>
      </c>
      <c r="J69" s="6">
        <v>9145</v>
      </c>
      <c r="K69" s="3">
        <v>2852.5249999999987</v>
      </c>
      <c r="L69" s="3">
        <v>20800</v>
      </c>
      <c r="M69" s="3">
        <v>14</v>
      </c>
      <c r="N69" s="3">
        <v>14.597473997028219</v>
      </c>
      <c r="O69" s="3">
        <v>14.758098068350654</v>
      </c>
      <c r="P69" s="3">
        <v>14.440416047548274</v>
      </c>
      <c r="Q69" s="16">
        <f t="shared" si="4"/>
        <v>3.4495753762017878</v>
      </c>
      <c r="R69" s="10">
        <v>5005.3636617976936</v>
      </c>
      <c r="S69" s="13">
        <f t="shared" si="5"/>
        <v>0.49132483111812059</v>
      </c>
      <c r="T69" s="11">
        <v>0.33</v>
      </c>
    </row>
    <row r="70" spans="1:20" hidden="1">
      <c r="A70" s="9">
        <v>2026</v>
      </c>
      <c r="B70" s="20">
        <v>17</v>
      </c>
      <c r="C70" s="5" t="s">
        <v>18</v>
      </c>
      <c r="D70" s="5" t="s">
        <v>15</v>
      </c>
      <c r="E70" s="5" t="s">
        <v>26</v>
      </c>
      <c r="F70" s="5" t="s">
        <v>27</v>
      </c>
      <c r="G70" s="3" t="str">
        <f t="shared" si="3"/>
        <v>028COTOPAXI</v>
      </c>
      <c r="H70" s="6">
        <v>12600</v>
      </c>
      <c r="I70" s="6">
        <v>10347</v>
      </c>
      <c r="J70" s="6">
        <v>10347</v>
      </c>
      <c r="K70" s="3">
        <v>2852.5249999999987</v>
      </c>
      <c r="L70" s="3">
        <v>20800</v>
      </c>
      <c r="M70" s="3">
        <v>14</v>
      </c>
      <c r="N70" s="3">
        <v>13.77291666666668</v>
      </c>
      <c r="O70" s="3">
        <v>13.952678571428605</v>
      </c>
      <c r="P70" s="3">
        <v>13.599702380952387</v>
      </c>
      <c r="Q70" s="16">
        <f t="shared" si="4"/>
        <v>4.4171392012339963</v>
      </c>
      <c r="R70" s="10">
        <v>3847.5711065268738</v>
      </c>
      <c r="S70" s="13">
        <f t="shared" si="5"/>
        <v>0.69463721376770848</v>
      </c>
      <c r="T70" s="11">
        <v>0.61</v>
      </c>
    </row>
    <row r="71" spans="1:20" hidden="1">
      <c r="A71" s="9">
        <v>2026</v>
      </c>
      <c r="B71" s="20">
        <v>18</v>
      </c>
      <c r="C71" s="5" t="s">
        <v>18</v>
      </c>
      <c r="D71" s="5" t="s">
        <v>15</v>
      </c>
      <c r="E71" s="5" t="s">
        <v>26</v>
      </c>
      <c r="F71" s="5" t="s">
        <v>27</v>
      </c>
      <c r="G71" s="3" t="str">
        <f t="shared" si="3"/>
        <v>028COTOPAXI</v>
      </c>
      <c r="H71" s="6">
        <v>8430</v>
      </c>
      <c r="I71" s="6">
        <v>8413</v>
      </c>
      <c r="J71" s="6">
        <v>9684</v>
      </c>
      <c r="K71" s="3">
        <v>2852.5250000000001</v>
      </c>
      <c r="L71" s="3">
        <v>20800</v>
      </c>
      <c r="M71" s="3">
        <v>14</v>
      </c>
      <c r="N71" s="3">
        <v>13.828017883755605</v>
      </c>
      <c r="O71" s="3">
        <v>14.020864381520106</v>
      </c>
      <c r="P71" s="3">
        <v>13.638748137108793</v>
      </c>
      <c r="Q71" s="16">
        <f t="shared" si="4"/>
        <v>2.9552764655875059</v>
      </c>
      <c r="R71" s="10">
        <v>8127.4992270575376</v>
      </c>
      <c r="S71" s="13">
        <f t="shared" si="5"/>
        <v>3.5883840206697791E-2</v>
      </c>
      <c r="T71" s="11">
        <v>7.0000000000000007E-2</v>
      </c>
    </row>
    <row r="72" spans="1:20" hidden="1">
      <c r="A72" s="9">
        <v>2026</v>
      </c>
      <c r="B72" s="19">
        <v>19</v>
      </c>
      <c r="C72" s="3" t="s">
        <v>18</v>
      </c>
      <c r="D72" s="3" t="s">
        <v>15</v>
      </c>
      <c r="E72" s="3" t="s">
        <v>26</v>
      </c>
      <c r="F72" s="22" t="s">
        <v>27</v>
      </c>
      <c r="G72" s="3" t="str">
        <f t="shared" si="3"/>
        <v>028COTOPAXI</v>
      </c>
      <c r="H72" s="3">
        <v>5070</v>
      </c>
      <c r="I72" s="3">
        <v>7476</v>
      </c>
      <c r="J72" s="3">
        <v>6796</v>
      </c>
      <c r="K72" s="3">
        <v>2852.5250000000001</v>
      </c>
      <c r="L72" s="3">
        <v>20800</v>
      </c>
      <c r="M72" s="3">
        <v>14</v>
      </c>
      <c r="N72" s="3">
        <v>13.801155115511554</v>
      </c>
      <c r="O72" s="3">
        <v>14.032838283828401</v>
      </c>
      <c r="P72" s="3">
        <v>13.571947194719476</v>
      </c>
      <c r="Q72" s="16">
        <f t="shared" si="4"/>
        <v>1.7773726785917738</v>
      </c>
      <c r="R72" s="24">
        <v>4292</v>
      </c>
      <c r="S72" s="13">
        <f t="shared" si="5"/>
        <v>0.15345167652859962</v>
      </c>
    </row>
    <row r="73" spans="1:20" hidden="1">
      <c r="A73" s="9">
        <v>2026</v>
      </c>
      <c r="B73" s="19">
        <v>20</v>
      </c>
      <c r="C73" s="3" t="s">
        <v>18</v>
      </c>
      <c r="D73" s="3" t="s">
        <v>15</v>
      </c>
      <c r="E73" s="3" t="s">
        <v>26</v>
      </c>
      <c r="F73" s="22" t="s">
        <v>27</v>
      </c>
      <c r="G73" s="3" t="str">
        <f t="shared" si="3"/>
        <v>028COTOPAXI</v>
      </c>
      <c r="H73" s="23">
        <v>9000</v>
      </c>
      <c r="I73" s="3">
        <v>8505</v>
      </c>
      <c r="J73" s="3">
        <v>7027</v>
      </c>
      <c r="K73" s="3">
        <v>2852.5250000000001</v>
      </c>
      <c r="L73" s="3">
        <v>20800</v>
      </c>
      <c r="M73" s="3">
        <v>14</v>
      </c>
      <c r="N73" s="3">
        <v>14.886996336996331</v>
      </c>
      <c r="O73" s="3">
        <v>15.080952380952363</v>
      </c>
      <c r="P73" s="3">
        <v>14.693406593406582</v>
      </c>
      <c r="Q73" s="16">
        <f t="shared" si="4"/>
        <v>3.1550994294528532</v>
      </c>
      <c r="R73" s="24">
        <v>7473</v>
      </c>
      <c r="S73" s="12">
        <f t="shared" si="5"/>
        <v>0.16966666666666666</v>
      </c>
    </row>
    <row r="74" spans="1:20" hidden="1">
      <c r="A74" s="9">
        <v>2026</v>
      </c>
      <c r="B74" s="19">
        <v>21</v>
      </c>
      <c r="C74" s="3" t="s">
        <v>18</v>
      </c>
      <c r="D74" s="3" t="s">
        <v>15</v>
      </c>
      <c r="E74" s="3" t="s">
        <v>26</v>
      </c>
      <c r="F74" s="22" t="s">
        <v>27</v>
      </c>
      <c r="G74" s="3" t="str">
        <f t="shared" si="3"/>
        <v>028COTOPAXI</v>
      </c>
      <c r="H74" s="23">
        <v>8250</v>
      </c>
      <c r="I74" s="3">
        <v>8421</v>
      </c>
      <c r="J74" s="3">
        <v>8240</v>
      </c>
      <c r="K74" s="3">
        <v>2852.5250000000001</v>
      </c>
      <c r="L74" s="3">
        <v>20800</v>
      </c>
      <c r="M74" s="3">
        <v>14</v>
      </c>
      <c r="N74" s="3">
        <v>14.097372742200333</v>
      </c>
      <c r="O74" s="3">
        <v>14.333333333333339</v>
      </c>
      <c r="P74" s="3">
        <v>13.866009852216745</v>
      </c>
      <c r="Q74" s="16">
        <f t="shared" si="4"/>
        <v>2.8921744769984485</v>
      </c>
      <c r="R74" s="24">
        <v>8101</v>
      </c>
      <c r="S74" s="12">
        <f t="shared" si="5"/>
        <v>1.8060606060606062E-2</v>
      </c>
    </row>
    <row r="75" spans="1:20" hidden="1">
      <c r="A75" s="9">
        <v>2026</v>
      </c>
      <c r="B75" s="19">
        <v>22</v>
      </c>
      <c r="C75" s="3" t="s">
        <v>18</v>
      </c>
      <c r="D75" s="3" t="s">
        <v>15</v>
      </c>
      <c r="E75" s="3" t="s">
        <v>26</v>
      </c>
      <c r="F75" s="22" t="s">
        <v>27</v>
      </c>
      <c r="G75" s="3" t="str">
        <f t="shared" si="3"/>
        <v>028COTOPAXI</v>
      </c>
      <c r="H75" s="23">
        <v>7050</v>
      </c>
      <c r="I75" s="3">
        <v>8043</v>
      </c>
      <c r="J75" s="3">
        <v>7526</v>
      </c>
      <c r="K75" s="3">
        <v>2852.5250000000001</v>
      </c>
      <c r="L75" s="3">
        <v>20800</v>
      </c>
      <c r="M75" s="3">
        <v>14</v>
      </c>
      <c r="N75" s="3">
        <v>14.862558502340111</v>
      </c>
      <c r="O75" s="3">
        <v>15.090171606864288</v>
      </c>
      <c r="P75" s="3">
        <v>14.637597503900155</v>
      </c>
      <c r="Q75" s="16">
        <f t="shared" si="4"/>
        <v>2.4714945530714014</v>
      </c>
      <c r="R75" s="24">
        <v>7757</v>
      </c>
      <c r="S75" s="12">
        <f t="shared" si="5"/>
        <v>-0.10028368794326241</v>
      </c>
    </row>
    <row r="76" spans="1:20" hidden="1">
      <c r="A76" s="9">
        <v>2025</v>
      </c>
      <c r="B76" s="19">
        <v>1</v>
      </c>
      <c r="C76" s="3" t="s">
        <v>18</v>
      </c>
      <c r="D76" s="3" t="s">
        <v>15</v>
      </c>
      <c r="E76" s="3" t="s">
        <v>26</v>
      </c>
      <c r="F76" s="3" t="s">
        <v>28</v>
      </c>
      <c r="G76" s="3" t="str">
        <f t="shared" si="3"/>
        <v>028DEEP PURPLE</v>
      </c>
      <c r="H76" s="3">
        <v>4920</v>
      </c>
      <c r="I76" s="3">
        <v>5452</v>
      </c>
      <c r="J76" s="3">
        <v>5914</v>
      </c>
      <c r="K76" s="3">
        <v>2852.5250000000001</v>
      </c>
      <c r="L76" s="3">
        <v>20800</v>
      </c>
      <c r="M76" s="3">
        <v>12</v>
      </c>
      <c r="N76" s="3">
        <v>14.926896551724157</v>
      </c>
      <c r="O76" s="3">
        <v>15.150114942528749</v>
      </c>
      <c r="P76" s="3">
        <v>14.717701149425297</v>
      </c>
      <c r="Q76" s="16">
        <f t="shared" si="4"/>
        <v>1.724787688100893</v>
      </c>
      <c r="R76" s="10">
        <v>4768.0846315732933</v>
      </c>
      <c r="S76" s="12">
        <f t="shared" si="5"/>
        <v>3.0877107403802166E-2</v>
      </c>
    </row>
    <row r="77" spans="1:20" hidden="1">
      <c r="A77" s="9">
        <v>2025</v>
      </c>
      <c r="B77" s="19">
        <v>2</v>
      </c>
      <c r="C77" s="3" t="s">
        <v>18</v>
      </c>
      <c r="D77" s="3" t="s">
        <v>15</v>
      </c>
      <c r="E77" s="3" t="s">
        <v>26</v>
      </c>
      <c r="F77" s="3" t="s">
        <v>28</v>
      </c>
      <c r="G77" s="3" t="str">
        <f t="shared" si="3"/>
        <v>028DEEP PURPLE</v>
      </c>
      <c r="H77" s="3">
        <v>5250</v>
      </c>
      <c r="I77" s="3">
        <v>5538</v>
      </c>
      <c r="J77" s="3">
        <v>6477</v>
      </c>
      <c r="K77" s="3">
        <v>2852.5250000000001</v>
      </c>
      <c r="L77" s="3">
        <v>20800</v>
      </c>
      <c r="M77" s="3">
        <v>12</v>
      </c>
      <c r="N77" s="3">
        <v>15.117031249999988</v>
      </c>
      <c r="O77" s="3">
        <v>15.357656249999996</v>
      </c>
      <c r="P77" s="3">
        <v>14.884374999999986</v>
      </c>
      <c r="Q77" s="16">
        <f t="shared" si="4"/>
        <v>1.840474667180831</v>
      </c>
      <c r="R77" s="10">
        <v>2717.808239996777</v>
      </c>
      <c r="S77" s="12">
        <f t="shared" si="5"/>
        <v>0.48232224000061391</v>
      </c>
    </row>
    <row r="78" spans="1:20" hidden="1">
      <c r="A78" s="9">
        <v>2025</v>
      </c>
      <c r="B78" s="19">
        <v>3</v>
      </c>
      <c r="C78" s="3" t="s">
        <v>18</v>
      </c>
      <c r="D78" s="3" t="s">
        <v>15</v>
      </c>
      <c r="E78" s="3" t="s">
        <v>26</v>
      </c>
      <c r="F78" s="3" t="s">
        <v>28</v>
      </c>
      <c r="G78" s="3" t="str">
        <f t="shared" si="3"/>
        <v>028DEEP PURPLE</v>
      </c>
      <c r="H78" s="3">
        <v>9390</v>
      </c>
      <c r="I78" s="3">
        <v>9483</v>
      </c>
      <c r="J78" s="3">
        <v>8984</v>
      </c>
      <c r="K78" s="3">
        <v>2852.5250000000001</v>
      </c>
      <c r="L78" s="3">
        <v>20800</v>
      </c>
      <c r="M78" s="3">
        <v>12</v>
      </c>
      <c r="N78" s="3">
        <v>14.559689922480603</v>
      </c>
      <c r="O78" s="3">
        <v>14.791627906976728</v>
      </c>
      <c r="P78" s="3">
        <v>14.336744186046507</v>
      </c>
      <c r="Q78" s="16">
        <f t="shared" si="4"/>
        <v>3.2918204047291435</v>
      </c>
      <c r="R78" s="10">
        <v>9322.6344672649011</v>
      </c>
      <c r="S78" s="12">
        <f t="shared" si="5"/>
        <v>7.1741781400531304E-3</v>
      </c>
    </row>
    <row r="79" spans="1:20" hidden="1">
      <c r="A79" s="9">
        <v>2025</v>
      </c>
      <c r="B79" s="19">
        <v>4</v>
      </c>
      <c r="C79" s="3" t="s">
        <v>18</v>
      </c>
      <c r="D79" s="3" t="s">
        <v>15</v>
      </c>
      <c r="E79" s="3" t="s">
        <v>26</v>
      </c>
      <c r="F79" s="3" t="s">
        <v>28</v>
      </c>
      <c r="G79" s="3" t="str">
        <f t="shared" si="3"/>
        <v>028DEEP PURPLE</v>
      </c>
      <c r="H79" s="3">
        <v>18720</v>
      </c>
      <c r="I79" s="3">
        <v>15441</v>
      </c>
      <c r="J79" s="3">
        <v>15431</v>
      </c>
      <c r="K79" s="3">
        <v>2852.5250000000001</v>
      </c>
      <c r="L79" s="3">
        <v>20800</v>
      </c>
      <c r="M79" s="3">
        <v>12</v>
      </c>
      <c r="N79" s="3">
        <v>14.620404984423683</v>
      </c>
      <c r="O79" s="3">
        <v>14.90529595015577</v>
      </c>
      <c r="P79" s="3">
        <v>14.333644859813107</v>
      </c>
      <c r="Q79" s="16">
        <f t="shared" si="4"/>
        <v>6.562606813261934</v>
      </c>
      <c r="R79" s="10">
        <v>5313.9016463409926</v>
      </c>
      <c r="S79" s="12">
        <f t="shared" si="5"/>
        <v>0.71613773256725466</v>
      </c>
    </row>
    <row r="80" spans="1:20" hidden="1">
      <c r="A80" s="9">
        <v>2025</v>
      </c>
      <c r="B80" s="19">
        <v>5</v>
      </c>
      <c r="C80" s="3" t="s">
        <v>18</v>
      </c>
      <c r="D80" s="3" t="s">
        <v>15</v>
      </c>
      <c r="E80" s="3" t="s">
        <v>26</v>
      </c>
      <c r="F80" s="3" t="s">
        <v>28</v>
      </c>
      <c r="G80" s="3" t="str">
        <f t="shared" si="3"/>
        <v>028DEEP PURPLE</v>
      </c>
      <c r="H80" s="3">
        <v>25050</v>
      </c>
      <c r="I80" s="3">
        <v>17775</v>
      </c>
      <c r="J80" s="3">
        <v>15777</v>
      </c>
      <c r="K80" s="3">
        <v>2852.5250000000001</v>
      </c>
      <c r="L80" s="3">
        <v>20800</v>
      </c>
      <c r="M80" s="3">
        <v>12</v>
      </c>
      <c r="N80" s="3">
        <v>15.759968602825738</v>
      </c>
      <c r="O80" s="3">
        <v>16.024332810047081</v>
      </c>
      <c r="P80" s="3">
        <v>15.492935635792767</v>
      </c>
      <c r="Q80" s="16">
        <f t="shared" si="4"/>
        <v>8.7816934119771073</v>
      </c>
      <c r="R80" s="10">
        <v>20168.59733293291</v>
      </c>
      <c r="S80" s="12">
        <f t="shared" si="5"/>
        <v>0.19486637393481399</v>
      </c>
    </row>
    <row r="81" spans="1:19" hidden="1">
      <c r="A81" s="9">
        <v>2025</v>
      </c>
      <c r="B81" s="19">
        <v>6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3"/>
        <v>028DEEP PURPLE</v>
      </c>
      <c r="H81" s="3">
        <v>13560</v>
      </c>
      <c r="I81" s="3">
        <v>6725</v>
      </c>
      <c r="J81" s="3">
        <v>7472</v>
      </c>
      <c r="K81" s="3">
        <v>2852.5250000000001</v>
      </c>
      <c r="L81" s="3">
        <v>20800</v>
      </c>
      <c r="M81" s="3">
        <v>12</v>
      </c>
      <c r="N81" s="3">
        <v>14.483252032520339</v>
      </c>
      <c r="O81" s="3">
        <v>14.696910569105704</v>
      </c>
      <c r="P81" s="3">
        <v>14.273333333333341</v>
      </c>
      <c r="Q81" s="16">
        <f t="shared" si="4"/>
        <v>4.7536831403756317</v>
      </c>
      <c r="R81" s="10">
        <v>11496.10047977176</v>
      </c>
      <c r="S81" s="12">
        <f t="shared" si="5"/>
        <v>0.15220497936786434</v>
      </c>
    </row>
    <row r="82" spans="1:19" hidden="1">
      <c r="A82" s="9">
        <v>2025</v>
      </c>
      <c r="B82" s="19">
        <v>7</v>
      </c>
      <c r="C82" s="3" t="s">
        <v>18</v>
      </c>
      <c r="D82" s="3" t="s">
        <v>15</v>
      </c>
      <c r="E82" s="3" t="s">
        <v>26</v>
      </c>
      <c r="F82" s="3" t="s">
        <v>28</v>
      </c>
      <c r="G82" s="3" t="str">
        <f t="shared" si="3"/>
        <v>028DEEP PURPLE</v>
      </c>
      <c r="H82" s="3">
        <v>8940</v>
      </c>
      <c r="I82" s="3">
        <v>7896</v>
      </c>
      <c r="J82" s="3">
        <v>4371</v>
      </c>
      <c r="K82" s="3">
        <v>2852.5250000000001</v>
      </c>
      <c r="L82" s="3">
        <v>20800</v>
      </c>
      <c r="M82" s="3">
        <v>12</v>
      </c>
      <c r="N82" s="3">
        <v>13.801155115511554</v>
      </c>
      <c r="O82" s="3">
        <v>14.032838283828401</v>
      </c>
      <c r="P82" s="3">
        <v>13.571947194719476</v>
      </c>
      <c r="Q82" s="16">
        <f t="shared" si="4"/>
        <v>3.1340654332565006</v>
      </c>
      <c r="R82" s="10">
        <v>9563.6225755409068</v>
      </c>
      <c r="S82" s="12">
        <f t="shared" si="5"/>
        <v>-6.9756440217103671E-2</v>
      </c>
    </row>
    <row r="83" spans="1:19" hidden="1">
      <c r="A83" s="9">
        <v>2025</v>
      </c>
      <c r="B83" s="19">
        <v>8</v>
      </c>
      <c r="C83" s="3" t="s">
        <v>18</v>
      </c>
      <c r="D83" s="3" t="s">
        <v>15</v>
      </c>
      <c r="E83" s="3" t="s">
        <v>26</v>
      </c>
      <c r="F83" s="3" t="s">
        <v>28</v>
      </c>
      <c r="G83" s="3" t="str">
        <f t="shared" si="3"/>
        <v>028DEEP PURPLE</v>
      </c>
      <c r="H83" s="3">
        <v>4950</v>
      </c>
      <c r="I83" s="3">
        <v>7433</v>
      </c>
      <c r="J83" s="3">
        <v>6855</v>
      </c>
      <c r="K83" s="3">
        <v>2852.5250000000001</v>
      </c>
      <c r="L83" s="3">
        <v>20800</v>
      </c>
      <c r="M83" s="3">
        <v>12</v>
      </c>
      <c r="N83" s="3">
        <v>14.886996336996331</v>
      </c>
      <c r="O83" s="3">
        <v>15.080952380952363</v>
      </c>
      <c r="P83" s="3">
        <v>14.693406593406582</v>
      </c>
      <c r="Q83" s="16">
        <f t="shared" si="4"/>
        <v>1.7353046861990691</v>
      </c>
      <c r="R83" s="10">
        <v>5021.7225971628941</v>
      </c>
      <c r="S83" s="12">
        <f t="shared" si="5"/>
        <v>-1.4489413568261432E-2</v>
      </c>
    </row>
    <row r="84" spans="1:19" hidden="1">
      <c r="A84" s="9">
        <v>2025</v>
      </c>
      <c r="B84" s="19">
        <v>9</v>
      </c>
      <c r="C84" s="3" t="s">
        <v>18</v>
      </c>
      <c r="D84" s="3" t="s">
        <v>15</v>
      </c>
      <c r="E84" s="3" t="s">
        <v>26</v>
      </c>
      <c r="F84" s="3" t="s">
        <v>28</v>
      </c>
      <c r="G84" s="3" t="str">
        <f t="shared" si="3"/>
        <v>028DEEP PURPLE</v>
      </c>
      <c r="H84" s="3">
        <v>4620</v>
      </c>
      <c r="I84" s="3">
        <v>6026</v>
      </c>
      <c r="J84" s="3">
        <v>7079</v>
      </c>
      <c r="K84" s="3">
        <v>2852.5250000000001</v>
      </c>
      <c r="L84" s="3">
        <v>20800</v>
      </c>
      <c r="M84" s="3">
        <v>12</v>
      </c>
      <c r="N84" s="3">
        <v>14.097372742200333</v>
      </c>
      <c r="O84" s="3">
        <v>14.333333333333339</v>
      </c>
      <c r="P84" s="3">
        <v>13.866009852216745</v>
      </c>
      <c r="Q84" s="16">
        <f t="shared" si="4"/>
        <v>1.6196177071191313</v>
      </c>
      <c r="R84" s="10">
        <v>4890.5352157335165</v>
      </c>
      <c r="S84" s="12">
        <f t="shared" si="5"/>
        <v>-5.8557406002925638E-2</v>
      </c>
    </row>
    <row r="85" spans="1:19" hidden="1">
      <c r="A85" s="9">
        <v>2025</v>
      </c>
      <c r="B85" s="19">
        <v>10</v>
      </c>
      <c r="C85" s="3" t="s">
        <v>18</v>
      </c>
      <c r="D85" s="3" t="s">
        <v>15</v>
      </c>
      <c r="E85" s="3" t="s">
        <v>26</v>
      </c>
      <c r="F85" s="3" t="s">
        <v>28</v>
      </c>
      <c r="G85" s="3" t="str">
        <f t="shared" si="3"/>
        <v>028DEEP PURPLE</v>
      </c>
      <c r="H85" s="3">
        <v>3840</v>
      </c>
      <c r="I85" s="3">
        <v>5684</v>
      </c>
      <c r="J85" s="3">
        <v>5657</v>
      </c>
      <c r="K85" s="3">
        <v>2852.5250000000001</v>
      </c>
      <c r="L85" s="3">
        <v>20800</v>
      </c>
      <c r="M85" s="3">
        <v>12</v>
      </c>
      <c r="N85" s="3">
        <v>14.862558502340111</v>
      </c>
      <c r="O85" s="3">
        <v>15.090171606864288</v>
      </c>
      <c r="P85" s="3">
        <v>14.637597503900155</v>
      </c>
      <c r="Q85" s="16">
        <f t="shared" si="4"/>
        <v>1.3461757565665506</v>
      </c>
      <c r="R85" s="10">
        <v>4122.3946652507002</v>
      </c>
      <c r="S85" s="12">
        <f t="shared" si="5"/>
        <v>-7.3540277409036514E-2</v>
      </c>
    </row>
    <row r="86" spans="1:19" hidden="1">
      <c r="A86" s="9">
        <v>2025</v>
      </c>
      <c r="B86" s="19">
        <v>11</v>
      </c>
      <c r="C86" s="3" t="s">
        <v>18</v>
      </c>
      <c r="D86" s="3" t="s">
        <v>15</v>
      </c>
      <c r="E86" s="3" t="s">
        <v>26</v>
      </c>
      <c r="F86" s="3" t="s">
        <v>28</v>
      </c>
      <c r="G86" s="3" t="str">
        <f t="shared" si="3"/>
        <v>028DEEP PURPLE</v>
      </c>
      <c r="H86" s="3">
        <v>3690</v>
      </c>
      <c r="I86" s="3">
        <v>4780</v>
      </c>
      <c r="J86" s="3">
        <v>5755</v>
      </c>
      <c r="K86" s="3">
        <v>2852.5250000000001</v>
      </c>
      <c r="L86" s="3">
        <v>20800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16">
        <f t="shared" si="4"/>
        <v>1.2935907660756698</v>
      </c>
      <c r="R86" s="10">
        <v>3995.9201599651242</v>
      </c>
      <c r="S86" s="12">
        <f t="shared" si="5"/>
        <v>-8.2905192402472683E-2</v>
      </c>
    </row>
    <row r="87" spans="1:19" hidden="1">
      <c r="A87" s="9">
        <v>2025</v>
      </c>
      <c r="B87" s="19">
        <v>12</v>
      </c>
      <c r="C87" s="3" t="s">
        <v>18</v>
      </c>
      <c r="D87" s="3" t="s">
        <v>15</v>
      </c>
      <c r="E87" s="3" t="s">
        <v>26</v>
      </c>
      <c r="F87" s="3" t="s">
        <v>28</v>
      </c>
      <c r="G87" s="3" t="str">
        <f t="shared" si="3"/>
        <v>028DEEP PURPLE</v>
      </c>
      <c r="H87" s="3">
        <v>2970</v>
      </c>
      <c r="I87" s="3">
        <v>4435</v>
      </c>
      <c r="J87" s="3">
        <v>4992</v>
      </c>
      <c r="K87" s="3">
        <v>2852.5250000000001</v>
      </c>
      <c r="L87" s="3">
        <v>20800</v>
      </c>
      <c r="M87" s="3">
        <v>12</v>
      </c>
      <c r="N87" s="3">
        <v>14.314696485623003</v>
      </c>
      <c r="O87" s="3">
        <v>14.549999999999999</v>
      </c>
      <c r="P87" s="3">
        <v>14.083386581469659</v>
      </c>
      <c r="Q87" s="16">
        <f t="shared" si="4"/>
        <v>1.0411828117194415</v>
      </c>
      <c r="R87" s="10">
        <v>3124.1293636026612</v>
      </c>
      <c r="S87" s="12">
        <f t="shared" si="5"/>
        <v>-5.1895408620424653E-2</v>
      </c>
    </row>
    <row r="88" spans="1:19" hidden="1">
      <c r="A88" s="9">
        <v>2025</v>
      </c>
      <c r="B88" s="19">
        <v>13</v>
      </c>
      <c r="C88" s="3" t="s">
        <v>18</v>
      </c>
      <c r="D88" s="3" t="s">
        <v>15</v>
      </c>
      <c r="E88" s="3" t="s">
        <v>26</v>
      </c>
      <c r="F88" s="3" t="s">
        <v>28</v>
      </c>
      <c r="G88" s="3" t="str">
        <f t="shared" si="3"/>
        <v>028DEEP PURPLE</v>
      </c>
      <c r="H88" s="3">
        <v>2940</v>
      </c>
      <c r="I88" s="3">
        <v>5305</v>
      </c>
      <c r="J88" s="3">
        <v>4942</v>
      </c>
      <c r="K88" s="3">
        <v>2852.5250000000001</v>
      </c>
      <c r="L88" s="3">
        <v>20800</v>
      </c>
      <c r="M88" s="3">
        <v>12</v>
      </c>
      <c r="N88" s="3">
        <v>14.926896551724157</v>
      </c>
      <c r="O88" s="3">
        <v>15.150114942528749</v>
      </c>
      <c r="P88" s="3">
        <v>14.717701149425297</v>
      </c>
      <c r="Q88" s="16">
        <f t="shared" si="4"/>
        <v>1.0306658136212654</v>
      </c>
      <c r="R88" s="10">
        <v>3106.6169299781759</v>
      </c>
      <c r="S88" s="12">
        <f t="shared" si="5"/>
        <v>-5.6672425162644868E-2</v>
      </c>
    </row>
    <row r="89" spans="1:19" hidden="1">
      <c r="A89" s="9">
        <v>2025</v>
      </c>
      <c r="B89" s="19">
        <v>14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3"/>
        <v>028DEEP PURPLE</v>
      </c>
      <c r="H89" s="3">
        <v>2820</v>
      </c>
      <c r="I89" s="3">
        <v>5253</v>
      </c>
      <c r="J89" s="3">
        <v>7455</v>
      </c>
      <c r="K89" s="3">
        <v>2852.5250000000001</v>
      </c>
      <c r="L89" s="3">
        <v>20800</v>
      </c>
      <c r="M89" s="3">
        <v>12</v>
      </c>
      <c r="N89" s="3">
        <v>15.117031249999988</v>
      </c>
      <c r="O89" s="3">
        <v>15.357656249999996</v>
      </c>
      <c r="P89" s="3">
        <v>14.884374999999986</v>
      </c>
      <c r="Q89" s="16">
        <f t="shared" si="4"/>
        <v>0.98859782122856066</v>
      </c>
      <c r="R89" s="10">
        <v>2992.2242295296328</v>
      </c>
      <c r="S89" s="12">
        <f t="shared" si="5"/>
        <v>-6.1072421819018723E-2</v>
      </c>
    </row>
    <row r="90" spans="1:19" hidden="1">
      <c r="A90" s="9">
        <v>2025</v>
      </c>
      <c r="B90" s="19">
        <v>15</v>
      </c>
      <c r="C90" s="3" t="s">
        <v>18</v>
      </c>
      <c r="D90" s="3" t="s">
        <v>15</v>
      </c>
      <c r="E90" s="3" t="s">
        <v>26</v>
      </c>
      <c r="F90" s="3" t="s">
        <v>28</v>
      </c>
      <c r="G90" s="3" t="str">
        <f t="shared" si="3"/>
        <v>028DEEP PURPLE</v>
      </c>
      <c r="H90" s="3">
        <v>4980</v>
      </c>
      <c r="I90" s="3">
        <v>6049</v>
      </c>
      <c r="J90" s="3">
        <v>6049</v>
      </c>
      <c r="K90" s="3">
        <v>2852.5250000000001</v>
      </c>
      <c r="L90" s="3">
        <v>20800</v>
      </c>
      <c r="M90" s="3">
        <v>12</v>
      </c>
      <c r="N90" s="3">
        <v>14.559689922480603</v>
      </c>
      <c r="O90" s="3">
        <v>14.791627906976728</v>
      </c>
      <c r="P90" s="3">
        <v>14.336744186046507</v>
      </c>
      <c r="Q90" s="16">
        <f t="shared" si="4"/>
        <v>1.7458216842972454</v>
      </c>
      <c r="R90" s="10">
        <v>5072.9551132979759</v>
      </c>
      <c r="S90" s="12">
        <f t="shared" si="5"/>
        <v>-1.8665685401199984E-2</v>
      </c>
    </row>
    <row r="91" spans="1:19" hidden="1">
      <c r="A91" s="9">
        <v>2025</v>
      </c>
      <c r="B91" s="19">
        <v>16</v>
      </c>
      <c r="C91" s="3" t="s">
        <v>18</v>
      </c>
      <c r="D91" s="3" t="s">
        <v>15</v>
      </c>
      <c r="E91" s="3" t="s">
        <v>26</v>
      </c>
      <c r="F91" s="3" t="s">
        <v>28</v>
      </c>
      <c r="G91" s="3" t="str">
        <f t="shared" si="3"/>
        <v>028DEEP PURPLE</v>
      </c>
      <c r="H91" s="3">
        <v>10800</v>
      </c>
      <c r="I91" s="3">
        <v>14454</v>
      </c>
      <c r="J91" s="3">
        <v>15215</v>
      </c>
      <c r="K91" s="3">
        <v>2852.5250000000001</v>
      </c>
      <c r="L91" s="3">
        <v>20800</v>
      </c>
      <c r="M91" s="3">
        <v>12</v>
      </c>
      <c r="N91" s="3">
        <v>14.620404984423683</v>
      </c>
      <c r="O91" s="3">
        <v>14.90529595015577</v>
      </c>
      <c r="P91" s="3">
        <v>14.333644859813107</v>
      </c>
      <c r="Q91" s="16">
        <f t="shared" si="4"/>
        <v>3.7861193153434236</v>
      </c>
      <c r="R91" s="10">
        <v>11997.796773493221</v>
      </c>
      <c r="S91" s="12">
        <f t="shared" si="5"/>
        <v>-0.1109071086567797</v>
      </c>
    </row>
    <row r="92" spans="1:19" hidden="1">
      <c r="A92" s="9">
        <v>2025</v>
      </c>
      <c r="B92" s="19">
        <v>17</v>
      </c>
      <c r="C92" s="3" t="s">
        <v>18</v>
      </c>
      <c r="D92" s="3" t="s">
        <v>15</v>
      </c>
      <c r="E92" s="3" t="s">
        <v>26</v>
      </c>
      <c r="F92" s="3" t="s">
        <v>28</v>
      </c>
      <c r="G92" s="3" t="str">
        <f t="shared" si="3"/>
        <v>028DEEP PURPLE</v>
      </c>
      <c r="H92" s="3">
        <v>21510</v>
      </c>
      <c r="I92" s="3">
        <v>21672</v>
      </c>
      <c r="J92" s="3">
        <v>21672</v>
      </c>
      <c r="K92" s="3">
        <v>2852.5250000000001</v>
      </c>
      <c r="L92" s="3">
        <v>20800</v>
      </c>
      <c r="M92" s="3">
        <v>12</v>
      </c>
      <c r="N92" s="3">
        <v>15.759968602825738</v>
      </c>
      <c r="O92" s="3">
        <v>16.024332810047081</v>
      </c>
      <c r="P92" s="3">
        <v>15.492935635792767</v>
      </c>
      <c r="Q92" s="16">
        <f t="shared" si="4"/>
        <v>7.5406876363923185</v>
      </c>
      <c r="R92" s="10">
        <v>20718.133951341511</v>
      </c>
      <c r="S92" s="12">
        <f t="shared" si="5"/>
        <v>3.6813856283518763E-2</v>
      </c>
    </row>
    <row r="93" spans="1:19" hidden="1">
      <c r="A93" s="9">
        <v>2025</v>
      </c>
      <c r="B93" s="19">
        <v>18</v>
      </c>
      <c r="C93" s="3" t="s">
        <v>18</v>
      </c>
      <c r="D93" s="3" t="s">
        <v>15</v>
      </c>
      <c r="E93" s="3" t="s">
        <v>26</v>
      </c>
      <c r="F93" s="3" t="s">
        <v>28</v>
      </c>
      <c r="G93" s="3" t="str">
        <f t="shared" si="3"/>
        <v>028DEEP PURPLE</v>
      </c>
      <c r="H93" s="3">
        <v>18870</v>
      </c>
      <c r="I93" s="3">
        <v>17480</v>
      </c>
      <c r="J93" s="3">
        <v>17480</v>
      </c>
      <c r="K93" s="3">
        <v>2852.5250000000001</v>
      </c>
      <c r="L93" s="3">
        <v>20800</v>
      </c>
      <c r="M93" s="3">
        <v>12</v>
      </c>
      <c r="N93" s="3">
        <v>14.483252032520339</v>
      </c>
      <c r="O93" s="3">
        <v>14.696910569105704</v>
      </c>
      <c r="P93" s="3">
        <v>14.273333333333341</v>
      </c>
      <c r="Q93" s="16">
        <f t="shared" si="4"/>
        <v>6.6151918037528157</v>
      </c>
      <c r="R93" s="10">
        <v>11809.33635226466</v>
      </c>
      <c r="S93" s="12">
        <f t="shared" si="5"/>
        <v>0.37417401418841234</v>
      </c>
    </row>
    <row r="94" spans="1:19" hidden="1">
      <c r="A94" s="9">
        <v>2025</v>
      </c>
      <c r="B94" s="19">
        <v>19</v>
      </c>
      <c r="C94" s="3" t="s">
        <v>18</v>
      </c>
      <c r="D94" s="3" t="s">
        <v>15</v>
      </c>
      <c r="E94" s="3" t="s">
        <v>26</v>
      </c>
      <c r="F94" s="3" t="s">
        <v>28</v>
      </c>
      <c r="G94" s="3" t="str">
        <f t="shared" si="3"/>
        <v>028DEEP PURPLE</v>
      </c>
      <c r="H94" s="3">
        <v>11490</v>
      </c>
      <c r="I94" s="3">
        <v>11537</v>
      </c>
      <c r="J94" s="3">
        <v>10488</v>
      </c>
      <c r="K94" s="3">
        <v>2852.5250000000001</v>
      </c>
      <c r="L94" s="3">
        <v>20800</v>
      </c>
      <c r="M94" s="3">
        <v>12</v>
      </c>
      <c r="N94" s="3">
        <v>13.801155115511554</v>
      </c>
      <c r="O94" s="3">
        <v>14.032838283828401</v>
      </c>
      <c r="P94" s="3">
        <v>13.571947194719476</v>
      </c>
      <c r="Q94" s="16">
        <f t="shared" si="4"/>
        <v>4.0280102716014756</v>
      </c>
      <c r="R94" s="10">
        <v>12722.557200060101</v>
      </c>
      <c r="S94" s="12">
        <f t="shared" si="5"/>
        <v>-0.10727216710705835</v>
      </c>
    </row>
    <row r="95" spans="1:19" hidden="1">
      <c r="A95" s="9">
        <v>2025</v>
      </c>
      <c r="B95" s="19">
        <v>20</v>
      </c>
      <c r="C95" s="3" t="s">
        <v>18</v>
      </c>
      <c r="D95" s="3" t="s">
        <v>15</v>
      </c>
      <c r="E95" s="3" t="s">
        <v>26</v>
      </c>
      <c r="F95" s="3" t="s">
        <v>28</v>
      </c>
      <c r="G95" s="3" t="str">
        <f t="shared" si="3"/>
        <v>028DEEP PURPLE</v>
      </c>
      <c r="H95" s="3">
        <v>11700</v>
      </c>
      <c r="I95" s="3">
        <v>7586</v>
      </c>
      <c r="J95" s="3">
        <v>10845</v>
      </c>
      <c r="K95" s="3">
        <v>2852.5250000000001</v>
      </c>
      <c r="L95" s="3">
        <v>20800</v>
      </c>
      <c r="M95" s="3">
        <v>12</v>
      </c>
      <c r="N95" s="3">
        <v>14.886996336996331</v>
      </c>
      <c r="O95" s="3">
        <v>15.080952380952363</v>
      </c>
      <c r="P95" s="3">
        <v>14.693406593406582</v>
      </c>
      <c r="Q95" s="16">
        <f t="shared" si="4"/>
        <v>4.1016292582887086</v>
      </c>
      <c r="R95" s="10">
        <v>13061.46607441836</v>
      </c>
      <c r="S95" s="12">
        <f t="shared" si="5"/>
        <v>-0.11636462174515899</v>
      </c>
    </row>
    <row r="96" spans="1:19" hidden="1">
      <c r="A96" s="9">
        <v>2025</v>
      </c>
      <c r="B96" s="19">
        <v>21</v>
      </c>
      <c r="C96" s="3" t="s">
        <v>18</v>
      </c>
      <c r="D96" s="3" t="s">
        <v>15</v>
      </c>
      <c r="E96" s="3" t="s">
        <v>26</v>
      </c>
      <c r="F96" s="3" t="s">
        <v>28</v>
      </c>
      <c r="G96" s="3" t="str">
        <f t="shared" si="3"/>
        <v>028DEEP PURPLE</v>
      </c>
      <c r="H96" s="3">
        <v>5580</v>
      </c>
      <c r="I96" s="3">
        <v>6393</v>
      </c>
      <c r="J96" s="3">
        <v>6628</v>
      </c>
      <c r="K96" s="3">
        <v>2852.5250000000001</v>
      </c>
      <c r="L96" s="3">
        <v>20800</v>
      </c>
      <c r="M96" s="3">
        <v>12</v>
      </c>
      <c r="N96" s="3">
        <v>14.097372742200333</v>
      </c>
      <c r="O96" s="3">
        <v>14.333333333333339</v>
      </c>
      <c r="P96" s="3">
        <v>13.866009852216745</v>
      </c>
      <c r="Q96" s="16">
        <f t="shared" si="4"/>
        <v>1.9561616462607689</v>
      </c>
      <c r="R96" s="10">
        <v>5756.7737638519466</v>
      </c>
      <c r="S96" s="12">
        <f t="shared" si="5"/>
        <v>-3.1679885994972505E-2</v>
      </c>
    </row>
    <row r="97" spans="1:19" hidden="1">
      <c r="A97" s="9">
        <v>2025</v>
      </c>
      <c r="B97" s="19">
        <v>22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3"/>
        <v>028DEEP PURPLE</v>
      </c>
      <c r="H97" s="3">
        <v>4590</v>
      </c>
      <c r="I97" s="3">
        <v>6127</v>
      </c>
      <c r="J97" s="3">
        <v>5760</v>
      </c>
      <c r="K97" s="3">
        <v>2852.5250000000001</v>
      </c>
      <c r="L97" s="3">
        <v>20800</v>
      </c>
      <c r="M97" s="3">
        <v>12</v>
      </c>
      <c r="N97" s="3">
        <v>14.862558502340111</v>
      </c>
      <c r="O97" s="3">
        <v>15.090171606864288</v>
      </c>
      <c r="P97" s="3">
        <v>14.637597503900155</v>
      </c>
      <c r="Q97" s="16">
        <f t="shared" si="4"/>
        <v>1.609100709020955</v>
      </c>
      <c r="R97" s="10">
        <v>4898.8721654717629</v>
      </c>
      <c r="S97" s="12">
        <f t="shared" si="5"/>
        <v>-6.7292410778161837E-2</v>
      </c>
    </row>
    <row r="98" spans="1:19" hidden="1">
      <c r="A98" s="9">
        <v>2025</v>
      </c>
      <c r="B98" s="19">
        <v>23</v>
      </c>
      <c r="C98" s="3" t="s">
        <v>18</v>
      </c>
      <c r="D98" s="3" t="s">
        <v>15</v>
      </c>
      <c r="E98" s="3" t="s">
        <v>26</v>
      </c>
      <c r="F98" s="3" t="s">
        <v>28</v>
      </c>
      <c r="G98" s="3" t="str">
        <f t="shared" si="3"/>
        <v>028DEEP PURPLE</v>
      </c>
      <c r="H98" s="3">
        <v>3750</v>
      </c>
      <c r="I98" s="3">
        <v>6360</v>
      </c>
      <c r="J98" s="3">
        <v>6360</v>
      </c>
      <c r="K98" s="3">
        <v>2852.5250000000001</v>
      </c>
      <c r="L98" s="3">
        <v>20800</v>
      </c>
      <c r="M98" s="3">
        <v>12</v>
      </c>
      <c r="N98" s="3">
        <v>13.730322580645163</v>
      </c>
      <c r="O98" s="3">
        <v>13.974354838709669</v>
      </c>
      <c r="P98" s="3">
        <v>13.489193548387098</v>
      </c>
      <c r="Q98" s="16">
        <f t="shared" si="4"/>
        <v>1.3146247622720222</v>
      </c>
      <c r="R98" s="10">
        <v>4049.4324648188972</v>
      </c>
      <c r="S98" s="12">
        <f t="shared" si="5"/>
        <v>-7.9848657285039246E-2</v>
      </c>
    </row>
    <row r="99" spans="1:19" hidden="1">
      <c r="A99" s="9">
        <v>2025</v>
      </c>
      <c r="B99" s="19">
        <v>24</v>
      </c>
      <c r="C99" s="3" t="s">
        <v>18</v>
      </c>
      <c r="D99" s="3" t="s">
        <v>15</v>
      </c>
      <c r="E99" s="3" t="s">
        <v>26</v>
      </c>
      <c r="F99" s="3" t="s">
        <v>28</v>
      </c>
      <c r="G99" s="3" t="str">
        <f t="shared" si="3"/>
        <v>028DEEP PURPLE</v>
      </c>
      <c r="H99" s="3">
        <v>3480</v>
      </c>
      <c r="I99" s="3">
        <v>3901</v>
      </c>
      <c r="J99" s="3">
        <v>7392</v>
      </c>
      <c r="K99" s="3">
        <v>2852.5250000000001</v>
      </c>
      <c r="L99" s="3">
        <v>20800</v>
      </c>
      <c r="M99" s="3">
        <v>12</v>
      </c>
      <c r="N99" s="3">
        <v>14.314696485623003</v>
      </c>
      <c r="O99" s="3">
        <v>14.549999999999999</v>
      </c>
      <c r="P99" s="3">
        <v>14.083386581469659</v>
      </c>
      <c r="Q99" s="16">
        <f t="shared" si="4"/>
        <v>1.2199717793884366</v>
      </c>
      <c r="R99" s="10">
        <v>3755.411923658633</v>
      </c>
      <c r="S99" s="12">
        <f t="shared" si="5"/>
        <v>-7.9141357373170393E-2</v>
      </c>
    </row>
    <row r="100" spans="1:19" hidden="1">
      <c r="A100" s="9">
        <v>2025</v>
      </c>
      <c r="B100" s="19">
        <v>25</v>
      </c>
      <c r="C100" s="3" t="s">
        <v>18</v>
      </c>
      <c r="D100" s="3" t="s">
        <v>15</v>
      </c>
      <c r="E100" s="3" t="s">
        <v>26</v>
      </c>
      <c r="F100" s="3" t="s">
        <v>28</v>
      </c>
      <c r="G100" s="3" t="str">
        <f t="shared" si="3"/>
        <v>028DEEP PURPLE</v>
      </c>
      <c r="H100" s="3">
        <v>2340</v>
      </c>
      <c r="I100" s="3">
        <v>4410</v>
      </c>
      <c r="J100" s="3">
        <v>4410</v>
      </c>
      <c r="K100" s="3">
        <v>2852.5250000000001</v>
      </c>
      <c r="L100" s="3">
        <v>20800</v>
      </c>
      <c r="M100" s="3">
        <v>12</v>
      </c>
      <c r="N100" s="3">
        <v>13.355342902711323</v>
      </c>
      <c r="O100" s="3">
        <v>13.582615629984048</v>
      </c>
      <c r="P100" s="3">
        <v>13.129505582137151</v>
      </c>
      <c r="Q100" s="16">
        <f t="shared" si="4"/>
        <v>0.82032585165774174</v>
      </c>
      <c r="R100" s="10">
        <v>2974.3400244294589</v>
      </c>
      <c r="S100" s="12">
        <f t="shared" si="5"/>
        <v>-0.27108548052540982</v>
      </c>
    </row>
    <row r="101" spans="1:19" hidden="1">
      <c r="A101" s="9">
        <v>2025</v>
      </c>
      <c r="B101" s="19">
        <v>26</v>
      </c>
      <c r="C101" s="3" t="s">
        <v>18</v>
      </c>
      <c r="D101" s="3" t="s">
        <v>15</v>
      </c>
      <c r="E101" s="3" t="s">
        <v>26</v>
      </c>
      <c r="F101" s="3" t="s">
        <v>28</v>
      </c>
      <c r="G101" s="3" t="str">
        <f t="shared" si="3"/>
        <v>028DEEP PURPLE</v>
      </c>
      <c r="H101" s="3">
        <v>3420</v>
      </c>
      <c r="I101" s="3">
        <v>3715</v>
      </c>
      <c r="J101" s="3">
        <v>7871</v>
      </c>
      <c r="K101" s="3">
        <v>2852.5250000000001</v>
      </c>
      <c r="L101" s="3">
        <v>20800</v>
      </c>
      <c r="M101" s="3">
        <v>12</v>
      </c>
      <c r="N101" s="3">
        <v>13.694453248811422</v>
      </c>
      <c r="O101" s="3">
        <v>13.929160063391446</v>
      </c>
      <c r="P101" s="3">
        <v>13.455467511885894</v>
      </c>
      <c r="Q101" s="16">
        <f t="shared" si="4"/>
        <v>1.1989377831920842</v>
      </c>
      <c r="R101" s="10">
        <v>3713.4347761896888</v>
      </c>
      <c r="S101" s="12">
        <f t="shared" si="5"/>
        <v>-8.5799642160727718E-2</v>
      </c>
    </row>
    <row r="102" spans="1:19" hidden="1">
      <c r="A102" s="9">
        <v>2025</v>
      </c>
      <c r="B102" s="19">
        <v>27</v>
      </c>
      <c r="C102" s="3" t="s">
        <v>18</v>
      </c>
      <c r="D102" s="3" t="s">
        <v>15</v>
      </c>
      <c r="E102" s="3" t="s">
        <v>26</v>
      </c>
      <c r="F102" s="3" t="s">
        <v>28</v>
      </c>
      <c r="G102" s="3" t="str">
        <f t="shared" si="3"/>
        <v>028DEEP PURPLE</v>
      </c>
      <c r="H102" s="3">
        <v>4140</v>
      </c>
      <c r="I102" s="3">
        <v>3990</v>
      </c>
      <c r="J102" s="3">
        <v>4200</v>
      </c>
      <c r="K102" s="3">
        <v>2852.5250000000001</v>
      </c>
      <c r="L102" s="3">
        <v>20800</v>
      </c>
      <c r="M102" s="3">
        <v>12</v>
      </c>
      <c r="N102" s="3">
        <v>13.246116504854371</v>
      </c>
      <c r="O102" s="3">
        <v>13.484142394822005</v>
      </c>
      <c r="P102" s="3">
        <v>13.012297734627845</v>
      </c>
      <c r="Q102" s="16">
        <f t="shared" si="4"/>
        <v>1.4513457375483123</v>
      </c>
      <c r="R102" s="10">
        <v>4419.5501719401282</v>
      </c>
      <c r="S102" s="12">
        <f t="shared" si="5"/>
        <v>-6.7524196120803903E-2</v>
      </c>
    </row>
    <row r="103" spans="1:19" hidden="1">
      <c r="A103" s="9">
        <v>2025</v>
      </c>
      <c r="B103" s="19">
        <v>28</v>
      </c>
      <c r="C103" s="3" t="s">
        <v>18</v>
      </c>
      <c r="D103" s="3" t="s">
        <v>15</v>
      </c>
      <c r="E103" s="3" t="s">
        <v>26</v>
      </c>
      <c r="F103" s="3" t="s">
        <v>28</v>
      </c>
      <c r="G103" s="3" t="str">
        <f t="shared" si="3"/>
        <v>028DEEP PURPLE</v>
      </c>
      <c r="H103" s="3">
        <v>7260</v>
      </c>
      <c r="I103" s="3">
        <v>4800</v>
      </c>
      <c r="J103" s="3">
        <v>3780</v>
      </c>
      <c r="K103" s="3">
        <v>2852.5250000000001</v>
      </c>
      <c r="L103" s="3">
        <v>20800</v>
      </c>
      <c r="M103" s="3">
        <v>12</v>
      </c>
      <c r="N103" s="3">
        <v>13.238155802861698</v>
      </c>
      <c r="O103" s="3">
        <v>13.458664546899842</v>
      </c>
      <c r="P103" s="3">
        <v>13.014467408585055</v>
      </c>
      <c r="Q103" s="16">
        <f t="shared" si="4"/>
        <v>2.5451135397586349</v>
      </c>
      <c r="R103" s="10">
        <v>7846.8284490524265</v>
      </c>
      <c r="S103" s="12">
        <f t="shared" si="5"/>
        <v>-8.0830364883254346E-2</v>
      </c>
    </row>
    <row r="104" spans="1:19" hidden="1">
      <c r="A104" s="9">
        <v>2025</v>
      </c>
      <c r="B104" s="19">
        <v>29</v>
      </c>
      <c r="C104" s="3" t="s">
        <v>18</v>
      </c>
      <c r="D104" s="3" t="s">
        <v>15</v>
      </c>
      <c r="E104" s="3" t="s">
        <v>26</v>
      </c>
      <c r="F104" s="3" t="s">
        <v>28</v>
      </c>
      <c r="G104" s="3" t="str">
        <f t="shared" si="3"/>
        <v>028DEEP PURPLE</v>
      </c>
      <c r="H104" s="3">
        <v>7440</v>
      </c>
      <c r="I104" s="3">
        <v>7273</v>
      </c>
      <c r="J104" s="3">
        <v>5915</v>
      </c>
      <c r="K104" s="3">
        <v>2852.5250000000001</v>
      </c>
      <c r="L104" s="3">
        <v>20800</v>
      </c>
      <c r="M104" s="3">
        <v>12</v>
      </c>
      <c r="N104" s="3">
        <v>13.055999999999999</v>
      </c>
      <c r="O104" s="3">
        <v>13.316666666666679</v>
      </c>
      <c r="P104" s="3">
        <v>12.786833333333337</v>
      </c>
      <c r="Q104" s="16">
        <f t="shared" si="4"/>
        <v>2.6082155283476918</v>
      </c>
      <c r="R104" s="10">
        <v>8021.6140431055783</v>
      </c>
      <c r="S104" s="12">
        <f t="shared" si="5"/>
        <v>-7.8173930524943314E-2</v>
      </c>
    </row>
    <row r="105" spans="1:19" hidden="1">
      <c r="A105" s="9">
        <v>2025</v>
      </c>
      <c r="B105" s="19">
        <v>30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3"/>
        <v>028DEEP PURPLE</v>
      </c>
      <c r="H105" s="3">
        <v>9150</v>
      </c>
      <c r="I105" s="3">
        <v>10380</v>
      </c>
      <c r="J105" s="3">
        <v>9158</v>
      </c>
      <c r="K105" s="3">
        <v>2852.5250000000001</v>
      </c>
      <c r="L105" s="3">
        <v>20800</v>
      </c>
      <c r="M105" s="3">
        <v>12</v>
      </c>
      <c r="N105" s="3">
        <v>14.51277955271564</v>
      </c>
      <c r="O105" s="3">
        <v>14.803514376996825</v>
      </c>
      <c r="P105" s="3">
        <v>14.223162939297143</v>
      </c>
      <c r="Q105" s="16">
        <f t="shared" si="4"/>
        <v>3.207684419943734</v>
      </c>
      <c r="R105" s="10">
        <v>9779.0599978395421</v>
      </c>
      <c r="S105" s="12">
        <f t="shared" si="5"/>
        <v>-6.8749726539840669E-2</v>
      </c>
    </row>
    <row r="106" spans="1:19" hidden="1">
      <c r="A106" s="9">
        <v>2025</v>
      </c>
      <c r="B106" s="19">
        <v>31</v>
      </c>
      <c r="C106" s="3" t="s">
        <v>18</v>
      </c>
      <c r="D106" s="3" t="s">
        <v>15</v>
      </c>
      <c r="E106" s="3" t="s">
        <v>26</v>
      </c>
      <c r="F106" s="3" t="s">
        <v>28</v>
      </c>
      <c r="G106" s="3" t="str">
        <f t="shared" si="3"/>
        <v>028DEEP PURPLE</v>
      </c>
      <c r="H106" s="3">
        <v>11430</v>
      </c>
      <c r="I106" s="3">
        <v>12441</v>
      </c>
      <c r="J106" s="3">
        <v>10712</v>
      </c>
      <c r="K106" s="3">
        <v>2852.5250000000001</v>
      </c>
      <c r="L106" s="3">
        <v>20800</v>
      </c>
      <c r="M106" s="3">
        <v>12</v>
      </c>
      <c r="N106" s="3">
        <v>13.78425196850394</v>
      </c>
      <c r="O106" s="3">
        <v>14.065354330708656</v>
      </c>
      <c r="P106" s="3">
        <v>13.503307086614177</v>
      </c>
      <c r="Q106" s="16">
        <f t="shared" si="4"/>
        <v>4.0069762754051235</v>
      </c>
      <c r="R106" s="10">
        <v>12635.581109697911</v>
      </c>
      <c r="S106" s="12">
        <f t="shared" si="5"/>
        <v>-0.10547516270322926</v>
      </c>
    </row>
    <row r="107" spans="1:19" hidden="1">
      <c r="A107" s="9">
        <v>2025</v>
      </c>
      <c r="B107" s="19">
        <v>32</v>
      </c>
      <c r="C107" s="3" t="s">
        <v>18</v>
      </c>
      <c r="D107" s="3" t="s">
        <v>15</v>
      </c>
      <c r="E107" s="3" t="s">
        <v>26</v>
      </c>
      <c r="F107" s="3" t="s">
        <v>28</v>
      </c>
      <c r="G107" s="3" t="str">
        <f t="shared" si="3"/>
        <v>028DEEP PURPLE</v>
      </c>
      <c r="H107" s="3">
        <v>8490</v>
      </c>
      <c r="I107" s="3">
        <v>13170</v>
      </c>
      <c r="J107" s="3">
        <v>12813</v>
      </c>
      <c r="K107" s="3">
        <v>2852.5250000000001</v>
      </c>
      <c r="L107" s="3">
        <v>20800</v>
      </c>
      <c r="M107" s="3">
        <v>12</v>
      </c>
      <c r="N107" s="3">
        <v>12.659270998415199</v>
      </c>
      <c r="O107" s="3">
        <v>12.943264659271005</v>
      </c>
      <c r="P107" s="3">
        <v>12.377337559429469</v>
      </c>
      <c r="Q107" s="16">
        <f t="shared" si="4"/>
        <v>2.9763104617838581</v>
      </c>
      <c r="R107" s="10">
        <v>9132.6077789542378</v>
      </c>
      <c r="S107" s="12">
        <f t="shared" si="5"/>
        <v>-7.5689962185422593E-2</v>
      </c>
    </row>
    <row r="108" spans="1:19" hidden="1">
      <c r="A108" s="9">
        <v>2025</v>
      </c>
      <c r="B108" s="19">
        <v>33</v>
      </c>
      <c r="C108" s="3" t="s">
        <v>18</v>
      </c>
      <c r="D108" s="3" t="s">
        <v>15</v>
      </c>
      <c r="E108" s="3" t="s">
        <v>26</v>
      </c>
      <c r="F108" s="3" t="s">
        <v>28</v>
      </c>
      <c r="G108" s="3" t="str">
        <f t="shared" si="3"/>
        <v>028DEEP PURPLE</v>
      </c>
      <c r="H108" s="3">
        <v>7950</v>
      </c>
      <c r="I108" s="3">
        <v>10537</v>
      </c>
      <c r="J108" s="3">
        <v>11515</v>
      </c>
      <c r="K108" s="3">
        <v>2852.5250000000001</v>
      </c>
      <c r="L108" s="3">
        <v>20800</v>
      </c>
      <c r="M108" s="3">
        <v>12</v>
      </c>
      <c r="N108" s="3">
        <v>13.589285714285717</v>
      </c>
      <c r="O108" s="3">
        <v>13.824068322981383</v>
      </c>
      <c r="P108" s="3">
        <v>13.353571428571435</v>
      </c>
      <c r="Q108" s="16">
        <f t="shared" si="4"/>
        <v>2.7870044960166869</v>
      </c>
      <c r="R108" s="10">
        <v>8640.5405784550512</v>
      </c>
      <c r="S108" s="12">
        <f t="shared" si="5"/>
        <v>-8.6860450120132229E-2</v>
      </c>
    </row>
    <row r="109" spans="1:19" hidden="1">
      <c r="A109" s="9">
        <v>2025</v>
      </c>
      <c r="B109" s="19">
        <v>34</v>
      </c>
      <c r="C109" s="3" t="s">
        <v>18</v>
      </c>
      <c r="D109" s="3" t="s">
        <v>15</v>
      </c>
      <c r="E109" s="3" t="s">
        <v>26</v>
      </c>
      <c r="F109" s="3" t="s">
        <v>28</v>
      </c>
      <c r="G109" s="3" t="str">
        <f t="shared" si="3"/>
        <v>028DEEP PURPLE</v>
      </c>
      <c r="H109" s="3">
        <v>6960</v>
      </c>
      <c r="I109" s="3">
        <v>9070</v>
      </c>
      <c r="J109" s="3">
        <v>10403</v>
      </c>
      <c r="K109" s="3">
        <v>2852.5250000000001</v>
      </c>
      <c r="L109" s="3">
        <v>20800</v>
      </c>
      <c r="M109" s="3">
        <v>12</v>
      </c>
      <c r="N109" s="3">
        <v>12.824486571879941</v>
      </c>
      <c r="O109" s="3">
        <v>13.083254344391783</v>
      </c>
      <c r="P109" s="3">
        <v>12.564612954186416</v>
      </c>
      <c r="Q109" s="16">
        <f t="shared" si="4"/>
        <v>2.4399435587768732</v>
      </c>
      <c r="R109" s="10">
        <v>7513.8072365973876</v>
      </c>
      <c r="S109" s="12">
        <f t="shared" si="5"/>
        <v>-7.9570005258245341E-2</v>
      </c>
    </row>
    <row r="110" spans="1:19" hidden="1">
      <c r="A110" s="9">
        <v>2025</v>
      </c>
      <c r="B110" s="19">
        <v>35</v>
      </c>
      <c r="C110" s="3" t="s">
        <v>18</v>
      </c>
      <c r="D110" s="3" t="s">
        <v>15</v>
      </c>
      <c r="E110" s="3" t="s">
        <v>26</v>
      </c>
      <c r="F110" s="3" t="s">
        <v>28</v>
      </c>
      <c r="G110" s="3" t="str">
        <f t="shared" si="3"/>
        <v>028DEEP PURPLE</v>
      </c>
      <c r="H110" s="3">
        <v>6240</v>
      </c>
      <c r="I110" s="3">
        <v>9018</v>
      </c>
      <c r="J110" s="3">
        <v>8885</v>
      </c>
      <c r="K110" s="3">
        <v>2852.5250000000001</v>
      </c>
      <c r="L110" s="3">
        <v>20800</v>
      </c>
      <c r="M110" s="3">
        <v>12</v>
      </c>
      <c r="N110" s="3">
        <v>13.437577639751549</v>
      </c>
      <c r="O110" s="3">
        <v>13.71583850931677</v>
      </c>
      <c r="P110" s="3">
        <v>13.159472049689436</v>
      </c>
      <c r="Q110" s="16">
        <f t="shared" si="4"/>
        <v>2.1875356044206447</v>
      </c>
      <c r="R110" s="10">
        <v>6742.7762397033721</v>
      </c>
      <c r="S110" s="12">
        <f t="shared" si="5"/>
        <v>-8.0573115337078866E-2</v>
      </c>
    </row>
    <row r="111" spans="1:19" hidden="1">
      <c r="A111" s="9">
        <v>2025</v>
      </c>
      <c r="B111" s="19">
        <v>36</v>
      </c>
      <c r="C111" s="3" t="s">
        <v>18</v>
      </c>
      <c r="D111" s="3" t="s">
        <v>15</v>
      </c>
      <c r="E111" s="3" t="s">
        <v>26</v>
      </c>
      <c r="F111" s="3" t="s">
        <v>28</v>
      </c>
      <c r="G111" s="3" t="str">
        <f t="shared" si="3"/>
        <v>028DEEP PURPLE</v>
      </c>
      <c r="H111" s="3">
        <v>6060</v>
      </c>
      <c r="I111" s="3">
        <v>9105</v>
      </c>
      <c r="J111" s="3">
        <v>8172</v>
      </c>
      <c r="K111" s="3">
        <v>2852.5250000000001</v>
      </c>
      <c r="L111" s="3">
        <v>20800</v>
      </c>
      <c r="M111" s="3">
        <v>12</v>
      </c>
      <c r="N111" s="3">
        <v>12.977672955974834</v>
      </c>
      <c r="O111" s="3">
        <v>13.234119496855346</v>
      </c>
      <c r="P111" s="3">
        <v>12.718081761006273</v>
      </c>
      <c r="Q111" s="16">
        <f t="shared" si="4"/>
        <v>2.1244336158315877</v>
      </c>
      <c r="R111" s="10">
        <v>6443.7413923585982</v>
      </c>
      <c r="S111" s="12">
        <f t="shared" si="5"/>
        <v>-6.3323662105379236E-2</v>
      </c>
    </row>
    <row r="112" spans="1:19" hidden="1">
      <c r="A112" s="9">
        <v>2025</v>
      </c>
      <c r="B112" s="19">
        <v>37</v>
      </c>
      <c r="C112" s="3" t="s">
        <v>18</v>
      </c>
      <c r="D112" s="3" t="s">
        <v>15</v>
      </c>
      <c r="E112" s="3" t="s">
        <v>26</v>
      </c>
      <c r="F112" s="3" t="s">
        <v>28</v>
      </c>
      <c r="G112" s="3" t="str">
        <f t="shared" si="3"/>
        <v>028DEEP PURPLE</v>
      </c>
      <c r="H112" s="3">
        <v>5310</v>
      </c>
      <c r="I112" s="3">
        <v>6560</v>
      </c>
      <c r="J112" s="3">
        <v>8094</v>
      </c>
      <c r="K112" s="3">
        <v>2852.5250000000001</v>
      </c>
      <c r="L112" s="3">
        <v>20800</v>
      </c>
      <c r="M112" s="3">
        <v>12</v>
      </c>
      <c r="N112" s="3">
        <v>13.589032258064515</v>
      </c>
      <c r="O112" s="3">
        <v>13.865806451612899</v>
      </c>
      <c r="P112" s="3">
        <v>13.317258064516144</v>
      </c>
      <c r="Q112" s="16">
        <f t="shared" si="4"/>
        <v>1.8615086633771833</v>
      </c>
      <c r="R112" s="10">
        <v>5562.8569753881347</v>
      </c>
      <c r="S112" s="12">
        <f t="shared" si="5"/>
        <v>-4.7619016080628011E-2</v>
      </c>
    </row>
    <row r="113" spans="1:19" hidden="1">
      <c r="A113" s="9">
        <v>2025</v>
      </c>
      <c r="B113" s="19">
        <v>38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3"/>
        <v>028DEEP PURPLE</v>
      </c>
      <c r="H113" s="3">
        <v>6210</v>
      </c>
      <c r="I113" s="3">
        <v>6138</v>
      </c>
      <c r="J113" s="3">
        <v>6448</v>
      </c>
      <c r="K113" s="3">
        <v>2852.5250000000001</v>
      </c>
      <c r="L113" s="3">
        <v>20800</v>
      </c>
      <c r="M113" s="3">
        <v>12</v>
      </c>
      <c r="N113" s="3">
        <v>13.031825273010922</v>
      </c>
      <c r="O113" s="3">
        <v>13.280499219968798</v>
      </c>
      <c r="P113" s="3">
        <v>12.779719188767555</v>
      </c>
      <c r="Q113" s="16">
        <f t="shared" si="4"/>
        <v>2.1770186063224686</v>
      </c>
      <c r="R113" s="10">
        <v>6726.0004359243139</v>
      </c>
      <c r="S113" s="12">
        <f t="shared" si="5"/>
        <v>-8.3091857636765534E-2</v>
      </c>
    </row>
    <row r="114" spans="1:19" hidden="1">
      <c r="A114" s="9">
        <v>2025</v>
      </c>
      <c r="B114" s="19">
        <v>39</v>
      </c>
      <c r="C114" s="3" t="s">
        <v>18</v>
      </c>
      <c r="D114" s="3" t="s">
        <v>15</v>
      </c>
      <c r="E114" s="3" t="s">
        <v>26</v>
      </c>
      <c r="F114" s="3" t="s">
        <v>28</v>
      </c>
      <c r="G114" s="3" t="str">
        <f t="shared" si="3"/>
        <v>028DEEP PURPLE</v>
      </c>
      <c r="H114" s="3">
        <v>6330</v>
      </c>
      <c r="I114" s="3">
        <v>8349</v>
      </c>
      <c r="J114" s="3">
        <v>6334</v>
      </c>
      <c r="K114" s="3">
        <v>2852.5250000000001</v>
      </c>
      <c r="L114" s="3">
        <v>20800</v>
      </c>
      <c r="M114" s="3">
        <v>12</v>
      </c>
      <c r="N114" s="3">
        <v>14.003096539162122</v>
      </c>
      <c r="O114" s="3">
        <v>14.246265938069232</v>
      </c>
      <c r="P114" s="3">
        <v>13.765573770491811</v>
      </c>
      <c r="Q114" s="16">
        <f t="shared" si="4"/>
        <v>2.2190865987151733</v>
      </c>
      <c r="R114" s="10">
        <v>6798.9429212021014</v>
      </c>
      <c r="S114" s="12">
        <f t="shared" si="5"/>
        <v>-7.4082609984534184E-2</v>
      </c>
    </row>
    <row r="115" spans="1:19" hidden="1">
      <c r="A115" s="9">
        <v>2025</v>
      </c>
      <c r="B115" s="19">
        <v>40</v>
      </c>
      <c r="C115" s="3" t="s">
        <v>18</v>
      </c>
      <c r="D115" s="3" t="s">
        <v>15</v>
      </c>
      <c r="E115" s="3" t="s">
        <v>26</v>
      </c>
      <c r="F115" s="3" t="s">
        <v>28</v>
      </c>
      <c r="G115" s="3" t="str">
        <f t="shared" si="3"/>
        <v>028DEEP PURPLE</v>
      </c>
      <c r="H115" s="3">
        <v>7050</v>
      </c>
      <c r="I115" s="3">
        <v>8965</v>
      </c>
      <c r="J115" s="3">
        <v>8671</v>
      </c>
      <c r="K115" s="3">
        <v>2852.5250000000001</v>
      </c>
      <c r="L115" s="3">
        <v>20800</v>
      </c>
      <c r="M115" s="3">
        <v>12</v>
      </c>
      <c r="N115" s="3">
        <v>12.843362831858405</v>
      </c>
      <c r="O115" s="3">
        <v>13.098407079646016</v>
      </c>
      <c r="P115" s="3">
        <v>12.592743362831856</v>
      </c>
      <c r="Q115" s="16">
        <f t="shared" si="4"/>
        <v>2.4714945530714014</v>
      </c>
      <c r="R115" s="10">
        <v>7538.9870728465321</v>
      </c>
      <c r="S115" s="12">
        <f t="shared" si="5"/>
        <v>-6.9359868488869797E-2</v>
      </c>
    </row>
    <row r="116" spans="1:19" hidden="1">
      <c r="A116" s="9">
        <v>2025</v>
      </c>
      <c r="B116" s="19">
        <v>41</v>
      </c>
      <c r="C116" s="3" t="s">
        <v>18</v>
      </c>
      <c r="D116" s="3" t="s">
        <v>15</v>
      </c>
      <c r="E116" s="3" t="s">
        <v>26</v>
      </c>
      <c r="F116" s="3" t="s">
        <v>28</v>
      </c>
      <c r="G116" s="3" t="str">
        <f t="shared" si="3"/>
        <v>028DEEP PURPLE</v>
      </c>
      <c r="H116" s="3">
        <v>6570</v>
      </c>
      <c r="I116" s="3">
        <v>9665</v>
      </c>
      <c r="J116" s="3">
        <v>10289</v>
      </c>
      <c r="K116" s="3">
        <v>2852.5250000000001</v>
      </c>
      <c r="L116" s="3">
        <v>20800</v>
      </c>
      <c r="M116" s="3">
        <v>12</v>
      </c>
      <c r="N116" s="3">
        <v>13.871347248576845</v>
      </c>
      <c r="O116" s="3">
        <v>14.103605313092977</v>
      </c>
      <c r="P116" s="3">
        <v>13.632258064516128</v>
      </c>
      <c r="Q116" s="16">
        <f t="shared" si="4"/>
        <v>2.3032225835005828</v>
      </c>
      <c r="R116" s="10">
        <v>6975.1042233398821</v>
      </c>
      <c r="S116" s="12">
        <f t="shared" si="5"/>
        <v>-6.1659699138490426E-2</v>
      </c>
    </row>
    <row r="117" spans="1:19" hidden="1">
      <c r="A117" s="9">
        <v>2025</v>
      </c>
      <c r="B117" s="19">
        <v>42</v>
      </c>
      <c r="C117" s="3" t="s">
        <v>18</v>
      </c>
      <c r="D117" s="3" t="s">
        <v>15</v>
      </c>
      <c r="E117" s="3" t="s">
        <v>26</v>
      </c>
      <c r="F117" s="3" t="s">
        <v>28</v>
      </c>
      <c r="G117" s="3" t="str">
        <f t="shared" si="3"/>
        <v>028DEEP PURPLE</v>
      </c>
      <c r="H117" s="3">
        <v>8070</v>
      </c>
      <c r="I117" s="3">
        <v>9787</v>
      </c>
      <c r="J117" s="3">
        <v>10678</v>
      </c>
      <c r="K117" s="3">
        <v>2852.5250000000001</v>
      </c>
      <c r="L117" s="3">
        <v>20800</v>
      </c>
      <c r="M117" s="3">
        <v>12</v>
      </c>
      <c r="N117" s="3">
        <v>12.518382352941172</v>
      </c>
      <c r="O117" s="3">
        <v>12.743627450980384</v>
      </c>
      <c r="P117" s="3">
        <v>12.293382352941165</v>
      </c>
      <c r="Q117" s="16">
        <f t="shared" si="4"/>
        <v>2.8290724884093916</v>
      </c>
      <c r="R117" s="10">
        <v>8656.4560846044133</v>
      </c>
      <c r="S117" s="12">
        <f t="shared" si="5"/>
        <v>-7.2671138117027662E-2</v>
      </c>
    </row>
    <row r="118" spans="1:19" hidden="1">
      <c r="A118" s="9">
        <v>2025</v>
      </c>
      <c r="B118" s="19">
        <v>43</v>
      </c>
      <c r="C118" s="3" t="s">
        <v>18</v>
      </c>
      <c r="D118" s="3" t="s">
        <v>15</v>
      </c>
      <c r="E118" s="3" t="s">
        <v>26</v>
      </c>
      <c r="F118" s="3" t="s">
        <v>28</v>
      </c>
      <c r="G118" s="3" t="str">
        <f t="shared" si="3"/>
        <v>028DEEP PURPLE</v>
      </c>
      <c r="H118" s="3">
        <v>8460</v>
      </c>
      <c r="I118" s="3">
        <v>10303</v>
      </c>
      <c r="J118" s="3">
        <v>11188</v>
      </c>
      <c r="K118" s="3">
        <v>2852.5250000000001</v>
      </c>
      <c r="L118" s="3">
        <v>20800</v>
      </c>
      <c r="M118" s="3">
        <v>12</v>
      </c>
      <c r="N118" s="3">
        <v>14.965141612200448</v>
      </c>
      <c r="O118" s="3">
        <v>15.249019607843142</v>
      </c>
      <c r="P118" s="3">
        <v>14.683006535947717</v>
      </c>
      <c r="Q118" s="16">
        <f t="shared" si="4"/>
        <v>2.965793463685682</v>
      </c>
      <c r="R118" s="10">
        <v>9106.8795029661615</v>
      </c>
      <c r="S118" s="12">
        <f t="shared" si="5"/>
        <v>-7.6463298222950532E-2</v>
      </c>
    </row>
    <row r="119" spans="1:19" hidden="1">
      <c r="A119" s="9">
        <v>2025</v>
      </c>
      <c r="B119" s="19">
        <v>44</v>
      </c>
      <c r="C119" s="3" t="s">
        <v>18</v>
      </c>
      <c r="D119" s="3" t="s">
        <v>15</v>
      </c>
      <c r="E119" s="3" t="s">
        <v>26</v>
      </c>
      <c r="F119" s="3" t="s">
        <v>28</v>
      </c>
      <c r="G119" s="3" t="str">
        <f t="shared" si="3"/>
        <v>028DEEP PURPLE</v>
      </c>
      <c r="H119" s="3">
        <v>9000</v>
      </c>
      <c r="I119" s="3">
        <v>10637</v>
      </c>
      <c r="J119" s="3">
        <v>10621</v>
      </c>
      <c r="K119" s="3">
        <v>2852.5250000000001</v>
      </c>
      <c r="L119" s="3">
        <v>20800</v>
      </c>
      <c r="M119" s="3">
        <v>12</v>
      </c>
      <c r="N119" s="3">
        <v>14.073262839879131</v>
      </c>
      <c r="O119" s="3">
        <v>14.296978851963752</v>
      </c>
      <c r="P119" s="3">
        <v>13.846676737160124</v>
      </c>
      <c r="Q119" s="16">
        <f t="shared" si="4"/>
        <v>3.1550994294528532</v>
      </c>
      <c r="R119" s="10">
        <v>9673.5606241379737</v>
      </c>
      <c r="S119" s="12">
        <f t="shared" si="5"/>
        <v>-7.4840069348663746E-2</v>
      </c>
    </row>
    <row r="120" spans="1:19" hidden="1">
      <c r="A120" s="9">
        <v>2025</v>
      </c>
      <c r="B120" s="19">
        <v>45</v>
      </c>
      <c r="C120" s="3" t="s">
        <v>18</v>
      </c>
      <c r="D120" s="3" t="s">
        <v>15</v>
      </c>
      <c r="E120" s="3" t="s">
        <v>26</v>
      </c>
      <c r="F120" s="3" t="s">
        <v>28</v>
      </c>
      <c r="G120" s="3" t="str">
        <f t="shared" si="3"/>
        <v>028DEEP PURPLE</v>
      </c>
      <c r="H120" s="3">
        <v>7590</v>
      </c>
      <c r="I120" s="3">
        <v>8214</v>
      </c>
      <c r="J120" s="3">
        <v>9173</v>
      </c>
      <c r="K120" s="3">
        <v>2852.5250000000001</v>
      </c>
      <c r="L120" s="3">
        <v>20800</v>
      </c>
      <c r="M120" s="3">
        <v>12</v>
      </c>
      <c r="N120" s="3">
        <v>14.836850152905189</v>
      </c>
      <c r="O120" s="3">
        <v>15.074923547400614</v>
      </c>
      <c r="P120" s="3">
        <v>14.594495412844042</v>
      </c>
      <c r="Q120" s="16">
        <f t="shared" si="4"/>
        <v>2.6608005188385726</v>
      </c>
      <c r="R120" s="10">
        <v>8144.1688173158554</v>
      </c>
      <c r="S120" s="12">
        <f t="shared" si="5"/>
        <v>-7.3013019409203614E-2</v>
      </c>
    </row>
    <row r="121" spans="1:19" hidden="1">
      <c r="A121" s="9">
        <v>2025</v>
      </c>
      <c r="B121" s="19">
        <v>46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3"/>
        <v>028DEEP PURPLE</v>
      </c>
      <c r="H121" s="3">
        <v>6450</v>
      </c>
      <c r="I121" s="3">
        <v>7565</v>
      </c>
      <c r="J121" s="3">
        <v>7117</v>
      </c>
      <c r="K121" s="3">
        <v>2852.5250000000001</v>
      </c>
      <c r="L121" s="3">
        <v>20800</v>
      </c>
      <c r="M121" s="3">
        <v>12</v>
      </c>
      <c r="N121" s="3">
        <v>14.582800608828016</v>
      </c>
      <c r="O121" s="3">
        <v>14.816590563165887</v>
      </c>
      <c r="P121" s="3">
        <v>14.359512937595126</v>
      </c>
      <c r="Q121" s="16">
        <f t="shared" si="4"/>
        <v>2.2611545911078781</v>
      </c>
      <c r="R121" s="10">
        <v>6907.140710593957</v>
      </c>
      <c r="S121" s="12">
        <f t="shared" si="5"/>
        <v>-7.0874528774256901E-2</v>
      </c>
    </row>
    <row r="122" spans="1:19" hidden="1">
      <c r="A122" s="9">
        <v>2025</v>
      </c>
      <c r="B122" s="19">
        <v>47</v>
      </c>
      <c r="C122" s="3" t="s">
        <v>18</v>
      </c>
      <c r="D122" s="3" t="s">
        <v>15</v>
      </c>
      <c r="E122" s="3" t="s">
        <v>26</v>
      </c>
      <c r="F122" s="3" t="s">
        <v>28</v>
      </c>
      <c r="G122" s="3" t="str">
        <f t="shared" si="3"/>
        <v>028DEEP PURPLE</v>
      </c>
      <c r="H122" s="3">
        <v>6900</v>
      </c>
      <c r="I122" s="3">
        <v>7039</v>
      </c>
      <c r="J122" s="3">
        <v>7135</v>
      </c>
      <c r="K122" s="3">
        <v>2852.5250000000001</v>
      </c>
      <c r="L122" s="3">
        <v>20800</v>
      </c>
      <c r="M122" s="3">
        <v>12</v>
      </c>
      <c r="N122" s="3">
        <v>14.756838905775062</v>
      </c>
      <c r="O122" s="3">
        <v>15.013829787234029</v>
      </c>
      <c r="P122" s="3">
        <v>14.501519756838901</v>
      </c>
      <c r="Q122" s="16">
        <f t="shared" si="4"/>
        <v>2.4189095625805206</v>
      </c>
      <c r="R122" s="10">
        <v>7480.0136703309199</v>
      </c>
      <c r="S122" s="12">
        <f t="shared" si="5"/>
        <v>-8.4059952221872458E-2</v>
      </c>
    </row>
    <row r="123" spans="1:19" hidden="1">
      <c r="A123" s="9">
        <v>2025</v>
      </c>
      <c r="B123" s="19">
        <v>48</v>
      </c>
      <c r="C123" s="3" t="s">
        <v>18</v>
      </c>
      <c r="D123" s="3" t="s">
        <v>15</v>
      </c>
      <c r="E123" s="3" t="s">
        <v>26</v>
      </c>
      <c r="F123" s="3" t="s">
        <v>28</v>
      </c>
      <c r="G123" s="3" t="str">
        <f t="shared" si="3"/>
        <v>028DEEP PURPLE</v>
      </c>
      <c r="H123" s="3">
        <v>7680</v>
      </c>
      <c r="I123" s="3">
        <v>7312</v>
      </c>
      <c r="J123" s="3">
        <v>7384</v>
      </c>
      <c r="K123" s="3">
        <v>2852.5250000000001</v>
      </c>
      <c r="L123" s="3">
        <v>20800</v>
      </c>
      <c r="M123" s="3">
        <v>12</v>
      </c>
      <c r="N123" s="3">
        <v>14.30164670658683</v>
      </c>
      <c r="O123" s="3">
        <v>14.475149700598816</v>
      </c>
      <c r="P123" s="3">
        <v>14.12919161676647</v>
      </c>
      <c r="Q123" s="16">
        <f t="shared" si="4"/>
        <v>2.6923515131331013</v>
      </c>
      <c r="R123" s="10">
        <v>8174.5050624829846</v>
      </c>
      <c r="S123" s="12">
        <f t="shared" si="5"/>
        <v>-6.4388680010805291E-2</v>
      </c>
    </row>
    <row r="124" spans="1:19" hidden="1">
      <c r="A124" s="9">
        <v>2025</v>
      </c>
      <c r="B124" s="19">
        <v>49</v>
      </c>
      <c r="C124" s="3" t="s">
        <v>18</v>
      </c>
      <c r="D124" s="3" t="s">
        <v>15</v>
      </c>
      <c r="E124" s="3" t="s">
        <v>26</v>
      </c>
      <c r="F124" s="3" t="s">
        <v>28</v>
      </c>
      <c r="G124" s="3" t="str">
        <f t="shared" si="3"/>
        <v>028DEEP PURPLE</v>
      </c>
      <c r="H124" s="3">
        <v>4560</v>
      </c>
      <c r="I124" s="3">
        <v>8551</v>
      </c>
      <c r="J124" s="3">
        <v>7226</v>
      </c>
      <c r="K124" s="3">
        <v>2852.5250000000001</v>
      </c>
      <c r="L124" s="3">
        <v>20800</v>
      </c>
      <c r="M124" s="3">
        <v>12</v>
      </c>
      <c r="N124" s="3">
        <v>12.785714285714281</v>
      </c>
      <c r="O124" s="3">
        <v>13.009821428571421</v>
      </c>
      <c r="P124" s="3">
        <v>12.563839285714286</v>
      </c>
      <c r="Q124" s="16">
        <f t="shared" si="4"/>
        <v>1.598583710922779</v>
      </c>
      <c r="R124" s="10">
        <v>4918.5407200306709</v>
      </c>
      <c r="S124" s="12">
        <f t="shared" si="5"/>
        <v>-7.8627350883919048E-2</v>
      </c>
    </row>
    <row r="125" spans="1:19" hidden="1">
      <c r="A125" s="9">
        <v>2025</v>
      </c>
      <c r="B125" s="19">
        <v>50</v>
      </c>
      <c r="C125" s="3" t="s">
        <v>18</v>
      </c>
      <c r="D125" s="3" t="s">
        <v>15</v>
      </c>
      <c r="E125" s="3" t="s">
        <v>26</v>
      </c>
      <c r="F125" s="3" t="s">
        <v>28</v>
      </c>
      <c r="G125" s="3" t="str">
        <f t="shared" si="3"/>
        <v>028DEEP PURPLE</v>
      </c>
      <c r="H125" s="3">
        <v>5940</v>
      </c>
      <c r="I125" s="3">
        <v>7834</v>
      </c>
      <c r="J125" s="3">
        <v>7870</v>
      </c>
      <c r="K125" s="3">
        <v>2852.5250000000001</v>
      </c>
      <c r="L125" s="3">
        <v>20800</v>
      </c>
      <c r="M125" s="3">
        <v>12</v>
      </c>
      <c r="N125" s="3">
        <v>12.562962962962962</v>
      </c>
      <c r="O125" s="3">
        <v>12.822507122507124</v>
      </c>
      <c r="P125" s="3">
        <v>12.308262108262106</v>
      </c>
      <c r="Q125" s="16">
        <f t="shared" si="4"/>
        <v>2.082365623438883</v>
      </c>
      <c r="R125" s="10">
        <v>6371.083880670647</v>
      </c>
      <c r="S125" s="12">
        <f t="shared" si="5"/>
        <v>-7.2573043883947308E-2</v>
      </c>
    </row>
    <row r="126" spans="1:19" hidden="1">
      <c r="A126" s="9">
        <v>2025</v>
      </c>
      <c r="B126" s="19">
        <v>51</v>
      </c>
      <c r="C126" s="3" t="s">
        <v>18</v>
      </c>
      <c r="D126" s="3" t="s">
        <v>15</v>
      </c>
      <c r="E126" s="3" t="s">
        <v>26</v>
      </c>
      <c r="F126" s="3" t="s">
        <v>28</v>
      </c>
      <c r="G126" s="3" t="str">
        <f t="shared" si="3"/>
        <v>028DEEP PURPLE</v>
      </c>
      <c r="H126" s="3">
        <v>6330</v>
      </c>
      <c r="I126" s="3">
        <v>4638</v>
      </c>
      <c r="J126" s="3">
        <v>7450</v>
      </c>
      <c r="K126" s="3">
        <v>2852.5250000000001</v>
      </c>
      <c r="L126" s="3">
        <v>20800</v>
      </c>
      <c r="M126" s="3">
        <v>12</v>
      </c>
      <c r="N126" s="3">
        <v>14.116666666666669</v>
      </c>
      <c r="O126" s="3">
        <v>14.313541666666683</v>
      </c>
      <c r="P126" s="3">
        <v>13.918303571428599</v>
      </c>
      <c r="Q126" s="16">
        <f t="shared" si="4"/>
        <v>2.2190865987151733</v>
      </c>
      <c r="R126" s="10">
        <v>6817.3747979183236</v>
      </c>
      <c r="S126" s="12">
        <f t="shared" si="5"/>
        <v>-7.6994438849656177E-2</v>
      </c>
    </row>
    <row r="127" spans="1:19" hidden="1">
      <c r="A127" s="9">
        <v>2025</v>
      </c>
      <c r="B127" s="19">
        <v>52</v>
      </c>
      <c r="C127" s="3" t="s">
        <v>18</v>
      </c>
      <c r="D127" s="3" t="s">
        <v>15</v>
      </c>
      <c r="E127" s="3" t="s">
        <v>26</v>
      </c>
      <c r="F127" s="3" t="s">
        <v>28</v>
      </c>
      <c r="G127" s="3" t="str">
        <f t="shared" si="3"/>
        <v>028DEEP PURPLE</v>
      </c>
      <c r="H127" s="3">
        <v>7410</v>
      </c>
      <c r="I127" s="3">
        <v>8125</v>
      </c>
      <c r="J127" s="3">
        <v>4785</v>
      </c>
      <c r="K127" s="3">
        <v>2852.5250000000001</v>
      </c>
      <c r="L127" s="3">
        <v>20800</v>
      </c>
      <c r="M127" s="3">
        <v>12</v>
      </c>
      <c r="N127" s="3">
        <v>14.780803571428551</v>
      </c>
      <c r="O127" s="3">
        <v>14.962351190476202</v>
      </c>
      <c r="P127" s="3">
        <v>14.597619047619043</v>
      </c>
      <c r="Q127" s="16">
        <f t="shared" si="4"/>
        <v>2.5976985302495157</v>
      </c>
      <c r="R127" s="10">
        <v>8011.8765493094652</v>
      </c>
      <c r="S127" s="12">
        <f t="shared" si="5"/>
        <v>-8.1224905439873846E-2</v>
      </c>
    </row>
    <row r="128" spans="1:19" hidden="1">
      <c r="A128" s="9">
        <v>2026</v>
      </c>
      <c r="B128" s="19">
        <v>1</v>
      </c>
      <c r="C128" s="3" t="s">
        <v>18</v>
      </c>
      <c r="D128" s="3" t="s">
        <v>15</v>
      </c>
      <c r="E128" s="3" t="s">
        <v>26</v>
      </c>
      <c r="F128" s="3" t="s">
        <v>28</v>
      </c>
      <c r="G128" s="3" t="str">
        <f t="shared" si="3"/>
        <v>028DEEP PURPLE</v>
      </c>
      <c r="H128" s="3">
        <v>5970</v>
      </c>
      <c r="I128" s="3">
        <v>8630</v>
      </c>
      <c r="J128" s="3">
        <v>7751</v>
      </c>
      <c r="K128" s="3">
        <v>2852.5250000000001</v>
      </c>
      <c r="L128" s="3">
        <v>20800</v>
      </c>
      <c r="M128" s="3">
        <v>12</v>
      </c>
      <c r="N128" s="3">
        <v>13.975520833333354</v>
      </c>
      <c r="O128" s="3">
        <v>14.218750000000002</v>
      </c>
      <c r="P128" s="3">
        <v>13.740624999999994</v>
      </c>
      <c r="Q128" s="16">
        <f t="shared" si="4"/>
        <v>2.0928826215370591</v>
      </c>
      <c r="R128" s="10">
        <v>6412.749170248826</v>
      </c>
      <c r="S128" s="12">
        <f t="shared" si="5"/>
        <v>-7.416234007518023E-2</v>
      </c>
    </row>
    <row r="129" spans="1:20" hidden="1">
      <c r="A129" s="9">
        <v>2026</v>
      </c>
      <c r="B129" s="19">
        <v>2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3"/>
        <v>028DEEP PURPLE</v>
      </c>
      <c r="H129" s="3">
        <v>7440</v>
      </c>
      <c r="I129" s="3">
        <v>10858</v>
      </c>
      <c r="J129" s="3">
        <v>10858</v>
      </c>
      <c r="K129" s="3">
        <v>2852.5250000000001</v>
      </c>
      <c r="L129" s="3">
        <v>20800</v>
      </c>
      <c r="M129" s="3">
        <v>12</v>
      </c>
      <c r="N129" s="3">
        <v>13.445535714285695</v>
      </c>
      <c r="O129" s="3">
        <v>13.624255952380969</v>
      </c>
      <c r="P129" s="3">
        <v>13.274851190476191</v>
      </c>
      <c r="Q129" s="16">
        <f t="shared" si="4"/>
        <v>2.6082155283476918</v>
      </c>
      <c r="R129" s="10">
        <v>8131.0170173018896</v>
      </c>
      <c r="S129" s="12">
        <f t="shared" si="5"/>
        <v>-9.2878631357780864E-2</v>
      </c>
    </row>
    <row r="130" spans="1:20" hidden="1">
      <c r="A130" s="9">
        <v>2026</v>
      </c>
      <c r="B130" s="19">
        <v>3</v>
      </c>
      <c r="C130" s="3" t="s">
        <v>18</v>
      </c>
      <c r="D130" s="3" t="s">
        <v>15</v>
      </c>
      <c r="E130" s="3" t="s">
        <v>26</v>
      </c>
      <c r="F130" s="3" t="s">
        <v>28</v>
      </c>
      <c r="G130" s="3" t="str">
        <f t="shared" si="3"/>
        <v>028DEEP PURPLE</v>
      </c>
      <c r="H130" s="3">
        <v>8130</v>
      </c>
      <c r="I130" s="3">
        <v>8367</v>
      </c>
      <c r="J130" s="3">
        <v>8367</v>
      </c>
      <c r="K130" s="3">
        <v>2852.5250000000001</v>
      </c>
      <c r="L130" s="3">
        <v>20800</v>
      </c>
      <c r="M130" s="3">
        <v>12</v>
      </c>
      <c r="N130" s="3">
        <v>14.266517857142849</v>
      </c>
      <c r="O130" s="3">
        <v>14.450297619047618</v>
      </c>
      <c r="P130" s="3">
        <v>14.083184523809532</v>
      </c>
      <c r="Q130" s="16">
        <f t="shared" si="4"/>
        <v>2.8501064846057438</v>
      </c>
      <c r="R130" s="10">
        <v>8899.9687055498471</v>
      </c>
      <c r="S130" s="12">
        <f t="shared" si="5"/>
        <v>-9.4707097853609729E-2</v>
      </c>
    </row>
    <row r="131" spans="1:20" hidden="1">
      <c r="A131" s="9">
        <v>2026</v>
      </c>
      <c r="B131" s="19">
        <v>4</v>
      </c>
      <c r="C131" s="3" t="s">
        <v>18</v>
      </c>
      <c r="D131" s="3" t="s">
        <v>15</v>
      </c>
      <c r="E131" s="3" t="s">
        <v>26</v>
      </c>
      <c r="F131" s="3" t="s">
        <v>28</v>
      </c>
      <c r="G131" s="3" t="str">
        <f t="shared" si="3"/>
        <v>028DEEP PURPLE</v>
      </c>
      <c r="H131" s="3">
        <v>16020</v>
      </c>
      <c r="I131" s="3">
        <v>16426</v>
      </c>
      <c r="J131" s="3">
        <v>16426</v>
      </c>
      <c r="K131" s="3">
        <v>2852.5250000000001</v>
      </c>
      <c r="L131" s="3">
        <v>20800</v>
      </c>
      <c r="M131" s="3">
        <v>12</v>
      </c>
      <c r="N131" s="3">
        <v>13.962351190476189</v>
      </c>
      <c r="O131" s="3">
        <v>14.126636904761922</v>
      </c>
      <c r="P131" s="3">
        <v>13.802083333333345</v>
      </c>
      <c r="Q131" s="16">
        <f t="shared" si="4"/>
        <v>5.6160769844260781</v>
      </c>
      <c r="R131" s="10">
        <v>15980.503094719479</v>
      </c>
      <c r="S131" s="12">
        <f t="shared" si="5"/>
        <v>2.4654747366117903E-3</v>
      </c>
    </row>
    <row r="132" spans="1:20" hidden="1">
      <c r="A132" s="9">
        <v>2026</v>
      </c>
      <c r="B132" s="19">
        <v>5</v>
      </c>
      <c r="C132" s="3" t="s">
        <v>18</v>
      </c>
      <c r="D132" s="3" t="s">
        <v>15</v>
      </c>
      <c r="E132" s="3" t="s">
        <v>26</v>
      </c>
      <c r="F132" s="3" t="s">
        <v>28</v>
      </c>
      <c r="G132" s="3" t="str">
        <f t="shared" si="3"/>
        <v>028DEEP PURPLE</v>
      </c>
      <c r="H132" s="3">
        <v>18480</v>
      </c>
      <c r="I132" s="3">
        <v>18372</v>
      </c>
      <c r="J132" s="3">
        <v>18372</v>
      </c>
      <c r="K132" s="3">
        <v>2852.5250000000001</v>
      </c>
      <c r="L132" s="4">
        <v>20800</v>
      </c>
      <c r="M132" s="3">
        <v>12</v>
      </c>
      <c r="N132" s="4">
        <v>13.891220238095249</v>
      </c>
      <c r="O132" s="4">
        <v>14.021428571428576</v>
      </c>
      <c r="P132" s="4">
        <v>13.768154761904773</v>
      </c>
      <c r="Q132" s="16">
        <f t="shared" si="4"/>
        <v>6.4784708284765253</v>
      </c>
      <c r="R132" s="10">
        <v>16837.891843054342</v>
      </c>
      <c r="S132" s="12">
        <f t="shared" si="5"/>
        <v>8.8858666501388434E-2</v>
      </c>
    </row>
    <row r="133" spans="1:20" hidden="1">
      <c r="A133" s="9">
        <v>2026</v>
      </c>
      <c r="B133" s="19">
        <v>6</v>
      </c>
      <c r="C133" s="3" t="s">
        <v>18</v>
      </c>
      <c r="D133" s="3" t="s">
        <v>15</v>
      </c>
      <c r="E133" s="3" t="s">
        <v>26</v>
      </c>
      <c r="F133" s="3" t="s">
        <v>28</v>
      </c>
      <c r="G133" s="3" t="str">
        <f t="shared" si="3"/>
        <v>028DEEP PURPLE</v>
      </c>
      <c r="H133" s="3">
        <v>8250</v>
      </c>
      <c r="I133" s="3">
        <v>16517</v>
      </c>
      <c r="J133" s="3">
        <v>16517</v>
      </c>
      <c r="K133" s="3">
        <v>2852.5250000000001</v>
      </c>
      <c r="L133" s="3">
        <v>20800</v>
      </c>
      <c r="M133" s="3">
        <v>12</v>
      </c>
      <c r="N133" s="4">
        <v>13.608779761904751</v>
      </c>
      <c r="O133" s="4">
        <v>13.751190476190473</v>
      </c>
      <c r="P133" s="4">
        <v>13.467410714285698</v>
      </c>
      <c r="Q133" s="16">
        <f t="shared" si="4"/>
        <v>2.8921744769984485</v>
      </c>
      <c r="R133" s="10">
        <v>8948.7245374670583</v>
      </c>
      <c r="S133" s="12">
        <f t="shared" si="5"/>
        <v>-8.46938833293404E-2</v>
      </c>
    </row>
    <row r="134" spans="1:20" hidden="1">
      <c r="A134" s="9">
        <v>2026</v>
      </c>
      <c r="B134" s="19">
        <v>7</v>
      </c>
      <c r="C134" s="3" t="s">
        <v>18</v>
      </c>
      <c r="D134" s="3" t="s">
        <v>15</v>
      </c>
      <c r="E134" s="3" t="s">
        <v>26</v>
      </c>
      <c r="F134" s="3" t="s">
        <v>28</v>
      </c>
      <c r="G134" s="3" t="str">
        <f t="shared" si="3"/>
        <v>028DEEP PURPLE</v>
      </c>
      <c r="H134" s="3">
        <v>9480</v>
      </c>
      <c r="I134" s="3">
        <v>10938</v>
      </c>
      <c r="J134" s="3">
        <v>10938</v>
      </c>
      <c r="K134" s="3">
        <v>2852.5250000000001</v>
      </c>
      <c r="L134" s="3">
        <v>20800</v>
      </c>
      <c r="M134" s="3">
        <v>12</v>
      </c>
      <c r="N134" s="3">
        <v>13.648136645962733</v>
      </c>
      <c r="O134" s="3">
        <v>13.84565217391305</v>
      </c>
      <c r="P134" s="3">
        <v>13.459316770186343</v>
      </c>
      <c r="Q134" s="16">
        <f t="shared" si="4"/>
        <v>3.3233713990236717</v>
      </c>
      <c r="R134" s="10">
        <v>10160.32086363398</v>
      </c>
      <c r="S134" s="12">
        <f t="shared" si="5"/>
        <v>-7.1763804180799626E-2</v>
      </c>
    </row>
    <row r="135" spans="1:20" hidden="1">
      <c r="A135" s="9">
        <v>2026</v>
      </c>
      <c r="B135" s="19">
        <v>8</v>
      </c>
      <c r="C135" s="3" t="s">
        <v>18</v>
      </c>
      <c r="D135" s="3" t="s">
        <v>15</v>
      </c>
      <c r="E135" s="3" t="s">
        <v>26</v>
      </c>
      <c r="F135" s="3" t="s">
        <v>28</v>
      </c>
      <c r="G135" s="3" t="str">
        <f t="shared" ref="G135:G202" si="6">+E135&amp;F135</f>
        <v>028DEEP PURPLE</v>
      </c>
      <c r="H135" s="3">
        <v>10110</v>
      </c>
      <c r="I135" s="3">
        <v>7425</v>
      </c>
      <c r="J135" s="3">
        <v>6912</v>
      </c>
      <c r="K135" s="3">
        <v>2852.5250000000001</v>
      </c>
      <c r="L135" s="3">
        <v>20800</v>
      </c>
      <c r="M135" s="3">
        <v>12</v>
      </c>
      <c r="N135" s="3">
        <v>13.817410714285709</v>
      </c>
      <c r="O135" s="3">
        <v>13.988244047619043</v>
      </c>
      <c r="P135" s="3">
        <v>13.654017857142849</v>
      </c>
      <c r="Q135" s="16">
        <f t="shared" ref="Q135:Q202" si="7">+H135/K135</f>
        <v>3.5442283590853716</v>
      </c>
      <c r="R135" s="10">
        <v>11575.251223009471</v>
      </c>
      <c r="S135" s="12">
        <f t="shared" ref="S135:S202" si="8">+(H135-R135)/H135</f>
        <v>-0.14493088259243034</v>
      </c>
    </row>
    <row r="136" spans="1:20" hidden="1">
      <c r="A136" s="9">
        <v>2026</v>
      </c>
      <c r="B136" s="19">
        <v>9</v>
      </c>
      <c r="C136" s="3" t="s">
        <v>18</v>
      </c>
      <c r="D136" s="3" t="s">
        <v>15</v>
      </c>
      <c r="E136" s="3" t="s">
        <v>26</v>
      </c>
      <c r="F136" s="3" t="s">
        <v>28</v>
      </c>
      <c r="G136" s="3" t="str">
        <f t="shared" si="6"/>
        <v>028DEEP PURPLE</v>
      </c>
      <c r="H136" s="3">
        <v>7230</v>
      </c>
      <c r="I136" s="3">
        <v>8540</v>
      </c>
      <c r="J136" s="3">
        <v>7013</v>
      </c>
      <c r="K136" s="3">
        <v>2852.5250000000001</v>
      </c>
      <c r="L136" s="3">
        <v>20800</v>
      </c>
      <c r="M136" s="3">
        <v>12</v>
      </c>
      <c r="N136" s="3">
        <v>14.133506944444456</v>
      </c>
      <c r="O136" s="3">
        <v>14.297569444444438</v>
      </c>
      <c r="P136" s="3">
        <v>13.967881944444436</v>
      </c>
      <c r="Q136" s="16">
        <f t="shared" si="7"/>
        <v>2.5345965416604588</v>
      </c>
      <c r="R136" s="10">
        <v>7965.9796707652222</v>
      </c>
      <c r="S136" s="12">
        <f t="shared" si="8"/>
        <v>-0.10179525183474719</v>
      </c>
    </row>
    <row r="137" spans="1:20" hidden="1">
      <c r="A137" s="9">
        <v>2026</v>
      </c>
      <c r="B137" s="20">
        <v>10</v>
      </c>
      <c r="C137" s="5" t="s">
        <v>18</v>
      </c>
      <c r="D137" s="5" t="s">
        <v>15</v>
      </c>
      <c r="E137" s="5" t="s">
        <v>26</v>
      </c>
      <c r="F137" s="5" t="s">
        <v>28</v>
      </c>
      <c r="G137" s="3" t="str">
        <f t="shared" si="6"/>
        <v>028DEEP PURPLE</v>
      </c>
      <c r="H137" s="6">
        <v>7980</v>
      </c>
      <c r="I137" s="6">
        <v>7741</v>
      </c>
      <c r="J137" s="6">
        <v>6589</v>
      </c>
      <c r="K137" s="3">
        <v>2852.5250000000001</v>
      </c>
      <c r="L137" s="3">
        <v>20800</v>
      </c>
      <c r="M137" s="3">
        <v>12</v>
      </c>
      <c r="N137" s="3">
        <v>15.017410714285699</v>
      </c>
      <c r="O137" s="3">
        <v>15.20238095238096</v>
      </c>
      <c r="P137" s="3">
        <v>14.836011904761907</v>
      </c>
      <c r="Q137" s="16">
        <f t="shared" si="7"/>
        <v>2.7975214941148629</v>
      </c>
      <c r="R137" s="10">
        <v>8828.4080733397568</v>
      </c>
      <c r="S137" s="12">
        <f t="shared" si="8"/>
        <v>-0.10631680117039559</v>
      </c>
    </row>
    <row r="138" spans="1:20" hidden="1">
      <c r="A138" s="9">
        <v>2026</v>
      </c>
      <c r="B138" s="20">
        <v>11</v>
      </c>
      <c r="C138" s="5" t="s">
        <v>18</v>
      </c>
      <c r="D138" s="5" t="s">
        <v>15</v>
      </c>
      <c r="E138" s="5" t="s">
        <v>26</v>
      </c>
      <c r="F138" s="5" t="s">
        <v>28</v>
      </c>
      <c r="G138" s="3" t="str">
        <f t="shared" si="6"/>
        <v>028DEEP PURPLE</v>
      </c>
      <c r="H138" s="6">
        <v>5670</v>
      </c>
      <c r="I138" s="6">
        <v>5454</v>
      </c>
      <c r="J138" s="6">
        <v>6668</v>
      </c>
      <c r="K138" s="3">
        <v>2852.5250000000001</v>
      </c>
      <c r="L138" s="3">
        <v>20800</v>
      </c>
      <c r="M138" s="3">
        <v>12</v>
      </c>
      <c r="N138" s="3">
        <v>14.47744360902257</v>
      </c>
      <c r="O138" s="3">
        <v>14.635488721804517</v>
      </c>
      <c r="P138" s="3">
        <v>14.324360902255648</v>
      </c>
      <c r="Q138" s="16">
        <f t="shared" si="7"/>
        <v>1.9877126405552974</v>
      </c>
      <c r="R138" s="10">
        <v>6111.6557535758511</v>
      </c>
      <c r="S138" s="12">
        <f t="shared" si="8"/>
        <v>-7.789343096575857E-2</v>
      </c>
    </row>
    <row r="139" spans="1:20" hidden="1">
      <c r="A139" s="9">
        <v>2026</v>
      </c>
      <c r="B139" s="20">
        <v>12</v>
      </c>
      <c r="C139" s="5" t="s">
        <v>18</v>
      </c>
      <c r="D139" s="5" t="s">
        <v>15</v>
      </c>
      <c r="E139" s="5" t="s">
        <v>26</v>
      </c>
      <c r="F139" s="5" t="s">
        <v>28</v>
      </c>
      <c r="G139" s="3" t="str">
        <f t="shared" si="6"/>
        <v>028DEEP PURPLE</v>
      </c>
      <c r="H139" s="6">
        <v>5670</v>
      </c>
      <c r="I139" s="6">
        <v>6110</v>
      </c>
      <c r="J139" s="6">
        <v>6110</v>
      </c>
      <c r="K139" s="3">
        <v>2852.5250000000001</v>
      </c>
      <c r="L139" s="3">
        <v>20800</v>
      </c>
      <c r="M139" s="3">
        <v>12</v>
      </c>
      <c r="N139" s="3">
        <v>13.68377976190477</v>
      </c>
      <c r="O139" s="3">
        <v>13.892410714285713</v>
      </c>
      <c r="P139" s="3">
        <v>13.471130952380953</v>
      </c>
      <c r="Q139" s="16">
        <f t="shared" si="7"/>
        <v>1.9877126405552974</v>
      </c>
      <c r="R139" s="10">
        <v>3483.6437795382349</v>
      </c>
      <c r="S139" s="12">
        <f t="shared" si="8"/>
        <v>0.38560074434951769</v>
      </c>
    </row>
    <row r="140" spans="1:20" hidden="1">
      <c r="A140" s="9">
        <v>2026</v>
      </c>
      <c r="B140" s="20">
        <v>13</v>
      </c>
      <c r="C140" s="5" t="s">
        <v>18</v>
      </c>
      <c r="D140" s="5" t="s">
        <v>15</v>
      </c>
      <c r="E140" s="5" t="s">
        <v>26</v>
      </c>
      <c r="F140" s="5" t="s">
        <v>28</v>
      </c>
      <c r="G140" s="3" t="str">
        <f t="shared" si="6"/>
        <v>028DEEP PURPLE</v>
      </c>
      <c r="H140" s="6">
        <v>9570</v>
      </c>
      <c r="I140" s="6">
        <v>8487</v>
      </c>
      <c r="J140" s="6">
        <v>8487</v>
      </c>
      <c r="K140" s="3">
        <v>2852.5250000000001</v>
      </c>
      <c r="L140" s="3">
        <v>20800</v>
      </c>
      <c r="M140" s="3">
        <v>12</v>
      </c>
      <c r="N140" s="3">
        <v>14.021726190476178</v>
      </c>
      <c r="O140" s="3">
        <v>14.186755952380958</v>
      </c>
      <c r="P140" s="3">
        <v>13.861755952380944</v>
      </c>
      <c r="Q140" s="16">
        <f t="shared" si="7"/>
        <v>3.3549223933182004</v>
      </c>
      <c r="R140" s="10">
        <v>10160.32086363398</v>
      </c>
      <c r="S140" s="12">
        <f t="shared" si="8"/>
        <v>-6.1684520755901827E-2</v>
      </c>
    </row>
    <row r="141" spans="1:20" hidden="1">
      <c r="A141" s="9">
        <v>2026</v>
      </c>
      <c r="B141" s="20">
        <v>14</v>
      </c>
      <c r="C141" s="5" t="s">
        <v>18</v>
      </c>
      <c r="D141" s="5" t="s">
        <v>15</v>
      </c>
      <c r="E141" s="5" t="s">
        <v>26</v>
      </c>
      <c r="F141" s="5" t="s">
        <v>28</v>
      </c>
      <c r="G141" s="3" t="str">
        <f t="shared" si="6"/>
        <v>028DEEP PURPLE</v>
      </c>
      <c r="H141" s="6">
        <v>7080</v>
      </c>
      <c r="I141" s="6">
        <v>8702</v>
      </c>
      <c r="J141" s="6">
        <v>7106</v>
      </c>
      <c r="K141" s="3">
        <v>2852.5249999999987</v>
      </c>
      <c r="L141" s="3">
        <v>20800</v>
      </c>
      <c r="M141" s="3">
        <v>12</v>
      </c>
      <c r="N141" s="3">
        <v>13.443225806451611</v>
      </c>
      <c r="O141" s="3">
        <v>13.619354838709683</v>
      </c>
      <c r="P141" s="3">
        <v>13.269032258064518</v>
      </c>
      <c r="Q141" s="16">
        <f t="shared" si="7"/>
        <v>2.4820115511695788</v>
      </c>
      <c r="R141" s="10">
        <v>7664.4883664385143</v>
      </c>
      <c r="S141" s="12">
        <f t="shared" si="8"/>
        <v>-8.2554854016739301E-2</v>
      </c>
    </row>
    <row r="142" spans="1:20" hidden="1">
      <c r="A142" s="9">
        <v>2026</v>
      </c>
      <c r="B142" s="20">
        <v>15</v>
      </c>
      <c r="C142" s="5" t="s">
        <v>18</v>
      </c>
      <c r="D142" s="5" t="s">
        <v>15</v>
      </c>
      <c r="E142" s="5" t="s">
        <v>26</v>
      </c>
      <c r="F142" s="5" t="s">
        <v>28</v>
      </c>
      <c r="G142" s="3" t="str">
        <f t="shared" si="6"/>
        <v>028DEEP PURPLE</v>
      </c>
      <c r="H142" s="6">
        <v>11670</v>
      </c>
      <c r="I142" s="6">
        <v>8696</v>
      </c>
      <c r="J142" s="6">
        <v>9606</v>
      </c>
      <c r="K142" s="3">
        <v>2852.5249999999987</v>
      </c>
      <c r="L142" s="3">
        <v>20800</v>
      </c>
      <c r="M142" s="3">
        <v>12</v>
      </c>
      <c r="N142" s="3">
        <v>14.582738095238117</v>
      </c>
      <c r="O142" s="3">
        <v>14.794791666666661</v>
      </c>
      <c r="P142" s="3">
        <v>14.374404761904756</v>
      </c>
      <c r="Q142" s="16">
        <f t="shared" si="7"/>
        <v>4.0911122601905348</v>
      </c>
      <c r="R142" s="10">
        <v>13130.714656748651</v>
      </c>
      <c r="S142" s="12">
        <f t="shared" si="8"/>
        <v>-0.12516835104958446</v>
      </c>
    </row>
    <row r="143" spans="1:20" hidden="1">
      <c r="A143" s="9">
        <v>2026</v>
      </c>
      <c r="B143" s="20">
        <v>16</v>
      </c>
      <c r="C143" s="5" t="s">
        <v>18</v>
      </c>
      <c r="D143" s="5" t="s">
        <v>15</v>
      </c>
      <c r="E143" s="5" t="s">
        <v>26</v>
      </c>
      <c r="F143" s="5" t="s">
        <v>28</v>
      </c>
      <c r="G143" s="3" t="str">
        <f t="shared" si="6"/>
        <v>028DEEP PURPLE</v>
      </c>
      <c r="H143" s="6">
        <v>17640</v>
      </c>
      <c r="I143" s="6">
        <v>15766</v>
      </c>
      <c r="J143" s="6">
        <v>15766</v>
      </c>
      <c r="K143" s="3">
        <v>2852.5249999999987</v>
      </c>
      <c r="L143" s="3">
        <v>20800</v>
      </c>
      <c r="M143" s="3">
        <v>12</v>
      </c>
      <c r="N143" s="3">
        <v>14.597473997028219</v>
      </c>
      <c r="O143" s="3">
        <v>14.758098068350654</v>
      </c>
      <c r="P143" s="3">
        <v>14.440416047548274</v>
      </c>
      <c r="Q143" s="16">
        <f t="shared" si="7"/>
        <v>6.1839948817275951</v>
      </c>
      <c r="R143" s="10">
        <v>12595.82460548561</v>
      </c>
      <c r="S143" s="13">
        <f t="shared" si="8"/>
        <v>0.28595098608358221</v>
      </c>
      <c r="T143" s="11">
        <v>1.4999999999999999E-2</v>
      </c>
    </row>
    <row r="144" spans="1:20" hidden="1">
      <c r="A144" s="9">
        <v>2026</v>
      </c>
      <c r="B144" s="20">
        <v>17</v>
      </c>
      <c r="C144" s="5" t="s">
        <v>18</v>
      </c>
      <c r="D144" s="5" t="s">
        <v>15</v>
      </c>
      <c r="E144" s="5" t="s">
        <v>26</v>
      </c>
      <c r="F144" s="5" t="s">
        <v>28</v>
      </c>
      <c r="G144" s="3" t="str">
        <f t="shared" si="6"/>
        <v>028DEEP PURPLE</v>
      </c>
      <c r="H144" s="6">
        <v>17430</v>
      </c>
      <c r="I144" s="6">
        <v>18627</v>
      </c>
      <c r="J144" s="6">
        <v>18627</v>
      </c>
      <c r="K144" s="3">
        <v>2852.5249999999987</v>
      </c>
      <c r="L144" s="3">
        <v>20800</v>
      </c>
      <c r="M144" s="3">
        <v>12</v>
      </c>
      <c r="N144" s="3">
        <v>13.77291666666668</v>
      </c>
      <c r="O144" s="3">
        <v>13.952678571428605</v>
      </c>
      <c r="P144" s="3">
        <v>13.599702380952387</v>
      </c>
      <c r="Q144" s="16">
        <f t="shared" si="7"/>
        <v>6.1103758950403613</v>
      </c>
      <c r="R144" s="10">
        <v>20653.302459653689</v>
      </c>
      <c r="S144" s="13">
        <f t="shared" si="8"/>
        <v>-0.18492842568294257</v>
      </c>
      <c r="T144" s="11">
        <v>0.69</v>
      </c>
    </row>
    <row r="145" spans="1:20" hidden="1">
      <c r="A145" s="9">
        <v>2026</v>
      </c>
      <c r="B145" s="20">
        <v>18</v>
      </c>
      <c r="C145" s="5" t="s">
        <v>18</v>
      </c>
      <c r="D145" s="5" t="s">
        <v>15</v>
      </c>
      <c r="E145" s="5" t="s">
        <v>26</v>
      </c>
      <c r="F145" s="5" t="s">
        <v>28</v>
      </c>
      <c r="G145" s="3" t="str">
        <f t="shared" si="6"/>
        <v>028DEEP PURPLE</v>
      </c>
      <c r="H145" s="6">
        <v>12330</v>
      </c>
      <c r="I145" s="6">
        <v>14445</v>
      </c>
      <c r="J145" s="6">
        <v>16628</v>
      </c>
      <c r="K145" s="3">
        <v>2852.5250000000001</v>
      </c>
      <c r="L145" s="3">
        <v>20800</v>
      </c>
      <c r="M145" s="3">
        <v>12</v>
      </c>
      <c r="N145" s="3">
        <v>13.828017883755605</v>
      </c>
      <c r="O145" s="3">
        <v>14.020864381520106</v>
      </c>
      <c r="P145" s="3">
        <v>13.638748137108793</v>
      </c>
      <c r="Q145" s="16">
        <f t="shared" si="7"/>
        <v>4.3224862183504085</v>
      </c>
      <c r="R145" s="10">
        <v>19975.6964056039</v>
      </c>
      <c r="S145" s="13">
        <f t="shared" si="8"/>
        <v>-0.6200889217845823</v>
      </c>
      <c r="T145" s="11">
        <v>1.1499999999999999</v>
      </c>
    </row>
    <row r="146" spans="1:20" hidden="1">
      <c r="A146" s="9">
        <v>2026</v>
      </c>
      <c r="B146" s="19">
        <v>19</v>
      </c>
      <c r="C146" s="3" t="s">
        <v>18</v>
      </c>
      <c r="D146" s="3" t="s">
        <v>15</v>
      </c>
      <c r="E146" s="3" t="s">
        <v>26</v>
      </c>
      <c r="F146" s="3" t="s">
        <v>28</v>
      </c>
      <c r="G146" s="3" t="str">
        <f t="shared" si="6"/>
        <v>028DEEP PURPLE</v>
      </c>
      <c r="H146" s="3">
        <v>7920</v>
      </c>
      <c r="I146" s="3">
        <v>11537</v>
      </c>
      <c r="J146" s="3">
        <v>10488</v>
      </c>
      <c r="K146" s="3">
        <v>2852.5250000000001</v>
      </c>
      <c r="L146" s="3">
        <v>20800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16">
        <f t="shared" si="7"/>
        <v>2.7764874979185108</v>
      </c>
      <c r="R146" s="24">
        <v>8965</v>
      </c>
      <c r="S146" s="13">
        <f t="shared" si="8"/>
        <v>-0.13194444444444445</v>
      </c>
    </row>
    <row r="147" spans="1:20" hidden="1">
      <c r="A147" s="9">
        <v>2026</v>
      </c>
      <c r="B147" s="19">
        <v>20</v>
      </c>
      <c r="C147" s="3" t="s">
        <v>18</v>
      </c>
      <c r="D147" s="3" t="s">
        <v>15</v>
      </c>
      <c r="E147" s="3" t="s">
        <v>26</v>
      </c>
      <c r="F147" s="3" t="s">
        <v>28</v>
      </c>
      <c r="G147" s="3" t="str">
        <f t="shared" si="6"/>
        <v>028DEEP PURPLE</v>
      </c>
      <c r="H147" s="23">
        <v>11700</v>
      </c>
      <c r="I147" s="3">
        <v>7586</v>
      </c>
      <c r="J147" s="3">
        <v>10845</v>
      </c>
      <c r="K147" s="3">
        <v>2852.5250000000001</v>
      </c>
      <c r="L147" s="3">
        <v>20800</v>
      </c>
      <c r="M147" s="3">
        <v>12</v>
      </c>
      <c r="N147" s="3">
        <v>14.886996336996331</v>
      </c>
      <c r="O147" s="3">
        <v>15.080952380952363</v>
      </c>
      <c r="P147" s="3">
        <v>14.693406593406582</v>
      </c>
      <c r="Q147" s="16">
        <f t="shared" si="7"/>
        <v>4.1016292582887086</v>
      </c>
      <c r="R147" s="24">
        <v>13524</v>
      </c>
      <c r="S147" s="12">
        <f t="shared" si="8"/>
        <v>-0.1558974358974359</v>
      </c>
    </row>
    <row r="148" spans="1:20" hidden="1">
      <c r="A148" s="9">
        <v>2026</v>
      </c>
      <c r="B148" s="19">
        <v>21</v>
      </c>
      <c r="C148" s="3" t="s">
        <v>18</v>
      </c>
      <c r="D148" s="3" t="s">
        <v>15</v>
      </c>
      <c r="E148" s="3" t="s">
        <v>26</v>
      </c>
      <c r="F148" s="3" t="s">
        <v>28</v>
      </c>
      <c r="G148" s="3" t="str">
        <f t="shared" si="6"/>
        <v>028DEEP PURPLE</v>
      </c>
      <c r="H148" s="23">
        <v>5580</v>
      </c>
      <c r="I148" s="3">
        <v>6393</v>
      </c>
      <c r="J148" s="3">
        <v>6628</v>
      </c>
      <c r="K148" s="3">
        <v>2852.5250000000001</v>
      </c>
      <c r="L148" s="3">
        <v>20800</v>
      </c>
      <c r="M148" s="3">
        <v>12</v>
      </c>
      <c r="N148" s="3">
        <v>14.097372742200333</v>
      </c>
      <c r="O148" s="3">
        <v>14.333333333333339</v>
      </c>
      <c r="P148" s="3">
        <v>13.866009852216745</v>
      </c>
      <c r="Q148" s="16">
        <f t="shared" si="7"/>
        <v>1.9561616462607689</v>
      </c>
      <c r="R148" s="24">
        <v>5855</v>
      </c>
      <c r="S148" s="12">
        <f t="shared" si="8"/>
        <v>-4.9283154121863799E-2</v>
      </c>
    </row>
    <row r="149" spans="1:20" hidden="1">
      <c r="A149" s="9">
        <v>2026</v>
      </c>
      <c r="B149" s="19">
        <v>22</v>
      </c>
      <c r="C149" s="3" t="s">
        <v>18</v>
      </c>
      <c r="D149" s="3" t="s">
        <v>15</v>
      </c>
      <c r="E149" s="3" t="s">
        <v>26</v>
      </c>
      <c r="F149" s="3" t="s">
        <v>28</v>
      </c>
      <c r="G149" s="3" t="str">
        <f t="shared" si="6"/>
        <v>028DEEP PURPLE</v>
      </c>
      <c r="H149" s="23">
        <v>4590</v>
      </c>
      <c r="I149" s="3">
        <v>6127</v>
      </c>
      <c r="J149" s="3">
        <v>5760</v>
      </c>
      <c r="K149" s="3">
        <v>2852.5250000000001</v>
      </c>
      <c r="L149" s="3">
        <v>20800</v>
      </c>
      <c r="M149" s="3">
        <v>12</v>
      </c>
      <c r="N149" s="3">
        <v>14.862558502340111</v>
      </c>
      <c r="O149" s="3">
        <v>15.090171606864288</v>
      </c>
      <c r="P149" s="3">
        <v>14.637597503900155</v>
      </c>
      <c r="Q149" s="16">
        <f t="shared" si="7"/>
        <v>1.609100709020955</v>
      </c>
      <c r="R149" s="24">
        <v>4969</v>
      </c>
      <c r="S149" s="12">
        <f t="shared" si="8"/>
        <v>-8.2570806100217858E-2</v>
      </c>
    </row>
    <row r="150" spans="1:20" hidden="1">
      <c r="A150" s="9">
        <v>2025</v>
      </c>
      <c r="B150" s="19">
        <v>1</v>
      </c>
      <c r="C150" s="3" t="s">
        <v>18</v>
      </c>
      <c r="D150" s="3" t="s">
        <v>15</v>
      </c>
      <c r="E150" s="3" t="s">
        <v>16</v>
      </c>
      <c r="F150" s="3" t="s">
        <v>21</v>
      </c>
      <c r="G150" s="3" t="str">
        <f t="shared" si="6"/>
        <v>026LOLA</v>
      </c>
      <c r="H150" s="3">
        <v>2880</v>
      </c>
      <c r="I150" s="3">
        <v>3436</v>
      </c>
      <c r="J150" s="3">
        <v>3040</v>
      </c>
      <c r="K150" s="3">
        <v>1097.125</v>
      </c>
      <c r="L150" s="3">
        <v>8000</v>
      </c>
      <c r="M150" s="3">
        <v>12</v>
      </c>
      <c r="N150" s="3">
        <v>14.926896551724157</v>
      </c>
      <c r="O150" s="3">
        <v>15.150114942528749</v>
      </c>
      <c r="P150" s="3">
        <v>14.717701149425297</v>
      </c>
      <c r="Q150" s="16">
        <f t="shared" si="7"/>
        <v>2.6250427253047737</v>
      </c>
      <c r="R150" s="10">
        <v>3085.112259874561</v>
      </c>
      <c r="S150" s="12">
        <f t="shared" si="8"/>
        <v>-7.1219534678667012E-2</v>
      </c>
    </row>
    <row r="151" spans="1:20" hidden="1">
      <c r="A151" s="9">
        <v>2025</v>
      </c>
      <c r="B151" s="19">
        <v>2</v>
      </c>
      <c r="C151" s="3" t="s">
        <v>18</v>
      </c>
      <c r="D151" s="3" t="s">
        <v>15</v>
      </c>
      <c r="E151" s="3" t="s">
        <v>16</v>
      </c>
      <c r="F151" s="3" t="s">
        <v>21</v>
      </c>
      <c r="G151" s="3" t="str">
        <f t="shared" si="6"/>
        <v>026LOLA</v>
      </c>
      <c r="H151" s="3">
        <v>4620</v>
      </c>
      <c r="I151" s="3">
        <v>3046</v>
      </c>
      <c r="J151" s="3">
        <v>3562</v>
      </c>
      <c r="K151" s="3">
        <v>1097.125</v>
      </c>
      <c r="L151" s="3">
        <v>8000</v>
      </c>
      <c r="M151" s="3">
        <v>12</v>
      </c>
      <c r="N151" s="3">
        <v>15.117031249999988</v>
      </c>
      <c r="O151" s="3">
        <v>15.357656249999996</v>
      </c>
      <c r="P151" s="3">
        <v>14.884374999999986</v>
      </c>
      <c r="Q151" s="16">
        <f t="shared" si="7"/>
        <v>4.2110060385097414</v>
      </c>
      <c r="R151" s="10">
        <v>1758.5139881284999</v>
      </c>
      <c r="S151" s="12">
        <f t="shared" si="8"/>
        <v>0.61936926663885283</v>
      </c>
    </row>
    <row r="152" spans="1:20" hidden="1">
      <c r="A152" s="9">
        <v>2025</v>
      </c>
      <c r="B152" s="19">
        <v>3</v>
      </c>
      <c r="C152" s="3" t="s">
        <v>18</v>
      </c>
      <c r="D152" s="3" t="s">
        <v>15</v>
      </c>
      <c r="E152" s="3" t="s">
        <v>16</v>
      </c>
      <c r="F152" s="3" t="s">
        <v>21</v>
      </c>
      <c r="G152" s="3" t="str">
        <f t="shared" si="6"/>
        <v>026LOLA</v>
      </c>
      <c r="H152" s="3">
        <v>7320</v>
      </c>
      <c r="I152" s="3">
        <v>4441</v>
      </c>
      <c r="J152" s="3">
        <v>3665</v>
      </c>
      <c r="K152" s="3">
        <v>1097.125</v>
      </c>
      <c r="L152" s="3">
        <v>8000</v>
      </c>
      <c r="M152" s="3">
        <v>12</v>
      </c>
      <c r="N152" s="3">
        <v>14.559689922480603</v>
      </c>
      <c r="O152" s="3">
        <v>14.791627906976728</v>
      </c>
      <c r="P152" s="3">
        <v>14.336744186046507</v>
      </c>
      <c r="Q152" s="16">
        <f t="shared" si="7"/>
        <v>6.6719835934829668</v>
      </c>
      <c r="R152" s="10">
        <v>7806.4025065368487</v>
      </c>
      <c r="S152" s="12">
        <f t="shared" si="8"/>
        <v>-6.6448429854760752E-2</v>
      </c>
    </row>
    <row r="153" spans="1:20" hidden="1">
      <c r="A153" s="9">
        <v>2025</v>
      </c>
      <c r="B153" s="19">
        <v>4</v>
      </c>
      <c r="C153" s="3" t="s">
        <v>18</v>
      </c>
      <c r="D153" s="3" t="s">
        <v>15</v>
      </c>
      <c r="E153" s="3" t="s">
        <v>16</v>
      </c>
      <c r="F153" s="3" t="s">
        <v>21</v>
      </c>
      <c r="G153" s="3" t="str">
        <f t="shared" si="6"/>
        <v>026LOLA</v>
      </c>
      <c r="H153" s="3">
        <v>11260</v>
      </c>
      <c r="I153" s="3">
        <v>4743</v>
      </c>
      <c r="J153" s="3">
        <v>4733</v>
      </c>
      <c r="K153" s="3">
        <v>1097.125</v>
      </c>
      <c r="L153" s="3">
        <v>8000</v>
      </c>
      <c r="M153" s="3">
        <v>12</v>
      </c>
      <c r="N153" s="3">
        <v>14.620404984423683</v>
      </c>
      <c r="O153" s="3">
        <v>14.90529595015577</v>
      </c>
      <c r="P153" s="3">
        <v>14.333644859813107</v>
      </c>
      <c r="Q153" s="16">
        <f t="shared" si="7"/>
        <v>10.263187877406859</v>
      </c>
      <c r="R153" s="10">
        <v>4449.6494287260039</v>
      </c>
      <c r="S153" s="12">
        <f t="shared" si="8"/>
        <v>0.60482687133872082</v>
      </c>
    </row>
    <row r="154" spans="1:20" hidden="1">
      <c r="A154" s="9">
        <v>2025</v>
      </c>
      <c r="B154" s="19">
        <v>5</v>
      </c>
      <c r="C154" s="3" t="s">
        <v>18</v>
      </c>
      <c r="D154" s="3" t="s">
        <v>15</v>
      </c>
      <c r="E154" s="3" t="s">
        <v>16</v>
      </c>
      <c r="F154" s="3" t="s">
        <v>21</v>
      </c>
      <c r="G154" s="3" t="str">
        <f t="shared" si="6"/>
        <v>026LOLA</v>
      </c>
      <c r="H154" s="3">
        <v>7980</v>
      </c>
      <c r="I154" s="3">
        <v>4062</v>
      </c>
      <c r="J154" s="3">
        <v>3613</v>
      </c>
      <c r="K154" s="3">
        <v>1097.125</v>
      </c>
      <c r="L154" s="3">
        <v>8000</v>
      </c>
      <c r="M154" s="3">
        <v>12</v>
      </c>
      <c r="N154" s="3">
        <v>15.759968602825738</v>
      </c>
      <c r="O154" s="3">
        <v>16.024332810047081</v>
      </c>
      <c r="P154" s="3">
        <v>15.492935635792767</v>
      </c>
      <c r="Q154" s="16">
        <f t="shared" si="7"/>
        <v>7.2735558846986441</v>
      </c>
      <c r="R154" s="10">
        <v>8587.5871051200411</v>
      </c>
      <c r="S154" s="12">
        <f t="shared" si="8"/>
        <v>-7.613873497744876E-2</v>
      </c>
    </row>
    <row r="155" spans="1:20" hidden="1">
      <c r="A155" s="9">
        <v>2025</v>
      </c>
      <c r="B155" s="19">
        <v>6</v>
      </c>
      <c r="C155" s="3" t="s">
        <v>18</v>
      </c>
      <c r="D155" s="3" t="s">
        <v>15</v>
      </c>
      <c r="E155" s="3" t="s">
        <v>16</v>
      </c>
      <c r="F155" s="3" t="s">
        <v>21</v>
      </c>
      <c r="G155" s="3" t="str">
        <f t="shared" si="6"/>
        <v>026LOLA</v>
      </c>
      <c r="H155" s="3">
        <v>4000</v>
      </c>
      <c r="I155" s="3">
        <v>1873</v>
      </c>
      <c r="J155" s="3">
        <v>2081</v>
      </c>
      <c r="K155" s="3">
        <v>1097.125</v>
      </c>
      <c r="L155" s="3">
        <v>8000</v>
      </c>
      <c r="M155" s="3">
        <v>12</v>
      </c>
      <c r="N155" s="3">
        <v>14.483252032520339</v>
      </c>
      <c r="O155" s="3">
        <v>14.696910569105704</v>
      </c>
      <c r="P155" s="3">
        <v>14.273333333333341</v>
      </c>
      <c r="Q155" s="16">
        <f t="shared" si="7"/>
        <v>3.6458926740344082</v>
      </c>
      <c r="R155" s="10">
        <v>3853.5022076009359</v>
      </c>
      <c r="S155" s="12">
        <f t="shared" si="8"/>
        <v>3.6624448099766026E-2</v>
      </c>
    </row>
    <row r="156" spans="1:20" hidden="1">
      <c r="A156" s="9">
        <v>2025</v>
      </c>
      <c r="B156" s="19">
        <v>7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6"/>
        <v>026LOLA</v>
      </c>
      <c r="H156" s="3">
        <v>3740</v>
      </c>
      <c r="I156" s="3">
        <v>4100</v>
      </c>
      <c r="J156" s="3">
        <v>1218</v>
      </c>
      <c r="K156" s="3">
        <v>1097.125</v>
      </c>
      <c r="L156" s="3">
        <v>8000</v>
      </c>
      <c r="M156" s="3">
        <v>12</v>
      </c>
      <c r="N156" s="3">
        <v>13.801155115511554</v>
      </c>
      <c r="O156" s="3">
        <v>14.032838283828401</v>
      </c>
      <c r="P156" s="3">
        <v>13.571947194719476</v>
      </c>
      <c r="Q156" s="16">
        <f t="shared" si="7"/>
        <v>3.4089096502221716</v>
      </c>
      <c r="R156" s="10">
        <v>3896.440575537491</v>
      </c>
      <c r="S156" s="12">
        <f t="shared" si="8"/>
        <v>-4.1829030892377266E-2</v>
      </c>
    </row>
    <row r="157" spans="1:20" hidden="1">
      <c r="A157" s="9">
        <v>2025</v>
      </c>
      <c r="B157" s="19">
        <v>8</v>
      </c>
      <c r="C157" s="3" t="s">
        <v>18</v>
      </c>
      <c r="D157" s="3" t="s">
        <v>15</v>
      </c>
      <c r="E157" s="3" t="s">
        <v>16</v>
      </c>
      <c r="F157" s="3" t="s">
        <v>21</v>
      </c>
      <c r="G157" s="3" t="str">
        <f t="shared" si="6"/>
        <v>026LOLA</v>
      </c>
      <c r="H157" s="3">
        <v>2180</v>
      </c>
      <c r="I157" s="3">
        <v>3992</v>
      </c>
      <c r="J157" s="3">
        <v>3515</v>
      </c>
      <c r="K157" s="3">
        <v>1097.125</v>
      </c>
      <c r="L157" s="3">
        <v>8000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16">
        <f t="shared" si="7"/>
        <v>1.9870115073487524</v>
      </c>
      <c r="R157" s="10">
        <v>2523.462521303356</v>
      </c>
      <c r="S157" s="12">
        <f t="shared" si="8"/>
        <v>-0.15755161527676878</v>
      </c>
    </row>
    <row r="158" spans="1:20" hidden="1">
      <c r="A158" s="9">
        <v>2025</v>
      </c>
      <c r="B158" s="19">
        <v>9</v>
      </c>
      <c r="C158" s="3" t="s">
        <v>18</v>
      </c>
      <c r="D158" s="3" t="s">
        <v>15</v>
      </c>
      <c r="E158" s="3" t="s">
        <v>16</v>
      </c>
      <c r="F158" s="3" t="s">
        <v>21</v>
      </c>
      <c r="G158" s="3" t="str">
        <f t="shared" si="6"/>
        <v>026LOLA</v>
      </c>
      <c r="H158" s="3">
        <v>3220</v>
      </c>
      <c r="I158" s="3">
        <v>3585</v>
      </c>
      <c r="J158" s="3">
        <v>3937</v>
      </c>
      <c r="K158" s="3">
        <v>1097.125</v>
      </c>
      <c r="L158" s="3">
        <v>8000</v>
      </c>
      <c r="M158" s="3">
        <v>12</v>
      </c>
      <c r="N158" s="3">
        <v>14.097372742200333</v>
      </c>
      <c r="O158" s="3">
        <v>14.333333333333339</v>
      </c>
      <c r="P158" s="3">
        <v>13.866009852216745</v>
      </c>
      <c r="Q158" s="16">
        <f t="shared" si="7"/>
        <v>2.9349436025976985</v>
      </c>
      <c r="R158" s="10">
        <v>3554.552772307693</v>
      </c>
      <c r="S158" s="12">
        <f t="shared" si="8"/>
        <v>-0.10389837649307235</v>
      </c>
    </row>
    <row r="159" spans="1:20" hidden="1">
      <c r="A159" s="9">
        <v>2025</v>
      </c>
      <c r="B159" s="19">
        <v>10</v>
      </c>
      <c r="C159" s="3" t="s">
        <v>18</v>
      </c>
      <c r="D159" s="3" t="s">
        <v>15</v>
      </c>
      <c r="E159" s="3" t="s">
        <v>16</v>
      </c>
      <c r="F159" s="3" t="s">
        <v>21</v>
      </c>
      <c r="G159" s="3" t="str">
        <f t="shared" si="6"/>
        <v>026LOLA</v>
      </c>
      <c r="H159" s="3">
        <v>2320</v>
      </c>
      <c r="I159" s="3">
        <v>3200</v>
      </c>
      <c r="J159" s="3">
        <v>3353</v>
      </c>
      <c r="K159" s="3">
        <v>1097.125</v>
      </c>
      <c r="L159" s="3">
        <v>8000</v>
      </c>
      <c r="M159" s="3">
        <v>12</v>
      </c>
      <c r="N159" s="3">
        <v>14.862558502340111</v>
      </c>
      <c r="O159" s="3">
        <v>15.090171606864288</v>
      </c>
      <c r="P159" s="3">
        <v>14.637597503900155</v>
      </c>
      <c r="Q159" s="16">
        <f t="shared" si="7"/>
        <v>2.1146177509399569</v>
      </c>
      <c r="R159" s="10">
        <v>2531.2095090885441</v>
      </c>
      <c r="S159" s="12">
        <f t="shared" si="8"/>
        <v>-9.1038581503682811E-2</v>
      </c>
    </row>
    <row r="160" spans="1:20" hidden="1">
      <c r="A160" s="9">
        <v>2025</v>
      </c>
      <c r="B160" s="19">
        <v>11</v>
      </c>
      <c r="C160" s="3" t="s">
        <v>18</v>
      </c>
      <c r="D160" s="3" t="s">
        <v>15</v>
      </c>
      <c r="E160" s="3" t="s">
        <v>16</v>
      </c>
      <c r="F160" s="3" t="s">
        <v>21</v>
      </c>
      <c r="G160" s="3" t="str">
        <f t="shared" si="6"/>
        <v>026LOLA</v>
      </c>
      <c r="H160" s="3">
        <v>2820</v>
      </c>
      <c r="I160" s="3">
        <v>4100</v>
      </c>
      <c r="J160" s="3">
        <v>3380</v>
      </c>
      <c r="K160" s="3">
        <v>1097.125</v>
      </c>
      <c r="L160" s="3">
        <v>8000</v>
      </c>
      <c r="M160" s="3">
        <v>12</v>
      </c>
      <c r="N160" s="3">
        <v>13.730322580645163</v>
      </c>
      <c r="O160" s="3">
        <v>13.974354838709669</v>
      </c>
      <c r="P160" s="3">
        <v>13.489193548387098</v>
      </c>
      <c r="Q160" s="16">
        <f t="shared" si="7"/>
        <v>2.5703543351942577</v>
      </c>
      <c r="R160" s="10">
        <v>3121.8425781630922</v>
      </c>
      <c r="S160" s="12">
        <f t="shared" si="8"/>
        <v>-0.10703637523513908</v>
      </c>
    </row>
    <row r="161" spans="1:19" hidden="1">
      <c r="A161" s="9">
        <v>2025</v>
      </c>
      <c r="B161" s="19">
        <v>12</v>
      </c>
      <c r="C161" s="3" t="s">
        <v>18</v>
      </c>
      <c r="D161" s="3" t="s">
        <v>15</v>
      </c>
      <c r="E161" s="3" t="s">
        <v>16</v>
      </c>
      <c r="F161" s="3" t="s">
        <v>21</v>
      </c>
      <c r="G161" s="3" t="str">
        <f t="shared" si="6"/>
        <v>026LOLA</v>
      </c>
      <c r="H161" s="3">
        <v>3180</v>
      </c>
      <c r="I161" s="3">
        <v>3193</v>
      </c>
      <c r="J161" s="3">
        <v>4276</v>
      </c>
      <c r="K161" s="3">
        <v>1097.125</v>
      </c>
      <c r="L161" s="3">
        <v>8000</v>
      </c>
      <c r="M161" s="3">
        <v>12</v>
      </c>
      <c r="N161" s="3">
        <v>14.314696485623003</v>
      </c>
      <c r="O161" s="3">
        <v>14.549999999999999</v>
      </c>
      <c r="P161" s="3">
        <v>14.083386581469659</v>
      </c>
      <c r="Q161" s="16">
        <f t="shared" si="7"/>
        <v>2.8984846758573544</v>
      </c>
      <c r="R161" s="10">
        <v>3534.742101477319</v>
      </c>
      <c r="S161" s="12">
        <f t="shared" si="8"/>
        <v>-0.11155411996142107</v>
      </c>
    </row>
    <row r="162" spans="1:19" hidden="1">
      <c r="A162" s="9">
        <v>2025</v>
      </c>
      <c r="B162" s="19">
        <v>13</v>
      </c>
      <c r="C162" s="3" t="s">
        <v>18</v>
      </c>
      <c r="D162" s="3" t="s">
        <v>15</v>
      </c>
      <c r="E162" s="3" t="s">
        <v>16</v>
      </c>
      <c r="F162" s="3" t="s">
        <v>21</v>
      </c>
      <c r="G162" s="3" t="str">
        <f t="shared" si="6"/>
        <v>026LOLA</v>
      </c>
      <c r="H162" s="3">
        <v>3240</v>
      </c>
      <c r="I162" s="3">
        <v>3773</v>
      </c>
      <c r="J162" s="3">
        <v>3267</v>
      </c>
      <c r="K162" s="3">
        <v>1097.125</v>
      </c>
      <c r="L162" s="3">
        <v>8000</v>
      </c>
      <c r="M162" s="3">
        <v>12</v>
      </c>
      <c r="N162" s="3">
        <v>14.926896551724157</v>
      </c>
      <c r="O162" s="3">
        <v>15.150114942528749</v>
      </c>
      <c r="P162" s="3">
        <v>14.717701149425297</v>
      </c>
      <c r="Q162" s="16">
        <f t="shared" si="7"/>
        <v>2.9531730659678708</v>
      </c>
      <c r="R162" s="10">
        <v>3600.7766558627118</v>
      </c>
      <c r="S162" s="12">
        <f t="shared" si="8"/>
        <v>-0.11135081971071351</v>
      </c>
    </row>
    <row r="163" spans="1:19" hidden="1">
      <c r="A163" s="9">
        <v>2025</v>
      </c>
      <c r="B163" s="19">
        <v>14</v>
      </c>
      <c r="C163" s="3" t="s">
        <v>18</v>
      </c>
      <c r="D163" s="3" t="s">
        <v>15</v>
      </c>
      <c r="E163" s="3" t="s">
        <v>16</v>
      </c>
      <c r="F163" s="3" t="s">
        <v>21</v>
      </c>
      <c r="G163" s="3" t="str">
        <f t="shared" si="6"/>
        <v>026LOLA</v>
      </c>
      <c r="H163" s="3">
        <v>3140</v>
      </c>
      <c r="I163" s="3">
        <v>3957</v>
      </c>
      <c r="J163" s="3">
        <v>4631</v>
      </c>
      <c r="K163" s="3">
        <v>1097.125</v>
      </c>
      <c r="L163" s="3">
        <v>8000</v>
      </c>
      <c r="M163" s="3">
        <v>12</v>
      </c>
      <c r="N163" s="3">
        <v>15.117031249999988</v>
      </c>
      <c r="O163" s="3">
        <v>15.357656249999996</v>
      </c>
      <c r="P163" s="3">
        <v>14.884374999999986</v>
      </c>
      <c r="Q163" s="16">
        <f t="shared" si="7"/>
        <v>2.8620257491170102</v>
      </c>
      <c r="R163" s="10">
        <v>3525.4427504261662</v>
      </c>
      <c r="S163" s="12">
        <f t="shared" si="8"/>
        <v>-0.12275246828858796</v>
      </c>
    </row>
    <row r="164" spans="1:19" hidden="1">
      <c r="A164" s="9">
        <v>2025</v>
      </c>
      <c r="B164" s="19">
        <v>15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6"/>
        <v>026LOLA</v>
      </c>
      <c r="H164" s="3">
        <v>4440</v>
      </c>
      <c r="I164" s="3">
        <v>3937</v>
      </c>
      <c r="J164" s="3">
        <v>3937</v>
      </c>
      <c r="K164" s="3">
        <v>1097.125</v>
      </c>
      <c r="L164" s="3">
        <v>8000</v>
      </c>
      <c r="M164" s="3">
        <v>12</v>
      </c>
      <c r="N164" s="3">
        <v>14.559689922480603</v>
      </c>
      <c r="O164" s="3">
        <v>14.791627906976728</v>
      </c>
      <c r="P164" s="3">
        <v>14.336744186046507</v>
      </c>
      <c r="Q164" s="16">
        <f t="shared" si="7"/>
        <v>4.0469408681781927</v>
      </c>
      <c r="R164" s="10">
        <v>4716.0508054933644</v>
      </c>
      <c r="S164" s="12">
        <f t="shared" si="8"/>
        <v>-6.2173604840847829E-2</v>
      </c>
    </row>
    <row r="165" spans="1:19" hidden="1">
      <c r="A165" s="9">
        <v>2025</v>
      </c>
      <c r="B165" s="19">
        <v>16</v>
      </c>
      <c r="C165" s="3" t="s">
        <v>18</v>
      </c>
      <c r="D165" s="3" t="s">
        <v>15</v>
      </c>
      <c r="E165" s="3" t="s">
        <v>16</v>
      </c>
      <c r="F165" s="3" t="s">
        <v>21</v>
      </c>
      <c r="G165" s="3" t="str">
        <f t="shared" si="6"/>
        <v>026LOLA</v>
      </c>
      <c r="H165" s="3">
        <v>9120</v>
      </c>
      <c r="I165" s="3">
        <v>7679</v>
      </c>
      <c r="J165" s="3">
        <v>8083</v>
      </c>
      <c r="K165" s="3">
        <v>1097.125</v>
      </c>
      <c r="L165" s="3">
        <v>8000</v>
      </c>
      <c r="M165" s="3">
        <v>12</v>
      </c>
      <c r="N165" s="3">
        <v>14.620404984423683</v>
      </c>
      <c r="O165" s="3">
        <v>14.90529595015577</v>
      </c>
      <c r="P165" s="3">
        <v>14.333644859813107</v>
      </c>
      <c r="Q165" s="16">
        <f t="shared" si="7"/>
        <v>8.3126352967984509</v>
      </c>
      <c r="R165" s="10">
        <v>8621.8644511324528</v>
      </c>
      <c r="S165" s="12">
        <f t="shared" si="8"/>
        <v>5.4620125972318773E-2</v>
      </c>
    </row>
    <row r="166" spans="1:19" hidden="1">
      <c r="A166" s="9">
        <v>2025</v>
      </c>
      <c r="B166" s="19">
        <v>17</v>
      </c>
      <c r="C166" s="3" t="s">
        <v>18</v>
      </c>
      <c r="D166" s="3" t="s">
        <v>15</v>
      </c>
      <c r="E166" s="3" t="s">
        <v>16</v>
      </c>
      <c r="F166" s="3" t="s">
        <v>21</v>
      </c>
      <c r="G166" s="3" t="str">
        <f t="shared" si="6"/>
        <v>026LOLA</v>
      </c>
      <c r="H166" s="3">
        <v>9380</v>
      </c>
      <c r="I166" s="3">
        <v>9298</v>
      </c>
      <c r="J166" s="3">
        <v>9298</v>
      </c>
      <c r="K166" s="3">
        <v>1097.125</v>
      </c>
      <c r="L166" s="3">
        <v>8000</v>
      </c>
      <c r="M166" s="3">
        <v>12</v>
      </c>
      <c r="N166" s="3">
        <v>15.759968602825738</v>
      </c>
      <c r="O166" s="3">
        <v>16.024332810047081</v>
      </c>
      <c r="P166" s="3">
        <v>15.492935635792767</v>
      </c>
      <c r="Q166" s="16">
        <f t="shared" si="7"/>
        <v>8.5496183206106871</v>
      </c>
      <c r="R166" s="10">
        <v>4914.4627371454981</v>
      </c>
      <c r="S166" s="12">
        <f t="shared" si="8"/>
        <v>0.47607007066679125</v>
      </c>
    </row>
    <row r="167" spans="1:19" hidden="1">
      <c r="A167" s="9">
        <v>2025</v>
      </c>
      <c r="B167" s="19">
        <v>18</v>
      </c>
      <c r="C167" s="3" t="s">
        <v>18</v>
      </c>
      <c r="D167" s="3" t="s">
        <v>15</v>
      </c>
      <c r="E167" s="3" t="s">
        <v>16</v>
      </c>
      <c r="F167" s="3" t="s">
        <v>21</v>
      </c>
      <c r="G167" s="3" t="str">
        <f t="shared" si="6"/>
        <v>026LOLA</v>
      </c>
      <c r="H167" s="3">
        <v>7240</v>
      </c>
      <c r="I167" s="3">
        <v>8087</v>
      </c>
      <c r="J167" s="3">
        <v>8087</v>
      </c>
      <c r="K167" s="3">
        <v>1097.125</v>
      </c>
      <c r="L167" s="3">
        <v>8000</v>
      </c>
      <c r="M167" s="3">
        <v>12</v>
      </c>
      <c r="N167" s="3">
        <v>14.483252032520339</v>
      </c>
      <c r="O167" s="3">
        <v>14.696910569105704</v>
      </c>
      <c r="P167" s="3">
        <v>14.273333333333341</v>
      </c>
      <c r="Q167" s="16">
        <f t="shared" si="7"/>
        <v>6.5990657400022785</v>
      </c>
      <c r="R167" s="10">
        <v>7875.961196951308</v>
      </c>
      <c r="S167" s="12">
        <f t="shared" si="8"/>
        <v>-8.7839944330291159E-2</v>
      </c>
    </row>
    <row r="168" spans="1:19" hidden="1">
      <c r="A168" s="9">
        <v>2025</v>
      </c>
      <c r="B168" s="19">
        <v>19</v>
      </c>
      <c r="C168" s="3" t="s">
        <v>18</v>
      </c>
      <c r="D168" s="3" t="s">
        <v>15</v>
      </c>
      <c r="E168" s="3" t="s">
        <v>16</v>
      </c>
      <c r="F168" s="3" t="s">
        <v>21</v>
      </c>
      <c r="G168" s="3" t="str">
        <f t="shared" si="6"/>
        <v>026LOLA</v>
      </c>
      <c r="H168" s="3">
        <v>3760</v>
      </c>
      <c r="I168" s="3">
        <v>5337</v>
      </c>
      <c r="J168" s="3">
        <v>4852</v>
      </c>
      <c r="K168" s="3">
        <v>1097.125</v>
      </c>
      <c r="L168" s="3">
        <v>8000</v>
      </c>
      <c r="M168" s="3">
        <v>12</v>
      </c>
      <c r="N168" s="3">
        <v>13.801155115511554</v>
      </c>
      <c r="O168" s="3">
        <v>14.032838283828401</v>
      </c>
      <c r="P168" s="3">
        <v>13.571947194719476</v>
      </c>
      <c r="Q168" s="16">
        <f t="shared" si="7"/>
        <v>3.4271391135923435</v>
      </c>
      <c r="R168" s="10">
        <v>4157.2077750130802</v>
      </c>
      <c r="S168" s="12">
        <f t="shared" si="8"/>
        <v>-0.10564036569496814</v>
      </c>
    </row>
    <row r="169" spans="1:19" hidden="1">
      <c r="A169" s="9">
        <v>2025</v>
      </c>
      <c r="B169" s="19">
        <v>20</v>
      </c>
      <c r="C169" s="3" t="s">
        <v>18</v>
      </c>
      <c r="D169" s="3" t="s">
        <v>15</v>
      </c>
      <c r="E169" s="3" t="s">
        <v>16</v>
      </c>
      <c r="F169" s="3" t="s">
        <v>21</v>
      </c>
      <c r="G169" s="3" t="str">
        <f t="shared" si="6"/>
        <v>026LOLA</v>
      </c>
      <c r="H169" s="3">
        <v>4280</v>
      </c>
      <c r="I169" s="3">
        <v>4263</v>
      </c>
      <c r="J169" s="3">
        <v>5017</v>
      </c>
      <c r="K169" s="3">
        <v>1097.125</v>
      </c>
      <c r="L169" s="3">
        <v>8000</v>
      </c>
      <c r="M169" s="3">
        <v>12</v>
      </c>
      <c r="N169" s="3">
        <v>14.886996336996331</v>
      </c>
      <c r="O169" s="3">
        <v>15.080952380952363</v>
      </c>
      <c r="P169" s="3">
        <v>14.693406593406582</v>
      </c>
      <c r="Q169" s="16">
        <f t="shared" si="7"/>
        <v>3.9011051612168166</v>
      </c>
      <c r="R169" s="10">
        <v>4745.6836659708206</v>
      </c>
      <c r="S169" s="12">
        <f t="shared" si="8"/>
        <v>-0.10880459485299547</v>
      </c>
    </row>
    <row r="170" spans="1:19" hidden="1">
      <c r="A170" s="9">
        <v>2025</v>
      </c>
      <c r="B170" s="19">
        <v>21</v>
      </c>
      <c r="C170" s="3" t="s">
        <v>18</v>
      </c>
      <c r="D170" s="3" t="s">
        <v>15</v>
      </c>
      <c r="E170" s="3" t="s">
        <v>16</v>
      </c>
      <c r="F170" s="3" t="s">
        <v>21</v>
      </c>
      <c r="G170" s="3" t="str">
        <f t="shared" si="6"/>
        <v>026LOLA</v>
      </c>
      <c r="H170" s="3">
        <v>3420</v>
      </c>
      <c r="I170" s="3">
        <v>4590</v>
      </c>
      <c r="J170" s="3">
        <v>4153</v>
      </c>
      <c r="K170" s="3">
        <v>1097.125</v>
      </c>
      <c r="L170" s="3">
        <v>8000</v>
      </c>
      <c r="M170" s="3">
        <v>12</v>
      </c>
      <c r="N170" s="3">
        <v>14.097372742200333</v>
      </c>
      <c r="O170" s="3">
        <v>14.333333333333339</v>
      </c>
      <c r="P170" s="3">
        <v>13.866009852216745</v>
      </c>
      <c r="Q170" s="16">
        <f t="shared" si="7"/>
        <v>3.1172382362994191</v>
      </c>
      <c r="R170" s="10">
        <v>3813.210871691831</v>
      </c>
      <c r="S170" s="12">
        <f t="shared" si="8"/>
        <v>-0.11497393909117866</v>
      </c>
    </row>
    <row r="171" spans="1:19" hidden="1">
      <c r="A171" s="9">
        <v>2025</v>
      </c>
      <c r="B171" s="19">
        <v>22</v>
      </c>
      <c r="C171" s="3" t="s">
        <v>18</v>
      </c>
      <c r="D171" s="3" t="s">
        <v>15</v>
      </c>
      <c r="E171" s="3" t="s">
        <v>16</v>
      </c>
      <c r="F171" s="3" t="s">
        <v>21</v>
      </c>
      <c r="G171" s="3" t="str">
        <f t="shared" si="6"/>
        <v>026LOLA</v>
      </c>
      <c r="H171" s="3">
        <v>4860</v>
      </c>
      <c r="I171" s="3">
        <v>4312</v>
      </c>
      <c r="J171" s="3">
        <v>4227</v>
      </c>
      <c r="K171" s="3">
        <v>1097.125</v>
      </c>
      <c r="L171" s="3">
        <v>8000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16">
        <f t="shared" si="7"/>
        <v>4.4297595989518062</v>
      </c>
      <c r="R171" s="10">
        <v>5463.4071643698589</v>
      </c>
      <c r="S171" s="12">
        <f t="shared" si="8"/>
        <v>-0.12415785275099979</v>
      </c>
    </row>
    <row r="172" spans="1:19" hidden="1">
      <c r="A172" s="9">
        <v>2025</v>
      </c>
      <c r="B172" s="19">
        <v>23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6"/>
        <v>026LOLA</v>
      </c>
      <c r="H172" s="3">
        <v>4780</v>
      </c>
      <c r="I172" s="3">
        <v>4637</v>
      </c>
      <c r="J172" s="3">
        <v>4637</v>
      </c>
      <c r="K172" s="3">
        <v>1097.125</v>
      </c>
      <c r="L172" s="3">
        <v>8000</v>
      </c>
      <c r="M172" s="3">
        <v>12</v>
      </c>
      <c r="N172" s="3">
        <v>13.730322580645163</v>
      </c>
      <c r="O172" s="3">
        <v>13.974354838709669</v>
      </c>
      <c r="P172" s="3">
        <v>13.489193548387098</v>
      </c>
      <c r="Q172" s="16">
        <f t="shared" si="7"/>
        <v>4.3568417454711179</v>
      </c>
      <c r="R172" s="10">
        <v>5369.472438467491</v>
      </c>
      <c r="S172" s="12">
        <f t="shared" si="8"/>
        <v>-0.12332059382165084</v>
      </c>
    </row>
    <row r="173" spans="1:19" hidden="1">
      <c r="A173" s="9">
        <v>2025</v>
      </c>
      <c r="B173" s="19">
        <v>24</v>
      </c>
      <c r="C173" s="3" t="s">
        <v>18</v>
      </c>
      <c r="D173" s="3" t="s">
        <v>15</v>
      </c>
      <c r="E173" s="3" t="s">
        <v>16</v>
      </c>
      <c r="F173" s="3" t="s">
        <v>21</v>
      </c>
      <c r="G173" s="3" t="str">
        <f t="shared" si="6"/>
        <v>026LOLA</v>
      </c>
      <c r="H173" s="3">
        <v>3180</v>
      </c>
      <c r="I173" s="3">
        <v>4538</v>
      </c>
      <c r="J173" s="3">
        <v>4811</v>
      </c>
      <c r="K173" s="3">
        <v>1097.125</v>
      </c>
      <c r="L173" s="3">
        <v>8000</v>
      </c>
      <c r="M173" s="3">
        <v>12</v>
      </c>
      <c r="N173" s="3">
        <v>14.314696485623003</v>
      </c>
      <c r="O173" s="3">
        <v>14.549999999999999</v>
      </c>
      <c r="P173" s="3">
        <v>14.083386581469659</v>
      </c>
      <c r="Q173" s="16">
        <f t="shared" si="7"/>
        <v>2.8984846758573544</v>
      </c>
      <c r="R173" s="10">
        <v>3538.6438622831129</v>
      </c>
      <c r="S173" s="12">
        <f t="shared" si="8"/>
        <v>-0.11278108876827449</v>
      </c>
    </row>
    <row r="174" spans="1:19" hidden="1">
      <c r="A174" s="9">
        <v>2025</v>
      </c>
      <c r="B174" s="19">
        <v>25</v>
      </c>
      <c r="C174" s="3" t="s">
        <v>18</v>
      </c>
      <c r="D174" s="3" t="s">
        <v>15</v>
      </c>
      <c r="E174" s="3" t="s">
        <v>16</v>
      </c>
      <c r="F174" s="3" t="s">
        <v>21</v>
      </c>
      <c r="G174" s="3" t="str">
        <f t="shared" si="6"/>
        <v>026LOLA</v>
      </c>
      <c r="H174" s="3">
        <v>3040</v>
      </c>
      <c r="I174" s="3">
        <v>4395</v>
      </c>
      <c r="J174" s="3">
        <v>4395</v>
      </c>
      <c r="K174" s="3">
        <v>1097.125</v>
      </c>
      <c r="L174" s="3">
        <v>8000</v>
      </c>
      <c r="M174" s="3">
        <v>12</v>
      </c>
      <c r="N174" s="3">
        <v>13.355342902711323</v>
      </c>
      <c r="O174" s="3">
        <v>13.582615629984048</v>
      </c>
      <c r="P174" s="3">
        <v>13.129505582137151</v>
      </c>
      <c r="Q174" s="16">
        <f t="shared" si="7"/>
        <v>2.7708784322661502</v>
      </c>
      <c r="R174" s="10">
        <v>3342.1002855932229</v>
      </c>
      <c r="S174" s="12">
        <f t="shared" si="8"/>
        <v>-9.9375093945139117E-2</v>
      </c>
    </row>
    <row r="175" spans="1:19" hidden="1">
      <c r="A175" s="9">
        <v>2025</v>
      </c>
      <c r="B175" s="19">
        <v>26</v>
      </c>
      <c r="C175" s="3" t="s">
        <v>18</v>
      </c>
      <c r="D175" s="3" t="s">
        <v>15</v>
      </c>
      <c r="E175" s="3" t="s">
        <v>16</v>
      </c>
      <c r="F175" s="3" t="s">
        <v>21</v>
      </c>
      <c r="G175" s="3" t="str">
        <f t="shared" si="6"/>
        <v>026LOLA</v>
      </c>
      <c r="H175" s="3">
        <v>4325</v>
      </c>
      <c r="I175" s="3">
        <v>4322</v>
      </c>
      <c r="J175" s="3">
        <v>5122</v>
      </c>
      <c r="K175" s="3">
        <v>1097.125</v>
      </c>
      <c r="L175" s="3">
        <v>8000</v>
      </c>
      <c r="M175" s="3">
        <v>12</v>
      </c>
      <c r="N175" s="3">
        <v>13.694453248811422</v>
      </c>
      <c r="O175" s="3">
        <v>13.929160063391446</v>
      </c>
      <c r="P175" s="3">
        <v>13.455467511885894</v>
      </c>
      <c r="Q175" s="16">
        <f t="shared" si="7"/>
        <v>3.9421214537997038</v>
      </c>
      <c r="R175" s="10">
        <v>4775.0784753478756</v>
      </c>
      <c r="S175" s="12">
        <f t="shared" si="8"/>
        <v>-0.10406438736367066</v>
      </c>
    </row>
    <row r="176" spans="1:19" hidden="1">
      <c r="A176" s="9">
        <v>2025</v>
      </c>
      <c r="B176" s="19">
        <v>27</v>
      </c>
      <c r="C176" s="3" t="s">
        <v>18</v>
      </c>
      <c r="D176" s="3" t="s">
        <v>15</v>
      </c>
      <c r="E176" s="3" t="s">
        <v>16</v>
      </c>
      <c r="F176" s="3" t="s">
        <v>21</v>
      </c>
      <c r="G176" s="3" t="str">
        <f t="shared" si="6"/>
        <v>026LOLA</v>
      </c>
      <c r="H176" s="3">
        <v>3900</v>
      </c>
      <c r="I176" s="3">
        <v>4200</v>
      </c>
      <c r="J176" s="3">
        <v>4186</v>
      </c>
      <c r="K176" s="3">
        <v>1097.125</v>
      </c>
      <c r="L176" s="3">
        <v>8000</v>
      </c>
      <c r="M176" s="3">
        <v>12</v>
      </c>
      <c r="N176" s="3">
        <v>13.246116504854371</v>
      </c>
      <c r="O176" s="3">
        <v>13.484142394822005</v>
      </c>
      <c r="P176" s="3">
        <v>13.012297734627845</v>
      </c>
      <c r="Q176" s="16">
        <f t="shared" si="7"/>
        <v>3.5547453571835481</v>
      </c>
      <c r="R176" s="10">
        <v>4339.8738640275669</v>
      </c>
      <c r="S176" s="12">
        <f t="shared" si="8"/>
        <v>-0.1127881702634787</v>
      </c>
    </row>
    <row r="177" spans="1:19" hidden="1">
      <c r="A177" s="9">
        <v>2025</v>
      </c>
      <c r="B177" s="19">
        <v>28</v>
      </c>
      <c r="C177" s="3" t="s">
        <v>18</v>
      </c>
      <c r="D177" s="3" t="s">
        <v>15</v>
      </c>
      <c r="E177" s="3" t="s">
        <v>16</v>
      </c>
      <c r="F177" s="3" t="s">
        <v>21</v>
      </c>
      <c r="G177" s="3" t="str">
        <f t="shared" si="6"/>
        <v>026LOLA</v>
      </c>
      <c r="H177" s="3">
        <v>4975</v>
      </c>
      <c r="I177" s="3">
        <v>4535</v>
      </c>
      <c r="J177" s="3">
        <v>4305</v>
      </c>
      <c r="K177" s="3">
        <v>1097.125</v>
      </c>
      <c r="L177" s="3">
        <v>8000</v>
      </c>
      <c r="M177" s="3">
        <v>12</v>
      </c>
      <c r="N177" s="3">
        <v>13.238155802861698</v>
      </c>
      <c r="O177" s="3">
        <v>13.458664546899842</v>
      </c>
      <c r="P177" s="3">
        <v>13.014467408585055</v>
      </c>
      <c r="Q177" s="16">
        <f t="shared" si="7"/>
        <v>4.534579013330295</v>
      </c>
      <c r="R177" s="10">
        <v>5580.5902679001047</v>
      </c>
      <c r="S177" s="12">
        <f t="shared" si="8"/>
        <v>-0.12172668701509641</v>
      </c>
    </row>
    <row r="178" spans="1:19" hidden="1">
      <c r="A178" s="9">
        <v>2025</v>
      </c>
      <c r="B178" s="19">
        <v>29</v>
      </c>
      <c r="C178" s="3" t="s">
        <v>18</v>
      </c>
      <c r="D178" s="3" t="s">
        <v>15</v>
      </c>
      <c r="E178" s="3" t="s">
        <v>16</v>
      </c>
      <c r="F178" s="3" t="s">
        <v>21</v>
      </c>
      <c r="G178" s="3" t="str">
        <f t="shared" si="6"/>
        <v>026LOLA</v>
      </c>
      <c r="H178" s="3">
        <v>5225</v>
      </c>
      <c r="I178" s="3">
        <v>4389</v>
      </c>
      <c r="J178" s="3">
        <v>4675</v>
      </c>
      <c r="K178" s="3">
        <v>1097.125</v>
      </c>
      <c r="L178" s="3">
        <v>8000</v>
      </c>
      <c r="M178" s="3">
        <v>12</v>
      </c>
      <c r="N178" s="3">
        <v>13.055999999999999</v>
      </c>
      <c r="O178" s="3">
        <v>13.316666666666679</v>
      </c>
      <c r="P178" s="3">
        <v>12.786833333333337</v>
      </c>
      <c r="Q178" s="16">
        <f t="shared" si="7"/>
        <v>4.7624473054574459</v>
      </c>
      <c r="R178" s="10">
        <v>5742.8999691622867</v>
      </c>
      <c r="S178" s="12">
        <f t="shared" si="8"/>
        <v>-9.9119611322925669E-2</v>
      </c>
    </row>
    <row r="179" spans="1:19" hidden="1">
      <c r="A179" s="9">
        <v>2025</v>
      </c>
      <c r="B179" s="19">
        <v>30</v>
      </c>
      <c r="C179" s="3" t="s">
        <v>18</v>
      </c>
      <c r="D179" s="3" t="s">
        <v>15</v>
      </c>
      <c r="E179" s="3" t="s">
        <v>16</v>
      </c>
      <c r="F179" s="3" t="s">
        <v>21</v>
      </c>
      <c r="G179" s="3" t="str">
        <f t="shared" si="6"/>
        <v>026LOLA</v>
      </c>
      <c r="H179" s="3">
        <v>6750</v>
      </c>
      <c r="I179" s="3">
        <v>4800</v>
      </c>
      <c r="J179" s="3">
        <v>4881</v>
      </c>
      <c r="K179" s="3">
        <v>1097.125</v>
      </c>
      <c r="L179" s="3">
        <v>8000</v>
      </c>
      <c r="M179" s="3">
        <v>12</v>
      </c>
      <c r="N179" s="3">
        <v>14.51277955271564</v>
      </c>
      <c r="O179" s="3">
        <v>14.803514376996825</v>
      </c>
      <c r="P179" s="3">
        <v>14.223162939297143</v>
      </c>
      <c r="Q179" s="16">
        <f t="shared" si="7"/>
        <v>6.1524438874330638</v>
      </c>
      <c r="R179" s="10">
        <v>7626.8855502495462</v>
      </c>
      <c r="S179" s="12">
        <f t="shared" si="8"/>
        <v>-0.12990897040734017</v>
      </c>
    </row>
    <row r="180" spans="1:19" hidden="1">
      <c r="A180" s="9">
        <v>2025</v>
      </c>
      <c r="B180" s="19">
        <v>31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6"/>
        <v>026LOLA</v>
      </c>
      <c r="H180" s="3">
        <v>5250</v>
      </c>
      <c r="I180" s="3">
        <v>5777</v>
      </c>
      <c r="J180" s="3">
        <v>5042</v>
      </c>
      <c r="K180" s="3">
        <v>1097.125</v>
      </c>
      <c r="L180" s="3">
        <v>8000</v>
      </c>
      <c r="M180" s="3">
        <v>12</v>
      </c>
      <c r="N180" s="3">
        <v>13.78425196850394</v>
      </c>
      <c r="O180" s="3">
        <v>14.065354330708656</v>
      </c>
      <c r="P180" s="3">
        <v>13.503307086614177</v>
      </c>
      <c r="Q180" s="16">
        <f t="shared" si="7"/>
        <v>4.7852341346701603</v>
      </c>
      <c r="R180" s="10">
        <v>5719.5375970975647</v>
      </c>
      <c r="S180" s="12">
        <f t="shared" si="8"/>
        <v>-8.9435732780488511E-2</v>
      </c>
    </row>
    <row r="181" spans="1:19" hidden="1">
      <c r="A181" s="9">
        <v>2025</v>
      </c>
      <c r="B181" s="19">
        <v>32</v>
      </c>
      <c r="C181" s="3" t="s">
        <v>18</v>
      </c>
      <c r="D181" s="3" t="s">
        <v>15</v>
      </c>
      <c r="E181" s="3" t="s">
        <v>16</v>
      </c>
      <c r="F181" s="3" t="s">
        <v>21</v>
      </c>
      <c r="G181" s="3" t="str">
        <f t="shared" si="6"/>
        <v>026LOLA</v>
      </c>
      <c r="H181" s="3">
        <v>2775</v>
      </c>
      <c r="I181" s="3">
        <v>6138</v>
      </c>
      <c r="J181" s="3">
        <v>5569</v>
      </c>
      <c r="K181" s="3">
        <v>1097.125</v>
      </c>
      <c r="L181" s="3">
        <v>8000</v>
      </c>
      <c r="M181" s="3">
        <v>12</v>
      </c>
      <c r="N181" s="3">
        <v>12.659270998415199</v>
      </c>
      <c r="O181" s="3">
        <v>12.943264659271005</v>
      </c>
      <c r="P181" s="3">
        <v>12.377337559429469</v>
      </c>
      <c r="Q181" s="16">
        <f t="shared" si="7"/>
        <v>2.5293380426113705</v>
      </c>
      <c r="R181" s="10">
        <v>3097.8450501033799</v>
      </c>
      <c r="S181" s="12">
        <f t="shared" si="8"/>
        <v>-0.11634055859581258</v>
      </c>
    </row>
    <row r="182" spans="1:19" hidden="1">
      <c r="A182" s="9">
        <v>2025</v>
      </c>
      <c r="B182" s="19">
        <v>33</v>
      </c>
      <c r="C182" s="3" t="s">
        <v>18</v>
      </c>
      <c r="D182" s="3" t="s">
        <v>15</v>
      </c>
      <c r="E182" s="3" t="s">
        <v>16</v>
      </c>
      <c r="F182" s="3" t="s">
        <v>21</v>
      </c>
      <c r="G182" s="3" t="str">
        <f t="shared" si="6"/>
        <v>026LOLA</v>
      </c>
      <c r="H182" s="3">
        <v>3000</v>
      </c>
      <c r="I182" s="3">
        <v>3940</v>
      </c>
      <c r="J182" s="3">
        <v>5469</v>
      </c>
      <c r="K182" s="3">
        <v>1097.125</v>
      </c>
      <c r="L182" s="3">
        <v>8000</v>
      </c>
      <c r="M182" s="3">
        <v>12</v>
      </c>
      <c r="N182" s="3">
        <v>13.589285714285717</v>
      </c>
      <c r="O182" s="3">
        <v>13.824068322981383</v>
      </c>
      <c r="P182" s="3">
        <v>13.353571428571435</v>
      </c>
      <c r="Q182" s="16">
        <f t="shared" si="7"/>
        <v>2.734419505525806</v>
      </c>
      <c r="R182" s="10">
        <v>3336.7861059114111</v>
      </c>
      <c r="S182" s="12">
        <f t="shared" si="8"/>
        <v>-0.11226203530380371</v>
      </c>
    </row>
    <row r="183" spans="1:19" hidden="1">
      <c r="A183" s="9">
        <v>2025</v>
      </c>
      <c r="B183" s="19">
        <v>34</v>
      </c>
      <c r="C183" s="3" t="s">
        <v>18</v>
      </c>
      <c r="D183" s="3" t="s">
        <v>15</v>
      </c>
      <c r="E183" s="3" t="s">
        <v>16</v>
      </c>
      <c r="F183" s="3" t="s">
        <v>21</v>
      </c>
      <c r="G183" s="3" t="str">
        <f t="shared" si="6"/>
        <v>026LOLA</v>
      </c>
      <c r="H183" s="3">
        <v>3300</v>
      </c>
      <c r="I183" s="3">
        <v>3050</v>
      </c>
      <c r="J183" s="3">
        <v>4091</v>
      </c>
      <c r="K183" s="3">
        <v>1097.125</v>
      </c>
      <c r="L183" s="3">
        <v>8000</v>
      </c>
      <c r="M183" s="3">
        <v>12</v>
      </c>
      <c r="N183" s="3">
        <v>12.824486571879941</v>
      </c>
      <c r="O183" s="3">
        <v>13.083254344391783</v>
      </c>
      <c r="P183" s="3">
        <v>12.564612954186416</v>
      </c>
      <c r="Q183" s="16">
        <f t="shared" si="7"/>
        <v>3.0078614560783867</v>
      </c>
      <c r="R183" s="10">
        <v>3672.616762001082</v>
      </c>
      <c r="S183" s="12">
        <f t="shared" si="8"/>
        <v>-0.11291417030335817</v>
      </c>
    </row>
    <row r="184" spans="1:19" hidden="1">
      <c r="A184" s="9">
        <v>2025</v>
      </c>
      <c r="B184" s="19">
        <v>35</v>
      </c>
      <c r="C184" s="3" t="s">
        <v>18</v>
      </c>
      <c r="D184" s="3" t="s">
        <v>15</v>
      </c>
      <c r="E184" s="3" t="s">
        <v>16</v>
      </c>
      <c r="F184" s="3" t="s">
        <v>21</v>
      </c>
      <c r="G184" s="3" t="str">
        <f t="shared" si="6"/>
        <v>026LOLA</v>
      </c>
      <c r="H184" s="3">
        <v>2700</v>
      </c>
      <c r="I184" s="3">
        <v>3394</v>
      </c>
      <c r="J184" s="3">
        <v>2883</v>
      </c>
      <c r="K184" s="3">
        <v>1097.125</v>
      </c>
      <c r="L184" s="3">
        <v>8000</v>
      </c>
      <c r="M184" s="3">
        <v>12</v>
      </c>
      <c r="N184" s="3">
        <v>13.437577639751549</v>
      </c>
      <c r="O184" s="3">
        <v>13.71583850931677</v>
      </c>
      <c r="P184" s="3">
        <v>13.159472049689436</v>
      </c>
      <c r="Q184" s="16">
        <f t="shared" si="7"/>
        <v>2.4609775549732253</v>
      </c>
      <c r="R184" s="10">
        <v>3040.1075960294061</v>
      </c>
      <c r="S184" s="12">
        <f t="shared" si="8"/>
        <v>-0.12596577630718744</v>
      </c>
    </row>
    <row r="185" spans="1:19" hidden="1">
      <c r="A185" s="9">
        <v>2025</v>
      </c>
      <c r="B185" s="19">
        <v>36</v>
      </c>
      <c r="C185" s="3" t="s">
        <v>18</v>
      </c>
      <c r="D185" s="3" t="s">
        <v>15</v>
      </c>
      <c r="E185" s="3" t="s">
        <v>16</v>
      </c>
      <c r="F185" s="3" t="s">
        <v>21</v>
      </c>
      <c r="G185" s="3" t="str">
        <f t="shared" si="6"/>
        <v>026LOLA</v>
      </c>
      <c r="H185" s="3">
        <v>2975</v>
      </c>
      <c r="I185" s="3">
        <v>3427</v>
      </c>
      <c r="J185" s="3">
        <v>3614</v>
      </c>
      <c r="K185" s="3">
        <v>1097.125</v>
      </c>
      <c r="L185" s="3">
        <v>8000</v>
      </c>
      <c r="M185" s="3">
        <v>12</v>
      </c>
      <c r="N185" s="3">
        <v>12.977672955974834</v>
      </c>
      <c r="O185" s="3">
        <v>13.234119496855346</v>
      </c>
      <c r="P185" s="3">
        <v>12.718081761006273</v>
      </c>
      <c r="Q185" s="16">
        <f t="shared" si="7"/>
        <v>2.7116326763130911</v>
      </c>
      <c r="R185" s="10">
        <v>3316.4830479606849</v>
      </c>
      <c r="S185" s="12">
        <f t="shared" si="8"/>
        <v>-0.11478421780191088</v>
      </c>
    </row>
    <row r="186" spans="1:19" hidden="1">
      <c r="A186" s="9">
        <v>2025</v>
      </c>
      <c r="B186" s="19">
        <v>37</v>
      </c>
      <c r="C186" s="3" t="s">
        <v>18</v>
      </c>
      <c r="D186" s="3" t="s">
        <v>15</v>
      </c>
      <c r="E186" s="3" t="s">
        <v>16</v>
      </c>
      <c r="F186" s="3" t="s">
        <v>21</v>
      </c>
      <c r="G186" s="3" t="str">
        <f t="shared" si="6"/>
        <v>026LOLA</v>
      </c>
      <c r="H186" s="3">
        <v>3750</v>
      </c>
      <c r="I186" s="3">
        <v>2990</v>
      </c>
      <c r="J186" s="3">
        <v>3580</v>
      </c>
      <c r="K186" s="3">
        <v>1097.125</v>
      </c>
      <c r="L186" s="3">
        <v>8000</v>
      </c>
      <c r="M186" s="3">
        <v>12</v>
      </c>
      <c r="N186" s="3">
        <v>13.589032258064515</v>
      </c>
      <c r="O186" s="3">
        <v>13.865806451612899</v>
      </c>
      <c r="P186" s="3">
        <v>13.317258064516144</v>
      </c>
      <c r="Q186" s="16">
        <f t="shared" si="7"/>
        <v>3.4180243819072578</v>
      </c>
      <c r="R186" s="10">
        <v>4180.8222323365144</v>
      </c>
      <c r="S186" s="12">
        <f t="shared" si="8"/>
        <v>-0.11488592862307051</v>
      </c>
    </row>
    <row r="187" spans="1:19" hidden="1">
      <c r="A187" s="9">
        <v>2025</v>
      </c>
      <c r="B187" s="19">
        <v>38</v>
      </c>
      <c r="C187" s="3" t="s">
        <v>18</v>
      </c>
      <c r="D187" s="3" t="s">
        <v>15</v>
      </c>
      <c r="E187" s="3" t="s">
        <v>16</v>
      </c>
      <c r="F187" s="3" t="s">
        <v>21</v>
      </c>
      <c r="G187" s="3" t="str">
        <f t="shared" si="6"/>
        <v>026LOLA</v>
      </c>
      <c r="H187" s="3">
        <v>5050</v>
      </c>
      <c r="I187" s="3">
        <v>3452</v>
      </c>
      <c r="J187" s="3">
        <v>3053</v>
      </c>
      <c r="K187" s="3">
        <v>1097.125</v>
      </c>
      <c r="L187" s="3">
        <v>8000</v>
      </c>
      <c r="M187" s="3">
        <v>12</v>
      </c>
      <c r="N187" s="3">
        <v>13.031825273010922</v>
      </c>
      <c r="O187" s="3">
        <v>13.280499219968798</v>
      </c>
      <c r="P187" s="3">
        <v>12.779719188767555</v>
      </c>
      <c r="Q187" s="16">
        <f t="shared" si="7"/>
        <v>4.6029395009684402</v>
      </c>
      <c r="R187" s="10">
        <v>5630.6438614217441</v>
      </c>
      <c r="S187" s="12">
        <f t="shared" si="8"/>
        <v>-0.1149789824597513</v>
      </c>
    </row>
    <row r="188" spans="1:19" hidden="1">
      <c r="A188" s="9">
        <v>2025</v>
      </c>
      <c r="B188" s="19">
        <v>39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6"/>
        <v>026LOLA</v>
      </c>
      <c r="H188" s="3">
        <v>4125</v>
      </c>
      <c r="I188" s="3">
        <v>5484</v>
      </c>
      <c r="J188" s="3">
        <v>3868</v>
      </c>
      <c r="K188" s="3">
        <v>1097.125</v>
      </c>
      <c r="L188" s="3">
        <v>8000</v>
      </c>
      <c r="M188" s="3">
        <v>12</v>
      </c>
      <c r="N188" s="3">
        <v>14.003096539162122</v>
      </c>
      <c r="O188" s="3">
        <v>14.246265938069232</v>
      </c>
      <c r="P188" s="3">
        <v>13.765573770491811</v>
      </c>
      <c r="Q188" s="16">
        <f t="shared" si="7"/>
        <v>3.7598268200979832</v>
      </c>
      <c r="R188" s="10">
        <v>4653.5507406387314</v>
      </c>
      <c r="S188" s="12">
        <f t="shared" si="8"/>
        <v>-0.12813351288211672</v>
      </c>
    </row>
    <row r="189" spans="1:19" hidden="1">
      <c r="A189" s="9">
        <v>2025</v>
      </c>
      <c r="B189" s="19">
        <v>40</v>
      </c>
      <c r="C189" s="3" t="s">
        <v>18</v>
      </c>
      <c r="D189" s="3" t="s">
        <v>15</v>
      </c>
      <c r="E189" s="3" t="s">
        <v>16</v>
      </c>
      <c r="F189" s="3" t="s">
        <v>21</v>
      </c>
      <c r="G189" s="3" t="str">
        <f t="shared" si="6"/>
        <v>026LOLA</v>
      </c>
      <c r="H189" s="3">
        <v>4925</v>
      </c>
      <c r="I189" s="3">
        <v>6257</v>
      </c>
      <c r="J189" s="3">
        <v>6128</v>
      </c>
      <c r="K189" s="3">
        <v>1097.125</v>
      </c>
      <c r="L189" s="3">
        <v>8000</v>
      </c>
      <c r="M189" s="3">
        <v>12</v>
      </c>
      <c r="N189" s="3">
        <v>12.843362831858405</v>
      </c>
      <c r="O189" s="3">
        <v>13.098407079646016</v>
      </c>
      <c r="P189" s="3">
        <v>12.592743362831856</v>
      </c>
      <c r="Q189" s="16">
        <f t="shared" si="7"/>
        <v>4.4890053549048652</v>
      </c>
      <c r="R189" s="10">
        <v>5514.8974055502576</v>
      </c>
      <c r="S189" s="12">
        <f t="shared" si="8"/>
        <v>-0.11977612295436703</v>
      </c>
    </row>
    <row r="190" spans="1:19" hidden="1">
      <c r="A190" s="9">
        <v>2025</v>
      </c>
      <c r="B190" s="19">
        <v>41</v>
      </c>
      <c r="C190" s="3" t="s">
        <v>18</v>
      </c>
      <c r="D190" s="3" t="s">
        <v>15</v>
      </c>
      <c r="E190" s="3" t="s">
        <v>16</v>
      </c>
      <c r="F190" s="3" t="s">
        <v>21</v>
      </c>
      <c r="G190" s="3" t="str">
        <f t="shared" si="6"/>
        <v>026LOLA</v>
      </c>
      <c r="H190" s="3">
        <v>3350</v>
      </c>
      <c r="I190" s="3">
        <v>5449</v>
      </c>
      <c r="J190" s="3">
        <v>6285</v>
      </c>
      <c r="K190" s="3">
        <v>1097.125</v>
      </c>
      <c r="L190" s="3">
        <v>8000</v>
      </c>
      <c r="M190" s="3">
        <v>12</v>
      </c>
      <c r="N190" s="3">
        <v>13.871347248576845</v>
      </c>
      <c r="O190" s="3">
        <v>14.103605313092977</v>
      </c>
      <c r="P190" s="3">
        <v>13.632258064516128</v>
      </c>
      <c r="Q190" s="16">
        <f t="shared" si="7"/>
        <v>3.053435114503817</v>
      </c>
      <c r="R190" s="10">
        <v>3725.615083823393</v>
      </c>
      <c r="S190" s="12">
        <f t="shared" si="8"/>
        <v>-0.11212390561892328</v>
      </c>
    </row>
    <row r="191" spans="1:19" hidden="1">
      <c r="A191" s="9">
        <v>2025</v>
      </c>
      <c r="B191" s="19">
        <v>42</v>
      </c>
      <c r="C191" s="3" t="s">
        <v>18</v>
      </c>
      <c r="D191" s="3" t="s">
        <v>15</v>
      </c>
      <c r="E191" s="3" t="s">
        <v>16</v>
      </c>
      <c r="F191" s="3" t="s">
        <v>21</v>
      </c>
      <c r="G191" s="3" t="str">
        <f t="shared" si="6"/>
        <v>026LOLA</v>
      </c>
      <c r="H191" s="3">
        <v>3275</v>
      </c>
      <c r="I191" s="3">
        <v>4681</v>
      </c>
      <c r="J191" s="3">
        <v>5549</v>
      </c>
      <c r="K191" s="3">
        <v>1097.125</v>
      </c>
      <c r="L191" s="3">
        <v>8000</v>
      </c>
      <c r="M191" s="3">
        <v>12</v>
      </c>
      <c r="N191" s="3">
        <v>12.518382352941172</v>
      </c>
      <c r="O191" s="3">
        <v>12.743627450980384</v>
      </c>
      <c r="P191" s="3">
        <v>12.293382352941165</v>
      </c>
      <c r="Q191" s="16">
        <f t="shared" si="7"/>
        <v>2.9850746268656718</v>
      </c>
      <c r="R191" s="10">
        <v>3647.8271425157131</v>
      </c>
      <c r="S191" s="12">
        <f t="shared" si="8"/>
        <v>-0.11384034885975974</v>
      </c>
    </row>
    <row r="192" spans="1:19" hidden="1">
      <c r="A192" s="9">
        <v>2025</v>
      </c>
      <c r="B192" s="19">
        <v>43</v>
      </c>
      <c r="C192" s="3" t="s">
        <v>18</v>
      </c>
      <c r="D192" s="3" t="s">
        <v>15</v>
      </c>
      <c r="E192" s="3" t="s">
        <v>16</v>
      </c>
      <c r="F192" s="3" t="s">
        <v>21</v>
      </c>
      <c r="G192" s="3" t="str">
        <f t="shared" si="6"/>
        <v>026LOLA</v>
      </c>
      <c r="H192" s="3">
        <v>3675</v>
      </c>
      <c r="I192" s="3">
        <v>3924</v>
      </c>
      <c r="J192" s="3">
        <v>4616</v>
      </c>
      <c r="K192" s="3">
        <v>1097.125</v>
      </c>
      <c r="L192" s="3">
        <v>8000</v>
      </c>
      <c r="M192" s="3">
        <v>12</v>
      </c>
      <c r="N192" s="3">
        <v>14.965141612200448</v>
      </c>
      <c r="O192" s="3">
        <v>15.249019607843142</v>
      </c>
      <c r="P192" s="3">
        <v>14.683006535947717</v>
      </c>
      <c r="Q192" s="16">
        <f t="shared" si="7"/>
        <v>3.3496638942691126</v>
      </c>
      <c r="R192" s="10">
        <v>4101.5996734684441</v>
      </c>
      <c r="S192" s="12">
        <f t="shared" si="8"/>
        <v>-0.11608154380093716</v>
      </c>
    </row>
    <row r="193" spans="1:19" hidden="1">
      <c r="A193" s="9">
        <v>2025</v>
      </c>
      <c r="B193" s="19">
        <v>44</v>
      </c>
      <c r="C193" s="3" t="s">
        <v>18</v>
      </c>
      <c r="D193" s="3" t="s">
        <v>15</v>
      </c>
      <c r="E193" s="3" t="s">
        <v>16</v>
      </c>
      <c r="F193" s="3" t="s">
        <v>21</v>
      </c>
      <c r="G193" s="3" t="str">
        <f t="shared" si="6"/>
        <v>026LOLA</v>
      </c>
      <c r="H193" s="3">
        <v>4600</v>
      </c>
      <c r="I193" s="3">
        <v>3943</v>
      </c>
      <c r="J193" s="3">
        <v>3763</v>
      </c>
      <c r="K193" s="3">
        <v>1097.125</v>
      </c>
      <c r="L193" s="3">
        <v>8000</v>
      </c>
      <c r="M193" s="3">
        <v>12</v>
      </c>
      <c r="N193" s="3">
        <v>14.073262839879131</v>
      </c>
      <c r="O193" s="3">
        <v>14.296978851963752</v>
      </c>
      <c r="P193" s="3">
        <v>13.846676737160124</v>
      </c>
      <c r="Q193" s="16">
        <f t="shared" si="7"/>
        <v>4.1927765751395691</v>
      </c>
      <c r="R193" s="10">
        <v>4966.2924259552983</v>
      </c>
      <c r="S193" s="12">
        <f t="shared" si="8"/>
        <v>-7.9628788251151814E-2</v>
      </c>
    </row>
    <row r="194" spans="1:19" hidden="1">
      <c r="A194" s="9">
        <v>2025</v>
      </c>
      <c r="B194" s="19">
        <v>45</v>
      </c>
      <c r="C194" s="3" t="s">
        <v>18</v>
      </c>
      <c r="D194" s="3" t="s">
        <v>15</v>
      </c>
      <c r="E194" s="3" t="s">
        <v>16</v>
      </c>
      <c r="F194" s="3" t="s">
        <v>21</v>
      </c>
      <c r="G194" s="3" t="str">
        <f t="shared" si="6"/>
        <v>026LOLA</v>
      </c>
      <c r="H194" s="3">
        <v>3000</v>
      </c>
      <c r="I194" s="3">
        <v>4316</v>
      </c>
      <c r="J194" s="3">
        <v>3823</v>
      </c>
      <c r="K194" s="3">
        <v>1097.125</v>
      </c>
      <c r="L194" s="3">
        <v>8000</v>
      </c>
      <c r="M194" s="3">
        <v>12</v>
      </c>
      <c r="N194" s="3">
        <v>14.836850152905189</v>
      </c>
      <c r="O194" s="3">
        <v>15.074923547400614</v>
      </c>
      <c r="P194" s="3">
        <v>14.594495412844042</v>
      </c>
      <c r="Q194" s="16">
        <f t="shared" si="7"/>
        <v>2.734419505525806</v>
      </c>
      <c r="R194" s="10">
        <v>3327.2031589442081</v>
      </c>
      <c r="S194" s="12">
        <f t="shared" si="8"/>
        <v>-0.10906771964806937</v>
      </c>
    </row>
    <row r="195" spans="1:19" hidden="1">
      <c r="A195" s="9">
        <v>2025</v>
      </c>
      <c r="B195" s="19">
        <v>46</v>
      </c>
      <c r="C195" s="3" t="s">
        <v>18</v>
      </c>
      <c r="D195" s="3" t="s">
        <v>15</v>
      </c>
      <c r="E195" s="3" t="s">
        <v>16</v>
      </c>
      <c r="F195" s="3" t="s">
        <v>21</v>
      </c>
      <c r="G195" s="3" t="str">
        <f t="shared" si="6"/>
        <v>026LOLA</v>
      </c>
      <c r="H195" s="3">
        <v>2075</v>
      </c>
      <c r="I195" s="3">
        <v>4596</v>
      </c>
      <c r="J195" s="3">
        <v>4425</v>
      </c>
      <c r="K195" s="3">
        <v>1097.125</v>
      </c>
      <c r="L195" s="3">
        <v>8000</v>
      </c>
      <c r="M195" s="3">
        <v>12</v>
      </c>
      <c r="N195" s="3">
        <v>14.582800608828016</v>
      </c>
      <c r="O195" s="3">
        <v>14.816590563165887</v>
      </c>
      <c r="P195" s="3">
        <v>14.359512937595126</v>
      </c>
      <c r="Q195" s="16">
        <f t="shared" si="7"/>
        <v>1.8913068246553493</v>
      </c>
      <c r="R195" s="10">
        <v>2538.782923462928</v>
      </c>
      <c r="S195" s="12">
        <f t="shared" si="8"/>
        <v>-0.22350984263273638</v>
      </c>
    </row>
    <row r="196" spans="1:19" hidden="1">
      <c r="A196" s="9">
        <v>2025</v>
      </c>
      <c r="B196" s="19">
        <v>47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6"/>
        <v>026LOLA</v>
      </c>
      <c r="H196" s="3">
        <v>3225</v>
      </c>
      <c r="I196" s="3">
        <v>3260</v>
      </c>
      <c r="J196" s="3">
        <v>4143</v>
      </c>
      <c r="K196" s="3">
        <v>1097.125</v>
      </c>
      <c r="L196" s="3">
        <v>8000</v>
      </c>
      <c r="M196" s="3">
        <v>12</v>
      </c>
      <c r="N196" s="3">
        <v>14.756838905775062</v>
      </c>
      <c r="O196" s="3">
        <v>15.013829787234029</v>
      </c>
      <c r="P196" s="3">
        <v>14.501519756838901</v>
      </c>
      <c r="Q196" s="16">
        <f t="shared" si="7"/>
        <v>2.9395009684402416</v>
      </c>
      <c r="R196" s="10">
        <v>3579.4628737181811</v>
      </c>
      <c r="S196" s="12">
        <f t="shared" si="8"/>
        <v>-0.10991096859478483</v>
      </c>
    </row>
    <row r="197" spans="1:19" hidden="1">
      <c r="A197" s="9">
        <v>2025</v>
      </c>
      <c r="B197" s="19">
        <v>48</v>
      </c>
      <c r="C197" s="3" t="s">
        <v>18</v>
      </c>
      <c r="D197" s="3" t="s">
        <v>15</v>
      </c>
      <c r="E197" s="3" t="s">
        <v>16</v>
      </c>
      <c r="F197" s="3" t="s">
        <v>21</v>
      </c>
      <c r="G197" s="3" t="str">
        <f t="shared" si="6"/>
        <v>026LOLA</v>
      </c>
      <c r="H197" s="3">
        <v>3700</v>
      </c>
      <c r="I197" s="3">
        <v>3752</v>
      </c>
      <c r="J197" s="3">
        <v>2889</v>
      </c>
      <c r="K197" s="3">
        <v>1097.125</v>
      </c>
      <c r="L197" s="3">
        <v>8000</v>
      </c>
      <c r="M197" s="3">
        <v>12</v>
      </c>
      <c r="N197" s="3">
        <v>14.30164670658683</v>
      </c>
      <c r="O197" s="3">
        <v>14.475149700598816</v>
      </c>
      <c r="P197" s="3">
        <v>14.12919161676647</v>
      </c>
      <c r="Q197" s="16">
        <f t="shared" si="7"/>
        <v>3.3724507234818275</v>
      </c>
      <c r="R197" s="10">
        <v>4113.9666796899473</v>
      </c>
      <c r="S197" s="12">
        <f t="shared" si="8"/>
        <v>-0.11188288640268847</v>
      </c>
    </row>
    <row r="198" spans="1:19" hidden="1">
      <c r="A198" s="9">
        <v>2025</v>
      </c>
      <c r="B198" s="19">
        <v>49</v>
      </c>
      <c r="C198" s="3" t="s">
        <v>18</v>
      </c>
      <c r="D198" s="3" t="s">
        <v>15</v>
      </c>
      <c r="E198" s="3" t="s">
        <v>16</v>
      </c>
      <c r="F198" s="3" t="s">
        <v>21</v>
      </c>
      <c r="G198" s="3" t="str">
        <f t="shared" si="6"/>
        <v>026LOLA</v>
      </c>
      <c r="H198" s="3">
        <v>3475</v>
      </c>
      <c r="I198" s="3">
        <v>5055</v>
      </c>
      <c r="J198" s="3">
        <v>4310</v>
      </c>
      <c r="K198" s="3">
        <v>1097.125</v>
      </c>
      <c r="L198" s="3">
        <v>8000</v>
      </c>
      <c r="M198" s="3">
        <v>12</v>
      </c>
      <c r="N198" s="3">
        <v>12.785714285714281</v>
      </c>
      <c r="O198" s="3">
        <v>13.009821428571421</v>
      </c>
      <c r="P198" s="3">
        <v>12.563839285714286</v>
      </c>
      <c r="Q198" s="16">
        <f t="shared" si="7"/>
        <v>3.167369260567392</v>
      </c>
      <c r="R198" s="10">
        <v>3806.4712981574512</v>
      </c>
      <c r="S198" s="12">
        <f t="shared" si="8"/>
        <v>-9.538742393020179E-2</v>
      </c>
    </row>
    <row r="199" spans="1:19" hidden="1">
      <c r="A199" s="9">
        <v>2025</v>
      </c>
      <c r="B199" s="19">
        <v>50</v>
      </c>
      <c r="C199" s="3" t="s">
        <v>18</v>
      </c>
      <c r="D199" s="3" t="s">
        <v>15</v>
      </c>
      <c r="E199" s="3" t="s">
        <v>16</v>
      </c>
      <c r="F199" s="3" t="s">
        <v>21</v>
      </c>
      <c r="G199" s="3" t="str">
        <f t="shared" si="6"/>
        <v>026LOLA</v>
      </c>
      <c r="H199" s="3">
        <v>4625</v>
      </c>
      <c r="I199" s="3">
        <v>3774</v>
      </c>
      <c r="J199" s="3">
        <v>5559</v>
      </c>
      <c r="K199" s="3">
        <v>1097.125</v>
      </c>
      <c r="L199" s="3">
        <v>8000</v>
      </c>
      <c r="M199" s="3">
        <v>12</v>
      </c>
      <c r="N199" s="3">
        <v>12.562962962962962</v>
      </c>
      <c r="O199" s="3">
        <v>12.822507122507124</v>
      </c>
      <c r="P199" s="3">
        <v>12.308262108262106</v>
      </c>
      <c r="Q199" s="16">
        <f t="shared" si="7"/>
        <v>4.2155634043522845</v>
      </c>
      <c r="R199" s="10">
        <v>5072.2326461049506</v>
      </c>
      <c r="S199" s="12">
        <f t="shared" si="8"/>
        <v>-9.6698950509178511E-2</v>
      </c>
    </row>
    <row r="200" spans="1:19" hidden="1">
      <c r="A200" s="9">
        <v>2025</v>
      </c>
      <c r="B200" s="19">
        <v>51</v>
      </c>
      <c r="C200" s="3" t="s">
        <v>18</v>
      </c>
      <c r="D200" s="3" t="s">
        <v>15</v>
      </c>
      <c r="E200" s="3" t="s">
        <v>16</v>
      </c>
      <c r="F200" s="3" t="s">
        <v>21</v>
      </c>
      <c r="G200" s="3" t="str">
        <f t="shared" si="6"/>
        <v>026LOLA</v>
      </c>
      <c r="H200" s="3">
        <v>3775</v>
      </c>
      <c r="I200" s="3">
        <v>3534</v>
      </c>
      <c r="J200" s="3">
        <v>3589</v>
      </c>
      <c r="K200" s="3">
        <v>1097.125</v>
      </c>
      <c r="L200" s="3">
        <v>8000</v>
      </c>
      <c r="M200" s="3">
        <v>12</v>
      </c>
      <c r="N200" s="3">
        <v>14.116666666666669</v>
      </c>
      <c r="O200" s="3">
        <v>14.313541666666683</v>
      </c>
      <c r="P200" s="3">
        <v>13.918303571428599</v>
      </c>
      <c r="Q200" s="16">
        <f t="shared" si="7"/>
        <v>3.4408112111199727</v>
      </c>
      <c r="R200" s="10">
        <v>4204.7145924740425</v>
      </c>
      <c r="S200" s="12">
        <f t="shared" si="8"/>
        <v>-0.11383168012557418</v>
      </c>
    </row>
    <row r="201" spans="1:19" hidden="1">
      <c r="A201" s="9">
        <v>2025</v>
      </c>
      <c r="B201" s="19">
        <v>52</v>
      </c>
      <c r="C201" s="3" t="s">
        <v>18</v>
      </c>
      <c r="D201" s="3" t="s">
        <v>15</v>
      </c>
      <c r="E201" s="3" t="s">
        <v>16</v>
      </c>
      <c r="F201" s="3" t="s">
        <v>21</v>
      </c>
      <c r="G201" s="3" t="str">
        <f t="shared" si="6"/>
        <v>026LOLA</v>
      </c>
      <c r="H201" s="3">
        <v>4575</v>
      </c>
      <c r="I201" s="3">
        <v>6122</v>
      </c>
      <c r="J201" s="3">
        <v>3647</v>
      </c>
      <c r="K201" s="3">
        <v>1097.125</v>
      </c>
      <c r="L201" s="3">
        <v>8000</v>
      </c>
      <c r="M201" s="3">
        <v>12</v>
      </c>
      <c r="N201" s="3">
        <v>14.780803571428551</v>
      </c>
      <c r="O201" s="3">
        <v>14.962351190476202</v>
      </c>
      <c r="P201" s="3">
        <v>14.597619047619043</v>
      </c>
      <c r="Q201" s="16">
        <f t="shared" si="7"/>
        <v>4.1699897459268547</v>
      </c>
      <c r="R201" s="10">
        <v>4992.0922400435938</v>
      </c>
      <c r="S201" s="12">
        <f t="shared" si="8"/>
        <v>-9.1167702741769149E-2</v>
      </c>
    </row>
    <row r="202" spans="1:19" hidden="1">
      <c r="A202" s="9">
        <v>2026</v>
      </c>
      <c r="B202" s="19">
        <v>1</v>
      </c>
      <c r="C202" s="3" t="s">
        <v>18</v>
      </c>
      <c r="D202" s="3" t="s">
        <v>15</v>
      </c>
      <c r="E202" s="3" t="s">
        <v>16</v>
      </c>
      <c r="F202" s="3" t="s">
        <v>21</v>
      </c>
      <c r="G202" s="3" t="str">
        <f t="shared" si="6"/>
        <v>026LOLA</v>
      </c>
      <c r="H202" s="3">
        <v>6775</v>
      </c>
      <c r="I202" s="3">
        <v>5300</v>
      </c>
      <c r="J202" s="3">
        <v>6871</v>
      </c>
      <c r="K202" s="3">
        <v>1097.125</v>
      </c>
      <c r="L202" s="3">
        <v>8000</v>
      </c>
      <c r="M202" s="3">
        <v>12</v>
      </c>
      <c r="N202" s="3">
        <v>13.975520833333354</v>
      </c>
      <c r="O202" s="3">
        <v>14.218750000000002</v>
      </c>
      <c r="P202" s="3">
        <v>13.740624999999994</v>
      </c>
      <c r="Q202" s="16">
        <f t="shared" si="7"/>
        <v>6.1752307166457792</v>
      </c>
      <c r="R202" s="10">
        <v>8083.5029639691056</v>
      </c>
      <c r="S202" s="12">
        <f t="shared" si="8"/>
        <v>-0.19313696885152851</v>
      </c>
    </row>
    <row r="203" spans="1:19" hidden="1">
      <c r="A203" s="9">
        <v>2026</v>
      </c>
      <c r="B203" s="19">
        <v>2</v>
      </c>
      <c r="C203" s="3" t="s">
        <v>18</v>
      </c>
      <c r="D203" s="3" t="s">
        <v>15</v>
      </c>
      <c r="E203" s="3" t="s">
        <v>16</v>
      </c>
      <c r="F203" s="3" t="s">
        <v>21</v>
      </c>
      <c r="G203" s="3" t="str">
        <f t="shared" ref="G203:G270" si="9">+E203&amp;F203</f>
        <v>026LOLA</v>
      </c>
      <c r="H203" s="3">
        <v>5075</v>
      </c>
      <c r="I203" s="3">
        <v>7495</v>
      </c>
      <c r="J203" s="3">
        <v>7495</v>
      </c>
      <c r="K203" s="3">
        <v>1097.125</v>
      </c>
      <c r="L203" s="3">
        <v>8000</v>
      </c>
      <c r="M203" s="3">
        <v>12</v>
      </c>
      <c r="N203" s="3">
        <v>13.445535714285695</v>
      </c>
      <c r="O203" s="3">
        <v>13.624255952380969</v>
      </c>
      <c r="P203" s="3">
        <v>13.274851190476191</v>
      </c>
      <c r="Q203" s="16">
        <f t="shared" ref="Q203:Q270" si="10">+H203/K203</f>
        <v>4.6257263301811555</v>
      </c>
      <c r="R203" s="10">
        <v>5803.2258780991642</v>
      </c>
      <c r="S203" s="12">
        <f t="shared" ref="S203:S270" si="11">+(H203-R203)/H203</f>
        <v>-0.14349278386190428</v>
      </c>
    </row>
    <row r="204" spans="1:19" hidden="1">
      <c r="A204" s="9">
        <v>2026</v>
      </c>
      <c r="B204" s="19">
        <v>3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9"/>
        <v>026LOLA</v>
      </c>
      <c r="H204" s="3">
        <v>6450</v>
      </c>
      <c r="I204" s="3">
        <v>7029</v>
      </c>
      <c r="J204" s="3">
        <v>7029</v>
      </c>
      <c r="K204" s="3">
        <v>1097.125</v>
      </c>
      <c r="L204" s="3">
        <v>8000</v>
      </c>
      <c r="M204" s="3">
        <v>12</v>
      </c>
      <c r="N204" s="3">
        <v>14.266517857142849</v>
      </c>
      <c r="O204" s="3">
        <v>14.450297619047618</v>
      </c>
      <c r="P204" s="3">
        <v>14.083184523809532</v>
      </c>
      <c r="Q204" s="16">
        <f t="shared" si="10"/>
        <v>5.8790019368804831</v>
      </c>
      <c r="R204" s="10">
        <v>8291.744214620745</v>
      </c>
      <c r="S204" s="12">
        <f t="shared" si="11"/>
        <v>-0.28554173870089067</v>
      </c>
    </row>
    <row r="205" spans="1:19" hidden="1">
      <c r="A205" s="9">
        <v>2026</v>
      </c>
      <c r="B205" s="19">
        <v>4</v>
      </c>
      <c r="C205" s="3" t="s">
        <v>18</v>
      </c>
      <c r="D205" s="3" t="s">
        <v>15</v>
      </c>
      <c r="E205" s="3" t="s">
        <v>16</v>
      </c>
      <c r="F205" s="3" t="s">
        <v>21</v>
      </c>
      <c r="G205" s="3" t="str">
        <f t="shared" si="9"/>
        <v>026LOLA</v>
      </c>
      <c r="H205" s="3">
        <v>10900</v>
      </c>
      <c r="I205" s="3">
        <v>8540</v>
      </c>
      <c r="J205" s="3">
        <v>8540</v>
      </c>
      <c r="K205" s="3">
        <v>1097.125</v>
      </c>
      <c r="L205" s="3">
        <v>8000</v>
      </c>
      <c r="M205" s="3">
        <v>12</v>
      </c>
      <c r="N205" s="3">
        <v>13.962351190476189</v>
      </c>
      <c r="O205" s="3">
        <v>14.126636904761922</v>
      </c>
      <c r="P205" s="3">
        <v>13.802083333333345</v>
      </c>
      <c r="Q205" s="16">
        <f t="shared" si="10"/>
        <v>9.9350575367437628</v>
      </c>
      <c r="R205" s="10">
        <v>8750.6736367640333</v>
      </c>
      <c r="S205" s="12">
        <f t="shared" si="11"/>
        <v>0.19718590488403365</v>
      </c>
    </row>
    <row r="206" spans="1:19" hidden="1">
      <c r="A206" s="9">
        <v>2026</v>
      </c>
      <c r="B206" s="19">
        <v>5</v>
      </c>
      <c r="C206" s="3" t="s">
        <v>18</v>
      </c>
      <c r="D206" s="3" t="s">
        <v>15</v>
      </c>
      <c r="E206" s="3" t="s">
        <v>16</v>
      </c>
      <c r="F206" s="3" t="s">
        <v>21</v>
      </c>
      <c r="G206" s="3" t="str">
        <f t="shared" si="9"/>
        <v>026LOLA</v>
      </c>
      <c r="H206" s="3">
        <v>7550</v>
      </c>
      <c r="I206" s="3">
        <v>8188</v>
      </c>
      <c r="J206" s="3">
        <v>8188</v>
      </c>
      <c r="K206" s="3">
        <v>1097.125</v>
      </c>
      <c r="L206" s="4">
        <v>8000</v>
      </c>
      <c r="M206" s="3">
        <v>12</v>
      </c>
      <c r="N206" s="4">
        <v>13.891220238095249</v>
      </c>
      <c r="O206" s="4">
        <v>14.021428571428576</v>
      </c>
      <c r="P206" s="4">
        <v>13.768154761904773</v>
      </c>
      <c r="Q206" s="16">
        <f t="shared" si="10"/>
        <v>6.8816224222399454</v>
      </c>
      <c r="R206" s="10">
        <v>4987.8839729554984</v>
      </c>
      <c r="S206" s="12">
        <f t="shared" si="11"/>
        <v>0.33935311616483466</v>
      </c>
    </row>
    <row r="207" spans="1:19" hidden="1">
      <c r="A207" s="9">
        <v>2026</v>
      </c>
      <c r="B207" s="19">
        <v>6</v>
      </c>
      <c r="C207" s="3" t="s">
        <v>18</v>
      </c>
      <c r="D207" s="3" t="s">
        <v>15</v>
      </c>
      <c r="E207" s="3" t="s">
        <v>16</v>
      </c>
      <c r="F207" s="3" t="s">
        <v>21</v>
      </c>
      <c r="G207" s="3" t="str">
        <f t="shared" si="9"/>
        <v>026LOLA</v>
      </c>
      <c r="H207" s="3">
        <v>3075</v>
      </c>
      <c r="I207" s="3">
        <v>5916</v>
      </c>
      <c r="J207" s="3">
        <v>5916</v>
      </c>
      <c r="K207" s="3">
        <v>1097.125</v>
      </c>
      <c r="L207" s="3">
        <v>8000</v>
      </c>
      <c r="M207" s="3">
        <v>12</v>
      </c>
      <c r="N207" s="4">
        <v>13.608779761904751</v>
      </c>
      <c r="O207" s="4">
        <v>13.751190476190473</v>
      </c>
      <c r="P207" s="4">
        <v>13.467410714285698</v>
      </c>
      <c r="Q207" s="16">
        <f t="shared" si="10"/>
        <v>2.8027799931639512</v>
      </c>
      <c r="R207" s="10">
        <v>3367.847537786713</v>
      </c>
      <c r="S207" s="12">
        <f t="shared" si="11"/>
        <v>-9.5234971637955454E-2</v>
      </c>
    </row>
    <row r="208" spans="1:19" hidden="1">
      <c r="A208" s="9">
        <v>2026</v>
      </c>
      <c r="B208" s="19">
        <v>7</v>
      </c>
      <c r="C208" s="3" t="s">
        <v>18</v>
      </c>
      <c r="D208" s="3" t="s">
        <v>15</v>
      </c>
      <c r="E208" s="3" t="s">
        <v>16</v>
      </c>
      <c r="F208" s="3" t="s">
        <v>21</v>
      </c>
      <c r="G208" s="3" t="str">
        <f t="shared" si="9"/>
        <v>026LOLA</v>
      </c>
      <c r="H208" s="3">
        <v>2375</v>
      </c>
      <c r="I208" s="3">
        <v>4260</v>
      </c>
      <c r="J208" s="3">
        <v>4260</v>
      </c>
      <c r="K208" s="3">
        <v>1097.125</v>
      </c>
      <c r="L208" s="3">
        <v>8000</v>
      </c>
      <c r="M208" s="3">
        <v>12</v>
      </c>
      <c r="N208" s="3">
        <v>13.648136645962733</v>
      </c>
      <c r="O208" s="3">
        <v>13.84565217391305</v>
      </c>
      <c r="P208" s="3">
        <v>13.459316770186343</v>
      </c>
      <c r="Q208" s="16">
        <f t="shared" si="10"/>
        <v>2.1647487752079297</v>
      </c>
      <c r="R208" s="10">
        <v>2542.3325063337579</v>
      </c>
      <c r="S208" s="12">
        <f t="shared" si="11"/>
        <v>-7.0455792140529647E-2</v>
      </c>
    </row>
    <row r="209" spans="1:20" hidden="1">
      <c r="A209" s="9">
        <v>2026</v>
      </c>
      <c r="B209" s="19">
        <v>8</v>
      </c>
      <c r="C209" s="3" t="s">
        <v>18</v>
      </c>
      <c r="D209" s="3" t="s">
        <v>15</v>
      </c>
      <c r="E209" s="3" t="s">
        <v>16</v>
      </c>
      <c r="F209" s="3" t="s">
        <v>21</v>
      </c>
      <c r="G209" s="3" t="str">
        <f t="shared" si="9"/>
        <v>026LOLA</v>
      </c>
      <c r="H209" s="3">
        <v>3325</v>
      </c>
      <c r="I209" s="3">
        <v>2768</v>
      </c>
      <c r="J209" s="3">
        <v>3330</v>
      </c>
      <c r="K209" s="3">
        <v>1097.125</v>
      </c>
      <c r="L209" s="3">
        <v>8000</v>
      </c>
      <c r="M209" s="3">
        <v>12</v>
      </c>
      <c r="N209" s="3">
        <v>13.817410714285709</v>
      </c>
      <c r="O209" s="3">
        <v>13.988244047619043</v>
      </c>
      <c r="P209" s="3">
        <v>13.654017857142849</v>
      </c>
      <c r="Q209" s="16">
        <f t="shared" si="10"/>
        <v>3.0306482852911016</v>
      </c>
      <c r="R209" s="10">
        <v>3686.1879696177539</v>
      </c>
      <c r="S209" s="12">
        <f t="shared" si="11"/>
        <v>-0.10862796078729441</v>
      </c>
    </row>
    <row r="210" spans="1:20" hidden="1">
      <c r="A210" s="9">
        <v>2026</v>
      </c>
      <c r="B210" s="19">
        <v>9</v>
      </c>
      <c r="C210" s="3" t="s">
        <v>18</v>
      </c>
      <c r="D210" s="3" t="s">
        <v>15</v>
      </c>
      <c r="E210" s="3" t="s">
        <v>16</v>
      </c>
      <c r="F210" s="3" t="s">
        <v>21</v>
      </c>
      <c r="G210" s="3" t="str">
        <f t="shared" si="9"/>
        <v>026LOLA</v>
      </c>
      <c r="H210" s="3">
        <v>3350</v>
      </c>
      <c r="I210" s="3">
        <v>4032</v>
      </c>
      <c r="J210" s="3">
        <v>2614</v>
      </c>
      <c r="K210" s="3">
        <v>1097.125</v>
      </c>
      <c r="L210" s="3">
        <v>8000</v>
      </c>
      <c r="M210" s="3">
        <v>12</v>
      </c>
      <c r="N210" s="3">
        <v>14.133506944444456</v>
      </c>
      <c r="O210" s="3">
        <v>14.297569444444438</v>
      </c>
      <c r="P210" s="3">
        <v>13.967881944444436</v>
      </c>
      <c r="Q210" s="16">
        <f t="shared" si="10"/>
        <v>3.053435114503817</v>
      </c>
      <c r="R210" s="10">
        <v>3716.189690142885</v>
      </c>
      <c r="S210" s="12">
        <f t="shared" si="11"/>
        <v>-0.10931035526653282</v>
      </c>
    </row>
    <row r="211" spans="1:20" hidden="1">
      <c r="A211" s="9">
        <v>2026</v>
      </c>
      <c r="B211" s="20">
        <v>10</v>
      </c>
      <c r="C211" s="5" t="s">
        <v>18</v>
      </c>
      <c r="D211" s="5" t="s">
        <v>15</v>
      </c>
      <c r="E211" s="5" t="s">
        <v>16</v>
      </c>
      <c r="F211" s="5" t="s">
        <v>21</v>
      </c>
      <c r="G211" s="3" t="str">
        <f t="shared" si="9"/>
        <v>026LOLA</v>
      </c>
      <c r="H211" s="6">
        <v>6825</v>
      </c>
      <c r="I211" s="6">
        <v>4352</v>
      </c>
      <c r="J211" s="6">
        <v>4307</v>
      </c>
      <c r="K211" s="3">
        <v>1097.125</v>
      </c>
      <c r="L211" s="3">
        <v>8000</v>
      </c>
      <c r="M211" s="3">
        <v>12</v>
      </c>
      <c r="N211" s="3">
        <v>15.017410714285699</v>
      </c>
      <c r="O211" s="3">
        <v>15.20238095238096</v>
      </c>
      <c r="P211" s="3">
        <v>14.836011904761907</v>
      </c>
      <c r="Q211" s="16">
        <f t="shared" si="10"/>
        <v>6.220804375071209</v>
      </c>
      <c r="R211" s="10">
        <v>8361.7544077396433</v>
      </c>
      <c r="S211" s="12">
        <f t="shared" si="11"/>
        <v>-0.22516548098749353</v>
      </c>
    </row>
    <row r="212" spans="1:20" hidden="1">
      <c r="A212" s="9">
        <v>2026</v>
      </c>
      <c r="B212" s="20">
        <v>11</v>
      </c>
      <c r="C212" s="5" t="s">
        <v>18</v>
      </c>
      <c r="D212" s="5" t="s">
        <v>15</v>
      </c>
      <c r="E212" s="5" t="s">
        <v>16</v>
      </c>
      <c r="F212" s="5" t="s">
        <v>21</v>
      </c>
      <c r="G212" s="3" t="str">
        <f t="shared" si="9"/>
        <v>026LOLA</v>
      </c>
      <c r="H212" s="6">
        <v>4250</v>
      </c>
      <c r="I212" s="6">
        <v>5189</v>
      </c>
      <c r="J212" s="6">
        <v>5095</v>
      </c>
      <c r="K212" s="3">
        <v>1097.125</v>
      </c>
      <c r="L212" s="3">
        <v>8000</v>
      </c>
      <c r="M212" s="3">
        <v>12</v>
      </c>
      <c r="N212" s="3">
        <v>14.47744360902257</v>
      </c>
      <c r="O212" s="3">
        <v>14.635488721804517</v>
      </c>
      <c r="P212" s="3">
        <v>14.324360902255648</v>
      </c>
      <c r="Q212" s="16">
        <f t="shared" si="10"/>
        <v>3.8737609661615586</v>
      </c>
      <c r="R212" s="10">
        <v>4824.5581512332428</v>
      </c>
      <c r="S212" s="12">
        <f t="shared" si="11"/>
        <v>-0.13519015323135125</v>
      </c>
    </row>
    <row r="213" spans="1:20" hidden="1">
      <c r="A213" s="9">
        <v>2026</v>
      </c>
      <c r="B213" s="20">
        <v>12</v>
      </c>
      <c r="C213" s="5" t="s">
        <v>18</v>
      </c>
      <c r="D213" s="5" t="s">
        <v>15</v>
      </c>
      <c r="E213" s="5" t="s">
        <v>16</v>
      </c>
      <c r="F213" s="5" t="s">
        <v>21</v>
      </c>
      <c r="G213" s="3" t="str">
        <f t="shared" si="9"/>
        <v>026LOLA</v>
      </c>
      <c r="H213" s="6">
        <v>5525</v>
      </c>
      <c r="I213" s="6">
        <v>5564</v>
      </c>
      <c r="J213" s="6">
        <v>5564</v>
      </c>
      <c r="K213" s="3">
        <v>1097.125</v>
      </c>
      <c r="L213" s="3">
        <v>8000</v>
      </c>
      <c r="M213" s="3">
        <v>12</v>
      </c>
      <c r="N213" s="3">
        <v>13.68377976190477</v>
      </c>
      <c r="O213" s="3">
        <v>13.892410714285713</v>
      </c>
      <c r="P213" s="3">
        <v>13.471130952380953</v>
      </c>
      <c r="Q213" s="16">
        <f t="shared" si="10"/>
        <v>5.0358892560100266</v>
      </c>
      <c r="R213" s="10">
        <v>5866.1863427850176</v>
      </c>
      <c r="S213" s="12">
        <f t="shared" si="11"/>
        <v>-6.1753184214482823E-2</v>
      </c>
    </row>
    <row r="214" spans="1:20" hidden="1">
      <c r="A214" s="9">
        <v>2026</v>
      </c>
      <c r="B214" s="20">
        <v>13</v>
      </c>
      <c r="C214" s="5" t="s">
        <v>18</v>
      </c>
      <c r="D214" s="5" t="s">
        <v>15</v>
      </c>
      <c r="E214" s="5" t="s">
        <v>16</v>
      </c>
      <c r="F214" s="5" t="s">
        <v>21</v>
      </c>
      <c r="G214" s="3" t="str">
        <f t="shared" si="9"/>
        <v>026LOLA</v>
      </c>
      <c r="H214" s="6">
        <v>8750</v>
      </c>
      <c r="I214" s="6">
        <v>5696</v>
      </c>
      <c r="J214" s="6">
        <v>5696</v>
      </c>
      <c r="K214" s="3">
        <v>1097.125</v>
      </c>
      <c r="L214" s="3">
        <v>8000</v>
      </c>
      <c r="M214" s="3">
        <v>12</v>
      </c>
      <c r="N214" s="3">
        <v>14.021726190476178</v>
      </c>
      <c r="O214" s="3">
        <v>14.186755952380958</v>
      </c>
      <c r="P214" s="3">
        <v>13.861755952380944</v>
      </c>
      <c r="Q214" s="16">
        <f t="shared" si="10"/>
        <v>7.9753902244502681</v>
      </c>
      <c r="R214" s="10">
        <v>9085.6786606723381</v>
      </c>
      <c r="S214" s="12">
        <f t="shared" si="11"/>
        <v>-3.8363275505410063E-2</v>
      </c>
    </row>
    <row r="215" spans="1:20" hidden="1">
      <c r="A215" s="9">
        <v>2026</v>
      </c>
      <c r="B215" s="20">
        <v>14</v>
      </c>
      <c r="C215" s="5" t="s">
        <v>18</v>
      </c>
      <c r="D215" s="5" t="s">
        <v>15</v>
      </c>
      <c r="E215" s="5" t="s">
        <v>16</v>
      </c>
      <c r="F215" s="5" t="s">
        <v>21</v>
      </c>
      <c r="G215" s="3" t="str">
        <f t="shared" si="9"/>
        <v>026LOLA</v>
      </c>
      <c r="H215" s="6">
        <v>6125</v>
      </c>
      <c r="I215" s="6">
        <v>7743</v>
      </c>
      <c r="J215" s="6">
        <v>6628</v>
      </c>
      <c r="K215" s="3">
        <v>2852.5249999999992</v>
      </c>
      <c r="L215" s="3">
        <v>20800</v>
      </c>
      <c r="M215" s="3">
        <v>12</v>
      </c>
      <c r="N215" s="3">
        <v>13.443225806451611</v>
      </c>
      <c r="O215" s="3">
        <v>13.619354838709683</v>
      </c>
      <c r="P215" s="3">
        <v>13.269032258064518</v>
      </c>
      <c r="Q215" s="16">
        <f t="shared" si="10"/>
        <v>2.1472204450443035</v>
      </c>
      <c r="R215" s="10">
        <v>2542.3325063337579</v>
      </c>
      <c r="S215" s="12">
        <f t="shared" si="11"/>
        <v>0.58492530508836604</v>
      </c>
    </row>
    <row r="216" spans="1:20" hidden="1">
      <c r="A216" s="9">
        <v>2026</v>
      </c>
      <c r="B216" s="20">
        <v>15</v>
      </c>
      <c r="C216" s="5" t="s">
        <v>18</v>
      </c>
      <c r="D216" s="5" t="s">
        <v>15</v>
      </c>
      <c r="E216" s="5" t="s">
        <v>16</v>
      </c>
      <c r="F216" s="5" t="s">
        <v>21</v>
      </c>
      <c r="G216" s="3" t="str">
        <f t="shared" si="9"/>
        <v>026LOLA</v>
      </c>
      <c r="H216" s="6">
        <v>9550</v>
      </c>
      <c r="I216" s="6">
        <v>7518</v>
      </c>
      <c r="J216" s="6">
        <v>8305</v>
      </c>
      <c r="K216" s="3">
        <v>2852.5249999999992</v>
      </c>
      <c r="L216" s="3">
        <v>20800</v>
      </c>
      <c r="M216" s="3">
        <v>12</v>
      </c>
      <c r="N216" s="3">
        <v>14.582738095238117</v>
      </c>
      <c r="O216" s="3">
        <v>14.794791666666661</v>
      </c>
      <c r="P216" s="3">
        <v>14.374404761904756</v>
      </c>
      <c r="Q216" s="16">
        <f t="shared" si="10"/>
        <v>3.3479110612527507</v>
      </c>
      <c r="R216" s="10">
        <v>4100.4180238182335</v>
      </c>
      <c r="S216" s="12">
        <f t="shared" si="11"/>
        <v>0.57063685614468762</v>
      </c>
    </row>
    <row r="217" spans="1:20" hidden="1">
      <c r="A217" s="9">
        <v>2026</v>
      </c>
      <c r="B217" s="20">
        <v>16</v>
      </c>
      <c r="C217" s="5" t="s">
        <v>18</v>
      </c>
      <c r="D217" s="5" t="s">
        <v>15</v>
      </c>
      <c r="E217" s="5" t="s">
        <v>16</v>
      </c>
      <c r="F217" s="5" t="s">
        <v>21</v>
      </c>
      <c r="G217" s="3" t="str">
        <f t="shared" si="9"/>
        <v>026LOLA</v>
      </c>
      <c r="H217" s="6">
        <v>9425</v>
      </c>
      <c r="I217" s="6">
        <v>8875</v>
      </c>
      <c r="J217" s="6">
        <v>8875</v>
      </c>
      <c r="K217" s="3">
        <v>2852.5249999999992</v>
      </c>
      <c r="L217" s="3">
        <v>20800</v>
      </c>
      <c r="M217" s="3">
        <v>12</v>
      </c>
      <c r="N217" s="3">
        <v>14.597473997028219</v>
      </c>
      <c r="O217" s="3">
        <v>14.758098068350654</v>
      </c>
      <c r="P217" s="3">
        <v>14.440416047548274</v>
      </c>
      <c r="Q217" s="16">
        <f t="shared" si="10"/>
        <v>3.3040902358436832</v>
      </c>
      <c r="R217" s="10">
        <v>9085.6786606723381</v>
      </c>
      <c r="S217" s="13">
        <f t="shared" si="11"/>
        <v>3.6002264119645827E-2</v>
      </c>
      <c r="T217" s="11">
        <v>0.24</v>
      </c>
    </row>
    <row r="218" spans="1:20" hidden="1">
      <c r="A218" s="9">
        <v>2026</v>
      </c>
      <c r="B218" s="20">
        <v>17</v>
      </c>
      <c r="C218" s="5" t="s">
        <v>18</v>
      </c>
      <c r="D218" s="5" t="s">
        <v>15</v>
      </c>
      <c r="E218" s="5" t="s">
        <v>16</v>
      </c>
      <c r="F218" s="5" t="s">
        <v>21</v>
      </c>
      <c r="G218" s="3" t="str">
        <f t="shared" si="9"/>
        <v>026LOLA</v>
      </c>
      <c r="H218" s="6">
        <v>5800</v>
      </c>
      <c r="I218" s="6">
        <v>9664</v>
      </c>
      <c r="J218" s="6">
        <v>9664</v>
      </c>
      <c r="K218" s="3">
        <v>2852.5249999999992</v>
      </c>
      <c r="L218" s="3">
        <v>20800</v>
      </c>
      <c r="M218" s="3">
        <v>12</v>
      </c>
      <c r="N218" s="3">
        <v>13.77291666666668</v>
      </c>
      <c r="O218" s="3">
        <v>13.952678571428605</v>
      </c>
      <c r="P218" s="3">
        <v>13.599702380952387</v>
      </c>
      <c r="Q218" s="16">
        <f t="shared" si="10"/>
        <v>2.0332862989807281</v>
      </c>
      <c r="R218" s="10">
        <v>8732.5383266814206</v>
      </c>
      <c r="S218" s="13">
        <f t="shared" si="11"/>
        <v>-0.50561005632438283</v>
      </c>
      <c r="T218" s="11">
        <v>1.1100000000000001</v>
      </c>
    </row>
    <row r="219" spans="1:20" hidden="1">
      <c r="A219" s="9">
        <v>2026</v>
      </c>
      <c r="B219" s="20">
        <v>18</v>
      </c>
      <c r="C219" s="5" t="s">
        <v>18</v>
      </c>
      <c r="D219" s="5" t="s">
        <v>15</v>
      </c>
      <c r="E219" s="5" t="s">
        <v>16</v>
      </c>
      <c r="F219" s="5" t="s">
        <v>21</v>
      </c>
      <c r="G219" s="3" t="str">
        <f t="shared" si="9"/>
        <v>026LOLA</v>
      </c>
      <c r="H219" s="6">
        <v>4900</v>
      </c>
      <c r="I219" s="6">
        <v>6877</v>
      </c>
      <c r="J219" s="6">
        <v>7917</v>
      </c>
      <c r="K219" s="3">
        <v>2852.5250000000001</v>
      </c>
      <c r="L219" s="3">
        <v>20800</v>
      </c>
      <c r="M219" s="3">
        <v>12</v>
      </c>
      <c r="N219" s="3">
        <v>13.828017883755605</v>
      </c>
      <c r="O219" s="3">
        <v>14.020864381520106</v>
      </c>
      <c r="P219" s="3">
        <v>13.638748137108793</v>
      </c>
      <c r="Q219" s="16">
        <f t="shared" si="10"/>
        <v>1.7177763560354422</v>
      </c>
      <c r="R219" s="10">
        <v>8470.0339234831008</v>
      </c>
      <c r="S219" s="13">
        <f t="shared" si="11"/>
        <v>-0.72857835173124508</v>
      </c>
      <c r="T219" s="11">
        <v>1.06</v>
      </c>
    </row>
    <row r="220" spans="1:20" hidden="1">
      <c r="A220" s="9">
        <v>2026</v>
      </c>
      <c r="B220" s="19">
        <v>19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9"/>
        <v>026LOLA</v>
      </c>
      <c r="H220" s="3">
        <v>3150</v>
      </c>
      <c r="I220" s="3">
        <v>5337</v>
      </c>
      <c r="J220" s="3">
        <v>4852</v>
      </c>
      <c r="K220" s="3">
        <v>1097.125</v>
      </c>
      <c r="L220" s="3">
        <v>8000</v>
      </c>
      <c r="M220" s="3">
        <v>12</v>
      </c>
      <c r="N220" s="3">
        <v>13.801155115511554</v>
      </c>
      <c r="O220" s="3">
        <v>14.032838283828401</v>
      </c>
      <c r="P220" s="3">
        <v>13.571947194719476</v>
      </c>
      <c r="Q220" s="16">
        <f t="shared" si="10"/>
        <v>2.8711404808020964</v>
      </c>
      <c r="R220" s="24">
        <v>3636</v>
      </c>
      <c r="S220" s="13">
        <f>+(H220-R220)/H220</f>
        <v>-0.15428571428571428</v>
      </c>
    </row>
    <row r="221" spans="1:20" hidden="1">
      <c r="A221" s="9">
        <v>2026</v>
      </c>
      <c r="B221" s="19">
        <v>20</v>
      </c>
      <c r="C221" s="3" t="s">
        <v>18</v>
      </c>
      <c r="D221" s="3" t="s">
        <v>15</v>
      </c>
      <c r="E221" s="3" t="s">
        <v>16</v>
      </c>
      <c r="F221" s="3" t="s">
        <v>21</v>
      </c>
      <c r="G221" s="3" t="str">
        <f t="shared" si="9"/>
        <v>026LOLA</v>
      </c>
      <c r="H221" s="23">
        <v>4280</v>
      </c>
      <c r="I221" s="3">
        <v>4263</v>
      </c>
      <c r="J221" s="3">
        <v>5017</v>
      </c>
      <c r="K221" s="3">
        <v>1097.125</v>
      </c>
      <c r="L221" s="3">
        <v>8000</v>
      </c>
      <c r="M221" s="3">
        <v>12</v>
      </c>
      <c r="N221" s="3">
        <v>14.886996336996331</v>
      </c>
      <c r="O221" s="3">
        <v>15.080952380952363</v>
      </c>
      <c r="P221" s="3">
        <v>14.693406593406582</v>
      </c>
      <c r="Q221" s="16">
        <f t="shared" si="10"/>
        <v>3.9011051612168166</v>
      </c>
      <c r="R221" s="24">
        <v>4986</v>
      </c>
      <c r="S221" s="12">
        <f t="shared" si="11"/>
        <v>-0.16495327102803739</v>
      </c>
    </row>
    <row r="222" spans="1:20" hidden="1">
      <c r="A222" s="9">
        <v>2026</v>
      </c>
      <c r="B222" s="19">
        <v>21</v>
      </c>
      <c r="C222" s="3" t="s">
        <v>18</v>
      </c>
      <c r="D222" s="3" t="s">
        <v>15</v>
      </c>
      <c r="E222" s="3" t="s">
        <v>16</v>
      </c>
      <c r="F222" s="3" t="s">
        <v>21</v>
      </c>
      <c r="G222" s="3" t="str">
        <f t="shared" si="9"/>
        <v>026LOLA</v>
      </c>
      <c r="H222" s="23">
        <v>3420</v>
      </c>
      <c r="I222" s="3">
        <v>4590</v>
      </c>
      <c r="J222" s="3">
        <v>4153</v>
      </c>
      <c r="K222" s="3">
        <v>1097.125</v>
      </c>
      <c r="L222" s="3">
        <v>8000</v>
      </c>
      <c r="M222" s="3">
        <v>12</v>
      </c>
      <c r="N222" s="3">
        <v>14.097372742200333</v>
      </c>
      <c r="O222" s="3">
        <v>14.333333333333339</v>
      </c>
      <c r="P222" s="3">
        <v>13.866009852216745</v>
      </c>
      <c r="Q222" s="16">
        <f t="shared" si="10"/>
        <v>3.1172382362994191</v>
      </c>
      <c r="R222" s="24">
        <v>3938</v>
      </c>
      <c r="S222" s="12">
        <f t="shared" si="11"/>
        <v>-0.15146198830409358</v>
      </c>
    </row>
    <row r="223" spans="1:20" hidden="1">
      <c r="A223" s="9">
        <v>2026</v>
      </c>
      <c r="B223" s="19">
        <v>22</v>
      </c>
      <c r="C223" s="3" t="s">
        <v>18</v>
      </c>
      <c r="D223" s="3" t="s">
        <v>15</v>
      </c>
      <c r="E223" s="3" t="s">
        <v>16</v>
      </c>
      <c r="F223" s="3" t="s">
        <v>21</v>
      </c>
      <c r="G223" s="3" t="str">
        <f t="shared" si="9"/>
        <v>026LOLA</v>
      </c>
      <c r="H223" s="23">
        <v>4860</v>
      </c>
      <c r="I223" s="3">
        <v>4312</v>
      </c>
      <c r="J223" s="3">
        <v>4227</v>
      </c>
      <c r="K223" s="3">
        <v>1097.125</v>
      </c>
      <c r="L223" s="3">
        <v>8000</v>
      </c>
      <c r="M223" s="3">
        <v>12</v>
      </c>
      <c r="N223" s="3">
        <v>14.862558502340111</v>
      </c>
      <c r="O223" s="3">
        <v>15.090171606864288</v>
      </c>
      <c r="P223" s="3">
        <v>14.637597503900155</v>
      </c>
      <c r="Q223" s="16">
        <f t="shared" si="10"/>
        <v>4.4297595989518062</v>
      </c>
      <c r="R223" s="24">
        <v>5812</v>
      </c>
      <c r="S223" s="12">
        <f t="shared" si="11"/>
        <v>-0.19588477366255144</v>
      </c>
    </row>
    <row r="224" spans="1:20" hidden="1">
      <c r="A224" s="9">
        <v>2025</v>
      </c>
      <c r="B224" s="19">
        <v>1</v>
      </c>
      <c r="C224" s="3" t="s">
        <v>18</v>
      </c>
      <c r="D224" s="3" t="s">
        <v>15</v>
      </c>
      <c r="E224" s="3" t="s">
        <v>16</v>
      </c>
      <c r="F224" s="3" t="s">
        <v>22</v>
      </c>
      <c r="G224" s="3" t="str">
        <f t="shared" si="9"/>
        <v>026PALOMA</v>
      </c>
      <c r="H224" s="3">
        <v>4200</v>
      </c>
      <c r="I224" s="3">
        <v>5649</v>
      </c>
      <c r="J224" s="3">
        <v>5556</v>
      </c>
      <c r="K224" s="3">
        <v>2852.5250000000001</v>
      </c>
      <c r="L224" s="3">
        <v>20800</v>
      </c>
      <c r="M224" s="3">
        <v>12</v>
      </c>
      <c r="N224" s="3">
        <v>14.926896551724157</v>
      </c>
      <c r="O224" s="3">
        <v>15.150114942528749</v>
      </c>
      <c r="P224" s="3">
        <v>14.717701149425297</v>
      </c>
      <c r="Q224" s="16">
        <f t="shared" si="10"/>
        <v>1.4723797337446647</v>
      </c>
      <c r="R224" s="10">
        <v>4011.5131938347799</v>
      </c>
      <c r="S224" s="12">
        <f t="shared" si="11"/>
        <v>4.4877810991719065E-2</v>
      </c>
    </row>
    <row r="225" spans="1:19" hidden="1">
      <c r="A225" s="9">
        <v>2025</v>
      </c>
      <c r="B225" s="19">
        <v>2</v>
      </c>
      <c r="C225" s="3" t="s">
        <v>18</v>
      </c>
      <c r="D225" s="3" t="s">
        <v>15</v>
      </c>
      <c r="E225" s="3" t="s">
        <v>16</v>
      </c>
      <c r="F225" s="3" t="s">
        <v>22</v>
      </c>
      <c r="G225" s="3" t="str">
        <f t="shared" si="9"/>
        <v>026PALOMA</v>
      </c>
      <c r="H225" s="3">
        <v>5000</v>
      </c>
      <c r="I225" s="3">
        <v>5274</v>
      </c>
      <c r="J225" s="3">
        <v>6169</v>
      </c>
      <c r="K225" s="3">
        <v>2852.5250000000001</v>
      </c>
      <c r="L225" s="3">
        <v>20800</v>
      </c>
      <c r="M225" s="3">
        <v>12</v>
      </c>
      <c r="N225" s="3">
        <v>15.117031249999988</v>
      </c>
      <c r="O225" s="3">
        <v>15.357656249999996</v>
      </c>
      <c r="P225" s="3">
        <v>14.884374999999986</v>
      </c>
      <c r="Q225" s="16">
        <f t="shared" si="10"/>
        <v>1.7528330163626962</v>
      </c>
      <c r="R225" s="10">
        <v>2286.5625204858252</v>
      </c>
      <c r="S225" s="12">
        <f t="shared" si="11"/>
        <v>0.54268749590283494</v>
      </c>
    </row>
    <row r="226" spans="1:19" hidden="1">
      <c r="A226" s="9">
        <v>2025</v>
      </c>
      <c r="B226" s="19">
        <v>3</v>
      </c>
      <c r="C226" s="3" t="s">
        <v>18</v>
      </c>
      <c r="D226" s="3" t="s">
        <v>15</v>
      </c>
      <c r="E226" s="3" t="s">
        <v>16</v>
      </c>
      <c r="F226" s="3" t="s">
        <v>22</v>
      </c>
      <c r="G226" s="3" t="str">
        <f t="shared" si="9"/>
        <v>026PALOMA</v>
      </c>
      <c r="H226" s="3">
        <v>5180</v>
      </c>
      <c r="I226" s="3">
        <v>7311</v>
      </c>
      <c r="J226" s="3">
        <v>6926</v>
      </c>
      <c r="K226" s="3">
        <v>2852.5250000000001</v>
      </c>
      <c r="L226" s="3">
        <v>20800</v>
      </c>
      <c r="M226" s="3">
        <v>12</v>
      </c>
      <c r="N226" s="3">
        <v>14.559689922480603</v>
      </c>
      <c r="O226" s="3">
        <v>14.791627906976728</v>
      </c>
      <c r="P226" s="3">
        <v>14.336744186046507</v>
      </c>
      <c r="Q226" s="16">
        <f t="shared" si="10"/>
        <v>1.8159350049517533</v>
      </c>
      <c r="R226" s="10">
        <v>5405.7867854373908</v>
      </c>
      <c r="S226" s="12">
        <f t="shared" si="11"/>
        <v>-4.3588182516870806E-2</v>
      </c>
    </row>
    <row r="227" spans="1:19" hidden="1">
      <c r="A227" s="9">
        <v>2025</v>
      </c>
      <c r="B227" s="19">
        <v>4</v>
      </c>
      <c r="C227" s="3" t="s">
        <v>18</v>
      </c>
      <c r="D227" s="3" t="s">
        <v>15</v>
      </c>
      <c r="E227" s="3" t="s">
        <v>16</v>
      </c>
      <c r="F227" s="3" t="s">
        <v>22</v>
      </c>
      <c r="G227" s="3" t="str">
        <f t="shared" si="9"/>
        <v>026PALOMA</v>
      </c>
      <c r="H227" s="3">
        <v>11200</v>
      </c>
      <c r="I227" s="3">
        <v>9284</v>
      </c>
      <c r="J227" s="3">
        <v>9274</v>
      </c>
      <c r="K227" s="3">
        <v>2852.5250000000001</v>
      </c>
      <c r="L227" s="3">
        <v>20800</v>
      </c>
      <c r="M227" s="3">
        <v>12</v>
      </c>
      <c r="N227" s="3">
        <v>14.620404984423683</v>
      </c>
      <c r="O227" s="3">
        <v>14.90529595015577</v>
      </c>
      <c r="P227" s="3">
        <v>14.333644859813107</v>
      </c>
      <c r="Q227" s="16">
        <f t="shared" si="10"/>
        <v>3.9263459566524395</v>
      </c>
      <c r="R227" s="10">
        <v>3081.2984676993128</v>
      </c>
      <c r="S227" s="12">
        <f t="shared" si="11"/>
        <v>0.72488406538398997</v>
      </c>
    </row>
    <row r="228" spans="1:19" hidden="1">
      <c r="A228" s="9">
        <v>2025</v>
      </c>
      <c r="B228" s="19">
        <v>5</v>
      </c>
      <c r="C228" s="3" t="s">
        <v>18</v>
      </c>
      <c r="D228" s="3" t="s">
        <v>15</v>
      </c>
      <c r="E228" s="3" t="s">
        <v>16</v>
      </c>
      <c r="F228" s="3" t="s">
        <v>22</v>
      </c>
      <c r="G228" s="3" t="str">
        <f t="shared" si="9"/>
        <v>026PALOMA</v>
      </c>
      <c r="H228" s="3">
        <v>11100</v>
      </c>
      <c r="I228" s="3">
        <v>10569</v>
      </c>
      <c r="J228" s="3">
        <v>9385</v>
      </c>
      <c r="K228" s="3">
        <v>2852.5250000000001</v>
      </c>
      <c r="L228" s="3">
        <v>20800</v>
      </c>
      <c r="M228" s="3">
        <v>12</v>
      </c>
      <c r="N228" s="3">
        <v>15.759968602825738</v>
      </c>
      <c r="O228" s="3">
        <v>16.024332810047081</v>
      </c>
      <c r="P228" s="3">
        <v>15.492935635792767</v>
      </c>
      <c r="Q228" s="16">
        <f t="shared" si="10"/>
        <v>3.8912892963251853</v>
      </c>
      <c r="R228" s="10">
        <v>8627.7638507782376</v>
      </c>
      <c r="S228" s="12">
        <f t="shared" si="11"/>
        <v>0.22272397740736599</v>
      </c>
    </row>
    <row r="229" spans="1:19" hidden="1">
      <c r="A229" s="9">
        <v>2025</v>
      </c>
      <c r="B229" s="19">
        <v>6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9"/>
        <v>026PALOMA</v>
      </c>
      <c r="H229" s="3">
        <v>6200</v>
      </c>
      <c r="I229" s="3">
        <v>5310</v>
      </c>
      <c r="J229" s="3">
        <v>5900</v>
      </c>
      <c r="K229" s="3">
        <v>2852.5250000000001</v>
      </c>
      <c r="L229" s="3">
        <v>20800</v>
      </c>
      <c r="M229" s="3">
        <v>12</v>
      </c>
      <c r="N229" s="3">
        <v>14.483252032520339</v>
      </c>
      <c r="O229" s="3">
        <v>14.696910569105704</v>
      </c>
      <c r="P229" s="3">
        <v>14.273333333333341</v>
      </c>
      <c r="Q229" s="16">
        <f t="shared" si="10"/>
        <v>2.1735129402897431</v>
      </c>
      <c r="R229" s="10">
        <v>4917.8253949435948</v>
      </c>
      <c r="S229" s="12">
        <f t="shared" si="11"/>
        <v>0.20680235565425889</v>
      </c>
    </row>
    <row r="230" spans="1:19" hidden="1">
      <c r="A230" s="9">
        <v>2025</v>
      </c>
      <c r="B230" s="19">
        <v>7</v>
      </c>
      <c r="C230" s="3" t="s">
        <v>18</v>
      </c>
      <c r="D230" s="3" t="s">
        <v>15</v>
      </c>
      <c r="E230" s="3" t="s">
        <v>16</v>
      </c>
      <c r="F230" s="3" t="s">
        <v>22</v>
      </c>
      <c r="G230" s="3" t="str">
        <f t="shared" si="9"/>
        <v>026PALOMA</v>
      </c>
      <c r="H230" s="3">
        <v>6180</v>
      </c>
      <c r="I230" s="3">
        <v>5965</v>
      </c>
      <c r="J230" s="3">
        <v>3451</v>
      </c>
      <c r="K230" s="3">
        <v>2852.5250000000001</v>
      </c>
      <c r="L230" s="3">
        <v>20800</v>
      </c>
      <c r="M230" s="3">
        <v>12</v>
      </c>
      <c r="N230" s="3">
        <v>13.801155115511554</v>
      </c>
      <c r="O230" s="3">
        <v>14.032838283828401</v>
      </c>
      <c r="P230" s="3">
        <v>13.571947194719476</v>
      </c>
      <c r="Q230" s="16">
        <f t="shared" si="10"/>
        <v>2.1665016082242925</v>
      </c>
      <c r="R230" s="10">
        <v>6444.2541425747231</v>
      </c>
      <c r="S230" s="12">
        <f t="shared" si="11"/>
        <v>-4.2759569995909887E-2</v>
      </c>
    </row>
    <row r="231" spans="1:19" hidden="1">
      <c r="A231" s="9">
        <v>2025</v>
      </c>
      <c r="B231" s="19">
        <v>8</v>
      </c>
      <c r="C231" s="3" t="s">
        <v>18</v>
      </c>
      <c r="D231" s="3" t="s">
        <v>15</v>
      </c>
      <c r="E231" s="3" t="s">
        <v>16</v>
      </c>
      <c r="F231" s="3" t="s">
        <v>22</v>
      </c>
      <c r="G231" s="3" t="str">
        <f t="shared" si="9"/>
        <v>026PALOMA</v>
      </c>
      <c r="H231" s="3">
        <v>4260</v>
      </c>
      <c r="I231" s="3">
        <v>5542</v>
      </c>
      <c r="J231" s="3">
        <v>5261</v>
      </c>
      <c r="K231" s="3">
        <v>2852.5250000000001</v>
      </c>
      <c r="L231" s="3">
        <v>20800</v>
      </c>
      <c r="M231" s="3">
        <v>12</v>
      </c>
      <c r="N231" s="3">
        <v>14.886996336996331</v>
      </c>
      <c r="O231" s="3">
        <v>15.080952380952363</v>
      </c>
      <c r="P231" s="3">
        <v>14.693406593406582</v>
      </c>
      <c r="Q231" s="16">
        <f t="shared" si="10"/>
        <v>1.4934137299410171</v>
      </c>
      <c r="R231" s="10">
        <v>4390.9679337766102</v>
      </c>
      <c r="S231" s="12">
        <f t="shared" si="11"/>
        <v>-3.0743646426434307E-2</v>
      </c>
    </row>
    <row r="232" spans="1:19" hidden="1">
      <c r="A232" s="9">
        <v>2025</v>
      </c>
      <c r="B232" s="19">
        <v>9</v>
      </c>
      <c r="C232" s="3" t="s">
        <v>18</v>
      </c>
      <c r="D232" s="3" t="s">
        <v>15</v>
      </c>
      <c r="E232" s="3" t="s">
        <v>16</v>
      </c>
      <c r="F232" s="3" t="s">
        <v>22</v>
      </c>
      <c r="G232" s="3" t="str">
        <f t="shared" si="9"/>
        <v>026PALOMA</v>
      </c>
      <c r="H232" s="3">
        <v>4820</v>
      </c>
      <c r="I232" s="3">
        <v>5799</v>
      </c>
      <c r="J232" s="3">
        <v>5155</v>
      </c>
      <c r="K232" s="3">
        <v>2852.5250000000001</v>
      </c>
      <c r="L232" s="3">
        <v>20800</v>
      </c>
      <c r="M232" s="3">
        <v>12</v>
      </c>
      <c r="N232" s="3">
        <v>14.097372742200333</v>
      </c>
      <c r="O232" s="3">
        <v>14.333333333333339</v>
      </c>
      <c r="P232" s="3">
        <v>13.866009852216745</v>
      </c>
      <c r="Q232" s="16">
        <f t="shared" si="10"/>
        <v>1.689731027773639</v>
      </c>
      <c r="R232" s="10">
        <v>4982.3644401308729</v>
      </c>
      <c r="S232" s="12">
        <f t="shared" si="11"/>
        <v>-3.3685568491882353E-2</v>
      </c>
    </row>
    <row r="233" spans="1:19" hidden="1">
      <c r="A233" s="9">
        <v>2025</v>
      </c>
      <c r="B233" s="19">
        <v>10</v>
      </c>
      <c r="C233" s="3" t="s">
        <v>18</v>
      </c>
      <c r="D233" s="3" t="s">
        <v>15</v>
      </c>
      <c r="E233" s="3" t="s">
        <v>16</v>
      </c>
      <c r="F233" s="3" t="s">
        <v>22</v>
      </c>
      <c r="G233" s="3" t="str">
        <f t="shared" si="9"/>
        <v>026PALOMA</v>
      </c>
      <c r="H233" s="3">
        <v>3660</v>
      </c>
      <c r="I233" s="3">
        <v>4877</v>
      </c>
      <c r="J233" s="3">
        <v>5544</v>
      </c>
      <c r="K233" s="3">
        <v>2852.5250000000001</v>
      </c>
      <c r="L233" s="3">
        <v>20800</v>
      </c>
      <c r="M233" s="3">
        <v>12</v>
      </c>
      <c r="N233" s="3">
        <v>14.862558502340111</v>
      </c>
      <c r="O233" s="3">
        <v>15.090171606864288</v>
      </c>
      <c r="P233" s="3">
        <v>14.637597503900155</v>
      </c>
      <c r="Q233" s="16">
        <f t="shared" si="10"/>
        <v>1.2830737679774935</v>
      </c>
      <c r="R233" s="10">
        <v>3888.0085925421508</v>
      </c>
      <c r="S233" s="12">
        <f t="shared" si="11"/>
        <v>-6.2297429656325364E-2</v>
      </c>
    </row>
    <row r="234" spans="1:19" hidden="1">
      <c r="A234" s="9">
        <v>2025</v>
      </c>
      <c r="B234" s="19">
        <v>11</v>
      </c>
      <c r="C234" s="3" t="s">
        <v>18</v>
      </c>
      <c r="D234" s="3" t="s">
        <v>15</v>
      </c>
      <c r="E234" s="3" t="s">
        <v>16</v>
      </c>
      <c r="F234" s="3" t="s">
        <v>22</v>
      </c>
      <c r="G234" s="3" t="str">
        <f t="shared" si="9"/>
        <v>026PALOMA</v>
      </c>
      <c r="H234" s="3">
        <v>4220</v>
      </c>
      <c r="I234" s="3">
        <v>4963</v>
      </c>
      <c r="J234" s="3">
        <v>4922</v>
      </c>
      <c r="K234" s="3">
        <v>2852.5250000000001</v>
      </c>
      <c r="L234" s="3">
        <v>20800</v>
      </c>
      <c r="M234" s="3">
        <v>12</v>
      </c>
      <c r="N234" s="3">
        <v>13.730322580645163</v>
      </c>
      <c r="O234" s="3">
        <v>13.974354838709669</v>
      </c>
      <c r="P234" s="3">
        <v>13.489193548387098</v>
      </c>
      <c r="Q234" s="16">
        <f t="shared" si="10"/>
        <v>1.4793910658101155</v>
      </c>
      <c r="R234" s="10">
        <v>4503.7197237885239</v>
      </c>
      <c r="S234" s="12">
        <f t="shared" si="11"/>
        <v>-6.7232162035195234E-2</v>
      </c>
    </row>
    <row r="235" spans="1:19" hidden="1">
      <c r="A235" s="9">
        <v>2025</v>
      </c>
      <c r="B235" s="19">
        <v>12</v>
      </c>
      <c r="C235" s="3" t="s">
        <v>18</v>
      </c>
      <c r="D235" s="3" t="s">
        <v>15</v>
      </c>
      <c r="E235" s="3" t="s">
        <v>16</v>
      </c>
      <c r="F235" s="3" t="s">
        <v>22</v>
      </c>
      <c r="G235" s="3" t="str">
        <f t="shared" si="9"/>
        <v>026PALOMA</v>
      </c>
      <c r="H235" s="3">
        <v>4360</v>
      </c>
      <c r="I235" s="3">
        <v>4932</v>
      </c>
      <c r="J235" s="3">
        <v>5100</v>
      </c>
      <c r="K235" s="3">
        <v>2852.5250000000001</v>
      </c>
      <c r="L235" s="3">
        <v>20800</v>
      </c>
      <c r="M235" s="3">
        <v>12</v>
      </c>
      <c r="N235" s="3">
        <v>14.314696485623003</v>
      </c>
      <c r="O235" s="3">
        <v>14.549999999999999</v>
      </c>
      <c r="P235" s="3">
        <v>14.083386581469659</v>
      </c>
      <c r="Q235" s="16">
        <f t="shared" si="10"/>
        <v>1.528470390268271</v>
      </c>
      <c r="R235" s="10">
        <v>4683.3409280898877</v>
      </c>
      <c r="S235" s="12">
        <f t="shared" si="11"/>
        <v>-7.4160763323368739E-2</v>
      </c>
    </row>
    <row r="236" spans="1:19" hidden="1">
      <c r="A236" s="9">
        <v>2025</v>
      </c>
      <c r="B236" s="19">
        <v>13</v>
      </c>
      <c r="C236" s="3" t="s">
        <v>18</v>
      </c>
      <c r="D236" s="3" t="s">
        <v>15</v>
      </c>
      <c r="E236" s="3" t="s">
        <v>16</v>
      </c>
      <c r="F236" s="3" t="s">
        <v>22</v>
      </c>
      <c r="G236" s="3" t="str">
        <f t="shared" si="9"/>
        <v>026PALOMA</v>
      </c>
      <c r="H236" s="3">
        <v>4080</v>
      </c>
      <c r="I236" s="3">
        <v>5356</v>
      </c>
      <c r="J236" s="3">
        <v>5049</v>
      </c>
      <c r="K236" s="3">
        <v>2852.5250000000001</v>
      </c>
      <c r="L236" s="3">
        <v>20800</v>
      </c>
      <c r="M236" s="3">
        <v>12</v>
      </c>
      <c r="N236" s="3">
        <v>14.926896551724157</v>
      </c>
      <c r="O236" s="3">
        <v>15.150114942528749</v>
      </c>
      <c r="P236" s="3">
        <v>14.717701149425297</v>
      </c>
      <c r="Q236" s="16">
        <f t="shared" si="10"/>
        <v>1.4303117413519602</v>
      </c>
      <c r="R236" s="10">
        <v>4447.8541193278643</v>
      </c>
      <c r="S236" s="12">
        <f t="shared" si="11"/>
        <v>-9.0160323364672612E-2</v>
      </c>
    </row>
    <row r="237" spans="1:19" hidden="1">
      <c r="A237" s="9">
        <v>2025</v>
      </c>
      <c r="B237" s="19">
        <v>14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9"/>
        <v>026PALOMA</v>
      </c>
      <c r="H237" s="3">
        <v>3040</v>
      </c>
      <c r="I237" s="3">
        <v>5528</v>
      </c>
      <c r="J237" s="3">
        <v>6268</v>
      </c>
      <c r="K237" s="3">
        <v>2852.5250000000001</v>
      </c>
      <c r="L237" s="3">
        <v>20800</v>
      </c>
      <c r="M237" s="3">
        <v>12</v>
      </c>
      <c r="N237" s="3">
        <v>15.117031249999988</v>
      </c>
      <c r="O237" s="3">
        <v>15.357656249999996</v>
      </c>
      <c r="P237" s="3">
        <v>14.884374999999986</v>
      </c>
      <c r="Q237" s="16">
        <f t="shared" si="10"/>
        <v>1.0657224739485192</v>
      </c>
      <c r="R237" s="10">
        <v>3541.3668030224731</v>
      </c>
      <c r="S237" s="12">
        <f t="shared" si="11"/>
        <v>-0.16492329046791876</v>
      </c>
    </row>
    <row r="238" spans="1:19" hidden="1">
      <c r="A238" s="9">
        <v>2025</v>
      </c>
      <c r="B238" s="19">
        <v>15</v>
      </c>
      <c r="C238" s="3" t="s">
        <v>18</v>
      </c>
      <c r="D238" s="3" t="s">
        <v>15</v>
      </c>
      <c r="E238" s="3" t="s">
        <v>16</v>
      </c>
      <c r="F238" s="3" t="s">
        <v>22</v>
      </c>
      <c r="G238" s="3" t="str">
        <f t="shared" si="9"/>
        <v>026PALOMA</v>
      </c>
      <c r="H238" s="3">
        <v>4320</v>
      </c>
      <c r="I238" s="3">
        <v>5753</v>
      </c>
      <c r="J238" s="3">
        <v>5753</v>
      </c>
      <c r="K238" s="3">
        <v>2852.5250000000001</v>
      </c>
      <c r="L238" s="3">
        <v>20800</v>
      </c>
      <c r="M238" s="3">
        <v>12</v>
      </c>
      <c r="N238" s="3">
        <v>14.559689922480603</v>
      </c>
      <c r="O238" s="3">
        <v>14.791627906976728</v>
      </c>
      <c r="P238" s="3">
        <v>14.336744186046507</v>
      </c>
      <c r="Q238" s="16">
        <f t="shared" si="10"/>
        <v>1.5144477261373694</v>
      </c>
      <c r="R238" s="10">
        <v>4658.1887587861656</v>
      </c>
      <c r="S238" s="12">
        <f t="shared" si="11"/>
        <v>-7.8284434904205003E-2</v>
      </c>
    </row>
    <row r="239" spans="1:19" hidden="1">
      <c r="A239" s="9">
        <v>2025</v>
      </c>
      <c r="B239" s="19">
        <v>16</v>
      </c>
      <c r="C239" s="3" t="s">
        <v>18</v>
      </c>
      <c r="D239" s="3" t="s">
        <v>15</v>
      </c>
      <c r="E239" s="3" t="s">
        <v>16</v>
      </c>
      <c r="F239" s="3" t="s">
        <v>22</v>
      </c>
      <c r="G239" s="3" t="str">
        <f t="shared" si="9"/>
        <v>026PALOMA</v>
      </c>
      <c r="H239" s="3">
        <v>6880</v>
      </c>
      <c r="I239" s="3">
        <v>9617</v>
      </c>
      <c r="J239" s="3">
        <v>10123</v>
      </c>
      <c r="K239" s="3">
        <v>2852.5250000000001</v>
      </c>
      <c r="L239" s="3">
        <v>20800</v>
      </c>
      <c r="M239" s="3">
        <v>12</v>
      </c>
      <c r="N239" s="3">
        <v>14.620404984423683</v>
      </c>
      <c r="O239" s="3">
        <v>14.90529595015577</v>
      </c>
      <c r="P239" s="3">
        <v>14.333644859813107</v>
      </c>
      <c r="Q239" s="16">
        <f t="shared" si="10"/>
        <v>2.41189823051507</v>
      </c>
      <c r="R239" s="10">
        <v>7710.6558973688507</v>
      </c>
      <c r="S239" s="12">
        <f t="shared" si="11"/>
        <v>-0.12073486880361202</v>
      </c>
    </row>
    <row r="240" spans="1:19" hidden="1">
      <c r="A240" s="9">
        <v>2025</v>
      </c>
      <c r="B240" s="19">
        <v>17</v>
      </c>
      <c r="C240" s="3" t="s">
        <v>18</v>
      </c>
      <c r="D240" s="3" t="s">
        <v>15</v>
      </c>
      <c r="E240" s="3" t="s">
        <v>16</v>
      </c>
      <c r="F240" s="3" t="s">
        <v>22</v>
      </c>
      <c r="G240" s="3" t="str">
        <f t="shared" si="9"/>
        <v>026PALOMA</v>
      </c>
      <c r="H240" s="3">
        <v>11060</v>
      </c>
      <c r="I240" s="3">
        <v>11477</v>
      </c>
      <c r="J240" s="3">
        <v>11477</v>
      </c>
      <c r="K240" s="3">
        <v>2852.5250000000001</v>
      </c>
      <c r="L240" s="3">
        <v>20800</v>
      </c>
      <c r="M240" s="3">
        <v>12</v>
      </c>
      <c r="N240" s="3">
        <v>15.759968602825738</v>
      </c>
      <c r="O240" s="3">
        <v>16.024332810047081</v>
      </c>
      <c r="P240" s="3">
        <v>15.492935635792767</v>
      </c>
      <c r="Q240" s="16">
        <f t="shared" si="10"/>
        <v>3.8772666321942837</v>
      </c>
      <c r="R240" s="10">
        <v>10156.34816022314</v>
      </c>
      <c r="S240" s="12">
        <f t="shared" si="11"/>
        <v>8.1704506308938482E-2</v>
      </c>
    </row>
    <row r="241" spans="1:19" hidden="1">
      <c r="A241" s="9">
        <v>2025</v>
      </c>
      <c r="B241" s="19">
        <v>18</v>
      </c>
      <c r="C241" s="3" t="s">
        <v>18</v>
      </c>
      <c r="D241" s="3" t="s">
        <v>15</v>
      </c>
      <c r="E241" s="3" t="s">
        <v>16</v>
      </c>
      <c r="F241" s="3" t="s">
        <v>22</v>
      </c>
      <c r="G241" s="3" t="str">
        <f t="shared" si="9"/>
        <v>026PALOMA</v>
      </c>
      <c r="H241" s="3">
        <v>9960</v>
      </c>
      <c r="I241" s="3">
        <v>9396</v>
      </c>
      <c r="J241" s="3">
        <v>9396</v>
      </c>
      <c r="K241" s="3">
        <v>2852.5250000000001</v>
      </c>
      <c r="L241" s="3">
        <v>20800</v>
      </c>
      <c r="M241" s="3">
        <v>12</v>
      </c>
      <c r="N241" s="3">
        <v>14.483252032520339</v>
      </c>
      <c r="O241" s="3">
        <v>14.696910569105704</v>
      </c>
      <c r="P241" s="3">
        <v>14.273333333333341</v>
      </c>
      <c r="Q241" s="16">
        <f t="shared" si="10"/>
        <v>3.4916433685944908</v>
      </c>
      <c r="R241" s="10">
        <v>5789.1184513271901</v>
      </c>
      <c r="S241" s="12">
        <f t="shared" si="11"/>
        <v>0.41876320769807329</v>
      </c>
    </row>
    <row r="242" spans="1:19" hidden="1">
      <c r="A242" s="9">
        <v>2025</v>
      </c>
      <c r="B242" s="19">
        <v>19</v>
      </c>
      <c r="C242" s="3" t="s">
        <v>18</v>
      </c>
      <c r="D242" s="3" t="s">
        <v>15</v>
      </c>
      <c r="E242" s="3" t="s">
        <v>16</v>
      </c>
      <c r="F242" s="3" t="s">
        <v>22</v>
      </c>
      <c r="G242" s="3" t="str">
        <f t="shared" si="9"/>
        <v>026PALOMA</v>
      </c>
      <c r="H242" s="3">
        <v>5300</v>
      </c>
      <c r="I242" s="3">
        <v>6201</v>
      </c>
      <c r="J242" s="3">
        <v>5637</v>
      </c>
      <c r="K242" s="3">
        <v>2852.5250000000001</v>
      </c>
      <c r="L242" s="3">
        <v>20800</v>
      </c>
      <c r="M242" s="3">
        <v>12</v>
      </c>
      <c r="N242" s="3">
        <v>13.801155115511554</v>
      </c>
      <c r="O242" s="3">
        <v>14.032838283828401</v>
      </c>
      <c r="P242" s="3">
        <v>13.571947194719476</v>
      </c>
      <c r="Q242" s="16">
        <f t="shared" si="10"/>
        <v>1.8580029973444578</v>
      </c>
      <c r="R242" s="10">
        <v>5709.5370083197759</v>
      </c>
      <c r="S242" s="12">
        <f t="shared" si="11"/>
        <v>-7.7271133645240728E-2</v>
      </c>
    </row>
    <row r="243" spans="1:19" hidden="1">
      <c r="A243" s="9">
        <v>2025</v>
      </c>
      <c r="B243" s="19">
        <v>20</v>
      </c>
      <c r="C243" s="3" t="s">
        <v>18</v>
      </c>
      <c r="D243" s="3" t="s">
        <v>15</v>
      </c>
      <c r="E243" s="3" t="s">
        <v>16</v>
      </c>
      <c r="F243" s="3" t="s">
        <v>22</v>
      </c>
      <c r="G243" s="3" t="str">
        <f t="shared" si="9"/>
        <v>026PALOMA</v>
      </c>
      <c r="H243" s="3">
        <v>6800</v>
      </c>
      <c r="I243" s="3">
        <v>6489</v>
      </c>
      <c r="J243" s="3">
        <v>5829</v>
      </c>
      <c r="K243" s="3">
        <v>2852.5250000000001</v>
      </c>
      <c r="L243" s="3">
        <v>20800</v>
      </c>
      <c r="M243" s="3">
        <v>12</v>
      </c>
      <c r="N243" s="3">
        <v>14.886996336996331</v>
      </c>
      <c r="O243" s="3">
        <v>15.080952380952363</v>
      </c>
      <c r="P243" s="3">
        <v>14.693406593406582</v>
      </c>
      <c r="Q243" s="16">
        <f t="shared" si="10"/>
        <v>2.3838529022532668</v>
      </c>
      <c r="R243" s="10">
        <v>7513.778451070204</v>
      </c>
      <c r="S243" s="12">
        <f t="shared" si="11"/>
        <v>-0.10496741927503001</v>
      </c>
    </row>
    <row r="244" spans="1:19" hidden="1">
      <c r="A244" s="9">
        <v>2025</v>
      </c>
      <c r="B244" s="19">
        <v>21</v>
      </c>
      <c r="C244" s="3" t="s">
        <v>18</v>
      </c>
      <c r="D244" s="3" t="s">
        <v>15</v>
      </c>
      <c r="E244" s="3" t="s">
        <v>16</v>
      </c>
      <c r="F244" s="3" t="s">
        <v>22</v>
      </c>
      <c r="G244" s="3" t="str">
        <f t="shared" si="9"/>
        <v>026PALOMA</v>
      </c>
      <c r="H244" s="3">
        <v>4940</v>
      </c>
      <c r="I244" s="3">
        <v>6173</v>
      </c>
      <c r="J244" s="3">
        <v>5751</v>
      </c>
      <c r="K244" s="3">
        <v>2852.5250000000001</v>
      </c>
      <c r="L244" s="3">
        <v>20800</v>
      </c>
      <c r="M244" s="3">
        <v>12</v>
      </c>
      <c r="N244" s="3">
        <v>14.097372742200333</v>
      </c>
      <c r="O244" s="3">
        <v>14.333333333333339</v>
      </c>
      <c r="P244" s="3">
        <v>13.866009852216745</v>
      </c>
      <c r="Q244" s="16">
        <f t="shared" si="10"/>
        <v>1.7317990201663438</v>
      </c>
      <c r="R244" s="10">
        <v>5221.0107455380266</v>
      </c>
      <c r="S244" s="12">
        <f t="shared" si="11"/>
        <v>-5.6884766303244259E-2</v>
      </c>
    </row>
    <row r="245" spans="1:19" hidden="1">
      <c r="A245" s="9">
        <v>2025</v>
      </c>
      <c r="B245" s="19">
        <v>22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9"/>
        <v>026PALOMA</v>
      </c>
      <c r="H245" s="3">
        <v>5520</v>
      </c>
      <c r="I245" s="3">
        <v>6251</v>
      </c>
      <c r="J245" s="3">
        <v>5720</v>
      </c>
      <c r="K245" s="3">
        <v>2852.5250000000001</v>
      </c>
      <c r="L245" s="3">
        <v>20800</v>
      </c>
      <c r="M245" s="3">
        <v>12</v>
      </c>
      <c r="N245" s="3">
        <v>14.862558502340111</v>
      </c>
      <c r="O245" s="3">
        <v>15.090171606864288</v>
      </c>
      <c r="P245" s="3">
        <v>14.637597503900155</v>
      </c>
      <c r="Q245" s="16">
        <f t="shared" si="10"/>
        <v>1.9351276500644166</v>
      </c>
      <c r="R245" s="10">
        <v>5770.6642553625989</v>
      </c>
      <c r="S245" s="12">
        <f t="shared" si="11"/>
        <v>-4.5410191188876604E-2</v>
      </c>
    </row>
    <row r="246" spans="1:19" hidden="1">
      <c r="A246" s="9">
        <v>2025</v>
      </c>
      <c r="B246" s="19">
        <v>23</v>
      </c>
      <c r="C246" s="3" t="s">
        <v>18</v>
      </c>
      <c r="D246" s="3" t="s">
        <v>15</v>
      </c>
      <c r="E246" s="3" t="s">
        <v>16</v>
      </c>
      <c r="F246" s="3" t="s">
        <v>22</v>
      </c>
      <c r="G246" s="3" t="str">
        <f t="shared" si="9"/>
        <v>026PALOMA</v>
      </c>
      <c r="H246" s="3">
        <v>5220</v>
      </c>
      <c r="I246" s="3">
        <v>6486</v>
      </c>
      <c r="J246" s="3">
        <v>6486</v>
      </c>
      <c r="K246" s="3">
        <v>2852.5250000000001</v>
      </c>
      <c r="L246" s="3">
        <v>20800</v>
      </c>
      <c r="M246" s="3">
        <v>12</v>
      </c>
      <c r="N246" s="3">
        <v>13.730322580645163</v>
      </c>
      <c r="O246" s="3">
        <v>13.974354838709669</v>
      </c>
      <c r="P246" s="3">
        <v>13.489193548387098</v>
      </c>
      <c r="Q246" s="16">
        <f t="shared" si="10"/>
        <v>1.8299576690826549</v>
      </c>
      <c r="R246" s="10">
        <v>5614.1987710635922</v>
      </c>
      <c r="S246" s="12">
        <f t="shared" si="11"/>
        <v>-7.551700595087972E-2</v>
      </c>
    </row>
    <row r="247" spans="1:19" hidden="1">
      <c r="A247" s="9">
        <v>2025</v>
      </c>
      <c r="B247" s="19">
        <v>24</v>
      </c>
      <c r="C247" s="3" t="s">
        <v>18</v>
      </c>
      <c r="D247" s="3" t="s">
        <v>15</v>
      </c>
      <c r="E247" s="3" t="s">
        <v>16</v>
      </c>
      <c r="F247" s="3" t="s">
        <v>22</v>
      </c>
      <c r="G247" s="3" t="str">
        <f t="shared" si="9"/>
        <v>026PALOMA</v>
      </c>
      <c r="H247" s="3">
        <v>3700</v>
      </c>
      <c r="I247" s="3">
        <v>5985</v>
      </c>
      <c r="J247" s="3">
        <v>7031</v>
      </c>
      <c r="K247" s="3">
        <v>2852.5250000000001</v>
      </c>
      <c r="L247" s="3">
        <v>20800</v>
      </c>
      <c r="M247" s="3">
        <v>12</v>
      </c>
      <c r="N247" s="3">
        <v>14.314696485623003</v>
      </c>
      <c r="O247" s="3">
        <v>14.549999999999999</v>
      </c>
      <c r="P247" s="3">
        <v>14.083386581469659</v>
      </c>
      <c r="Q247" s="16">
        <f t="shared" si="10"/>
        <v>1.2970964321083951</v>
      </c>
      <c r="R247" s="10">
        <v>3917.4520879597421</v>
      </c>
      <c r="S247" s="12">
        <f t="shared" si="11"/>
        <v>-5.8770834583714092E-2</v>
      </c>
    </row>
    <row r="248" spans="1:19" hidden="1">
      <c r="A248" s="9">
        <v>2025</v>
      </c>
      <c r="B248" s="19">
        <v>25</v>
      </c>
      <c r="C248" s="3" t="s">
        <v>18</v>
      </c>
      <c r="D248" s="3" t="s">
        <v>15</v>
      </c>
      <c r="E248" s="3" t="s">
        <v>16</v>
      </c>
      <c r="F248" s="3" t="s">
        <v>22</v>
      </c>
      <c r="G248" s="3" t="str">
        <f t="shared" si="9"/>
        <v>026PALOMA</v>
      </c>
      <c r="H248" s="3">
        <v>3220</v>
      </c>
      <c r="I248" s="3">
        <v>6344</v>
      </c>
      <c r="J248" s="3">
        <v>6344</v>
      </c>
      <c r="K248" s="3">
        <v>2852.5250000000001</v>
      </c>
      <c r="L248" s="3">
        <v>20800</v>
      </c>
      <c r="M248" s="3">
        <v>12</v>
      </c>
      <c r="N248" s="3">
        <v>13.355342902711323</v>
      </c>
      <c r="O248" s="3">
        <v>13.582615629984048</v>
      </c>
      <c r="P248" s="3">
        <v>13.129505582137151</v>
      </c>
      <c r="Q248" s="16">
        <f t="shared" si="10"/>
        <v>1.1288244625375763</v>
      </c>
      <c r="R248" s="10">
        <v>3553.312444610066</v>
      </c>
      <c r="S248" s="12">
        <f t="shared" si="11"/>
        <v>-0.10351318155592111</v>
      </c>
    </row>
    <row r="249" spans="1:19" hidden="1">
      <c r="A249" s="9">
        <v>2025</v>
      </c>
      <c r="B249" s="19">
        <v>26</v>
      </c>
      <c r="C249" s="3" t="s">
        <v>18</v>
      </c>
      <c r="D249" s="3" t="s">
        <v>15</v>
      </c>
      <c r="E249" s="3" t="s">
        <v>16</v>
      </c>
      <c r="F249" s="3" t="s">
        <v>22</v>
      </c>
      <c r="G249" s="3" t="str">
        <f t="shared" si="9"/>
        <v>026PALOMA</v>
      </c>
      <c r="H249" s="3">
        <v>4800</v>
      </c>
      <c r="I249" s="3">
        <v>5700</v>
      </c>
      <c r="J249" s="3">
        <v>7486</v>
      </c>
      <c r="K249" s="3">
        <v>2852.5250000000001</v>
      </c>
      <c r="L249" s="3">
        <v>20800</v>
      </c>
      <c r="M249" s="3">
        <v>12</v>
      </c>
      <c r="N249" s="3">
        <v>13.694453248811422</v>
      </c>
      <c r="O249" s="3">
        <v>13.929160063391446</v>
      </c>
      <c r="P249" s="3">
        <v>13.455467511885894</v>
      </c>
      <c r="Q249" s="16">
        <f t="shared" si="10"/>
        <v>1.6827196957081882</v>
      </c>
      <c r="R249" s="10">
        <v>5176.3488990468422</v>
      </c>
      <c r="S249" s="12">
        <f t="shared" si="11"/>
        <v>-7.8406020634758794E-2</v>
      </c>
    </row>
    <row r="250" spans="1:19" hidden="1">
      <c r="A250" s="9">
        <v>2025</v>
      </c>
      <c r="B250" s="19">
        <v>27</v>
      </c>
      <c r="C250" s="3" t="s">
        <v>18</v>
      </c>
      <c r="D250" s="3" t="s">
        <v>15</v>
      </c>
      <c r="E250" s="3" t="s">
        <v>16</v>
      </c>
      <c r="F250" s="3" t="s">
        <v>22</v>
      </c>
      <c r="G250" s="3" t="str">
        <f t="shared" si="9"/>
        <v>026PALOMA</v>
      </c>
      <c r="H250" s="3">
        <v>4425</v>
      </c>
      <c r="I250" s="3">
        <v>5775</v>
      </c>
      <c r="J250" s="3">
        <v>6042</v>
      </c>
      <c r="K250" s="3">
        <v>2852.5250000000001</v>
      </c>
      <c r="L250" s="3">
        <v>20800</v>
      </c>
      <c r="M250" s="3">
        <v>12</v>
      </c>
      <c r="N250" s="3">
        <v>13.246116504854371</v>
      </c>
      <c r="O250" s="3">
        <v>13.484142394822005</v>
      </c>
      <c r="P250" s="3">
        <v>13.012297734627845</v>
      </c>
      <c r="Q250" s="16">
        <f t="shared" si="10"/>
        <v>1.5512572194809862</v>
      </c>
      <c r="R250" s="10">
        <v>4758.5364613988058</v>
      </c>
      <c r="S250" s="12">
        <f t="shared" si="11"/>
        <v>-7.5375471502554997E-2</v>
      </c>
    </row>
    <row r="251" spans="1:19" hidden="1">
      <c r="A251" s="9">
        <v>2025</v>
      </c>
      <c r="B251" s="19">
        <v>28</v>
      </c>
      <c r="C251" s="3" t="s">
        <v>18</v>
      </c>
      <c r="D251" s="3" t="s">
        <v>15</v>
      </c>
      <c r="E251" s="3" t="s">
        <v>16</v>
      </c>
      <c r="F251" s="3" t="s">
        <v>22</v>
      </c>
      <c r="G251" s="3" t="str">
        <f t="shared" si="9"/>
        <v>026PALOMA</v>
      </c>
      <c r="H251" s="3">
        <v>5875</v>
      </c>
      <c r="I251" s="3">
        <v>4615</v>
      </c>
      <c r="J251" s="3">
        <v>6090</v>
      </c>
      <c r="K251" s="3">
        <v>2852.5250000000001</v>
      </c>
      <c r="L251" s="3">
        <v>20800</v>
      </c>
      <c r="M251" s="3">
        <v>12</v>
      </c>
      <c r="N251" s="3">
        <v>13.238155802861698</v>
      </c>
      <c r="O251" s="3">
        <v>13.458664546899842</v>
      </c>
      <c r="P251" s="3">
        <v>13.014467408585055</v>
      </c>
      <c r="Q251" s="16">
        <f t="shared" si="10"/>
        <v>2.0595787942261681</v>
      </c>
      <c r="R251" s="10">
        <v>6385.7539117440956</v>
      </c>
      <c r="S251" s="12">
        <f t="shared" si="11"/>
        <v>-8.6936836041548185E-2</v>
      </c>
    </row>
    <row r="252" spans="1:19" hidden="1">
      <c r="A252" s="9">
        <v>2025</v>
      </c>
      <c r="B252" s="19">
        <v>29</v>
      </c>
      <c r="C252" s="3" t="s">
        <v>18</v>
      </c>
      <c r="D252" s="3" t="s">
        <v>15</v>
      </c>
      <c r="E252" s="3" t="s">
        <v>16</v>
      </c>
      <c r="F252" s="3" t="s">
        <v>22</v>
      </c>
      <c r="G252" s="3" t="str">
        <f t="shared" si="9"/>
        <v>026PALOMA</v>
      </c>
      <c r="H252" s="3">
        <v>6325</v>
      </c>
      <c r="I252" s="3">
        <v>5716</v>
      </c>
      <c r="J252" s="3">
        <v>5382</v>
      </c>
      <c r="K252" s="3">
        <v>2852.5250000000001</v>
      </c>
      <c r="L252" s="3">
        <v>20800</v>
      </c>
      <c r="M252" s="3">
        <v>12</v>
      </c>
      <c r="N252" s="3">
        <v>13.055999999999999</v>
      </c>
      <c r="O252" s="3">
        <v>13.316666666666679</v>
      </c>
      <c r="P252" s="3">
        <v>12.786833333333337</v>
      </c>
      <c r="Q252" s="16">
        <f t="shared" si="10"/>
        <v>2.2173337656988106</v>
      </c>
      <c r="R252" s="10">
        <v>6732.00244572052</v>
      </c>
      <c r="S252" s="12">
        <f t="shared" si="11"/>
        <v>-6.4348212762137549E-2</v>
      </c>
    </row>
    <row r="253" spans="1:19" hidden="1">
      <c r="A253" s="9">
        <v>2025</v>
      </c>
      <c r="B253" s="19">
        <v>30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9"/>
        <v>026PALOMA</v>
      </c>
      <c r="H253" s="3">
        <v>7350</v>
      </c>
      <c r="I253" s="3">
        <v>6664</v>
      </c>
      <c r="J253" s="3">
        <v>6571</v>
      </c>
      <c r="K253" s="3">
        <v>2852.5250000000001</v>
      </c>
      <c r="L253" s="3">
        <v>20800</v>
      </c>
      <c r="M253" s="3">
        <v>12</v>
      </c>
      <c r="N253" s="3">
        <v>14.51277955271564</v>
      </c>
      <c r="O253" s="3">
        <v>14.803514376996825</v>
      </c>
      <c r="P253" s="3">
        <v>14.223162939297143</v>
      </c>
      <c r="Q253" s="16">
        <f t="shared" si="10"/>
        <v>2.5766645340531635</v>
      </c>
      <c r="R253" s="10">
        <v>7954.6487784769633</v>
      </c>
      <c r="S253" s="12">
        <f t="shared" si="11"/>
        <v>-8.2265139928838549E-2</v>
      </c>
    </row>
    <row r="254" spans="1:19" hidden="1">
      <c r="A254" s="9">
        <v>2025</v>
      </c>
      <c r="B254" s="19">
        <v>31</v>
      </c>
      <c r="C254" s="3" t="s">
        <v>18</v>
      </c>
      <c r="D254" s="3" t="s">
        <v>15</v>
      </c>
      <c r="E254" s="3" t="s">
        <v>16</v>
      </c>
      <c r="F254" s="3" t="s">
        <v>22</v>
      </c>
      <c r="G254" s="3" t="str">
        <f t="shared" si="9"/>
        <v>026PALOMA</v>
      </c>
      <c r="H254" s="3">
        <v>7075</v>
      </c>
      <c r="I254" s="3">
        <v>8142</v>
      </c>
      <c r="J254" s="3">
        <v>6534</v>
      </c>
      <c r="K254" s="3">
        <v>2852.5250000000001</v>
      </c>
      <c r="L254" s="3">
        <v>20800</v>
      </c>
      <c r="M254" s="3">
        <v>12</v>
      </c>
      <c r="N254" s="3">
        <v>13.78425196850394</v>
      </c>
      <c r="O254" s="3">
        <v>14.065354330708656</v>
      </c>
      <c r="P254" s="3">
        <v>13.503307086614177</v>
      </c>
      <c r="Q254" s="16">
        <f t="shared" si="10"/>
        <v>2.4802587181532152</v>
      </c>
      <c r="R254" s="10">
        <v>7571.521509638038</v>
      </c>
      <c r="S254" s="12">
        <f t="shared" si="11"/>
        <v>-7.0179718676754488E-2</v>
      </c>
    </row>
    <row r="255" spans="1:19" hidden="1">
      <c r="A255" s="9">
        <v>2025</v>
      </c>
      <c r="B255" s="19">
        <v>32</v>
      </c>
      <c r="C255" s="3" t="s">
        <v>18</v>
      </c>
      <c r="D255" s="3" t="s">
        <v>15</v>
      </c>
      <c r="E255" s="3" t="s">
        <v>16</v>
      </c>
      <c r="F255" s="3" t="s">
        <v>22</v>
      </c>
      <c r="G255" s="3" t="str">
        <f t="shared" si="9"/>
        <v>026PALOMA</v>
      </c>
      <c r="H255" s="3">
        <v>4775</v>
      </c>
      <c r="I255" s="3">
        <v>8340</v>
      </c>
      <c r="J255" s="3">
        <v>7842</v>
      </c>
      <c r="K255" s="3">
        <v>2852.5250000000001</v>
      </c>
      <c r="L255" s="3">
        <v>20800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16">
        <f t="shared" si="10"/>
        <v>1.6739555306263749</v>
      </c>
      <c r="R255" s="10">
        <v>5146.2312512693861</v>
      </c>
      <c r="S255" s="12">
        <f t="shared" si="11"/>
        <v>-7.7744764663745788E-2</v>
      </c>
    </row>
    <row r="256" spans="1:19" hidden="1">
      <c r="A256" s="9">
        <v>2025</v>
      </c>
      <c r="B256" s="19">
        <v>33</v>
      </c>
      <c r="C256" s="3" t="s">
        <v>18</v>
      </c>
      <c r="D256" s="3" t="s">
        <v>15</v>
      </c>
      <c r="E256" s="3" t="s">
        <v>16</v>
      </c>
      <c r="F256" s="3" t="s">
        <v>22</v>
      </c>
      <c r="G256" s="3" t="str">
        <f t="shared" si="9"/>
        <v>026PALOMA</v>
      </c>
      <c r="H256" s="3">
        <v>4225</v>
      </c>
      <c r="I256" s="3">
        <v>6335</v>
      </c>
      <c r="J256" s="3">
        <v>7103</v>
      </c>
      <c r="K256" s="3">
        <v>2852.5250000000001</v>
      </c>
      <c r="L256" s="3">
        <v>20800</v>
      </c>
      <c r="M256" s="3">
        <v>12</v>
      </c>
      <c r="N256" s="3">
        <v>13.589285714285717</v>
      </c>
      <c r="O256" s="3">
        <v>13.824068322981383</v>
      </c>
      <c r="P256" s="3">
        <v>13.353571428571435</v>
      </c>
      <c r="Q256" s="16">
        <f t="shared" si="10"/>
        <v>1.4811438988264782</v>
      </c>
      <c r="R256" s="10">
        <v>4546.9751430867864</v>
      </c>
      <c r="S256" s="12">
        <f t="shared" si="11"/>
        <v>-7.6207134458410972E-2</v>
      </c>
    </row>
    <row r="257" spans="1:19" hidden="1">
      <c r="A257" s="9">
        <v>2025</v>
      </c>
      <c r="B257" s="19">
        <v>34</v>
      </c>
      <c r="C257" s="3" t="s">
        <v>18</v>
      </c>
      <c r="D257" s="3" t="s">
        <v>15</v>
      </c>
      <c r="E257" s="3" t="s">
        <v>16</v>
      </c>
      <c r="F257" s="3" t="s">
        <v>22</v>
      </c>
      <c r="G257" s="3" t="str">
        <f t="shared" si="9"/>
        <v>026PALOMA</v>
      </c>
      <c r="H257" s="3">
        <v>4350</v>
      </c>
      <c r="I257" s="3">
        <v>4857</v>
      </c>
      <c r="J257" s="3">
        <v>6126</v>
      </c>
      <c r="K257" s="3">
        <v>2852.5250000000001</v>
      </c>
      <c r="L257" s="3">
        <v>20800</v>
      </c>
      <c r="M257" s="3">
        <v>12</v>
      </c>
      <c r="N257" s="3">
        <v>12.824486571879941</v>
      </c>
      <c r="O257" s="3">
        <v>13.083254344391783</v>
      </c>
      <c r="P257" s="3">
        <v>12.564612954186416</v>
      </c>
      <c r="Q257" s="16">
        <f t="shared" si="10"/>
        <v>1.5249647242355457</v>
      </c>
      <c r="R257" s="10">
        <v>4700.2092143227001</v>
      </c>
      <c r="S257" s="12">
        <f t="shared" si="11"/>
        <v>-8.050786536154024E-2</v>
      </c>
    </row>
    <row r="258" spans="1:19" hidden="1">
      <c r="A258" s="9">
        <v>2025</v>
      </c>
      <c r="B258" s="19">
        <v>35</v>
      </c>
      <c r="C258" s="3" t="s">
        <v>18</v>
      </c>
      <c r="D258" s="3" t="s">
        <v>15</v>
      </c>
      <c r="E258" s="3" t="s">
        <v>16</v>
      </c>
      <c r="F258" s="3" t="s">
        <v>22</v>
      </c>
      <c r="G258" s="3" t="str">
        <f t="shared" si="9"/>
        <v>026PALOMA</v>
      </c>
      <c r="H258" s="3">
        <v>3425</v>
      </c>
      <c r="I258" s="3">
        <v>5330</v>
      </c>
      <c r="J258" s="3">
        <v>5218</v>
      </c>
      <c r="K258" s="3">
        <v>2852.5250000000001</v>
      </c>
      <c r="L258" s="3">
        <v>20800</v>
      </c>
      <c r="M258" s="3">
        <v>12</v>
      </c>
      <c r="N258" s="3">
        <v>13.437577639751549</v>
      </c>
      <c r="O258" s="3">
        <v>13.71583850931677</v>
      </c>
      <c r="P258" s="3">
        <v>13.159472049689436</v>
      </c>
      <c r="Q258" s="16">
        <f t="shared" si="10"/>
        <v>1.200690616208447</v>
      </c>
      <c r="R258" s="10">
        <v>3726.024718924155</v>
      </c>
      <c r="S258" s="12">
        <f t="shared" si="11"/>
        <v>-8.7890428882964958E-2</v>
      </c>
    </row>
    <row r="259" spans="1:19" hidden="1">
      <c r="A259" s="9">
        <v>2025</v>
      </c>
      <c r="B259" s="19">
        <v>36</v>
      </c>
      <c r="C259" s="3" t="s">
        <v>18</v>
      </c>
      <c r="D259" s="3" t="s">
        <v>15</v>
      </c>
      <c r="E259" s="3" t="s">
        <v>16</v>
      </c>
      <c r="F259" s="3" t="s">
        <v>22</v>
      </c>
      <c r="G259" s="3" t="str">
        <f t="shared" si="9"/>
        <v>026PALOMA</v>
      </c>
      <c r="H259" s="3">
        <v>4425</v>
      </c>
      <c r="I259" s="3">
        <v>5382</v>
      </c>
      <c r="J259" s="3">
        <v>5237</v>
      </c>
      <c r="K259" s="3">
        <v>2852.5250000000001</v>
      </c>
      <c r="L259" s="3">
        <v>20800</v>
      </c>
      <c r="M259" s="3">
        <v>12</v>
      </c>
      <c r="N259" s="3">
        <v>12.977672955974834</v>
      </c>
      <c r="O259" s="3">
        <v>13.234119496855346</v>
      </c>
      <c r="P259" s="3">
        <v>12.718081761006273</v>
      </c>
      <c r="Q259" s="16">
        <f t="shared" si="10"/>
        <v>1.5512572194809862</v>
      </c>
      <c r="R259" s="10">
        <v>4767.3970423962119</v>
      </c>
      <c r="S259" s="12">
        <f t="shared" si="11"/>
        <v>-7.737786268840946E-2</v>
      </c>
    </row>
    <row r="260" spans="1:19" hidden="1">
      <c r="A260" s="9">
        <v>2025</v>
      </c>
      <c r="B260" s="19">
        <v>37</v>
      </c>
      <c r="C260" s="3" t="s">
        <v>18</v>
      </c>
      <c r="D260" s="3" t="s">
        <v>15</v>
      </c>
      <c r="E260" s="3" t="s">
        <v>16</v>
      </c>
      <c r="F260" s="3" t="s">
        <v>22</v>
      </c>
      <c r="G260" s="3" t="str">
        <f t="shared" si="9"/>
        <v>026PALOMA</v>
      </c>
      <c r="H260" s="3">
        <v>4450</v>
      </c>
      <c r="I260" s="3">
        <v>4550</v>
      </c>
      <c r="J260" s="3">
        <v>5188</v>
      </c>
      <c r="K260" s="3">
        <v>2852.5250000000001</v>
      </c>
      <c r="L260" s="3">
        <v>20800</v>
      </c>
      <c r="M260" s="3">
        <v>12</v>
      </c>
      <c r="N260" s="3">
        <v>13.589032258064515</v>
      </c>
      <c r="O260" s="3">
        <v>13.865806451612899</v>
      </c>
      <c r="P260" s="3">
        <v>13.317258064516144</v>
      </c>
      <c r="Q260" s="16">
        <f t="shared" si="10"/>
        <v>1.5600213845627995</v>
      </c>
      <c r="R260" s="10">
        <v>4784.9685635783408</v>
      </c>
      <c r="S260" s="12">
        <f t="shared" si="11"/>
        <v>-7.5273834511986687E-2</v>
      </c>
    </row>
    <row r="261" spans="1:19" hidden="1">
      <c r="A261" s="9">
        <v>2025</v>
      </c>
      <c r="B261" s="19">
        <v>38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9"/>
        <v>026PALOMA</v>
      </c>
      <c r="H261" s="3">
        <v>5975</v>
      </c>
      <c r="I261" s="3">
        <v>4850</v>
      </c>
      <c r="J261" s="3">
        <v>5287</v>
      </c>
      <c r="K261" s="3">
        <v>2852.5250000000001</v>
      </c>
      <c r="L261" s="3">
        <v>20800</v>
      </c>
      <c r="M261" s="3">
        <v>12</v>
      </c>
      <c r="N261" s="3">
        <v>13.031825273010922</v>
      </c>
      <c r="O261" s="3">
        <v>13.280499219968798</v>
      </c>
      <c r="P261" s="3">
        <v>12.779719188767555</v>
      </c>
      <c r="Q261" s="16">
        <f t="shared" si="10"/>
        <v>2.0946354545534218</v>
      </c>
      <c r="R261" s="10">
        <v>6443.8032727562422</v>
      </c>
      <c r="S261" s="12">
        <f t="shared" si="11"/>
        <v>-7.8460798787655606E-2</v>
      </c>
    </row>
    <row r="262" spans="1:19" hidden="1">
      <c r="A262" s="9">
        <v>2025</v>
      </c>
      <c r="B262" s="19">
        <v>39</v>
      </c>
      <c r="C262" s="3" t="s">
        <v>18</v>
      </c>
      <c r="D262" s="3" t="s">
        <v>15</v>
      </c>
      <c r="E262" s="3" t="s">
        <v>16</v>
      </c>
      <c r="F262" s="3" t="s">
        <v>22</v>
      </c>
      <c r="G262" s="3" t="str">
        <f t="shared" si="9"/>
        <v>026PALOMA</v>
      </c>
      <c r="H262" s="3">
        <v>5150</v>
      </c>
      <c r="I262" s="3">
        <v>6805</v>
      </c>
      <c r="J262" s="3">
        <v>5173</v>
      </c>
      <c r="K262" s="3">
        <v>2852.5250000000001</v>
      </c>
      <c r="L262" s="3">
        <v>20800</v>
      </c>
      <c r="M262" s="3">
        <v>12</v>
      </c>
      <c r="N262" s="3">
        <v>14.003096539162122</v>
      </c>
      <c r="O262" s="3">
        <v>14.246265938069232</v>
      </c>
      <c r="P262" s="3">
        <v>13.765573770491811</v>
      </c>
      <c r="Q262" s="16">
        <f t="shared" si="10"/>
        <v>1.805418006853577</v>
      </c>
      <c r="R262" s="10">
        <v>5558.1968499722016</v>
      </c>
      <c r="S262" s="12">
        <f t="shared" si="11"/>
        <v>-7.9261524266446906E-2</v>
      </c>
    </row>
    <row r="263" spans="1:19" hidden="1">
      <c r="A263" s="9">
        <v>2025</v>
      </c>
      <c r="B263" s="19">
        <v>40</v>
      </c>
      <c r="C263" s="3" t="s">
        <v>18</v>
      </c>
      <c r="D263" s="3" t="s">
        <v>15</v>
      </c>
      <c r="E263" s="3" t="s">
        <v>16</v>
      </c>
      <c r="F263" s="3" t="s">
        <v>22</v>
      </c>
      <c r="G263" s="3" t="str">
        <f t="shared" si="9"/>
        <v>026PALOMA</v>
      </c>
      <c r="H263" s="3">
        <v>6200</v>
      </c>
      <c r="I263" s="3">
        <v>7233</v>
      </c>
      <c r="J263" s="3">
        <v>7383</v>
      </c>
      <c r="K263" s="3">
        <v>2852.5250000000001</v>
      </c>
      <c r="L263" s="3">
        <v>20800</v>
      </c>
      <c r="M263" s="3">
        <v>12</v>
      </c>
      <c r="N263" s="3">
        <v>12.843362831858405</v>
      </c>
      <c r="O263" s="3">
        <v>13.098407079646016</v>
      </c>
      <c r="P263" s="3">
        <v>12.592743362831856</v>
      </c>
      <c r="Q263" s="16">
        <f t="shared" si="10"/>
        <v>2.1735129402897431</v>
      </c>
      <c r="R263" s="10">
        <v>6680.531130843865</v>
      </c>
      <c r="S263" s="12">
        <f t="shared" si="11"/>
        <v>-7.7505021103849187E-2</v>
      </c>
    </row>
    <row r="264" spans="1:19" hidden="1">
      <c r="A264" s="9">
        <v>2025</v>
      </c>
      <c r="B264" s="19">
        <v>41</v>
      </c>
      <c r="C264" s="3" t="s">
        <v>18</v>
      </c>
      <c r="D264" s="3" t="s">
        <v>15</v>
      </c>
      <c r="E264" s="3" t="s">
        <v>16</v>
      </c>
      <c r="F264" s="3" t="s">
        <v>22</v>
      </c>
      <c r="G264" s="3" t="str">
        <f t="shared" si="9"/>
        <v>026PALOMA</v>
      </c>
      <c r="H264" s="3">
        <v>4250</v>
      </c>
      <c r="I264" s="3">
        <v>6642</v>
      </c>
      <c r="J264" s="3">
        <v>7887</v>
      </c>
      <c r="K264" s="3">
        <v>2852.5250000000001</v>
      </c>
      <c r="L264" s="3">
        <v>20800</v>
      </c>
      <c r="M264" s="3">
        <v>12</v>
      </c>
      <c r="N264" s="3">
        <v>13.871347248576845</v>
      </c>
      <c r="O264" s="3">
        <v>14.103605313092977</v>
      </c>
      <c r="P264" s="3">
        <v>13.632258064516128</v>
      </c>
      <c r="Q264" s="16">
        <f t="shared" si="10"/>
        <v>1.4899080639082918</v>
      </c>
      <c r="R264" s="10">
        <v>4558.1495195268326</v>
      </c>
      <c r="S264" s="12">
        <f t="shared" si="11"/>
        <v>-7.2505769300431192E-2</v>
      </c>
    </row>
    <row r="265" spans="1:19" hidden="1">
      <c r="A265" s="9">
        <v>2025</v>
      </c>
      <c r="B265" s="19">
        <v>42</v>
      </c>
      <c r="C265" s="3" t="s">
        <v>18</v>
      </c>
      <c r="D265" s="3" t="s">
        <v>15</v>
      </c>
      <c r="E265" s="3" t="s">
        <v>16</v>
      </c>
      <c r="F265" s="3" t="s">
        <v>22</v>
      </c>
      <c r="G265" s="3" t="str">
        <f t="shared" si="9"/>
        <v>026PALOMA</v>
      </c>
      <c r="H265" s="3">
        <v>4925</v>
      </c>
      <c r="I265" s="3">
        <v>5843</v>
      </c>
      <c r="J265" s="3">
        <v>6763</v>
      </c>
      <c r="K265" s="3">
        <v>2852.5250000000001</v>
      </c>
      <c r="L265" s="3">
        <v>20800</v>
      </c>
      <c r="M265" s="3">
        <v>12</v>
      </c>
      <c r="N265" s="3">
        <v>12.518382352941172</v>
      </c>
      <c r="O265" s="3">
        <v>12.743627450980384</v>
      </c>
      <c r="P265" s="3">
        <v>12.293382352941165</v>
      </c>
      <c r="Q265" s="16">
        <f t="shared" si="10"/>
        <v>1.7265405211172558</v>
      </c>
      <c r="R265" s="10">
        <v>5228.9843716157511</v>
      </c>
      <c r="S265" s="12">
        <f t="shared" si="11"/>
        <v>-6.1722715048883478E-2</v>
      </c>
    </row>
    <row r="266" spans="1:19" hidden="1">
      <c r="A266" s="9">
        <v>2025</v>
      </c>
      <c r="B266" s="19">
        <v>43</v>
      </c>
      <c r="C266" s="3" t="s">
        <v>18</v>
      </c>
      <c r="D266" s="3" t="s">
        <v>15</v>
      </c>
      <c r="E266" s="3" t="s">
        <v>16</v>
      </c>
      <c r="F266" s="3" t="s">
        <v>22</v>
      </c>
      <c r="G266" s="3" t="str">
        <f t="shared" si="9"/>
        <v>026PALOMA</v>
      </c>
      <c r="H266" s="3">
        <v>4100</v>
      </c>
      <c r="I266" s="3">
        <v>4403</v>
      </c>
      <c r="J266" s="3">
        <v>6361</v>
      </c>
      <c r="K266" s="3">
        <v>2852.5250000000001</v>
      </c>
      <c r="L266" s="3">
        <v>20800</v>
      </c>
      <c r="M266" s="3">
        <v>12</v>
      </c>
      <c r="N266" s="3">
        <v>14.965141612200448</v>
      </c>
      <c r="O266" s="3">
        <v>15.249019607843142</v>
      </c>
      <c r="P266" s="3">
        <v>14.683006535947717</v>
      </c>
      <c r="Q266" s="16">
        <f t="shared" si="10"/>
        <v>1.4373230734174109</v>
      </c>
      <c r="R266" s="10">
        <v>4440.6750757161008</v>
      </c>
      <c r="S266" s="12">
        <f t="shared" si="11"/>
        <v>-8.3091481881975793E-2</v>
      </c>
    </row>
    <row r="267" spans="1:19" hidden="1">
      <c r="A267" s="9">
        <v>2025</v>
      </c>
      <c r="B267" s="19">
        <v>44</v>
      </c>
      <c r="C267" s="3" t="s">
        <v>18</v>
      </c>
      <c r="D267" s="3" t="s">
        <v>15</v>
      </c>
      <c r="E267" s="3" t="s">
        <v>16</v>
      </c>
      <c r="F267" s="3" t="s">
        <v>22</v>
      </c>
      <c r="G267" s="3" t="str">
        <f t="shared" si="9"/>
        <v>026PALOMA</v>
      </c>
      <c r="H267" s="3">
        <v>6325</v>
      </c>
      <c r="I267" s="3">
        <v>4594</v>
      </c>
      <c r="J267" s="3">
        <v>4636</v>
      </c>
      <c r="K267" s="3">
        <v>2852.5250000000001</v>
      </c>
      <c r="L267" s="3">
        <v>20800</v>
      </c>
      <c r="M267" s="3">
        <v>12</v>
      </c>
      <c r="N267" s="3">
        <v>14.073262839879131</v>
      </c>
      <c r="O267" s="3">
        <v>14.296978851963752</v>
      </c>
      <c r="P267" s="3">
        <v>13.846676737160124</v>
      </c>
      <c r="Q267" s="16">
        <f t="shared" si="10"/>
        <v>2.2173337656988106</v>
      </c>
      <c r="R267" s="10">
        <v>6740.1286593050108</v>
      </c>
      <c r="S267" s="12">
        <f t="shared" si="11"/>
        <v>-6.5632989613440454E-2</v>
      </c>
    </row>
    <row r="268" spans="1:19" hidden="1">
      <c r="A268" s="9">
        <v>2025</v>
      </c>
      <c r="B268" s="19">
        <v>45</v>
      </c>
      <c r="C268" s="3" t="s">
        <v>18</v>
      </c>
      <c r="D268" s="3" t="s">
        <v>15</v>
      </c>
      <c r="E268" s="3" t="s">
        <v>16</v>
      </c>
      <c r="F268" s="3" t="s">
        <v>22</v>
      </c>
      <c r="G268" s="3" t="str">
        <f t="shared" si="9"/>
        <v>026PALOMA</v>
      </c>
      <c r="H268" s="3">
        <v>4475</v>
      </c>
      <c r="I268" s="3">
        <v>5542</v>
      </c>
      <c r="J268" s="3">
        <v>4450</v>
      </c>
      <c r="K268" s="3">
        <v>2852.5250000000001</v>
      </c>
      <c r="L268" s="3">
        <v>20800</v>
      </c>
      <c r="M268" s="3">
        <v>12</v>
      </c>
      <c r="N268" s="3">
        <v>14.836850152905189</v>
      </c>
      <c r="O268" s="3">
        <v>15.074923547400614</v>
      </c>
      <c r="P268" s="3">
        <v>14.594495412844042</v>
      </c>
      <c r="Q268" s="16">
        <f t="shared" si="10"/>
        <v>1.568785549644613</v>
      </c>
      <c r="R268" s="10">
        <v>4793.024568973321</v>
      </c>
      <c r="S268" s="12">
        <f t="shared" si="11"/>
        <v>-7.1066942787334317E-2</v>
      </c>
    </row>
    <row r="269" spans="1:19" hidden="1">
      <c r="A269" s="9">
        <v>2025</v>
      </c>
      <c r="B269" s="19">
        <v>46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9"/>
        <v>026PALOMA</v>
      </c>
      <c r="H269" s="3">
        <v>3575</v>
      </c>
      <c r="I269" s="3">
        <v>6023</v>
      </c>
      <c r="J269" s="3">
        <v>4931</v>
      </c>
      <c r="K269" s="3">
        <v>2852.5250000000001</v>
      </c>
      <c r="L269" s="3">
        <v>20800</v>
      </c>
      <c r="M269" s="3">
        <v>12</v>
      </c>
      <c r="N269" s="3">
        <v>14.582800608828016</v>
      </c>
      <c r="O269" s="3">
        <v>14.816590563165887</v>
      </c>
      <c r="P269" s="3">
        <v>14.359512937595126</v>
      </c>
      <c r="Q269" s="16">
        <f t="shared" si="10"/>
        <v>1.2532756066993278</v>
      </c>
      <c r="R269" s="10">
        <v>3863.06175229875</v>
      </c>
      <c r="S269" s="12">
        <f t="shared" si="11"/>
        <v>-8.0576713929720267E-2</v>
      </c>
    </row>
    <row r="270" spans="1:19" hidden="1">
      <c r="A270" s="9">
        <v>2025</v>
      </c>
      <c r="B270" s="19">
        <v>47</v>
      </c>
      <c r="C270" s="3" t="s">
        <v>18</v>
      </c>
      <c r="D270" s="3" t="s">
        <v>15</v>
      </c>
      <c r="E270" s="3" t="s">
        <v>16</v>
      </c>
      <c r="F270" s="3" t="s">
        <v>22</v>
      </c>
      <c r="G270" s="3" t="str">
        <f t="shared" si="9"/>
        <v>026PALOMA</v>
      </c>
      <c r="H270" s="3">
        <v>5050</v>
      </c>
      <c r="I270" s="3">
        <v>4970</v>
      </c>
      <c r="J270" s="3">
        <v>5245</v>
      </c>
      <c r="K270" s="3">
        <v>2852.5250000000001</v>
      </c>
      <c r="L270" s="3">
        <v>20800</v>
      </c>
      <c r="M270" s="3">
        <v>12</v>
      </c>
      <c r="N270" s="3">
        <v>14.756838905775062</v>
      </c>
      <c r="O270" s="3">
        <v>15.013829787234029</v>
      </c>
      <c r="P270" s="3">
        <v>14.501519756838901</v>
      </c>
      <c r="Q270" s="16">
        <f t="shared" si="10"/>
        <v>1.770361346526323</v>
      </c>
      <c r="R270" s="10">
        <v>5450.5998528525743</v>
      </c>
      <c r="S270" s="12">
        <f t="shared" si="11"/>
        <v>-7.9326703535163218E-2</v>
      </c>
    </row>
    <row r="271" spans="1:19" hidden="1">
      <c r="A271" s="9">
        <v>2025</v>
      </c>
      <c r="B271" s="19">
        <v>48</v>
      </c>
      <c r="C271" s="3" t="s">
        <v>18</v>
      </c>
      <c r="D271" s="3" t="s">
        <v>15</v>
      </c>
      <c r="E271" s="3" t="s">
        <v>16</v>
      </c>
      <c r="F271" s="3" t="s">
        <v>22</v>
      </c>
      <c r="G271" s="3" t="str">
        <f t="shared" ref="G271:G338" si="12">+E271&amp;F271</f>
        <v>026PALOMA</v>
      </c>
      <c r="H271" s="3">
        <v>5300</v>
      </c>
      <c r="I271" s="3">
        <v>4530</v>
      </c>
      <c r="J271" s="3">
        <v>4463</v>
      </c>
      <c r="K271" s="3">
        <v>2852.5250000000001</v>
      </c>
      <c r="L271" s="3">
        <v>20800</v>
      </c>
      <c r="M271" s="3">
        <v>12</v>
      </c>
      <c r="N271" s="3">
        <v>14.30164670658683</v>
      </c>
      <c r="O271" s="3">
        <v>14.475149700598816</v>
      </c>
      <c r="P271" s="3">
        <v>14.12919161676647</v>
      </c>
      <c r="Q271" s="16">
        <f t="shared" ref="Q271:Q338" si="13">+H271/K271</f>
        <v>1.8580029973444578</v>
      </c>
      <c r="R271" s="10">
        <v>5695.2919204085629</v>
      </c>
      <c r="S271" s="12">
        <f t="shared" ref="S271:S338" si="14">+(H271-R271)/H271</f>
        <v>-7.4583381209162802E-2</v>
      </c>
    </row>
    <row r="272" spans="1:19" hidden="1">
      <c r="A272" s="9">
        <v>2025</v>
      </c>
      <c r="B272" s="19">
        <v>49</v>
      </c>
      <c r="C272" s="3" t="s">
        <v>18</v>
      </c>
      <c r="D272" s="3" t="s">
        <v>15</v>
      </c>
      <c r="E272" s="3" t="s">
        <v>16</v>
      </c>
      <c r="F272" s="3" t="s">
        <v>22</v>
      </c>
      <c r="G272" s="3" t="str">
        <f t="shared" si="12"/>
        <v>026PALOMA</v>
      </c>
      <c r="H272" s="3">
        <v>4775</v>
      </c>
      <c r="I272" s="3">
        <v>5586</v>
      </c>
      <c r="J272" s="3">
        <v>5074</v>
      </c>
      <c r="K272" s="3">
        <v>2852.5250000000001</v>
      </c>
      <c r="L272" s="3">
        <v>20800</v>
      </c>
      <c r="M272" s="3">
        <v>12</v>
      </c>
      <c r="N272" s="3">
        <v>12.785714285714281</v>
      </c>
      <c r="O272" s="3">
        <v>13.009821428571421</v>
      </c>
      <c r="P272" s="3">
        <v>12.563839285714286</v>
      </c>
      <c r="Q272" s="16">
        <f t="shared" si="13"/>
        <v>1.6739555306263749</v>
      </c>
      <c r="R272" s="10">
        <v>5132.2333867213601</v>
      </c>
      <c r="S272" s="12">
        <f t="shared" si="14"/>
        <v>-7.4813274706044014E-2</v>
      </c>
    </row>
    <row r="273" spans="1:19" hidden="1">
      <c r="A273" s="9">
        <v>2025</v>
      </c>
      <c r="B273" s="19">
        <v>50</v>
      </c>
      <c r="C273" s="3" t="s">
        <v>18</v>
      </c>
      <c r="D273" s="3" t="s">
        <v>15</v>
      </c>
      <c r="E273" s="3" t="s">
        <v>16</v>
      </c>
      <c r="F273" s="3" t="s">
        <v>22</v>
      </c>
      <c r="G273" s="3" t="str">
        <f t="shared" si="12"/>
        <v>026PALOMA</v>
      </c>
      <c r="H273" s="3">
        <v>6800</v>
      </c>
      <c r="I273" s="3">
        <v>5406</v>
      </c>
      <c r="J273" s="3">
        <v>6008</v>
      </c>
      <c r="K273" s="3">
        <v>2852.5250000000001</v>
      </c>
      <c r="L273" s="3">
        <v>20800</v>
      </c>
      <c r="M273" s="3">
        <v>12</v>
      </c>
      <c r="N273" s="3">
        <v>12.562962962962962</v>
      </c>
      <c r="O273" s="3">
        <v>12.822507122507124</v>
      </c>
      <c r="P273" s="3">
        <v>12.308262108262106</v>
      </c>
      <c r="Q273" s="16">
        <f t="shared" si="13"/>
        <v>2.3838529022532668</v>
      </c>
      <c r="R273" s="10">
        <v>7481.3723750426634</v>
      </c>
      <c r="S273" s="12">
        <f t="shared" si="14"/>
        <v>-0.10020181985921521</v>
      </c>
    </row>
    <row r="274" spans="1:19" hidden="1">
      <c r="A274" s="9">
        <v>2025</v>
      </c>
      <c r="B274" s="19">
        <v>51</v>
      </c>
      <c r="C274" s="3" t="s">
        <v>18</v>
      </c>
      <c r="D274" s="3" t="s">
        <v>15</v>
      </c>
      <c r="E274" s="3" t="s">
        <v>16</v>
      </c>
      <c r="F274" s="3" t="s">
        <v>22</v>
      </c>
      <c r="G274" s="3" t="str">
        <f t="shared" si="12"/>
        <v>026PALOMA</v>
      </c>
      <c r="H274" s="3">
        <v>3825</v>
      </c>
      <c r="I274" s="3">
        <v>4857</v>
      </c>
      <c r="J274" s="3">
        <v>5141</v>
      </c>
      <c r="K274" s="3">
        <v>2852.5250000000001</v>
      </c>
      <c r="L274" s="3">
        <v>20800</v>
      </c>
      <c r="M274" s="3">
        <v>12</v>
      </c>
      <c r="N274" s="3">
        <v>14.116666666666669</v>
      </c>
      <c r="O274" s="3">
        <v>14.313541666666683</v>
      </c>
      <c r="P274" s="3">
        <v>13.918303571428599</v>
      </c>
      <c r="Q274" s="16">
        <f t="shared" si="13"/>
        <v>1.3409172575174626</v>
      </c>
      <c r="R274" s="10">
        <v>3976.6177335616849</v>
      </c>
      <c r="S274" s="12">
        <f t="shared" si="14"/>
        <v>-3.9638623153381666E-2</v>
      </c>
    </row>
    <row r="275" spans="1:19" hidden="1">
      <c r="A275" s="9">
        <v>2025</v>
      </c>
      <c r="B275" s="19">
        <v>52</v>
      </c>
      <c r="C275" s="3" t="s">
        <v>18</v>
      </c>
      <c r="D275" s="3" t="s">
        <v>15</v>
      </c>
      <c r="E275" s="3" t="s">
        <v>16</v>
      </c>
      <c r="F275" s="3" t="s">
        <v>22</v>
      </c>
      <c r="G275" s="3" t="str">
        <f t="shared" si="12"/>
        <v>026PALOMA</v>
      </c>
      <c r="H275" s="3">
        <v>5950</v>
      </c>
      <c r="I275" s="3">
        <v>6074</v>
      </c>
      <c r="J275" s="3">
        <v>5011</v>
      </c>
      <c r="K275" s="3">
        <v>2852.5250000000001</v>
      </c>
      <c r="L275" s="3">
        <v>20800</v>
      </c>
      <c r="M275" s="3">
        <v>12</v>
      </c>
      <c r="N275" s="3">
        <v>14.780803571428551</v>
      </c>
      <c r="O275" s="3">
        <v>14.962351190476202</v>
      </c>
      <c r="P275" s="3">
        <v>14.597619047619043</v>
      </c>
      <c r="Q275" s="16">
        <f t="shared" si="13"/>
        <v>2.0858712894716085</v>
      </c>
      <c r="R275" s="10">
        <v>6451.7544783354924</v>
      </c>
      <c r="S275" s="12">
        <f t="shared" si="14"/>
        <v>-8.4328483753864272E-2</v>
      </c>
    </row>
    <row r="276" spans="1:19" hidden="1">
      <c r="A276" s="9">
        <v>2026</v>
      </c>
      <c r="B276" s="19">
        <v>1</v>
      </c>
      <c r="C276" s="3" t="s">
        <v>18</v>
      </c>
      <c r="D276" s="3" t="s">
        <v>15</v>
      </c>
      <c r="E276" s="3" t="s">
        <v>16</v>
      </c>
      <c r="F276" s="3" t="s">
        <v>22</v>
      </c>
      <c r="G276" s="3" t="str">
        <f t="shared" si="12"/>
        <v>026PALOMA</v>
      </c>
      <c r="H276" s="3">
        <v>7325</v>
      </c>
      <c r="I276" s="3">
        <v>5629</v>
      </c>
      <c r="J276" s="3">
        <v>6473</v>
      </c>
      <c r="K276" s="3">
        <v>2852.5250000000001</v>
      </c>
      <c r="L276" s="3">
        <v>20800</v>
      </c>
      <c r="M276" s="3">
        <v>12</v>
      </c>
      <c r="N276" s="3">
        <v>13.975520833333354</v>
      </c>
      <c r="O276" s="3">
        <v>14.218750000000002</v>
      </c>
      <c r="P276" s="3">
        <v>13.740624999999994</v>
      </c>
      <c r="Q276" s="16">
        <f t="shared" si="13"/>
        <v>2.5679003689713498</v>
      </c>
      <c r="R276" s="10">
        <v>7926.6918005434209</v>
      </c>
      <c r="S276" s="12">
        <f t="shared" si="14"/>
        <v>-8.2142225330159843E-2</v>
      </c>
    </row>
    <row r="277" spans="1:19" hidden="1">
      <c r="A277" s="9">
        <v>2026</v>
      </c>
      <c r="B277" s="19">
        <v>2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12"/>
        <v>026PALOMA</v>
      </c>
      <c r="H277" s="3">
        <v>4675</v>
      </c>
      <c r="I277" s="3">
        <v>7372</v>
      </c>
      <c r="J277" s="3">
        <v>7372</v>
      </c>
      <c r="K277" s="3">
        <v>2852.5250000000001</v>
      </c>
      <c r="L277" s="3">
        <v>20800</v>
      </c>
      <c r="M277" s="3">
        <v>12</v>
      </c>
      <c r="N277" s="3">
        <v>13.445535714285695</v>
      </c>
      <c r="O277" s="3">
        <v>13.624255952380969</v>
      </c>
      <c r="P277" s="3">
        <v>13.274851190476191</v>
      </c>
      <c r="Q277" s="16">
        <f t="shared" si="13"/>
        <v>1.638898870299121</v>
      </c>
      <c r="R277" s="10">
        <v>5116.4475621549309</v>
      </c>
      <c r="S277" s="12">
        <f t="shared" si="14"/>
        <v>-9.4427286022445114E-2</v>
      </c>
    </row>
    <row r="278" spans="1:19" hidden="1">
      <c r="A278" s="9">
        <v>2026</v>
      </c>
      <c r="B278" s="19">
        <v>3</v>
      </c>
      <c r="C278" s="3" t="s">
        <v>18</v>
      </c>
      <c r="D278" s="3" t="s">
        <v>15</v>
      </c>
      <c r="E278" s="3" t="s">
        <v>16</v>
      </c>
      <c r="F278" s="3" t="s">
        <v>22</v>
      </c>
      <c r="G278" s="3" t="str">
        <f t="shared" si="12"/>
        <v>026PALOMA</v>
      </c>
      <c r="H278" s="3">
        <v>7425</v>
      </c>
      <c r="I278" s="3">
        <v>6909</v>
      </c>
      <c r="J278" s="3">
        <v>6909</v>
      </c>
      <c r="K278" s="3">
        <v>2852.5250000000001</v>
      </c>
      <c r="L278" s="3">
        <v>20800</v>
      </c>
      <c r="M278" s="3">
        <v>12</v>
      </c>
      <c r="N278" s="3">
        <v>14.266517857142849</v>
      </c>
      <c r="O278" s="3">
        <v>14.450297619047618</v>
      </c>
      <c r="P278" s="3">
        <v>14.083184523809532</v>
      </c>
      <c r="Q278" s="16">
        <f t="shared" si="13"/>
        <v>2.602957029298604</v>
      </c>
      <c r="R278" s="10">
        <v>8121.4389407589488</v>
      </c>
      <c r="S278" s="12">
        <f t="shared" si="14"/>
        <v>-9.3796490337905561E-2</v>
      </c>
    </row>
    <row r="279" spans="1:19" hidden="1">
      <c r="A279" s="9">
        <v>2026</v>
      </c>
      <c r="B279" s="19">
        <v>4</v>
      </c>
      <c r="C279" s="3" t="s">
        <v>18</v>
      </c>
      <c r="D279" s="3" t="s">
        <v>15</v>
      </c>
      <c r="E279" s="3" t="s">
        <v>16</v>
      </c>
      <c r="F279" s="3" t="s">
        <v>22</v>
      </c>
      <c r="G279" s="3" t="str">
        <f t="shared" si="12"/>
        <v>026PALOMA</v>
      </c>
      <c r="H279" s="3">
        <v>8275</v>
      </c>
      <c r="I279" s="3">
        <v>8726</v>
      </c>
      <c r="J279" s="3">
        <v>8726</v>
      </c>
      <c r="K279" s="3">
        <v>2852.5250000000001</v>
      </c>
      <c r="L279" s="3">
        <v>20800</v>
      </c>
      <c r="M279" s="3">
        <v>12</v>
      </c>
      <c r="N279" s="3">
        <v>13.962351190476189</v>
      </c>
      <c r="O279" s="3">
        <v>14.126636904761922</v>
      </c>
      <c r="P279" s="3">
        <v>13.802083333333345</v>
      </c>
      <c r="Q279" s="16">
        <f t="shared" si="13"/>
        <v>2.9009386420802623</v>
      </c>
      <c r="R279" s="10">
        <v>8908.422728247604</v>
      </c>
      <c r="S279" s="12">
        <f t="shared" si="14"/>
        <v>-7.6546553262550332E-2</v>
      </c>
    </row>
    <row r="280" spans="1:19" hidden="1">
      <c r="A280" s="9">
        <v>2026</v>
      </c>
      <c r="B280" s="19">
        <v>5</v>
      </c>
      <c r="C280" s="3" t="s">
        <v>18</v>
      </c>
      <c r="D280" s="3" t="s">
        <v>15</v>
      </c>
      <c r="E280" s="3" t="s">
        <v>16</v>
      </c>
      <c r="F280" s="3" t="s">
        <v>22</v>
      </c>
      <c r="G280" s="3" t="str">
        <f t="shared" si="12"/>
        <v>026PALOMA</v>
      </c>
      <c r="H280" s="3">
        <v>11325</v>
      </c>
      <c r="I280" s="3">
        <v>9612</v>
      </c>
      <c r="J280" s="3">
        <v>9612</v>
      </c>
      <c r="K280" s="3">
        <v>2852.5250000000001</v>
      </c>
      <c r="L280" s="4">
        <v>20800</v>
      </c>
      <c r="M280" s="3">
        <v>12</v>
      </c>
      <c r="N280" s="4">
        <v>13.891220238095249</v>
      </c>
      <c r="O280" s="4">
        <v>14.021428571428576</v>
      </c>
      <c r="P280" s="4">
        <v>13.768154761904773</v>
      </c>
      <c r="Q280" s="16">
        <f t="shared" si="13"/>
        <v>3.970166782061507</v>
      </c>
      <c r="R280" s="10">
        <v>9801.8825135555544</v>
      </c>
      <c r="S280" s="12">
        <f t="shared" si="14"/>
        <v>0.13449161028207024</v>
      </c>
    </row>
    <row r="281" spans="1:19" hidden="1">
      <c r="A281" s="9">
        <v>2026</v>
      </c>
      <c r="B281" s="19">
        <v>6</v>
      </c>
      <c r="C281" s="3" t="s">
        <v>18</v>
      </c>
      <c r="D281" s="3" t="s">
        <v>15</v>
      </c>
      <c r="E281" s="3" t="s">
        <v>16</v>
      </c>
      <c r="F281" s="3" t="s">
        <v>22</v>
      </c>
      <c r="G281" s="3" t="str">
        <f t="shared" si="12"/>
        <v>026PALOMA</v>
      </c>
      <c r="H281" s="3">
        <v>2900</v>
      </c>
      <c r="I281" s="3">
        <v>8911</v>
      </c>
      <c r="J281" s="3">
        <v>8911</v>
      </c>
      <c r="K281" s="3">
        <v>2852.5250000000001</v>
      </c>
      <c r="L281" s="3">
        <v>20800</v>
      </c>
      <c r="M281" s="3">
        <v>12</v>
      </c>
      <c r="N281" s="4">
        <v>13.608779761904751</v>
      </c>
      <c r="O281" s="4">
        <v>13.751190476190473</v>
      </c>
      <c r="P281" s="4">
        <v>13.467410714285698</v>
      </c>
      <c r="Q281" s="16">
        <f t="shared" si="13"/>
        <v>1.0166431494903638</v>
      </c>
      <c r="R281" s="10">
        <v>3579.6161734211878</v>
      </c>
      <c r="S281" s="12">
        <f t="shared" si="14"/>
        <v>-0.23435040462799578</v>
      </c>
    </row>
    <row r="282" spans="1:19" hidden="1">
      <c r="A282" s="9">
        <v>2026</v>
      </c>
      <c r="B282" s="19">
        <v>7</v>
      </c>
      <c r="C282" s="3" t="s">
        <v>18</v>
      </c>
      <c r="D282" s="3" t="s">
        <v>15</v>
      </c>
      <c r="E282" s="3" t="s">
        <v>16</v>
      </c>
      <c r="F282" s="3" t="s">
        <v>22</v>
      </c>
      <c r="G282" s="3" t="str">
        <f t="shared" si="12"/>
        <v>026PALOMA</v>
      </c>
      <c r="H282" s="3">
        <v>4475</v>
      </c>
      <c r="I282" s="3">
        <v>6553</v>
      </c>
      <c r="J282" s="3">
        <v>6553</v>
      </c>
      <c r="K282" s="3">
        <v>2852.5250000000001</v>
      </c>
      <c r="L282" s="3">
        <v>20800</v>
      </c>
      <c r="M282" s="3">
        <v>12</v>
      </c>
      <c r="N282" s="3">
        <v>13.648136645962733</v>
      </c>
      <c r="O282" s="3">
        <v>13.84565217391305</v>
      </c>
      <c r="P282" s="3">
        <v>13.459316770186343</v>
      </c>
      <c r="Q282" s="16">
        <f t="shared" si="13"/>
        <v>1.568785549644613</v>
      </c>
      <c r="R282" s="10">
        <v>4793.024568973321</v>
      </c>
      <c r="S282" s="12">
        <f t="shared" si="14"/>
        <v>-7.1066942787334317E-2</v>
      </c>
    </row>
    <row r="283" spans="1:19" hidden="1">
      <c r="A283" s="9">
        <v>2026</v>
      </c>
      <c r="B283" s="19">
        <v>8</v>
      </c>
      <c r="C283" s="3" t="s">
        <v>18</v>
      </c>
      <c r="D283" s="3" t="s">
        <v>15</v>
      </c>
      <c r="E283" s="3" t="s">
        <v>16</v>
      </c>
      <c r="F283" s="3" t="s">
        <v>22</v>
      </c>
      <c r="G283" s="3" t="str">
        <f t="shared" si="12"/>
        <v>026PALOMA</v>
      </c>
      <c r="H283" s="3">
        <v>4200</v>
      </c>
      <c r="I283" s="3">
        <v>2610</v>
      </c>
      <c r="J283" s="3">
        <v>4770</v>
      </c>
      <c r="K283" s="3">
        <v>2852.5250000000001</v>
      </c>
      <c r="L283" s="3">
        <v>20800</v>
      </c>
      <c r="M283" s="3">
        <v>12</v>
      </c>
      <c r="N283" s="3">
        <v>13.817410714285709</v>
      </c>
      <c r="O283" s="3">
        <v>13.988244047619043</v>
      </c>
      <c r="P283" s="3">
        <v>13.654017857142849</v>
      </c>
      <c r="Q283" s="16">
        <f t="shared" si="13"/>
        <v>1.4723797337446647</v>
      </c>
      <c r="R283" s="10">
        <v>4518.1109933497946</v>
      </c>
      <c r="S283" s="12">
        <f t="shared" si="14"/>
        <v>-7.5740712702332055E-2</v>
      </c>
    </row>
    <row r="284" spans="1:19" hidden="1">
      <c r="A284" s="9">
        <v>2026</v>
      </c>
      <c r="B284" s="19">
        <v>9</v>
      </c>
      <c r="C284" s="3" t="s">
        <v>18</v>
      </c>
      <c r="D284" s="3" t="s">
        <v>15</v>
      </c>
      <c r="E284" s="3" t="s">
        <v>16</v>
      </c>
      <c r="F284" s="3" t="s">
        <v>22</v>
      </c>
      <c r="G284" s="3" t="str">
        <f t="shared" si="12"/>
        <v>026PALOMA</v>
      </c>
      <c r="H284" s="3">
        <v>4075</v>
      </c>
      <c r="I284" s="3">
        <v>4667</v>
      </c>
      <c r="J284" s="3">
        <v>2465</v>
      </c>
      <c r="K284" s="3">
        <v>2852.5250000000001</v>
      </c>
      <c r="L284" s="3">
        <v>20800</v>
      </c>
      <c r="M284" s="3">
        <v>12</v>
      </c>
      <c r="N284" s="3">
        <v>14.133506944444456</v>
      </c>
      <c r="O284" s="3">
        <v>14.297569444444438</v>
      </c>
      <c r="P284" s="3">
        <v>13.967881944444436</v>
      </c>
      <c r="Q284" s="16">
        <f t="shared" si="13"/>
        <v>1.4285589083355974</v>
      </c>
      <c r="R284" s="10">
        <v>4440.6750757161008</v>
      </c>
      <c r="S284" s="12">
        <f t="shared" si="14"/>
        <v>-8.9736214899656636E-2</v>
      </c>
    </row>
    <row r="285" spans="1:19" hidden="1">
      <c r="A285" s="9">
        <v>2026</v>
      </c>
      <c r="B285" s="20">
        <v>10</v>
      </c>
      <c r="C285" s="5" t="s">
        <v>18</v>
      </c>
      <c r="D285" s="5" t="s">
        <v>15</v>
      </c>
      <c r="E285" s="5" t="s">
        <v>16</v>
      </c>
      <c r="F285" s="5" t="s">
        <v>22</v>
      </c>
      <c r="G285" s="3" t="str">
        <f t="shared" si="12"/>
        <v>026PALOMA</v>
      </c>
      <c r="H285" s="6">
        <v>7875</v>
      </c>
      <c r="I285" s="6">
        <v>5042</v>
      </c>
      <c r="J285" s="6">
        <v>4968</v>
      </c>
      <c r="K285" s="3">
        <v>2852.5250000000001</v>
      </c>
      <c r="L285" s="3">
        <v>20800</v>
      </c>
      <c r="M285" s="3">
        <v>12</v>
      </c>
      <c r="N285" s="3">
        <v>15.017410714285699</v>
      </c>
      <c r="O285" s="3">
        <v>15.20238095238096</v>
      </c>
      <c r="P285" s="3">
        <v>14.836011904761907</v>
      </c>
      <c r="Q285" s="16">
        <f t="shared" si="13"/>
        <v>2.7607120007712465</v>
      </c>
      <c r="R285" s="10">
        <v>8908.422728247604</v>
      </c>
      <c r="S285" s="12">
        <f t="shared" si="14"/>
        <v>-0.1312282829520767</v>
      </c>
    </row>
    <row r="286" spans="1:19" hidden="1">
      <c r="A286" s="9">
        <v>2026</v>
      </c>
      <c r="B286" s="20">
        <v>11</v>
      </c>
      <c r="C286" s="5" t="s">
        <v>18</v>
      </c>
      <c r="D286" s="5" t="s">
        <v>15</v>
      </c>
      <c r="E286" s="5" t="s">
        <v>16</v>
      </c>
      <c r="F286" s="5" t="s">
        <v>22</v>
      </c>
      <c r="G286" s="3" t="str">
        <f t="shared" si="12"/>
        <v>026PALOMA</v>
      </c>
      <c r="H286" s="6">
        <v>4425</v>
      </c>
      <c r="I286" s="6">
        <v>5517</v>
      </c>
      <c r="J286" s="6">
        <v>5331</v>
      </c>
      <c r="K286" s="3">
        <v>2852.5250000000001</v>
      </c>
      <c r="L286" s="3">
        <v>20800</v>
      </c>
      <c r="M286" s="3">
        <v>12</v>
      </c>
      <c r="N286" s="3">
        <v>14.47744360902257</v>
      </c>
      <c r="O286" s="3">
        <v>14.635488721804517</v>
      </c>
      <c r="P286" s="3">
        <v>14.324360902255648</v>
      </c>
      <c r="Q286" s="16">
        <f t="shared" si="13"/>
        <v>1.5512572194809862</v>
      </c>
      <c r="R286" s="10">
        <v>4774.5455941300479</v>
      </c>
      <c r="S286" s="12">
        <f t="shared" si="14"/>
        <v>-7.8993354605660537E-2</v>
      </c>
    </row>
    <row r="287" spans="1:19" hidden="1">
      <c r="A287" s="9">
        <v>2026</v>
      </c>
      <c r="B287" s="20">
        <v>12</v>
      </c>
      <c r="C287" s="5" t="s">
        <v>18</v>
      </c>
      <c r="D287" s="5" t="s">
        <v>15</v>
      </c>
      <c r="E287" s="5" t="s">
        <v>16</v>
      </c>
      <c r="F287" s="5" t="s">
        <v>22</v>
      </c>
      <c r="G287" s="3" t="str">
        <f t="shared" si="12"/>
        <v>026PALOMA</v>
      </c>
      <c r="H287" s="6">
        <v>4750</v>
      </c>
      <c r="I287" s="6">
        <v>5240</v>
      </c>
      <c r="J287" s="6">
        <v>5240</v>
      </c>
      <c r="K287" s="3">
        <v>2852.5250000000001</v>
      </c>
      <c r="L287" s="3">
        <v>20800</v>
      </c>
      <c r="M287" s="3">
        <v>12</v>
      </c>
      <c r="N287" s="3">
        <v>13.68377976190477</v>
      </c>
      <c r="O287" s="3">
        <v>13.892410714285713</v>
      </c>
      <c r="P287" s="3">
        <v>13.471130952380953</v>
      </c>
      <c r="Q287" s="16">
        <f t="shared" si="13"/>
        <v>1.6651913655445614</v>
      </c>
      <c r="R287" s="10">
        <v>5132.2333867213601</v>
      </c>
      <c r="S287" s="12">
        <f t="shared" si="14"/>
        <v>-8.047018667818108E-2</v>
      </c>
    </row>
    <row r="288" spans="1:19" hidden="1">
      <c r="A288" s="9">
        <v>2026</v>
      </c>
      <c r="B288" s="20">
        <v>13</v>
      </c>
      <c r="C288" s="5" t="s">
        <v>18</v>
      </c>
      <c r="D288" s="5" t="s">
        <v>15</v>
      </c>
      <c r="E288" s="5" t="s">
        <v>16</v>
      </c>
      <c r="F288" s="5" t="s">
        <v>22</v>
      </c>
      <c r="G288" s="3" t="str">
        <f t="shared" si="12"/>
        <v>026PALOMA</v>
      </c>
      <c r="H288" s="6">
        <v>8550</v>
      </c>
      <c r="I288" s="6">
        <v>5754</v>
      </c>
      <c r="J288" s="6">
        <v>5754</v>
      </c>
      <c r="K288" s="3">
        <v>2852.5250000000001</v>
      </c>
      <c r="L288" s="3">
        <v>20800</v>
      </c>
      <c r="M288" s="3">
        <v>12</v>
      </c>
      <c r="N288" s="3">
        <v>14.021726190476178</v>
      </c>
      <c r="O288" s="3">
        <v>14.186755952380958</v>
      </c>
      <c r="P288" s="3">
        <v>13.861755952380944</v>
      </c>
      <c r="Q288" s="16">
        <f t="shared" si="13"/>
        <v>2.9973444579802102</v>
      </c>
      <c r="R288" s="10">
        <v>8908.422728247604</v>
      </c>
      <c r="S288" s="12">
        <f t="shared" si="14"/>
        <v>-4.1920786929544332E-2</v>
      </c>
    </row>
    <row r="289" spans="1:19" hidden="1">
      <c r="A289" s="9">
        <v>2026</v>
      </c>
      <c r="B289" s="20">
        <v>14</v>
      </c>
      <c r="C289" s="5" t="s">
        <v>18</v>
      </c>
      <c r="D289" s="5" t="s">
        <v>15</v>
      </c>
      <c r="E289" s="5" t="s">
        <v>16</v>
      </c>
      <c r="F289" s="5" t="s">
        <v>22</v>
      </c>
      <c r="G289" s="3" t="str">
        <f t="shared" si="12"/>
        <v>026PALOMA</v>
      </c>
      <c r="H289" s="6">
        <v>4950</v>
      </c>
      <c r="I289" s="6">
        <v>7462</v>
      </c>
      <c r="J289" s="6">
        <v>6598</v>
      </c>
      <c r="K289" s="3">
        <v>2852.5249999999992</v>
      </c>
      <c r="L289" s="3">
        <v>20800</v>
      </c>
      <c r="M289" s="3">
        <v>12</v>
      </c>
      <c r="N289" s="3">
        <v>13.443225806451611</v>
      </c>
      <c r="O289" s="3">
        <v>13.619354838709683</v>
      </c>
      <c r="P289" s="3">
        <v>13.269032258064518</v>
      </c>
      <c r="Q289" s="16">
        <f t="shared" si="13"/>
        <v>1.7353046861990697</v>
      </c>
      <c r="R289" s="10">
        <v>5227.8534816726624</v>
      </c>
      <c r="S289" s="12">
        <f t="shared" si="14"/>
        <v>-5.6132016499527752E-2</v>
      </c>
    </row>
    <row r="290" spans="1:19" hidden="1">
      <c r="A290" s="9">
        <v>2026</v>
      </c>
      <c r="B290" s="20">
        <v>15</v>
      </c>
      <c r="C290" s="5" t="s">
        <v>18</v>
      </c>
      <c r="D290" s="5" t="s">
        <v>15</v>
      </c>
      <c r="E290" s="5" t="s">
        <v>16</v>
      </c>
      <c r="F290" s="5" t="s">
        <v>22</v>
      </c>
      <c r="G290" s="3" t="str">
        <f t="shared" si="12"/>
        <v>026PALOMA</v>
      </c>
      <c r="H290" s="6">
        <v>11675</v>
      </c>
      <c r="I290" s="6">
        <v>6973</v>
      </c>
      <c r="J290" s="6">
        <v>7703</v>
      </c>
      <c r="K290" s="3">
        <v>2852.5249999999992</v>
      </c>
      <c r="L290" s="3">
        <v>20800</v>
      </c>
      <c r="M290" s="3">
        <v>12</v>
      </c>
      <c r="N290" s="3">
        <v>14.582738095238117</v>
      </c>
      <c r="O290" s="3">
        <v>14.794791666666661</v>
      </c>
      <c r="P290" s="3">
        <v>14.374404761904756</v>
      </c>
      <c r="Q290" s="16">
        <f t="shared" si="13"/>
        <v>4.0928650932068971</v>
      </c>
      <c r="R290" s="10">
        <v>9801.8825135555544</v>
      </c>
      <c r="S290" s="12">
        <f t="shared" si="14"/>
        <v>0.16043832860337864</v>
      </c>
    </row>
    <row r="291" spans="1:19" hidden="1">
      <c r="A291" s="9">
        <v>2026</v>
      </c>
      <c r="B291" s="20">
        <v>16</v>
      </c>
      <c r="C291" s="5" t="s">
        <v>18</v>
      </c>
      <c r="D291" s="5" t="s">
        <v>15</v>
      </c>
      <c r="E291" s="5" t="s">
        <v>16</v>
      </c>
      <c r="F291" s="5" t="s">
        <v>22</v>
      </c>
      <c r="G291" s="3" t="str">
        <f t="shared" si="12"/>
        <v>026PALOMA</v>
      </c>
      <c r="H291" s="6">
        <v>10775</v>
      </c>
      <c r="I291" s="6">
        <v>7111</v>
      </c>
      <c r="J291" s="6">
        <v>7111</v>
      </c>
      <c r="K291" s="3">
        <v>2852.5249999999992</v>
      </c>
      <c r="L291" s="3">
        <v>20800</v>
      </c>
      <c r="M291" s="3">
        <v>12</v>
      </c>
      <c r="N291" s="3">
        <v>14.597473997028219</v>
      </c>
      <c r="O291" s="3">
        <v>14.758098068350654</v>
      </c>
      <c r="P291" s="3">
        <v>14.440416047548274</v>
      </c>
      <c r="Q291" s="16">
        <f t="shared" si="13"/>
        <v>3.7773551502616116</v>
      </c>
      <c r="R291" s="10">
        <v>7569.4921086097665</v>
      </c>
      <c r="S291" s="13">
        <f t="shared" si="14"/>
        <v>0.29749493191556692</v>
      </c>
    </row>
    <row r="292" spans="1:19" hidden="1">
      <c r="A292" s="9">
        <v>2026</v>
      </c>
      <c r="B292" s="20">
        <v>17</v>
      </c>
      <c r="C292" s="5" t="s">
        <v>18</v>
      </c>
      <c r="D292" s="5" t="s">
        <v>15</v>
      </c>
      <c r="E292" s="5" t="s">
        <v>16</v>
      </c>
      <c r="F292" s="5" t="s">
        <v>22</v>
      </c>
      <c r="G292" s="3" t="str">
        <f t="shared" si="12"/>
        <v>026PALOMA</v>
      </c>
      <c r="H292" s="6">
        <v>7875</v>
      </c>
      <c r="I292" s="6">
        <v>9598</v>
      </c>
      <c r="J292" s="6">
        <v>9598</v>
      </c>
      <c r="K292" s="3">
        <v>2852.5249999999992</v>
      </c>
      <c r="L292" s="3">
        <v>20800</v>
      </c>
      <c r="M292" s="3">
        <v>12</v>
      </c>
      <c r="N292" s="3">
        <v>13.77291666666668</v>
      </c>
      <c r="O292" s="3">
        <v>13.952678571428605</v>
      </c>
      <c r="P292" s="3">
        <v>13.599702380952387</v>
      </c>
      <c r="Q292" s="16">
        <f t="shared" si="13"/>
        <v>2.7607120007712473</v>
      </c>
      <c r="R292" s="10">
        <v>9932.1016655195363</v>
      </c>
      <c r="S292" s="13">
        <f t="shared" si="14"/>
        <v>-0.2612192591135919</v>
      </c>
    </row>
    <row r="293" spans="1:19" hidden="1">
      <c r="A293" s="9">
        <v>2026</v>
      </c>
      <c r="B293" s="20">
        <v>18</v>
      </c>
      <c r="C293" s="5" t="s">
        <v>18</v>
      </c>
      <c r="D293" s="5" t="s">
        <v>15</v>
      </c>
      <c r="E293" s="5" t="s">
        <v>16</v>
      </c>
      <c r="F293" s="5" t="s">
        <v>22</v>
      </c>
      <c r="G293" s="3" t="str">
        <f t="shared" si="12"/>
        <v>026PALOMA</v>
      </c>
      <c r="H293" s="24">
        <v>10703</v>
      </c>
      <c r="I293" s="6">
        <v>7630</v>
      </c>
      <c r="J293" s="6">
        <v>8783</v>
      </c>
      <c r="K293" s="3">
        <v>2852.5250000000001</v>
      </c>
      <c r="L293" s="3">
        <v>20800</v>
      </c>
      <c r="M293" s="3">
        <v>12</v>
      </c>
      <c r="N293" s="3">
        <v>13.828017883755605</v>
      </c>
      <c r="O293" s="3">
        <v>14.020864381520106</v>
      </c>
      <c r="P293" s="3">
        <v>13.638748137108793</v>
      </c>
      <c r="Q293" s="16">
        <f t="shared" si="13"/>
        <v>3.7521143548259874</v>
      </c>
      <c r="R293" s="10">
        <v>9966.508700571565</v>
      </c>
      <c r="S293" s="13">
        <f t="shared" si="14"/>
        <v>6.8811669571936379E-2</v>
      </c>
    </row>
    <row r="294" spans="1:19" hidden="1">
      <c r="A294" s="9">
        <v>2026</v>
      </c>
      <c r="B294" s="19">
        <v>18</v>
      </c>
      <c r="C294" s="3" t="s">
        <v>18</v>
      </c>
      <c r="D294" s="3" t="s">
        <v>15</v>
      </c>
      <c r="E294" s="3" t="s">
        <v>16</v>
      </c>
      <c r="F294" s="3" t="s">
        <v>22</v>
      </c>
      <c r="G294" s="3" t="str">
        <f t="shared" si="12"/>
        <v>026PALOMA</v>
      </c>
      <c r="H294" s="24">
        <v>5698</v>
      </c>
      <c r="I294" s="3">
        <v>9396</v>
      </c>
      <c r="J294" s="3">
        <v>9396</v>
      </c>
      <c r="K294" s="3">
        <v>2852.5250000000001</v>
      </c>
      <c r="L294" s="3">
        <v>20800</v>
      </c>
      <c r="M294" s="3">
        <v>12</v>
      </c>
      <c r="N294" s="3">
        <v>14.483252032520339</v>
      </c>
      <c r="O294" s="3">
        <v>14.696910569105704</v>
      </c>
      <c r="P294" s="3">
        <v>14.273333333333341</v>
      </c>
      <c r="Q294" s="16">
        <f t="shared" si="13"/>
        <v>1.9975285054469285</v>
      </c>
      <c r="R294" s="24">
        <v>6745</v>
      </c>
      <c r="S294" s="12">
        <f t="shared" si="14"/>
        <v>-0.18374868374868375</v>
      </c>
    </row>
    <row r="295" spans="1:19" hidden="1">
      <c r="A295" s="9">
        <v>2026</v>
      </c>
      <c r="B295" s="19">
        <v>19</v>
      </c>
      <c r="C295" s="3" t="s">
        <v>18</v>
      </c>
      <c r="D295" s="3" t="s">
        <v>15</v>
      </c>
      <c r="E295" s="3" t="s">
        <v>16</v>
      </c>
      <c r="F295" s="3" t="s">
        <v>22</v>
      </c>
      <c r="G295" s="3" t="str">
        <f t="shared" si="12"/>
        <v>026PALOMA</v>
      </c>
      <c r="H295" s="25">
        <v>7982</v>
      </c>
      <c r="I295" s="3">
        <v>6201</v>
      </c>
      <c r="J295" s="3">
        <v>5637</v>
      </c>
      <c r="K295" s="3">
        <v>2852.5250000000001</v>
      </c>
      <c r="L295" s="3">
        <v>20800</v>
      </c>
      <c r="M295" s="3">
        <v>12</v>
      </c>
      <c r="N295" s="3">
        <v>13.801155115511554</v>
      </c>
      <c r="O295" s="3">
        <v>14.032838283828401</v>
      </c>
      <c r="P295" s="3">
        <v>13.571947194719476</v>
      </c>
      <c r="Q295" s="16">
        <f t="shared" si="13"/>
        <v>2.7982226273214081</v>
      </c>
      <c r="R295" s="24">
        <v>9011</v>
      </c>
      <c r="S295" s="12">
        <f t="shared" si="14"/>
        <v>-0.12891505888248558</v>
      </c>
    </row>
    <row r="296" spans="1:19" hidden="1">
      <c r="A296" s="9">
        <v>2026</v>
      </c>
      <c r="B296" s="19">
        <v>20</v>
      </c>
      <c r="C296" s="3" t="s">
        <v>18</v>
      </c>
      <c r="D296" s="3" t="s">
        <v>15</v>
      </c>
      <c r="E296" s="3" t="s">
        <v>16</v>
      </c>
      <c r="F296" s="3" t="s">
        <v>22</v>
      </c>
      <c r="G296" s="3" t="str">
        <f t="shared" si="12"/>
        <v>026PALOMA</v>
      </c>
      <c r="H296" s="25">
        <v>5249</v>
      </c>
      <c r="I296" s="3">
        <v>6489</v>
      </c>
      <c r="J296" s="3">
        <v>5829</v>
      </c>
      <c r="K296" s="3">
        <v>2852.5250000000001</v>
      </c>
      <c r="L296" s="3">
        <v>20800</v>
      </c>
      <c r="M296" s="3">
        <v>12</v>
      </c>
      <c r="N296" s="3">
        <v>14.886996336996331</v>
      </c>
      <c r="O296" s="3">
        <v>15.080952380952363</v>
      </c>
      <c r="P296" s="3">
        <v>14.693406593406582</v>
      </c>
      <c r="Q296" s="16">
        <f t="shared" si="13"/>
        <v>1.8401241005775584</v>
      </c>
      <c r="R296" s="24">
        <v>5652</v>
      </c>
      <c r="S296" s="12">
        <f t="shared" si="14"/>
        <v>-7.6776528862640497E-2</v>
      </c>
    </row>
    <row r="297" spans="1:19" hidden="1">
      <c r="A297" s="9">
        <v>2026</v>
      </c>
      <c r="B297" s="19">
        <v>21</v>
      </c>
      <c r="C297" s="3" t="s">
        <v>18</v>
      </c>
      <c r="D297" s="3" t="s">
        <v>15</v>
      </c>
      <c r="E297" s="3" t="s">
        <v>16</v>
      </c>
      <c r="F297" s="3" t="s">
        <v>22</v>
      </c>
      <c r="G297" s="3" t="str">
        <f t="shared" si="12"/>
        <v>026PALOMA</v>
      </c>
      <c r="H297" s="23">
        <v>4940</v>
      </c>
      <c r="I297" s="3">
        <v>6173</v>
      </c>
      <c r="J297" s="3">
        <v>5751</v>
      </c>
      <c r="K297" s="3">
        <v>2852.5250000000001</v>
      </c>
      <c r="L297" s="3">
        <v>20800</v>
      </c>
      <c r="M297" s="3">
        <v>12</v>
      </c>
      <c r="N297" s="3">
        <v>14.097372742200333</v>
      </c>
      <c r="O297" s="3">
        <v>14.333333333333339</v>
      </c>
      <c r="P297" s="3">
        <v>13.866009852216745</v>
      </c>
      <c r="Q297" s="16">
        <f t="shared" si="13"/>
        <v>1.7317990201663438</v>
      </c>
      <c r="R297" s="24">
        <v>5260</v>
      </c>
      <c r="S297" s="12">
        <f t="shared" si="14"/>
        <v>-6.4777327935222673E-2</v>
      </c>
    </row>
    <row r="298" spans="1:19" hidden="1">
      <c r="A298" s="9">
        <v>2025</v>
      </c>
      <c r="B298" s="19">
        <v>1</v>
      </c>
      <c r="C298" s="3" t="s">
        <v>18</v>
      </c>
      <c r="D298" s="3" t="s">
        <v>15</v>
      </c>
      <c r="E298" s="3" t="s">
        <v>19</v>
      </c>
      <c r="F298" s="3" t="s">
        <v>20</v>
      </c>
      <c r="G298" s="3" t="str">
        <f t="shared" si="12"/>
        <v>025PINK MONDIAL</v>
      </c>
      <c r="H298" s="3">
        <v>4575</v>
      </c>
      <c r="I298" s="3">
        <v>5969</v>
      </c>
      <c r="J298" s="3">
        <v>6479</v>
      </c>
      <c r="K298" s="3">
        <v>3071.9505625000002</v>
      </c>
      <c r="L298" s="3">
        <v>22400</v>
      </c>
      <c r="M298" s="3">
        <v>12</v>
      </c>
      <c r="N298" s="3">
        <v>14.926896551724157</v>
      </c>
      <c r="O298" s="3">
        <v>15.150114942528749</v>
      </c>
      <c r="P298" s="3">
        <v>14.717701149425297</v>
      </c>
      <c r="Q298" s="16">
        <f t="shared" si="13"/>
        <v>1.4892817794166568</v>
      </c>
      <c r="R298" s="10">
        <v>4209.4432929924651</v>
      </c>
      <c r="S298" s="12">
        <f t="shared" si="14"/>
        <v>7.9903105356838228E-2</v>
      </c>
    </row>
    <row r="299" spans="1:19" hidden="1">
      <c r="A299" s="9">
        <v>2025</v>
      </c>
      <c r="B299" s="19">
        <v>2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12"/>
        <v>025PINK MONDIAL</v>
      </c>
      <c r="H299" s="3">
        <v>4675</v>
      </c>
      <c r="I299" s="3">
        <v>5298</v>
      </c>
      <c r="J299" s="3">
        <v>6197</v>
      </c>
      <c r="K299" s="3">
        <v>3071.9505625000002</v>
      </c>
      <c r="L299" s="3">
        <v>22400</v>
      </c>
      <c r="M299" s="3">
        <v>12</v>
      </c>
      <c r="N299" s="3">
        <v>15.117031249999988</v>
      </c>
      <c r="O299" s="3">
        <v>15.357656249999996</v>
      </c>
      <c r="P299" s="3">
        <v>14.884374999999986</v>
      </c>
      <c r="Q299" s="16">
        <f t="shared" si="13"/>
        <v>1.521834386617021</v>
      </c>
      <c r="R299" s="10">
        <v>2399.3826770057049</v>
      </c>
      <c r="S299" s="12">
        <f t="shared" si="14"/>
        <v>0.48676306374209521</v>
      </c>
    </row>
    <row r="300" spans="1:19" hidden="1">
      <c r="A300" s="9">
        <v>2025</v>
      </c>
      <c r="B300" s="19">
        <v>3</v>
      </c>
      <c r="C300" s="3" t="s">
        <v>18</v>
      </c>
      <c r="D300" s="3" t="s">
        <v>15</v>
      </c>
      <c r="E300" s="3" t="s">
        <v>19</v>
      </c>
      <c r="F300" s="3" t="s">
        <v>20</v>
      </c>
      <c r="G300" s="3" t="str">
        <f t="shared" si="12"/>
        <v>025PINK MONDIAL</v>
      </c>
      <c r="H300" s="3">
        <v>6525</v>
      </c>
      <c r="I300" s="3">
        <v>6456</v>
      </c>
      <c r="J300" s="3">
        <v>5839</v>
      </c>
      <c r="K300" s="3">
        <v>3071.9505625000002</v>
      </c>
      <c r="L300" s="3">
        <v>22400</v>
      </c>
      <c r="M300" s="3">
        <v>12</v>
      </c>
      <c r="N300" s="3">
        <v>14.559689922480603</v>
      </c>
      <c r="O300" s="3">
        <v>14.791627906976728</v>
      </c>
      <c r="P300" s="3">
        <v>14.336744186046507</v>
      </c>
      <c r="Q300" s="16">
        <f t="shared" si="13"/>
        <v>2.1240576198237564</v>
      </c>
      <c r="R300" s="10">
        <v>6075.1735408202894</v>
      </c>
      <c r="S300" s="12">
        <f t="shared" si="14"/>
        <v>6.893892094708208E-2</v>
      </c>
    </row>
    <row r="301" spans="1:19" hidden="1">
      <c r="A301" s="9">
        <v>2025</v>
      </c>
      <c r="B301" s="19">
        <v>4</v>
      </c>
      <c r="C301" s="3" t="s">
        <v>18</v>
      </c>
      <c r="D301" s="3" t="s">
        <v>15</v>
      </c>
      <c r="E301" s="3" t="s">
        <v>19</v>
      </c>
      <c r="F301" s="3" t="s">
        <v>20</v>
      </c>
      <c r="G301" s="3" t="str">
        <f t="shared" si="12"/>
        <v>025PINK MONDIAL</v>
      </c>
      <c r="H301" s="3">
        <v>8375</v>
      </c>
      <c r="I301" s="3">
        <v>8416</v>
      </c>
      <c r="J301" s="3">
        <v>8406</v>
      </c>
      <c r="K301" s="3">
        <v>3071.9505625000002</v>
      </c>
      <c r="L301" s="3">
        <v>22400</v>
      </c>
      <c r="M301" s="3">
        <v>12</v>
      </c>
      <c r="N301" s="3">
        <v>14.620404984423683</v>
      </c>
      <c r="O301" s="3">
        <v>14.90529595015577</v>
      </c>
      <c r="P301" s="3">
        <v>14.333644859813107</v>
      </c>
      <c r="Q301" s="16">
        <f t="shared" si="13"/>
        <v>2.7262808530304921</v>
      </c>
      <c r="R301" s="10">
        <v>3462.8489182675648</v>
      </c>
      <c r="S301" s="12">
        <f t="shared" si="14"/>
        <v>0.58652550229641021</v>
      </c>
    </row>
    <row r="302" spans="1:19" hidden="1">
      <c r="A302" s="9">
        <v>2025</v>
      </c>
      <c r="B302" s="19">
        <v>5</v>
      </c>
      <c r="C302" s="3" t="s">
        <v>18</v>
      </c>
      <c r="D302" s="3" t="s">
        <v>15</v>
      </c>
      <c r="E302" s="3" t="s">
        <v>19</v>
      </c>
      <c r="F302" s="3" t="s">
        <v>20</v>
      </c>
      <c r="G302" s="3" t="str">
        <f t="shared" si="12"/>
        <v>025PINK MONDIAL</v>
      </c>
      <c r="H302" s="3">
        <v>12000</v>
      </c>
      <c r="I302" s="3">
        <v>11732</v>
      </c>
      <c r="J302" s="3">
        <v>10416</v>
      </c>
      <c r="K302" s="3">
        <v>3071.9505625000002</v>
      </c>
      <c r="L302" s="3">
        <v>22400</v>
      </c>
      <c r="M302" s="3">
        <v>12</v>
      </c>
      <c r="N302" s="3">
        <v>15.759968602825738</v>
      </c>
      <c r="O302" s="3">
        <v>16.024332810047081</v>
      </c>
      <c r="P302" s="3">
        <v>15.492935635792767</v>
      </c>
      <c r="Q302" s="16">
        <f t="shared" si="13"/>
        <v>3.9063128640436902</v>
      </c>
      <c r="R302" s="10">
        <v>10698.089788235469</v>
      </c>
      <c r="S302" s="12">
        <f t="shared" si="14"/>
        <v>0.10849251764704422</v>
      </c>
    </row>
    <row r="303" spans="1:19" hidden="1">
      <c r="A303" s="9">
        <v>2025</v>
      </c>
      <c r="B303" s="19">
        <v>6</v>
      </c>
      <c r="C303" s="3" t="s">
        <v>18</v>
      </c>
      <c r="D303" s="3" t="s">
        <v>15</v>
      </c>
      <c r="E303" s="3" t="s">
        <v>19</v>
      </c>
      <c r="F303" s="3" t="s">
        <v>20</v>
      </c>
      <c r="G303" s="3" t="str">
        <f t="shared" si="12"/>
        <v>025PINK MONDIAL</v>
      </c>
      <c r="H303" s="3">
        <v>8400</v>
      </c>
      <c r="I303" s="3">
        <v>5709</v>
      </c>
      <c r="J303" s="3">
        <v>6343</v>
      </c>
      <c r="K303" s="3">
        <v>3071.9505625000002</v>
      </c>
      <c r="L303" s="3">
        <v>22400</v>
      </c>
      <c r="M303" s="3">
        <v>12</v>
      </c>
      <c r="N303" s="3">
        <v>14.483252032520339</v>
      </c>
      <c r="O303" s="3">
        <v>14.696910569105704</v>
      </c>
      <c r="P303" s="3">
        <v>14.273333333333341</v>
      </c>
      <c r="Q303" s="16">
        <f t="shared" si="13"/>
        <v>2.734419004830583</v>
      </c>
      <c r="R303" s="10">
        <v>6097.9111792942149</v>
      </c>
      <c r="S303" s="12">
        <f t="shared" si="14"/>
        <v>0.2740581929411649</v>
      </c>
    </row>
    <row r="304" spans="1:19" hidden="1">
      <c r="A304" s="9">
        <v>2025</v>
      </c>
      <c r="B304" s="19">
        <v>7</v>
      </c>
      <c r="C304" s="3" t="s">
        <v>18</v>
      </c>
      <c r="D304" s="3" t="s">
        <v>15</v>
      </c>
      <c r="E304" s="3" t="s">
        <v>19</v>
      </c>
      <c r="F304" s="3" t="s">
        <v>20</v>
      </c>
      <c r="G304" s="3" t="str">
        <f t="shared" si="12"/>
        <v>025PINK MONDIAL</v>
      </c>
      <c r="H304" s="3">
        <v>5875</v>
      </c>
      <c r="I304" s="3">
        <v>5200</v>
      </c>
      <c r="J304" s="3">
        <v>3711</v>
      </c>
      <c r="K304" s="3">
        <v>3071.9505625000002</v>
      </c>
      <c r="L304" s="3">
        <v>22400</v>
      </c>
      <c r="M304" s="3">
        <v>12</v>
      </c>
      <c r="N304" s="3">
        <v>13.801155115511554</v>
      </c>
      <c r="O304" s="3">
        <v>14.032838283828401</v>
      </c>
      <c r="P304" s="3">
        <v>13.571947194719476</v>
      </c>
      <c r="Q304" s="16">
        <f t="shared" si="13"/>
        <v>1.9124656730213898</v>
      </c>
      <c r="R304" s="10">
        <v>5978.7181612559107</v>
      </c>
      <c r="S304" s="12">
        <f t="shared" si="14"/>
        <v>-1.765415510738905E-2</v>
      </c>
    </row>
    <row r="305" spans="1:19" hidden="1">
      <c r="A305" s="9">
        <v>2025</v>
      </c>
      <c r="B305" s="19">
        <v>8</v>
      </c>
      <c r="C305" s="3" t="s">
        <v>18</v>
      </c>
      <c r="D305" s="3" t="s">
        <v>15</v>
      </c>
      <c r="E305" s="3" t="s">
        <v>19</v>
      </c>
      <c r="F305" s="3" t="s">
        <v>20</v>
      </c>
      <c r="G305" s="3" t="str">
        <f t="shared" si="12"/>
        <v>025PINK MONDIAL</v>
      </c>
      <c r="H305" s="3">
        <v>3350</v>
      </c>
      <c r="I305" s="3">
        <v>4353</v>
      </c>
      <c r="J305" s="3">
        <v>4310</v>
      </c>
      <c r="K305" s="3">
        <v>3071.9505625000002</v>
      </c>
      <c r="L305" s="3">
        <v>22400</v>
      </c>
      <c r="M305" s="3">
        <v>12</v>
      </c>
      <c r="N305" s="3">
        <v>14.886996336996331</v>
      </c>
      <c r="O305" s="3">
        <v>15.080952380952363</v>
      </c>
      <c r="P305" s="3">
        <v>14.693406593406582</v>
      </c>
      <c r="Q305" s="16">
        <f t="shared" si="13"/>
        <v>1.0905123412121969</v>
      </c>
      <c r="R305" s="10">
        <v>3546.3617476337431</v>
      </c>
      <c r="S305" s="12">
        <f t="shared" si="14"/>
        <v>-5.8615447054848689E-2</v>
      </c>
    </row>
    <row r="306" spans="1:19" hidden="1">
      <c r="A306" s="9">
        <v>2025</v>
      </c>
      <c r="B306" s="19">
        <v>9</v>
      </c>
      <c r="C306" s="3" t="s">
        <v>18</v>
      </c>
      <c r="D306" s="3" t="s">
        <v>15</v>
      </c>
      <c r="E306" s="3" t="s">
        <v>19</v>
      </c>
      <c r="F306" s="3" t="s">
        <v>20</v>
      </c>
      <c r="G306" s="3" t="str">
        <f t="shared" si="12"/>
        <v>025PINK MONDIAL</v>
      </c>
      <c r="H306" s="3">
        <v>3550</v>
      </c>
      <c r="I306" s="3">
        <v>4671</v>
      </c>
      <c r="J306" s="3">
        <v>4066</v>
      </c>
      <c r="K306" s="3">
        <v>3071.9505625000002</v>
      </c>
      <c r="L306" s="3">
        <v>22400</v>
      </c>
      <c r="M306" s="3">
        <v>12</v>
      </c>
      <c r="N306" s="3">
        <v>14.097372742200333</v>
      </c>
      <c r="O306" s="3">
        <v>14.333333333333339</v>
      </c>
      <c r="P306" s="3">
        <v>13.866009852216745</v>
      </c>
      <c r="Q306" s="16">
        <f t="shared" si="13"/>
        <v>1.1556175556129249</v>
      </c>
      <c r="R306" s="10">
        <v>3664.857872285339</v>
      </c>
      <c r="S306" s="12">
        <f t="shared" si="14"/>
        <v>-3.2354330221222256E-2</v>
      </c>
    </row>
    <row r="307" spans="1:19" hidden="1">
      <c r="A307" s="9">
        <v>2025</v>
      </c>
      <c r="B307" s="19">
        <v>10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12"/>
        <v>025PINK MONDIAL</v>
      </c>
      <c r="H307" s="3">
        <v>3700</v>
      </c>
      <c r="I307" s="3">
        <v>4050</v>
      </c>
      <c r="J307" s="3">
        <v>4415</v>
      </c>
      <c r="K307" s="3">
        <v>3071.9505625000002</v>
      </c>
      <c r="L307" s="3">
        <v>22400</v>
      </c>
      <c r="M307" s="3">
        <v>12</v>
      </c>
      <c r="N307" s="3">
        <v>14.862558502340111</v>
      </c>
      <c r="O307" s="3">
        <v>15.090171606864288</v>
      </c>
      <c r="P307" s="3">
        <v>14.637597503900155</v>
      </c>
      <c r="Q307" s="16">
        <f t="shared" si="13"/>
        <v>1.2044464664134711</v>
      </c>
      <c r="R307" s="10">
        <v>3831.4314720620841</v>
      </c>
      <c r="S307" s="12">
        <f t="shared" si="14"/>
        <v>-3.552201947623896E-2</v>
      </c>
    </row>
    <row r="308" spans="1:19" hidden="1">
      <c r="A308" s="9">
        <v>2025</v>
      </c>
      <c r="B308" s="19">
        <v>11</v>
      </c>
      <c r="C308" s="3" t="s">
        <v>18</v>
      </c>
      <c r="D308" s="3" t="s">
        <v>15</v>
      </c>
      <c r="E308" s="3" t="s">
        <v>19</v>
      </c>
      <c r="F308" s="3" t="s">
        <v>20</v>
      </c>
      <c r="G308" s="3" t="str">
        <f t="shared" si="12"/>
        <v>025PINK MONDIAL</v>
      </c>
      <c r="H308" s="3">
        <v>5150</v>
      </c>
      <c r="I308" s="3">
        <v>4100</v>
      </c>
      <c r="J308" s="3">
        <v>4218</v>
      </c>
      <c r="K308" s="3">
        <v>3071.9505625000002</v>
      </c>
      <c r="L308" s="3">
        <v>22400</v>
      </c>
      <c r="M308" s="3">
        <v>12</v>
      </c>
      <c r="N308" s="3">
        <v>13.730322580645163</v>
      </c>
      <c r="O308" s="3">
        <v>13.974354838709669</v>
      </c>
      <c r="P308" s="3">
        <v>13.489193548387098</v>
      </c>
      <c r="Q308" s="16">
        <f t="shared" si="13"/>
        <v>1.6764592708187502</v>
      </c>
      <c r="R308" s="10">
        <v>5452.1313998729865</v>
      </c>
      <c r="S308" s="12">
        <f t="shared" si="14"/>
        <v>-5.8666291237473113E-2</v>
      </c>
    </row>
    <row r="309" spans="1:19" hidden="1">
      <c r="A309" s="9">
        <v>2025</v>
      </c>
      <c r="B309" s="19">
        <v>12</v>
      </c>
      <c r="C309" s="3" t="s">
        <v>18</v>
      </c>
      <c r="D309" s="3" t="s">
        <v>15</v>
      </c>
      <c r="E309" s="3" t="s">
        <v>19</v>
      </c>
      <c r="F309" s="3" t="s">
        <v>20</v>
      </c>
      <c r="G309" s="3" t="str">
        <f t="shared" si="12"/>
        <v>025PINK MONDIAL</v>
      </c>
      <c r="H309" s="3">
        <v>4750</v>
      </c>
      <c r="I309" s="3">
        <v>4307</v>
      </c>
      <c r="J309" s="3">
        <v>4588</v>
      </c>
      <c r="K309" s="3">
        <v>3071.9505625000002</v>
      </c>
      <c r="L309" s="3">
        <v>22400</v>
      </c>
      <c r="M309" s="3">
        <v>12</v>
      </c>
      <c r="N309" s="3">
        <v>14.314696485623003</v>
      </c>
      <c r="O309" s="3">
        <v>14.549999999999999</v>
      </c>
      <c r="P309" s="3">
        <v>14.083386581469659</v>
      </c>
      <c r="Q309" s="16">
        <f t="shared" si="13"/>
        <v>1.546248842017294</v>
      </c>
      <c r="R309" s="10">
        <v>4910.2376956491089</v>
      </c>
      <c r="S309" s="12">
        <f t="shared" si="14"/>
        <v>-3.3734251715601876E-2</v>
      </c>
    </row>
    <row r="310" spans="1:19" hidden="1">
      <c r="A310" s="9">
        <v>2025</v>
      </c>
      <c r="B310" s="19">
        <v>13</v>
      </c>
      <c r="C310" s="3" t="s">
        <v>18</v>
      </c>
      <c r="D310" s="3" t="s">
        <v>15</v>
      </c>
      <c r="E310" s="3" t="s">
        <v>19</v>
      </c>
      <c r="F310" s="3" t="s">
        <v>20</v>
      </c>
      <c r="G310" s="3" t="str">
        <f t="shared" si="12"/>
        <v>025PINK MONDIAL</v>
      </c>
      <c r="H310" s="3">
        <v>4775</v>
      </c>
      <c r="I310" s="3">
        <v>5297</v>
      </c>
      <c r="J310" s="3">
        <v>5162</v>
      </c>
      <c r="K310" s="3">
        <v>3071.9505625000002</v>
      </c>
      <c r="L310" s="3">
        <v>22400</v>
      </c>
      <c r="M310" s="3">
        <v>12</v>
      </c>
      <c r="N310" s="3">
        <v>14.926896551724157</v>
      </c>
      <c r="O310" s="3">
        <v>15.150114942528749</v>
      </c>
      <c r="P310" s="3">
        <v>14.717701149425297</v>
      </c>
      <c r="Q310" s="16">
        <f t="shared" si="13"/>
        <v>1.5543869938173849</v>
      </c>
      <c r="R310" s="10">
        <v>4930.3052818588403</v>
      </c>
      <c r="S310" s="12">
        <f t="shared" si="14"/>
        <v>-3.2524666357872316E-2</v>
      </c>
    </row>
    <row r="311" spans="1:19" hidden="1">
      <c r="A311" s="9">
        <v>2025</v>
      </c>
      <c r="B311" s="19">
        <v>14</v>
      </c>
      <c r="C311" s="3" t="s">
        <v>18</v>
      </c>
      <c r="D311" s="3" t="s">
        <v>15</v>
      </c>
      <c r="E311" s="3" t="s">
        <v>19</v>
      </c>
      <c r="F311" s="3" t="s">
        <v>20</v>
      </c>
      <c r="G311" s="3" t="str">
        <f t="shared" si="12"/>
        <v>025PINK MONDIAL</v>
      </c>
      <c r="H311" s="3">
        <v>3825</v>
      </c>
      <c r="I311" s="3">
        <v>5820</v>
      </c>
      <c r="J311" s="3">
        <v>5860</v>
      </c>
      <c r="K311" s="3">
        <v>3071.9505625000002</v>
      </c>
      <c r="L311" s="3">
        <v>22400</v>
      </c>
      <c r="M311" s="3">
        <v>12</v>
      </c>
      <c r="N311" s="3">
        <v>15.117031249999988</v>
      </c>
      <c r="O311" s="3">
        <v>15.357656249999996</v>
      </c>
      <c r="P311" s="3">
        <v>14.884374999999986</v>
      </c>
      <c r="Q311" s="16">
        <f t="shared" si="13"/>
        <v>1.2451372254139261</v>
      </c>
      <c r="R311" s="10">
        <v>3956.8095599294088</v>
      </c>
      <c r="S311" s="12">
        <f t="shared" si="14"/>
        <v>-3.4460015667819296E-2</v>
      </c>
    </row>
    <row r="312" spans="1:19" hidden="1">
      <c r="A312" s="9">
        <v>2025</v>
      </c>
      <c r="B312" s="19">
        <v>15</v>
      </c>
      <c r="C312" s="3" t="s">
        <v>18</v>
      </c>
      <c r="D312" s="3" t="s">
        <v>15</v>
      </c>
      <c r="E312" s="3" t="s">
        <v>19</v>
      </c>
      <c r="F312" s="3" t="s">
        <v>20</v>
      </c>
      <c r="G312" s="3" t="str">
        <f t="shared" si="12"/>
        <v>025PINK MONDIAL</v>
      </c>
      <c r="H312" s="3">
        <v>3625</v>
      </c>
      <c r="I312" s="3">
        <v>5599</v>
      </c>
      <c r="J312" s="3">
        <v>5599</v>
      </c>
      <c r="K312" s="3">
        <v>3071.9505625000002</v>
      </c>
      <c r="L312" s="3">
        <v>22400</v>
      </c>
      <c r="M312" s="3">
        <v>12</v>
      </c>
      <c r="N312" s="3">
        <v>14.559689922480603</v>
      </c>
      <c r="O312" s="3">
        <v>14.791627906976728</v>
      </c>
      <c r="P312" s="3">
        <v>14.336744186046507</v>
      </c>
      <c r="Q312" s="16">
        <f t="shared" si="13"/>
        <v>1.1800320110131981</v>
      </c>
      <c r="R312" s="10">
        <v>3792.4767892185441</v>
      </c>
      <c r="S312" s="12">
        <f t="shared" si="14"/>
        <v>-4.6200493577529415E-2</v>
      </c>
    </row>
    <row r="313" spans="1:19" hidden="1">
      <c r="A313" s="9">
        <v>2025</v>
      </c>
      <c r="B313" s="19">
        <v>16</v>
      </c>
      <c r="C313" s="3" t="s">
        <v>18</v>
      </c>
      <c r="D313" s="3" t="s">
        <v>15</v>
      </c>
      <c r="E313" s="3" t="s">
        <v>19</v>
      </c>
      <c r="F313" s="3" t="s">
        <v>20</v>
      </c>
      <c r="G313" s="3" t="str">
        <f t="shared" si="12"/>
        <v>025PINK MONDIAL</v>
      </c>
      <c r="H313" s="3">
        <v>5275</v>
      </c>
      <c r="I313" s="3">
        <v>7921</v>
      </c>
      <c r="J313" s="3">
        <v>8338</v>
      </c>
      <c r="K313" s="3">
        <v>3071.9505625000002</v>
      </c>
      <c r="L313" s="3">
        <v>22400</v>
      </c>
      <c r="M313" s="3">
        <v>12</v>
      </c>
      <c r="N313" s="3">
        <v>14.620404984423683</v>
      </c>
      <c r="O313" s="3">
        <v>14.90529595015577</v>
      </c>
      <c r="P313" s="3">
        <v>14.333644859813107</v>
      </c>
      <c r="Q313" s="16">
        <f t="shared" si="13"/>
        <v>1.7171500298192053</v>
      </c>
      <c r="R313" s="10">
        <v>5515.8771628139666</v>
      </c>
      <c r="S313" s="12">
        <f t="shared" si="14"/>
        <v>-4.566391712113111E-2</v>
      </c>
    </row>
    <row r="314" spans="1:19" hidden="1">
      <c r="A314" s="9">
        <v>2025</v>
      </c>
      <c r="B314" s="19">
        <v>17</v>
      </c>
      <c r="C314" s="3" t="s">
        <v>18</v>
      </c>
      <c r="D314" s="3" t="s">
        <v>15</v>
      </c>
      <c r="E314" s="3" t="s">
        <v>19</v>
      </c>
      <c r="F314" s="3" t="s">
        <v>20</v>
      </c>
      <c r="G314" s="3" t="str">
        <f t="shared" si="12"/>
        <v>025PINK MONDIAL</v>
      </c>
      <c r="H314" s="3">
        <v>10625</v>
      </c>
      <c r="I314" s="3">
        <v>8337</v>
      </c>
      <c r="J314" s="3">
        <v>8337</v>
      </c>
      <c r="K314" s="3">
        <v>3071.9505625000002</v>
      </c>
      <c r="L314" s="3">
        <v>22400</v>
      </c>
      <c r="M314" s="3">
        <v>12</v>
      </c>
      <c r="N314" s="3">
        <v>15.759968602825738</v>
      </c>
      <c r="O314" s="3">
        <v>16.024332810047081</v>
      </c>
      <c r="P314" s="3">
        <v>15.492935635792767</v>
      </c>
      <c r="Q314" s="16">
        <f t="shared" si="13"/>
        <v>3.4587145150386838</v>
      </c>
      <c r="R314" s="10">
        <v>10717.283939250439</v>
      </c>
      <c r="S314" s="12">
        <f t="shared" si="14"/>
        <v>-8.6855472235707575E-3</v>
      </c>
    </row>
    <row r="315" spans="1:19" hidden="1">
      <c r="A315" s="9">
        <v>2025</v>
      </c>
      <c r="B315" s="19">
        <v>18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12"/>
        <v>025PINK MONDIAL</v>
      </c>
      <c r="H315" s="3">
        <v>9150</v>
      </c>
      <c r="I315" s="3">
        <v>10056</v>
      </c>
      <c r="J315" s="3">
        <v>10056</v>
      </c>
      <c r="K315" s="3">
        <v>3071.9505625000002</v>
      </c>
      <c r="L315" s="3">
        <v>22400</v>
      </c>
      <c r="M315" s="3">
        <v>12</v>
      </c>
      <c r="N315" s="3">
        <v>14.483252032520339</v>
      </c>
      <c r="O315" s="3">
        <v>14.696910569105704</v>
      </c>
      <c r="P315" s="3">
        <v>14.273333333333341</v>
      </c>
      <c r="Q315" s="16">
        <f t="shared" si="13"/>
        <v>2.9785635588333137</v>
      </c>
      <c r="R315" s="10">
        <v>6108.8518453727493</v>
      </c>
      <c r="S315" s="12">
        <f t="shared" si="14"/>
        <v>0.33236591853849734</v>
      </c>
    </row>
    <row r="316" spans="1:19" hidden="1">
      <c r="A316" s="9">
        <v>2025</v>
      </c>
      <c r="B316" s="19">
        <v>19</v>
      </c>
      <c r="C316" s="3" t="s">
        <v>18</v>
      </c>
      <c r="D316" s="3" t="s">
        <v>15</v>
      </c>
      <c r="E316" s="3" t="s">
        <v>19</v>
      </c>
      <c r="F316" s="3" t="s">
        <v>20</v>
      </c>
      <c r="G316" s="3" t="str">
        <f t="shared" si="12"/>
        <v>025PINK MONDIAL</v>
      </c>
      <c r="H316" s="3">
        <v>5800</v>
      </c>
      <c r="I316" s="3">
        <v>6637</v>
      </c>
      <c r="J316" s="3">
        <v>6034</v>
      </c>
      <c r="K316" s="3">
        <v>3071.9505625000002</v>
      </c>
      <c r="L316" s="3">
        <v>22400</v>
      </c>
      <c r="M316" s="3">
        <v>12</v>
      </c>
      <c r="N316" s="3">
        <v>13.801155115511554</v>
      </c>
      <c r="O316" s="3">
        <v>14.032838283828401</v>
      </c>
      <c r="P316" s="3">
        <v>13.571947194719476</v>
      </c>
      <c r="Q316" s="16">
        <f t="shared" si="13"/>
        <v>1.8880512176211168</v>
      </c>
      <c r="R316" s="10">
        <v>6097.067344250001</v>
      </c>
      <c r="S316" s="12">
        <f t="shared" si="14"/>
        <v>-5.1218507629310524E-2</v>
      </c>
    </row>
    <row r="317" spans="1:19" hidden="1">
      <c r="A317" s="9">
        <v>2025</v>
      </c>
      <c r="B317" s="19">
        <v>20</v>
      </c>
      <c r="C317" s="3" t="s">
        <v>18</v>
      </c>
      <c r="D317" s="3" t="s">
        <v>15</v>
      </c>
      <c r="E317" s="3" t="s">
        <v>19</v>
      </c>
      <c r="F317" s="3" t="s">
        <v>20</v>
      </c>
      <c r="G317" s="3" t="str">
        <f t="shared" si="12"/>
        <v>025PINK MONDIAL</v>
      </c>
      <c r="H317" s="3">
        <v>7575</v>
      </c>
      <c r="I317" s="3">
        <v>7114</v>
      </c>
      <c r="J317" s="3">
        <v>6239</v>
      </c>
      <c r="K317" s="3">
        <v>3071.9505625000002</v>
      </c>
      <c r="L317" s="3">
        <v>22400</v>
      </c>
      <c r="M317" s="3">
        <v>12</v>
      </c>
      <c r="N317" s="3">
        <v>14.886996336996331</v>
      </c>
      <c r="O317" s="3">
        <v>15.080952380952363</v>
      </c>
      <c r="P317" s="3">
        <v>14.693406593406582</v>
      </c>
      <c r="Q317" s="16">
        <f t="shared" si="13"/>
        <v>2.4658599954275795</v>
      </c>
      <c r="R317" s="10">
        <v>7624.5317458445516</v>
      </c>
      <c r="S317" s="12">
        <f t="shared" si="14"/>
        <v>-6.5388443359143964E-3</v>
      </c>
    </row>
    <row r="318" spans="1:19" hidden="1">
      <c r="A318" s="9">
        <v>2025</v>
      </c>
      <c r="B318" s="19">
        <v>21</v>
      </c>
      <c r="C318" s="3" t="s">
        <v>18</v>
      </c>
      <c r="D318" s="3" t="s">
        <v>15</v>
      </c>
      <c r="E318" s="3" t="s">
        <v>19</v>
      </c>
      <c r="F318" s="3" t="s">
        <v>20</v>
      </c>
      <c r="G318" s="3" t="str">
        <f t="shared" si="12"/>
        <v>025PINK MONDIAL</v>
      </c>
      <c r="H318" s="3">
        <v>4350</v>
      </c>
      <c r="I318" s="3">
        <v>7150</v>
      </c>
      <c r="J318" s="3">
        <v>6731</v>
      </c>
      <c r="K318" s="3">
        <v>3071.9505625000002</v>
      </c>
      <c r="L318" s="3">
        <v>22400</v>
      </c>
      <c r="M318" s="3">
        <v>12</v>
      </c>
      <c r="N318" s="3">
        <v>14.097372742200333</v>
      </c>
      <c r="O318" s="3">
        <v>14.333333333333339</v>
      </c>
      <c r="P318" s="3">
        <v>13.866009852216745</v>
      </c>
      <c r="Q318" s="16">
        <f t="shared" si="13"/>
        <v>1.4160384132158377</v>
      </c>
      <c r="R318" s="10">
        <v>4550.0292610229144</v>
      </c>
      <c r="S318" s="12">
        <f t="shared" si="14"/>
        <v>-4.598373816618722E-2</v>
      </c>
    </row>
    <row r="319" spans="1:19" hidden="1">
      <c r="A319" s="9">
        <v>2025</v>
      </c>
      <c r="B319" s="19">
        <v>22</v>
      </c>
      <c r="C319" s="3" t="s">
        <v>18</v>
      </c>
      <c r="D319" s="3" t="s">
        <v>15</v>
      </c>
      <c r="E319" s="3" t="s">
        <v>19</v>
      </c>
      <c r="F319" s="3" t="s">
        <v>20</v>
      </c>
      <c r="G319" s="3" t="str">
        <f t="shared" si="12"/>
        <v>025PINK MONDIAL</v>
      </c>
      <c r="H319" s="3">
        <v>5275</v>
      </c>
      <c r="I319" s="3">
        <v>5693</v>
      </c>
      <c r="J319" s="3">
        <v>6482</v>
      </c>
      <c r="K319" s="3">
        <v>3071.9505625000002</v>
      </c>
      <c r="L319" s="3">
        <v>22400</v>
      </c>
      <c r="M319" s="3">
        <v>12</v>
      </c>
      <c r="N319" s="3">
        <v>14.862558502340111</v>
      </c>
      <c r="O319" s="3">
        <v>15.090171606864288</v>
      </c>
      <c r="P319" s="3">
        <v>14.637597503900155</v>
      </c>
      <c r="Q319" s="16">
        <f t="shared" si="13"/>
        <v>1.7171500298192053</v>
      </c>
      <c r="R319" s="10">
        <v>5536.4002307086921</v>
      </c>
      <c r="S319" s="12">
        <f t="shared" si="14"/>
        <v>-4.9554546105913193E-2</v>
      </c>
    </row>
    <row r="320" spans="1:19" hidden="1">
      <c r="A320" s="9">
        <v>2025</v>
      </c>
      <c r="B320" s="19">
        <v>23</v>
      </c>
      <c r="C320" s="3" t="s">
        <v>18</v>
      </c>
      <c r="D320" s="3" t="s">
        <v>15</v>
      </c>
      <c r="E320" s="3" t="s">
        <v>19</v>
      </c>
      <c r="F320" s="3" t="s">
        <v>20</v>
      </c>
      <c r="G320" s="3" t="str">
        <f t="shared" si="12"/>
        <v>025PINK MONDIAL</v>
      </c>
      <c r="H320" s="3">
        <v>5625</v>
      </c>
      <c r="I320" s="3">
        <v>6393</v>
      </c>
      <c r="J320" s="3">
        <v>6393</v>
      </c>
      <c r="K320" s="3">
        <v>3071.9505625000002</v>
      </c>
      <c r="L320" s="3">
        <v>22400</v>
      </c>
      <c r="M320" s="3">
        <v>12</v>
      </c>
      <c r="N320" s="3">
        <v>13.730322580645163</v>
      </c>
      <c r="O320" s="3">
        <v>13.974354838709669</v>
      </c>
      <c r="P320" s="3">
        <v>13.489193548387098</v>
      </c>
      <c r="Q320" s="16">
        <f t="shared" si="13"/>
        <v>1.8310841550204797</v>
      </c>
      <c r="R320" s="10">
        <v>5943.4492212926161</v>
      </c>
      <c r="S320" s="12">
        <f t="shared" si="14"/>
        <v>-5.6613194896465088E-2</v>
      </c>
    </row>
    <row r="321" spans="1:19" hidden="1">
      <c r="A321" s="9">
        <v>2025</v>
      </c>
      <c r="B321" s="19">
        <v>24</v>
      </c>
      <c r="C321" s="3" t="s">
        <v>18</v>
      </c>
      <c r="D321" s="3" t="s">
        <v>15</v>
      </c>
      <c r="E321" s="3" t="s">
        <v>19</v>
      </c>
      <c r="F321" s="3" t="s">
        <v>20</v>
      </c>
      <c r="G321" s="3" t="str">
        <f t="shared" si="12"/>
        <v>025PINK MONDIAL</v>
      </c>
      <c r="H321" s="3">
        <v>4450</v>
      </c>
      <c r="I321" s="3">
        <v>5723</v>
      </c>
      <c r="J321" s="3">
        <v>6843</v>
      </c>
      <c r="K321" s="3">
        <v>3071.9505625000002</v>
      </c>
      <c r="L321" s="3">
        <v>22400</v>
      </c>
      <c r="M321" s="3">
        <v>12</v>
      </c>
      <c r="N321" s="3">
        <v>14.314696485623003</v>
      </c>
      <c r="O321" s="3">
        <v>14.549999999999999</v>
      </c>
      <c r="P321" s="3">
        <v>14.083386581469659</v>
      </c>
      <c r="Q321" s="16">
        <f t="shared" si="13"/>
        <v>1.4485910204162016</v>
      </c>
      <c r="R321" s="10">
        <v>4632.3351910152851</v>
      </c>
      <c r="S321" s="12">
        <f t="shared" si="14"/>
        <v>-4.0974200228153956E-2</v>
      </c>
    </row>
    <row r="322" spans="1:19" hidden="1">
      <c r="A322" s="9">
        <v>2025</v>
      </c>
      <c r="B322" s="19">
        <v>25</v>
      </c>
      <c r="C322" s="3" t="s">
        <v>18</v>
      </c>
      <c r="D322" s="3" t="s">
        <v>15</v>
      </c>
      <c r="E322" s="3" t="s">
        <v>19</v>
      </c>
      <c r="F322" s="3" t="s">
        <v>20</v>
      </c>
      <c r="G322" s="3" t="str">
        <f t="shared" si="12"/>
        <v>025PINK MONDIAL</v>
      </c>
      <c r="H322" s="3">
        <v>4775</v>
      </c>
      <c r="I322" s="3">
        <v>5066</v>
      </c>
      <c r="J322" s="3">
        <v>5066</v>
      </c>
      <c r="K322" s="3">
        <v>3071.9505625000002</v>
      </c>
      <c r="L322" s="3">
        <v>22400</v>
      </c>
      <c r="M322" s="3">
        <v>12</v>
      </c>
      <c r="N322" s="3">
        <v>13.355342902711323</v>
      </c>
      <c r="O322" s="3">
        <v>13.582615629984048</v>
      </c>
      <c r="P322" s="3">
        <v>13.129505582137151</v>
      </c>
      <c r="Q322" s="16">
        <f t="shared" si="13"/>
        <v>1.5543869938173849</v>
      </c>
      <c r="R322" s="10">
        <v>4985.0128969054549</v>
      </c>
      <c r="S322" s="12">
        <f t="shared" si="14"/>
        <v>-4.3981758514231396E-2</v>
      </c>
    </row>
    <row r="323" spans="1:19" hidden="1">
      <c r="A323" s="9">
        <v>2025</v>
      </c>
      <c r="B323" s="19">
        <v>26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si="12"/>
        <v>025PINK MONDIAL</v>
      </c>
      <c r="H323" s="3">
        <v>4425</v>
      </c>
      <c r="I323" s="3">
        <v>5450</v>
      </c>
      <c r="J323" s="3">
        <v>7286</v>
      </c>
      <c r="K323" s="3">
        <v>3071.9505625000002</v>
      </c>
      <c r="L323" s="3">
        <v>22400</v>
      </c>
      <c r="M323" s="3">
        <v>12</v>
      </c>
      <c r="N323" s="3">
        <v>13.694453248811422</v>
      </c>
      <c r="O323" s="3">
        <v>13.929160063391446</v>
      </c>
      <c r="P323" s="3">
        <v>13.455467511885894</v>
      </c>
      <c r="Q323" s="16">
        <f t="shared" si="13"/>
        <v>1.4404528686161107</v>
      </c>
      <c r="R323" s="10">
        <v>4610.3913208882832</v>
      </c>
      <c r="S323" s="12">
        <f t="shared" si="14"/>
        <v>-4.1896343703566825E-2</v>
      </c>
    </row>
    <row r="324" spans="1:19" hidden="1">
      <c r="A324" s="9">
        <v>2025</v>
      </c>
      <c r="B324" s="19">
        <v>27</v>
      </c>
      <c r="C324" s="3" t="s">
        <v>18</v>
      </c>
      <c r="D324" s="3" t="s">
        <v>15</v>
      </c>
      <c r="E324" s="3" t="s">
        <v>19</v>
      </c>
      <c r="F324" s="3" t="s">
        <v>20</v>
      </c>
      <c r="G324" s="3" t="str">
        <f t="shared" si="12"/>
        <v>025PINK MONDIAL</v>
      </c>
      <c r="H324" s="3">
        <v>3525</v>
      </c>
      <c r="I324" s="3">
        <v>5250</v>
      </c>
      <c r="J324" s="3">
        <v>4825</v>
      </c>
      <c r="K324" s="3">
        <v>3071.9505625000002</v>
      </c>
      <c r="L324" s="3">
        <v>22400</v>
      </c>
      <c r="M324" s="3">
        <v>12</v>
      </c>
      <c r="N324" s="3">
        <v>13.246116504854371</v>
      </c>
      <c r="O324" s="3">
        <v>13.484142394822005</v>
      </c>
      <c r="P324" s="3">
        <v>13.012297734627845</v>
      </c>
      <c r="Q324" s="16">
        <f t="shared" si="13"/>
        <v>1.147479403812834</v>
      </c>
      <c r="R324" s="10">
        <v>3712.213810189126</v>
      </c>
      <c r="S324" s="12">
        <f t="shared" si="14"/>
        <v>-5.3110300762872618E-2</v>
      </c>
    </row>
    <row r="325" spans="1:19" hidden="1">
      <c r="A325" s="9">
        <v>2025</v>
      </c>
      <c r="B325" s="19">
        <v>28</v>
      </c>
      <c r="C325" s="3" t="s">
        <v>18</v>
      </c>
      <c r="D325" s="3" t="s">
        <v>15</v>
      </c>
      <c r="E325" s="3" t="s">
        <v>19</v>
      </c>
      <c r="F325" s="3" t="s">
        <v>20</v>
      </c>
      <c r="G325" s="3" t="str">
        <f t="shared" si="12"/>
        <v>025PINK MONDIAL</v>
      </c>
      <c r="H325" s="3">
        <v>4050</v>
      </c>
      <c r="I325" s="3">
        <v>4175</v>
      </c>
      <c r="J325" s="3">
        <v>5355</v>
      </c>
      <c r="K325" s="3">
        <v>3071.9505625000002</v>
      </c>
      <c r="L325" s="3">
        <v>22400</v>
      </c>
      <c r="M325" s="3">
        <v>12</v>
      </c>
      <c r="N325" s="3">
        <v>13.238155802861698</v>
      </c>
      <c r="O325" s="3">
        <v>13.458664546899842</v>
      </c>
      <c r="P325" s="3">
        <v>13.014467408585055</v>
      </c>
      <c r="Q325" s="16">
        <f t="shared" si="13"/>
        <v>1.3183805916147453</v>
      </c>
      <c r="R325" s="10">
        <v>4255.8978181097827</v>
      </c>
      <c r="S325" s="12">
        <f t="shared" si="14"/>
        <v>-5.0838967434514257E-2</v>
      </c>
    </row>
    <row r="326" spans="1:19" hidden="1">
      <c r="A326" s="9">
        <v>2025</v>
      </c>
      <c r="B326" s="19">
        <v>29</v>
      </c>
      <c r="C326" s="3" t="s">
        <v>18</v>
      </c>
      <c r="D326" s="3" t="s">
        <v>15</v>
      </c>
      <c r="E326" s="3" t="s">
        <v>19</v>
      </c>
      <c r="F326" s="3" t="s">
        <v>20</v>
      </c>
      <c r="G326" s="3" t="str">
        <f t="shared" si="12"/>
        <v>025PINK MONDIAL</v>
      </c>
      <c r="H326" s="3">
        <v>4675</v>
      </c>
      <c r="I326" s="3">
        <v>4446</v>
      </c>
      <c r="J326" s="3">
        <v>4088</v>
      </c>
      <c r="K326" s="3">
        <v>3071.9505625000002</v>
      </c>
      <c r="L326" s="3">
        <v>22400</v>
      </c>
      <c r="M326" s="3">
        <v>12</v>
      </c>
      <c r="N326" s="3">
        <v>13.055999999999999</v>
      </c>
      <c r="O326" s="3">
        <v>13.316666666666679</v>
      </c>
      <c r="P326" s="3">
        <v>12.786833333333337</v>
      </c>
      <c r="Q326" s="16">
        <f t="shared" si="13"/>
        <v>1.521834386617021</v>
      </c>
      <c r="R326" s="10">
        <v>4798.4514863812938</v>
      </c>
      <c r="S326" s="12">
        <f t="shared" si="14"/>
        <v>-2.6406735054822196E-2</v>
      </c>
    </row>
    <row r="327" spans="1:19" hidden="1">
      <c r="A327" s="9">
        <v>2025</v>
      </c>
      <c r="B327" s="19">
        <v>30</v>
      </c>
      <c r="C327" s="3" t="s">
        <v>18</v>
      </c>
      <c r="D327" s="3" t="s">
        <v>15</v>
      </c>
      <c r="E327" s="3" t="s">
        <v>19</v>
      </c>
      <c r="F327" s="3" t="s">
        <v>20</v>
      </c>
      <c r="G327" s="3" t="str">
        <f t="shared" si="12"/>
        <v>025PINK MONDIAL</v>
      </c>
      <c r="H327" s="3">
        <v>5825</v>
      </c>
      <c r="I327" s="3">
        <v>5590</v>
      </c>
      <c r="J327" s="3">
        <v>5940</v>
      </c>
      <c r="K327" s="3">
        <v>3071.9505625000002</v>
      </c>
      <c r="L327" s="3">
        <v>22400</v>
      </c>
      <c r="M327" s="3">
        <v>12</v>
      </c>
      <c r="N327" s="3">
        <v>14.51277955271564</v>
      </c>
      <c r="O327" s="3">
        <v>14.803514376996825</v>
      </c>
      <c r="P327" s="3">
        <v>14.223162939297143</v>
      </c>
      <c r="Q327" s="16">
        <f t="shared" si="13"/>
        <v>1.8961893694212077</v>
      </c>
      <c r="R327" s="10">
        <v>6120.787847630706</v>
      </c>
      <c r="S327" s="12">
        <f t="shared" si="14"/>
        <v>-5.0779029636172701E-2</v>
      </c>
    </row>
    <row r="328" spans="1:19" hidden="1">
      <c r="A328" s="9">
        <v>2025</v>
      </c>
      <c r="B328" s="19">
        <v>31</v>
      </c>
      <c r="C328" s="3" t="s">
        <v>18</v>
      </c>
      <c r="D328" s="3" t="s">
        <v>15</v>
      </c>
      <c r="E328" s="3" t="s">
        <v>19</v>
      </c>
      <c r="F328" s="3" t="s">
        <v>20</v>
      </c>
      <c r="G328" s="3" t="str">
        <f t="shared" si="12"/>
        <v>025PINK MONDIAL</v>
      </c>
      <c r="H328" s="3">
        <v>5725</v>
      </c>
      <c r="I328" s="3">
        <v>6435</v>
      </c>
      <c r="J328" s="3">
        <v>6065</v>
      </c>
      <c r="K328" s="3">
        <v>3071.9505625000002</v>
      </c>
      <c r="L328" s="3">
        <v>22400</v>
      </c>
      <c r="M328" s="3">
        <v>12</v>
      </c>
      <c r="N328" s="3">
        <v>13.78425196850394</v>
      </c>
      <c r="O328" s="3">
        <v>14.065354330708656</v>
      </c>
      <c r="P328" s="3">
        <v>13.503307086614177</v>
      </c>
      <c r="Q328" s="16">
        <f t="shared" si="13"/>
        <v>1.8636367622208438</v>
      </c>
      <c r="R328" s="10">
        <v>5979.1484285681272</v>
      </c>
      <c r="S328" s="12">
        <f t="shared" si="14"/>
        <v>-4.4392738614520033E-2</v>
      </c>
    </row>
    <row r="329" spans="1:19" hidden="1">
      <c r="A329" s="9">
        <v>2025</v>
      </c>
      <c r="B329" s="19">
        <v>32</v>
      </c>
      <c r="C329" s="3" t="s">
        <v>18</v>
      </c>
      <c r="D329" s="3" t="s">
        <v>15</v>
      </c>
      <c r="E329" s="3" t="s">
        <v>19</v>
      </c>
      <c r="F329" s="3" t="s">
        <v>20</v>
      </c>
      <c r="G329" s="3" t="str">
        <f t="shared" si="12"/>
        <v>025PINK MONDIAL</v>
      </c>
      <c r="H329" s="3">
        <v>4625</v>
      </c>
      <c r="I329" s="3">
        <v>7566</v>
      </c>
      <c r="J329" s="3">
        <v>6978</v>
      </c>
      <c r="K329" s="3">
        <v>3071.9505625000002</v>
      </c>
      <c r="L329" s="3">
        <v>22400</v>
      </c>
      <c r="M329" s="3">
        <v>12</v>
      </c>
      <c r="N329" s="3">
        <v>12.659270998415199</v>
      </c>
      <c r="O329" s="3">
        <v>12.943264659271005</v>
      </c>
      <c r="P329" s="3">
        <v>12.377337559429469</v>
      </c>
      <c r="Q329" s="16">
        <f t="shared" si="13"/>
        <v>1.5055580830168389</v>
      </c>
      <c r="R329" s="10">
        <v>4801.5372611888779</v>
      </c>
      <c r="S329" s="12">
        <f t="shared" si="14"/>
        <v>-3.8170218635433059E-2</v>
      </c>
    </row>
    <row r="330" spans="1:19" hidden="1">
      <c r="A330" s="9">
        <v>2025</v>
      </c>
      <c r="B330" s="19">
        <v>33</v>
      </c>
      <c r="C330" s="3" t="s">
        <v>18</v>
      </c>
      <c r="D330" s="3" t="s">
        <v>15</v>
      </c>
      <c r="E330" s="3" t="s">
        <v>19</v>
      </c>
      <c r="F330" s="3" t="s">
        <v>20</v>
      </c>
      <c r="G330" s="3" t="str">
        <f t="shared" si="12"/>
        <v>025PINK MONDIAL</v>
      </c>
      <c r="H330" s="3">
        <v>4600</v>
      </c>
      <c r="I330" s="3">
        <v>6975</v>
      </c>
      <c r="J330" s="3">
        <v>7353</v>
      </c>
      <c r="K330" s="3">
        <v>3071.9505625000002</v>
      </c>
      <c r="L330" s="3">
        <v>22400</v>
      </c>
      <c r="M330" s="3">
        <v>12</v>
      </c>
      <c r="N330" s="3">
        <v>13.589285714285717</v>
      </c>
      <c r="O330" s="3">
        <v>13.824068322981383</v>
      </c>
      <c r="P330" s="3">
        <v>13.353571428571435</v>
      </c>
      <c r="Q330" s="16">
        <f t="shared" si="13"/>
        <v>1.4974199312167478</v>
      </c>
      <c r="R330" s="10">
        <v>4797.2315085757446</v>
      </c>
      <c r="S330" s="12">
        <f t="shared" si="14"/>
        <v>-4.2876414907770555E-2</v>
      </c>
    </row>
    <row r="331" spans="1:19" hidden="1">
      <c r="A331" s="9">
        <v>2025</v>
      </c>
      <c r="B331" s="19">
        <v>34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12"/>
        <v>025PINK MONDIAL</v>
      </c>
      <c r="H331" s="3">
        <v>3825</v>
      </c>
      <c r="I331" s="3">
        <v>5925</v>
      </c>
      <c r="J331" s="3">
        <v>6031</v>
      </c>
      <c r="K331" s="3">
        <v>3071.9505625000002</v>
      </c>
      <c r="L331" s="3">
        <v>22400</v>
      </c>
      <c r="M331" s="3">
        <v>12</v>
      </c>
      <c r="N331" s="3">
        <v>12.824486571879941</v>
      </c>
      <c r="O331" s="3">
        <v>13.083254344391783</v>
      </c>
      <c r="P331" s="3">
        <v>12.564612954186416</v>
      </c>
      <c r="Q331" s="16">
        <f t="shared" si="13"/>
        <v>1.2451372254139261</v>
      </c>
      <c r="R331" s="10">
        <v>3991.888291386912</v>
      </c>
      <c r="S331" s="12">
        <f t="shared" si="14"/>
        <v>-4.3630925852787446E-2</v>
      </c>
    </row>
    <row r="332" spans="1:19" hidden="1">
      <c r="A332" s="9">
        <v>2025</v>
      </c>
      <c r="B332" s="19">
        <v>35</v>
      </c>
      <c r="C332" s="3" t="s">
        <v>18</v>
      </c>
      <c r="D332" s="3" t="s">
        <v>15</v>
      </c>
      <c r="E332" s="3" t="s">
        <v>19</v>
      </c>
      <c r="F332" s="3" t="s">
        <v>20</v>
      </c>
      <c r="G332" s="3" t="str">
        <f t="shared" si="12"/>
        <v>025PINK MONDIAL</v>
      </c>
      <c r="H332" s="3">
        <v>3300</v>
      </c>
      <c r="I332" s="3">
        <v>5312</v>
      </c>
      <c r="J332" s="3">
        <v>6381</v>
      </c>
      <c r="K332" s="3">
        <v>3071.9505625000002</v>
      </c>
      <c r="L332" s="3">
        <v>22400</v>
      </c>
      <c r="M332" s="3">
        <v>12</v>
      </c>
      <c r="N332" s="3">
        <v>13.437577639751549</v>
      </c>
      <c r="O332" s="3">
        <v>13.71583850931677</v>
      </c>
      <c r="P332" s="3">
        <v>13.159472049689436</v>
      </c>
      <c r="Q332" s="16">
        <f t="shared" si="13"/>
        <v>1.0742360376120148</v>
      </c>
      <c r="R332" s="10">
        <v>3645.723646500272</v>
      </c>
      <c r="S332" s="12">
        <f t="shared" si="14"/>
        <v>-0.1047647413637188</v>
      </c>
    </row>
    <row r="333" spans="1:19" hidden="1">
      <c r="A333" s="9">
        <v>2025</v>
      </c>
      <c r="B333" s="19">
        <v>36</v>
      </c>
      <c r="C333" s="3" t="s">
        <v>18</v>
      </c>
      <c r="D333" s="3" t="s">
        <v>15</v>
      </c>
      <c r="E333" s="3" t="s">
        <v>19</v>
      </c>
      <c r="F333" s="3" t="s">
        <v>20</v>
      </c>
      <c r="G333" s="3" t="str">
        <f t="shared" si="12"/>
        <v>025PINK MONDIAL</v>
      </c>
      <c r="H333" s="3">
        <v>4225</v>
      </c>
      <c r="I333" s="3">
        <v>5363</v>
      </c>
      <c r="J333" s="3">
        <v>5852</v>
      </c>
      <c r="K333" s="3">
        <v>3071.9505625000002</v>
      </c>
      <c r="L333" s="3">
        <v>22400</v>
      </c>
      <c r="M333" s="3">
        <v>12</v>
      </c>
      <c r="N333" s="3">
        <v>12.977672955974834</v>
      </c>
      <c r="O333" s="3">
        <v>13.234119496855346</v>
      </c>
      <c r="P333" s="3">
        <v>12.718081761006273</v>
      </c>
      <c r="Q333" s="16">
        <f t="shared" si="13"/>
        <v>1.3753476542153824</v>
      </c>
      <c r="R333" s="10">
        <v>4383.1192060490821</v>
      </c>
      <c r="S333" s="12">
        <f t="shared" si="14"/>
        <v>-3.7424664153628898E-2</v>
      </c>
    </row>
    <row r="334" spans="1:19" hidden="1">
      <c r="A334" s="9">
        <v>2025</v>
      </c>
      <c r="B334" s="19">
        <v>37</v>
      </c>
      <c r="C334" s="3" t="s">
        <v>18</v>
      </c>
      <c r="D334" s="3" t="s">
        <v>15</v>
      </c>
      <c r="E334" s="3" t="s">
        <v>19</v>
      </c>
      <c r="F334" s="3" t="s">
        <v>20</v>
      </c>
      <c r="G334" s="3" t="str">
        <f t="shared" si="12"/>
        <v>025PINK MONDIAL</v>
      </c>
      <c r="H334" s="3">
        <v>5850</v>
      </c>
      <c r="I334" s="3">
        <v>4290</v>
      </c>
      <c r="J334" s="3">
        <v>5796</v>
      </c>
      <c r="K334" s="3">
        <v>3071.9505625000002</v>
      </c>
      <c r="L334" s="3">
        <v>22400</v>
      </c>
      <c r="M334" s="3">
        <v>12</v>
      </c>
      <c r="N334" s="3">
        <v>13.589032258064515</v>
      </c>
      <c r="O334" s="3">
        <v>13.865806451612899</v>
      </c>
      <c r="P334" s="3">
        <v>13.317258064516144</v>
      </c>
      <c r="Q334" s="16">
        <f t="shared" si="13"/>
        <v>1.9043275212212989</v>
      </c>
      <c r="R334" s="10">
        <v>6154.2304954674883</v>
      </c>
      <c r="S334" s="12">
        <f t="shared" si="14"/>
        <v>-5.2005212900425341E-2</v>
      </c>
    </row>
    <row r="335" spans="1:19" hidden="1">
      <c r="A335" s="9">
        <v>2025</v>
      </c>
      <c r="B335" s="19">
        <v>38</v>
      </c>
      <c r="C335" s="3" t="s">
        <v>18</v>
      </c>
      <c r="D335" s="3" t="s">
        <v>15</v>
      </c>
      <c r="E335" s="3" t="s">
        <v>19</v>
      </c>
      <c r="F335" s="3" t="s">
        <v>20</v>
      </c>
      <c r="G335" s="3" t="str">
        <f t="shared" si="12"/>
        <v>025PINK MONDIAL</v>
      </c>
      <c r="H335" s="3">
        <v>6575</v>
      </c>
      <c r="I335" s="3">
        <v>5150</v>
      </c>
      <c r="J335" s="3">
        <v>5316</v>
      </c>
      <c r="K335" s="3">
        <v>3071.9505625000002</v>
      </c>
      <c r="L335" s="3">
        <v>22400</v>
      </c>
      <c r="M335" s="3">
        <v>12</v>
      </c>
      <c r="N335" s="3">
        <v>13.031825273010922</v>
      </c>
      <c r="O335" s="3">
        <v>13.280499219968798</v>
      </c>
      <c r="P335" s="3">
        <v>12.779719188767555</v>
      </c>
      <c r="Q335" s="16">
        <f t="shared" si="13"/>
        <v>2.1403339234239382</v>
      </c>
      <c r="R335" s="10">
        <v>6968.2920013131006</v>
      </c>
      <c r="S335" s="12">
        <f t="shared" si="14"/>
        <v>-5.9816273963969678E-2</v>
      </c>
    </row>
    <row r="336" spans="1:19" hidden="1">
      <c r="A336" s="9">
        <v>2025</v>
      </c>
      <c r="B336" s="19">
        <v>39</v>
      </c>
      <c r="C336" s="3" t="s">
        <v>18</v>
      </c>
      <c r="D336" s="3" t="s">
        <v>15</v>
      </c>
      <c r="E336" s="3" t="s">
        <v>19</v>
      </c>
      <c r="F336" s="3" t="s">
        <v>20</v>
      </c>
      <c r="G336" s="3" t="str">
        <f t="shared" si="12"/>
        <v>025PINK MONDIAL</v>
      </c>
      <c r="H336" s="3">
        <v>5975</v>
      </c>
      <c r="I336" s="3">
        <v>7057</v>
      </c>
      <c r="J336" s="3">
        <v>6435</v>
      </c>
      <c r="K336" s="3">
        <v>3071.9505625000002</v>
      </c>
      <c r="L336" s="3">
        <v>22400</v>
      </c>
      <c r="M336" s="3">
        <v>12</v>
      </c>
      <c r="N336" s="3">
        <v>14.003096539162122</v>
      </c>
      <c r="O336" s="3">
        <v>14.246265938069232</v>
      </c>
      <c r="P336" s="3">
        <v>13.765573770491811</v>
      </c>
      <c r="Q336" s="16">
        <f t="shared" si="13"/>
        <v>1.9450182802217539</v>
      </c>
      <c r="R336" s="10">
        <v>6275.8812090656766</v>
      </c>
      <c r="S336" s="12">
        <f t="shared" si="14"/>
        <v>-5.0356687709736662E-2</v>
      </c>
    </row>
    <row r="337" spans="1:19" hidden="1">
      <c r="A337" s="9">
        <v>2025</v>
      </c>
      <c r="B337" s="19">
        <v>40</v>
      </c>
      <c r="C337" s="3" t="s">
        <v>18</v>
      </c>
      <c r="D337" s="3" t="s">
        <v>15</v>
      </c>
      <c r="E337" s="3" t="s">
        <v>19</v>
      </c>
      <c r="F337" s="3" t="s">
        <v>20</v>
      </c>
      <c r="G337" s="3" t="str">
        <f t="shared" si="12"/>
        <v>025PINK MONDIAL</v>
      </c>
      <c r="H337" s="3">
        <v>6675</v>
      </c>
      <c r="I337" s="3">
        <v>6871</v>
      </c>
      <c r="J337" s="3">
        <v>6900</v>
      </c>
      <c r="K337" s="3">
        <v>3071.9505625000002</v>
      </c>
      <c r="L337" s="3">
        <v>22400</v>
      </c>
      <c r="M337" s="3">
        <v>12</v>
      </c>
      <c r="N337" s="3">
        <v>12.843362831858405</v>
      </c>
      <c r="O337" s="3">
        <v>13.098407079646016</v>
      </c>
      <c r="P337" s="3">
        <v>12.592743362831856</v>
      </c>
      <c r="Q337" s="16">
        <f t="shared" si="13"/>
        <v>2.1728865306243024</v>
      </c>
      <c r="R337" s="10">
        <v>6982.6442187203393</v>
      </c>
      <c r="S337" s="12">
        <f t="shared" si="14"/>
        <v>-4.6089021531136969E-2</v>
      </c>
    </row>
    <row r="338" spans="1:19" hidden="1">
      <c r="A338" s="9">
        <v>2025</v>
      </c>
      <c r="B338" s="19">
        <v>41</v>
      </c>
      <c r="C338" s="3" t="s">
        <v>18</v>
      </c>
      <c r="D338" s="3" t="s">
        <v>15</v>
      </c>
      <c r="E338" s="3" t="s">
        <v>19</v>
      </c>
      <c r="F338" s="3" t="s">
        <v>20</v>
      </c>
      <c r="G338" s="3" t="str">
        <f t="shared" si="12"/>
        <v>025PINK MONDIAL</v>
      </c>
      <c r="H338" s="3">
        <v>5375</v>
      </c>
      <c r="I338" s="3">
        <v>5902</v>
      </c>
      <c r="J338" s="3">
        <v>6870</v>
      </c>
      <c r="K338" s="3">
        <v>3071.9505625000002</v>
      </c>
      <c r="L338" s="3">
        <v>22400</v>
      </c>
      <c r="M338" s="3">
        <v>12</v>
      </c>
      <c r="N338" s="3">
        <v>13.871347248576845</v>
      </c>
      <c r="O338" s="3">
        <v>14.103605313092977</v>
      </c>
      <c r="P338" s="3">
        <v>13.632258064516128</v>
      </c>
      <c r="Q338" s="16">
        <f t="shared" si="13"/>
        <v>1.7497026370195694</v>
      </c>
      <c r="R338" s="10">
        <v>5598.3404464725372</v>
      </c>
      <c r="S338" s="12">
        <f t="shared" si="14"/>
        <v>-4.1551710971634834E-2</v>
      </c>
    </row>
    <row r="339" spans="1:19" hidden="1">
      <c r="A339" s="9">
        <v>2025</v>
      </c>
      <c r="B339" s="19">
        <v>42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ref="G339:G406" si="15">+E339&amp;F339</f>
        <v>025PINK MONDIAL</v>
      </c>
      <c r="H339" s="3">
        <v>3925</v>
      </c>
      <c r="I339" s="3">
        <v>5286</v>
      </c>
      <c r="J339" s="3">
        <v>5687</v>
      </c>
      <c r="K339" s="3">
        <v>3071.9505625000002</v>
      </c>
      <c r="L339" s="3">
        <v>22400</v>
      </c>
      <c r="M339" s="3">
        <v>12</v>
      </c>
      <c r="N339" s="3">
        <v>12.518382352941172</v>
      </c>
      <c r="O339" s="3">
        <v>12.743627450980384</v>
      </c>
      <c r="P339" s="3">
        <v>12.293382352941165</v>
      </c>
      <c r="Q339" s="16">
        <f t="shared" ref="Q339:Q406" si="16">+H339/K339</f>
        <v>1.2776898326142903</v>
      </c>
      <c r="R339" s="10">
        <v>4057.781075440118</v>
      </c>
      <c r="S339" s="12">
        <f t="shared" ref="S339:S372" si="17">+(H339-R339)/H339</f>
        <v>-3.3829573360539621E-2</v>
      </c>
    </row>
    <row r="340" spans="1:19" hidden="1">
      <c r="A340" s="9">
        <v>2025</v>
      </c>
      <c r="B340" s="19">
        <v>43</v>
      </c>
      <c r="C340" s="3" t="s">
        <v>18</v>
      </c>
      <c r="D340" s="3" t="s">
        <v>15</v>
      </c>
      <c r="E340" s="3" t="s">
        <v>19</v>
      </c>
      <c r="F340" s="3" t="s">
        <v>20</v>
      </c>
      <c r="G340" s="3" t="str">
        <f t="shared" si="15"/>
        <v>025PINK MONDIAL</v>
      </c>
      <c r="H340" s="3">
        <v>4150</v>
      </c>
      <c r="I340" s="3">
        <v>4489</v>
      </c>
      <c r="J340" s="3">
        <v>4963</v>
      </c>
      <c r="K340" s="3">
        <v>3071.9505625000002</v>
      </c>
      <c r="L340" s="3">
        <v>22400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16">
        <f t="shared" si="16"/>
        <v>1.3509331988151094</v>
      </c>
      <c r="R340" s="10">
        <v>4351.3813061589608</v>
      </c>
      <c r="S340" s="12">
        <f t="shared" si="17"/>
        <v>-4.8525615941918267E-2</v>
      </c>
    </row>
    <row r="341" spans="1:19" hidden="1">
      <c r="A341" s="9">
        <v>2025</v>
      </c>
      <c r="B341" s="19">
        <v>44</v>
      </c>
      <c r="C341" s="3" t="s">
        <v>18</v>
      </c>
      <c r="D341" s="3" t="s">
        <v>15</v>
      </c>
      <c r="E341" s="3" t="s">
        <v>19</v>
      </c>
      <c r="F341" s="3" t="s">
        <v>20</v>
      </c>
      <c r="G341" s="3" t="str">
        <f t="shared" si="15"/>
        <v>025PINK MONDIAL</v>
      </c>
      <c r="H341" s="3">
        <v>4525</v>
      </c>
      <c r="I341" s="3">
        <v>3964</v>
      </c>
      <c r="J341" s="3">
        <v>4123</v>
      </c>
      <c r="K341" s="3">
        <v>3071.9505625000002</v>
      </c>
      <c r="L341" s="3">
        <v>22400</v>
      </c>
      <c r="M341" s="3">
        <v>12</v>
      </c>
      <c r="N341" s="3">
        <v>14.073262839879131</v>
      </c>
      <c r="O341" s="3">
        <v>14.296978851963752</v>
      </c>
      <c r="P341" s="3">
        <v>13.846676737160124</v>
      </c>
      <c r="Q341" s="16">
        <f t="shared" si="16"/>
        <v>1.4730054758164748</v>
      </c>
      <c r="R341" s="10">
        <v>4747.3578620750577</v>
      </c>
      <c r="S341" s="12">
        <f t="shared" si="17"/>
        <v>-4.9139859022112202E-2</v>
      </c>
    </row>
    <row r="342" spans="1:19" hidden="1">
      <c r="A342" s="9">
        <v>2025</v>
      </c>
      <c r="B342" s="19">
        <v>45</v>
      </c>
      <c r="C342" s="3" t="s">
        <v>18</v>
      </c>
      <c r="D342" s="3" t="s">
        <v>15</v>
      </c>
      <c r="E342" s="3" t="s">
        <v>19</v>
      </c>
      <c r="F342" s="3" t="s">
        <v>20</v>
      </c>
      <c r="G342" s="3" t="str">
        <f t="shared" si="15"/>
        <v>025PINK MONDIAL</v>
      </c>
      <c r="H342" s="3">
        <v>4150</v>
      </c>
      <c r="I342" s="3">
        <v>4515</v>
      </c>
      <c r="J342" s="3">
        <v>4576</v>
      </c>
      <c r="K342" s="3">
        <v>3071.9505625000002</v>
      </c>
      <c r="L342" s="3">
        <v>22400</v>
      </c>
      <c r="M342" s="3">
        <v>12</v>
      </c>
      <c r="N342" s="3">
        <v>14.836850152905189</v>
      </c>
      <c r="O342" s="3">
        <v>15.074923547400614</v>
      </c>
      <c r="P342" s="3">
        <v>14.594495412844042</v>
      </c>
      <c r="Q342" s="16">
        <f t="shared" si="16"/>
        <v>1.3509331988151094</v>
      </c>
      <c r="R342" s="10">
        <v>4354.0510999956005</v>
      </c>
      <c r="S342" s="12">
        <f t="shared" si="17"/>
        <v>-4.916893975797601E-2</v>
      </c>
    </row>
    <row r="343" spans="1:19" hidden="1">
      <c r="A343" s="9">
        <v>2025</v>
      </c>
      <c r="B343" s="19">
        <v>46</v>
      </c>
      <c r="C343" s="3" t="s">
        <v>18</v>
      </c>
      <c r="D343" s="3" t="s">
        <v>15</v>
      </c>
      <c r="E343" s="3" t="s">
        <v>19</v>
      </c>
      <c r="F343" s="3" t="s">
        <v>20</v>
      </c>
      <c r="G343" s="3" t="str">
        <f t="shared" si="15"/>
        <v>025PINK MONDIAL</v>
      </c>
      <c r="H343" s="3">
        <v>4200</v>
      </c>
      <c r="I343" s="3">
        <v>4681</v>
      </c>
      <c r="J343" s="3">
        <v>5021</v>
      </c>
      <c r="K343" s="3">
        <v>3071.9505625000002</v>
      </c>
      <c r="L343" s="3">
        <v>22400</v>
      </c>
      <c r="M343" s="3">
        <v>12</v>
      </c>
      <c r="N343" s="3">
        <v>14.582800608828016</v>
      </c>
      <c r="O343" s="3">
        <v>14.816590563165887</v>
      </c>
      <c r="P343" s="3">
        <v>14.359512937595126</v>
      </c>
      <c r="Q343" s="16">
        <f t="shared" si="16"/>
        <v>1.3672095024152915</v>
      </c>
      <c r="R343" s="10">
        <v>4390.0711569395762</v>
      </c>
      <c r="S343" s="12">
        <f t="shared" si="17"/>
        <v>-4.5255037366565762E-2</v>
      </c>
    </row>
    <row r="344" spans="1:19" hidden="1">
      <c r="A344" s="9">
        <v>2025</v>
      </c>
      <c r="B344" s="19">
        <v>47</v>
      </c>
      <c r="C344" s="3" t="s">
        <v>18</v>
      </c>
      <c r="D344" s="3" t="s">
        <v>15</v>
      </c>
      <c r="E344" s="3" t="s">
        <v>19</v>
      </c>
      <c r="F344" s="3" t="s">
        <v>20</v>
      </c>
      <c r="G344" s="3" t="str">
        <f t="shared" si="15"/>
        <v>025PINK MONDIAL</v>
      </c>
      <c r="H344" s="3">
        <v>4075</v>
      </c>
      <c r="I344" s="3">
        <v>4609</v>
      </c>
      <c r="J344" s="3">
        <v>4270</v>
      </c>
      <c r="K344" s="3">
        <v>3071.9505625000002</v>
      </c>
      <c r="L344" s="3">
        <v>22400</v>
      </c>
      <c r="M344" s="3">
        <v>12</v>
      </c>
      <c r="N344" s="3">
        <v>14.756838905775062</v>
      </c>
      <c r="O344" s="3">
        <v>15.013829787234029</v>
      </c>
      <c r="P344" s="3">
        <v>14.501519756838901</v>
      </c>
      <c r="Q344" s="16">
        <f t="shared" si="16"/>
        <v>1.3265187434148364</v>
      </c>
      <c r="R344" s="10">
        <v>4272.3105895162607</v>
      </c>
      <c r="S344" s="12">
        <f t="shared" si="17"/>
        <v>-4.8419776568407541E-2</v>
      </c>
    </row>
    <row r="345" spans="1:19" hidden="1">
      <c r="A345" s="9">
        <v>2025</v>
      </c>
      <c r="B345" s="19">
        <v>48</v>
      </c>
      <c r="C345" s="3" t="s">
        <v>18</v>
      </c>
      <c r="D345" s="3" t="s">
        <v>15</v>
      </c>
      <c r="E345" s="3" t="s">
        <v>19</v>
      </c>
      <c r="F345" s="3" t="s">
        <v>20</v>
      </c>
      <c r="G345" s="3" t="str">
        <f t="shared" si="15"/>
        <v>025PINK MONDIAL</v>
      </c>
      <c r="H345" s="3">
        <v>4700</v>
      </c>
      <c r="I345" s="3">
        <v>4618</v>
      </c>
      <c r="J345" s="3">
        <v>4328</v>
      </c>
      <c r="K345" s="3">
        <v>3071.9505625000002</v>
      </c>
      <c r="L345" s="3">
        <v>22400</v>
      </c>
      <c r="M345" s="3">
        <v>12</v>
      </c>
      <c r="N345" s="3">
        <v>14.30164670658683</v>
      </c>
      <c r="O345" s="3">
        <v>14.475149700598816</v>
      </c>
      <c r="P345" s="3">
        <v>14.12919161676647</v>
      </c>
      <c r="Q345" s="16">
        <f t="shared" si="16"/>
        <v>1.5299725384171119</v>
      </c>
      <c r="R345" s="10">
        <v>4894.6911559253767</v>
      </c>
      <c r="S345" s="12">
        <f t="shared" si="17"/>
        <v>-4.1423650196888664E-2</v>
      </c>
    </row>
    <row r="346" spans="1:19" hidden="1">
      <c r="A346" s="9">
        <v>2025</v>
      </c>
      <c r="B346" s="19">
        <v>49</v>
      </c>
      <c r="C346" s="3" t="s">
        <v>18</v>
      </c>
      <c r="D346" s="3" t="s">
        <v>15</v>
      </c>
      <c r="E346" s="3" t="s">
        <v>19</v>
      </c>
      <c r="F346" s="3" t="s">
        <v>20</v>
      </c>
      <c r="G346" s="3" t="str">
        <f t="shared" si="15"/>
        <v>025PINK MONDIAL</v>
      </c>
      <c r="H346" s="3">
        <v>5675</v>
      </c>
      <c r="I346" s="3">
        <v>5352</v>
      </c>
      <c r="J346" s="3">
        <v>4711</v>
      </c>
      <c r="K346" s="3">
        <v>3071.9505625000002</v>
      </c>
      <c r="L346" s="3">
        <v>22400</v>
      </c>
      <c r="M346" s="3">
        <v>12</v>
      </c>
      <c r="N346" s="3">
        <v>12.785714285714281</v>
      </c>
      <c r="O346" s="3">
        <v>13.009821428571421</v>
      </c>
      <c r="P346" s="3">
        <v>12.563839285714286</v>
      </c>
      <c r="Q346" s="16">
        <f t="shared" si="16"/>
        <v>1.8473604586206618</v>
      </c>
      <c r="R346" s="10">
        <v>6013.4912032958182</v>
      </c>
      <c r="S346" s="12">
        <f t="shared" si="17"/>
        <v>-5.964602701247898E-2</v>
      </c>
    </row>
    <row r="347" spans="1:19" hidden="1">
      <c r="A347" s="9">
        <v>2025</v>
      </c>
      <c r="B347" s="19">
        <v>50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15"/>
        <v>025PINK MONDIAL</v>
      </c>
      <c r="H347" s="3">
        <v>5250</v>
      </c>
      <c r="I347" s="3">
        <v>4794</v>
      </c>
      <c r="J347" s="3">
        <v>5666</v>
      </c>
      <c r="K347" s="3">
        <v>3071.9505625000002</v>
      </c>
      <c r="L347" s="3">
        <v>22400</v>
      </c>
      <c r="M347" s="3">
        <v>12</v>
      </c>
      <c r="N347" s="3">
        <v>12.562962962962962</v>
      </c>
      <c r="O347" s="3">
        <v>12.822507122507124</v>
      </c>
      <c r="P347" s="3">
        <v>12.308262108262106</v>
      </c>
      <c r="Q347" s="16">
        <f t="shared" si="16"/>
        <v>1.7090118780191144</v>
      </c>
      <c r="R347" s="10">
        <v>5518.7603653756159</v>
      </c>
      <c r="S347" s="12">
        <f t="shared" si="17"/>
        <v>-5.1192450547736371E-2</v>
      </c>
    </row>
    <row r="348" spans="1:19" hidden="1">
      <c r="A348" s="9">
        <v>2025</v>
      </c>
      <c r="B348" s="19">
        <v>51</v>
      </c>
      <c r="C348" s="3" t="s">
        <v>18</v>
      </c>
      <c r="D348" s="3" t="s">
        <v>15</v>
      </c>
      <c r="E348" s="3" t="s">
        <v>19</v>
      </c>
      <c r="F348" s="3" t="s">
        <v>20</v>
      </c>
      <c r="G348" s="3" t="str">
        <f t="shared" si="15"/>
        <v>025PINK MONDIAL</v>
      </c>
      <c r="H348" s="3">
        <v>5325</v>
      </c>
      <c r="I348" s="3">
        <v>5772</v>
      </c>
      <c r="J348" s="3">
        <v>4559</v>
      </c>
      <c r="K348" s="3">
        <v>3071.9505625000002</v>
      </c>
      <c r="L348" s="3">
        <v>22400</v>
      </c>
      <c r="M348" s="3">
        <v>12</v>
      </c>
      <c r="N348" s="3">
        <v>14.116666666666669</v>
      </c>
      <c r="O348" s="3">
        <v>14.313541666666683</v>
      </c>
      <c r="P348" s="3">
        <v>13.918303571428599</v>
      </c>
      <c r="Q348" s="16">
        <f t="shared" si="16"/>
        <v>1.7334263334193873</v>
      </c>
      <c r="R348" s="10">
        <v>5574.4958229593858</v>
      </c>
      <c r="S348" s="12">
        <f t="shared" si="17"/>
        <v>-4.6853675673124096E-2</v>
      </c>
    </row>
    <row r="349" spans="1:19" hidden="1">
      <c r="A349" s="9">
        <v>2025</v>
      </c>
      <c r="B349" s="19">
        <v>52</v>
      </c>
      <c r="C349" s="3" t="s">
        <v>18</v>
      </c>
      <c r="D349" s="3" t="s">
        <v>15</v>
      </c>
      <c r="E349" s="3" t="s">
        <v>19</v>
      </c>
      <c r="F349" s="3" t="s">
        <v>20</v>
      </c>
      <c r="G349" s="3" t="str">
        <f t="shared" si="15"/>
        <v>025PINK MONDIAL</v>
      </c>
      <c r="H349" s="3">
        <v>5975</v>
      </c>
      <c r="I349" s="3">
        <v>5634</v>
      </c>
      <c r="J349" s="3">
        <v>5955</v>
      </c>
      <c r="K349" s="3">
        <v>3071.9505625000002</v>
      </c>
      <c r="L349" s="3">
        <v>22400</v>
      </c>
      <c r="M349" s="3">
        <v>12</v>
      </c>
      <c r="N349" s="3">
        <v>14.780803571428551</v>
      </c>
      <c r="O349" s="3">
        <v>14.962351190476202</v>
      </c>
      <c r="P349" s="3">
        <v>14.597619047619043</v>
      </c>
      <c r="Q349" s="16">
        <f t="shared" si="16"/>
        <v>1.9450182802217539</v>
      </c>
      <c r="R349" s="10">
        <v>6307.0404559544968</v>
      </c>
      <c r="S349" s="12">
        <f t="shared" si="17"/>
        <v>-5.5571624427530844E-2</v>
      </c>
    </row>
    <row r="350" spans="1:19" hidden="1">
      <c r="A350" s="9">
        <v>2026</v>
      </c>
      <c r="B350" s="19">
        <v>1</v>
      </c>
      <c r="C350" s="3" t="s">
        <v>18</v>
      </c>
      <c r="D350" s="3" t="s">
        <v>15</v>
      </c>
      <c r="E350" s="3" t="s">
        <v>19</v>
      </c>
      <c r="F350" s="3" t="s">
        <v>20</v>
      </c>
      <c r="G350" s="3" t="str">
        <f t="shared" si="15"/>
        <v>025PINK MONDIAL</v>
      </c>
      <c r="H350" s="3">
        <v>4700</v>
      </c>
      <c r="I350" s="3">
        <v>6518</v>
      </c>
      <c r="J350" s="3">
        <v>6144</v>
      </c>
      <c r="K350" s="3">
        <v>3071.9505625000002</v>
      </c>
      <c r="L350" s="3">
        <v>22400</v>
      </c>
      <c r="M350" s="3">
        <v>12</v>
      </c>
      <c r="N350" s="3">
        <v>13.975520833333354</v>
      </c>
      <c r="O350" s="3">
        <v>14.218750000000002</v>
      </c>
      <c r="P350" s="3">
        <v>13.740624999999994</v>
      </c>
      <c r="Q350" s="16">
        <f t="shared" si="16"/>
        <v>1.5299725384171119</v>
      </c>
      <c r="R350" s="10">
        <v>4894.6911559253767</v>
      </c>
      <c r="S350" s="12">
        <f t="shared" si="17"/>
        <v>-4.1423650196888664E-2</v>
      </c>
    </row>
    <row r="351" spans="1:19" hidden="1">
      <c r="A351" s="9">
        <v>2026</v>
      </c>
      <c r="B351" s="19">
        <v>2</v>
      </c>
      <c r="C351" s="3" t="s">
        <v>18</v>
      </c>
      <c r="D351" s="3" t="s">
        <v>15</v>
      </c>
      <c r="E351" s="3" t="s">
        <v>19</v>
      </c>
      <c r="F351" s="3" t="s">
        <v>20</v>
      </c>
      <c r="G351" s="3" t="str">
        <f t="shared" si="15"/>
        <v>025PINK MONDIAL</v>
      </c>
      <c r="H351" s="3">
        <v>4125</v>
      </c>
      <c r="I351" s="3">
        <v>7560</v>
      </c>
      <c r="J351" s="3">
        <v>7560</v>
      </c>
      <c r="K351" s="3">
        <v>3071.9505625000002</v>
      </c>
      <c r="L351" s="3">
        <v>22400</v>
      </c>
      <c r="M351" s="3">
        <v>12</v>
      </c>
      <c r="N351" s="3">
        <v>13.445535714285695</v>
      </c>
      <c r="O351" s="3">
        <v>13.624255952380969</v>
      </c>
      <c r="P351" s="3">
        <v>13.274851190476191</v>
      </c>
      <c r="Q351" s="16">
        <f t="shared" si="16"/>
        <v>1.3427950470150185</v>
      </c>
      <c r="R351" s="10">
        <v>4333.840067766776</v>
      </c>
      <c r="S351" s="12">
        <f t="shared" si="17"/>
        <v>-5.0627895216188115E-2</v>
      </c>
    </row>
    <row r="352" spans="1:19" hidden="1">
      <c r="A352" s="9">
        <v>2026</v>
      </c>
      <c r="B352" s="19">
        <v>3</v>
      </c>
      <c r="C352" s="3" t="s">
        <v>18</v>
      </c>
      <c r="D352" s="3" t="s">
        <v>15</v>
      </c>
      <c r="E352" s="3" t="s">
        <v>19</v>
      </c>
      <c r="F352" s="3" t="s">
        <v>20</v>
      </c>
      <c r="G352" s="3" t="str">
        <f t="shared" si="15"/>
        <v>025PINK MONDIAL</v>
      </c>
      <c r="H352" s="3">
        <v>4400</v>
      </c>
      <c r="I352" s="3">
        <v>6919</v>
      </c>
      <c r="J352" s="3">
        <v>6919</v>
      </c>
      <c r="K352" s="3">
        <v>3071.9505625000002</v>
      </c>
      <c r="L352" s="3">
        <v>22400</v>
      </c>
      <c r="M352" s="3">
        <v>12</v>
      </c>
      <c r="N352" s="3">
        <v>14.266517857142849</v>
      </c>
      <c r="O352" s="3">
        <v>14.450297619047618</v>
      </c>
      <c r="P352" s="3">
        <v>14.083184523809532</v>
      </c>
      <c r="Q352" s="16">
        <f t="shared" si="16"/>
        <v>1.4323147168160197</v>
      </c>
      <c r="R352" s="10">
        <v>4627.2149546523169</v>
      </c>
      <c r="S352" s="12">
        <f t="shared" si="17"/>
        <v>-5.1639762420981117E-2</v>
      </c>
    </row>
    <row r="353" spans="1:20" hidden="1">
      <c r="A353" s="9">
        <v>2026</v>
      </c>
      <c r="B353" s="19">
        <v>4</v>
      </c>
      <c r="C353" s="3" t="s">
        <v>18</v>
      </c>
      <c r="D353" s="3" t="s">
        <v>15</v>
      </c>
      <c r="E353" s="3" t="s">
        <v>19</v>
      </c>
      <c r="F353" s="3" t="s">
        <v>20</v>
      </c>
      <c r="G353" s="3" t="str">
        <f t="shared" si="15"/>
        <v>025PINK MONDIAL</v>
      </c>
      <c r="H353" s="3">
        <v>6125</v>
      </c>
      <c r="I353" s="3">
        <v>7087</v>
      </c>
      <c r="J353" s="3">
        <v>7087</v>
      </c>
      <c r="K353" s="3">
        <v>3071.9505625000002</v>
      </c>
      <c r="L353" s="3">
        <v>22400</v>
      </c>
      <c r="M353" s="3">
        <v>12</v>
      </c>
      <c r="N353" s="3">
        <v>13.962351190476189</v>
      </c>
      <c r="O353" s="3">
        <v>14.126636904761922</v>
      </c>
      <c r="P353" s="3">
        <v>13.802083333333345</v>
      </c>
      <c r="Q353" s="16">
        <f t="shared" si="16"/>
        <v>1.9938471910223001</v>
      </c>
      <c r="R353" s="10">
        <v>6554.944577762627</v>
      </c>
      <c r="S353" s="12">
        <f t="shared" si="17"/>
        <v>-7.019503310410237E-2</v>
      </c>
    </row>
    <row r="354" spans="1:20" hidden="1">
      <c r="A354" s="9">
        <v>2026</v>
      </c>
      <c r="B354" s="19">
        <v>5</v>
      </c>
      <c r="C354" s="3" t="s">
        <v>18</v>
      </c>
      <c r="D354" s="3" t="s">
        <v>15</v>
      </c>
      <c r="E354" s="3" t="s">
        <v>19</v>
      </c>
      <c r="F354" s="3" t="s">
        <v>20</v>
      </c>
      <c r="G354" s="3" t="str">
        <f t="shared" si="15"/>
        <v>025PINK MONDIAL</v>
      </c>
      <c r="H354" s="3">
        <v>10400</v>
      </c>
      <c r="I354" s="3">
        <v>10353</v>
      </c>
      <c r="J354" s="3">
        <v>10353</v>
      </c>
      <c r="K354" s="3">
        <v>3071.9505625000002</v>
      </c>
      <c r="L354" s="4">
        <v>22400</v>
      </c>
      <c r="M354" s="3">
        <v>12</v>
      </c>
      <c r="N354" s="4">
        <v>13.891220238095249</v>
      </c>
      <c r="O354" s="4">
        <v>14.021428571428576</v>
      </c>
      <c r="P354" s="4">
        <v>13.768154761904773</v>
      </c>
      <c r="Q354" s="16">
        <f t="shared" si="16"/>
        <v>3.3854711488378646</v>
      </c>
      <c r="R354" s="10">
        <v>10540.635922056719</v>
      </c>
      <c r="S354" s="12">
        <f t="shared" si="17"/>
        <v>-1.3522684813146078E-2</v>
      </c>
    </row>
    <row r="355" spans="1:20" hidden="1">
      <c r="A355" s="9">
        <v>2026</v>
      </c>
      <c r="B355" s="19">
        <v>6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15"/>
        <v>025PINK MONDIAL</v>
      </c>
      <c r="H355" s="3">
        <v>7900</v>
      </c>
      <c r="I355" s="3">
        <v>11381</v>
      </c>
      <c r="J355" s="3">
        <v>11381</v>
      </c>
      <c r="K355" s="3">
        <v>3071.9505625000002</v>
      </c>
      <c r="L355" s="3">
        <v>22400</v>
      </c>
      <c r="M355" s="3">
        <v>12</v>
      </c>
      <c r="N355" s="4">
        <v>13.608779761904751</v>
      </c>
      <c r="O355" s="4">
        <v>13.751190476190473</v>
      </c>
      <c r="P355" s="4">
        <v>13.467410714285698</v>
      </c>
      <c r="Q355" s="16">
        <f t="shared" si="16"/>
        <v>2.5716559688287624</v>
      </c>
      <c r="R355" s="10">
        <v>7904.6051584530778</v>
      </c>
      <c r="S355" s="12">
        <f t="shared" si="17"/>
        <v>-5.8293144975668607E-4</v>
      </c>
    </row>
    <row r="356" spans="1:20" hidden="1">
      <c r="A356" s="9">
        <v>2026</v>
      </c>
      <c r="B356" s="19">
        <v>7</v>
      </c>
      <c r="C356" s="3" t="s">
        <v>18</v>
      </c>
      <c r="D356" s="3" t="s">
        <v>15</v>
      </c>
      <c r="E356" s="3" t="s">
        <v>19</v>
      </c>
      <c r="F356" s="3" t="s">
        <v>20</v>
      </c>
      <c r="G356" s="3" t="str">
        <f t="shared" si="15"/>
        <v>025PINK MONDIAL</v>
      </c>
      <c r="H356" s="3">
        <v>6325</v>
      </c>
      <c r="I356" s="3">
        <v>6820</v>
      </c>
      <c r="J356" s="3">
        <v>6820</v>
      </c>
      <c r="K356" s="3">
        <v>3071.9505625000002</v>
      </c>
      <c r="L356" s="3">
        <v>22400</v>
      </c>
      <c r="M356" s="3">
        <v>12</v>
      </c>
      <c r="N356" s="3">
        <v>13.648136645962733</v>
      </c>
      <c r="O356" s="3">
        <v>13.84565217391305</v>
      </c>
      <c r="P356" s="3">
        <v>13.459316770186343</v>
      </c>
      <c r="Q356" s="16">
        <f t="shared" si="16"/>
        <v>2.0589524054230282</v>
      </c>
      <c r="R356" s="10">
        <v>6871.8642414536434</v>
      </c>
      <c r="S356" s="12">
        <f t="shared" si="17"/>
        <v>-8.6460749636939671E-2</v>
      </c>
    </row>
    <row r="357" spans="1:20" hidden="1">
      <c r="A357" s="9">
        <v>2026</v>
      </c>
      <c r="B357" s="19">
        <v>8</v>
      </c>
      <c r="C357" s="3" t="s">
        <v>18</v>
      </c>
      <c r="D357" s="3" t="s">
        <v>15</v>
      </c>
      <c r="E357" s="3" t="s">
        <v>19</v>
      </c>
      <c r="F357" s="3" t="s">
        <v>20</v>
      </c>
      <c r="G357" s="3" t="str">
        <f t="shared" si="15"/>
        <v>025PINK MONDIAL</v>
      </c>
      <c r="H357" s="3">
        <v>4550</v>
      </c>
      <c r="I357" s="3">
        <v>7110</v>
      </c>
      <c r="J357" s="3">
        <v>4230</v>
      </c>
      <c r="K357" s="3">
        <v>3071.9505625000002</v>
      </c>
      <c r="L357" s="3">
        <v>22400</v>
      </c>
      <c r="M357" s="3">
        <v>12</v>
      </c>
      <c r="N357" s="3">
        <v>13.817410714285709</v>
      </c>
      <c r="O357" s="3">
        <v>13.988244047619043</v>
      </c>
      <c r="P357" s="3">
        <v>13.654017857142849</v>
      </c>
      <c r="Q357" s="16">
        <f t="shared" si="16"/>
        <v>1.4811436276165657</v>
      </c>
      <c r="R357" s="10">
        <v>4809.7000762562047</v>
      </c>
      <c r="S357" s="12">
        <f t="shared" si="17"/>
        <v>-5.7076939836528513E-2</v>
      </c>
    </row>
    <row r="358" spans="1:20" hidden="1">
      <c r="A358" s="9">
        <v>2026</v>
      </c>
      <c r="B358" s="19">
        <v>9</v>
      </c>
      <c r="C358" s="3" t="s">
        <v>18</v>
      </c>
      <c r="D358" s="3" t="s">
        <v>15</v>
      </c>
      <c r="E358" s="3" t="s">
        <v>19</v>
      </c>
      <c r="F358" s="3" t="s">
        <v>20</v>
      </c>
      <c r="G358" s="3" t="str">
        <f t="shared" si="15"/>
        <v>025PINK MONDIAL</v>
      </c>
      <c r="H358" s="3">
        <v>4950</v>
      </c>
      <c r="I358" s="3">
        <v>5073</v>
      </c>
      <c r="J358" s="3">
        <v>6715</v>
      </c>
      <c r="K358" s="3">
        <v>3071.9505625000002</v>
      </c>
      <c r="L358" s="3">
        <v>22400</v>
      </c>
      <c r="M358" s="3">
        <v>12</v>
      </c>
      <c r="N358" s="3">
        <v>14.133506944444456</v>
      </c>
      <c r="O358" s="3">
        <v>14.297569444444438</v>
      </c>
      <c r="P358" s="3">
        <v>13.967881944444436</v>
      </c>
      <c r="Q358" s="16">
        <f t="shared" si="16"/>
        <v>1.6113540564180222</v>
      </c>
      <c r="R358" s="10">
        <v>5127.9414366690653</v>
      </c>
      <c r="S358" s="12">
        <f t="shared" si="17"/>
        <v>-3.5947764983649558E-2</v>
      </c>
    </row>
    <row r="359" spans="1:20" hidden="1">
      <c r="A359" s="9">
        <v>2026</v>
      </c>
      <c r="B359" s="20">
        <v>10</v>
      </c>
      <c r="C359" s="5" t="s">
        <v>18</v>
      </c>
      <c r="D359" s="5" t="s">
        <v>15</v>
      </c>
      <c r="E359" s="5" t="s">
        <v>19</v>
      </c>
      <c r="F359" s="5" t="s">
        <v>20</v>
      </c>
      <c r="G359" s="3" t="str">
        <f t="shared" si="15"/>
        <v>025PINK MONDIAL</v>
      </c>
      <c r="H359" s="6">
        <v>7525</v>
      </c>
      <c r="I359" s="6">
        <v>4734</v>
      </c>
      <c r="J359" s="6">
        <v>4320</v>
      </c>
      <c r="K359" s="3">
        <v>3071.9505625000002</v>
      </c>
      <c r="L359" s="3">
        <v>22400</v>
      </c>
      <c r="M359" s="3">
        <v>12</v>
      </c>
      <c r="N359" s="3">
        <v>15.017410714285699</v>
      </c>
      <c r="O359" s="3">
        <v>15.20238095238096</v>
      </c>
      <c r="P359" s="3">
        <v>14.836011904761907</v>
      </c>
      <c r="Q359" s="16">
        <f t="shared" si="16"/>
        <v>2.4495836918273972</v>
      </c>
      <c r="R359" s="10">
        <v>7818.3211503338944</v>
      </c>
      <c r="S359" s="12">
        <f t="shared" si="17"/>
        <v>-3.8979554861647094E-2</v>
      </c>
    </row>
    <row r="360" spans="1:20" hidden="1">
      <c r="A360" s="9">
        <v>2026</v>
      </c>
      <c r="B360" s="20">
        <v>11</v>
      </c>
      <c r="C360" s="5" t="s">
        <v>18</v>
      </c>
      <c r="D360" s="5" t="s">
        <v>15</v>
      </c>
      <c r="E360" s="5" t="s">
        <v>19</v>
      </c>
      <c r="F360" s="5" t="s">
        <v>20</v>
      </c>
      <c r="G360" s="3" t="str">
        <f t="shared" si="15"/>
        <v>025PINK MONDIAL</v>
      </c>
      <c r="H360" s="6">
        <v>4425</v>
      </c>
      <c r="I360" s="6">
        <v>5276</v>
      </c>
      <c r="J360" s="6">
        <v>5180</v>
      </c>
      <c r="K360" s="3">
        <v>3071.9505625000002</v>
      </c>
      <c r="L360" s="3">
        <v>22400</v>
      </c>
      <c r="M360" s="3">
        <v>12</v>
      </c>
      <c r="N360" s="3">
        <v>14.47744360902257</v>
      </c>
      <c r="O360" s="3">
        <v>14.635488721804517</v>
      </c>
      <c r="P360" s="3">
        <v>14.324360902255648</v>
      </c>
      <c r="Q360" s="16">
        <f t="shared" si="16"/>
        <v>1.4404528686161107</v>
      </c>
      <c r="R360" s="10">
        <v>4683.7462941958074</v>
      </c>
      <c r="S360" s="12">
        <f t="shared" si="17"/>
        <v>-5.847373880131241E-2</v>
      </c>
    </row>
    <row r="361" spans="1:20" hidden="1">
      <c r="A361" s="9">
        <v>2026</v>
      </c>
      <c r="B361" s="20">
        <v>12</v>
      </c>
      <c r="C361" s="5" t="s">
        <v>18</v>
      </c>
      <c r="D361" s="5" t="s">
        <v>15</v>
      </c>
      <c r="E361" s="5" t="s">
        <v>19</v>
      </c>
      <c r="F361" s="5" t="s">
        <v>20</v>
      </c>
      <c r="G361" s="3" t="str">
        <f t="shared" si="15"/>
        <v>025PINK MONDIAL</v>
      </c>
      <c r="H361" s="6">
        <v>4625</v>
      </c>
      <c r="I361" s="6">
        <v>5023</v>
      </c>
      <c r="J361" s="6">
        <v>5023</v>
      </c>
      <c r="K361" s="3">
        <v>3071.9505625000002</v>
      </c>
      <c r="L361" s="3">
        <v>22400</v>
      </c>
      <c r="M361" s="3">
        <v>12</v>
      </c>
      <c r="N361" s="3">
        <v>13.68377976190477</v>
      </c>
      <c r="O361" s="3">
        <v>13.892410714285713</v>
      </c>
      <c r="P361" s="3">
        <v>13.471130952380953</v>
      </c>
      <c r="Q361" s="16">
        <f t="shared" si="16"/>
        <v>1.5055580830168389</v>
      </c>
      <c r="R361" s="10">
        <v>4843.6659462566186</v>
      </c>
      <c r="S361" s="12">
        <f t="shared" si="17"/>
        <v>-4.7279123514944552E-2</v>
      </c>
    </row>
    <row r="362" spans="1:20" hidden="1">
      <c r="A362" s="9">
        <v>2026</v>
      </c>
      <c r="B362" s="20">
        <v>13</v>
      </c>
      <c r="C362" s="5" t="s">
        <v>18</v>
      </c>
      <c r="D362" s="5" t="s">
        <v>15</v>
      </c>
      <c r="E362" s="5" t="s">
        <v>19</v>
      </c>
      <c r="F362" s="5" t="s">
        <v>20</v>
      </c>
      <c r="G362" s="3" t="str">
        <f t="shared" si="15"/>
        <v>025PINK MONDIAL</v>
      </c>
      <c r="H362" s="6">
        <v>5575</v>
      </c>
      <c r="I362" s="6">
        <v>5625</v>
      </c>
      <c r="J362" s="6">
        <v>5625</v>
      </c>
      <c r="K362" s="3">
        <v>3071.9505625000002</v>
      </c>
      <c r="L362" s="3">
        <v>22400</v>
      </c>
      <c r="M362" s="3">
        <v>12</v>
      </c>
      <c r="N362" s="3">
        <v>14.021726190476178</v>
      </c>
      <c r="O362" s="3">
        <v>14.186755952380958</v>
      </c>
      <c r="P362" s="3">
        <v>13.861755952380944</v>
      </c>
      <c r="Q362" s="16">
        <f t="shared" si="16"/>
        <v>1.8148078514202977</v>
      </c>
      <c r="R362" s="10">
        <v>6271.3257471872221</v>
      </c>
      <c r="S362" s="12">
        <f t="shared" si="17"/>
        <v>-0.12490147931609365</v>
      </c>
    </row>
    <row r="363" spans="1:20" hidden="1">
      <c r="A363" s="9">
        <v>2026</v>
      </c>
      <c r="B363" s="20">
        <v>14</v>
      </c>
      <c r="C363" s="5" t="s">
        <v>18</v>
      </c>
      <c r="D363" s="5" t="s">
        <v>15</v>
      </c>
      <c r="E363" s="5" t="s">
        <v>19</v>
      </c>
      <c r="F363" s="5" t="s">
        <v>20</v>
      </c>
      <c r="G363" s="3" t="str">
        <f t="shared" si="15"/>
        <v>025PINK MONDIAL</v>
      </c>
      <c r="H363" s="6">
        <v>4075</v>
      </c>
      <c r="I363" s="6">
        <v>5130</v>
      </c>
      <c r="J363" s="6">
        <v>5425</v>
      </c>
      <c r="K363" s="3">
        <v>3071.9505624999979</v>
      </c>
      <c r="L363" s="3">
        <v>22400</v>
      </c>
      <c r="M363" s="3">
        <v>12</v>
      </c>
      <c r="N363" s="3">
        <v>13.443225806451611</v>
      </c>
      <c r="O363" s="3">
        <v>13.619354838709683</v>
      </c>
      <c r="P363" s="3">
        <v>13.269032258064518</v>
      </c>
      <c r="Q363" s="16">
        <f t="shared" si="16"/>
        <v>1.3265187434148373</v>
      </c>
      <c r="R363" s="10">
        <v>4326.1808743191368</v>
      </c>
      <c r="S363" s="12">
        <f t="shared" si="17"/>
        <v>-6.1639478360524372E-2</v>
      </c>
    </row>
    <row r="364" spans="1:20" hidden="1">
      <c r="A364" s="9">
        <v>2026</v>
      </c>
      <c r="B364" s="20">
        <v>15</v>
      </c>
      <c r="C364" s="5" t="s">
        <v>18</v>
      </c>
      <c r="D364" s="5" t="s">
        <v>15</v>
      </c>
      <c r="E364" s="5" t="s">
        <v>19</v>
      </c>
      <c r="F364" s="5" t="s">
        <v>20</v>
      </c>
      <c r="G364" s="3" t="str">
        <f t="shared" si="15"/>
        <v>025PINK MONDIAL</v>
      </c>
      <c r="H364" s="6">
        <v>6525</v>
      </c>
      <c r="I364" s="6">
        <v>4912</v>
      </c>
      <c r="J364" s="6">
        <v>5426</v>
      </c>
      <c r="K364" s="3">
        <v>3071.9505624999979</v>
      </c>
      <c r="L364" s="3">
        <v>22400</v>
      </c>
      <c r="M364" s="3">
        <v>12</v>
      </c>
      <c r="N364" s="3">
        <v>14.582738095238117</v>
      </c>
      <c r="O364" s="3">
        <v>14.794791666666661</v>
      </c>
      <c r="P364" s="3">
        <v>14.374404761904756</v>
      </c>
      <c r="Q364" s="16">
        <f t="shared" si="16"/>
        <v>2.1240576198237582</v>
      </c>
      <c r="R364" s="10">
        <v>7108.982658334633</v>
      </c>
      <c r="S364" s="12">
        <f t="shared" si="17"/>
        <v>-8.9499257982319239E-2</v>
      </c>
    </row>
    <row r="365" spans="1:20" hidden="1">
      <c r="A365" s="9">
        <v>2026</v>
      </c>
      <c r="B365" s="20">
        <v>16</v>
      </c>
      <c r="C365" s="5" t="s">
        <v>18</v>
      </c>
      <c r="D365" s="5" t="s">
        <v>15</v>
      </c>
      <c r="E365" s="5" t="s">
        <v>19</v>
      </c>
      <c r="F365" s="5" t="s">
        <v>20</v>
      </c>
      <c r="G365" s="3" t="str">
        <f t="shared" si="15"/>
        <v>025PINK MONDIAL</v>
      </c>
      <c r="H365" s="6">
        <v>8550</v>
      </c>
      <c r="I365" s="6">
        <v>5099</v>
      </c>
      <c r="J365" s="6">
        <v>5099</v>
      </c>
      <c r="K365" s="3">
        <v>3071.9505624999979</v>
      </c>
      <c r="L365" s="3">
        <v>22400</v>
      </c>
      <c r="M365" s="3">
        <v>12</v>
      </c>
      <c r="N365" s="3">
        <v>14.597473997028219</v>
      </c>
      <c r="O365" s="3">
        <v>14.758098068350654</v>
      </c>
      <c r="P365" s="3">
        <v>14.440416047548274</v>
      </c>
      <c r="Q365" s="16">
        <f t="shared" si="16"/>
        <v>2.7832479156311312</v>
      </c>
      <c r="R365" s="10">
        <v>8094.3036672473563</v>
      </c>
      <c r="S365" s="13">
        <f t="shared" si="17"/>
        <v>5.3297816696215639E-2</v>
      </c>
      <c r="T365" s="11">
        <v>0.28000000000000003</v>
      </c>
    </row>
    <row r="366" spans="1:20" hidden="1">
      <c r="A366" s="9">
        <v>2026</v>
      </c>
      <c r="B366" s="20">
        <v>17</v>
      </c>
      <c r="C366" s="5" t="s">
        <v>18</v>
      </c>
      <c r="D366" s="5" t="s">
        <v>15</v>
      </c>
      <c r="E366" s="5" t="s">
        <v>19</v>
      </c>
      <c r="F366" s="5" t="s">
        <v>20</v>
      </c>
      <c r="G366" s="3" t="str">
        <f t="shared" si="15"/>
        <v>025PINK MONDIAL</v>
      </c>
      <c r="H366" s="6">
        <v>12150</v>
      </c>
      <c r="I366" s="6">
        <v>7617</v>
      </c>
      <c r="J366" s="6">
        <v>7617</v>
      </c>
      <c r="K366" s="3">
        <v>3071.9505624999979</v>
      </c>
      <c r="L366" s="3">
        <v>22400</v>
      </c>
      <c r="M366" s="3">
        <v>12</v>
      </c>
      <c r="N366" s="3">
        <v>13.77291666666668</v>
      </c>
      <c r="O366" s="3">
        <v>13.952678571428605</v>
      </c>
      <c r="P366" s="3">
        <v>13.599702380952387</v>
      </c>
      <c r="Q366" s="16">
        <f t="shared" si="16"/>
        <v>3.9551417748442388</v>
      </c>
      <c r="R366" s="10">
        <v>10648.25788964495</v>
      </c>
      <c r="S366" s="13">
        <f t="shared" si="17"/>
        <v>0.12360017369177363</v>
      </c>
      <c r="T366" s="11">
        <v>0.08</v>
      </c>
    </row>
    <row r="367" spans="1:20" hidden="1">
      <c r="A367" s="9">
        <v>2026</v>
      </c>
      <c r="B367" s="20">
        <v>18</v>
      </c>
      <c r="C367" s="5" t="s">
        <v>18</v>
      </c>
      <c r="D367" s="5" t="s">
        <v>15</v>
      </c>
      <c r="E367" s="5" t="s">
        <v>19</v>
      </c>
      <c r="F367" s="5" t="s">
        <v>20</v>
      </c>
      <c r="G367" s="3" t="str">
        <f t="shared" si="15"/>
        <v>025PINK MONDIAL</v>
      </c>
      <c r="H367" s="6">
        <v>9700</v>
      </c>
      <c r="I367" s="6">
        <v>8830</v>
      </c>
      <c r="J367" s="6">
        <v>10165</v>
      </c>
      <c r="K367" s="3">
        <v>3071.9505625000002</v>
      </c>
      <c r="L367" s="3">
        <v>22400</v>
      </c>
      <c r="M367" s="3">
        <v>12</v>
      </c>
      <c r="N367" s="3">
        <v>13.828017883755605</v>
      </c>
      <c r="O367" s="3">
        <v>14.020864381520106</v>
      </c>
      <c r="P367" s="3">
        <v>13.638748137108793</v>
      </c>
      <c r="Q367" s="16">
        <f t="shared" si="16"/>
        <v>3.1576028984353162</v>
      </c>
      <c r="R367" s="10">
        <v>10319.824308800649</v>
      </c>
      <c r="S367" s="13">
        <f t="shared" si="17"/>
        <v>-6.3899413278417458E-2</v>
      </c>
      <c r="T367" s="11">
        <v>0.1</v>
      </c>
    </row>
    <row r="368" spans="1:20" hidden="1">
      <c r="A368" s="9">
        <v>2026</v>
      </c>
      <c r="B368" s="19">
        <v>19</v>
      </c>
      <c r="C368" s="3" t="s">
        <v>18</v>
      </c>
      <c r="D368" s="3" t="s">
        <v>15</v>
      </c>
      <c r="E368" s="3" t="s">
        <v>19</v>
      </c>
      <c r="F368" s="3" t="s">
        <v>20</v>
      </c>
      <c r="G368" s="3" t="str">
        <f t="shared" si="15"/>
        <v>025PINK MONDIAL</v>
      </c>
      <c r="H368" s="3">
        <v>5400</v>
      </c>
      <c r="I368" s="3">
        <v>6637</v>
      </c>
      <c r="J368" s="3">
        <v>6034</v>
      </c>
      <c r="K368" s="3">
        <v>3071.9505625000002</v>
      </c>
      <c r="L368" s="3">
        <v>22400</v>
      </c>
      <c r="M368" s="3">
        <v>12</v>
      </c>
      <c r="N368" s="3">
        <v>13.801155115511554</v>
      </c>
      <c r="O368" s="3">
        <v>14.032838283828401</v>
      </c>
      <c r="P368" s="3">
        <v>13.571947194719476</v>
      </c>
      <c r="Q368" s="16">
        <f t="shared" si="16"/>
        <v>1.7578407888196605</v>
      </c>
      <c r="R368" s="24">
        <v>5925</v>
      </c>
      <c r="S368" s="12">
        <f t="shared" si="17"/>
        <v>-9.7222222222222224E-2</v>
      </c>
    </row>
    <row r="369" spans="1:19" hidden="1">
      <c r="A369" s="9">
        <v>2026</v>
      </c>
      <c r="B369" s="19">
        <v>20</v>
      </c>
      <c r="C369" s="3" t="s">
        <v>18</v>
      </c>
      <c r="D369" s="3" t="s">
        <v>15</v>
      </c>
      <c r="E369" s="3" t="s">
        <v>19</v>
      </c>
      <c r="F369" s="3" t="s">
        <v>20</v>
      </c>
      <c r="G369" s="3" t="str">
        <f t="shared" si="15"/>
        <v>025PINK MONDIAL</v>
      </c>
      <c r="H369" s="23">
        <v>7575</v>
      </c>
      <c r="I369" s="3">
        <v>7114</v>
      </c>
      <c r="J369" s="3">
        <v>6239</v>
      </c>
      <c r="K369" s="3">
        <v>3071.9505625000002</v>
      </c>
      <c r="L369" s="3">
        <v>22400</v>
      </c>
      <c r="M369" s="3">
        <v>12</v>
      </c>
      <c r="N369" s="3">
        <v>14.886996336996331</v>
      </c>
      <c r="O369" s="3">
        <v>15.080952380952363</v>
      </c>
      <c r="P369" s="3">
        <v>14.693406593406582</v>
      </c>
      <c r="Q369" s="16">
        <f t="shared" si="16"/>
        <v>2.4658599954275795</v>
      </c>
      <c r="R369" s="24">
        <v>7821</v>
      </c>
      <c r="S369" s="12">
        <f t="shared" si="17"/>
        <v>-3.2475247524752476E-2</v>
      </c>
    </row>
    <row r="370" spans="1:19" hidden="1">
      <c r="A370" s="9">
        <v>2026</v>
      </c>
      <c r="B370" s="19">
        <v>21</v>
      </c>
      <c r="C370" s="3" t="s">
        <v>18</v>
      </c>
      <c r="D370" s="3" t="s">
        <v>15</v>
      </c>
      <c r="E370" s="3" t="s">
        <v>19</v>
      </c>
      <c r="F370" s="3" t="s">
        <v>20</v>
      </c>
      <c r="G370" s="3" t="str">
        <f t="shared" si="15"/>
        <v>025PINK MONDIAL</v>
      </c>
      <c r="H370" s="23">
        <v>4350</v>
      </c>
      <c r="I370" s="3">
        <v>7150</v>
      </c>
      <c r="J370" s="3">
        <v>6731</v>
      </c>
      <c r="K370" s="3">
        <v>3071.9505625000002</v>
      </c>
      <c r="L370" s="3">
        <v>22400</v>
      </c>
      <c r="M370" s="3">
        <v>12</v>
      </c>
      <c r="N370" s="3">
        <v>14.097372742200333</v>
      </c>
      <c r="O370" s="3">
        <v>14.333333333333339</v>
      </c>
      <c r="P370" s="3">
        <v>13.866009852216745</v>
      </c>
      <c r="Q370" s="16">
        <f t="shared" si="16"/>
        <v>1.4160384132158377</v>
      </c>
      <c r="R370" s="24">
        <v>4663</v>
      </c>
      <c r="S370" s="12">
        <f t="shared" si="17"/>
        <v>-7.1954022988505742E-2</v>
      </c>
    </row>
    <row r="371" spans="1:19" hidden="1">
      <c r="A371" s="9">
        <v>2026</v>
      </c>
      <c r="B371" s="19">
        <v>22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15"/>
        <v>025PINK MONDIAL</v>
      </c>
      <c r="H371" s="23">
        <v>5275</v>
      </c>
      <c r="I371" s="3">
        <v>5693</v>
      </c>
      <c r="J371" s="3">
        <v>6482</v>
      </c>
      <c r="K371" s="3">
        <v>3071.9505625000002</v>
      </c>
      <c r="L371" s="3">
        <v>22400</v>
      </c>
      <c r="M371" s="3">
        <v>12</v>
      </c>
      <c r="N371" s="3">
        <v>14.862558502340111</v>
      </c>
      <c r="O371" s="3">
        <v>15.090171606864288</v>
      </c>
      <c r="P371" s="3">
        <v>14.637597503900155</v>
      </c>
      <c r="Q371" s="16">
        <f t="shared" si="16"/>
        <v>1.7171500298192053</v>
      </c>
      <c r="R371" s="24">
        <v>5875</v>
      </c>
      <c r="S371" s="12">
        <f t="shared" si="17"/>
        <v>-0.11374407582938388</v>
      </c>
    </row>
    <row r="372" spans="1:19" hidden="1">
      <c r="A372" s="9">
        <v>2025</v>
      </c>
      <c r="B372" s="19">
        <v>1</v>
      </c>
      <c r="C372" s="3" t="s">
        <v>14</v>
      </c>
      <c r="D372" s="3" t="s">
        <v>15</v>
      </c>
      <c r="E372" s="3" t="s">
        <v>16</v>
      </c>
      <c r="F372" s="3" t="s">
        <v>17</v>
      </c>
      <c r="G372" s="3" t="str">
        <f t="shared" si="15"/>
        <v>026PURPLE BUBBLY</v>
      </c>
      <c r="H372" s="3">
        <v>1480</v>
      </c>
      <c r="I372" s="3">
        <v>1709</v>
      </c>
      <c r="J372" s="3">
        <v>2133</v>
      </c>
      <c r="K372" s="3">
        <v>1755.4</v>
      </c>
      <c r="L372" s="3">
        <v>12800</v>
      </c>
      <c r="M372" s="3">
        <v>12</v>
      </c>
      <c r="N372" s="3">
        <v>14.926896551724157</v>
      </c>
      <c r="O372" s="3">
        <v>15.150114942528749</v>
      </c>
      <c r="P372" s="3">
        <v>14.717701149425297</v>
      </c>
      <c r="Q372" s="16">
        <f t="shared" si="16"/>
        <v>0.84311268087045688</v>
      </c>
      <c r="R372" s="2">
        <v>6140.4454928574814</v>
      </c>
      <c r="S372" s="12">
        <f t="shared" si="17"/>
        <v>-3.1489496573361362</v>
      </c>
    </row>
    <row r="373" spans="1:19" hidden="1">
      <c r="A373" s="9">
        <v>2025</v>
      </c>
      <c r="B373" s="19">
        <v>2</v>
      </c>
      <c r="C373" s="3" t="s">
        <v>14</v>
      </c>
      <c r="D373" s="3" t="s">
        <v>15</v>
      </c>
      <c r="E373" s="3" t="s">
        <v>16</v>
      </c>
      <c r="F373" s="3" t="s">
        <v>17</v>
      </c>
      <c r="G373" s="3" t="str">
        <f t="shared" si="15"/>
        <v>026PURPLE BUBBLY</v>
      </c>
      <c r="H373" s="3">
        <v>1580</v>
      </c>
      <c r="I373" s="3">
        <v>1635</v>
      </c>
      <c r="J373" s="3">
        <v>1721</v>
      </c>
      <c r="K373" s="3">
        <v>1755.4</v>
      </c>
      <c r="L373" s="3">
        <v>12800</v>
      </c>
      <c r="M373" s="3">
        <v>12</v>
      </c>
      <c r="N373" s="3">
        <v>15.117031249999988</v>
      </c>
      <c r="O373" s="3">
        <v>15.357656249999996</v>
      </c>
      <c r="P373" s="3">
        <v>14.884374999999986</v>
      </c>
      <c r="Q373" s="16">
        <f t="shared" si="16"/>
        <v>0.90007975390224448</v>
      </c>
    </row>
    <row r="374" spans="1:19" hidden="1">
      <c r="A374" s="9">
        <v>2025</v>
      </c>
      <c r="B374" s="19">
        <v>3</v>
      </c>
      <c r="C374" s="3" t="s">
        <v>14</v>
      </c>
      <c r="D374" s="3" t="s">
        <v>15</v>
      </c>
      <c r="E374" s="3" t="s">
        <v>16</v>
      </c>
      <c r="F374" s="3" t="s">
        <v>17</v>
      </c>
      <c r="G374" s="3" t="str">
        <f t="shared" si="15"/>
        <v>026PURPLE BUBBLY</v>
      </c>
      <c r="H374" s="3">
        <v>2250</v>
      </c>
      <c r="I374" s="3">
        <v>2594</v>
      </c>
      <c r="J374" s="3">
        <v>2457</v>
      </c>
      <c r="K374" s="3">
        <v>1755.4</v>
      </c>
      <c r="L374" s="3">
        <v>12800</v>
      </c>
      <c r="M374" s="3">
        <v>12</v>
      </c>
      <c r="N374" s="3">
        <v>14.559689922480603</v>
      </c>
      <c r="O374" s="3">
        <v>14.791627906976728</v>
      </c>
      <c r="P374" s="3">
        <v>14.336744186046507</v>
      </c>
      <c r="Q374" s="16">
        <f t="shared" si="16"/>
        <v>1.2817591432152216</v>
      </c>
    </row>
    <row r="375" spans="1:19" hidden="1">
      <c r="A375" s="9">
        <v>2025</v>
      </c>
      <c r="B375" s="19">
        <v>4</v>
      </c>
      <c r="C375" s="3" t="s">
        <v>14</v>
      </c>
      <c r="D375" s="3" t="s">
        <v>15</v>
      </c>
      <c r="E375" s="3" t="s">
        <v>16</v>
      </c>
      <c r="F375" s="3" t="s">
        <v>17</v>
      </c>
      <c r="G375" s="3" t="str">
        <f t="shared" si="15"/>
        <v>026PURPLE BUBBLY</v>
      </c>
      <c r="H375" s="3">
        <v>3290</v>
      </c>
      <c r="I375" s="3">
        <v>2735</v>
      </c>
      <c r="J375" s="3">
        <v>2725</v>
      </c>
      <c r="K375" s="3">
        <v>1755.4</v>
      </c>
      <c r="L375" s="3">
        <v>12800</v>
      </c>
      <c r="M375" s="3">
        <v>12</v>
      </c>
      <c r="N375" s="3">
        <v>14.620404984423683</v>
      </c>
      <c r="O375" s="3">
        <v>14.90529595015577</v>
      </c>
      <c r="P375" s="3">
        <v>14.333644859813107</v>
      </c>
      <c r="Q375" s="16">
        <f t="shared" si="16"/>
        <v>1.8742167027458128</v>
      </c>
    </row>
    <row r="376" spans="1:19" hidden="1">
      <c r="A376" s="9">
        <v>2025</v>
      </c>
      <c r="B376" s="19">
        <v>5</v>
      </c>
      <c r="C376" s="3" t="s">
        <v>14</v>
      </c>
      <c r="D376" s="3" t="s">
        <v>15</v>
      </c>
      <c r="E376" s="3" t="s">
        <v>16</v>
      </c>
      <c r="F376" s="3" t="s">
        <v>17</v>
      </c>
      <c r="G376" s="3" t="str">
        <f t="shared" si="15"/>
        <v>026PURPLE BUBBLY</v>
      </c>
      <c r="H376" s="3">
        <v>2690</v>
      </c>
      <c r="I376" s="3">
        <v>2852</v>
      </c>
      <c r="J376" s="3">
        <v>2540</v>
      </c>
      <c r="K376" s="3">
        <v>1755.4</v>
      </c>
      <c r="L376" s="3">
        <v>12800</v>
      </c>
      <c r="M376" s="3">
        <v>12</v>
      </c>
      <c r="N376" s="3">
        <v>15.759968602825738</v>
      </c>
      <c r="O376" s="3">
        <v>16.024332810047081</v>
      </c>
      <c r="P376" s="3">
        <v>15.492935635792767</v>
      </c>
      <c r="Q376" s="16">
        <f t="shared" si="16"/>
        <v>1.5324142645550871</v>
      </c>
    </row>
    <row r="377" spans="1:19" hidden="1">
      <c r="A377" s="9">
        <v>2025</v>
      </c>
      <c r="B377" s="19">
        <v>6</v>
      </c>
      <c r="C377" s="3" t="s">
        <v>14</v>
      </c>
      <c r="D377" s="3" t="s">
        <v>15</v>
      </c>
      <c r="E377" s="3" t="s">
        <v>16</v>
      </c>
      <c r="F377" s="3" t="s">
        <v>17</v>
      </c>
      <c r="G377" s="3" t="str">
        <f t="shared" si="15"/>
        <v>026PURPLE BUBBLY</v>
      </c>
      <c r="H377" s="3">
        <v>890</v>
      </c>
      <c r="I377" s="3">
        <v>1112</v>
      </c>
      <c r="J377" s="3">
        <v>1235</v>
      </c>
      <c r="K377" s="3">
        <v>1755.4</v>
      </c>
      <c r="L377" s="3">
        <v>12800</v>
      </c>
      <c r="M377" s="3">
        <v>12</v>
      </c>
      <c r="N377" s="3">
        <v>14.483252032520339</v>
      </c>
      <c r="O377" s="3">
        <v>14.696910569105704</v>
      </c>
      <c r="P377" s="3">
        <v>14.273333333333341</v>
      </c>
      <c r="Q377" s="16">
        <f t="shared" si="16"/>
        <v>0.50700694998290985</v>
      </c>
    </row>
    <row r="378" spans="1:19" hidden="1">
      <c r="A378" s="9">
        <v>2025</v>
      </c>
      <c r="B378" s="19">
        <v>7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15"/>
        <v>026PURPLE BUBBLY</v>
      </c>
      <c r="H378" s="3">
        <v>980</v>
      </c>
      <c r="I378" s="3">
        <v>915</v>
      </c>
      <c r="J378" s="3">
        <v>722</v>
      </c>
      <c r="K378" s="3">
        <v>1755.4</v>
      </c>
      <c r="L378" s="3">
        <v>12800</v>
      </c>
      <c r="M378" s="3">
        <v>12</v>
      </c>
      <c r="N378" s="3">
        <v>13.801155115511554</v>
      </c>
      <c r="O378" s="3">
        <v>14.032838283828401</v>
      </c>
      <c r="P378" s="3">
        <v>13.571947194719476</v>
      </c>
      <c r="Q378" s="16">
        <f t="shared" si="16"/>
        <v>0.55827731571151873</v>
      </c>
    </row>
    <row r="379" spans="1:19" hidden="1">
      <c r="A379" s="9">
        <v>2025</v>
      </c>
      <c r="B379" s="19">
        <v>8</v>
      </c>
      <c r="C379" s="3" t="s">
        <v>14</v>
      </c>
      <c r="D379" s="3" t="s">
        <v>15</v>
      </c>
      <c r="E379" s="3" t="s">
        <v>16</v>
      </c>
      <c r="F379" s="3" t="s">
        <v>17</v>
      </c>
      <c r="G379" s="3" t="str">
        <f t="shared" si="15"/>
        <v>026PURPLE BUBBLY</v>
      </c>
      <c r="H379" s="3">
        <v>440</v>
      </c>
      <c r="I379" s="3">
        <v>692</v>
      </c>
      <c r="J379" s="3">
        <v>610</v>
      </c>
      <c r="K379" s="3">
        <v>1755.4</v>
      </c>
      <c r="L379" s="3">
        <v>12800</v>
      </c>
      <c r="M379" s="3">
        <v>12</v>
      </c>
      <c r="N379" s="3">
        <v>14.886996336996331</v>
      </c>
      <c r="O379" s="3">
        <v>15.080952380952363</v>
      </c>
      <c r="P379" s="3">
        <v>14.693406593406582</v>
      </c>
      <c r="Q379" s="16">
        <f t="shared" si="16"/>
        <v>0.25065512133986556</v>
      </c>
    </row>
    <row r="380" spans="1:19" hidden="1">
      <c r="A380" s="9">
        <v>2025</v>
      </c>
      <c r="B380" s="19">
        <v>9</v>
      </c>
      <c r="C380" s="3" t="s">
        <v>14</v>
      </c>
      <c r="D380" s="3" t="s">
        <v>15</v>
      </c>
      <c r="E380" s="3" t="s">
        <v>16</v>
      </c>
      <c r="F380" s="3" t="s">
        <v>17</v>
      </c>
      <c r="G380" s="3" t="str">
        <f t="shared" si="15"/>
        <v>026PURPLE BUBBLY</v>
      </c>
      <c r="H380" s="3">
        <v>490</v>
      </c>
      <c r="I380" s="3">
        <v>630</v>
      </c>
      <c r="J380" s="3">
        <v>631</v>
      </c>
      <c r="K380" s="3">
        <v>1755.4</v>
      </c>
      <c r="L380" s="3">
        <v>12800</v>
      </c>
      <c r="M380" s="3">
        <v>12</v>
      </c>
      <c r="N380" s="3">
        <v>14.097372742200333</v>
      </c>
      <c r="O380" s="3">
        <v>14.333333333333339</v>
      </c>
      <c r="P380" s="3">
        <v>13.866009852216745</v>
      </c>
      <c r="Q380" s="16">
        <f t="shared" si="16"/>
        <v>0.27913865785575936</v>
      </c>
    </row>
    <row r="381" spans="1:19" hidden="1">
      <c r="A381" s="9">
        <v>2025</v>
      </c>
      <c r="B381" s="19">
        <v>10</v>
      </c>
      <c r="C381" s="3" t="s">
        <v>14</v>
      </c>
      <c r="D381" s="3" t="s">
        <v>15</v>
      </c>
      <c r="E381" s="3" t="s">
        <v>16</v>
      </c>
      <c r="F381" s="3" t="s">
        <v>17</v>
      </c>
      <c r="G381" s="3" t="str">
        <f t="shared" si="15"/>
        <v>026PURPLE BUBBLY</v>
      </c>
      <c r="H381" s="3">
        <v>410</v>
      </c>
      <c r="I381" s="3">
        <v>540</v>
      </c>
      <c r="J381" s="3">
        <v>694</v>
      </c>
      <c r="K381" s="3">
        <v>1755.4</v>
      </c>
      <c r="L381" s="3">
        <v>12800</v>
      </c>
      <c r="M381" s="3">
        <v>12</v>
      </c>
      <c r="N381" s="3">
        <v>14.862558502340111</v>
      </c>
      <c r="O381" s="3">
        <v>15.090171606864288</v>
      </c>
      <c r="P381" s="3">
        <v>14.637597503900155</v>
      </c>
      <c r="Q381" s="16">
        <f t="shared" si="16"/>
        <v>0.23356499943032927</v>
      </c>
    </row>
    <row r="382" spans="1:19" hidden="1">
      <c r="A382" s="9">
        <v>2025</v>
      </c>
      <c r="B382" s="19">
        <v>11</v>
      </c>
      <c r="C382" s="3" t="s">
        <v>14</v>
      </c>
      <c r="D382" s="3" t="s">
        <v>15</v>
      </c>
      <c r="E382" s="3" t="s">
        <v>16</v>
      </c>
      <c r="F382" s="3" t="s">
        <v>17</v>
      </c>
      <c r="G382" s="3" t="str">
        <f t="shared" si="15"/>
        <v>026PURPLE BUBBLY</v>
      </c>
      <c r="H382" s="3">
        <v>420</v>
      </c>
      <c r="I382" s="3">
        <v>510</v>
      </c>
      <c r="J382" s="3">
        <v>525</v>
      </c>
      <c r="K382" s="3">
        <v>1755.4</v>
      </c>
      <c r="L382" s="3">
        <v>12800</v>
      </c>
      <c r="M382" s="3">
        <v>12</v>
      </c>
      <c r="N382" s="3">
        <v>13.730322580645163</v>
      </c>
      <c r="O382" s="3">
        <v>13.974354838709669</v>
      </c>
      <c r="P382" s="3">
        <v>13.489193548387098</v>
      </c>
      <c r="Q382" s="16">
        <f t="shared" si="16"/>
        <v>0.23926170673350802</v>
      </c>
    </row>
    <row r="383" spans="1:19" hidden="1">
      <c r="A383" s="9">
        <v>2025</v>
      </c>
      <c r="B383" s="19">
        <v>12</v>
      </c>
      <c r="C383" s="3" t="s">
        <v>14</v>
      </c>
      <c r="D383" s="3" t="s">
        <v>15</v>
      </c>
      <c r="E383" s="3" t="s">
        <v>16</v>
      </c>
      <c r="F383" s="3" t="s">
        <v>17</v>
      </c>
      <c r="G383" s="3" t="str">
        <f t="shared" si="15"/>
        <v>026PURPLE BUBBLY</v>
      </c>
      <c r="H383" s="3">
        <v>540</v>
      </c>
      <c r="I383" s="3">
        <v>515</v>
      </c>
      <c r="J383" s="3">
        <v>515</v>
      </c>
      <c r="K383" s="3">
        <v>1755.4</v>
      </c>
      <c r="L383" s="3">
        <v>12800</v>
      </c>
      <c r="M383" s="3">
        <v>12</v>
      </c>
      <c r="N383" s="3">
        <v>14.314696485623003</v>
      </c>
      <c r="O383" s="3">
        <v>14.549999999999999</v>
      </c>
      <c r="P383" s="3">
        <v>14.083386581469659</v>
      </c>
      <c r="Q383" s="16">
        <f t="shared" si="16"/>
        <v>0.30762219437165317</v>
      </c>
    </row>
    <row r="384" spans="1:19" hidden="1">
      <c r="A384" s="9">
        <v>2025</v>
      </c>
      <c r="B384" s="19">
        <v>13</v>
      </c>
      <c r="C384" s="3" t="s">
        <v>14</v>
      </c>
      <c r="D384" s="3" t="s">
        <v>15</v>
      </c>
      <c r="E384" s="3" t="s">
        <v>16</v>
      </c>
      <c r="F384" s="3" t="s">
        <v>17</v>
      </c>
      <c r="G384" s="3" t="str">
        <f t="shared" si="15"/>
        <v>026PURPLE BUBBLY</v>
      </c>
      <c r="H384" s="3">
        <v>560</v>
      </c>
      <c r="I384" s="3">
        <v>591</v>
      </c>
      <c r="J384" s="3">
        <v>530</v>
      </c>
      <c r="K384" s="3">
        <v>1755.4</v>
      </c>
      <c r="L384" s="3">
        <v>12800</v>
      </c>
      <c r="M384" s="3">
        <v>12</v>
      </c>
      <c r="N384" s="3">
        <v>14.926896551724157</v>
      </c>
      <c r="O384" s="3">
        <v>15.150114942528749</v>
      </c>
      <c r="P384" s="3">
        <v>14.717701149425297</v>
      </c>
      <c r="Q384" s="16">
        <f t="shared" si="16"/>
        <v>0.31901560897801068</v>
      </c>
    </row>
    <row r="385" spans="1:17" hidden="1">
      <c r="A385" s="9">
        <v>2025</v>
      </c>
      <c r="B385" s="19">
        <v>14</v>
      </c>
      <c r="C385" s="3" t="s">
        <v>14</v>
      </c>
      <c r="D385" s="3" t="s">
        <v>15</v>
      </c>
      <c r="E385" s="3" t="s">
        <v>16</v>
      </c>
      <c r="F385" s="3" t="s">
        <v>17</v>
      </c>
      <c r="G385" s="3" t="str">
        <f t="shared" si="15"/>
        <v>026PURPLE BUBBLY</v>
      </c>
      <c r="H385" s="3">
        <v>480</v>
      </c>
      <c r="I385" s="3">
        <v>793</v>
      </c>
      <c r="J385" s="3">
        <v>687</v>
      </c>
      <c r="K385" s="3">
        <v>1755.4</v>
      </c>
      <c r="L385" s="3">
        <v>12800</v>
      </c>
      <c r="M385" s="3">
        <v>12</v>
      </c>
      <c r="N385" s="3">
        <v>15.117031249999988</v>
      </c>
      <c r="O385" s="3">
        <v>15.357656249999996</v>
      </c>
      <c r="P385" s="3">
        <v>14.884374999999986</v>
      </c>
      <c r="Q385" s="16">
        <f t="shared" si="16"/>
        <v>0.27344195055258058</v>
      </c>
    </row>
    <row r="386" spans="1:17" hidden="1">
      <c r="A386" s="9">
        <v>2025</v>
      </c>
      <c r="B386" s="19">
        <v>15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15"/>
        <v>026PURPLE BUBBLY</v>
      </c>
      <c r="H386" s="3">
        <v>510</v>
      </c>
      <c r="I386" s="3">
        <v>726</v>
      </c>
      <c r="J386" s="3">
        <v>726</v>
      </c>
      <c r="K386" s="3">
        <v>1755.4</v>
      </c>
      <c r="L386" s="3">
        <v>12800</v>
      </c>
      <c r="M386" s="3">
        <v>12</v>
      </c>
      <c r="N386" s="3">
        <v>14.559689922480603</v>
      </c>
      <c r="O386" s="3">
        <v>14.791627906976728</v>
      </c>
      <c r="P386" s="3">
        <v>14.336744186046507</v>
      </c>
      <c r="Q386" s="16">
        <f t="shared" si="16"/>
        <v>0.29053207246211687</v>
      </c>
    </row>
    <row r="387" spans="1:17" hidden="1">
      <c r="A387" s="9">
        <v>2025</v>
      </c>
      <c r="B387" s="19">
        <v>16</v>
      </c>
      <c r="C387" s="3" t="s">
        <v>14</v>
      </c>
      <c r="D387" s="3" t="s">
        <v>15</v>
      </c>
      <c r="E387" s="3" t="s">
        <v>16</v>
      </c>
      <c r="F387" s="3" t="s">
        <v>17</v>
      </c>
      <c r="G387" s="3" t="str">
        <f t="shared" si="15"/>
        <v>026PURPLE BUBBLY</v>
      </c>
      <c r="H387" s="3">
        <v>1000</v>
      </c>
      <c r="I387" s="3">
        <v>1162</v>
      </c>
      <c r="J387" s="3">
        <v>1224</v>
      </c>
      <c r="K387" s="3">
        <v>1755.4</v>
      </c>
      <c r="L387" s="3">
        <v>12800</v>
      </c>
      <c r="M387" s="3">
        <v>12</v>
      </c>
      <c r="N387" s="3">
        <v>14.620404984423683</v>
      </c>
      <c r="O387" s="3">
        <v>14.90529595015577</v>
      </c>
      <c r="P387" s="3">
        <v>14.333644859813107</v>
      </c>
      <c r="Q387" s="16">
        <f t="shared" si="16"/>
        <v>0.56967073031787618</v>
      </c>
    </row>
    <row r="388" spans="1:17" hidden="1">
      <c r="A388" s="9">
        <v>2025</v>
      </c>
      <c r="B388" s="19">
        <v>17</v>
      </c>
      <c r="C388" s="3" t="s">
        <v>14</v>
      </c>
      <c r="D388" s="3" t="s">
        <v>15</v>
      </c>
      <c r="E388" s="3" t="s">
        <v>16</v>
      </c>
      <c r="F388" s="3" t="s">
        <v>17</v>
      </c>
      <c r="G388" s="3" t="str">
        <f t="shared" si="15"/>
        <v>026PURPLE BUBBLY</v>
      </c>
      <c r="H388" s="3">
        <v>1520</v>
      </c>
      <c r="I388" s="3">
        <v>1522</v>
      </c>
      <c r="J388" s="3">
        <v>1522</v>
      </c>
      <c r="K388" s="3">
        <v>1755.4</v>
      </c>
      <c r="L388" s="3">
        <v>12800</v>
      </c>
      <c r="M388" s="3">
        <v>12</v>
      </c>
      <c r="N388" s="3">
        <v>15.759968602825738</v>
      </c>
      <c r="O388" s="3">
        <v>16.024332810047081</v>
      </c>
      <c r="P388" s="3">
        <v>15.492935635792767</v>
      </c>
      <c r="Q388" s="16">
        <f t="shared" si="16"/>
        <v>0.8658995100831719</v>
      </c>
    </row>
    <row r="389" spans="1:17" hidden="1">
      <c r="A389" s="9">
        <v>2025</v>
      </c>
      <c r="B389" s="19">
        <v>18</v>
      </c>
      <c r="C389" s="3" t="s">
        <v>14</v>
      </c>
      <c r="D389" s="3" t="s">
        <v>15</v>
      </c>
      <c r="E389" s="3" t="s">
        <v>16</v>
      </c>
      <c r="F389" s="3" t="s">
        <v>17</v>
      </c>
      <c r="G389" s="3" t="str">
        <f t="shared" si="15"/>
        <v>026PURPLE BUBBLY</v>
      </c>
      <c r="H389" s="3">
        <v>1610</v>
      </c>
      <c r="I389" s="3">
        <v>1547</v>
      </c>
      <c r="J389" s="3">
        <v>1821</v>
      </c>
      <c r="K389" s="3">
        <v>1755.4</v>
      </c>
      <c r="L389" s="3">
        <v>12800</v>
      </c>
      <c r="M389" s="3">
        <v>12</v>
      </c>
      <c r="N389" s="3">
        <v>14.483252032520339</v>
      </c>
      <c r="O389" s="3">
        <v>14.696910569105704</v>
      </c>
      <c r="P389" s="3">
        <v>14.273333333333341</v>
      </c>
      <c r="Q389" s="16">
        <f t="shared" si="16"/>
        <v>0.91716987581178078</v>
      </c>
    </row>
    <row r="390" spans="1:17" hidden="1">
      <c r="A390" s="9">
        <v>2025</v>
      </c>
      <c r="B390" s="19">
        <v>19</v>
      </c>
      <c r="C390" s="3" t="s">
        <v>14</v>
      </c>
      <c r="D390" s="3" t="s">
        <v>15</v>
      </c>
      <c r="E390" s="3" t="s">
        <v>16</v>
      </c>
      <c r="F390" s="3" t="s">
        <v>17</v>
      </c>
      <c r="G390" s="3" t="str">
        <f t="shared" si="15"/>
        <v>026PURPLE BUBBLY</v>
      </c>
      <c r="H390" s="3">
        <v>670</v>
      </c>
      <c r="I390" s="3">
        <v>1331</v>
      </c>
      <c r="J390" s="3">
        <v>1232</v>
      </c>
      <c r="K390" s="3">
        <v>1755.4</v>
      </c>
      <c r="L390" s="3">
        <v>12800</v>
      </c>
      <c r="M390" s="3">
        <v>12</v>
      </c>
      <c r="N390" s="3">
        <v>13.801155115511554</v>
      </c>
      <c r="O390" s="3">
        <v>14.032838283828401</v>
      </c>
      <c r="P390" s="3">
        <v>13.571947194719476</v>
      </c>
      <c r="Q390" s="16">
        <f t="shared" si="16"/>
        <v>0.38167938931297707</v>
      </c>
    </row>
    <row r="391" spans="1:17" hidden="1">
      <c r="A391" s="9">
        <v>2025</v>
      </c>
      <c r="B391" s="19">
        <v>20</v>
      </c>
      <c r="C391" s="3" t="s">
        <v>14</v>
      </c>
      <c r="D391" s="3" t="s">
        <v>15</v>
      </c>
      <c r="E391" s="3" t="s">
        <v>16</v>
      </c>
      <c r="F391" s="3" t="s">
        <v>17</v>
      </c>
      <c r="G391" s="3" t="str">
        <f t="shared" si="15"/>
        <v>026PURPLE BUBBLY</v>
      </c>
      <c r="H391" s="3">
        <v>840</v>
      </c>
      <c r="I391" s="3">
        <v>716</v>
      </c>
      <c r="J391" s="3">
        <v>1064</v>
      </c>
      <c r="K391" s="3">
        <v>1755.4</v>
      </c>
      <c r="L391" s="3">
        <v>12800</v>
      </c>
      <c r="M391" s="3">
        <v>12</v>
      </c>
      <c r="N391" s="3">
        <v>14.886996336996331</v>
      </c>
      <c r="O391" s="3">
        <v>15.080952380952363</v>
      </c>
      <c r="P391" s="3">
        <v>14.693406593406582</v>
      </c>
      <c r="Q391" s="16">
        <f t="shared" si="16"/>
        <v>0.47852341346701605</v>
      </c>
    </row>
    <row r="392" spans="1:17" hidden="1">
      <c r="A392" s="9">
        <v>2025</v>
      </c>
      <c r="B392" s="19">
        <v>21</v>
      </c>
      <c r="C392" s="3" t="s">
        <v>14</v>
      </c>
      <c r="D392" s="3" t="s">
        <v>15</v>
      </c>
      <c r="E392" s="3" t="s">
        <v>16</v>
      </c>
      <c r="F392" s="3" t="s">
        <v>17</v>
      </c>
      <c r="G392" s="3" t="str">
        <f t="shared" si="15"/>
        <v>026PURPLE BUBBLY</v>
      </c>
      <c r="H392" s="3">
        <v>600</v>
      </c>
      <c r="I392" s="3">
        <v>671</v>
      </c>
      <c r="J392" s="3">
        <v>656</v>
      </c>
      <c r="K392" s="3">
        <v>1755.4</v>
      </c>
      <c r="L392" s="3">
        <v>12800</v>
      </c>
      <c r="M392" s="3">
        <v>12</v>
      </c>
      <c r="N392" s="3">
        <v>14.097372742200333</v>
      </c>
      <c r="O392" s="3">
        <v>14.333333333333339</v>
      </c>
      <c r="P392" s="3">
        <v>13.866009852216745</v>
      </c>
      <c r="Q392" s="16">
        <f t="shared" si="16"/>
        <v>0.34180243819072575</v>
      </c>
    </row>
    <row r="393" spans="1:17" hidden="1">
      <c r="A393" s="9">
        <v>2025</v>
      </c>
      <c r="B393" s="19">
        <v>22</v>
      </c>
      <c r="C393" s="3" t="s">
        <v>14</v>
      </c>
      <c r="D393" s="3" t="s">
        <v>15</v>
      </c>
      <c r="E393" s="3" t="s">
        <v>16</v>
      </c>
      <c r="F393" s="3" t="s">
        <v>17</v>
      </c>
      <c r="G393" s="3" t="str">
        <f t="shared" si="15"/>
        <v>026PURPLE BUBBLY</v>
      </c>
      <c r="H393" s="3">
        <v>770</v>
      </c>
      <c r="I393" s="3">
        <v>645</v>
      </c>
      <c r="J393" s="3">
        <v>633</v>
      </c>
      <c r="K393" s="3">
        <v>1755.4</v>
      </c>
      <c r="L393" s="3">
        <v>12800</v>
      </c>
      <c r="M393" s="3">
        <v>12</v>
      </c>
      <c r="N393" s="3">
        <v>14.862558502340111</v>
      </c>
      <c r="O393" s="3">
        <v>15.090171606864288</v>
      </c>
      <c r="P393" s="3">
        <v>14.637597503900155</v>
      </c>
      <c r="Q393" s="16">
        <f t="shared" si="16"/>
        <v>0.43864646234476468</v>
      </c>
    </row>
    <row r="394" spans="1:17" hidden="1">
      <c r="A394" s="9">
        <v>2025</v>
      </c>
      <c r="B394" s="19">
        <v>23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15"/>
        <v>026PURPLE BUBBLY</v>
      </c>
      <c r="H394" s="3">
        <v>770</v>
      </c>
      <c r="I394" s="3">
        <v>673</v>
      </c>
      <c r="J394" s="3">
        <v>673</v>
      </c>
      <c r="K394" s="3">
        <v>1755.4</v>
      </c>
      <c r="L394" s="3">
        <v>12800</v>
      </c>
      <c r="M394" s="3">
        <v>12</v>
      </c>
      <c r="N394" s="3">
        <v>13.730322580645163</v>
      </c>
      <c r="O394" s="3">
        <v>13.974354838709669</v>
      </c>
      <c r="P394" s="3">
        <v>13.489193548387098</v>
      </c>
      <c r="Q394" s="16">
        <f t="shared" si="16"/>
        <v>0.43864646234476468</v>
      </c>
    </row>
    <row r="395" spans="1:17" hidden="1">
      <c r="A395" s="9">
        <v>2025</v>
      </c>
      <c r="B395" s="19">
        <v>24</v>
      </c>
      <c r="C395" s="3" t="s">
        <v>14</v>
      </c>
      <c r="D395" s="3" t="s">
        <v>15</v>
      </c>
      <c r="E395" s="3" t="s">
        <v>16</v>
      </c>
      <c r="F395" s="3" t="s">
        <v>17</v>
      </c>
      <c r="G395" s="3" t="str">
        <f t="shared" si="15"/>
        <v>026PURPLE BUBBLY</v>
      </c>
      <c r="H395" s="3">
        <v>550</v>
      </c>
      <c r="I395" s="3">
        <v>612</v>
      </c>
      <c r="J395" s="3">
        <v>887</v>
      </c>
      <c r="K395" s="3">
        <v>1755.4</v>
      </c>
      <c r="L395" s="3">
        <v>12800</v>
      </c>
      <c r="M395" s="3">
        <v>12</v>
      </c>
      <c r="N395" s="3">
        <v>14.314696485623003</v>
      </c>
      <c r="O395" s="3">
        <v>14.549999999999999</v>
      </c>
      <c r="P395" s="3">
        <v>14.083386581469659</v>
      </c>
      <c r="Q395" s="16">
        <f t="shared" si="16"/>
        <v>0.31331890167483195</v>
      </c>
    </row>
    <row r="396" spans="1:17" hidden="1">
      <c r="A396" s="9">
        <v>2025</v>
      </c>
      <c r="B396" s="19">
        <v>25</v>
      </c>
      <c r="C396" s="3" t="s">
        <v>14</v>
      </c>
      <c r="D396" s="3" t="s">
        <v>15</v>
      </c>
      <c r="E396" s="3" t="s">
        <v>16</v>
      </c>
      <c r="F396" s="3" t="s">
        <v>17</v>
      </c>
      <c r="G396" s="3" t="str">
        <f t="shared" si="15"/>
        <v>026PURPLE BUBBLY</v>
      </c>
      <c r="H396" s="3">
        <v>700</v>
      </c>
      <c r="I396" s="3">
        <v>641</v>
      </c>
      <c r="J396" s="3">
        <v>641</v>
      </c>
      <c r="K396" s="3">
        <v>1755.4</v>
      </c>
      <c r="L396" s="3">
        <v>12800</v>
      </c>
      <c r="M396" s="3">
        <v>12</v>
      </c>
      <c r="N396" s="3">
        <v>13.355342902711323</v>
      </c>
      <c r="O396" s="3">
        <v>13.582615629984048</v>
      </c>
      <c r="P396" s="3">
        <v>13.129505582137151</v>
      </c>
      <c r="Q396" s="16">
        <f t="shared" si="16"/>
        <v>0.39876951122251336</v>
      </c>
    </row>
    <row r="397" spans="1:17" hidden="1">
      <c r="A397" s="9">
        <v>2025</v>
      </c>
      <c r="B397" s="19">
        <v>26</v>
      </c>
      <c r="C397" s="3" t="s">
        <v>14</v>
      </c>
      <c r="D397" s="3" t="s">
        <v>15</v>
      </c>
      <c r="E397" s="3" t="s">
        <v>16</v>
      </c>
      <c r="F397" s="3" t="s">
        <v>17</v>
      </c>
      <c r="G397" s="3" t="str">
        <f t="shared" si="15"/>
        <v>026PURPLE BUBBLY</v>
      </c>
      <c r="H397" s="3">
        <v>740</v>
      </c>
      <c r="I397" s="3">
        <v>583</v>
      </c>
      <c r="J397" s="3">
        <v>945</v>
      </c>
      <c r="K397" s="3">
        <v>1755.4</v>
      </c>
      <c r="L397" s="3">
        <v>12800</v>
      </c>
      <c r="M397" s="3">
        <v>12</v>
      </c>
      <c r="N397" s="3">
        <v>13.694453248811422</v>
      </c>
      <c r="O397" s="3">
        <v>13.929160063391446</v>
      </c>
      <c r="P397" s="3">
        <v>13.455467511885894</v>
      </c>
      <c r="Q397" s="16">
        <f t="shared" si="16"/>
        <v>0.42155634043522844</v>
      </c>
    </row>
    <row r="398" spans="1:17" hidden="1">
      <c r="A398" s="9">
        <v>2025</v>
      </c>
      <c r="B398" s="19">
        <v>27</v>
      </c>
      <c r="C398" s="3" t="s">
        <v>14</v>
      </c>
      <c r="D398" s="3" t="s">
        <v>15</v>
      </c>
      <c r="E398" s="3" t="s">
        <v>16</v>
      </c>
      <c r="F398" s="3" t="s">
        <v>17</v>
      </c>
      <c r="G398" s="3" t="str">
        <f t="shared" si="15"/>
        <v>026PURPLE BUBBLY</v>
      </c>
      <c r="H398" s="3">
        <v>550</v>
      </c>
      <c r="I398" s="3">
        <v>642</v>
      </c>
      <c r="J398" s="3">
        <v>610</v>
      </c>
      <c r="K398" s="3">
        <v>1755.4</v>
      </c>
      <c r="L398" s="3">
        <v>12800</v>
      </c>
      <c r="M398" s="3">
        <v>12</v>
      </c>
      <c r="N398" s="3">
        <v>13.246116504854371</v>
      </c>
      <c r="O398" s="3">
        <v>13.484142394822005</v>
      </c>
      <c r="P398" s="3">
        <v>13.012297734627845</v>
      </c>
      <c r="Q398" s="16">
        <f t="shared" si="16"/>
        <v>0.31331890167483195</v>
      </c>
    </row>
    <row r="399" spans="1:17" hidden="1">
      <c r="A399" s="9">
        <v>2025</v>
      </c>
      <c r="B399" s="19">
        <v>28</v>
      </c>
      <c r="C399" s="3" t="s">
        <v>14</v>
      </c>
      <c r="D399" s="3" t="s">
        <v>15</v>
      </c>
      <c r="E399" s="3" t="s">
        <v>16</v>
      </c>
      <c r="F399" s="3" t="s">
        <v>17</v>
      </c>
      <c r="G399" s="3" t="str">
        <f t="shared" si="15"/>
        <v>026PURPLE BUBBLY</v>
      </c>
      <c r="H399" s="3">
        <v>620</v>
      </c>
      <c r="I399" s="3">
        <v>682</v>
      </c>
      <c r="J399" s="3">
        <v>642</v>
      </c>
      <c r="K399" s="3">
        <v>1755.4</v>
      </c>
      <c r="L399" s="3">
        <v>12800</v>
      </c>
      <c r="M399" s="3">
        <v>12</v>
      </c>
      <c r="N399" s="3">
        <v>13.238155802861698</v>
      </c>
      <c r="O399" s="3">
        <v>13.458664546899842</v>
      </c>
      <c r="P399" s="3">
        <v>13.014467408585055</v>
      </c>
      <c r="Q399" s="16">
        <f t="shared" si="16"/>
        <v>0.35319585279708327</v>
      </c>
    </row>
    <row r="400" spans="1:17" hidden="1">
      <c r="A400" s="9">
        <v>2025</v>
      </c>
      <c r="B400" s="19">
        <v>29</v>
      </c>
      <c r="C400" s="3" t="s">
        <v>14</v>
      </c>
      <c r="D400" s="3" t="s">
        <v>15</v>
      </c>
      <c r="E400" s="3" t="s">
        <v>16</v>
      </c>
      <c r="F400" s="3" t="s">
        <v>17</v>
      </c>
      <c r="G400" s="3" t="str">
        <f t="shared" si="15"/>
        <v>026PURPLE BUBBLY</v>
      </c>
      <c r="H400" s="3">
        <v>770</v>
      </c>
      <c r="I400" s="3">
        <v>587</v>
      </c>
      <c r="J400" s="3">
        <v>712</v>
      </c>
      <c r="K400" s="3">
        <v>1755.4</v>
      </c>
      <c r="L400" s="3">
        <v>12800</v>
      </c>
      <c r="M400" s="3">
        <v>12</v>
      </c>
      <c r="N400" s="3">
        <v>13.055999999999999</v>
      </c>
      <c r="O400" s="3">
        <v>13.316666666666679</v>
      </c>
      <c r="P400" s="3">
        <v>12.786833333333337</v>
      </c>
      <c r="Q400" s="16">
        <f t="shared" si="16"/>
        <v>0.43864646234476468</v>
      </c>
    </row>
    <row r="401" spans="1:17" hidden="1">
      <c r="A401" s="9">
        <v>2025</v>
      </c>
      <c r="B401" s="19">
        <v>30</v>
      </c>
      <c r="C401" s="3" t="s">
        <v>14</v>
      </c>
      <c r="D401" s="3" t="s">
        <v>15</v>
      </c>
      <c r="E401" s="3" t="s">
        <v>16</v>
      </c>
      <c r="F401" s="3" t="s">
        <v>17</v>
      </c>
      <c r="G401" s="3" t="str">
        <f t="shared" si="15"/>
        <v>026PURPLE BUBBLY</v>
      </c>
      <c r="H401" s="3">
        <v>910</v>
      </c>
      <c r="I401" s="3">
        <v>668</v>
      </c>
      <c r="J401" s="3">
        <v>600</v>
      </c>
      <c r="K401" s="3">
        <v>1755.4</v>
      </c>
      <c r="L401" s="3">
        <v>12800</v>
      </c>
      <c r="M401" s="3">
        <v>12</v>
      </c>
      <c r="N401" s="3">
        <v>14.51277955271564</v>
      </c>
      <c r="O401" s="3">
        <v>14.803514376996825</v>
      </c>
      <c r="P401" s="3">
        <v>14.223162939297143</v>
      </c>
      <c r="Q401" s="16">
        <f t="shared" si="16"/>
        <v>0.51840036458926742</v>
      </c>
    </row>
    <row r="402" spans="1:17" hidden="1">
      <c r="A402" s="9">
        <v>2025</v>
      </c>
      <c r="B402" s="19">
        <v>31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15"/>
        <v>026PURPLE BUBBLY</v>
      </c>
      <c r="H402" s="3">
        <v>1110</v>
      </c>
      <c r="I402" s="3">
        <v>712</v>
      </c>
      <c r="J402" s="3">
        <v>606</v>
      </c>
      <c r="K402" s="3">
        <v>1755.4</v>
      </c>
      <c r="L402" s="3">
        <v>12800</v>
      </c>
      <c r="M402" s="3">
        <v>12</v>
      </c>
      <c r="N402" s="3">
        <v>13.78425196850394</v>
      </c>
      <c r="O402" s="3">
        <v>14.065354330708656</v>
      </c>
      <c r="P402" s="3">
        <v>13.503307086614177</v>
      </c>
      <c r="Q402" s="16">
        <f t="shared" si="16"/>
        <v>0.63233451065284263</v>
      </c>
    </row>
    <row r="403" spans="1:17" hidden="1">
      <c r="A403" s="9">
        <v>2025</v>
      </c>
      <c r="B403" s="19">
        <v>32</v>
      </c>
      <c r="C403" s="3" t="s">
        <v>14</v>
      </c>
      <c r="D403" s="3" t="s">
        <v>15</v>
      </c>
      <c r="E403" s="3" t="s">
        <v>16</v>
      </c>
      <c r="F403" s="3" t="s">
        <v>17</v>
      </c>
      <c r="G403" s="3" t="str">
        <f t="shared" si="15"/>
        <v>026PURPLE BUBBLY</v>
      </c>
      <c r="H403" s="3">
        <v>510</v>
      </c>
      <c r="I403" s="3">
        <v>852</v>
      </c>
      <c r="J403" s="3">
        <v>720</v>
      </c>
      <c r="K403" s="3">
        <v>1755.4</v>
      </c>
      <c r="L403" s="3">
        <v>12800</v>
      </c>
      <c r="M403" s="3">
        <v>12</v>
      </c>
      <c r="N403" s="3">
        <v>12.659270998415199</v>
      </c>
      <c r="O403" s="3">
        <v>12.943264659271005</v>
      </c>
      <c r="P403" s="3">
        <v>12.377337559429469</v>
      </c>
      <c r="Q403" s="16">
        <f t="shared" si="16"/>
        <v>0.29053207246211687</v>
      </c>
    </row>
    <row r="404" spans="1:17" hidden="1">
      <c r="A404" s="9">
        <v>2025</v>
      </c>
      <c r="B404" s="19">
        <v>33</v>
      </c>
      <c r="C404" s="3" t="s">
        <v>14</v>
      </c>
      <c r="D404" s="3" t="s">
        <v>15</v>
      </c>
      <c r="E404" s="3" t="s">
        <v>16</v>
      </c>
      <c r="F404" s="3" t="s">
        <v>17</v>
      </c>
      <c r="G404" s="3" t="str">
        <f t="shared" si="15"/>
        <v>026PURPLE BUBBLY</v>
      </c>
      <c r="H404" s="3">
        <v>430</v>
      </c>
      <c r="I404" s="3">
        <v>577</v>
      </c>
      <c r="J404" s="3">
        <v>678</v>
      </c>
      <c r="K404" s="3">
        <v>1755.4</v>
      </c>
      <c r="L404" s="3">
        <v>12800</v>
      </c>
      <c r="M404" s="3">
        <v>12</v>
      </c>
      <c r="N404" s="3">
        <v>13.589285714285717</v>
      </c>
      <c r="O404" s="3">
        <v>13.824068322981383</v>
      </c>
      <c r="P404" s="3">
        <v>13.353571428571435</v>
      </c>
      <c r="Q404" s="16">
        <f t="shared" si="16"/>
        <v>0.24495841403668678</v>
      </c>
    </row>
    <row r="405" spans="1:17" hidden="1">
      <c r="A405" s="9">
        <v>2025</v>
      </c>
      <c r="B405" s="19">
        <v>34</v>
      </c>
      <c r="C405" s="3" t="s">
        <v>14</v>
      </c>
      <c r="D405" s="3" t="s">
        <v>15</v>
      </c>
      <c r="E405" s="3" t="s">
        <v>16</v>
      </c>
      <c r="F405" s="3" t="s">
        <v>17</v>
      </c>
      <c r="G405" s="3" t="str">
        <f t="shared" si="15"/>
        <v>026PURPLE BUBBLY</v>
      </c>
      <c r="H405" s="3">
        <v>480</v>
      </c>
      <c r="I405" s="3">
        <v>575</v>
      </c>
      <c r="J405" s="3">
        <v>530</v>
      </c>
      <c r="K405" s="3">
        <v>1755.4</v>
      </c>
      <c r="L405" s="3">
        <v>12800</v>
      </c>
      <c r="M405" s="3">
        <v>12</v>
      </c>
      <c r="N405" s="3">
        <v>12.824486571879941</v>
      </c>
      <c r="O405" s="3">
        <v>13.083254344391783</v>
      </c>
      <c r="P405" s="3">
        <v>12.564612954186416</v>
      </c>
      <c r="Q405" s="16">
        <f t="shared" si="16"/>
        <v>0.27344195055258058</v>
      </c>
    </row>
    <row r="406" spans="1:17" hidden="1">
      <c r="A406" s="9">
        <v>2025</v>
      </c>
      <c r="B406" s="19">
        <v>35</v>
      </c>
      <c r="C406" s="3" t="s">
        <v>14</v>
      </c>
      <c r="D406" s="3" t="s">
        <v>15</v>
      </c>
      <c r="E406" s="3" t="s">
        <v>16</v>
      </c>
      <c r="F406" s="3" t="s">
        <v>17</v>
      </c>
      <c r="G406" s="3" t="str">
        <f t="shared" si="15"/>
        <v>026PURPLE BUBBLY</v>
      </c>
      <c r="H406" s="3">
        <v>470</v>
      </c>
      <c r="I406" s="3">
        <v>523</v>
      </c>
      <c r="J406" s="3">
        <v>584</v>
      </c>
      <c r="K406" s="3">
        <v>1755.4</v>
      </c>
      <c r="L406" s="3">
        <v>12800</v>
      </c>
      <c r="M406" s="3">
        <v>12</v>
      </c>
      <c r="N406" s="3">
        <v>13.437577639751549</v>
      </c>
      <c r="O406" s="3">
        <v>13.71583850931677</v>
      </c>
      <c r="P406" s="3">
        <v>13.159472049689436</v>
      </c>
      <c r="Q406" s="16">
        <f t="shared" si="16"/>
        <v>0.26774524324940185</v>
      </c>
    </row>
    <row r="407" spans="1:17" hidden="1">
      <c r="A407" s="9">
        <v>2025</v>
      </c>
      <c r="B407" s="19">
        <v>36</v>
      </c>
      <c r="C407" s="3" t="s">
        <v>14</v>
      </c>
      <c r="D407" s="3" t="s">
        <v>15</v>
      </c>
      <c r="E407" s="3" t="s">
        <v>16</v>
      </c>
      <c r="F407" s="3" t="s">
        <v>17</v>
      </c>
      <c r="G407" s="3" t="str">
        <f t="shared" ref="G407:G470" si="18">+E407&amp;F407</f>
        <v>026PURPLE BUBBLY</v>
      </c>
      <c r="H407" s="3">
        <v>400</v>
      </c>
      <c r="I407" s="3">
        <v>528</v>
      </c>
      <c r="J407" s="3">
        <v>608</v>
      </c>
      <c r="K407" s="3">
        <v>1755.4</v>
      </c>
      <c r="L407" s="3">
        <v>12800</v>
      </c>
      <c r="M407" s="3">
        <v>12</v>
      </c>
      <c r="N407" s="3">
        <v>12.977672955974834</v>
      </c>
      <c r="O407" s="3">
        <v>13.234119496855346</v>
      </c>
      <c r="P407" s="3">
        <v>12.718081761006273</v>
      </c>
      <c r="Q407" s="16">
        <f t="shared" ref="Q407:Q470" si="19">+H407/K407</f>
        <v>0.22786829212715048</v>
      </c>
    </row>
    <row r="408" spans="1:17" hidden="1">
      <c r="A408" s="9">
        <v>2025</v>
      </c>
      <c r="B408" s="19">
        <v>37</v>
      </c>
      <c r="C408" s="3" t="s">
        <v>14</v>
      </c>
      <c r="D408" s="3" t="s">
        <v>15</v>
      </c>
      <c r="E408" s="3" t="s">
        <v>16</v>
      </c>
      <c r="F408" s="3" t="s">
        <v>17</v>
      </c>
      <c r="G408" s="3" t="str">
        <f t="shared" si="18"/>
        <v>026PURPLE BUBBLY</v>
      </c>
      <c r="H408" s="3">
        <v>340</v>
      </c>
      <c r="I408" s="3">
        <v>489</v>
      </c>
      <c r="J408" s="3">
        <v>602</v>
      </c>
      <c r="K408" s="3">
        <v>1755.4</v>
      </c>
      <c r="L408" s="3">
        <v>12800</v>
      </c>
      <c r="M408" s="3">
        <v>12</v>
      </c>
      <c r="N408" s="3">
        <v>13.589032258064515</v>
      </c>
      <c r="O408" s="3">
        <v>13.865806451612899</v>
      </c>
      <c r="P408" s="3">
        <v>13.317258064516144</v>
      </c>
      <c r="Q408" s="16">
        <f t="shared" si="19"/>
        <v>0.19368804830807793</v>
      </c>
    </row>
    <row r="409" spans="1:17" hidden="1">
      <c r="A409" s="9">
        <v>2025</v>
      </c>
      <c r="B409" s="19">
        <v>38</v>
      </c>
      <c r="C409" s="3" t="s">
        <v>14</v>
      </c>
      <c r="D409" s="3" t="s">
        <v>15</v>
      </c>
      <c r="E409" s="3" t="s">
        <v>16</v>
      </c>
      <c r="F409" s="3" t="s">
        <v>17</v>
      </c>
      <c r="G409" s="3" t="str">
        <f t="shared" si="18"/>
        <v>026PURPLE BUBBLY</v>
      </c>
      <c r="H409" s="3">
        <v>690</v>
      </c>
      <c r="I409" s="3">
        <v>576</v>
      </c>
      <c r="J409" s="3">
        <v>515</v>
      </c>
      <c r="K409" s="3">
        <v>1755.4</v>
      </c>
      <c r="L409" s="3">
        <v>12800</v>
      </c>
      <c r="M409" s="3">
        <v>12</v>
      </c>
      <c r="N409" s="3">
        <v>13.031825273010922</v>
      </c>
      <c r="O409" s="3">
        <v>13.280499219968798</v>
      </c>
      <c r="P409" s="3">
        <v>12.779719188767555</v>
      </c>
      <c r="Q409" s="16">
        <f t="shared" si="19"/>
        <v>0.39307280391933458</v>
      </c>
    </row>
    <row r="410" spans="1:17" hidden="1">
      <c r="A410" s="9">
        <v>2025</v>
      </c>
      <c r="B410" s="19">
        <v>39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18"/>
        <v>026PURPLE BUBBLY</v>
      </c>
      <c r="H410" s="3">
        <v>620</v>
      </c>
      <c r="I410" s="3">
        <v>861</v>
      </c>
      <c r="J410" s="3">
        <v>589</v>
      </c>
      <c r="K410" s="3">
        <v>1755.4</v>
      </c>
      <c r="L410" s="3">
        <v>12800</v>
      </c>
      <c r="M410" s="3">
        <v>12</v>
      </c>
      <c r="N410" s="3">
        <v>14.003096539162122</v>
      </c>
      <c r="O410" s="3">
        <v>14.246265938069232</v>
      </c>
      <c r="P410" s="3">
        <v>13.765573770491811</v>
      </c>
      <c r="Q410" s="16">
        <f t="shared" si="19"/>
        <v>0.35319585279708327</v>
      </c>
    </row>
    <row r="411" spans="1:17" hidden="1">
      <c r="A411" s="9">
        <v>2025</v>
      </c>
      <c r="B411" s="19">
        <v>40</v>
      </c>
      <c r="C411" s="3" t="s">
        <v>14</v>
      </c>
      <c r="D411" s="3" t="s">
        <v>15</v>
      </c>
      <c r="E411" s="3" t="s">
        <v>16</v>
      </c>
      <c r="F411" s="3" t="s">
        <v>17</v>
      </c>
      <c r="G411" s="3" t="str">
        <f t="shared" si="18"/>
        <v>026PURPLE BUBBLY</v>
      </c>
      <c r="H411" s="3">
        <v>520</v>
      </c>
      <c r="I411" s="3">
        <v>1018</v>
      </c>
      <c r="J411" s="3">
        <v>938</v>
      </c>
      <c r="K411" s="3">
        <v>1755.4</v>
      </c>
      <c r="L411" s="3">
        <v>12800</v>
      </c>
      <c r="M411" s="3">
        <v>12</v>
      </c>
      <c r="N411" s="3">
        <v>12.843362831858405</v>
      </c>
      <c r="O411" s="3">
        <v>13.098407079646016</v>
      </c>
      <c r="P411" s="3">
        <v>12.592743362831856</v>
      </c>
      <c r="Q411" s="16">
        <f t="shared" si="19"/>
        <v>0.29622877976529566</v>
      </c>
    </row>
    <row r="412" spans="1:17" hidden="1">
      <c r="A412" s="9">
        <v>2025</v>
      </c>
      <c r="B412" s="19">
        <v>41</v>
      </c>
      <c r="C412" s="3" t="s">
        <v>14</v>
      </c>
      <c r="D412" s="3" t="s">
        <v>15</v>
      </c>
      <c r="E412" s="3" t="s">
        <v>16</v>
      </c>
      <c r="F412" s="3" t="s">
        <v>17</v>
      </c>
      <c r="G412" s="3" t="str">
        <f t="shared" si="18"/>
        <v>026PURPLE BUBBLY</v>
      </c>
      <c r="H412" s="3">
        <v>380</v>
      </c>
      <c r="I412" s="3">
        <v>707</v>
      </c>
      <c r="J412" s="3">
        <v>1210</v>
      </c>
      <c r="K412" s="3">
        <v>1755.4</v>
      </c>
      <c r="L412" s="3">
        <v>12800</v>
      </c>
      <c r="M412" s="3">
        <v>12</v>
      </c>
      <c r="N412" s="3">
        <v>13.871347248576845</v>
      </c>
      <c r="O412" s="3">
        <v>14.103605313092977</v>
      </c>
      <c r="P412" s="3">
        <v>13.632258064516128</v>
      </c>
      <c r="Q412" s="16">
        <f t="shared" si="19"/>
        <v>0.21647487752079297</v>
      </c>
    </row>
    <row r="413" spans="1:17" hidden="1">
      <c r="A413" s="9">
        <v>2025</v>
      </c>
      <c r="B413" s="19">
        <v>42</v>
      </c>
      <c r="C413" s="3" t="s">
        <v>14</v>
      </c>
      <c r="D413" s="3" t="s">
        <v>15</v>
      </c>
      <c r="E413" s="3" t="s">
        <v>16</v>
      </c>
      <c r="F413" s="3" t="s">
        <v>17</v>
      </c>
      <c r="G413" s="3" t="str">
        <f t="shared" si="18"/>
        <v>026PURPLE BUBBLY</v>
      </c>
      <c r="H413" s="3">
        <v>360</v>
      </c>
      <c r="I413" s="3">
        <v>600</v>
      </c>
      <c r="J413" s="3">
        <v>721</v>
      </c>
      <c r="K413" s="3">
        <v>1755.4</v>
      </c>
      <c r="L413" s="3">
        <v>12800</v>
      </c>
      <c r="M413" s="3">
        <v>12</v>
      </c>
      <c r="N413" s="3">
        <v>12.518382352941172</v>
      </c>
      <c r="O413" s="3">
        <v>12.743627450980384</v>
      </c>
      <c r="P413" s="3">
        <v>12.293382352941165</v>
      </c>
      <c r="Q413" s="16">
        <f t="shared" si="19"/>
        <v>0.20508146291443544</v>
      </c>
    </row>
    <row r="414" spans="1:17" hidden="1">
      <c r="A414" s="9">
        <v>2025</v>
      </c>
      <c r="B414" s="19">
        <v>43</v>
      </c>
      <c r="C414" s="3" t="s">
        <v>14</v>
      </c>
      <c r="D414" s="3" t="s">
        <v>15</v>
      </c>
      <c r="E414" s="3" t="s">
        <v>16</v>
      </c>
      <c r="F414" s="3" t="s">
        <v>17</v>
      </c>
      <c r="G414" s="3" t="str">
        <f t="shared" si="18"/>
        <v>026PURPLE BUBBLY</v>
      </c>
      <c r="H414" s="3">
        <v>610</v>
      </c>
      <c r="I414" s="3">
        <v>520</v>
      </c>
      <c r="J414" s="3">
        <v>642</v>
      </c>
      <c r="K414" s="3">
        <v>1755.4</v>
      </c>
      <c r="L414" s="3">
        <v>12800</v>
      </c>
      <c r="M414" s="3">
        <v>12</v>
      </c>
      <c r="N414" s="3">
        <v>14.965141612200448</v>
      </c>
      <c r="O414" s="3">
        <v>15.249019607843142</v>
      </c>
      <c r="P414" s="3">
        <v>14.683006535947717</v>
      </c>
      <c r="Q414" s="16">
        <f t="shared" si="19"/>
        <v>0.34749914549390448</v>
      </c>
    </row>
    <row r="415" spans="1:17" hidden="1">
      <c r="A415" s="9">
        <v>2025</v>
      </c>
      <c r="B415" s="19">
        <v>44</v>
      </c>
      <c r="C415" s="3" t="s">
        <v>14</v>
      </c>
      <c r="D415" s="3" t="s">
        <v>15</v>
      </c>
      <c r="E415" s="3" t="s">
        <v>16</v>
      </c>
      <c r="F415" s="3" t="s">
        <v>17</v>
      </c>
      <c r="G415" s="3" t="str">
        <f t="shared" si="18"/>
        <v>026PURPLE BUBBLY</v>
      </c>
      <c r="H415" s="3">
        <v>680</v>
      </c>
      <c r="I415" s="3">
        <v>585</v>
      </c>
      <c r="J415" s="3">
        <v>617</v>
      </c>
      <c r="K415" s="3">
        <v>1755.4</v>
      </c>
      <c r="L415" s="3">
        <v>12800</v>
      </c>
      <c r="M415" s="3">
        <v>12</v>
      </c>
      <c r="N415" s="3">
        <v>14.073262839879131</v>
      </c>
      <c r="O415" s="3">
        <v>14.296978851963752</v>
      </c>
      <c r="P415" s="3">
        <v>13.846676737160124</v>
      </c>
      <c r="Q415" s="16">
        <f t="shared" si="19"/>
        <v>0.38737609661615585</v>
      </c>
    </row>
    <row r="416" spans="1:17" hidden="1">
      <c r="A416" s="9">
        <v>2025</v>
      </c>
      <c r="B416" s="19">
        <v>45</v>
      </c>
      <c r="C416" s="3" t="s">
        <v>14</v>
      </c>
      <c r="D416" s="3" t="s">
        <v>15</v>
      </c>
      <c r="E416" s="3" t="s">
        <v>16</v>
      </c>
      <c r="F416" s="3" t="s">
        <v>17</v>
      </c>
      <c r="G416" s="3" t="str">
        <f t="shared" si="18"/>
        <v>026PURPLE BUBBLY</v>
      </c>
      <c r="H416" s="3">
        <v>700</v>
      </c>
      <c r="I416" s="3">
        <v>728</v>
      </c>
      <c r="J416" s="3">
        <v>612</v>
      </c>
      <c r="K416" s="3">
        <v>1755.4</v>
      </c>
      <c r="L416" s="3">
        <v>12800</v>
      </c>
      <c r="M416" s="3">
        <v>12</v>
      </c>
      <c r="N416" s="3">
        <v>14.836850152905189</v>
      </c>
      <c r="O416" s="3">
        <v>15.074923547400614</v>
      </c>
      <c r="P416" s="3">
        <v>14.594495412844042</v>
      </c>
      <c r="Q416" s="16">
        <f t="shared" si="19"/>
        <v>0.39876951122251336</v>
      </c>
    </row>
    <row r="417" spans="1:17" hidden="1">
      <c r="A417" s="9">
        <v>2025</v>
      </c>
      <c r="B417" s="19">
        <v>46</v>
      </c>
      <c r="C417" s="3" t="s">
        <v>14</v>
      </c>
      <c r="D417" s="3" t="s">
        <v>15</v>
      </c>
      <c r="E417" s="3" t="s">
        <v>16</v>
      </c>
      <c r="F417" s="3" t="s">
        <v>17</v>
      </c>
      <c r="G417" s="3" t="str">
        <f t="shared" si="18"/>
        <v>026PURPLE BUBBLY</v>
      </c>
      <c r="H417" s="3">
        <v>530</v>
      </c>
      <c r="I417" s="3">
        <v>597</v>
      </c>
      <c r="J417" s="3">
        <v>675</v>
      </c>
      <c r="K417" s="3">
        <v>1755.4</v>
      </c>
      <c r="L417" s="3">
        <v>12800</v>
      </c>
      <c r="M417" s="3">
        <v>12</v>
      </c>
      <c r="N417" s="3">
        <v>14.582800608828016</v>
      </c>
      <c r="O417" s="3">
        <v>14.816590563165887</v>
      </c>
      <c r="P417" s="3">
        <v>14.359512937595126</v>
      </c>
      <c r="Q417" s="16">
        <f t="shared" si="19"/>
        <v>0.30192548706847439</v>
      </c>
    </row>
    <row r="418" spans="1:17" hidden="1">
      <c r="A418" s="9">
        <v>2025</v>
      </c>
      <c r="B418" s="19">
        <v>47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18"/>
        <v>026PURPLE BUBBLY</v>
      </c>
      <c r="H418" s="3">
        <v>850</v>
      </c>
      <c r="I418" s="3">
        <v>470</v>
      </c>
      <c r="J418" s="3">
        <v>461</v>
      </c>
      <c r="K418" s="3">
        <v>1755.4</v>
      </c>
      <c r="L418" s="3">
        <v>12800</v>
      </c>
      <c r="M418" s="3">
        <v>12</v>
      </c>
      <c r="N418" s="3">
        <v>14.756838905775062</v>
      </c>
      <c r="O418" s="3">
        <v>15.013829787234029</v>
      </c>
      <c r="P418" s="3">
        <v>14.501519756838901</v>
      </c>
      <c r="Q418" s="16">
        <f t="shared" si="19"/>
        <v>0.48422012077019483</v>
      </c>
    </row>
    <row r="419" spans="1:17" hidden="1">
      <c r="A419" s="9">
        <v>2025</v>
      </c>
      <c r="B419" s="19">
        <v>48</v>
      </c>
      <c r="C419" s="3" t="s">
        <v>14</v>
      </c>
      <c r="D419" s="3" t="s">
        <v>15</v>
      </c>
      <c r="E419" s="3" t="s">
        <v>16</v>
      </c>
      <c r="F419" s="3" t="s">
        <v>17</v>
      </c>
      <c r="G419" s="3" t="str">
        <f t="shared" si="18"/>
        <v>026PURPLE BUBBLY</v>
      </c>
      <c r="H419" s="3">
        <v>810</v>
      </c>
      <c r="I419" s="3">
        <v>505</v>
      </c>
      <c r="J419" s="3">
        <v>423</v>
      </c>
      <c r="K419" s="3">
        <v>1755.4</v>
      </c>
      <c r="L419" s="3">
        <v>12800</v>
      </c>
      <c r="M419" s="3">
        <v>12</v>
      </c>
      <c r="N419" s="3">
        <v>14.30164670658683</v>
      </c>
      <c r="O419" s="3">
        <v>14.475149700598816</v>
      </c>
      <c r="P419" s="3">
        <v>14.12919161676647</v>
      </c>
      <c r="Q419" s="16">
        <f t="shared" si="19"/>
        <v>0.46143329155747975</v>
      </c>
    </row>
    <row r="420" spans="1:17" hidden="1">
      <c r="A420" s="9">
        <v>2025</v>
      </c>
      <c r="B420" s="19">
        <v>49</v>
      </c>
      <c r="C420" s="3" t="s">
        <v>14</v>
      </c>
      <c r="D420" s="3" t="s">
        <v>15</v>
      </c>
      <c r="E420" s="3" t="s">
        <v>16</v>
      </c>
      <c r="F420" s="3" t="s">
        <v>17</v>
      </c>
      <c r="G420" s="3" t="str">
        <f t="shared" si="18"/>
        <v>026PURPLE BUBBLY</v>
      </c>
      <c r="H420" s="3">
        <v>700</v>
      </c>
      <c r="I420" s="3">
        <v>714</v>
      </c>
      <c r="J420" s="3">
        <v>618</v>
      </c>
      <c r="K420" s="3">
        <v>1755.4</v>
      </c>
      <c r="L420" s="3">
        <v>12800</v>
      </c>
      <c r="M420" s="3">
        <v>12</v>
      </c>
      <c r="N420" s="3">
        <v>12.785714285714281</v>
      </c>
      <c r="O420" s="3">
        <v>13.009821428571421</v>
      </c>
      <c r="P420" s="3">
        <v>12.563839285714286</v>
      </c>
      <c r="Q420" s="16">
        <f t="shared" si="19"/>
        <v>0.39876951122251336</v>
      </c>
    </row>
    <row r="421" spans="1:17" hidden="1">
      <c r="A421" s="9">
        <v>2025</v>
      </c>
      <c r="B421" s="19">
        <v>50</v>
      </c>
      <c r="C421" s="3" t="s">
        <v>14</v>
      </c>
      <c r="D421" s="3" t="s">
        <v>15</v>
      </c>
      <c r="E421" s="3" t="s">
        <v>16</v>
      </c>
      <c r="F421" s="3" t="s">
        <v>17</v>
      </c>
      <c r="G421" s="3" t="str">
        <f t="shared" si="18"/>
        <v>026PURPLE BUBBLY</v>
      </c>
      <c r="H421" s="3">
        <v>460</v>
      </c>
      <c r="I421" s="3">
        <v>300</v>
      </c>
      <c r="J421" s="3">
        <v>423</v>
      </c>
      <c r="K421" s="3">
        <v>1755.4</v>
      </c>
      <c r="L421" s="3">
        <v>12800</v>
      </c>
      <c r="M421" s="3">
        <v>12</v>
      </c>
      <c r="N421" s="3">
        <v>12.562962962962962</v>
      </c>
      <c r="O421" s="3">
        <v>12.822507122507124</v>
      </c>
      <c r="P421" s="3">
        <v>12.308262108262106</v>
      </c>
      <c r="Q421" s="16">
        <f t="shared" si="19"/>
        <v>0.26204853594622307</v>
      </c>
    </row>
    <row r="422" spans="1:17" hidden="1">
      <c r="A422" s="9">
        <v>2025</v>
      </c>
      <c r="B422" s="19">
        <v>51</v>
      </c>
      <c r="C422" s="3" t="s">
        <v>14</v>
      </c>
      <c r="D422" s="3" t="s">
        <v>15</v>
      </c>
      <c r="E422" s="3" t="s">
        <v>16</v>
      </c>
      <c r="F422" s="3" t="s">
        <v>17</v>
      </c>
      <c r="G422" s="3" t="str">
        <f t="shared" si="18"/>
        <v>026PURPLE BUBBLY</v>
      </c>
      <c r="H422" s="3">
        <v>30</v>
      </c>
      <c r="I422" s="3">
        <v>0</v>
      </c>
      <c r="J422" s="3">
        <v>0</v>
      </c>
      <c r="K422" s="3">
        <v>1755.4</v>
      </c>
      <c r="L422" s="3">
        <v>12800</v>
      </c>
      <c r="M422" s="3">
        <v>12</v>
      </c>
      <c r="N422" s="3">
        <v>14.116666666666669</v>
      </c>
      <c r="O422" s="3">
        <v>14.313541666666683</v>
      </c>
      <c r="P422" s="3">
        <v>13.918303571428599</v>
      </c>
      <c r="Q422" s="16">
        <f t="shared" si="19"/>
        <v>1.7090121909536286E-2</v>
      </c>
    </row>
    <row r="423" spans="1:17" hidden="1">
      <c r="A423" s="9">
        <v>2025</v>
      </c>
      <c r="B423" s="19">
        <v>52</v>
      </c>
      <c r="C423" s="3" t="s">
        <v>14</v>
      </c>
      <c r="D423" s="3" t="s">
        <v>15</v>
      </c>
      <c r="E423" s="3" t="s">
        <v>16</v>
      </c>
      <c r="F423" s="3" t="s">
        <v>17</v>
      </c>
      <c r="G423" s="3" t="str">
        <f t="shared" si="18"/>
        <v>026PURPLE BUBBLY</v>
      </c>
      <c r="H423" s="3">
        <v>0</v>
      </c>
      <c r="I423" s="3">
        <v>0</v>
      </c>
      <c r="J423" s="3">
        <v>0</v>
      </c>
      <c r="K423" s="3">
        <v>1755.4</v>
      </c>
      <c r="L423" s="3">
        <v>12800</v>
      </c>
      <c r="M423" s="3">
        <v>12</v>
      </c>
      <c r="N423" s="3">
        <v>14.780803571428551</v>
      </c>
      <c r="O423" s="3">
        <v>14.962351190476202</v>
      </c>
      <c r="P423" s="3">
        <v>14.597619047619043</v>
      </c>
      <c r="Q423" s="16">
        <f t="shared" si="19"/>
        <v>0</v>
      </c>
    </row>
    <row r="424" spans="1:17" hidden="1">
      <c r="A424" s="9">
        <v>2026</v>
      </c>
      <c r="B424" s="19">
        <v>1</v>
      </c>
      <c r="C424" s="3" t="s">
        <v>14</v>
      </c>
      <c r="D424" s="3" t="s">
        <v>15</v>
      </c>
      <c r="E424" s="3" t="s">
        <v>16</v>
      </c>
      <c r="F424" s="3" t="s">
        <v>17</v>
      </c>
      <c r="G424" s="3" t="str">
        <f t="shared" si="18"/>
        <v>026PURPLE BUBBLY</v>
      </c>
      <c r="H424" s="3">
        <v>0</v>
      </c>
      <c r="I424" s="3">
        <v>0</v>
      </c>
      <c r="J424" s="3">
        <v>0</v>
      </c>
      <c r="K424" s="3">
        <v>1755.4</v>
      </c>
      <c r="L424" s="3">
        <v>12800</v>
      </c>
      <c r="M424" s="3">
        <v>12</v>
      </c>
      <c r="N424" s="3">
        <v>13.975520833333354</v>
      </c>
      <c r="O424" s="3">
        <v>14.218750000000002</v>
      </c>
      <c r="P424" s="3">
        <v>13.740624999999994</v>
      </c>
      <c r="Q424" s="16">
        <f t="shared" si="19"/>
        <v>0</v>
      </c>
    </row>
    <row r="425" spans="1:17" hidden="1">
      <c r="A425" s="9">
        <v>2026</v>
      </c>
      <c r="B425" s="19">
        <v>2</v>
      </c>
      <c r="C425" s="3" t="s">
        <v>14</v>
      </c>
      <c r="D425" s="3" t="s">
        <v>15</v>
      </c>
      <c r="E425" s="3" t="s">
        <v>16</v>
      </c>
      <c r="F425" s="3" t="s">
        <v>17</v>
      </c>
      <c r="G425" s="3" t="str">
        <f t="shared" si="18"/>
        <v>026PURPLE BUBBLY</v>
      </c>
      <c r="H425" s="3">
        <v>0</v>
      </c>
      <c r="I425" s="3">
        <v>0</v>
      </c>
      <c r="J425" s="3">
        <v>0</v>
      </c>
      <c r="K425" s="3">
        <v>1755.4</v>
      </c>
      <c r="L425" s="3">
        <v>12800</v>
      </c>
      <c r="M425" s="3">
        <v>12</v>
      </c>
      <c r="N425" s="3">
        <v>13.445535714285695</v>
      </c>
      <c r="O425" s="3">
        <v>13.624255952380969</v>
      </c>
      <c r="P425" s="3">
        <v>13.274851190476191</v>
      </c>
      <c r="Q425" s="16">
        <f t="shared" si="19"/>
        <v>0</v>
      </c>
    </row>
    <row r="426" spans="1:17" hidden="1">
      <c r="A426" s="9">
        <v>2026</v>
      </c>
      <c r="B426" s="19">
        <v>3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18"/>
        <v>026PURPLE BUBBLY</v>
      </c>
      <c r="H426" s="3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14.266517857142849</v>
      </c>
      <c r="O426" s="3">
        <v>14.450297619047618</v>
      </c>
      <c r="P426" s="3">
        <v>14.083184523809532</v>
      </c>
      <c r="Q426" s="16">
        <f t="shared" si="19"/>
        <v>0</v>
      </c>
    </row>
    <row r="427" spans="1:17" hidden="1">
      <c r="A427" s="9">
        <v>2026</v>
      </c>
      <c r="B427" s="19">
        <v>4</v>
      </c>
      <c r="C427" s="3" t="s">
        <v>14</v>
      </c>
      <c r="D427" s="3" t="s">
        <v>15</v>
      </c>
      <c r="E427" s="3" t="s">
        <v>16</v>
      </c>
      <c r="F427" s="3" t="s">
        <v>17</v>
      </c>
      <c r="G427" s="3" t="str">
        <f t="shared" si="18"/>
        <v>026PURPLE BUBBLY</v>
      </c>
      <c r="H427" s="3">
        <v>0</v>
      </c>
      <c r="I427" s="3">
        <v>0</v>
      </c>
      <c r="J427" s="3">
        <v>0</v>
      </c>
      <c r="K427" s="3">
        <v>1755.4</v>
      </c>
      <c r="L427" s="3">
        <v>12800</v>
      </c>
      <c r="M427" s="3">
        <v>12</v>
      </c>
      <c r="N427" s="3">
        <v>13.962351190476189</v>
      </c>
      <c r="O427" s="3">
        <v>14.126636904761922</v>
      </c>
      <c r="P427" s="3">
        <v>13.802083333333345</v>
      </c>
      <c r="Q427" s="16">
        <f t="shared" si="19"/>
        <v>0</v>
      </c>
    </row>
    <row r="428" spans="1:17" hidden="1">
      <c r="A428" s="9">
        <v>2026</v>
      </c>
      <c r="B428" s="19">
        <v>5</v>
      </c>
      <c r="C428" s="3" t="s">
        <v>14</v>
      </c>
      <c r="D428" s="3" t="s">
        <v>15</v>
      </c>
      <c r="E428" s="3" t="s">
        <v>16</v>
      </c>
      <c r="F428" s="3" t="s">
        <v>17</v>
      </c>
      <c r="G428" s="3" t="str">
        <f t="shared" si="18"/>
        <v>026PURPLE BUBBLY</v>
      </c>
      <c r="H428" s="3">
        <v>0</v>
      </c>
      <c r="I428" s="3">
        <v>0</v>
      </c>
      <c r="J428" s="3">
        <v>0</v>
      </c>
      <c r="K428" s="3">
        <v>1755.4</v>
      </c>
      <c r="L428" s="4">
        <v>12800</v>
      </c>
      <c r="M428" s="3">
        <v>12</v>
      </c>
      <c r="N428" s="4">
        <v>13.891220238095249</v>
      </c>
      <c r="O428" s="4">
        <v>14.021428571428576</v>
      </c>
      <c r="P428" s="4">
        <v>13.768154761904773</v>
      </c>
      <c r="Q428" s="16">
        <f t="shared" si="19"/>
        <v>0</v>
      </c>
    </row>
    <row r="429" spans="1:17" hidden="1">
      <c r="A429" s="9">
        <v>2026</v>
      </c>
      <c r="B429" s="19">
        <v>6</v>
      </c>
      <c r="C429" s="3" t="s">
        <v>14</v>
      </c>
      <c r="D429" s="3" t="s">
        <v>15</v>
      </c>
      <c r="E429" s="3" t="s">
        <v>16</v>
      </c>
      <c r="F429" s="3" t="s">
        <v>17</v>
      </c>
      <c r="G429" s="3" t="str">
        <f t="shared" si="18"/>
        <v>026PURPLE BUBBLY</v>
      </c>
      <c r="H429" s="3">
        <v>0</v>
      </c>
      <c r="I429" s="3">
        <v>0</v>
      </c>
      <c r="J429" s="3">
        <v>0</v>
      </c>
      <c r="K429" s="3">
        <v>1755.4</v>
      </c>
      <c r="L429" s="3">
        <v>12800</v>
      </c>
      <c r="M429" s="3">
        <v>12</v>
      </c>
      <c r="N429" s="4">
        <v>13.608779761904751</v>
      </c>
      <c r="O429" s="4">
        <v>13.751190476190473</v>
      </c>
      <c r="P429" s="4">
        <v>13.467410714285698</v>
      </c>
      <c r="Q429" s="16">
        <f t="shared" si="19"/>
        <v>0</v>
      </c>
    </row>
    <row r="430" spans="1:17" hidden="1">
      <c r="A430" s="9">
        <v>2026</v>
      </c>
      <c r="B430" s="19">
        <v>7</v>
      </c>
      <c r="C430" s="3" t="s">
        <v>14</v>
      </c>
      <c r="D430" s="3" t="s">
        <v>15</v>
      </c>
      <c r="E430" s="3" t="s">
        <v>16</v>
      </c>
      <c r="F430" s="3" t="s">
        <v>17</v>
      </c>
      <c r="G430" s="3" t="str">
        <f t="shared" si="18"/>
        <v>026PURPLE BUBBLY</v>
      </c>
      <c r="H430" s="3">
        <v>0</v>
      </c>
      <c r="I430" s="3">
        <v>0</v>
      </c>
      <c r="J430" s="3">
        <v>0</v>
      </c>
      <c r="K430" s="3">
        <v>1755.4</v>
      </c>
      <c r="L430" s="3">
        <v>12800</v>
      </c>
      <c r="M430" s="3">
        <v>12</v>
      </c>
      <c r="N430" s="3">
        <v>13.648136645962733</v>
      </c>
      <c r="O430" s="3">
        <v>13.84565217391305</v>
      </c>
      <c r="P430" s="3">
        <v>13.459316770186343</v>
      </c>
      <c r="Q430" s="16">
        <f t="shared" si="19"/>
        <v>0</v>
      </c>
    </row>
    <row r="431" spans="1:17" hidden="1">
      <c r="A431" s="9">
        <v>2026</v>
      </c>
      <c r="B431" s="19">
        <v>8</v>
      </c>
      <c r="C431" s="3" t="s">
        <v>14</v>
      </c>
      <c r="D431" s="3" t="s">
        <v>15</v>
      </c>
      <c r="E431" s="3" t="s">
        <v>16</v>
      </c>
      <c r="F431" s="3" t="s">
        <v>17</v>
      </c>
      <c r="G431" s="3" t="str">
        <f t="shared" si="18"/>
        <v>026PURPLE BUBBLY</v>
      </c>
      <c r="H431" s="3">
        <v>0</v>
      </c>
      <c r="I431" s="3">
        <v>0</v>
      </c>
      <c r="J431" s="3">
        <v>0</v>
      </c>
      <c r="K431" s="3">
        <v>1755.4</v>
      </c>
      <c r="L431" s="3">
        <v>12800</v>
      </c>
      <c r="M431" s="3">
        <v>12</v>
      </c>
      <c r="N431" s="3">
        <v>13.817410714285709</v>
      </c>
      <c r="O431" s="3">
        <v>13.988244047619043</v>
      </c>
      <c r="P431" s="3">
        <v>13.654017857142849</v>
      </c>
      <c r="Q431" s="16">
        <f t="shared" si="19"/>
        <v>0</v>
      </c>
    </row>
    <row r="432" spans="1:17" hidden="1">
      <c r="A432" s="9">
        <v>2026</v>
      </c>
      <c r="B432" s="19">
        <v>9</v>
      </c>
      <c r="C432" s="3" t="s">
        <v>14</v>
      </c>
      <c r="D432" s="3" t="s">
        <v>15</v>
      </c>
      <c r="E432" s="3" t="s">
        <v>16</v>
      </c>
      <c r="F432" s="3" t="s">
        <v>17</v>
      </c>
      <c r="G432" s="3" t="str">
        <f t="shared" si="18"/>
        <v>026PURPLE BUBBLY</v>
      </c>
      <c r="H432" s="3">
        <v>0</v>
      </c>
      <c r="I432" s="3">
        <v>0</v>
      </c>
      <c r="J432" s="3">
        <v>0</v>
      </c>
      <c r="K432" s="3">
        <v>1755.4</v>
      </c>
      <c r="L432" s="3">
        <v>12800</v>
      </c>
      <c r="M432" s="3">
        <v>12</v>
      </c>
      <c r="N432" s="3">
        <v>14.133506944444456</v>
      </c>
      <c r="O432" s="3">
        <v>14.297569444444438</v>
      </c>
      <c r="P432" s="3">
        <v>13.967881944444436</v>
      </c>
      <c r="Q432" s="16">
        <f t="shared" si="19"/>
        <v>0</v>
      </c>
    </row>
    <row r="433" spans="1:19" hidden="1">
      <c r="A433" s="9">
        <v>2026</v>
      </c>
      <c r="B433" s="20">
        <v>10</v>
      </c>
      <c r="C433" s="5" t="s">
        <v>14</v>
      </c>
      <c r="D433" s="5" t="s">
        <v>15</v>
      </c>
      <c r="E433" s="5" t="s">
        <v>16</v>
      </c>
      <c r="F433" s="5" t="s">
        <v>17</v>
      </c>
      <c r="G433" s="3" t="str">
        <f t="shared" si="18"/>
        <v>026PURPLE BUBBLY</v>
      </c>
      <c r="H433" s="6">
        <v>0</v>
      </c>
      <c r="I433" s="6">
        <v>0</v>
      </c>
      <c r="J433" s="6">
        <v>0</v>
      </c>
      <c r="K433" s="3">
        <v>1755.4</v>
      </c>
      <c r="L433" s="3">
        <v>12800</v>
      </c>
      <c r="M433" s="3">
        <v>12</v>
      </c>
      <c r="N433" s="3">
        <v>15.017410714285699</v>
      </c>
      <c r="O433" s="3">
        <v>15.20238095238096</v>
      </c>
      <c r="P433" s="3">
        <v>14.836011904761907</v>
      </c>
      <c r="Q433" s="16">
        <f t="shared" si="19"/>
        <v>0</v>
      </c>
    </row>
    <row r="434" spans="1:19" hidden="1">
      <c r="A434" s="9">
        <v>2026</v>
      </c>
      <c r="B434" s="20">
        <v>11</v>
      </c>
      <c r="C434" s="5" t="s">
        <v>14</v>
      </c>
      <c r="D434" s="5" t="s">
        <v>15</v>
      </c>
      <c r="E434" s="5" t="s">
        <v>16</v>
      </c>
      <c r="F434" s="5" t="s">
        <v>17</v>
      </c>
      <c r="G434" s="3" t="str">
        <f t="shared" si="18"/>
        <v>026PURPLE BUBBLY</v>
      </c>
      <c r="H434" s="6">
        <v>0</v>
      </c>
      <c r="I434" s="6">
        <v>0</v>
      </c>
      <c r="J434" s="6">
        <v>0</v>
      </c>
      <c r="K434" s="3">
        <v>1755.4</v>
      </c>
      <c r="L434" s="3">
        <v>12800</v>
      </c>
      <c r="M434" s="3">
        <v>12</v>
      </c>
      <c r="N434" s="3">
        <v>14.47744360902257</v>
      </c>
      <c r="O434" s="3">
        <v>14.635488721804517</v>
      </c>
      <c r="P434" s="3">
        <v>14.324360902255648</v>
      </c>
      <c r="Q434" s="16">
        <f t="shared" si="19"/>
        <v>0</v>
      </c>
    </row>
    <row r="435" spans="1:19" hidden="1">
      <c r="A435" s="9">
        <v>2026</v>
      </c>
      <c r="B435" s="20">
        <v>12</v>
      </c>
      <c r="C435" s="5" t="s">
        <v>14</v>
      </c>
      <c r="D435" s="5" t="s">
        <v>15</v>
      </c>
      <c r="E435" s="5" t="s">
        <v>16</v>
      </c>
      <c r="F435" s="5" t="s">
        <v>17</v>
      </c>
      <c r="G435" s="3" t="str">
        <f t="shared" si="18"/>
        <v>026PURPLE BUBBLY</v>
      </c>
      <c r="H435" s="6">
        <v>0</v>
      </c>
      <c r="I435" s="6">
        <v>0</v>
      </c>
      <c r="J435" s="6">
        <v>0</v>
      </c>
      <c r="K435" s="3">
        <v>1755.4</v>
      </c>
      <c r="L435" s="3">
        <v>12800</v>
      </c>
      <c r="M435" s="3">
        <v>12</v>
      </c>
      <c r="N435" s="3">
        <v>13.68377976190477</v>
      </c>
      <c r="O435" s="3">
        <v>13.892410714285713</v>
      </c>
      <c r="P435" s="3">
        <v>13.471130952380953</v>
      </c>
      <c r="Q435" s="16">
        <f t="shared" si="19"/>
        <v>0</v>
      </c>
    </row>
    <row r="436" spans="1:19" hidden="1">
      <c r="A436" s="9">
        <v>2026</v>
      </c>
      <c r="B436" s="20">
        <v>13</v>
      </c>
      <c r="C436" s="5" t="s">
        <v>14</v>
      </c>
      <c r="D436" s="5" t="s">
        <v>15</v>
      </c>
      <c r="E436" s="5" t="s">
        <v>16</v>
      </c>
      <c r="F436" s="5" t="s">
        <v>17</v>
      </c>
      <c r="G436" s="3" t="str">
        <f t="shared" si="18"/>
        <v>026PURPLE BUBBLY</v>
      </c>
      <c r="H436" s="6">
        <v>0</v>
      </c>
      <c r="I436" s="6">
        <v>0</v>
      </c>
      <c r="J436" s="6">
        <v>0</v>
      </c>
      <c r="K436" s="3">
        <v>1755.4</v>
      </c>
      <c r="L436" s="3">
        <v>12800</v>
      </c>
      <c r="M436" s="3">
        <v>12</v>
      </c>
      <c r="N436" s="3">
        <v>14.021726190476178</v>
      </c>
      <c r="O436" s="3">
        <v>14.186755952380958</v>
      </c>
      <c r="P436" s="3">
        <v>13.861755952380944</v>
      </c>
      <c r="Q436" s="16">
        <f t="shared" si="19"/>
        <v>0</v>
      </c>
    </row>
    <row r="437" spans="1:19" hidden="1">
      <c r="A437" s="9">
        <v>2025</v>
      </c>
      <c r="B437" s="19">
        <v>1</v>
      </c>
      <c r="C437" s="3" t="s">
        <v>18</v>
      </c>
      <c r="D437" s="3" t="s">
        <v>15</v>
      </c>
      <c r="E437" s="3" t="s">
        <v>23</v>
      </c>
      <c r="F437" s="3" t="s">
        <v>24</v>
      </c>
      <c r="G437" s="3" t="str">
        <f t="shared" si="18"/>
        <v>027SATISFACTION</v>
      </c>
      <c r="H437" s="3">
        <v>3630</v>
      </c>
      <c r="I437" s="3">
        <v>4329</v>
      </c>
      <c r="J437" s="3">
        <v>4068</v>
      </c>
      <c r="K437" s="3">
        <v>2633.1</v>
      </c>
      <c r="L437" s="3">
        <v>19200</v>
      </c>
      <c r="M437" s="3">
        <v>12</v>
      </c>
      <c r="N437" s="3">
        <v>14.926896551724157</v>
      </c>
      <c r="O437" s="3">
        <v>15.150114942528749</v>
      </c>
      <c r="P437" s="3">
        <v>14.717701149425297</v>
      </c>
      <c r="Q437" s="16">
        <f t="shared" si="19"/>
        <v>1.3786031673692607</v>
      </c>
      <c r="R437" s="10">
        <v>3926.875918064593</v>
      </c>
      <c r="S437" s="11">
        <f>+(H437-R437)/H437</f>
        <v>-8.1783999466830015E-2</v>
      </c>
    </row>
    <row r="438" spans="1:19" hidden="1">
      <c r="A438" s="9">
        <v>2025</v>
      </c>
      <c r="B438" s="19">
        <v>2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18"/>
        <v>027SATISFACTION</v>
      </c>
      <c r="H438" s="3">
        <v>3240</v>
      </c>
      <c r="I438" s="3">
        <v>3966</v>
      </c>
      <c r="J438" s="3">
        <v>4639</v>
      </c>
      <c r="K438" s="3">
        <v>2633.1</v>
      </c>
      <c r="L438" s="3">
        <v>19200</v>
      </c>
      <c r="M438" s="3">
        <v>12</v>
      </c>
      <c r="N438" s="3">
        <v>15.117031249999988</v>
      </c>
      <c r="O438" s="3">
        <v>15.357656249999996</v>
      </c>
      <c r="P438" s="3">
        <v>14.884374999999986</v>
      </c>
      <c r="Q438" s="16">
        <f t="shared" si="19"/>
        <v>1.2304887774866127</v>
      </c>
      <c r="R438" s="10">
        <v>2238.3192732968182</v>
      </c>
      <c r="S438" s="11">
        <f t="shared" ref="S438:S501" si="20">+(H438-R438)/H438</f>
        <v>0.30916071811826601</v>
      </c>
    </row>
    <row r="439" spans="1:19" hidden="1">
      <c r="A439" s="9">
        <v>2025</v>
      </c>
      <c r="B439" s="19">
        <v>3</v>
      </c>
      <c r="C439" s="3" t="s">
        <v>18</v>
      </c>
      <c r="D439" s="3" t="s">
        <v>15</v>
      </c>
      <c r="E439" s="3" t="s">
        <v>23</v>
      </c>
      <c r="F439" s="3" t="s">
        <v>24</v>
      </c>
      <c r="G439" s="3" t="str">
        <f t="shared" si="18"/>
        <v>027SATISFACTION</v>
      </c>
      <c r="H439" s="3">
        <v>5670</v>
      </c>
      <c r="I439" s="3">
        <v>5618</v>
      </c>
      <c r="J439" s="3">
        <v>5238</v>
      </c>
      <c r="K439" s="3">
        <v>2633.1</v>
      </c>
      <c r="L439" s="3">
        <v>19200</v>
      </c>
      <c r="M439" s="3">
        <v>12</v>
      </c>
      <c r="N439" s="3">
        <v>14.559689922480603</v>
      </c>
      <c r="O439" s="3">
        <v>14.791627906976728</v>
      </c>
      <c r="P439" s="3">
        <v>14.336744186046507</v>
      </c>
      <c r="Q439" s="16">
        <f t="shared" si="19"/>
        <v>2.1533553606015725</v>
      </c>
      <c r="R439" s="10">
        <v>5948.313437149337</v>
      </c>
      <c r="S439" s="11">
        <f t="shared" si="20"/>
        <v>-4.908526228383369E-2</v>
      </c>
    </row>
    <row r="440" spans="1:19" hidden="1">
      <c r="A440" s="9">
        <v>2025</v>
      </c>
      <c r="B440" s="19">
        <v>4</v>
      </c>
      <c r="C440" s="3" t="s">
        <v>18</v>
      </c>
      <c r="D440" s="3" t="s">
        <v>15</v>
      </c>
      <c r="E440" s="3" t="s">
        <v>23</v>
      </c>
      <c r="F440" s="3" t="s">
        <v>24</v>
      </c>
      <c r="G440" s="3" t="str">
        <f t="shared" si="18"/>
        <v>027SATISFACTION</v>
      </c>
      <c r="H440" s="3">
        <v>11370</v>
      </c>
      <c r="I440" s="3">
        <v>9198</v>
      </c>
      <c r="J440" s="3">
        <v>9198</v>
      </c>
      <c r="K440" s="3">
        <v>2633.1</v>
      </c>
      <c r="L440" s="3">
        <v>19200</v>
      </c>
      <c r="M440" s="3">
        <v>12</v>
      </c>
      <c r="N440" s="3">
        <v>14.620404984423683</v>
      </c>
      <c r="O440" s="3">
        <v>14.90529595015577</v>
      </c>
      <c r="P440" s="3">
        <v>14.333644859813107</v>
      </c>
      <c r="Q440" s="16">
        <f t="shared" si="19"/>
        <v>4.3181041358095023</v>
      </c>
      <c r="R440" s="10">
        <v>3390.5386591751221</v>
      </c>
      <c r="S440" s="11">
        <f t="shared" si="20"/>
        <v>0.70179959022206495</v>
      </c>
    </row>
    <row r="441" spans="1:19" hidden="1">
      <c r="A441" s="9">
        <v>2025</v>
      </c>
      <c r="B441" s="19">
        <v>5</v>
      </c>
      <c r="C441" s="3" t="s">
        <v>18</v>
      </c>
      <c r="D441" s="3" t="s">
        <v>15</v>
      </c>
      <c r="E441" s="3" t="s">
        <v>23</v>
      </c>
      <c r="F441" s="3" t="s">
        <v>24</v>
      </c>
      <c r="G441" s="3" t="str">
        <f t="shared" si="18"/>
        <v>027SATISFACTION</v>
      </c>
      <c r="H441" s="3">
        <v>16440</v>
      </c>
      <c r="I441" s="3">
        <v>13578</v>
      </c>
      <c r="J441" s="3">
        <v>12054</v>
      </c>
      <c r="K441" s="3">
        <v>2633.1</v>
      </c>
      <c r="L441" s="3">
        <v>19200</v>
      </c>
      <c r="M441" s="3">
        <v>12</v>
      </c>
      <c r="N441" s="3">
        <v>15.759968602825738</v>
      </c>
      <c r="O441" s="3">
        <v>16.024332810047081</v>
      </c>
      <c r="P441" s="3">
        <v>15.492935635792767</v>
      </c>
      <c r="Q441" s="16">
        <f t="shared" si="19"/>
        <v>6.2435912042839243</v>
      </c>
      <c r="R441" s="10">
        <v>11997.98861236075</v>
      </c>
      <c r="S441" s="11">
        <f t="shared" si="20"/>
        <v>0.27019533988073297</v>
      </c>
    </row>
    <row r="442" spans="1:19" hidden="1">
      <c r="A442" s="9">
        <v>2025</v>
      </c>
      <c r="B442" s="19">
        <v>6</v>
      </c>
      <c r="C442" s="3" t="s">
        <v>18</v>
      </c>
      <c r="D442" s="3" t="s">
        <v>15</v>
      </c>
      <c r="E442" s="3" t="s">
        <v>23</v>
      </c>
      <c r="F442" s="3" t="s">
        <v>24</v>
      </c>
      <c r="G442" s="3" t="str">
        <f t="shared" si="18"/>
        <v>027SATISFACTION</v>
      </c>
      <c r="H442" s="3">
        <v>8850</v>
      </c>
      <c r="I442" s="3">
        <v>5858</v>
      </c>
      <c r="J442" s="3">
        <v>6509</v>
      </c>
      <c r="K442" s="3">
        <v>2633.1</v>
      </c>
      <c r="L442" s="3">
        <v>19200</v>
      </c>
      <c r="M442" s="3">
        <v>12</v>
      </c>
      <c r="N442" s="3">
        <v>14.483252032520339</v>
      </c>
      <c r="O442" s="3">
        <v>14.696910569105704</v>
      </c>
      <c r="P442" s="3">
        <v>14.273333333333341</v>
      </c>
      <c r="Q442" s="16">
        <f t="shared" si="19"/>
        <v>3.3610573088754703</v>
      </c>
      <c r="R442" s="10">
        <v>6838.853509045628</v>
      </c>
      <c r="S442" s="11">
        <f t="shared" si="20"/>
        <v>0.22724819106829061</v>
      </c>
    </row>
    <row r="443" spans="1:19" hidden="1">
      <c r="A443" s="9">
        <v>2025</v>
      </c>
      <c r="B443" s="19">
        <v>7</v>
      </c>
      <c r="C443" s="3" t="s">
        <v>18</v>
      </c>
      <c r="D443" s="3" t="s">
        <v>15</v>
      </c>
      <c r="E443" s="3" t="s">
        <v>23</v>
      </c>
      <c r="F443" s="3" t="s">
        <v>24</v>
      </c>
      <c r="G443" s="3" t="str">
        <f t="shared" si="18"/>
        <v>027SATISFACTION</v>
      </c>
      <c r="H443" s="3">
        <v>5490</v>
      </c>
      <c r="I443" s="3">
        <v>4070</v>
      </c>
      <c r="J443" s="3">
        <v>3808</v>
      </c>
      <c r="K443" s="3">
        <v>2633.1</v>
      </c>
      <c r="L443" s="3">
        <v>19200</v>
      </c>
      <c r="M443" s="3">
        <v>12</v>
      </c>
      <c r="N443" s="3">
        <v>13.801155115511554</v>
      </c>
      <c r="O443" s="3">
        <v>14.032838283828401</v>
      </c>
      <c r="P443" s="3">
        <v>13.571947194719476</v>
      </c>
      <c r="Q443" s="16">
        <f t="shared" si="19"/>
        <v>2.0849948729634273</v>
      </c>
      <c r="R443" s="10">
        <v>5887.8013153915899</v>
      </c>
      <c r="S443" s="11">
        <f t="shared" si="20"/>
        <v>-7.2459255991182137E-2</v>
      </c>
    </row>
    <row r="444" spans="1:19" hidden="1">
      <c r="A444" s="9">
        <v>2025</v>
      </c>
      <c r="B444" s="19">
        <v>8</v>
      </c>
      <c r="C444" s="3" t="s">
        <v>18</v>
      </c>
      <c r="D444" s="3" t="s">
        <v>15</v>
      </c>
      <c r="E444" s="3" t="s">
        <v>23</v>
      </c>
      <c r="F444" s="3" t="s">
        <v>24</v>
      </c>
      <c r="G444" s="3" t="str">
        <f t="shared" si="18"/>
        <v>027SATISFACTION</v>
      </c>
      <c r="H444" s="3">
        <v>3390</v>
      </c>
      <c r="I444" s="3">
        <v>4212</v>
      </c>
      <c r="J444" s="3">
        <v>3882</v>
      </c>
      <c r="K444" s="3">
        <v>2633.1</v>
      </c>
      <c r="L444" s="3">
        <v>19200</v>
      </c>
      <c r="M444" s="3">
        <v>12</v>
      </c>
      <c r="N444" s="3">
        <v>14.886996336996331</v>
      </c>
      <c r="O444" s="3">
        <v>15.080952380952363</v>
      </c>
      <c r="P444" s="3">
        <v>14.693406593406582</v>
      </c>
      <c r="Q444" s="16">
        <f t="shared" si="19"/>
        <v>1.2874558505184004</v>
      </c>
      <c r="R444" s="10">
        <v>3658.5146753133531</v>
      </c>
      <c r="S444" s="11">
        <f t="shared" si="20"/>
        <v>-7.9207868823997968E-2</v>
      </c>
    </row>
    <row r="445" spans="1:19" hidden="1">
      <c r="A445" s="9">
        <v>2025</v>
      </c>
      <c r="B445" s="19">
        <v>9</v>
      </c>
      <c r="C445" s="3" t="s">
        <v>18</v>
      </c>
      <c r="D445" s="3" t="s">
        <v>15</v>
      </c>
      <c r="E445" s="3" t="s">
        <v>23</v>
      </c>
      <c r="F445" s="3" t="s">
        <v>24</v>
      </c>
      <c r="G445" s="3" t="str">
        <f t="shared" si="18"/>
        <v>027SATISFACTION</v>
      </c>
      <c r="H445" s="3">
        <v>3360</v>
      </c>
      <c r="I445" s="3">
        <v>4481</v>
      </c>
      <c r="J445" s="3">
        <v>3904</v>
      </c>
      <c r="K445" s="3">
        <v>2633.1</v>
      </c>
      <c r="L445" s="3">
        <v>19200</v>
      </c>
      <c r="M445" s="3">
        <v>12</v>
      </c>
      <c r="N445" s="3">
        <v>14.097372742200333</v>
      </c>
      <c r="O445" s="3">
        <v>14.333333333333339</v>
      </c>
      <c r="P445" s="3">
        <v>13.866009852216745</v>
      </c>
      <c r="Q445" s="16">
        <f t="shared" si="19"/>
        <v>1.2760624359120429</v>
      </c>
      <c r="R445" s="10">
        <v>3627.4189766793352</v>
      </c>
      <c r="S445" s="11">
        <f t="shared" si="20"/>
        <v>-7.9588981154564045E-2</v>
      </c>
    </row>
    <row r="446" spans="1:19" hidden="1">
      <c r="A446" s="9">
        <v>2025</v>
      </c>
      <c r="B446" s="19">
        <v>10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18"/>
        <v>027SATISFACTION</v>
      </c>
      <c r="H446" s="3">
        <v>3570</v>
      </c>
      <c r="I446" s="3">
        <v>3780</v>
      </c>
      <c r="J446" s="3">
        <v>4277</v>
      </c>
      <c r="K446" s="3">
        <v>2633.1</v>
      </c>
      <c r="L446" s="3">
        <v>19200</v>
      </c>
      <c r="M446" s="3">
        <v>12</v>
      </c>
      <c r="N446" s="3">
        <v>14.862558502340111</v>
      </c>
      <c r="O446" s="3">
        <v>15.090171606864288</v>
      </c>
      <c r="P446" s="3">
        <v>14.637597503900155</v>
      </c>
      <c r="Q446" s="16">
        <f t="shared" si="19"/>
        <v>1.3558163381565456</v>
      </c>
      <c r="R446" s="10">
        <v>3841.6248930301281</v>
      </c>
      <c r="S446" s="11">
        <f t="shared" si="20"/>
        <v>-7.6085404210119903E-2</v>
      </c>
    </row>
    <row r="447" spans="1:19" hidden="1">
      <c r="A447" s="9">
        <v>2025</v>
      </c>
      <c r="B447" s="19">
        <v>11</v>
      </c>
      <c r="C447" s="3" t="s">
        <v>18</v>
      </c>
      <c r="D447" s="3" t="s">
        <v>15</v>
      </c>
      <c r="E447" s="3" t="s">
        <v>23</v>
      </c>
      <c r="F447" s="3" t="s">
        <v>24</v>
      </c>
      <c r="G447" s="3" t="str">
        <f t="shared" si="18"/>
        <v>027SATISFACTION</v>
      </c>
      <c r="H447" s="3">
        <v>3510</v>
      </c>
      <c r="I447" s="3">
        <v>4080</v>
      </c>
      <c r="J447" s="3">
        <v>3930</v>
      </c>
      <c r="K447" s="3">
        <v>2633.1</v>
      </c>
      <c r="L447" s="3">
        <v>19200</v>
      </c>
      <c r="M447" s="3">
        <v>12</v>
      </c>
      <c r="N447" s="3">
        <v>13.730322580645163</v>
      </c>
      <c r="O447" s="3">
        <v>13.974354838709669</v>
      </c>
      <c r="P447" s="3">
        <v>13.489193548387098</v>
      </c>
      <c r="Q447" s="16">
        <f t="shared" si="19"/>
        <v>1.3330295089438304</v>
      </c>
      <c r="R447" s="10">
        <v>3791.9044953739549</v>
      </c>
      <c r="S447" s="11">
        <f t="shared" si="20"/>
        <v>-8.0314671046710792E-2</v>
      </c>
    </row>
    <row r="448" spans="1:19" hidden="1">
      <c r="A448" s="9">
        <v>2025</v>
      </c>
      <c r="B448" s="19">
        <v>12</v>
      </c>
      <c r="C448" s="3" t="s">
        <v>18</v>
      </c>
      <c r="D448" s="3" t="s">
        <v>15</v>
      </c>
      <c r="E448" s="3" t="s">
        <v>23</v>
      </c>
      <c r="F448" s="3" t="s">
        <v>24</v>
      </c>
      <c r="G448" s="3" t="str">
        <f t="shared" si="18"/>
        <v>027SATISFACTION</v>
      </c>
      <c r="H448" s="3">
        <v>3030</v>
      </c>
      <c r="I448" s="3">
        <v>4212</v>
      </c>
      <c r="J448" s="3">
        <v>4212</v>
      </c>
      <c r="K448" s="3">
        <v>2633.1</v>
      </c>
      <c r="L448" s="3">
        <v>19200</v>
      </c>
      <c r="M448" s="3">
        <v>12</v>
      </c>
      <c r="N448" s="3">
        <v>14.314696485623003</v>
      </c>
      <c r="O448" s="3">
        <v>14.549999999999999</v>
      </c>
      <c r="P448" s="3">
        <v>14.083386581469659</v>
      </c>
      <c r="Q448" s="16">
        <f t="shared" si="19"/>
        <v>1.15073487524211</v>
      </c>
      <c r="R448" s="10">
        <v>3064.4336754001129</v>
      </c>
      <c r="S448" s="11">
        <f t="shared" si="20"/>
        <v>-1.1364249306967941E-2</v>
      </c>
    </row>
    <row r="449" spans="1:19" hidden="1">
      <c r="A449" s="9">
        <v>2025</v>
      </c>
      <c r="B449" s="19">
        <v>13</v>
      </c>
      <c r="C449" s="3" t="s">
        <v>18</v>
      </c>
      <c r="D449" s="3" t="s">
        <v>15</v>
      </c>
      <c r="E449" s="3" t="s">
        <v>23</v>
      </c>
      <c r="F449" s="3" t="s">
        <v>24</v>
      </c>
      <c r="G449" s="3" t="str">
        <f t="shared" si="18"/>
        <v>027SATISFACTION</v>
      </c>
      <c r="H449" s="3">
        <v>3240</v>
      </c>
      <c r="I449" s="3">
        <v>4705</v>
      </c>
      <c r="J449" s="3">
        <v>4366</v>
      </c>
      <c r="K449" s="3">
        <v>2633.1</v>
      </c>
      <c r="L449" s="3">
        <v>19200</v>
      </c>
      <c r="M449" s="3">
        <v>12</v>
      </c>
      <c r="N449" s="3">
        <v>14.926896551724157</v>
      </c>
      <c r="O449" s="3">
        <v>15.150114942528749</v>
      </c>
      <c r="P449" s="3">
        <v>14.717701149425297</v>
      </c>
      <c r="Q449" s="16">
        <f t="shared" si="19"/>
        <v>1.2304887774866127</v>
      </c>
      <c r="R449" s="10">
        <v>3175.0050216763452</v>
      </c>
      <c r="S449" s="11">
        <f t="shared" si="20"/>
        <v>2.0060178494955179E-2</v>
      </c>
    </row>
    <row r="450" spans="1:19" hidden="1">
      <c r="A450" s="9">
        <v>2025</v>
      </c>
      <c r="B450" s="19">
        <v>14</v>
      </c>
      <c r="C450" s="3" t="s">
        <v>18</v>
      </c>
      <c r="D450" s="3" t="s">
        <v>15</v>
      </c>
      <c r="E450" s="3" t="s">
        <v>23</v>
      </c>
      <c r="F450" s="3" t="s">
        <v>24</v>
      </c>
      <c r="G450" s="3" t="str">
        <f t="shared" si="18"/>
        <v>027SATISFACTION</v>
      </c>
      <c r="H450" s="3">
        <v>3660</v>
      </c>
      <c r="I450" s="3">
        <v>5238</v>
      </c>
      <c r="J450" s="3">
        <v>5594</v>
      </c>
      <c r="K450" s="3">
        <v>2633.1</v>
      </c>
      <c r="L450" s="3">
        <v>19200</v>
      </c>
      <c r="M450" s="3">
        <v>12</v>
      </c>
      <c r="N450" s="3">
        <v>15.117031249999988</v>
      </c>
      <c r="O450" s="3">
        <v>15.357656249999996</v>
      </c>
      <c r="P450" s="3">
        <v>14.884374999999986</v>
      </c>
      <c r="Q450" s="16">
        <f t="shared" si="19"/>
        <v>1.3899965819756182</v>
      </c>
      <c r="R450" s="10">
        <v>3935.4524489579562</v>
      </c>
      <c r="S450" s="11">
        <f t="shared" si="20"/>
        <v>-7.5260231955725745E-2</v>
      </c>
    </row>
    <row r="451" spans="1:19" hidden="1">
      <c r="A451" s="9">
        <v>2025</v>
      </c>
      <c r="B451" s="19">
        <v>15</v>
      </c>
      <c r="C451" s="3" t="s">
        <v>18</v>
      </c>
      <c r="D451" s="3" t="s">
        <v>15</v>
      </c>
      <c r="E451" s="3" t="s">
        <v>23</v>
      </c>
      <c r="F451" s="3" t="s">
        <v>24</v>
      </c>
      <c r="G451" s="3" t="str">
        <f t="shared" si="18"/>
        <v>027SATISFACTION</v>
      </c>
      <c r="H451" s="3">
        <v>3030</v>
      </c>
      <c r="I451" s="3">
        <v>5676</v>
      </c>
      <c r="J451" s="3">
        <v>5676</v>
      </c>
      <c r="K451" s="3">
        <v>2633.1</v>
      </c>
      <c r="L451" s="3">
        <v>19200</v>
      </c>
      <c r="M451" s="3">
        <v>12</v>
      </c>
      <c r="N451" s="3">
        <v>14.559689922480603</v>
      </c>
      <c r="O451" s="3">
        <v>14.791627906976728</v>
      </c>
      <c r="P451" s="3">
        <v>14.336744186046507</v>
      </c>
      <c r="Q451" s="16">
        <f t="shared" si="19"/>
        <v>1.15073487524211</v>
      </c>
      <c r="R451" s="10">
        <v>3131.137811231898</v>
      </c>
      <c r="S451" s="11">
        <f t="shared" si="20"/>
        <v>-3.3378815588085156E-2</v>
      </c>
    </row>
    <row r="452" spans="1:19" hidden="1">
      <c r="A452" s="9">
        <v>2025</v>
      </c>
      <c r="B452" s="19">
        <v>16</v>
      </c>
      <c r="C452" s="3" t="s">
        <v>18</v>
      </c>
      <c r="D452" s="3" t="s">
        <v>15</v>
      </c>
      <c r="E452" s="3" t="s">
        <v>23</v>
      </c>
      <c r="F452" s="3" t="s">
        <v>24</v>
      </c>
      <c r="G452" s="3" t="str">
        <f t="shared" si="18"/>
        <v>027SATISFACTION</v>
      </c>
      <c r="H452" s="3">
        <v>4590</v>
      </c>
      <c r="I452" s="3">
        <v>9758</v>
      </c>
      <c r="J452" s="3">
        <v>10271</v>
      </c>
      <c r="K452" s="3">
        <v>2633.1</v>
      </c>
      <c r="L452" s="3">
        <v>19200</v>
      </c>
      <c r="M452" s="3">
        <v>12</v>
      </c>
      <c r="N452" s="3">
        <v>14.620404984423683</v>
      </c>
      <c r="O452" s="3">
        <v>14.90529595015577</v>
      </c>
      <c r="P452" s="3">
        <v>14.333644859813107</v>
      </c>
      <c r="Q452" s="16">
        <f t="shared" si="19"/>
        <v>1.7431924347727015</v>
      </c>
      <c r="R452" s="10">
        <v>4950.5805770268598</v>
      </c>
      <c r="S452" s="11">
        <f t="shared" si="20"/>
        <v>-7.8557859918705841E-2</v>
      </c>
    </row>
    <row r="453" spans="1:19" hidden="1">
      <c r="A453" s="9">
        <v>2025</v>
      </c>
      <c r="B453" s="19">
        <v>17</v>
      </c>
      <c r="C453" s="3" t="s">
        <v>18</v>
      </c>
      <c r="D453" s="3" t="s">
        <v>15</v>
      </c>
      <c r="E453" s="3" t="s">
        <v>23</v>
      </c>
      <c r="F453" s="3" t="s">
        <v>24</v>
      </c>
      <c r="G453" s="3" t="str">
        <f t="shared" si="18"/>
        <v>027SATISFACTION</v>
      </c>
      <c r="H453" s="3">
        <v>9510</v>
      </c>
      <c r="I453" s="3">
        <v>13211</v>
      </c>
      <c r="J453" s="3">
        <v>13211</v>
      </c>
      <c r="K453" s="3">
        <v>2633.1</v>
      </c>
      <c r="L453" s="3">
        <v>19200</v>
      </c>
      <c r="M453" s="3">
        <v>12</v>
      </c>
      <c r="N453" s="3">
        <v>15.759968602825738</v>
      </c>
      <c r="O453" s="3">
        <v>16.024332810047081</v>
      </c>
      <c r="P453" s="3">
        <v>15.492935635792767</v>
      </c>
      <c r="Q453" s="16">
        <f t="shared" si="19"/>
        <v>3.6117124302153356</v>
      </c>
      <c r="R453" s="10">
        <v>10114.296184534831</v>
      </c>
      <c r="S453" s="11">
        <f t="shared" si="20"/>
        <v>-6.3543237069908609E-2</v>
      </c>
    </row>
    <row r="454" spans="1:19" hidden="1">
      <c r="A454" s="9">
        <v>2025</v>
      </c>
      <c r="B454" s="19">
        <v>18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18"/>
        <v>027SATISFACTION</v>
      </c>
      <c r="H454" s="3">
        <v>12660</v>
      </c>
      <c r="I454" s="3">
        <v>11414</v>
      </c>
      <c r="J454" s="3">
        <v>11414</v>
      </c>
      <c r="K454" s="3">
        <v>2633.1</v>
      </c>
      <c r="L454" s="3">
        <v>19200</v>
      </c>
      <c r="M454" s="3">
        <v>12</v>
      </c>
      <c r="N454" s="3">
        <v>14.483252032520339</v>
      </c>
      <c r="O454" s="3">
        <v>14.696910569105704</v>
      </c>
      <c r="P454" s="3">
        <v>14.273333333333341</v>
      </c>
      <c r="Q454" s="16">
        <f t="shared" si="19"/>
        <v>4.8080209638828757</v>
      </c>
      <c r="R454" s="10">
        <v>12600.045837330559</v>
      </c>
      <c r="S454" s="11">
        <f t="shared" si="20"/>
        <v>4.7357158506667338E-3</v>
      </c>
    </row>
    <row r="455" spans="1:19" hidden="1">
      <c r="A455" s="9">
        <v>2025</v>
      </c>
      <c r="B455" s="19">
        <v>19</v>
      </c>
      <c r="C455" s="3" t="s">
        <v>18</v>
      </c>
      <c r="D455" s="3" t="s">
        <v>15</v>
      </c>
      <c r="E455" s="3" t="s">
        <v>23</v>
      </c>
      <c r="F455" s="3" t="s">
        <v>24</v>
      </c>
      <c r="G455" s="3" t="str">
        <f t="shared" si="18"/>
        <v>027SATISFACTION</v>
      </c>
      <c r="H455" s="3">
        <v>5460</v>
      </c>
      <c r="I455" s="3">
        <v>7533</v>
      </c>
      <c r="J455" s="3">
        <v>6848</v>
      </c>
      <c r="K455" s="3">
        <v>2633.1</v>
      </c>
      <c r="L455" s="3">
        <v>19200</v>
      </c>
      <c r="M455" s="3">
        <v>12</v>
      </c>
      <c r="N455" s="3">
        <v>13.801155115511554</v>
      </c>
      <c r="O455" s="3">
        <v>14.032838283828401</v>
      </c>
      <c r="P455" s="3">
        <v>13.571947194719476</v>
      </c>
      <c r="Q455" s="16">
        <f t="shared" si="19"/>
        <v>2.0736014583570697</v>
      </c>
      <c r="R455" s="10">
        <v>5945.9152420207174</v>
      </c>
      <c r="S455" s="11">
        <f t="shared" si="20"/>
        <v>-8.8995465571559962E-2</v>
      </c>
    </row>
    <row r="456" spans="1:19" hidden="1">
      <c r="A456" s="9">
        <v>2025</v>
      </c>
      <c r="B456" s="19">
        <v>20</v>
      </c>
      <c r="C456" s="3" t="s">
        <v>18</v>
      </c>
      <c r="D456" s="3" t="s">
        <v>15</v>
      </c>
      <c r="E456" s="3" t="s">
        <v>23</v>
      </c>
      <c r="F456" s="3" t="s">
        <v>24</v>
      </c>
      <c r="G456" s="3" t="str">
        <f t="shared" si="18"/>
        <v>027SATISFACTION</v>
      </c>
      <c r="H456" s="3">
        <v>5790</v>
      </c>
      <c r="I456" s="3">
        <v>4410</v>
      </c>
      <c r="J456" s="3">
        <v>7081</v>
      </c>
      <c r="K456" s="3">
        <v>2633.1</v>
      </c>
      <c r="L456" s="3">
        <v>19200</v>
      </c>
      <c r="M456" s="3">
        <v>12</v>
      </c>
      <c r="N456" s="3">
        <v>14.886996336996331</v>
      </c>
      <c r="O456" s="3">
        <v>15.080952380952363</v>
      </c>
      <c r="P456" s="3">
        <v>14.693406593406582</v>
      </c>
      <c r="Q456" s="16">
        <f t="shared" si="19"/>
        <v>2.1989290190270023</v>
      </c>
      <c r="R456" s="10">
        <v>6412.5435779931686</v>
      </c>
      <c r="S456" s="11">
        <f t="shared" si="20"/>
        <v>-0.10752047979156625</v>
      </c>
    </row>
    <row r="457" spans="1:19" hidden="1">
      <c r="A457" s="9">
        <v>2025</v>
      </c>
      <c r="B457" s="19">
        <v>21</v>
      </c>
      <c r="C457" s="3" t="s">
        <v>18</v>
      </c>
      <c r="D457" s="3" t="s">
        <v>15</v>
      </c>
      <c r="E457" s="3" t="s">
        <v>23</v>
      </c>
      <c r="F457" s="3" t="s">
        <v>24</v>
      </c>
      <c r="G457" s="3" t="str">
        <f t="shared" si="18"/>
        <v>027SATISFACTION</v>
      </c>
      <c r="H457" s="3">
        <v>4230</v>
      </c>
      <c r="I457" s="3">
        <v>4527</v>
      </c>
      <c r="J457" s="3">
        <v>4316</v>
      </c>
      <c r="K457" s="3">
        <v>2633.1</v>
      </c>
      <c r="L457" s="3">
        <v>19200</v>
      </c>
      <c r="M457" s="3">
        <v>12</v>
      </c>
      <c r="N457" s="3">
        <v>14.097372742200333</v>
      </c>
      <c r="O457" s="3">
        <v>14.333333333333339</v>
      </c>
      <c r="P457" s="3">
        <v>13.866009852216745</v>
      </c>
      <c r="Q457" s="16">
        <f t="shared" si="19"/>
        <v>1.6064714594964111</v>
      </c>
      <c r="R457" s="10">
        <v>4555.2838798010944</v>
      </c>
      <c r="S457" s="11">
        <f t="shared" si="20"/>
        <v>-7.6899262364324913E-2</v>
      </c>
    </row>
    <row r="458" spans="1:19" hidden="1">
      <c r="A458" s="9">
        <v>2025</v>
      </c>
      <c r="B458" s="19">
        <v>22</v>
      </c>
      <c r="C458" s="3" t="s">
        <v>18</v>
      </c>
      <c r="D458" s="3" t="s">
        <v>15</v>
      </c>
      <c r="E458" s="3" t="s">
        <v>23</v>
      </c>
      <c r="F458" s="3" t="s">
        <v>24</v>
      </c>
      <c r="G458" s="3" t="str">
        <f t="shared" si="18"/>
        <v>027SATISFACTION</v>
      </c>
      <c r="H458" s="3">
        <v>3720</v>
      </c>
      <c r="I458" s="3">
        <v>4345</v>
      </c>
      <c r="J458" s="3">
        <v>4516</v>
      </c>
      <c r="K458" s="3">
        <v>2633.1</v>
      </c>
      <c r="L458" s="3">
        <v>19200</v>
      </c>
      <c r="M458" s="3">
        <v>12</v>
      </c>
      <c r="N458" s="3">
        <v>14.862558502340111</v>
      </c>
      <c r="O458" s="3">
        <v>15.090171606864288</v>
      </c>
      <c r="P458" s="3">
        <v>14.637597503900155</v>
      </c>
      <c r="Q458" s="16">
        <f t="shared" si="19"/>
        <v>1.4127834111883333</v>
      </c>
      <c r="R458" s="10">
        <v>3971.220586190881</v>
      </c>
      <c r="S458" s="11">
        <f t="shared" si="20"/>
        <v>-6.7532415642709953E-2</v>
      </c>
    </row>
    <row r="459" spans="1:19" hidden="1">
      <c r="A459" s="9">
        <v>2025</v>
      </c>
      <c r="B459" s="19">
        <v>23</v>
      </c>
      <c r="C459" s="3" t="s">
        <v>18</v>
      </c>
      <c r="D459" s="3" t="s">
        <v>15</v>
      </c>
      <c r="E459" s="3" t="s">
        <v>23</v>
      </c>
      <c r="F459" s="3" t="s">
        <v>24</v>
      </c>
      <c r="G459" s="3" t="str">
        <f t="shared" si="18"/>
        <v>027SATISFACTION</v>
      </c>
      <c r="H459" s="3">
        <v>3420</v>
      </c>
      <c r="I459" s="3">
        <v>4639</v>
      </c>
      <c r="J459" s="3">
        <v>4639</v>
      </c>
      <c r="K459" s="3">
        <v>2633.1</v>
      </c>
      <c r="L459" s="3">
        <v>19200</v>
      </c>
      <c r="M459" s="3">
        <v>12</v>
      </c>
      <c r="N459" s="3">
        <v>13.730322580645163</v>
      </c>
      <c r="O459" s="3">
        <v>13.974354838709669</v>
      </c>
      <c r="P459" s="3">
        <v>13.489193548387098</v>
      </c>
      <c r="Q459" s="16">
        <f t="shared" si="19"/>
        <v>1.2988492651247578</v>
      </c>
      <c r="R459" s="10">
        <v>3675.0764645932491</v>
      </c>
      <c r="S459" s="11">
        <f t="shared" si="20"/>
        <v>-7.4583761576973412E-2</v>
      </c>
    </row>
    <row r="460" spans="1:19" hidden="1">
      <c r="A460" s="9">
        <v>2025</v>
      </c>
      <c r="B460" s="19">
        <v>24</v>
      </c>
      <c r="C460" s="3" t="s">
        <v>18</v>
      </c>
      <c r="D460" s="3" t="s">
        <v>15</v>
      </c>
      <c r="E460" s="3" t="s">
        <v>23</v>
      </c>
      <c r="F460" s="3" t="s">
        <v>24</v>
      </c>
      <c r="G460" s="3" t="str">
        <f t="shared" si="18"/>
        <v>027SATISFACTION</v>
      </c>
      <c r="H460" s="3">
        <v>2400</v>
      </c>
      <c r="I460" s="3">
        <v>2846</v>
      </c>
      <c r="J460" s="3">
        <v>6937</v>
      </c>
      <c r="K460" s="3">
        <v>2633.1</v>
      </c>
      <c r="L460" s="3">
        <v>19200</v>
      </c>
      <c r="M460" s="3">
        <v>12</v>
      </c>
      <c r="N460" s="3">
        <v>14.314696485623003</v>
      </c>
      <c r="O460" s="3">
        <v>14.549999999999999</v>
      </c>
      <c r="P460" s="3">
        <v>14.083386581469659</v>
      </c>
      <c r="Q460" s="16">
        <f t="shared" si="19"/>
        <v>0.91147316850860205</v>
      </c>
      <c r="R460" s="10">
        <v>2520.182242988707</v>
      </c>
      <c r="S460" s="11">
        <f t="shared" si="20"/>
        <v>-5.0075934578627919E-2</v>
      </c>
    </row>
    <row r="461" spans="1:19" hidden="1">
      <c r="A461" s="9">
        <v>2025</v>
      </c>
      <c r="B461" s="19">
        <v>25</v>
      </c>
      <c r="C461" s="3" t="s">
        <v>18</v>
      </c>
      <c r="D461" s="3" t="s">
        <v>15</v>
      </c>
      <c r="E461" s="3" t="s">
        <v>23</v>
      </c>
      <c r="F461" s="3" t="s">
        <v>24</v>
      </c>
      <c r="G461" s="3" t="str">
        <f t="shared" si="18"/>
        <v>027SATISFACTION</v>
      </c>
      <c r="H461" s="3">
        <v>2430</v>
      </c>
      <c r="I461" s="3">
        <v>2449</v>
      </c>
      <c r="J461" s="3">
        <v>2449</v>
      </c>
      <c r="K461" s="3">
        <v>2633.1</v>
      </c>
      <c r="L461" s="3">
        <v>19200</v>
      </c>
      <c r="M461" s="3">
        <v>12</v>
      </c>
      <c r="N461" s="3">
        <v>13.355342902711323</v>
      </c>
      <c r="O461" s="3">
        <v>13.582615629984048</v>
      </c>
      <c r="P461" s="3">
        <v>13.129505582137151</v>
      </c>
      <c r="Q461" s="16">
        <f t="shared" si="19"/>
        <v>0.92286658311495962</v>
      </c>
      <c r="R461" s="10">
        <v>2593.273866969379</v>
      </c>
      <c r="S461" s="11">
        <f t="shared" si="20"/>
        <v>-6.7190891756946092E-2</v>
      </c>
    </row>
    <row r="462" spans="1:19" hidden="1">
      <c r="A462" s="9">
        <v>2025</v>
      </c>
      <c r="B462" s="19">
        <v>26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18"/>
        <v>027SATISFACTION</v>
      </c>
      <c r="H462" s="3">
        <v>2250</v>
      </c>
      <c r="I462" s="3">
        <v>2710</v>
      </c>
      <c r="J462" s="3">
        <v>7387</v>
      </c>
      <c r="K462" s="3">
        <v>2633.1</v>
      </c>
      <c r="L462" s="3">
        <v>19200</v>
      </c>
      <c r="M462" s="3">
        <v>12</v>
      </c>
      <c r="N462" s="3">
        <v>13.694453248811422</v>
      </c>
      <c r="O462" s="3">
        <v>13.929160063391446</v>
      </c>
      <c r="P462" s="3">
        <v>13.455467511885894</v>
      </c>
      <c r="Q462" s="16">
        <f t="shared" si="19"/>
        <v>0.85450609547681444</v>
      </c>
      <c r="R462" s="10">
        <v>2337.2478672518291</v>
      </c>
      <c r="S462" s="11">
        <f t="shared" si="20"/>
        <v>-3.8776829889701832E-2</v>
      </c>
    </row>
    <row r="463" spans="1:19" hidden="1">
      <c r="A463" s="9">
        <v>2025</v>
      </c>
      <c r="B463" s="19">
        <v>27</v>
      </c>
      <c r="C463" s="3" t="s">
        <v>18</v>
      </c>
      <c r="D463" s="3" t="s">
        <v>15</v>
      </c>
      <c r="E463" s="3" t="s">
        <v>23</v>
      </c>
      <c r="F463" s="3" t="s">
        <v>24</v>
      </c>
      <c r="G463" s="3" t="str">
        <f t="shared" si="18"/>
        <v>027SATISFACTION</v>
      </c>
      <c r="H463" s="3">
        <v>1860</v>
      </c>
      <c r="I463" s="3">
        <v>1890</v>
      </c>
      <c r="J463" s="3">
        <v>2352</v>
      </c>
      <c r="K463" s="3">
        <v>2633.1</v>
      </c>
      <c r="L463" s="3">
        <v>19200</v>
      </c>
      <c r="M463" s="3">
        <v>12</v>
      </c>
      <c r="N463" s="3">
        <v>13.246116504854371</v>
      </c>
      <c r="O463" s="3">
        <v>13.484142394822005</v>
      </c>
      <c r="P463" s="3">
        <v>13.012297734627845</v>
      </c>
      <c r="Q463" s="16">
        <f t="shared" si="19"/>
        <v>0.70639170559416664</v>
      </c>
      <c r="R463" s="10">
        <v>1332.2312843335419</v>
      </c>
      <c r="S463" s="11">
        <f t="shared" si="20"/>
        <v>0.28374662132605272</v>
      </c>
    </row>
    <row r="464" spans="1:19" hidden="1">
      <c r="A464" s="9">
        <v>2025</v>
      </c>
      <c r="B464" s="19">
        <v>28</v>
      </c>
      <c r="C464" s="3" t="s">
        <v>18</v>
      </c>
      <c r="D464" s="3" t="s">
        <v>15</v>
      </c>
      <c r="E464" s="3" t="s">
        <v>23</v>
      </c>
      <c r="F464" s="3" t="s">
        <v>24</v>
      </c>
      <c r="G464" s="3" t="str">
        <f t="shared" si="18"/>
        <v>027SATISFACTION</v>
      </c>
      <c r="H464" s="3">
        <v>2430</v>
      </c>
      <c r="I464" s="3">
        <v>1715</v>
      </c>
      <c r="J464" s="3">
        <v>2310</v>
      </c>
      <c r="K464" s="3">
        <v>2633.1</v>
      </c>
      <c r="L464" s="3">
        <v>19200</v>
      </c>
      <c r="M464" s="3">
        <v>12</v>
      </c>
      <c r="N464" s="3">
        <v>13.238155802861698</v>
      </c>
      <c r="O464" s="3">
        <v>13.458664546899842</v>
      </c>
      <c r="P464" s="3">
        <v>13.014467408585055</v>
      </c>
      <c r="Q464" s="16">
        <f t="shared" si="19"/>
        <v>0.92286658311495962</v>
      </c>
      <c r="R464" s="10">
        <v>2618.2566701551641</v>
      </c>
      <c r="S464" s="11">
        <f t="shared" si="20"/>
        <v>-7.7471880722289749E-2</v>
      </c>
    </row>
    <row r="465" spans="1:19" hidden="1">
      <c r="A465" s="9">
        <v>2025</v>
      </c>
      <c r="B465" s="19">
        <v>29</v>
      </c>
      <c r="C465" s="3" t="s">
        <v>18</v>
      </c>
      <c r="D465" s="3" t="s">
        <v>15</v>
      </c>
      <c r="E465" s="3" t="s">
        <v>23</v>
      </c>
      <c r="F465" s="3" t="s">
        <v>24</v>
      </c>
      <c r="G465" s="3" t="str">
        <f t="shared" si="18"/>
        <v>027SATISFACTION</v>
      </c>
      <c r="H465" s="3">
        <v>2610</v>
      </c>
      <c r="I465" s="3">
        <v>2402</v>
      </c>
      <c r="J465" s="3">
        <v>1982</v>
      </c>
      <c r="K465" s="3">
        <v>2633.1</v>
      </c>
      <c r="L465" s="3">
        <v>19200</v>
      </c>
      <c r="M465" s="3">
        <v>12</v>
      </c>
      <c r="N465" s="3">
        <v>13.055999999999999</v>
      </c>
      <c r="O465" s="3">
        <v>13.316666666666679</v>
      </c>
      <c r="P465" s="3">
        <v>12.786833333333337</v>
      </c>
      <c r="Q465" s="16">
        <f t="shared" si="19"/>
        <v>0.99122707075310479</v>
      </c>
      <c r="R465" s="10">
        <v>2820.8092059074461</v>
      </c>
      <c r="S465" s="11">
        <f t="shared" si="20"/>
        <v>-8.0769810692508076E-2</v>
      </c>
    </row>
    <row r="466" spans="1:19" hidden="1">
      <c r="A466" s="9">
        <v>2025</v>
      </c>
      <c r="B466" s="19">
        <v>30</v>
      </c>
      <c r="C466" s="3" t="s">
        <v>18</v>
      </c>
      <c r="D466" s="3" t="s">
        <v>15</v>
      </c>
      <c r="E466" s="3" t="s">
        <v>23</v>
      </c>
      <c r="F466" s="3" t="s">
        <v>24</v>
      </c>
      <c r="G466" s="3" t="str">
        <f t="shared" si="18"/>
        <v>027SATISFACTION</v>
      </c>
      <c r="H466" s="3">
        <v>4200</v>
      </c>
      <c r="I466" s="3">
        <v>3276</v>
      </c>
      <c r="J466" s="3">
        <v>2867</v>
      </c>
      <c r="K466" s="3">
        <v>2633.1</v>
      </c>
      <c r="L466" s="3">
        <v>19200</v>
      </c>
      <c r="M466" s="3">
        <v>12</v>
      </c>
      <c r="N466" s="3">
        <v>14.51277955271564</v>
      </c>
      <c r="O466" s="3">
        <v>14.803514376996825</v>
      </c>
      <c r="P466" s="3">
        <v>14.223162939297143</v>
      </c>
      <c r="Q466" s="16">
        <f t="shared" si="19"/>
        <v>1.5950780448900537</v>
      </c>
      <c r="R466" s="10">
        <v>4544.0046638358153</v>
      </c>
      <c r="S466" s="11">
        <f t="shared" si="20"/>
        <v>-8.1905872341860794E-2</v>
      </c>
    </row>
    <row r="467" spans="1:19" hidden="1">
      <c r="A467" s="9">
        <v>2025</v>
      </c>
      <c r="B467" s="19">
        <v>31</v>
      </c>
      <c r="C467" s="3" t="s">
        <v>18</v>
      </c>
      <c r="D467" s="3" t="s">
        <v>15</v>
      </c>
      <c r="E467" s="3" t="s">
        <v>23</v>
      </c>
      <c r="F467" s="3" t="s">
        <v>24</v>
      </c>
      <c r="G467" s="3" t="str">
        <f t="shared" si="18"/>
        <v>027SATISFACTION</v>
      </c>
      <c r="H467" s="3">
        <v>7440</v>
      </c>
      <c r="I467" s="3">
        <v>4865</v>
      </c>
      <c r="J467" s="3">
        <v>3824</v>
      </c>
      <c r="K467" s="3">
        <v>2633.1</v>
      </c>
      <c r="L467" s="3">
        <v>19200</v>
      </c>
      <c r="M467" s="3">
        <v>12</v>
      </c>
      <c r="N467" s="3">
        <v>13.78425196850394</v>
      </c>
      <c r="O467" s="3">
        <v>14.065354330708656</v>
      </c>
      <c r="P467" s="3">
        <v>13.503307086614177</v>
      </c>
      <c r="Q467" s="16">
        <f t="shared" si="19"/>
        <v>2.8255668223766666</v>
      </c>
      <c r="R467" s="10">
        <v>9094.0209831007869</v>
      </c>
      <c r="S467" s="11">
        <f t="shared" si="20"/>
        <v>-0.22231464826623479</v>
      </c>
    </row>
    <row r="468" spans="1:19" hidden="1">
      <c r="A468" s="9">
        <v>2025</v>
      </c>
      <c r="B468" s="19">
        <v>32</v>
      </c>
      <c r="C468" s="3" t="s">
        <v>18</v>
      </c>
      <c r="D468" s="3" t="s">
        <v>15</v>
      </c>
      <c r="E468" s="3" t="s">
        <v>23</v>
      </c>
      <c r="F468" s="3" t="s">
        <v>24</v>
      </c>
      <c r="G468" s="3" t="str">
        <f t="shared" si="18"/>
        <v>027SATISFACTION</v>
      </c>
      <c r="H468" s="3">
        <v>4680</v>
      </c>
      <c r="I468" s="3">
        <v>8346</v>
      </c>
      <c r="J468" s="3">
        <v>5325</v>
      </c>
      <c r="K468" s="3">
        <v>2633.1</v>
      </c>
      <c r="L468" s="3">
        <v>19200</v>
      </c>
      <c r="M468" s="3">
        <v>12</v>
      </c>
      <c r="N468" s="3">
        <v>12.659270998415199</v>
      </c>
      <c r="O468" s="3">
        <v>12.943264659271005</v>
      </c>
      <c r="P468" s="3">
        <v>12.377337559429469</v>
      </c>
      <c r="Q468" s="16">
        <f t="shared" si="19"/>
        <v>1.7773726785917741</v>
      </c>
      <c r="R468" s="10">
        <v>5016.2916624713034</v>
      </c>
      <c r="S468" s="11">
        <f t="shared" si="20"/>
        <v>-7.1857192835748596E-2</v>
      </c>
    </row>
    <row r="469" spans="1:19" hidden="1">
      <c r="A469" s="9">
        <v>2025</v>
      </c>
      <c r="B469" s="19">
        <v>33</v>
      </c>
      <c r="C469" s="3" t="s">
        <v>18</v>
      </c>
      <c r="D469" s="3" t="s">
        <v>15</v>
      </c>
      <c r="E469" s="3" t="s">
        <v>23</v>
      </c>
      <c r="F469" s="3" t="s">
        <v>24</v>
      </c>
      <c r="G469" s="3" t="str">
        <f t="shared" si="18"/>
        <v>027SATISFACTION</v>
      </c>
      <c r="H469" s="3">
        <v>3900</v>
      </c>
      <c r="I469" s="3">
        <v>7397</v>
      </c>
      <c r="J469" s="3">
        <v>7686</v>
      </c>
      <c r="K469" s="3">
        <v>2633.1</v>
      </c>
      <c r="L469" s="3">
        <v>19200</v>
      </c>
      <c r="M469" s="3">
        <v>12</v>
      </c>
      <c r="N469" s="3">
        <v>13.589285714285717</v>
      </c>
      <c r="O469" s="3">
        <v>13.824068322981383</v>
      </c>
      <c r="P469" s="3">
        <v>13.353571428571435</v>
      </c>
      <c r="Q469" s="16">
        <f t="shared" si="19"/>
        <v>1.4811438988264785</v>
      </c>
      <c r="R469" s="10">
        <v>4244.0728310556397</v>
      </c>
      <c r="S469" s="11">
        <f t="shared" si="20"/>
        <v>-8.8223802834779402E-2</v>
      </c>
    </row>
    <row r="470" spans="1:19" hidden="1">
      <c r="A470" s="9">
        <v>2025</v>
      </c>
      <c r="B470" s="19">
        <v>34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18"/>
        <v>027SATISFACTION</v>
      </c>
      <c r="H470" s="3">
        <v>4830</v>
      </c>
      <c r="I470" s="3">
        <v>5176</v>
      </c>
      <c r="J470" s="3">
        <v>7074</v>
      </c>
      <c r="K470" s="3">
        <v>2633.1</v>
      </c>
      <c r="L470" s="3">
        <v>19200</v>
      </c>
      <c r="M470" s="3">
        <v>12</v>
      </c>
      <c r="N470" s="3">
        <v>12.824486571879941</v>
      </c>
      <c r="O470" s="3">
        <v>13.083254344391783</v>
      </c>
      <c r="P470" s="3">
        <v>12.564612954186416</v>
      </c>
      <c r="Q470" s="16">
        <f t="shared" si="19"/>
        <v>1.8343397516235616</v>
      </c>
      <c r="R470" s="10">
        <v>5251.0280025125357</v>
      </c>
      <c r="S470" s="11">
        <f t="shared" si="20"/>
        <v>-8.7169358698247573E-2</v>
      </c>
    </row>
    <row r="471" spans="1:19" hidden="1">
      <c r="A471" s="9">
        <v>2025</v>
      </c>
      <c r="B471" s="19">
        <v>35</v>
      </c>
      <c r="C471" s="3" t="s">
        <v>18</v>
      </c>
      <c r="D471" s="3" t="s">
        <v>15</v>
      </c>
      <c r="E471" s="3" t="s">
        <v>23</v>
      </c>
      <c r="F471" s="3" t="s">
        <v>24</v>
      </c>
      <c r="G471" s="3" t="str">
        <f t="shared" ref="G471:G538" si="21">+E471&amp;F471</f>
        <v>027SATISFACTION</v>
      </c>
      <c r="H471" s="3">
        <v>5550</v>
      </c>
      <c r="I471" s="3">
        <v>5181</v>
      </c>
      <c r="J471" s="3">
        <v>4982</v>
      </c>
      <c r="K471" s="3">
        <v>2633.1</v>
      </c>
      <c r="L471" s="3">
        <v>19200</v>
      </c>
      <c r="M471" s="3">
        <v>12</v>
      </c>
      <c r="N471" s="3">
        <v>13.437577639751549</v>
      </c>
      <c r="O471" s="3">
        <v>13.71583850931677</v>
      </c>
      <c r="P471" s="3">
        <v>13.159472049689436</v>
      </c>
      <c r="Q471" s="16">
        <f t="shared" ref="Q471:Q538" si="22">+H471/K471</f>
        <v>2.1077817021761422</v>
      </c>
      <c r="R471" s="10">
        <v>6007.5299946173755</v>
      </c>
      <c r="S471" s="11">
        <f t="shared" si="20"/>
        <v>-8.2437836867995579E-2</v>
      </c>
    </row>
    <row r="472" spans="1:19" hidden="1">
      <c r="A472" s="9">
        <v>2025</v>
      </c>
      <c r="B472" s="19">
        <v>36</v>
      </c>
      <c r="C472" s="3" t="s">
        <v>18</v>
      </c>
      <c r="D472" s="3" t="s">
        <v>15</v>
      </c>
      <c r="E472" s="3" t="s">
        <v>23</v>
      </c>
      <c r="F472" s="3" t="s">
        <v>24</v>
      </c>
      <c r="G472" s="3" t="str">
        <f t="shared" si="21"/>
        <v>027SATISFACTION</v>
      </c>
      <c r="H472" s="3">
        <v>4050</v>
      </c>
      <c r="I472" s="3">
        <v>5231</v>
      </c>
      <c r="J472" s="3">
        <v>5445</v>
      </c>
      <c r="K472" s="3">
        <v>2633.1</v>
      </c>
      <c r="L472" s="3">
        <v>19200</v>
      </c>
      <c r="M472" s="3">
        <v>12</v>
      </c>
      <c r="N472" s="3">
        <v>12.977672955974834</v>
      </c>
      <c r="O472" s="3">
        <v>13.234119496855346</v>
      </c>
      <c r="P472" s="3">
        <v>12.718081761006273</v>
      </c>
      <c r="Q472" s="16">
        <f t="shared" si="22"/>
        <v>1.538110971858266</v>
      </c>
      <c r="R472" s="10">
        <v>4326.9375941956714</v>
      </c>
      <c r="S472" s="11">
        <f t="shared" si="20"/>
        <v>-6.8379652887820094E-2</v>
      </c>
    </row>
    <row r="473" spans="1:19" hidden="1">
      <c r="A473" s="9">
        <v>2025</v>
      </c>
      <c r="B473" s="19">
        <v>37</v>
      </c>
      <c r="C473" s="3" t="s">
        <v>18</v>
      </c>
      <c r="D473" s="3" t="s">
        <v>15</v>
      </c>
      <c r="E473" s="3" t="s">
        <v>23</v>
      </c>
      <c r="F473" s="3" t="s">
        <v>24</v>
      </c>
      <c r="G473" s="3" t="str">
        <f t="shared" si="21"/>
        <v>027SATISFACTION</v>
      </c>
      <c r="H473" s="3">
        <v>3570</v>
      </c>
      <c r="I473" s="3">
        <v>5398</v>
      </c>
      <c r="J473" s="3">
        <v>5393</v>
      </c>
      <c r="K473" s="3">
        <v>2633.1</v>
      </c>
      <c r="L473" s="3">
        <v>19200</v>
      </c>
      <c r="M473" s="3">
        <v>12</v>
      </c>
      <c r="N473" s="3">
        <v>13.589032258064515</v>
      </c>
      <c r="O473" s="3">
        <v>13.865806451612899</v>
      </c>
      <c r="P473" s="3">
        <v>13.317258064516144</v>
      </c>
      <c r="Q473" s="16">
        <f t="shared" si="22"/>
        <v>1.3558163381565456</v>
      </c>
      <c r="R473" s="10">
        <v>3851.9644630389139</v>
      </c>
      <c r="S473" s="11">
        <f t="shared" si="20"/>
        <v>-7.8981642307819011E-2</v>
      </c>
    </row>
    <row r="474" spans="1:19" hidden="1">
      <c r="A474" s="9">
        <v>2025</v>
      </c>
      <c r="B474" s="19">
        <v>38</v>
      </c>
      <c r="C474" s="3" t="s">
        <v>18</v>
      </c>
      <c r="D474" s="3" t="s">
        <v>15</v>
      </c>
      <c r="E474" s="3" t="s">
        <v>23</v>
      </c>
      <c r="F474" s="3" t="s">
        <v>24</v>
      </c>
      <c r="G474" s="3" t="str">
        <f t="shared" si="21"/>
        <v>027SATISFACTION</v>
      </c>
      <c r="H474" s="3">
        <v>4200</v>
      </c>
      <c r="I474" s="3">
        <v>4326</v>
      </c>
      <c r="J474" s="3">
        <v>5390</v>
      </c>
      <c r="K474" s="3">
        <v>2633.1</v>
      </c>
      <c r="L474" s="3">
        <v>19200</v>
      </c>
      <c r="M474" s="3">
        <v>12</v>
      </c>
      <c r="N474" s="3">
        <v>13.031825273010922</v>
      </c>
      <c r="O474" s="3">
        <v>13.280499219968798</v>
      </c>
      <c r="P474" s="3">
        <v>12.779719188767555</v>
      </c>
      <c r="Q474" s="16">
        <f t="shared" si="22"/>
        <v>1.5950780448900537</v>
      </c>
      <c r="R474" s="10">
        <v>4531.5556059771352</v>
      </c>
      <c r="S474" s="11">
        <f t="shared" si="20"/>
        <v>-7.8941810946936947E-2</v>
      </c>
    </row>
    <row r="475" spans="1:19" hidden="1">
      <c r="A475" s="9">
        <v>2025</v>
      </c>
      <c r="B475" s="19">
        <v>39</v>
      </c>
      <c r="C475" s="3" t="s">
        <v>18</v>
      </c>
      <c r="D475" s="3" t="s">
        <v>15</v>
      </c>
      <c r="E475" s="3" t="s">
        <v>23</v>
      </c>
      <c r="F475" s="3" t="s">
        <v>24</v>
      </c>
      <c r="G475" s="3" t="str">
        <f t="shared" si="21"/>
        <v>027SATISFACTION</v>
      </c>
      <c r="H475" s="3">
        <v>5970</v>
      </c>
      <c r="I475" s="3">
        <v>4301</v>
      </c>
      <c r="J475" s="3">
        <v>4863</v>
      </c>
      <c r="K475" s="3">
        <v>2633.1</v>
      </c>
      <c r="L475" s="3">
        <v>19200</v>
      </c>
      <c r="M475" s="3">
        <v>12</v>
      </c>
      <c r="N475" s="3">
        <v>14.003096539162122</v>
      </c>
      <c r="O475" s="3">
        <v>14.246265938069232</v>
      </c>
      <c r="P475" s="3">
        <v>13.765573770491811</v>
      </c>
      <c r="Q475" s="16">
        <f t="shared" si="22"/>
        <v>2.2672895066651475</v>
      </c>
      <c r="R475" s="10">
        <v>6531.1707042205508</v>
      </c>
      <c r="S475" s="11">
        <f t="shared" si="20"/>
        <v>-9.3998442918015207E-2</v>
      </c>
    </row>
    <row r="476" spans="1:19" hidden="1">
      <c r="A476" s="9">
        <v>2025</v>
      </c>
      <c r="B476" s="19">
        <v>40</v>
      </c>
      <c r="C476" s="3" t="s">
        <v>18</v>
      </c>
      <c r="D476" s="3" t="s">
        <v>15</v>
      </c>
      <c r="E476" s="3" t="s">
        <v>23</v>
      </c>
      <c r="F476" s="3" t="s">
        <v>24</v>
      </c>
      <c r="G476" s="3" t="str">
        <f t="shared" si="21"/>
        <v>027SATISFACTION</v>
      </c>
      <c r="H476" s="3">
        <v>5280</v>
      </c>
      <c r="I476" s="3">
        <v>4785</v>
      </c>
      <c r="J476" s="3">
        <v>4216</v>
      </c>
      <c r="K476" s="3">
        <v>2633.1</v>
      </c>
      <c r="L476" s="3">
        <v>19200</v>
      </c>
      <c r="M476" s="3">
        <v>12</v>
      </c>
      <c r="N476" s="3">
        <v>12.843362831858405</v>
      </c>
      <c r="O476" s="3">
        <v>13.098407079646016</v>
      </c>
      <c r="P476" s="3">
        <v>12.592743362831856</v>
      </c>
      <c r="Q476" s="16">
        <f t="shared" si="22"/>
        <v>2.0052409707189245</v>
      </c>
      <c r="R476" s="10">
        <v>5650.4152584405101</v>
      </c>
      <c r="S476" s="11">
        <f t="shared" si="20"/>
        <v>-7.0154405007672366E-2</v>
      </c>
    </row>
    <row r="477" spans="1:19" hidden="1">
      <c r="A477" s="9">
        <v>2025</v>
      </c>
      <c r="B477" s="19">
        <v>41</v>
      </c>
      <c r="C477" s="3" t="s">
        <v>18</v>
      </c>
      <c r="D477" s="3" t="s">
        <v>15</v>
      </c>
      <c r="E477" s="3" t="s">
        <v>23</v>
      </c>
      <c r="F477" s="3" t="s">
        <v>24</v>
      </c>
      <c r="G477" s="3" t="str">
        <f t="shared" si="21"/>
        <v>027SATISFACTION</v>
      </c>
      <c r="H477" s="3">
        <v>3540</v>
      </c>
      <c r="I477" s="3">
        <v>4695</v>
      </c>
      <c r="J477" s="3">
        <v>4740</v>
      </c>
      <c r="K477" s="3">
        <v>2633.1</v>
      </c>
      <c r="L477" s="3">
        <v>19200</v>
      </c>
      <c r="M477" s="3">
        <v>12</v>
      </c>
      <c r="N477" s="3">
        <v>13.871347248576845</v>
      </c>
      <c r="O477" s="3">
        <v>14.103605313092977</v>
      </c>
      <c r="P477" s="3">
        <v>13.632258064516128</v>
      </c>
      <c r="Q477" s="16">
        <f t="shared" si="22"/>
        <v>1.3444229235501881</v>
      </c>
      <c r="R477" s="10">
        <v>3825.8541616939419</v>
      </c>
      <c r="S477" s="11">
        <f t="shared" si="20"/>
        <v>-8.0749763190379076E-2</v>
      </c>
    </row>
    <row r="478" spans="1:19" hidden="1">
      <c r="A478" s="9">
        <v>2025</v>
      </c>
      <c r="B478" s="19">
        <v>42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21"/>
        <v>027SATISFACTION</v>
      </c>
      <c r="H478" s="3">
        <v>2400</v>
      </c>
      <c r="I478" s="3">
        <v>4598</v>
      </c>
      <c r="J478" s="3">
        <v>4499</v>
      </c>
      <c r="K478" s="3">
        <v>2633.1</v>
      </c>
      <c r="L478" s="3">
        <v>19200</v>
      </c>
      <c r="M478" s="3">
        <v>12</v>
      </c>
      <c r="N478" s="3">
        <v>12.518382352941172</v>
      </c>
      <c r="O478" s="3">
        <v>12.743627450980384</v>
      </c>
      <c r="P478" s="3">
        <v>12.293382352941165</v>
      </c>
      <c r="Q478" s="16">
        <f t="shared" si="22"/>
        <v>0.91147316850860205</v>
      </c>
      <c r="R478" s="10">
        <v>2558.7541000096671</v>
      </c>
      <c r="S478" s="11">
        <f t="shared" si="20"/>
        <v>-6.6147541670694643E-2</v>
      </c>
    </row>
    <row r="479" spans="1:19" hidden="1">
      <c r="A479" s="9">
        <v>2025</v>
      </c>
      <c r="B479" s="19">
        <v>43</v>
      </c>
      <c r="C479" s="3" t="s">
        <v>18</v>
      </c>
      <c r="D479" s="3" t="s">
        <v>15</v>
      </c>
      <c r="E479" s="3" t="s">
        <v>23</v>
      </c>
      <c r="F479" s="3" t="s">
        <v>24</v>
      </c>
      <c r="G479" s="3" t="str">
        <f t="shared" si="21"/>
        <v>027SATISFACTION</v>
      </c>
      <c r="H479" s="3">
        <v>2610</v>
      </c>
      <c r="I479" s="3">
        <v>2711</v>
      </c>
      <c r="J479" s="3">
        <v>4375</v>
      </c>
      <c r="K479" s="3">
        <v>2633.1</v>
      </c>
      <c r="L479" s="3">
        <v>19200</v>
      </c>
      <c r="M479" s="3">
        <v>12</v>
      </c>
      <c r="N479" s="3">
        <v>14.965141612200448</v>
      </c>
      <c r="O479" s="3">
        <v>15.249019607843142</v>
      </c>
      <c r="P479" s="3">
        <v>14.683006535947717</v>
      </c>
      <c r="Q479" s="16">
        <f t="shared" si="22"/>
        <v>0.99122707075310479</v>
      </c>
      <c r="R479" s="10">
        <v>2827.0337348367862</v>
      </c>
      <c r="S479" s="11">
        <f t="shared" si="20"/>
        <v>-8.3154687676929559E-2</v>
      </c>
    </row>
    <row r="480" spans="1:19" hidden="1">
      <c r="A480" s="9">
        <v>2025</v>
      </c>
      <c r="B480" s="19">
        <v>44</v>
      </c>
      <c r="C480" s="3" t="s">
        <v>18</v>
      </c>
      <c r="D480" s="3" t="s">
        <v>15</v>
      </c>
      <c r="E480" s="3" t="s">
        <v>23</v>
      </c>
      <c r="F480" s="3" t="s">
        <v>24</v>
      </c>
      <c r="G480" s="3" t="str">
        <f t="shared" si="21"/>
        <v>027SATISFACTION</v>
      </c>
      <c r="H480" s="3">
        <v>3930</v>
      </c>
      <c r="I480" s="3">
        <v>3008</v>
      </c>
      <c r="J480" s="3">
        <v>2867</v>
      </c>
      <c r="K480" s="3">
        <v>2633.1</v>
      </c>
      <c r="L480" s="3">
        <v>19200</v>
      </c>
      <c r="M480" s="3">
        <v>12</v>
      </c>
      <c r="N480" s="3">
        <v>14.073262839879131</v>
      </c>
      <c r="O480" s="3">
        <v>14.296978851963752</v>
      </c>
      <c r="P480" s="3">
        <v>13.846676737160124</v>
      </c>
      <c r="Q480" s="16">
        <f t="shared" si="22"/>
        <v>1.4925373134328359</v>
      </c>
      <c r="R480" s="10">
        <v>4245.7973758672324</v>
      </c>
      <c r="S480" s="11">
        <f t="shared" si="20"/>
        <v>-8.0355566378430637E-2</v>
      </c>
    </row>
    <row r="481" spans="1:19" hidden="1">
      <c r="A481" s="9">
        <v>2025</v>
      </c>
      <c r="B481" s="19">
        <v>45</v>
      </c>
      <c r="C481" s="3" t="s">
        <v>18</v>
      </c>
      <c r="D481" s="3" t="s">
        <v>15</v>
      </c>
      <c r="E481" s="3" t="s">
        <v>23</v>
      </c>
      <c r="F481" s="3" t="s">
        <v>24</v>
      </c>
      <c r="G481" s="3" t="str">
        <f t="shared" si="21"/>
        <v>027SATISFACTION</v>
      </c>
      <c r="H481" s="3">
        <v>4440</v>
      </c>
      <c r="I481" s="3">
        <v>3203</v>
      </c>
      <c r="J481" s="3">
        <v>2788</v>
      </c>
      <c r="K481" s="3">
        <v>2633.1</v>
      </c>
      <c r="L481" s="3">
        <v>19200</v>
      </c>
      <c r="M481" s="3">
        <v>12</v>
      </c>
      <c r="N481" s="3">
        <v>14.836850152905189</v>
      </c>
      <c r="O481" s="3">
        <v>15.074923547400614</v>
      </c>
      <c r="P481" s="3">
        <v>14.594495412844042</v>
      </c>
      <c r="Q481" s="16">
        <f t="shared" si="22"/>
        <v>1.6862253617409138</v>
      </c>
      <c r="R481" s="10">
        <v>4748.0075366420706</v>
      </c>
      <c r="S481" s="11">
        <f t="shared" si="20"/>
        <v>-6.9371066811277166E-2</v>
      </c>
    </row>
    <row r="482" spans="1:19" hidden="1">
      <c r="A482" s="9">
        <v>2025</v>
      </c>
      <c r="B482" s="19">
        <v>46</v>
      </c>
      <c r="C482" s="3" t="s">
        <v>18</v>
      </c>
      <c r="D482" s="3" t="s">
        <v>15</v>
      </c>
      <c r="E482" s="3" t="s">
        <v>23</v>
      </c>
      <c r="F482" s="3" t="s">
        <v>24</v>
      </c>
      <c r="G482" s="3" t="str">
        <f t="shared" si="21"/>
        <v>027SATISFACTION</v>
      </c>
      <c r="H482" s="3">
        <v>4350</v>
      </c>
      <c r="I482" s="3">
        <v>4901</v>
      </c>
      <c r="J482" s="3">
        <v>3022</v>
      </c>
      <c r="K482" s="3">
        <v>2633.1</v>
      </c>
      <c r="L482" s="3">
        <v>19200</v>
      </c>
      <c r="M482" s="3">
        <v>12</v>
      </c>
      <c r="N482" s="3">
        <v>14.582800608828016</v>
      </c>
      <c r="O482" s="3">
        <v>14.816590563165887</v>
      </c>
      <c r="P482" s="3">
        <v>14.359512937595126</v>
      </c>
      <c r="Q482" s="16">
        <f t="shared" si="22"/>
        <v>1.6520451179218412</v>
      </c>
      <c r="R482" s="10">
        <v>4694.498144659894</v>
      </c>
      <c r="S482" s="11">
        <f t="shared" si="20"/>
        <v>-7.9194975783883681E-2</v>
      </c>
    </row>
    <row r="483" spans="1:19" hidden="1">
      <c r="A483" s="9">
        <v>2025</v>
      </c>
      <c r="B483" s="19">
        <v>47</v>
      </c>
      <c r="C483" s="3" t="s">
        <v>18</v>
      </c>
      <c r="D483" s="3" t="s">
        <v>15</v>
      </c>
      <c r="E483" s="3" t="s">
        <v>23</v>
      </c>
      <c r="F483" s="3" t="s">
        <v>24</v>
      </c>
      <c r="G483" s="3" t="str">
        <f t="shared" si="21"/>
        <v>027SATISFACTION</v>
      </c>
      <c r="H483" s="3">
        <v>5010</v>
      </c>
      <c r="I483" s="3">
        <v>4351</v>
      </c>
      <c r="J483" s="3">
        <v>4160</v>
      </c>
      <c r="K483" s="3">
        <v>2633.1</v>
      </c>
      <c r="L483" s="3">
        <v>19200</v>
      </c>
      <c r="M483" s="3">
        <v>12</v>
      </c>
      <c r="N483" s="3">
        <v>14.756838905775062</v>
      </c>
      <c r="O483" s="3">
        <v>15.013829787234029</v>
      </c>
      <c r="P483" s="3">
        <v>14.501519756838901</v>
      </c>
      <c r="Q483" s="16">
        <f t="shared" si="22"/>
        <v>1.9027002392617067</v>
      </c>
      <c r="R483" s="10">
        <v>5383.7925467645891</v>
      </c>
      <c r="S483" s="11">
        <f t="shared" si="20"/>
        <v>-7.460929077137507E-2</v>
      </c>
    </row>
    <row r="484" spans="1:19" hidden="1">
      <c r="A484" s="9">
        <v>2025</v>
      </c>
      <c r="B484" s="19">
        <v>48</v>
      </c>
      <c r="C484" s="3" t="s">
        <v>18</v>
      </c>
      <c r="D484" s="3" t="s">
        <v>15</v>
      </c>
      <c r="E484" s="3" t="s">
        <v>23</v>
      </c>
      <c r="F484" s="3" t="s">
        <v>24</v>
      </c>
      <c r="G484" s="3" t="str">
        <f t="shared" si="21"/>
        <v>027SATISFACTION</v>
      </c>
      <c r="H484" s="3">
        <v>4320</v>
      </c>
      <c r="I484" s="3">
        <v>4625</v>
      </c>
      <c r="J484" s="3">
        <v>3814</v>
      </c>
      <c r="K484" s="3">
        <v>2633.1</v>
      </c>
      <c r="L484" s="3">
        <v>19200</v>
      </c>
      <c r="M484" s="3">
        <v>12</v>
      </c>
      <c r="N484" s="3">
        <v>14.30164670658683</v>
      </c>
      <c r="O484" s="3">
        <v>14.475149700598816</v>
      </c>
      <c r="P484" s="3">
        <v>14.12919161676647</v>
      </c>
      <c r="Q484" s="16">
        <f t="shared" si="22"/>
        <v>1.6406517033154837</v>
      </c>
      <c r="R484" s="10">
        <v>4669.0834353851342</v>
      </c>
      <c r="S484" s="11">
        <f t="shared" si="20"/>
        <v>-8.0806350783595882E-2</v>
      </c>
    </row>
    <row r="485" spans="1:19" hidden="1">
      <c r="A485" s="9">
        <v>2025</v>
      </c>
      <c r="B485" s="19">
        <v>49</v>
      </c>
      <c r="C485" s="3" t="s">
        <v>18</v>
      </c>
      <c r="D485" s="3" t="s">
        <v>15</v>
      </c>
      <c r="E485" s="3" t="s">
        <v>23</v>
      </c>
      <c r="F485" s="3" t="s">
        <v>24</v>
      </c>
      <c r="G485" s="3" t="str">
        <f t="shared" si="21"/>
        <v>027SATISFACTION</v>
      </c>
      <c r="H485" s="3">
        <v>3960</v>
      </c>
      <c r="I485" s="3">
        <v>5888</v>
      </c>
      <c r="J485" s="3">
        <v>5174</v>
      </c>
      <c r="K485" s="3">
        <v>2633.1</v>
      </c>
      <c r="L485" s="3">
        <v>19200</v>
      </c>
      <c r="M485" s="3">
        <v>12</v>
      </c>
      <c r="N485" s="3">
        <v>12.785714285714281</v>
      </c>
      <c r="O485" s="3">
        <v>13.009821428571421</v>
      </c>
      <c r="P485" s="3">
        <v>12.563839285714286</v>
      </c>
      <c r="Q485" s="16">
        <f t="shared" si="22"/>
        <v>1.5039307280391934</v>
      </c>
      <c r="R485" s="10">
        <v>4270.8194432429236</v>
      </c>
      <c r="S485" s="11">
        <f t="shared" si="20"/>
        <v>-7.8489758394677686E-2</v>
      </c>
    </row>
    <row r="486" spans="1:19" hidden="1">
      <c r="A486" s="9">
        <v>2025</v>
      </c>
      <c r="B486" s="19">
        <v>50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21"/>
        <v>027SATISFACTION</v>
      </c>
      <c r="H486" s="3">
        <v>4920</v>
      </c>
      <c r="I486" s="3">
        <v>4406</v>
      </c>
      <c r="J486" s="3">
        <v>6287</v>
      </c>
      <c r="K486" s="3">
        <v>2633.1</v>
      </c>
      <c r="L486" s="3">
        <v>19200</v>
      </c>
      <c r="M486" s="3">
        <v>12</v>
      </c>
      <c r="N486" s="3">
        <v>12.562962962962962</v>
      </c>
      <c r="O486" s="3">
        <v>12.822507122507124</v>
      </c>
      <c r="P486" s="3">
        <v>12.308262108262106</v>
      </c>
      <c r="Q486" s="16">
        <f t="shared" si="22"/>
        <v>1.8685199954426341</v>
      </c>
      <c r="R486" s="10">
        <v>5295.1009008537822</v>
      </c>
      <c r="S486" s="11">
        <f t="shared" si="20"/>
        <v>-7.6240020498736211E-2</v>
      </c>
    </row>
    <row r="487" spans="1:19" hidden="1">
      <c r="A487" s="9">
        <v>2025</v>
      </c>
      <c r="B487" s="19">
        <v>51</v>
      </c>
      <c r="C487" s="3" t="s">
        <v>18</v>
      </c>
      <c r="D487" s="3" t="s">
        <v>15</v>
      </c>
      <c r="E487" s="3" t="s">
        <v>23</v>
      </c>
      <c r="F487" s="3" t="s">
        <v>24</v>
      </c>
      <c r="G487" s="3" t="str">
        <f t="shared" si="21"/>
        <v>027SATISFACTION</v>
      </c>
      <c r="H487" s="3">
        <v>5010</v>
      </c>
      <c r="I487" s="3">
        <v>4028</v>
      </c>
      <c r="J487" s="3">
        <v>4190</v>
      </c>
      <c r="K487" s="3">
        <v>2633.1</v>
      </c>
      <c r="L487" s="3">
        <v>19200</v>
      </c>
      <c r="M487" s="3">
        <v>12</v>
      </c>
      <c r="N487" s="3">
        <v>14.116666666666669</v>
      </c>
      <c r="O487" s="3">
        <v>14.313541666666683</v>
      </c>
      <c r="P487" s="3">
        <v>13.918303571428599</v>
      </c>
      <c r="Q487" s="16">
        <f t="shared" si="22"/>
        <v>1.9027002392617067</v>
      </c>
      <c r="R487" s="10">
        <v>5388.2270905658261</v>
      </c>
      <c r="S487" s="11">
        <f t="shared" si="20"/>
        <v>-7.5494429254655909E-2</v>
      </c>
    </row>
    <row r="488" spans="1:19" hidden="1">
      <c r="A488" s="9">
        <v>2025</v>
      </c>
      <c r="B488" s="19">
        <v>52</v>
      </c>
      <c r="C488" s="3" t="s">
        <v>18</v>
      </c>
      <c r="D488" s="3" t="s">
        <v>15</v>
      </c>
      <c r="E488" s="3" t="s">
        <v>23</v>
      </c>
      <c r="F488" s="3" t="s">
        <v>24</v>
      </c>
      <c r="G488" s="3" t="str">
        <f t="shared" si="21"/>
        <v>027SATISFACTION</v>
      </c>
      <c r="H488" s="3">
        <v>5610</v>
      </c>
      <c r="I488" s="3">
        <v>5275</v>
      </c>
      <c r="J488" s="3">
        <v>4156</v>
      </c>
      <c r="K488" s="3">
        <v>2633.1</v>
      </c>
      <c r="L488" s="3">
        <v>19200</v>
      </c>
      <c r="M488" s="3">
        <v>12</v>
      </c>
      <c r="N488" s="3">
        <v>14.780803571428551</v>
      </c>
      <c r="O488" s="3">
        <v>14.962351190476202</v>
      </c>
      <c r="P488" s="3">
        <v>14.597619047619043</v>
      </c>
      <c r="Q488" s="16">
        <f t="shared" si="22"/>
        <v>2.1305685313888572</v>
      </c>
      <c r="R488" s="10">
        <v>6068.5061267134924</v>
      </c>
      <c r="S488" s="11">
        <f t="shared" si="20"/>
        <v>-8.1730147364258904E-2</v>
      </c>
    </row>
    <row r="489" spans="1:19" hidden="1">
      <c r="A489" s="9">
        <v>2026</v>
      </c>
      <c r="B489" s="19">
        <v>1</v>
      </c>
      <c r="C489" s="3" t="s">
        <v>18</v>
      </c>
      <c r="D489" s="3" t="s">
        <v>15</v>
      </c>
      <c r="E489" s="3" t="s">
        <v>23</v>
      </c>
      <c r="F489" s="3" t="s">
        <v>24</v>
      </c>
      <c r="G489" s="3" t="str">
        <f t="shared" si="21"/>
        <v>027SATISFACTION</v>
      </c>
      <c r="H489" s="3">
        <v>4950</v>
      </c>
      <c r="I489" s="3">
        <v>5819</v>
      </c>
      <c r="J489" s="3">
        <v>5527</v>
      </c>
      <c r="K489" s="3">
        <v>2633.1</v>
      </c>
      <c r="L489" s="3">
        <v>19200</v>
      </c>
      <c r="M489" s="3">
        <v>12</v>
      </c>
      <c r="N489" s="3">
        <v>13.975520833333354</v>
      </c>
      <c r="O489" s="3">
        <v>14.218750000000002</v>
      </c>
      <c r="P489" s="3">
        <v>13.740624999999994</v>
      </c>
      <c r="Q489" s="16">
        <f t="shared" si="22"/>
        <v>1.8799134100489918</v>
      </c>
      <c r="R489" s="10">
        <v>5369.6166344360872</v>
      </c>
      <c r="S489" s="11">
        <f t="shared" si="20"/>
        <v>-8.4771037259815607E-2</v>
      </c>
    </row>
    <row r="490" spans="1:19" hidden="1">
      <c r="A490" s="9">
        <v>2026</v>
      </c>
      <c r="B490" s="19">
        <v>2</v>
      </c>
      <c r="C490" s="3" t="s">
        <v>18</v>
      </c>
      <c r="D490" s="3" t="s">
        <v>15</v>
      </c>
      <c r="E490" s="3" t="s">
        <v>23</v>
      </c>
      <c r="F490" s="3" t="s">
        <v>24</v>
      </c>
      <c r="G490" s="3" t="str">
        <f t="shared" si="21"/>
        <v>027SATISFACTION</v>
      </c>
      <c r="H490" s="3">
        <v>5100</v>
      </c>
      <c r="I490" s="3">
        <v>7491</v>
      </c>
      <c r="J490" s="3">
        <v>7491</v>
      </c>
      <c r="K490" s="3">
        <v>2633.1</v>
      </c>
      <c r="L490" s="3">
        <v>19200</v>
      </c>
      <c r="M490" s="3">
        <v>12</v>
      </c>
      <c r="N490" s="3">
        <v>13.445535714285695</v>
      </c>
      <c r="O490" s="3">
        <v>13.624255952380969</v>
      </c>
      <c r="P490" s="3">
        <v>13.274851190476191</v>
      </c>
      <c r="Q490" s="16">
        <f t="shared" si="22"/>
        <v>1.9368804830807793</v>
      </c>
      <c r="R490" s="10">
        <v>5470.3154235976026</v>
      </c>
      <c r="S490" s="11">
        <f t="shared" si="20"/>
        <v>-7.2610867372078947E-2</v>
      </c>
    </row>
    <row r="491" spans="1:19" hidden="1">
      <c r="A491" s="9">
        <v>2026</v>
      </c>
      <c r="B491" s="19">
        <v>3</v>
      </c>
      <c r="C491" s="3" t="s">
        <v>18</v>
      </c>
      <c r="D491" s="3" t="s">
        <v>15</v>
      </c>
      <c r="E491" s="3" t="s">
        <v>23</v>
      </c>
      <c r="F491" s="3" t="s">
        <v>24</v>
      </c>
      <c r="G491" s="3" t="str">
        <f t="shared" si="21"/>
        <v>027SATISFACTION</v>
      </c>
      <c r="H491" s="3">
        <v>3690</v>
      </c>
      <c r="I491" s="3">
        <v>6030</v>
      </c>
      <c r="J491" s="3">
        <v>6030</v>
      </c>
      <c r="K491" s="3">
        <v>2633.1</v>
      </c>
      <c r="L491" s="3">
        <v>19200</v>
      </c>
      <c r="M491" s="3">
        <v>12</v>
      </c>
      <c r="N491" s="3">
        <v>14.266517857142849</v>
      </c>
      <c r="O491" s="3">
        <v>14.450297619047618</v>
      </c>
      <c r="P491" s="3">
        <v>14.083184523809532</v>
      </c>
      <c r="Q491" s="16">
        <f t="shared" si="22"/>
        <v>1.4013899965819756</v>
      </c>
      <c r="R491" s="10">
        <v>3966.2817670094691</v>
      </c>
      <c r="S491" s="11">
        <f t="shared" si="20"/>
        <v>-7.4873107590642043E-2</v>
      </c>
    </row>
    <row r="492" spans="1:19" hidden="1">
      <c r="A492" s="9">
        <v>2026</v>
      </c>
      <c r="B492" s="19">
        <v>4</v>
      </c>
      <c r="C492" s="3" t="s">
        <v>18</v>
      </c>
      <c r="D492" s="3" t="s">
        <v>15</v>
      </c>
      <c r="E492" s="3" t="s">
        <v>23</v>
      </c>
      <c r="F492" s="3" t="s">
        <v>24</v>
      </c>
      <c r="G492" s="3" t="str">
        <f t="shared" si="21"/>
        <v>027SATISFACTION</v>
      </c>
      <c r="H492" s="3">
        <v>8820</v>
      </c>
      <c r="I492" s="3">
        <v>9502</v>
      </c>
      <c r="J492" s="3">
        <v>9502</v>
      </c>
      <c r="K492" s="3">
        <v>2633.1</v>
      </c>
      <c r="L492" s="3">
        <v>19200</v>
      </c>
      <c r="M492" s="3">
        <v>12</v>
      </c>
      <c r="N492" s="3">
        <v>13.962351190476189</v>
      </c>
      <c r="O492" s="3">
        <v>14.126636904761922</v>
      </c>
      <c r="P492" s="3">
        <v>13.802083333333345</v>
      </c>
      <c r="Q492" s="16">
        <f t="shared" si="22"/>
        <v>3.3496638942691126</v>
      </c>
      <c r="R492" s="10">
        <v>9893.4067845015616</v>
      </c>
      <c r="S492" s="11">
        <f t="shared" si="20"/>
        <v>-0.12170144948997297</v>
      </c>
    </row>
    <row r="493" spans="1:19" hidden="1">
      <c r="A493" s="9">
        <v>2026</v>
      </c>
      <c r="B493" s="19">
        <v>5</v>
      </c>
      <c r="C493" s="3" t="s">
        <v>18</v>
      </c>
      <c r="D493" s="3" t="s">
        <v>15</v>
      </c>
      <c r="E493" s="3" t="s">
        <v>23</v>
      </c>
      <c r="F493" s="3" t="s">
        <v>24</v>
      </c>
      <c r="G493" s="3" t="str">
        <f t="shared" si="21"/>
        <v>027SATISFACTION</v>
      </c>
      <c r="H493" s="3">
        <v>15390</v>
      </c>
      <c r="I493" s="3">
        <v>12374</v>
      </c>
      <c r="J493" s="3">
        <v>12374</v>
      </c>
      <c r="K493" s="3">
        <v>2633.1</v>
      </c>
      <c r="L493" s="4">
        <v>19200</v>
      </c>
      <c r="M493" s="3">
        <v>12</v>
      </c>
      <c r="N493" s="4">
        <v>13.891220238095249</v>
      </c>
      <c r="O493" s="4">
        <v>14.021428571428576</v>
      </c>
      <c r="P493" s="4">
        <v>13.768154761904773</v>
      </c>
      <c r="Q493" s="16">
        <f t="shared" si="22"/>
        <v>5.8448216930614105</v>
      </c>
      <c r="R493" s="10">
        <v>12452.974500116979</v>
      </c>
      <c r="S493" s="11">
        <f t="shared" si="20"/>
        <v>0.19083986354015728</v>
      </c>
    </row>
    <row r="494" spans="1:19" hidden="1">
      <c r="A494" s="9">
        <v>2026</v>
      </c>
      <c r="B494" s="19">
        <v>6</v>
      </c>
      <c r="C494" s="3" t="s">
        <v>18</v>
      </c>
      <c r="D494" s="3" t="s">
        <v>15</v>
      </c>
      <c r="E494" s="3" t="s">
        <v>23</v>
      </c>
      <c r="F494" s="3" t="s">
        <v>24</v>
      </c>
      <c r="G494" s="3" t="str">
        <f t="shared" si="21"/>
        <v>027SATISFACTION</v>
      </c>
      <c r="H494" s="3">
        <v>7110</v>
      </c>
      <c r="I494" s="3">
        <v>12773</v>
      </c>
      <c r="J494" s="3">
        <v>12773</v>
      </c>
      <c r="K494" s="3">
        <v>2633.1</v>
      </c>
      <c r="L494" s="3">
        <v>19200</v>
      </c>
      <c r="M494" s="3">
        <v>12</v>
      </c>
      <c r="N494" s="4">
        <v>13.608779761904751</v>
      </c>
      <c r="O494" s="4">
        <v>13.751190476190473</v>
      </c>
      <c r="P494" s="4">
        <v>13.467410714285698</v>
      </c>
      <c r="Q494" s="16">
        <f t="shared" si="22"/>
        <v>2.7002392617067335</v>
      </c>
      <c r="R494" s="10">
        <v>7725.9087886218203</v>
      </c>
      <c r="S494" s="11">
        <f t="shared" si="20"/>
        <v>-8.6625708666922693E-2</v>
      </c>
    </row>
    <row r="495" spans="1:19" hidden="1">
      <c r="A495" s="9">
        <v>2026</v>
      </c>
      <c r="B495" s="19">
        <v>7</v>
      </c>
      <c r="C495" s="3" t="s">
        <v>18</v>
      </c>
      <c r="D495" s="3" t="s">
        <v>15</v>
      </c>
      <c r="E495" s="3" t="s">
        <v>23</v>
      </c>
      <c r="F495" s="3" t="s">
        <v>24</v>
      </c>
      <c r="G495" s="3" t="str">
        <f t="shared" si="21"/>
        <v>027SATISFACTION</v>
      </c>
      <c r="H495" s="3">
        <v>6990</v>
      </c>
      <c r="I495" s="3">
        <v>6943</v>
      </c>
      <c r="J495" s="3">
        <v>6943</v>
      </c>
      <c r="K495" s="3">
        <v>2633.1</v>
      </c>
      <c r="L495" s="3">
        <v>19200</v>
      </c>
      <c r="M495" s="3">
        <v>12</v>
      </c>
      <c r="N495" s="3">
        <v>13.648136645962733</v>
      </c>
      <c r="O495" s="3">
        <v>13.84565217391305</v>
      </c>
      <c r="P495" s="3">
        <v>13.459316770186343</v>
      </c>
      <c r="Q495" s="16">
        <f t="shared" si="22"/>
        <v>2.6546656032813036</v>
      </c>
      <c r="R495" s="10">
        <v>4403.7680095144369</v>
      </c>
      <c r="S495" s="11">
        <f t="shared" si="20"/>
        <v>0.36999027045573146</v>
      </c>
    </row>
    <row r="496" spans="1:19" hidden="1">
      <c r="A496" s="9">
        <v>2026</v>
      </c>
      <c r="B496" s="19">
        <v>8</v>
      </c>
      <c r="C496" s="3" t="s">
        <v>18</v>
      </c>
      <c r="D496" s="3" t="s">
        <v>15</v>
      </c>
      <c r="E496" s="3" t="s">
        <v>23</v>
      </c>
      <c r="F496" s="3" t="s">
        <v>24</v>
      </c>
      <c r="G496" s="3" t="str">
        <f t="shared" si="21"/>
        <v>027SATISFACTION</v>
      </c>
      <c r="H496" s="3">
        <v>5640</v>
      </c>
      <c r="I496" s="3">
        <v>6399</v>
      </c>
      <c r="J496" s="3">
        <v>3888</v>
      </c>
      <c r="K496" s="3">
        <v>2633.1</v>
      </c>
      <c r="L496" s="3">
        <v>19200</v>
      </c>
      <c r="M496" s="3">
        <v>12</v>
      </c>
      <c r="N496" s="3">
        <v>13.817410714285709</v>
      </c>
      <c r="O496" s="3">
        <v>13.988244047619043</v>
      </c>
      <c r="P496" s="3">
        <v>13.654017857142849</v>
      </c>
      <c r="Q496" s="16">
        <f t="shared" si="22"/>
        <v>2.1419619459952148</v>
      </c>
      <c r="R496" s="10">
        <v>6158.7537123851143</v>
      </c>
      <c r="S496" s="11">
        <f t="shared" si="20"/>
        <v>-9.1977608578920983E-2</v>
      </c>
    </row>
    <row r="497" spans="1:20" hidden="1">
      <c r="A497" s="9">
        <v>2026</v>
      </c>
      <c r="B497" s="19">
        <v>9</v>
      </c>
      <c r="C497" s="3" t="s">
        <v>18</v>
      </c>
      <c r="D497" s="3" t="s">
        <v>15</v>
      </c>
      <c r="E497" s="3" t="s">
        <v>23</v>
      </c>
      <c r="F497" s="3" t="s">
        <v>24</v>
      </c>
      <c r="G497" s="3" t="str">
        <f t="shared" si="21"/>
        <v>027SATISFACTION</v>
      </c>
      <c r="H497" s="3">
        <v>2730</v>
      </c>
      <c r="I497" s="3">
        <v>3893</v>
      </c>
      <c r="J497" s="3">
        <v>6044</v>
      </c>
      <c r="K497" s="3">
        <v>2633.1</v>
      </c>
      <c r="L497" s="3">
        <v>19200</v>
      </c>
      <c r="M497" s="3">
        <v>12</v>
      </c>
      <c r="N497" s="3">
        <v>14.133506944444456</v>
      </c>
      <c r="O497" s="3">
        <v>14.297569444444438</v>
      </c>
      <c r="P497" s="3">
        <v>13.967881944444436</v>
      </c>
      <c r="Q497" s="16">
        <f t="shared" si="22"/>
        <v>1.0368007291785348</v>
      </c>
      <c r="R497" s="10">
        <v>2831.125935962626</v>
      </c>
      <c r="S497" s="11">
        <f t="shared" si="20"/>
        <v>-3.7042467385577309E-2</v>
      </c>
    </row>
    <row r="498" spans="1:20" hidden="1">
      <c r="A498" s="9">
        <v>2026</v>
      </c>
      <c r="B498" s="20">
        <v>10</v>
      </c>
      <c r="C498" s="5" t="s">
        <v>18</v>
      </c>
      <c r="D498" s="5" t="s">
        <v>15</v>
      </c>
      <c r="E498" s="5" t="s">
        <v>23</v>
      </c>
      <c r="F498" s="5" t="s">
        <v>24</v>
      </c>
      <c r="G498" s="3" t="str">
        <f t="shared" si="21"/>
        <v>027SATISFACTION</v>
      </c>
      <c r="H498" s="6">
        <v>6300</v>
      </c>
      <c r="I498" s="6">
        <v>3190</v>
      </c>
      <c r="J498" s="6">
        <v>3870</v>
      </c>
      <c r="K498" s="3">
        <v>2633.1</v>
      </c>
      <c r="L498" s="3">
        <v>19200</v>
      </c>
      <c r="M498" s="3">
        <v>12</v>
      </c>
      <c r="N498" s="3">
        <v>15.017410714285699</v>
      </c>
      <c r="O498" s="3">
        <v>15.20238095238096</v>
      </c>
      <c r="P498" s="3">
        <v>14.836011904761907</v>
      </c>
      <c r="Q498" s="16">
        <f t="shared" si="22"/>
        <v>2.3926170673350806</v>
      </c>
      <c r="R498" s="10">
        <v>6498.1348926734927</v>
      </c>
      <c r="S498" s="11">
        <f t="shared" si="20"/>
        <v>-3.1449982964046455E-2</v>
      </c>
    </row>
    <row r="499" spans="1:20" hidden="1">
      <c r="A499" s="9">
        <v>2026</v>
      </c>
      <c r="B499" s="20">
        <v>11</v>
      </c>
      <c r="C499" s="5" t="s">
        <v>18</v>
      </c>
      <c r="D499" s="5" t="s">
        <v>15</v>
      </c>
      <c r="E499" s="5" t="s">
        <v>23</v>
      </c>
      <c r="F499" s="5" t="s">
        <v>24</v>
      </c>
      <c r="G499" s="3" t="str">
        <f t="shared" si="21"/>
        <v>027SATISFACTION</v>
      </c>
      <c r="H499" s="6">
        <v>4980</v>
      </c>
      <c r="I499" s="6">
        <v>3537</v>
      </c>
      <c r="J499" s="6">
        <v>3624</v>
      </c>
      <c r="K499" s="3">
        <v>2633.1</v>
      </c>
      <c r="L499" s="3">
        <v>19200</v>
      </c>
      <c r="M499" s="3">
        <v>12</v>
      </c>
      <c r="N499" s="3">
        <v>14.47744360902257</v>
      </c>
      <c r="O499" s="3">
        <v>14.635488721804517</v>
      </c>
      <c r="P499" s="3">
        <v>14.324360902255648</v>
      </c>
      <c r="Q499" s="16">
        <f t="shared" si="22"/>
        <v>1.8913068246553493</v>
      </c>
      <c r="R499" s="10">
        <v>5430.9095746527246</v>
      </c>
      <c r="S499" s="11">
        <f t="shared" si="20"/>
        <v>-9.0544091295727824E-2</v>
      </c>
    </row>
    <row r="500" spans="1:20" hidden="1">
      <c r="A500" s="9">
        <v>2026</v>
      </c>
      <c r="B500" s="20">
        <v>12</v>
      </c>
      <c r="C500" s="5" t="s">
        <v>18</v>
      </c>
      <c r="D500" s="5" t="s">
        <v>15</v>
      </c>
      <c r="E500" s="5" t="s">
        <v>23</v>
      </c>
      <c r="F500" s="5" t="s">
        <v>24</v>
      </c>
      <c r="G500" s="3" t="str">
        <f t="shared" si="21"/>
        <v>027SATISFACTION</v>
      </c>
      <c r="H500" s="6">
        <v>3720</v>
      </c>
      <c r="I500" s="6">
        <v>4246</v>
      </c>
      <c r="J500" s="6">
        <v>4246</v>
      </c>
      <c r="K500" s="3">
        <v>2633.1</v>
      </c>
      <c r="L500" s="3">
        <v>19200</v>
      </c>
      <c r="M500" s="3">
        <v>12</v>
      </c>
      <c r="N500" s="3">
        <v>13.68377976190477</v>
      </c>
      <c r="O500" s="3">
        <v>13.892410714285713</v>
      </c>
      <c r="P500" s="3">
        <v>13.471130952380953</v>
      </c>
      <c r="Q500" s="16">
        <f t="shared" si="22"/>
        <v>1.4127834111883333</v>
      </c>
      <c r="R500" s="10">
        <v>3977.5721463228601</v>
      </c>
      <c r="S500" s="11">
        <f t="shared" si="20"/>
        <v>-6.9239824280338744E-2</v>
      </c>
    </row>
    <row r="501" spans="1:20" hidden="1">
      <c r="A501" s="9">
        <v>2026</v>
      </c>
      <c r="B501" s="20">
        <v>13</v>
      </c>
      <c r="C501" s="5" t="s">
        <v>18</v>
      </c>
      <c r="D501" s="5" t="s">
        <v>15</v>
      </c>
      <c r="E501" s="5" t="s">
        <v>23</v>
      </c>
      <c r="F501" s="5" t="s">
        <v>24</v>
      </c>
      <c r="G501" s="3" t="str">
        <f t="shared" si="21"/>
        <v>027SATISFACTION</v>
      </c>
      <c r="H501" s="6">
        <v>6570</v>
      </c>
      <c r="I501" s="6">
        <v>4248</v>
      </c>
      <c r="J501" s="6">
        <v>4248</v>
      </c>
      <c r="K501" s="3">
        <v>2633.1</v>
      </c>
      <c r="L501" s="3">
        <v>19200</v>
      </c>
      <c r="M501" s="3">
        <v>12</v>
      </c>
      <c r="N501" s="3">
        <v>14.021726190476178</v>
      </c>
      <c r="O501" s="3">
        <v>14.186755952380958</v>
      </c>
      <c r="P501" s="3">
        <v>13.861755952380944</v>
      </c>
      <c r="Q501" s="16">
        <f t="shared" si="22"/>
        <v>2.4951577987922979</v>
      </c>
      <c r="R501" s="10">
        <v>6641.0888791493944</v>
      </c>
      <c r="S501" s="11">
        <f t="shared" si="20"/>
        <v>-1.0820225136894127E-2</v>
      </c>
    </row>
    <row r="502" spans="1:20" hidden="1">
      <c r="A502" s="9">
        <v>2026</v>
      </c>
      <c r="B502" s="20">
        <v>14</v>
      </c>
      <c r="C502" s="5" t="s">
        <v>18</v>
      </c>
      <c r="D502" s="5" t="s">
        <v>15</v>
      </c>
      <c r="E502" s="5" t="s">
        <v>23</v>
      </c>
      <c r="F502" s="5" t="s">
        <v>24</v>
      </c>
      <c r="G502" s="3" t="str">
        <f t="shared" si="21"/>
        <v>027SATISFACTION</v>
      </c>
      <c r="H502" s="6">
        <v>4830</v>
      </c>
      <c r="I502" s="6">
        <v>4619</v>
      </c>
      <c r="J502" s="6">
        <v>4092</v>
      </c>
      <c r="K502" s="3">
        <v>2633.0999999999995</v>
      </c>
      <c r="L502" s="3">
        <v>19200</v>
      </c>
      <c r="M502" s="3">
        <v>12</v>
      </c>
      <c r="N502" s="3">
        <v>13.443225806451611</v>
      </c>
      <c r="O502" s="3">
        <v>13.619354838709683</v>
      </c>
      <c r="P502" s="3">
        <v>13.269032258064518</v>
      </c>
      <c r="Q502" s="16">
        <f t="shared" si="22"/>
        <v>1.834339751623562</v>
      </c>
      <c r="R502" s="10">
        <v>5329.6133538957674</v>
      </c>
      <c r="S502" s="11">
        <f t="shared" ref="S502:S569" si="23">+(H502-R502)/H502</f>
        <v>-0.10343961778380278</v>
      </c>
    </row>
    <row r="503" spans="1:20" hidden="1">
      <c r="A503" s="9">
        <v>2026</v>
      </c>
      <c r="B503" s="20">
        <v>15</v>
      </c>
      <c r="C503" s="5" t="s">
        <v>18</v>
      </c>
      <c r="D503" s="5" t="s">
        <v>15</v>
      </c>
      <c r="E503" s="5" t="s">
        <v>23</v>
      </c>
      <c r="F503" s="5" t="s">
        <v>24</v>
      </c>
      <c r="G503" s="3" t="str">
        <f t="shared" si="21"/>
        <v>027SATISFACTION</v>
      </c>
      <c r="H503" s="6">
        <v>6510</v>
      </c>
      <c r="I503" s="6">
        <v>4605</v>
      </c>
      <c r="J503" s="6">
        <v>5087</v>
      </c>
      <c r="K503" s="3">
        <v>2633.0999999999995</v>
      </c>
      <c r="L503" s="3">
        <v>19200</v>
      </c>
      <c r="M503" s="3">
        <v>12</v>
      </c>
      <c r="N503" s="3">
        <v>14.582738095238117</v>
      </c>
      <c r="O503" s="3">
        <v>14.794791666666661</v>
      </c>
      <c r="P503" s="3">
        <v>14.374404761904756</v>
      </c>
      <c r="Q503" s="16">
        <f t="shared" si="22"/>
        <v>2.4723709695795835</v>
      </c>
      <c r="R503" s="10">
        <v>6498.1348926734927</v>
      </c>
      <c r="S503" s="11">
        <f t="shared" si="23"/>
        <v>1.8225971315679436E-3</v>
      </c>
    </row>
    <row r="504" spans="1:20" hidden="1">
      <c r="A504" s="9">
        <v>2026</v>
      </c>
      <c r="B504" s="20">
        <v>16</v>
      </c>
      <c r="C504" s="5" t="s">
        <v>18</v>
      </c>
      <c r="D504" s="5" t="s">
        <v>15</v>
      </c>
      <c r="E504" s="5" t="s">
        <v>23</v>
      </c>
      <c r="F504" s="5" t="s">
        <v>24</v>
      </c>
      <c r="G504" s="3" t="str">
        <f t="shared" si="21"/>
        <v>027SATISFACTION</v>
      </c>
      <c r="H504" s="6">
        <v>11070</v>
      </c>
      <c r="I504" s="6">
        <v>9113</v>
      </c>
      <c r="J504" s="6">
        <v>9113</v>
      </c>
      <c r="K504" s="3">
        <v>2633.0999999999995</v>
      </c>
      <c r="L504" s="3">
        <v>19200</v>
      </c>
      <c r="M504" s="3">
        <v>12</v>
      </c>
      <c r="N504" s="3">
        <v>14.597473997028219</v>
      </c>
      <c r="O504" s="3">
        <v>14.758098068350654</v>
      </c>
      <c r="P504" s="3">
        <v>14.440416047548274</v>
      </c>
      <c r="Q504" s="16">
        <f t="shared" si="22"/>
        <v>4.2041699897459281</v>
      </c>
      <c r="R504" s="10">
        <v>5044.2573892608889</v>
      </c>
      <c r="S504" s="13">
        <f t="shared" si="23"/>
        <v>0.54433085914535784</v>
      </c>
      <c r="T504" s="11">
        <v>0.46</v>
      </c>
    </row>
    <row r="505" spans="1:20" hidden="1">
      <c r="A505" s="9">
        <v>2026</v>
      </c>
      <c r="B505" s="20">
        <v>17</v>
      </c>
      <c r="C505" s="5" t="s">
        <v>18</v>
      </c>
      <c r="D505" s="5" t="s">
        <v>15</v>
      </c>
      <c r="E505" s="5" t="s">
        <v>23</v>
      </c>
      <c r="F505" s="5" t="s">
        <v>24</v>
      </c>
      <c r="G505" s="3" t="str">
        <f t="shared" si="21"/>
        <v>027SATISFACTION</v>
      </c>
      <c r="H505" s="6">
        <v>13590</v>
      </c>
      <c r="I505" s="6">
        <v>12288</v>
      </c>
      <c r="J505" s="6">
        <v>12288</v>
      </c>
      <c r="K505" s="3">
        <v>2633.0999999999995</v>
      </c>
      <c r="L505" s="3">
        <v>19200</v>
      </c>
      <c r="M505" s="3">
        <v>12</v>
      </c>
      <c r="N505" s="3">
        <v>13.77291666666668</v>
      </c>
      <c r="O505" s="3">
        <v>13.952678571428605</v>
      </c>
      <c r="P505" s="3">
        <v>13.599702380952387</v>
      </c>
      <c r="Q505" s="16">
        <f t="shared" si="22"/>
        <v>5.1612168166799597</v>
      </c>
      <c r="R505" s="10">
        <v>10128.96020463589</v>
      </c>
      <c r="S505" s="13">
        <f t="shared" si="23"/>
        <v>0.25467548163091314</v>
      </c>
      <c r="T505" s="11">
        <v>0.01</v>
      </c>
    </row>
    <row r="506" spans="1:20" hidden="1">
      <c r="A506" s="9">
        <v>2026</v>
      </c>
      <c r="B506" s="20">
        <v>18</v>
      </c>
      <c r="C506" s="5" t="s">
        <v>18</v>
      </c>
      <c r="D506" s="5" t="s">
        <v>15</v>
      </c>
      <c r="E506" s="5" t="s">
        <v>23</v>
      </c>
      <c r="F506" s="5" t="s">
        <v>24</v>
      </c>
      <c r="G506" s="3" t="str">
        <f t="shared" si="21"/>
        <v>027SATISFACTION</v>
      </c>
      <c r="H506" s="6">
        <v>8550</v>
      </c>
      <c r="I506" s="6">
        <v>9450</v>
      </c>
      <c r="J506" s="6">
        <v>10878</v>
      </c>
      <c r="K506" s="3">
        <v>2633.1</v>
      </c>
      <c r="L506" s="3">
        <v>19200</v>
      </c>
      <c r="M506" s="3">
        <v>12</v>
      </c>
      <c r="N506" s="3">
        <v>13.828017883755605</v>
      </c>
      <c r="O506" s="3">
        <v>14.020864381520106</v>
      </c>
      <c r="P506" s="3">
        <v>13.638748137108793</v>
      </c>
      <c r="Q506" s="16">
        <f t="shared" si="22"/>
        <v>3.2471231628118948</v>
      </c>
      <c r="R506" s="10">
        <v>12452.974500116979</v>
      </c>
      <c r="S506" s="13">
        <f t="shared" si="23"/>
        <v>-0.45648824562771689</v>
      </c>
      <c r="T506" s="11">
        <v>0.98</v>
      </c>
    </row>
    <row r="507" spans="1:20" hidden="1">
      <c r="A507" s="9">
        <v>2026</v>
      </c>
      <c r="B507" s="19">
        <v>19</v>
      </c>
      <c r="C507" s="3" t="s">
        <v>18</v>
      </c>
      <c r="D507" s="3" t="s">
        <v>15</v>
      </c>
      <c r="E507" s="3" t="s">
        <v>23</v>
      </c>
      <c r="F507" s="3" t="s">
        <v>24</v>
      </c>
      <c r="G507" s="3" t="str">
        <f t="shared" si="21"/>
        <v>027SATISFACTION</v>
      </c>
      <c r="H507" s="3">
        <v>6690</v>
      </c>
      <c r="I507" s="3">
        <v>7533</v>
      </c>
      <c r="J507" s="3">
        <v>6848</v>
      </c>
      <c r="K507" s="3">
        <v>2633.1</v>
      </c>
      <c r="L507" s="3">
        <v>19200</v>
      </c>
      <c r="M507" s="3">
        <v>12</v>
      </c>
      <c r="N507" s="3">
        <v>13.801155115511554</v>
      </c>
      <c r="O507" s="3">
        <v>14.032838283828401</v>
      </c>
      <c r="P507" s="3">
        <v>13.571947194719476</v>
      </c>
      <c r="Q507" s="16">
        <f t="shared" si="22"/>
        <v>2.5407314572177282</v>
      </c>
      <c r="R507" s="24">
        <v>7645</v>
      </c>
      <c r="S507" s="13">
        <f t="shared" si="23"/>
        <v>-0.14275037369207771</v>
      </c>
    </row>
    <row r="508" spans="1:20" hidden="1">
      <c r="A508" s="9">
        <v>2026</v>
      </c>
      <c r="B508" s="19">
        <v>20</v>
      </c>
      <c r="C508" s="3" t="s">
        <v>18</v>
      </c>
      <c r="D508" s="3" t="s">
        <v>15</v>
      </c>
      <c r="E508" s="3" t="s">
        <v>23</v>
      </c>
      <c r="F508" s="3" t="s">
        <v>24</v>
      </c>
      <c r="G508" s="3" t="str">
        <f t="shared" si="21"/>
        <v>027SATISFACTION</v>
      </c>
      <c r="H508" s="3">
        <v>5790</v>
      </c>
      <c r="I508" s="3">
        <v>4410</v>
      </c>
      <c r="J508" s="3">
        <v>7081</v>
      </c>
      <c r="K508" s="3">
        <v>2633.1</v>
      </c>
      <c r="L508" s="3">
        <v>19200</v>
      </c>
      <c r="M508" s="3">
        <v>12</v>
      </c>
      <c r="N508" s="3">
        <v>14.886996336996331</v>
      </c>
      <c r="O508" s="3">
        <v>15.080952380952363</v>
      </c>
      <c r="P508" s="3">
        <v>14.693406593406582</v>
      </c>
      <c r="Q508" s="16">
        <f t="shared" si="22"/>
        <v>2.1989290190270023</v>
      </c>
      <c r="R508" s="24">
        <v>6562</v>
      </c>
      <c r="S508" s="11">
        <f t="shared" si="23"/>
        <v>-0.13333333333333333</v>
      </c>
    </row>
    <row r="509" spans="1:20" hidden="1">
      <c r="A509" s="9">
        <v>2026</v>
      </c>
      <c r="B509" s="19">
        <v>21</v>
      </c>
      <c r="C509" s="3" t="s">
        <v>18</v>
      </c>
      <c r="D509" s="3" t="s">
        <v>15</v>
      </c>
      <c r="E509" s="3" t="s">
        <v>23</v>
      </c>
      <c r="F509" s="3" t="s">
        <v>24</v>
      </c>
      <c r="G509" s="3" t="str">
        <f t="shared" si="21"/>
        <v>027SATISFACTION</v>
      </c>
      <c r="H509" s="3">
        <v>4230</v>
      </c>
      <c r="I509" s="3">
        <v>4527</v>
      </c>
      <c r="J509" s="3">
        <v>4316</v>
      </c>
      <c r="K509" s="3">
        <v>2633.1</v>
      </c>
      <c r="L509" s="3">
        <v>19200</v>
      </c>
      <c r="M509" s="3">
        <v>12</v>
      </c>
      <c r="N509" s="3">
        <v>14.097372742200333</v>
      </c>
      <c r="O509" s="3">
        <v>14.333333333333339</v>
      </c>
      <c r="P509" s="3">
        <v>13.866009852216745</v>
      </c>
      <c r="Q509" s="16">
        <f t="shared" si="22"/>
        <v>1.6064714594964111</v>
      </c>
      <c r="R509" s="24">
        <v>4694</v>
      </c>
      <c r="S509" s="11">
        <f t="shared" si="23"/>
        <v>-0.10969267139479906</v>
      </c>
    </row>
    <row r="510" spans="1:20" hidden="1">
      <c r="A510" s="9">
        <v>2026</v>
      </c>
      <c r="B510" s="19">
        <v>22</v>
      </c>
      <c r="C510" s="3" t="s">
        <v>18</v>
      </c>
      <c r="D510" s="3" t="s">
        <v>15</v>
      </c>
      <c r="E510" s="3" t="s">
        <v>23</v>
      </c>
      <c r="F510" s="3" t="s">
        <v>24</v>
      </c>
      <c r="G510" s="3" t="str">
        <f t="shared" si="21"/>
        <v>027SATISFACTION</v>
      </c>
      <c r="H510" s="3">
        <v>3720</v>
      </c>
      <c r="I510" s="3">
        <v>4345</v>
      </c>
      <c r="J510" s="3">
        <v>4516</v>
      </c>
      <c r="K510" s="3">
        <v>2633.1</v>
      </c>
      <c r="L510" s="3">
        <v>19200</v>
      </c>
      <c r="M510" s="3">
        <v>12</v>
      </c>
      <c r="N510" s="3">
        <v>14.862558502340111</v>
      </c>
      <c r="O510" s="3">
        <v>15.090171606864288</v>
      </c>
      <c r="P510" s="3">
        <v>14.637597503900155</v>
      </c>
      <c r="Q510" s="16">
        <f t="shared" si="22"/>
        <v>1.4127834111883333</v>
      </c>
      <c r="R510" s="24">
        <v>4076</v>
      </c>
      <c r="S510" s="11">
        <f t="shared" si="23"/>
        <v>-9.56989247311828E-2</v>
      </c>
    </row>
    <row r="511" spans="1:20">
      <c r="A511" s="9">
        <v>2025</v>
      </c>
      <c r="B511" s="19">
        <v>1</v>
      </c>
      <c r="C511" s="3" t="s">
        <v>18</v>
      </c>
      <c r="D511" s="3" t="s">
        <v>15</v>
      </c>
      <c r="E511" s="3" t="s">
        <v>23</v>
      </c>
      <c r="F511" s="3" t="s">
        <v>25</v>
      </c>
      <c r="G511" s="3" t="str">
        <f t="shared" si="21"/>
        <v>027TIFFANY!</v>
      </c>
      <c r="H511" s="3">
        <v>3900</v>
      </c>
      <c r="I511" s="3">
        <v>4865</v>
      </c>
      <c r="J511" s="3">
        <v>4698</v>
      </c>
      <c r="K511" s="3">
        <v>2633.1</v>
      </c>
      <c r="L511" s="3">
        <v>19200</v>
      </c>
      <c r="M511" s="3">
        <v>12</v>
      </c>
      <c r="N511" s="3">
        <v>14.926896551724157</v>
      </c>
      <c r="O511" s="3">
        <v>15.150114942528749</v>
      </c>
      <c r="P511" s="3">
        <v>14.717701149425297</v>
      </c>
      <c r="Q511" s="16">
        <f t="shared" si="22"/>
        <v>1.4811438988264785</v>
      </c>
      <c r="R511" s="10">
        <v>4112.3156048812461</v>
      </c>
      <c r="S511" s="11">
        <f t="shared" si="23"/>
        <v>-5.443989868749901E-2</v>
      </c>
    </row>
    <row r="512" spans="1:20">
      <c r="A512" s="9">
        <v>2025</v>
      </c>
      <c r="B512" s="19">
        <v>2</v>
      </c>
      <c r="C512" s="3" t="s">
        <v>18</v>
      </c>
      <c r="D512" s="3" t="s">
        <v>15</v>
      </c>
      <c r="E512" s="3" t="s">
        <v>23</v>
      </c>
      <c r="F512" s="3" t="s">
        <v>25</v>
      </c>
      <c r="G512" s="3" t="str">
        <f t="shared" si="21"/>
        <v>027TIFFANY!</v>
      </c>
      <c r="H512" s="3">
        <v>3540</v>
      </c>
      <c r="I512" s="3">
        <v>4348</v>
      </c>
      <c r="J512" s="3">
        <v>5086</v>
      </c>
      <c r="K512" s="3">
        <v>2633.1</v>
      </c>
      <c r="L512" s="3">
        <v>19200</v>
      </c>
      <c r="M512" s="3">
        <v>12</v>
      </c>
      <c r="N512" s="3">
        <v>15.117031249999988</v>
      </c>
      <c r="O512" s="3">
        <v>15.357656249999996</v>
      </c>
      <c r="P512" s="3">
        <v>14.884374999999986</v>
      </c>
      <c r="Q512" s="16">
        <f t="shared" si="22"/>
        <v>1.3444229235501881</v>
      </c>
      <c r="R512" s="10">
        <v>2344.0198947823101</v>
      </c>
      <c r="S512" s="11">
        <f t="shared" si="23"/>
        <v>0.33784748734962994</v>
      </c>
    </row>
    <row r="513" spans="1:19">
      <c r="A513" s="9">
        <v>2025</v>
      </c>
      <c r="B513" s="19">
        <v>3</v>
      </c>
      <c r="C513" s="3" t="s">
        <v>18</v>
      </c>
      <c r="D513" s="3" t="s">
        <v>15</v>
      </c>
      <c r="E513" s="3" t="s">
        <v>23</v>
      </c>
      <c r="F513" s="3" t="s">
        <v>25</v>
      </c>
      <c r="G513" s="3" t="str">
        <f t="shared" si="21"/>
        <v>027TIFFANY!</v>
      </c>
      <c r="H513" s="3">
        <v>5970</v>
      </c>
      <c r="I513" s="3">
        <v>5970</v>
      </c>
      <c r="J513" s="3">
        <v>5285</v>
      </c>
      <c r="K513" s="3">
        <v>2633.1</v>
      </c>
      <c r="L513" s="3">
        <v>19200</v>
      </c>
      <c r="M513" s="3">
        <v>12</v>
      </c>
      <c r="N513" s="3">
        <v>14.559689922480603</v>
      </c>
      <c r="O513" s="3">
        <v>14.791627906976728</v>
      </c>
      <c r="P513" s="3">
        <v>14.336744186046507</v>
      </c>
      <c r="Q513" s="16">
        <f t="shared" si="22"/>
        <v>2.2672895066651475</v>
      </c>
      <c r="R513" s="10">
        <v>5979.4004649230756</v>
      </c>
      <c r="S513" s="11">
        <f t="shared" si="23"/>
        <v>-1.5746172400461576E-3</v>
      </c>
    </row>
    <row r="514" spans="1:19">
      <c r="A514" s="9">
        <v>2025</v>
      </c>
      <c r="B514" s="19">
        <v>4</v>
      </c>
      <c r="C514" s="3" t="s">
        <v>18</v>
      </c>
      <c r="D514" s="3" t="s">
        <v>15</v>
      </c>
      <c r="E514" s="3" t="s">
        <v>23</v>
      </c>
      <c r="F514" s="3" t="s">
        <v>25</v>
      </c>
      <c r="G514" s="3" t="str">
        <f t="shared" si="21"/>
        <v>027TIFFANY!</v>
      </c>
      <c r="H514" s="3">
        <v>9570</v>
      </c>
      <c r="I514" s="3">
        <v>9465</v>
      </c>
      <c r="J514" s="3">
        <v>9455</v>
      </c>
      <c r="K514" s="3">
        <v>2633.1</v>
      </c>
      <c r="L514" s="3">
        <v>19200</v>
      </c>
      <c r="M514" s="3">
        <v>12</v>
      </c>
      <c r="N514" s="3">
        <v>14.620404984423683</v>
      </c>
      <c r="O514" s="3">
        <v>14.90529595015577</v>
      </c>
      <c r="P514" s="3">
        <v>14.333644859813107</v>
      </c>
      <c r="Q514" s="16">
        <f t="shared" si="22"/>
        <v>3.6344992594280505</v>
      </c>
      <c r="R514" s="10">
        <v>3408.2582650061531</v>
      </c>
      <c r="S514" s="11">
        <f t="shared" si="23"/>
        <v>0.64386016039643124</v>
      </c>
    </row>
    <row r="515" spans="1:19">
      <c r="A515" s="9">
        <v>2025</v>
      </c>
      <c r="B515" s="19">
        <v>5</v>
      </c>
      <c r="C515" s="3" t="s">
        <v>18</v>
      </c>
      <c r="D515" s="3" t="s">
        <v>15</v>
      </c>
      <c r="E515" s="3" t="s">
        <v>23</v>
      </c>
      <c r="F515" s="3" t="s">
        <v>25</v>
      </c>
      <c r="G515" s="3" t="str">
        <f t="shared" si="21"/>
        <v>027TIFFANY!</v>
      </c>
      <c r="H515" s="3">
        <v>14730</v>
      </c>
      <c r="I515" s="3">
        <v>13208</v>
      </c>
      <c r="J515" s="3">
        <v>11725</v>
      </c>
      <c r="K515" s="3">
        <v>2633.1</v>
      </c>
      <c r="L515" s="3">
        <v>19200</v>
      </c>
      <c r="M515" s="3">
        <v>12</v>
      </c>
      <c r="N515" s="3">
        <v>15.759968602825738</v>
      </c>
      <c r="O515" s="3">
        <v>16.024332810047081</v>
      </c>
      <c r="P515" s="3">
        <v>15.492935635792767</v>
      </c>
      <c r="Q515" s="16">
        <f t="shared" si="22"/>
        <v>5.5941665717215452</v>
      </c>
      <c r="R515" s="10">
        <v>10914.19522323524</v>
      </c>
      <c r="S515" s="11">
        <f t="shared" si="23"/>
        <v>0.25904988301186427</v>
      </c>
    </row>
    <row r="516" spans="1:19">
      <c r="A516" s="9">
        <v>2025</v>
      </c>
      <c r="B516" s="19">
        <v>6</v>
      </c>
      <c r="C516" s="3" t="s">
        <v>18</v>
      </c>
      <c r="D516" s="3" t="s">
        <v>15</v>
      </c>
      <c r="E516" s="3" t="s">
        <v>23</v>
      </c>
      <c r="F516" s="3" t="s">
        <v>25</v>
      </c>
      <c r="G516" s="3" t="str">
        <f t="shared" si="21"/>
        <v>027TIFFANY!</v>
      </c>
      <c r="H516" s="3">
        <v>8250</v>
      </c>
      <c r="I516" s="3">
        <v>6342</v>
      </c>
      <c r="J516" s="3">
        <v>7046</v>
      </c>
      <c r="K516" s="3">
        <v>2633.1</v>
      </c>
      <c r="L516" s="3">
        <v>19200</v>
      </c>
      <c r="M516" s="3">
        <v>12</v>
      </c>
      <c r="N516" s="3">
        <v>14.483252032520339</v>
      </c>
      <c r="O516" s="3">
        <v>14.696910569105704</v>
      </c>
      <c r="P516" s="3">
        <v>14.273333333333341</v>
      </c>
      <c r="Q516" s="16">
        <f t="shared" si="22"/>
        <v>3.1331890167483194</v>
      </c>
      <c r="R516" s="10">
        <v>6221.0912772440879</v>
      </c>
      <c r="S516" s="11">
        <f t="shared" si="23"/>
        <v>0.24592833003101966</v>
      </c>
    </row>
    <row r="517" spans="1:19">
      <c r="A517" s="9">
        <v>2025</v>
      </c>
      <c r="B517" s="19">
        <v>7</v>
      </c>
      <c r="C517" s="3" t="s">
        <v>18</v>
      </c>
      <c r="D517" s="3" t="s">
        <v>15</v>
      </c>
      <c r="E517" s="3" t="s">
        <v>23</v>
      </c>
      <c r="F517" s="3" t="s">
        <v>25</v>
      </c>
      <c r="G517" s="3" t="str">
        <f t="shared" si="21"/>
        <v>027TIFFANY!</v>
      </c>
      <c r="H517" s="3">
        <v>5400</v>
      </c>
      <c r="I517" s="3">
        <v>4150</v>
      </c>
      <c r="J517" s="3">
        <v>4122</v>
      </c>
      <c r="K517" s="3">
        <v>2633.1</v>
      </c>
      <c r="L517" s="3">
        <v>19200</v>
      </c>
      <c r="M517" s="3">
        <v>12</v>
      </c>
      <c r="N517" s="3">
        <v>13.801155115511554</v>
      </c>
      <c r="O517" s="3">
        <v>14.032838283828401</v>
      </c>
      <c r="P517" s="3">
        <v>13.571947194719476</v>
      </c>
      <c r="Q517" s="16">
        <f t="shared" si="22"/>
        <v>2.0508146291443548</v>
      </c>
      <c r="R517" s="10">
        <v>5648.098907603402</v>
      </c>
      <c r="S517" s="11">
        <f t="shared" si="23"/>
        <v>-4.5944242148778153E-2</v>
      </c>
    </row>
    <row r="518" spans="1:19">
      <c r="A518" s="9">
        <v>2025</v>
      </c>
      <c r="B518" s="19">
        <v>8</v>
      </c>
      <c r="C518" s="3" t="s">
        <v>18</v>
      </c>
      <c r="D518" s="3" t="s">
        <v>15</v>
      </c>
      <c r="E518" s="3" t="s">
        <v>23</v>
      </c>
      <c r="F518" s="3" t="s">
        <v>25</v>
      </c>
      <c r="G518" s="3" t="str">
        <f t="shared" si="21"/>
        <v>027TIFFANY!</v>
      </c>
      <c r="H518" s="3">
        <v>3720</v>
      </c>
      <c r="I518" s="3">
        <v>4388</v>
      </c>
      <c r="J518" s="3">
        <v>3968</v>
      </c>
      <c r="K518" s="3">
        <v>2633.1</v>
      </c>
      <c r="L518" s="3">
        <v>19200</v>
      </c>
      <c r="M518" s="3">
        <v>12</v>
      </c>
      <c r="N518" s="3">
        <v>14.886996336996331</v>
      </c>
      <c r="O518" s="3">
        <v>15.080952380952363</v>
      </c>
      <c r="P518" s="3">
        <v>14.693406593406582</v>
      </c>
      <c r="Q518" s="16">
        <f t="shared" si="22"/>
        <v>1.4127834111883333</v>
      </c>
      <c r="R518" s="10">
        <v>3915.8994976345648</v>
      </c>
      <c r="S518" s="11">
        <f t="shared" si="23"/>
        <v>-5.2661155278108815E-2</v>
      </c>
    </row>
    <row r="519" spans="1:19">
      <c r="A519" s="9">
        <v>2025</v>
      </c>
      <c r="B519" s="19">
        <v>9</v>
      </c>
      <c r="C519" s="3" t="s">
        <v>18</v>
      </c>
      <c r="D519" s="3" t="s">
        <v>15</v>
      </c>
      <c r="E519" s="3" t="s">
        <v>23</v>
      </c>
      <c r="F519" s="3" t="s">
        <v>25</v>
      </c>
      <c r="G519" s="3" t="str">
        <f t="shared" si="21"/>
        <v>027TIFFANY!</v>
      </c>
      <c r="H519" s="3">
        <v>3750</v>
      </c>
      <c r="I519" s="3">
        <v>4511</v>
      </c>
      <c r="J519" s="3">
        <v>4126</v>
      </c>
      <c r="K519" s="3">
        <v>2633.1</v>
      </c>
      <c r="L519" s="3">
        <v>19200</v>
      </c>
      <c r="M519" s="3">
        <v>12</v>
      </c>
      <c r="N519" s="3">
        <v>14.097372742200333</v>
      </c>
      <c r="O519" s="3">
        <v>14.333333333333339</v>
      </c>
      <c r="P519" s="3">
        <v>13.866009852216745</v>
      </c>
      <c r="Q519" s="16">
        <f t="shared" si="22"/>
        <v>1.4241768257946907</v>
      </c>
      <c r="R519" s="10">
        <v>3944.5234413929788</v>
      </c>
      <c r="S519" s="11">
        <f t="shared" si="23"/>
        <v>-5.1872917704794359E-2</v>
      </c>
    </row>
    <row r="520" spans="1:19">
      <c r="A520" s="9">
        <v>2025</v>
      </c>
      <c r="B520" s="19">
        <v>10</v>
      </c>
      <c r="C520" s="3" t="s">
        <v>18</v>
      </c>
      <c r="D520" s="3" t="s">
        <v>15</v>
      </c>
      <c r="E520" s="3" t="s">
        <v>23</v>
      </c>
      <c r="F520" s="3" t="s">
        <v>25</v>
      </c>
      <c r="G520" s="3" t="str">
        <f t="shared" si="21"/>
        <v>027TIFFANY!</v>
      </c>
      <c r="H520" s="3">
        <v>3840</v>
      </c>
      <c r="I520" s="3">
        <v>3882</v>
      </c>
      <c r="J520" s="3">
        <v>4308</v>
      </c>
      <c r="K520" s="3">
        <v>2633.1</v>
      </c>
      <c r="L520" s="3">
        <v>19200</v>
      </c>
      <c r="M520" s="3">
        <v>12</v>
      </c>
      <c r="N520" s="3">
        <v>14.862558502340111</v>
      </c>
      <c r="O520" s="3">
        <v>15.090171606864288</v>
      </c>
      <c r="P520" s="3">
        <v>14.637597503900155</v>
      </c>
      <c r="Q520" s="16">
        <f t="shared" si="22"/>
        <v>1.4583570696137633</v>
      </c>
      <c r="R520" s="10">
        <v>4038.8716815542521</v>
      </c>
      <c r="S520" s="11">
        <f t="shared" si="23"/>
        <v>-5.1789500404753143E-2</v>
      </c>
    </row>
    <row r="521" spans="1:19">
      <c r="A521" s="9">
        <v>2025</v>
      </c>
      <c r="B521" s="19">
        <v>11</v>
      </c>
      <c r="C521" s="3" t="s">
        <v>18</v>
      </c>
      <c r="D521" s="3" t="s">
        <v>15</v>
      </c>
      <c r="E521" s="3" t="s">
        <v>23</v>
      </c>
      <c r="F521" s="3" t="s">
        <v>25</v>
      </c>
      <c r="G521" s="3" t="str">
        <f t="shared" si="21"/>
        <v>027TIFFANY!</v>
      </c>
      <c r="H521" s="3">
        <v>3960</v>
      </c>
      <c r="I521" s="3">
        <v>4120</v>
      </c>
      <c r="J521" s="3">
        <v>4112</v>
      </c>
      <c r="K521" s="3">
        <v>2633.1</v>
      </c>
      <c r="L521" s="3">
        <v>19200</v>
      </c>
      <c r="M521" s="3">
        <v>12</v>
      </c>
      <c r="N521" s="3">
        <v>13.730322580645163</v>
      </c>
      <c r="O521" s="3">
        <v>13.974354838709669</v>
      </c>
      <c r="P521" s="3">
        <v>13.489193548387098</v>
      </c>
      <c r="Q521" s="16">
        <f t="shared" si="22"/>
        <v>1.5039307280391934</v>
      </c>
      <c r="R521" s="10">
        <v>4141.4558437814903</v>
      </c>
      <c r="S521" s="11">
        <f t="shared" si="23"/>
        <v>-4.5822182773103619E-2</v>
      </c>
    </row>
    <row r="522" spans="1:19">
      <c r="A522" s="9">
        <v>2025</v>
      </c>
      <c r="B522" s="19">
        <v>12</v>
      </c>
      <c r="C522" s="3" t="s">
        <v>18</v>
      </c>
      <c r="D522" s="3" t="s">
        <v>15</v>
      </c>
      <c r="E522" s="3" t="s">
        <v>23</v>
      </c>
      <c r="F522" s="3" t="s">
        <v>25</v>
      </c>
      <c r="G522" s="3" t="str">
        <f t="shared" si="21"/>
        <v>027TIFFANY!</v>
      </c>
      <c r="H522" s="3">
        <v>3510</v>
      </c>
      <c r="I522" s="3">
        <v>4455</v>
      </c>
      <c r="J522" s="3">
        <v>4300</v>
      </c>
      <c r="K522" s="3">
        <v>2633.1</v>
      </c>
      <c r="L522" s="3">
        <v>19200</v>
      </c>
      <c r="M522" s="3">
        <v>12</v>
      </c>
      <c r="N522" s="3">
        <v>14.314696485623003</v>
      </c>
      <c r="O522" s="3">
        <v>14.549999999999999</v>
      </c>
      <c r="P522" s="3">
        <v>14.083386581469659</v>
      </c>
      <c r="Q522" s="16">
        <f t="shared" si="22"/>
        <v>1.3330295089438304</v>
      </c>
      <c r="R522" s="10">
        <v>3218.4695326259721</v>
      </c>
      <c r="S522" s="11">
        <f t="shared" si="23"/>
        <v>8.305711321197376E-2</v>
      </c>
    </row>
    <row r="523" spans="1:19">
      <c r="A523" s="9">
        <v>2025</v>
      </c>
      <c r="B523" s="19">
        <v>13</v>
      </c>
      <c r="C523" s="3" t="s">
        <v>18</v>
      </c>
      <c r="D523" s="3" t="s">
        <v>15</v>
      </c>
      <c r="E523" s="3" t="s">
        <v>23</v>
      </c>
      <c r="F523" s="3" t="s">
        <v>25</v>
      </c>
      <c r="G523" s="3" t="str">
        <f t="shared" si="21"/>
        <v>027TIFFANY!</v>
      </c>
      <c r="H523" s="3">
        <v>3720</v>
      </c>
      <c r="I523" s="3">
        <v>4875</v>
      </c>
      <c r="J523" s="3">
        <v>4764</v>
      </c>
      <c r="K523" s="3">
        <v>2633.1</v>
      </c>
      <c r="L523" s="3">
        <v>19200</v>
      </c>
      <c r="M523" s="3">
        <v>12</v>
      </c>
      <c r="N523" s="3">
        <v>14.926896551724157</v>
      </c>
      <c r="O523" s="3">
        <v>15.150114942528749</v>
      </c>
      <c r="P523" s="3">
        <v>14.717701149425297</v>
      </c>
      <c r="Q523" s="16">
        <f t="shared" si="22"/>
        <v>1.4127834111883333</v>
      </c>
      <c r="R523" s="10">
        <v>3914.4265158616581</v>
      </c>
      <c r="S523" s="11">
        <f t="shared" si="23"/>
        <v>-5.22651924359296E-2</v>
      </c>
    </row>
    <row r="524" spans="1:19">
      <c r="A524" s="9">
        <v>2025</v>
      </c>
      <c r="B524" s="19">
        <v>14</v>
      </c>
      <c r="C524" s="3" t="s">
        <v>18</v>
      </c>
      <c r="D524" s="3" t="s">
        <v>15</v>
      </c>
      <c r="E524" s="3" t="s">
        <v>23</v>
      </c>
      <c r="F524" s="3" t="s">
        <v>25</v>
      </c>
      <c r="G524" s="3" t="str">
        <f t="shared" si="21"/>
        <v>027TIFFANY!</v>
      </c>
      <c r="H524" s="3">
        <v>3900</v>
      </c>
      <c r="I524" s="3">
        <v>5284</v>
      </c>
      <c r="J524" s="3">
        <v>5719</v>
      </c>
      <c r="K524" s="3">
        <v>2633.1</v>
      </c>
      <c r="L524" s="3">
        <v>19200</v>
      </c>
      <c r="M524" s="3">
        <v>12</v>
      </c>
      <c r="N524" s="3">
        <v>15.117031249999988</v>
      </c>
      <c r="O524" s="3">
        <v>15.357656249999996</v>
      </c>
      <c r="P524" s="3">
        <v>14.884374999999986</v>
      </c>
      <c r="Q524" s="16">
        <f t="shared" si="22"/>
        <v>1.4811438988264785</v>
      </c>
      <c r="R524" s="10">
        <v>4118.9124589641951</v>
      </c>
      <c r="S524" s="11">
        <f t="shared" si="23"/>
        <v>-5.6131399734409011E-2</v>
      </c>
    </row>
    <row r="525" spans="1:19">
      <c r="A525" s="9">
        <v>2025</v>
      </c>
      <c r="B525" s="19">
        <v>15</v>
      </c>
      <c r="C525" s="3" t="s">
        <v>18</v>
      </c>
      <c r="D525" s="3" t="s">
        <v>15</v>
      </c>
      <c r="E525" s="3" t="s">
        <v>23</v>
      </c>
      <c r="F525" s="3" t="s">
        <v>25</v>
      </c>
      <c r="G525" s="3" t="str">
        <f t="shared" si="21"/>
        <v>027TIFFANY!</v>
      </c>
      <c r="H525" s="3">
        <v>3210</v>
      </c>
      <c r="I525" s="3">
        <v>6046</v>
      </c>
      <c r="J525" s="3">
        <v>6046</v>
      </c>
      <c r="K525" s="3">
        <v>2633.1</v>
      </c>
      <c r="L525" s="3">
        <v>19200</v>
      </c>
      <c r="M525" s="3">
        <v>12</v>
      </c>
      <c r="N525" s="3">
        <v>14.559689922480603</v>
      </c>
      <c r="O525" s="3">
        <v>14.791627906976728</v>
      </c>
      <c r="P525" s="3">
        <v>14.336744186046507</v>
      </c>
      <c r="Q525" s="16">
        <f t="shared" si="22"/>
        <v>1.2190953628802552</v>
      </c>
      <c r="R525" s="10">
        <v>3233.7408966129819</v>
      </c>
      <c r="S525" s="11">
        <f t="shared" si="23"/>
        <v>-7.3959179479694522E-3</v>
      </c>
    </row>
    <row r="526" spans="1:19">
      <c r="A526" s="9">
        <v>2025</v>
      </c>
      <c r="B526" s="19">
        <v>16</v>
      </c>
      <c r="C526" s="3" t="s">
        <v>18</v>
      </c>
      <c r="D526" s="3" t="s">
        <v>15</v>
      </c>
      <c r="E526" s="3" t="s">
        <v>23</v>
      </c>
      <c r="F526" s="3" t="s">
        <v>25</v>
      </c>
      <c r="G526" s="3" t="str">
        <f t="shared" si="21"/>
        <v>027TIFFANY!</v>
      </c>
      <c r="H526" s="3">
        <v>4530</v>
      </c>
      <c r="I526" s="3">
        <v>9714</v>
      </c>
      <c r="J526" s="3">
        <v>10225</v>
      </c>
      <c r="K526" s="3">
        <v>2633.1</v>
      </c>
      <c r="L526" s="3">
        <v>19200</v>
      </c>
      <c r="M526" s="3">
        <v>12</v>
      </c>
      <c r="N526" s="3">
        <v>14.620404984423683</v>
      </c>
      <c r="O526" s="3">
        <v>14.90529595015577</v>
      </c>
      <c r="P526" s="3">
        <v>14.333644859813107</v>
      </c>
      <c r="Q526" s="16">
        <f t="shared" si="22"/>
        <v>1.7204056055599863</v>
      </c>
      <c r="R526" s="10">
        <v>4686.1317370733595</v>
      </c>
      <c r="S526" s="11">
        <f t="shared" si="23"/>
        <v>-3.4466167124361929E-2</v>
      </c>
    </row>
    <row r="527" spans="1:19">
      <c r="A527" s="9">
        <v>2025</v>
      </c>
      <c r="B527" s="19">
        <v>17</v>
      </c>
      <c r="C527" s="3" t="s">
        <v>18</v>
      </c>
      <c r="D527" s="3" t="s">
        <v>15</v>
      </c>
      <c r="E527" s="3" t="s">
        <v>23</v>
      </c>
      <c r="F527" s="3" t="s">
        <v>25</v>
      </c>
      <c r="G527" s="3" t="str">
        <f t="shared" si="21"/>
        <v>027TIFFANY!</v>
      </c>
      <c r="H527" s="3">
        <v>9180</v>
      </c>
      <c r="I527" s="3">
        <v>13423</v>
      </c>
      <c r="J527" s="3">
        <v>13423</v>
      </c>
      <c r="K527" s="3">
        <v>2633.1</v>
      </c>
      <c r="L527" s="3">
        <v>19200</v>
      </c>
      <c r="M527" s="3">
        <v>12</v>
      </c>
      <c r="N527" s="3">
        <v>15.759968602825738</v>
      </c>
      <c r="O527" s="3">
        <v>16.024332810047081</v>
      </c>
      <c r="P527" s="3">
        <v>15.492935635792767</v>
      </c>
      <c r="Q527" s="16">
        <f t="shared" si="22"/>
        <v>3.4863848695454029</v>
      </c>
      <c r="R527" s="10">
        <v>9564.0476549346604</v>
      </c>
      <c r="S527" s="11">
        <f t="shared" si="23"/>
        <v>-4.1835256528830106E-2</v>
      </c>
    </row>
    <row r="528" spans="1:19">
      <c r="A528" s="9">
        <v>2025</v>
      </c>
      <c r="B528" s="19">
        <v>18</v>
      </c>
      <c r="C528" s="3" t="s">
        <v>18</v>
      </c>
      <c r="D528" s="3" t="s">
        <v>15</v>
      </c>
      <c r="E528" s="3" t="s">
        <v>23</v>
      </c>
      <c r="F528" s="3" t="s">
        <v>25</v>
      </c>
      <c r="G528" s="3" t="str">
        <f t="shared" si="21"/>
        <v>027TIFFANY!</v>
      </c>
      <c r="H528" s="3">
        <v>12030</v>
      </c>
      <c r="I528" s="3">
        <v>11304</v>
      </c>
      <c r="J528" s="3">
        <v>11304</v>
      </c>
      <c r="K528" s="3">
        <v>2633.1</v>
      </c>
      <c r="L528" s="3">
        <v>19200</v>
      </c>
      <c r="M528" s="3">
        <v>12</v>
      </c>
      <c r="N528" s="3">
        <v>14.483252032520339</v>
      </c>
      <c r="O528" s="3">
        <v>14.696910569105704</v>
      </c>
      <c r="P528" s="3">
        <v>14.273333333333341</v>
      </c>
      <c r="Q528" s="16">
        <f t="shared" si="22"/>
        <v>4.5687592571493676</v>
      </c>
      <c r="R528" s="10">
        <v>11589.44794461009</v>
      </c>
      <c r="S528" s="11">
        <f t="shared" si="23"/>
        <v>3.662111848627677E-2</v>
      </c>
    </row>
    <row r="529" spans="1:19">
      <c r="A529" s="9">
        <v>2025</v>
      </c>
      <c r="B529" s="19">
        <v>19</v>
      </c>
      <c r="C529" s="3" t="s">
        <v>18</v>
      </c>
      <c r="D529" s="3" t="s">
        <v>15</v>
      </c>
      <c r="E529" s="3" t="s">
        <v>23</v>
      </c>
      <c r="F529" s="3" t="s">
        <v>25</v>
      </c>
      <c r="G529" s="3" t="str">
        <f t="shared" si="21"/>
        <v>027TIFFANY!</v>
      </c>
      <c r="H529" s="3">
        <v>5700</v>
      </c>
      <c r="I529" s="3">
        <v>7461</v>
      </c>
      <c r="J529" s="3">
        <v>6783</v>
      </c>
      <c r="K529" s="3">
        <v>2633.1</v>
      </c>
      <c r="L529" s="3">
        <v>19200</v>
      </c>
      <c r="M529" s="3">
        <v>12</v>
      </c>
      <c r="N529" s="3">
        <v>13.801155115511554</v>
      </c>
      <c r="O529" s="3">
        <v>14.032838283828401</v>
      </c>
      <c r="P529" s="3">
        <v>13.571947194719476</v>
      </c>
      <c r="Q529" s="16">
        <f t="shared" si="22"/>
        <v>2.1647487752079297</v>
      </c>
      <c r="R529" s="10">
        <v>5982.1785386076308</v>
      </c>
      <c r="S529" s="11">
        <f t="shared" si="23"/>
        <v>-4.9505006773268564E-2</v>
      </c>
    </row>
    <row r="530" spans="1:19">
      <c r="A530" s="9">
        <v>2025</v>
      </c>
      <c r="B530" s="19">
        <v>20</v>
      </c>
      <c r="C530" s="3" t="s">
        <v>18</v>
      </c>
      <c r="D530" s="3" t="s">
        <v>15</v>
      </c>
      <c r="E530" s="3" t="s">
        <v>23</v>
      </c>
      <c r="F530" s="3" t="s">
        <v>25</v>
      </c>
      <c r="G530" s="3" t="str">
        <f t="shared" si="21"/>
        <v>027TIFFANY!</v>
      </c>
      <c r="H530" s="3">
        <v>5520</v>
      </c>
      <c r="I530" s="3">
        <v>4371</v>
      </c>
      <c r="J530" s="3">
        <v>7014</v>
      </c>
      <c r="K530" s="3">
        <v>2633.1</v>
      </c>
      <c r="L530" s="3">
        <v>19200</v>
      </c>
      <c r="M530" s="3">
        <v>12</v>
      </c>
      <c r="N530" s="3">
        <v>14.886996336996331</v>
      </c>
      <c r="O530" s="3">
        <v>15.080952380952363</v>
      </c>
      <c r="P530" s="3">
        <v>14.693406593406582</v>
      </c>
      <c r="Q530" s="16">
        <f t="shared" si="22"/>
        <v>2.0963882875697846</v>
      </c>
      <c r="R530" s="10">
        <v>5788.3236159946591</v>
      </c>
      <c r="S530" s="11">
        <f t="shared" si="23"/>
        <v>-4.8609350723670133E-2</v>
      </c>
    </row>
    <row r="531" spans="1:19">
      <c r="A531" s="9">
        <v>2025</v>
      </c>
      <c r="B531" s="19">
        <v>21</v>
      </c>
      <c r="C531" s="3" t="s">
        <v>18</v>
      </c>
      <c r="D531" s="3" t="s">
        <v>15</v>
      </c>
      <c r="E531" s="3" t="s">
        <v>23</v>
      </c>
      <c r="F531" s="3" t="s">
        <v>25</v>
      </c>
      <c r="G531" s="3" t="str">
        <f t="shared" si="21"/>
        <v>027TIFFANY!</v>
      </c>
      <c r="H531" s="3">
        <v>4770</v>
      </c>
      <c r="I531" s="3">
        <v>4623</v>
      </c>
      <c r="J531" s="3">
        <v>4280</v>
      </c>
      <c r="K531" s="3">
        <v>2633.1</v>
      </c>
      <c r="L531" s="3">
        <v>19200</v>
      </c>
      <c r="M531" s="3">
        <v>12</v>
      </c>
      <c r="N531" s="3">
        <v>14.097372742200333</v>
      </c>
      <c r="O531" s="3">
        <v>14.333333333333339</v>
      </c>
      <c r="P531" s="3">
        <v>13.866009852216745</v>
      </c>
      <c r="Q531" s="16">
        <f t="shared" si="22"/>
        <v>1.8115529224108466</v>
      </c>
      <c r="R531" s="10">
        <v>5070.6608434954023</v>
      </c>
      <c r="S531" s="11">
        <f t="shared" si="23"/>
        <v>-6.3031623374298185E-2</v>
      </c>
    </row>
    <row r="532" spans="1:19">
      <c r="A532" s="9">
        <v>2025</v>
      </c>
      <c r="B532" s="19">
        <v>22</v>
      </c>
      <c r="C532" s="3" t="s">
        <v>18</v>
      </c>
      <c r="D532" s="3" t="s">
        <v>15</v>
      </c>
      <c r="E532" s="3" t="s">
        <v>23</v>
      </c>
      <c r="F532" s="3" t="s">
        <v>25</v>
      </c>
      <c r="G532" s="3" t="str">
        <f t="shared" si="21"/>
        <v>027TIFFANY!</v>
      </c>
      <c r="H532" s="3">
        <v>4260</v>
      </c>
      <c r="I532" s="3">
        <v>4446</v>
      </c>
      <c r="J532" s="3">
        <v>4523</v>
      </c>
      <c r="K532" s="3">
        <v>2633.1</v>
      </c>
      <c r="L532" s="3">
        <v>19200</v>
      </c>
      <c r="M532" s="3">
        <v>12</v>
      </c>
      <c r="N532" s="3">
        <v>14.862558502340111</v>
      </c>
      <c r="O532" s="3">
        <v>15.090171606864288</v>
      </c>
      <c r="P532" s="3">
        <v>14.637597503900155</v>
      </c>
      <c r="Q532" s="16">
        <f t="shared" si="22"/>
        <v>1.6178648741027686</v>
      </c>
      <c r="R532" s="10">
        <v>4544.9992410377727</v>
      </c>
      <c r="S532" s="11">
        <f t="shared" si="23"/>
        <v>-6.6901230290556959E-2</v>
      </c>
    </row>
    <row r="533" spans="1:19">
      <c r="A533" s="9">
        <v>2025</v>
      </c>
      <c r="B533" s="19">
        <v>23</v>
      </c>
      <c r="C533" s="3" t="s">
        <v>18</v>
      </c>
      <c r="D533" s="3" t="s">
        <v>15</v>
      </c>
      <c r="E533" s="3" t="s">
        <v>23</v>
      </c>
      <c r="F533" s="3" t="s">
        <v>25</v>
      </c>
      <c r="G533" s="3" t="str">
        <f t="shared" si="21"/>
        <v>027TIFFANY!</v>
      </c>
      <c r="H533" s="3">
        <v>4350</v>
      </c>
      <c r="I533" s="3">
        <v>4901</v>
      </c>
      <c r="J533" s="3">
        <v>4901</v>
      </c>
      <c r="K533" s="3">
        <v>2633.1</v>
      </c>
      <c r="L533" s="3">
        <v>19200</v>
      </c>
      <c r="M533" s="3">
        <v>12</v>
      </c>
      <c r="N533" s="3">
        <v>13.730322580645163</v>
      </c>
      <c r="O533" s="3">
        <v>13.974354838709669</v>
      </c>
      <c r="P533" s="3">
        <v>13.489193548387098</v>
      </c>
      <c r="Q533" s="16">
        <f t="shared" si="22"/>
        <v>1.6520451179218412</v>
      </c>
      <c r="R533" s="10">
        <v>4567.5621654091983</v>
      </c>
      <c r="S533" s="11">
        <f t="shared" si="23"/>
        <v>-5.0014290898666276E-2</v>
      </c>
    </row>
    <row r="534" spans="1:19">
      <c r="A534" s="9">
        <v>2025</v>
      </c>
      <c r="B534" s="19">
        <v>24</v>
      </c>
      <c r="C534" s="3" t="s">
        <v>18</v>
      </c>
      <c r="D534" s="3" t="s">
        <v>15</v>
      </c>
      <c r="E534" s="3" t="s">
        <v>23</v>
      </c>
      <c r="F534" s="3" t="s">
        <v>25</v>
      </c>
      <c r="G534" s="3" t="str">
        <f t="shared" si="21"/>
        <v>027TIFFANY!</v>
      </c>
      <c r="H534" s="3">
        <v>3270</v>
      </c>
      <c r="I534" s="3">
        <v>3323</v>
      </c>
      <c r="J534" s="3">
        <v>7389</v>
      </c>
      <c r="K534" s="3">
        <v>2633.1</v>
      </c>
      <c r="L534" s="3">
        <v>19200</v>
      </c>
      <c r="M534" s="3">
        <v>12</v>
      </c>
      <c r="N534" s="3">
        <v>14.314696485623003</v>
      </c>
      <c r="O534" s="3">
        <v>14.549999999999999</v>
      </c>
      <c r="P534" s="3">
        <v>14.083386581469659</v>
      </c>
      <c r="Q534" s="16">
        <f t="shared" si="22"/>
        <v>1.2418821920929703</v>
      </c>
      <c r="R534" s="10">
        <v>3288.4590130869728</v>
      </c>
      <c r="S534" s="11">
        <f t="shared" si="23"/>
        <v>-5.6449581305727361E-3</v>
      </c>
    </row>
    <row r="535" spans="1:19">
      <c r="A535" s="9">
        <v>2025</v>
      </c>
      <c r="B535" s="19">
        <v>25</v>
      </c>
      <c r="C535" s="3" t="s">
        <v>18</v>
      </c>
      <c r="D535" s="3" t="s">
        <v>15</v>
      </c>
      <c r="E535" s="3" t="s">
        <v>23</v>
      </c>
      <c r="F535" s="3" t="s">
        <v>25</v>
      </c>
      <c r="G535" s="3" t="str">
        <f t="shared" si="21"/>
        <v>027TIFFANY!</v>
      </c>
      <c r="H535" s="3">
        <v>2880</v>
      </c>
      <c r="I535" s="3">
        <v>3095</v>
      </c>
      <c r="J535" s="3">
        <v>3095</v>
      </c>
      <c r="K535" s="3">
        <v>2633.1</v>
      </c>
      <c r="L535" s="3">
        <v>19200</v>
      </c>
      <c r="M535" s="3">
        <v>12</v>
      </c>
      <c r="N535" s="3">
        <v>13.355342902711323</v>
      </c>
      <c r="O535" s="3">
        <v>13.582615629984048</v>
      </c>
      <c r="P535" s="3">
        <v>13.129505582137151</v>
      </c>
      <c r="Q535" s="16">
        <f t="shared" si="22"/>
        <v>1.0937678022103225</v>
      </c>
      <c r="R535" s="10">
        <v>2942.2316412798718</v>
      </c>
      <c r="S535" s="11">
        <f t="shared" si="23"/>
        <v>-2.1608208777733277E-2</v>
      </c>
    </row>
    <row r="536" spans="1:19">
      <c r="A536" s="9">
        <v>2025</v>
      </c>
      <c r="B536" s="19">
        <v>26</v>
      </c>
      <c r="C536" s="3" t="s">
        <v>18</v>
      </c>
      <c r="D536" s="3" t="s">
        <v>15</v>
      </c>
      <c r="E536" s="3" t="s">
        <v>23</v>
      </c>
      <c r="F536" s="3" t="s">
        <v>25</v>
      </c>
      <c r="G536" s="3" t="str">
        <f t="shared" si="21"/>
        <v>027TIFFANY!</v>
      </c>
      <c r="H536" s="3">
        <v>2700</v>
      </c>
      <c r="I536" s="3">
        <v>3165</v>
      </c>
      <c r="J536" s="3">
        <v>7868</v>
      </c>
      <c r="K536" s="3">
        <v>2633.1</v>
      </c>
      <c r="L536" s="3">
        <v>19200</v>
      </c>
      <c r="M536" s="3">
        <v>12</v>
      </c>
      <c r="N536" s="3">
        <v>13.694453248811422</v>
      </c>
      <c r="O536" s="3">
        <v>13.929160063391446</v>
      </c>
      <c r="P536" s="3">
        <v>13.455467511885894</v>
      </c>
      <c r="Q536" s="16">
        <f t="shared" si="22"/>
        <v>1.0254073145721774</v>
      </c>
      <c r="R536" s="10">
        <v>2838.7452025645971</v>
      </c>
      <c r="S536" s="11">
        <f t="shared" si="23"/>
        <v>-5.1387112060961887E-2</v>
      </c>
    </row>
    <row r="537" spans="1:19">
      <c r="A537" s="9">
        <v>2025</v>
      </c>
      <c r="B537" s="19">
        <v>27</v>
      </c>
      <c r="C537" s="3" t="s">
        <v>18</v>
      </c>
      <c r="D537" s="3" t="s">
        <v>15</v>
      </c>
      <c r="E537" s="3" t="s">
        <v>23</v>
      </c>
      <c r="F537" s="3" t="s">
        <v>25</v>
      </c>
      <c r="G537" s="3" t="str">
        <f t="shared" si="21"/>
        <v>027TIFFANY!</v>
      </c>
      <c r="H537" s="3">
        <v>1830</v>
      </c>
      <c r="I537" s="3">
        <v>3150</v>
      </c>
      <c r="J537" s="3">
        <v>2948</v>
      </c>
      <c r="K537" s="3">
        <v>2633.1</v>
      </c>
      <c r="L537" s="3">
        <v>19200</v>
      </c>
      <c r="M537" s="3">
        <v>12</v>
      </c>
      <c r="N537" s="3">
        <v>13.246116504854371</v>
      </c>
      <c r="O537" s="3">
        <v>13.484142394822005</v>
      </c>
      <c r="P537" s="3">
        <v>13.012297734627845</v>
      </c>
      <c r="Q537" s="16">
        <f t="shared" si="22"/>
        <v>0.69499829098780908</v>
      </c>
      <c r="R537" s="10">
        <v>2110.926421146828</v>
      </c>
      <c r="S537" s="11">
        <f t="shared" si="23"/>
        <v>-0.15351170554471477</v>
      </c>
    </row>
    <row r="538" spans="1:19">
      <c r="A538" s="9">
        <v>2025</v>
      </c>
      <c r="B538" s="19">
        <v>28</v>
      </c>
      <c r="C538" s="3" t="s">
        <v>18</v>
      </c>
      <c r="D538" s="3" t="s">
        <v>15</v>
      </c>
      <c r="E538" s="3" t="s">
        <v>23</v>
      </c>
      <c r="F538" s="3" t="s">
        <v>25</v>
      </c>
      <c r="G538" s="3" t="str">
        <f t="shared" si="21"/>
        <v>027TIFFANY!</v>
      </c>
      <c r="H538" s="3">
        <v>1890</v>
      </c>
      <c r="I538" s="3">
        <v>1886</v>
      </c>
      <c r="J538" s="3">
        <v>2940</v>
      </c>
      <c r="K538" s="3">
        <v>2633.1</v>
      </c>
      <c r="L538" s="3">
        <v>19200</v>
      </c>
      <c r="M538" s="3">
        <v>12</v>
      </c>
      <c r="N538" s="3">
        <v>13.238155802861698</v>
      </c>
      <c r="O538" s="3">
        <v>13.458664546899842</v>
      </c>
      <c r="P538" s="3">
        <v>13.014467408585055</v>
      </c>
      <c r="Q538" s="16">
        <f t="shared" si="22"/>
        <v>0.7177851202005241</v>
      </c>
      <c r="R538" s="10">
        <v>2088.095203666765</v>
      </c>
      <c r="S538" s="11">
        <f t="shared" si="23"/>
        <v>-0.10481227707236242</v>
      </c>
    </row>
    <row r="539" spans="1:19">
      <c r="A539" s="9">
        <v>2025</v>
      </c>
      <c r="B539" s="19">
        <v>29</v>
      </c>
      <c r="C539" s="3" t="s">
        <v>18</v>
      </c>
      <c r="D539" s="3" t="s">
        <v>15</v>
      </c>
      <c r="E539" s="3" t="s">
        <v>23</v>
      </c>
      <c r="F539" s="3" t="s">
        <v>25</v>
      </c>
      <c r="G539" s="3" t="str">
        <f t="shared" ref="G539:G584" si="24">+E539&amp;F539</f>
        <v>027TIFFANY!</v>
      </c>
      <c r="H539" s="3">
        <v>2040</v>
      </c>
      <c r="I539" s="3">
        <v>2314</v>
      </c>
      <c r="J539" s="3">
        <v>2100</v>
      </c>
      <c r="K539" s="3">
        <v>2633.1</v>
      </c>
      <c r="L539" s="3">
        <v>19200</v>
      </c>
      <c r="M539" s="3">
        <v>12</v>
      </c>
      <c r="N539" s="3">
        <v>13.055999999999999</v>
      </c>
      <c r="O539" s="3">
        <v>13.316666666666679</v>
      </c>
      <c r="P539" s="3">
        <v>12.786833333333337</v>
      </c>
      <c r="Q539" s="16">
        <f t="shared" ref="Q539:Q584" si="25">+H539/K539</f>
        <v>0.7747521932323117</v>
      </c>
      <c r="R539" s="10">
        <v>2140.3334501130839</v>
      </c>
      <c r="S539" s="11">
        <f t="shared" si="23"/>
        <v>-4.9183063780923492E-2</v>
      </c>
    </row>
    <row r="540" spans="1:19">
      <c r="A540" s="9">
        <v>2025</v>
      </c>
      <c r="B540" s="19">
        <v>30</v>
      </c>
      <c r="C540" s="3" t="s">
        <v>18</v>
      </c>
      <c r="D540" s="3" t="s">
        <v>15</v>
      </c>
      <c r="E540" s="3" t="s">
        <v>23</v>
      </c>
      <c r="F540" s="3" t="s">
        <v>25</v>
      </c>
      <c r="G540" s="3" t="str">
        <f t="shared" si="24"/>
        <v>027TIFFANY!</v>
      </c>
      <c r="H540" s="3">
        <v>3330</v>
      </c>
      <c r="I540" s="3">
        <v>2954</v>
      </c>
      <c r="J540" s="3">
        <v>2793</v>
      </c>
      <c r="K540" s="3">
        <v>2633.1</v>
      </c>
      <c r="L540" s="3">
        <v>19200</v>
      </c>
      <c r="M540" s="3">
        <v>12</v>
      </c>
      <c r="N540" s="3">
        <v>14.51277955271564</v>
      </c>
      <c r="O540" s="3">
        <v>14.803514376996825</v>
      </c>
      <c r="P540" s="3">
        <v>14.223162939297143</v>
      </c>
      <c r="Q540" s="16">
        <f t="shared" si="25"/>
        <v>1.2646690213056853</v>
      </c>
      <c r="R540" s="10">
        <v>3375.639543576166</v>
      </c>
      <c r="S540" s="11">
        <f t="shared" si="23"/>
        <v>-1.3705568641491301E-2</v>
      </c>
    </row>
    <row r="541" spans="1:19">
      <c r="A541" s="9">
        <v>2025</v>
      </c>
      <c r="B541" s="19">
        <v>31</v>
      </c>
      <c r="C541" s="3" t="s">
        <v>18</v>
      </c>
      <c r="D541" s="3" t="s">
        <v>15</v>
      </c>
      <c r="E541" s="3" t="s">
        <v>23</v>
      </c>
      <c r="F541" s="3" t="s">
        <v>25</v>
      </c>
      <c r="G541" s="3" t="str">
        <f t="shared" si="24"/>
        <v>027TIFFANY!</v>
      </c>
      <c r="H541" s="3">
        <v>6270</v>
      </c>
      <c r="I541" s="3">
        <v>4427</v>
      </c>
      <c r="J541" s="3">
        <v>3637</v>
      </c>
      <c r="K541" s="3">
        <v>2633.1</v>
      </c>
      <c r="L541" s="3">
        <v>19200</v>
      </c>
      <c r="M541" s="3">
        <v>12</v>
      </c>
      <c r="N541" s="3">
        <v>13.78425196850394</v>
      </c>
      <c r="O541" s="3">
        <v>14.065354330708656</v>
      </c>
      <c r="P541" s="3">
        <v>13.503307086614177</v>
      </c>
      <c r="Q541" s="16">
        <f t="shared" si="25"/>
        <v>2.3812236527287229</v>
      </c>
      <c r="R541" s="10">
        <v>6752.4735551267486</v>
      </c>
      <c r="S541" s="11">
        <f t="shared" si="23"/>
        <v>-7.6949530323245391E-2</v>
      </c>
    </row>
    <row r="542" spans="1:19">
      <c r="A542" s="9">
        <v>2025</v>
      </c>
      <c r="B542" s="19">
        <v>32</v>
      </c>
      <c r="C542" s="3" t="s">
        <v>18</v>
      </c>
      <c r="D542" s="3" t="s">
        <v>15</v>
      </c>
      <c r="E542" s="3" t="s">
        <v>23</v>
      </c>
      <c r="F542" s="3" t="s">
        <v>25</v>
      </c>
      <c r="G542" s="3" t="str">
        <f t="shared" si="24"/>
        <v>027TIFFANY!</v>
      </c>
      <c r="H542" s="3">
        <v>4350</v>
      </c>
      <c r="I542" s="3">
        <v>6870</v>
      </c>
      <c r="J542" s="3">
        <v>4706</v>
      </c>
      <c r="K542" s="3">
        <v>2633.1</v>
      </c>
      <c r="L542" s="3">
        <v>19200</v>
      </c>
      <c r="M542" s="3">
        <v>12</v>
      </c>
      <c r="N542" s="3">
        <v>12.659270998415199</v>
      </c>
      <c r="O542" s="3">
        <v>12.943264659271005</v>
      </c>
      <c r="P542" s="3">
        <v>12.377337559429469</v>
      </c>
      <c r="Q542" s="16">
        <f t="shared" si="25"/>
        <v>1.6520451179218412</v>
      </c>
      <c r="R542" s="10">
        <v>4568.0363753575166</v>
      </c>
      <c r="S542" s="11">
        <f t="shared" si="23"/>
        <v>-5.0123304679888868E-2</v>
      </c>
    </row>
    <row r="543" spans="1:19">
      <c r="A543" s="9">
        <v>2025</v>
      </c>
      <c r="B543" s="19">
        <v>33</v>
      </c>
      <c r="C543" s="3" t="s">
        <v>18</v>
      </c>
      <c r="D543" s="3" t="s">
        <v>15</v>
      </c>
      <c r="E543" s="3" t="s">
        <v>23</v>
      </c>
      <c r="F543" s="3" t="s">
        <v>25</v>
      </c>
      <c r="G543" s="3" t="str">
        <f t="shared" si="24"/>
        <v>027TIFFANY!</v>
      </c>
      <c r="H543" s="3">
        <v>3750</v>
      </c>
      <c r="I543" s="3">
        <v>7200</v>
      </c>
      <c r="J543" s="3">
        <v>7357</v>
      </c>
      <c r="K543" s="3">
        <v>2633.1</v>
      </c>
      <c r="L543" s="3">
        <v>19200</v>
      </c>
      <c r="M543" s="3">
        <v>12</v>
      </c>
      <c r="N543" s="3">
        <v>13.589285714285717</v>
      </c>
      <c r="O543" s="3">
        <v>13.824068322981383</v>
      </c>
      <c r="P543" s="3">
        <v>13.353571428571435</v>
      </c>
      <c r="Q543" s="16">
        <f t="shared" si="25"/>
        <v>1.4241768257946907</v>
      </c>
      <c r="R543" s="10">
        <v>3945.144197997276</v>
      </c>
      <c r="S543" s="11">
        <f t="shared" si="23"/>
        <v>-5.2038452799273605E-2</v>
      </c>
    </row>
    <row r="544" spans="1:19">
      <c r="A544" s="9">
        <v>2025</v>
      </c>
      <c r="B544" s="19">
        <v>34</v>
      </c>
      <c r="C544" s="3" t="s">
        <v>18</v>
      </c>
      <c r="D544" s="3" t="s">
        <v>15</v>
      </c>
      <c r="E544" s="3" t="s">
        <v>23</v>
      </c>
      <c r="F544" s="3" t="s">
        <v>25</v>
      </c>
      <c r="G544" s="3" t="str">
        <f t="shared" si="24"/>
        <v>027TIFFANY!</v>
      </c>
      <c r="H544" s="3">
        <v>4770</v>
      </c>
      <c r="I544" s="3">
        <v>5233</v>
      </c>
      <c r="J544" s="3">
        <v>6841</v>
      </c>
      <c r="K544" s="3">
        <v>2633.1</v>
      </c>
      <c r="L544" s="3">
        <v>19200</v>
      </c>
      <c r="M544" s="3">
        <v>12</v>
      </c>
      <c r="N544" s="3">
        <v>12.824486571879941</v>
      </c>
      <c r="O544" s="3">
        <v>13.083254344391783</v>
      </c>
      <c r="P544" s="3">
        <v>12.564612954186416</v>
      </c>
      <c r="Q544" s="16">
        <f t="shared" si="25"/>
        <v>1.8115529224108466</v>
      </c>
      <c r="R544" s="10">
        <v>5059.7712996742657</v>
      </c>
      <c r="S544" s="11">
        <f t="shared" si="23"/>
        <v>-6.0748700141355499E-2</v>
      </c>
    </row>
    <row r="545" spans="1:19">
      <c r="A545" s="9">
        <v>2025</v>
      </c>
      <c r="B545" s="19">
        <v>35</v>
      </c>
      <c r="C545" s="3" t="s">
        <v>18</v>
      </c>
      <c r="D545" s="3" t="s">
        <v>15</v>
      </c>
      <c r="E545" s="3" t="s">
        <v>23</v>
      </c>
      <c r="F545" s="3" t="s">
        <v>25</v>
      </c>
      <c r="G545" s="3" t="str">
        <f t="shared" si="24"/>
        <v>027TIFFANY!</v>
      </c>
      <c r="H545" s="3">
        <v>6360</v>
      </c>
      <c r="I545" s="3">
        <v>5336</v>
      </c>
      <c r="J545" s="3">
        <v>5747</v>
      </c>
      <c r="K545" s="3">
        <v>2633.1</v>
      </c>
      <c r="L545" s="3">
        <v>19200</v>
      </c>
      <c r="M545" s="3">
        <v>12</v>
      </c>
      <c r="N545" s="3">
        <v>13.437577639751549</v>
      </c>
      <c r="O545" s="3">
        <v>13.71583850931677</v>
      </c>
      <c r="P545" s="3">
        <v>13.159472049689436</v>
      </c>
      <c r="Q545" s="16">
        <f t="shared" si="25"/>
        <v>2.4154038965477955</v>
      </c>
      <c r="R545" s="10">
        <v>6935.0706884753599</v>
      </c>
      <c r="S545" s="11">
        <f t="shared" si="23"/>
        <v>-9.0419919571597479E-2</v>
      </c>
    </row>
    <row r="546" spans="1:19">
      <c r="A546" s="9">
        <v>2025</v>
      </c>
      <c r="B546" s="19">
        <v>36</v>
      </c>
      <c r="C546" s="3" t="s">
        <v>18</v>
      </c>
      <c r="D546" s="3" t="s">
        <v>15</v>
      </c>
      <c r="E546" s="3" t="s">
        <v>23</v>
      </c>
      <c r="F546" s="3" t="s">
        <v>25</v>
      </c>
      <c r="G546" s="3" t="str">
        <f t="shared" si="24"/>
        <v>027TIFFANY!</v>
      </c>
      <c r="H546" s="3">
        <v>4830</v>
      </c>
      <c r="I546" s="3">
        <v>5388</v>
      </c>
      <c r="J546" s="3">
        <v>5539</v>
      </c>
      <c r="K546" s="3">
        <v>2633.1</v>
      </c>
      <c r="L546" s="3">
        <v>19200</v>
      </c>
      <c r="M546" s="3">
        <v>12</v>
      </c>
      <c r="N546" s="3">
        <v>12.977672955974834</v>
      </c>
      <c r="O546" s="3">
        <v>13.234119496855346</v>
      </c>
      <c r="P546" s="3">
        <v>12.718081761006273</v>
      </c>
      <c r="Q546" s="16">
        <f t="shared" si="25"/>
        <v>1.8343397516235616</v>
      </c>
      <c r="R546" s="10">
        <v>5073.869839500665</v>
      </c>
      <c r="S546" s="11">
        <f t="shared" si="23"/>
        <v>-5.0490650000137673E-2</v>
      </c>
    </row>
    <row r="547" spans="1:19">
      <c r="A547" s="9">
        <v>2025</v>
      </c>
      <c r="B547" s="19">
        <v>37</v>
      </c>
      <c r="C547" s="3" t="s">
        <v>18</v>
      </c>
      <c r="D547" s="3" t="s">
        <v>15</v>
      </c>
      <c r="E547" s="3" t="s">
        <v>23</v>
      </c>
      <c r="F547" s="3" t="s">
        <v>25</v>
      </c>
      <c r="G547" s="3" t="str">
        <f t="shared" si="24"/>
        <v>027TIFFANY!</v>
      </c>
      <c r="H547" s="3">
        <v>3720</v>
      </c>
      <c r="I547" s="3">
        <v>5325</v>
      </c>
      <c r="J547" s="3">
        <v>5486</v>
      </c>
      <c r="K547" s="3">
        <v>2633.1</v>
      </c>
      <c r="L547" s="3">
        <v>19200</v>
      </c>
      <c r="M547" s="3">
        <v>12</v>
      </c>
      <c r="N547" s="3">
        <v>13.589032258064515</v>
      </c>
      <c r="O547" s="3">
        <v>13.865806451612899</v>
      </c>
      <c r="P547" s="3">
        <v>13.317258064516144</v>
      </c>
      <c r="Q547" s="16">
        <f t="shared" si="25"/>
        <v>1.4127834111883333</v>
      </c>
      <c r="R547" s="10">
        <v>3916.7306802064199</v>
      </c>
      <c r="S547" s="11">
        <f t="shared" si="23"/>
        <v>-5.2884591453338695E-2</v>
      </c>
    </row>
    <row r="548" spans="1:19">
      <c r="A548" s="9">
        <v>2025</v>
      </c>
      <c r="B548" s="19">
        <v>38</v>
      </c>
      <c r="C548" s="3" t="s">
        <v>18</v>
      </c>
      <c r="D548" s="3" t="s">
        <v>15</v>
      </c>
      <c r="E548" s="3" t="s">
        <v>23</v>
      </c>
      <c r="F548" s="3" t="s">
        <v>25</v>
      </c>
      <c r="G548" s="3" t="str">
        <f t="shared" si="24"/>
        <v>027TIFFANY!</v>
      </c>
      <c r="H548" s="3">
        <v>4920</v>
      </c>
      <c r="I548" s="3">
        <v>4983</v>
      </c>
      <c r="J548" s="3">
        <v>5479</v>
      </c>
      <c r="K548" s="3">
        <v>2633.1</v>
      </c>
      <c r="L548" s="3">
        <v>19200</v>
      </c>
      <c r="M548" s="3">
        <v>12</v>
      </c>
      <c r="N548" s="3">
        <v>13.031825273010922</v>
      </c>
      <c r="O548" s="3">
        <v>13.280499219968798</v>
      </c>
      <c r="P548" s="3">
        <v>12.779719188767555</v>
      </c>
      <c r="Q548" s="16">
        <f t="shared" si="25"/>
        <v>1.8685199954426341</v>
      </c>
      <c r="R548" s="10">
        <v>5194.2947419309294</v>
      </c>
      <c r="S548" s="11">
        <f t="shared" si="23"/>
        <v>-5.5750963807099464E-2</v>
      </c>
    </row>
    <row r="549" spans="1:19">
      <c r="A549" s="9">
        <v>2025</v>
      </c>
      <c r="B549" s="19">
        <v>39</v>
      </c>
      <c r="C549" s="3" t="s">
        <v>18</v>
      </c>
      <c r="D549" s="3" t="s">
        <v>15</v>
      </c>
      <c r="E549" s="3" t="s">
        <v>23</v>
      </c>
      <c r="F549" s="3" t="s">
        <v>25</v>
      </c>
      <c r="G549" s="3" t="str">
        <f t="shared" si="24"/>
        <v>027TIFFANY!</v>
      </c>
      <c r="H549" s="3">
        <v>6210</v>
      </c>
      <c r="I549" s="3">
        <v>4510</v>
      </c>
      <c r="J549" s="3">
        <v>5146</v>
      </c>
      <c r="K549" s="3">
        <v>2633.1</v>
      </c>
      <c r="L549" s="3">
        <v>19200</v>
      </c>
      <c r="M549" s="3">
        <v>12</v>
      </c>
      <c r="N549" s="3">
        <v>14.003096539162122</v>
      </c>
      <c r="O549" s="3">
        <v>14.246265938069232</v>
      </c>
      <c r="P549" s="3">
        <v>13.765573770491811</v>
      </c>
      <c r="Q549" s="16">
        <f t="shared" si="25"/>
        <v>2.358436823516008</v>
      </c>
      <c r="R549" s="10">
        <v>6713.1238991933706</v>
      </c>
      <c r="S549" s="11">
        <f t="shared" si="23"/>
        <v>-8.1018341254971107E-2</v>
      </c>
    </row>
    <row r="550" spans="1:19">
      <c r="A550" s="9">
        <v>2025</v>
      </c>
      <c r="B550" s="19">
        <v>40</v>
      </c>
      <c r="C550" s="3" t="s">
        <v>18</v>
      </c>
      <c r="D550" s="3" t="s">
        <v>15</v>
      </c>
      <c r="E550" s="3" t="s">
        <v>23</v>
      </c>
      <c r="F550" s="3" t="s">
        <v>25</v>
      </c>
      <c r="G550" s="3" t="str">
        <f t="shared" si="24"/>
        <v>027TIFFANY!</v>
      </c>
      <c r="H550" s="3">
        <v>5220</v>
      </c>
      <c r="I550" s="3">
        <v>5317</v>
      </c>
      <c r="J550" s="3">
        <v>4390</v>
      </c>
      <c r="K550" s="3">
        <v>2633.1</v>
      </c>
      <c r="L550" s="3">
        <v>19200</v>
      </c>
      <c r="M550" s="3">
        <v>12</v>
      </c>
      <c r="N550" s="3">
        <v>12.843362831858405</v>
      </c>
      <c r="O550" s="3">
        <v>13.098407079646016</v>
      </c>
      <c r="P550" s="3">
        <v>12.592743362831856</v>
      </c>
      <c r="Q550" s="16">
        <f t="shared" si="25"/>
        <v>1.9824541415062096</v>
      </c>
      <c r="R550" s="10">
        <v>5559.2959929043363</v>
      </c>
      <c r="S550" s="11">
        <f t="shared" si="23"/>
        <v>-6.4999232357152562E-2</v>
      </c>
    </row>
    <row r="551" spans="1:19">
      <c r="A551" s="9">
        <v>2025</v>
      </c>
      <c r="B551" s="19">
        <v>41</v>
      </c>
      <c r="C551" s="3" t="s">
        <v>18</v>
      </c>
      <c r="D551" s="3" t="s">
        <v>15</v>
      </c>
      <c r="E551" s="3" t="s">
        <v>23</v>
      </c>
      <c r="F551" s="3" t="s">
        <v>25</v>
      </c>
      <c r="G551" s="3" t="str">
        <f t="shared" si="24"/>
        <v>027TIFFANY!</v>
      </c>
      <c r="H551" s="3">
        <v>3810</v>
      </c>
      <c r="I551" s="3">
        <v>4736</v>
      </c>
      <c r="J551" s="3">
        <v>4908</v>
      </c>
      <c r="K551" s="3">
        <v>2633.1</v>
      </c>
      <c r="L551" s="3">
        <v>19200</v>
      </c>
      <c r="M551" s="3">
        <v>12</v>
      </c>
      <c r="N551" s="3">
        <v>13.871347248576845</v>
      </c>
      <c r="O551" s="3">
        <v>14.103605313092977</v>
      </c>
      <c r="P551" s="3">
        <v>13.632258064516128</v>
      </c>
      <c r="Q551" s="16">
        <f t="shared" si="25"/>
        <v>1.4469636550074059</v>
      </c>
      <c r="R551" s="10">
        <v>4004.2070094842929</v>
      </c>
      <c r="S551" s="11">
        <f t="shared" si="23"/>
        <v>-5.0972968368580826E-2</v>
      </c>
    </row>
    <row r="552" spans="1:19">
      <c r="A552" s="9">
        <v>2025</v>
      </c>
      <c r="B552" s="19">
        <v>42</v>
      </c>
      <c r="C552" s="3" t="s">
        <v>18</v>
      </c>
      <c r="D552" s="3" t="s">
        <v>15</v>
      </c>
      <c r="E552" s="3" t="s">
        <v>23</v>
      </c>
      <c r="F552" s="3" t="s">
        <v>25</v>
      </c>
      <c r="G552" s="3" t="str">
        <f t="shared" si="24"/>
        <v>027TIFFANY!</v>
      </c>
      <c r="H552" s="3">
        <v>2220</v>
      </c>
      <c r="I552" s="3">
        <v>4681</v>
      </c>
      <c r="J552" s="3">
        <v>4686</v>
      </c>
      <c r="K552" s="3">
        <v>2633.1</v>
      </c>
      <c r="L552" s="3">
        <v>19200</v>
      </c>
      <c r="M552" s="3">
        <v>12</v>
      </c>
      <c r="N552" s="3">
        <v>12.518382352941172</v>
      </c>
      <c r="O552" s="3">
        <v>12.743627450980384</v>
      </c>
      <c r="P552" s="3">
        <v>12.293382352941165</v>
      </c>
      <c r="Q552" s="16">
        <f t="shared" si="25"/>
        <v>0.84311268087045688</v>
      </c>
      <c r="R552" s="10">
        <v>2314.9933911175308</v>
      </c>
      <c r="S552" s="11">
        <f t="shared" si="23"/>
        <v>-4.2789815818707562E-2</v>
      </c>
    </row>
    <row r="553" spans="1:19">
      <c r="A553" s="9">
        <v>2025</v>
      </c>
      <c r="B553" s="19">
        <v>43</v>
      </c>
      <c r="C553" s="3" t="s">
        <v>18</v>
      </c>
      <c r="D553" s="3" t="s">
        <v>15</v>
      </c>
      <c r="E553" s="3" t="s">
        <v>23</v>
      </c>
      <c r="F553" s="3" t="s">
        <v>25</v>
      </c>
      <c r="G553" s="3" t="str">
        <f t="shared" si="24"/>
        <v>027TIFFANY!</v>
      </c>
      <c r="H553" s="3">
        <v>2430</v>
      </c>
      <c r="I553" s="3">
        <v>2959</v>
      </c>
      <c r="J553" s="3">
        <v>4380</v>
      </c>
      <c r="K553" s="3">
        <v>2633.1</v>
      </c>
      <c r="L553" s="3">
        <v>19200</v>
      </c>
      <c r="M553" s="3">
        <v>12</v>
      </c>
      <c r="N553" s="3">
        <v>14.965141612200448</v>
      </c>
      <c r="O553" s="3">
        <v>15.249019607843142</v>
      </c>
      <c r="P553" s="3">
        <v>14.683006535947717</v>
      </c>
      <c r="Q553" s="16">
        <f t="shared" si="25"/>
        <v>0.92286658311495962</v>
      </c>
      <c r="R553" s="10">
        <v>2533.7280280047448</v>
      </c>
      <c r="S553" s="11">
        <f t="shared" si="23"/>
        <v>-4.2686431277672771E-2</v>
      </c>
    </row>
    <row r="554" spans="1:19">
      <c r="A554" s="9">
        <v>2025</v>
      </c>
      <c r="B554" s="19">
        <v>44</v>
      </c>
      <c r="C554" s="3" t="s">
        <v>18</v>
      </c>
      <c r="D554" s="3" t="s">
        <v>15</v>
      </c>
      <c r="E554" s="3" t="s">
        <v>23</v>
      </c>
      <c r="F554" s="3" t="s">
        <v>25</v>
      </c>
      <c r="G554" s="3" t="str">
        <f t="shared" si="24"/>
        <v>027TIFFANY!</v>
      </c>
      <c r="H554" s="3">
        <v>4440</v>
      </c>
      <c r="I554" s="3">
        <v>2930</v>
      </c>
      <c r="J554" s="3">
        <v>2774</v>
      </c>
      <c r="K554" s="3">
        <v>2633.1</v>
      </c>
      <c r="L554" s="3">
        <v>19200</v>
      </c>
      <c r="M554" s="3">
        <v>12</v>
      </c>
      <c r="N554" s="3">
        <v>14.073262839879131</v>
      </c>
      <c r="O554" s="3">
        <v>14.296978851963752</v>
      </c>
      <c r="P554" s="3">
        <v>13.846676737160124</v>
      </c>
      <c r="Q554" s="16">
        <f t="shared" si="25"/>
        <v>1.6862253617409138</v>
      </c>
      <c r="R554" s="10">
        <v>4696.1845370649271</v>
      </c>
      <c r="S554" s="11">
        <f t="shared" si="23"/>
        <v>-5.7699220059668266E-2</v>
      </c>
    </row>
    <row r="555" spans="1:19">
      <c r="A555" s="9">
        <v>2025</v>
      </c>
      <c r="B555" s="19">
        <v>45</v>
      </c>
      <c r="C555" s="3" t="s">
        <v>18</v>
      </c>
      <c r="D555" s="3" t="s">
        <v>15</v>
      </c>
      <c r="E555" s="3" t="s">
        <v>23</v>
      </c>
      <c r="F555" s="3" t="s">
        <v>25</v>
      </c>
      <c r="G555" s="3" t="str">
        <f t="shared" si="24"/>
        <v>027TIFFANY!</v>
      </c>
      <c r="H555" s="3">
        <v>3750</v>
      </c>
      <c r="I555" s="3">
        <v>3357</v>
      </c>
      <c r="J555" s="3">
        <v>3031</v>
      </c>
      <c r="K555" s="3">
        <v>2633.1</v>
      </c>
      <c r="L555" s="3">
        <v>19200</v>
      </c>
      <c r="M555" s="3">
        <v>12</v>
      </c>
      <c r="N555" s="3">
        <v>14.836850152905189</v>
      </c>
      <c r="O555" s="3">
        <v>15.074923547400614</v>
      </c>
      <c r="P555" s="3">
        <v>14.594495412844042</v>
      </c>
      <c r="Q555" s="16">
        <f t="shared" si="25"/>
        <v>1.4241768257946907</v>
      </c>
      <c r="R555" s="10">
        <v>3956.0194629134699</v>
      </c>
      <c r="S555" s="11">
        <f t="shared" si="23"/>
        <v>-5.4938523443591958E-2</v>
      </c>
    </row>
    <row r="556" spans="1:19">
      <c r="A556" s="9">
        <v>2025</v>
      </c>
      <c r="B556" s="19">
        <v>46</v>
      </c>
      <c r="C556" s="3" t="s">
        <v>18</v>
      </c>
      <c r="D556" s="3" t="s">
        <v>15</v>
      </c>
      <c r="E556" s="3" t="s">
        <v>23</v>
      </c>
      <c r="F556" s="3" t="s">
        <v>25</v>
      </c>
      <c r="G556" s="3" t="str">
        <f t="shared" si="24"/>
        <v>027TIFFANY!</v>
      </c>
      <c r="H556" s="3">
        <v>4290</v>
      </c>
      <c r="I556" s="3">
        <v>5247</v>
      </c>
      <c r="J556" s="3">
        <v>3135</v>
      </c>
      <c r="K556" s="3">
        <v>2633.1</v>
      </c>
      <c r="L556" s="3">
        <v>19200</v>
      </c>
      <c r="M556" s="3">
        <v>12</v>
      </c>
      <c r="N556" s="3">
        <v>14.582800608828016</v>
      </c>
      <c r="O556" s="3">
        <v>14.816590563165887</v>
      </c>
      <c r="P556" s="3">
        <v>14.359512937595126</v>
      </c>
      <c r="Q556" s="16">
        <f t="shared" si="25"/>
        <v>1.6292582887091263</v>
      </c>
      <c r="R556" s="10">
        <v>4544.6843536077477</v>
      </c>
      <c r="S556" s="11">
        <f t="shared" si="23"/>
        <v>-5.936698219294817E-2</v>
      </c>
    </row>
    <row r="557" spans="1:19">
      <c r="A557" s="9">
        <v>2025</v>
      </c>
      <c r="B557" s="19">
        <v>47</v>
      </c>
      <c r="C557" s="3" t="s">
        <v>18</v>
      </c>
      <c r="D557" s="3" t="s">
        <v>15</v>
      </c>
      <c r="E557" s="3" t="s">
        <v>23</v>
      </c>
      <c r="F557" s="3" t="s">
        <v>25</v>
      </c>
      <c r="G557" s="3" t="str">
        <f t="shared" si="24"/>
        <v>027TIFFANY!</v>
      </c>
      <c r="H557" s="3">
        <v>4980</v>
      </c>
      <c r="I557" s="3">
        <v>4273</v>
      </c>
      <c r="J557" s="3">
        <v>4252</v>
      </c>
      <c r="K557" s="3">
        <v>2633.1</v>
      </c>
      <c r="L557" s="3">
        <v>19200</v>
      </c>
      <c r="M557" s="3">
        <v>12</v>
      </c>
      <c r="N557" s="3">
        <v>14.756838905775062</v>
      </c>
      <c r="O557" s="3">
        <v>15.013829787234029</v>
      </c>
      <c r="P557" s="3">
        <v>14.501519756838901</v>
      </c>
      <c r="Q557" s="16">
        <f t="shared" si="25"/>
        <v>1.8913068246553493</v>
      </c>
      <c r="R557" s="10">
        <v>5239.8309213105194</v>
      </c>
      <c r="S557" s="11">
        <f t="shared" si="23"/>
        <v>-5.2174883797293063E-2</v>
      </c>
    </row>
    <row r="558" spans="1:19">
      <c r="A558" s="9">
        <v>2025</v>
      </c>
      <c r="B558" s="19">
        <v>48</v>
      </c>
      <c r="C558" s="3" t="s">
        <v>18</v>
      </c>
      <c r="D558" s="3" t="s">
        <v>15</v>
      </c>
      <c r="E558" s="3" t="s">
        <v>23</v>
      </c>
      <c r="F558" s="3" t="s">
        <v>25</v>
      </c>
      <c r="G558" s="3" t="str">
        <f t="shared" si="24"/>
        <v>027TIFFANY!</v>
      </c>
      <c r="H558" s="3">
        <v>3990</v>
      </c>
      <c r="I558" s="3">
        <v>4796</v>
      </c>
      <c r="J558" s="3">
        <v>3948</v>
      </c>
      <c r="K558" s="3">
        <v>2633.1</v>
      </c>
      <c r="L558" s="3">
        <v>19200</v>
      </c>
      <c r="M558" s="3">
        <v>12</v>
      </c>
      <c r="N558" s="3">
        <v>14.30164670658683</v>
      </c>
      <c r="O558" s="3">
        <v>14.475149700598816</v>
      </c>
      <c r="P558" s="3">
        <v>14.12919161676647</v>
      </c>
      <c r="Q558" s="16">
        <f t="shared" si="25"/>
        <v>1.5153241426455508</v>
      </c>
      <c r="R558" s="10">
        <v>4165.3557245682232</v>
      </c>
      <c r="S558" s="11">
        <f t="shared" si="23"/>
        <v>-4.3948803149930625E-2</v>
      </c>
    </row>
    <row r="559" spans="1:19">
      <c r="A559" s="9">
        <v>2025</v>
      </c>
      <c r="B559" s="19">
        <v>49</v>
      </c>
      <c r="C559" s="3" t="s">
        <v>18</v>
      </c>
      <c r="D559" s="3" t="s">
        <v>15</v>
      </c>
      <c r="E559" s="3" t="s">
        <v>23</v>
      </c>
      <c r="F559" s="3" t="s">
        <v>25</v>
      </c>
      <c r="G559" s="3" t="str">
        <f t="shared" si="24"/>
        <v>027TIFFANY!</v>
      </c>
      <c r="H559" s="3">
        <v>3930</v>
      </c>
      <c r="I559" s="3">
        <v>5777</v>
      </c>
      <c r="J559" s="3">
        <v>5210</v>
      </c>
      <c r="K559" s="3">
        <v>2633.1</v>
      </c>
      <c r="L559" s="3">
        <v>19200</v>
      </c>
      <c r="M559" s="3">
        <v>12</v>
      </c>
      <c r="N559" s="3">
        <v>12.785714285714281</v>
      </c>
      <c r="O559" s="3">
        <v>13.009821428571421</v>
      </c>
      <c r="P559" s="3">
        <v>12.563839285714286</v>
      </c>
      <c r="Q559" s="16">
        <f t="shared" si="25"/>
        <v>1.4925373134328359</v>
      </c>
      <c r="R559" s="10">
        <v>4140.2894827041682</v>
      </c>
      <c r="S559" s="11">
        <f t="shared" si="23"/>
        <v>-5.350877422497919E-2</v>
      </c>
    </row>
    <row r="560" spans="1:19">
      <c r="A560" s="9">
        <v>2025</v>
      </c>
      <c r="B560" s="19">
        <v>50</v>
      </c>
      <c r="C560" s="3" t="s">
        <v>18</v>
      </c>
      <c r="D560" s="3" t="s">
        <v>15</v>
      </c>
      <c r="E560" s="3" t="s">
        <v>23</v>
      </c>
      <c r="F560" s="3" t="s">
        <v>25</v>
      </c>
      <c r="G560" s="3" t="str">
        <f t="shared" si="24"/>
        <v>027TIFFANY!</v>
      </c>
      <c r="H560" s="3">
        <v>5340</v>
      </c>
      <c r="I560" s="3">
        <v>4070</v>
      </c>
      <c r="J560" s="3">
        <v>6123</v>
      </c>
      <c r="K560" s="3">
        <v>2633.1</v>
      </c>
      <c r="L560" s="3">
        <v>19200</v>
      </c>
      <c r="M560" s="3">
        <v>12</v>
      </c>
      <c r="N560" s="3">
        <v>12.562962962962962</v>
      </c>
      <c r="O560" s="3">
        <v>12.822507122507124</v>
      </c>
      <c r="P560" s="3">
        <v>12.308262108262106</v>
      </c>
      <c r="Q560" s="16">
        <f t="shared" si="25"/>
        <v>2.0280277999316394</v>
      </c>
      <c r="R560" s="10">
        <v>5652.5041752342322</v>
      </c>
      <c r="S560" s="11">
        <f t="shared" si="23"/>
        <v>-5.8521381130006031E-2</v>
      </c>
    </row>
    <row r="561" spans="1:19">
      <c r="A561" s="9">
        <v>2025</v>
      </c>
      <c r="B561" s="19">
        <v>51</v>
      </c>
      <c r="C561" s="3" t="s">
        <v>18</v>
      </c>
      <c r="D561" s="3" t="s">
        <v>15</v>
      </c>
      <c r="E561" s="3" t="s">
        <v>23</v>
      </c>
      <c r="F561" s="3" t="s">
        <v>25</v>
      </c>
      <c r="G561" s="3" t="str">
        <f t="shared" si="24"/>
        <v>027TIFFANY!</v>
      </c>
      <c r="H561" s="3">
        <v>4380</v>
      </c>
      <c r="I561" s="3">
        <v>3997</v>
      </c>
      <c r="J561" s="3">
        <v>3870</v>
      </c>
      <c r="K561" s="3">
        <v>2633.1</v>
      </c>
      <c r="L561" s="3">
        <v>19200</v>
      </c>
      <c r="M561" s="3">
        <v>12</v>
      </c>
      <c r="N561" s="3">
        <v>14.116666666666669</v>
      </c>
      <c r="O561" s="3">
        <v>14.313541666666683</v>
      </c>
      <c r="P561" s="3">
        <v>13.918303571428599</v>
      </c>
      <c r="Q561" s="16">
        <f t="shared" si="25"/>
        <v>1.6634385325281988</v>
      </c>
      <c r="R561" s="10">
        <v>4591.9302439737476</v>
      </c>
      <c r="S561" s="11">
        <f t="shared" si="23"/>
        <v>-4.8385900450627295E-2</v>
      </c>
    </row>
    <row r="562" spans="1:19">
      <c r="A562" s="9">
        <v>2025</v>
      </c>
      <c r="B562" s="19">
        <v>52</v>
      </c>
      <c r="C562" s="3" t="s">
        <v>18</v>
      </c>
      <c r="D562" s="3" t="s">
        <v>15</v>
      </c>
      <c r="E562" s="3" t="s">
        <v>23</v>
      </c>
      <c r="F562" s="3" t="s">
        <v>25</v>
      </c>
      <c r="G562" s="3" t="str">
        <f t="shared" si="24"/>
        <v>027TIFFANY!</v>
      </c>
      <c r="H562" s="3">
        <v>4950</v>
      </c>
      <c r="I562" s="3">
        <v>5111</v>
      </c>
      <c r="J562" s="3">
        <v>4124</v>
      </c>
      <c r="K562" s="3">
        <v>2633.1</v>
      </c>
      <c r="L562" s="3">
        <v>19200</v>
      </c>
      <c r="M562" s="3">
        <v>12</v>
      </c>
      <c r="N562" s="3">
        <v>14.780803571428551</v>
      </c>
      <c r="O562" s="3">
        <v>14.962351190476202</v>
      </c>
      <c r="P562" s="3">
        <v>14.597619047619043</v>
      </c>
      <c r="Q562" s="16">
        <f t="shared" si="25"/>
        <v>1.8799134100489918</v>
      </c>
      <c r="R562" s="10">
        <v>5217.1206987618016</v>
      </c>
      <c r="S562" s="11">
        <f t="shared" si="23"/>
        <v>-5.3963777527636682E-2</v>
      </c>
    </row>
    <row r="563" spans="1:19">
      <c r="A563" s="9">
        <v>2026</v>
      </c>
      <c r="B563" s="19">
        <v>1</v>
      </c>
      <c r="C563" s="3" t="s">
        <v>18</v>
      </c>
      <c r="D563" s="3" t="s">
        <v>15</v>
      </c>
      <c r="E563" s="3" t="s">
        <v>23</v>
      </c>
      <c r="F563" s="3" t="s">
        <v>25</v>
      </c>
      <c r="G563" s="3" t="str">
        <f t="shared" si="24"/>
        <v>027TIFFANY!</v>
      </c>
      <c r="H563" s="3">
        <v>4470</v>
      </c>
      <c r="I563" s="3">
        <v>6056</v>
      </c>
      <c r="J563" s="3">
        <v>5414</v>
      </c>
      <c r="K563" s="3">
        <v>2633.1</v>
      </c>
      <c r="L563" s="3">
        <v>19200</v>
      </c>
      <c r="M563" s="3">
        <v>12</v>
      </c>
      <c r="N563" s="3">
        <v>13.975520833333354</v>
      </c>
      <c r="O563" s="3">
        <v>14.218750000000002</v>
      </c>
      <c r="P563" s="3">
        <v>13.740624999999994</v>
      </c>
      <c r="Q563" s="16">
        <f t="shared" si="25"/>
        <v>1.6976187763472714</v>
      </c>
      <c r="R563" s="10">
        <v>4699.8143850053048</v>
      </c>
      <c r="S563" s="11">
        <f t="shared" si="23"/>
        <v>-5.1412614095146476E-2</v>
      </c>
    </row>
    <row r="564" spans="1:19">
      <c r="A564" s="9">
        <v>2026</v>
      </c>
      <c r="B564" s="19">
        <v>2</v>
      </c>
      <c r="C564" s="3" t="s">
        <v>18</v>
      </c>
      <c r="D564" s="3" t="s">
        <v>15</v>
      </c>
      <c r="E564" s="3" t="s">
        <v>23</v>
      </c>
      <c r="F564" s="3" t="s">
        <v>25</v>
      </c>
      <c r="G564" s="3" t="str">
        <f t="shared" si="24"/>
        <v>027TIFFANY!</v>
      </c>
      <c r="H564" s="3">
        <v>5100</v>
      </c>
      <c r="I564" s="3">
        <v>7453</v>
      </c>
      <c r="J564" s="3">
        <v>7453</v>
      </c>
      <c r="K564" s="3">
        <v>2633.1</v>
      </c>
      <c r="L564" s="3">
        <v>19200</v>
      </c>
      <c r="M564" s="3">
        <v>12</v>
      </c>
      <c r="N564" s="3">
        <v>13.445535714285695</v>
      </c>
      <c r="O564" s="3">
        <v>13.624255952380969</v>
      </c>
      <c r="P564" s="3">
        <v>13.274851190476191</v>
      </c>
      <c r="Q564" s="16">
        <f t="shared" si="25"/>
        <v>1.9368804830807793</v>
      </c>
      <c r="R564" s="10">
        <v>5330.9502501517436</v>
      </c>
      <c r="S564" s="11">
        <f t="shared" si="23"/>
        <v>-4.5284362774851684E-2</v>
      </c>
    </row>
    <row r="565" spans="1:19">
      <c r="A565" s="9">
        <v>2026</v>
      </c>
      <c r="B565" s="19">
        <v>3</v>
      </c>
      <c r="C565" s="3" t="s">
        <v>18</v>
      </c>
      <c r="D565" s="3" t="s">
        <v>15</v>
      </c>
      <c r="E565" s="3" t="s">
        <v>23</v>
      </c>
      <c r="F565" s="3" t="s">
        <v>25</v>
      </c>
      <c r="G565" s="3" t="str">
        <f t="shared" si="24"/>
        <v>027TIFFANY!</v>
      </c>
      <c r="H565" s="3">
        <v>3420</v>
      </c>
      <c r="I565" s="3">
        <v>6027</v>
      </c>
      <c r="J565" s="3">
        <v>6027</v>
      </c>
      <c r="K565" s="3">
        <v>2633.1</v>
      </c>
      <c r="L565" s="3">
        <v>19200</v>
      </c>
      <c r="M565" s="3">
        <v>12</v>
      </c>
      <c r="N565" s="3">
        <v>14.266517857142849</v>
      </c>
      <c r="O565" s="3">
        <v>14.450297619047618</v>
      </c>
      <c r="P565" s="3">
        <v>14.083184523809532</v>
      </c>
      <c r="Q565" s="16">
        <f t="shared" si="25"/>
        <v>1.2988492651247578</v>
      </c>
      <c r="R565" s="10">
        <v>3422.868900473286</v>
      </c>
      <c r="S565" s="11">
        <f t="shared" si="23"/>
        <v>-8.3885978751051921E-4</v>
      </c>
    </row>
    <row r="566" spans="1:19">
      <c r="A566" s="9">
        <v>2026</v>
      </c>
      <c r="B566" s="19">
        <v>4</v>
      </c>
      <c r="C566" s="3" t="s">
        <v>18</v>
      </c>
      <c r="D566" s="3" t="s">
        <v>15</v>
      </c>
      <c r="E566" s="3" t="s">
        <v>23</v>
      </c>
      <c r="F566" s="3" t="s">
        <v>25</v>
      </c>
      <c r="G566" s="3" t="str">
        <f t="shared" si="24"/>
        <v>027TIFFANY!</v>
      </c>
      <c r="H566" s="3">
        <v>8040</v>
      </c>
      <c r="I566" s="3">
        <v>9677</v>
      </c>
      <c r="J566" s="3">
        <v>9677</v>
      </c>
      <c r="K566" s="3">
        <v>2633.1</v>
      </c>
      <c r="L566" s="3">
        <v>19200</v>
      </c>
      <c r="M566" s="3">
        <v>12</v>
      </c>
      <c r="N566" s="3">
        <v>13.962351190476189</v>
      </c>
      <c r="O566" s="3">
        <v>14.126636904761922</v>
      </c>
      <c r="P566" s="3">
        <v>13.802083333333345</v>
      </c>
      <c r="Q566" s="16">
        <f t="shared" si="25"/>
        <v>3.053435114503817</v>
      </c>
      <c r="R566" s="10">
        <v>9109.2445420826261</v>
      </c>
      <c r="S566" s="11">
        <f t="shared" si="23"/>
        <v>-0.1329906146868938</v>
      </c>
    </row>
    <row r="567" spans="1:19">
      <c r="A567" s="9">
        <v>2026</v>
      </c>
      <c r="B567" s="19">
        <v>5</v>
      </c>
      <c r="C567" s="3" t="s">
        <v>18</v>
      </c>
      <c r="D567" s="3" t="s">
        <v>15</v>
      </c>
      <c r="E567" s="3" t="s">
        <v>23</v>
      </c>
      <c r="F567" s="3" t="s">
        <v>25</v>
      </c>
      <c r="G567" s="3" t="str">
        <f t="shared" si="24"/>
        <v>027TIFFANY!</v>
      </c>
      <c r="H567" s="3">
        <v>13200</v>
      </c>
      <c r="I567" s="3">
        <v>12665</v>
      </c>
      <c r="J567" s="3">
        <v>12665</v>
      </c>
      <c r="K567" s="3">
        <v>2633.1</v>
      </c>
      <c r="L567" s="4">
        <v>19200</v>
      </c>
      <c r="M567" s="3">
        <v>12</v>
      </c>
      <c r="N567" s="4">
        <v>13.891220238095249</v>
      </c>
      <c r="O567" s="4">
        <v>14.021428571428576</v>
      </c>
      <c r="P567" s="4">
        <v>13.768154761904773</v>
      </c>
      <c r="Q567" s="16">
        <f t="shared" si="25"/>
        <v>5.0131024267973112</v>
      </c>
      <c r="R567" s="10">
        <v>11434.79011910402</v>
      </c>
      <c r="S567" s="11">
        <f t="shared" si="23"/>
        <v>0.13372802127999847</v>
      </c>
    </row>
    <row r="568" spans="1:19">
      <c r="A568" s="9">
        <v>2026</v>
      </c>
      <c r="B568" s="19">
        <v>6</v>
      </c>
      <c r="C568" s="3" t="s">
        <v>18</v>
      </c>
      <c r="D568" s="3" t="s">
        <v>15</v>
      </c>
      <c r="E568" s="3" t="s">
        <v>23</v>
      </c>
      <c r="F568" s="3" t="s">
        <v>25</v>
      </c>
      <c r="G568" s="3" t="str">
        <f t="shared" si="24"/>
        <v>027TIFFANY!</v>
      </c>
      <c r="H568" s="3">
        <v>6270</v>
      </c>
      <c r="I568" s="3">
        <v>11801</v>
      </c>
      <c r="J568" s="3">
        <v>11801</v>
      </c>
      <c r="K568" s="3">
        <v>2633.1</v>
      </c>
      <c r="L568" s="3">
        <v>19200</v>
      </c>
      <c r="M568" s="3">
        <v>12</v>
      </c>
      <c r="N568" s="4">
        <v>13.608779761904751</v>
      </c>
      <c r="O568" s="4">
        <v>13.751190476190473</v>
      </c>
      <c r="P568" s="4">
        <v>13.467410714285698</v>
      </c>
      <c r="Q568" s="16">
        <f t="shared" si="25"/>
        <v>2.3812236527287229</v>
      </c>
      <c r="R568" s="10">
        <v>6726.4070383954804</v>
      </c>
      <c r="S568" s="11">
        <f t="shared" si="23"/>
        <v>-7.2792191131655568E-2</v>
      </c>
    </row>
    <row r="569" spans="1:19">
      <c r="A569" s="9">
        <v>2026</v>
      </c>
      <c r="B569" s="19">
        <v>7</v>
      </c>
      <c r="C569" s="3" t="s">
        <v>18</v>
      </c>
      <c r="D569" s="3" t="s">
        <v>15</v>
      </c>
      <c r="E569" s="3" t="s">
        <v>23</v>
      </c>
      <c r="F569" s="3" t="s">
        <v>25</v>
      </c>
      <c r="G569" s="3" t="str">
        <f t="shared" si="24"/>
        <v>027TIFFANY!</v>
      </c>
      <c r="H569" s="3">
        <v>7470</v>
      </c>
      <c r="I569" s="3">
        <v>8193</v>
      </c>
      <c r="J569" s="3">
        <v>8193</v>
      </c>
      <c r="K569" s="3">
        <v>2633.1</v>
      </c>
      <c r="L569" s="3">
        <v>19200</v>
      </c>
      <c r="M569" s="3">
        <v>12</v>
      </c>
      <c r="N569" s="3">
        <v>13.648136645962733</v>
      </c>
      <c r="O569" s="3">
        <v>13.84565217391305</v>
      </c>
      <c r="P569" s="3">
        <v>13.459316770186343</v>
      </c>
      <c r="Q569" s="16">
        <f t="shared" si="25"/>
        <v>2.8369602369830238</v>
      </c>
      <c r="R569" s="10">
        <v>8852.5301223108327</v>
      </c>
      <c r="S569" s="11">
        <f t="shared" si="23"/>
        <v>-0.18507766028257466</v>
      </c>
    </row>
    <row r="570" spans="1:19">
      <c r="A570" s="9">
        <v>2026</v>
      </c>
      <c r="B570" s="19">
        <v>8</v>
      </c>
      <c r="C570" s="3" t="s">
        <v>18</v>
      </c>
      <c r="D570" s="3" t="s">
        <v>15</v>
      </c>
      <c r="E570" s="3" t="s">
        <v>23</v>
      </c>
      <c r="F570" s="3" t="s">
        <v>25</v>
      </c>
      <c r="G570" s="3" t="str">
        <f t="shared" si="24"/>
        <v>027TIFFANY!</v>
      </c>
      <c r="H570" s="3">
        <v>5760</v>
      </c>
      <c r="I570" s="3">
        <v>5643</v>
      </c>
      <c r="J570" s="3">
        <v>3591</v>
      </c>
      <c r="K570" s="3">
        <v>2633.1</v>
      </c>
      <c r="L570" s="3">
        <v>19200</v>
      </c>
      <c r="M570" s="3">
        <v>12</v>
      </c>
      <c r="N570" s="3">
        <v>13.817410714285709</v>
      </c>
      <c r="O570" s="3">
        <v>13.988244047619043</v>
      </c>
      <c r="P570" s="3">
        <v>13.654017857142849</v>
      </c>
      <c r="Q570" s="16">
        <f t="shared" si="25"/>
        <v>2.1875356044206451</v>
      </c>
      <c r="R570" s="10">
        <v>6047.3061270882017</v>
      </c>
      <c r="S570" s="11">
        <f t="shared" ref="S570:S584" si="26">+(H570-R570)/H570</f>
        <v>-4.9879535952812797E-2</v>
      </c>
    </row>
    <row r="571" spans="1:19">
      <c r="A571" s="9">
        <v>2026</v>
      </c>
      <c r="B571" s="19">
        <v>9</v>
      </c>
      <c r="C571" s="3" t="s">
        <v>18</v>
      </c>
      <c r="D571" s="3" t="s">
        <v>15</v>
      </c>
      <c r="E571" s="3" t="s">
        <v>23</v>
      </c>
      <c r="F571" s="3" t="s">
        <v>25</v>
      </c>
      <c r="G571" s="3" t="str">
        <f t="shared" si="24"/>
        <v>027TIFFANY!</v>
      </c>
      <c r="H571" s="3">
        <v>2700</v>
      </c>
      <c r="I571" s="3">
        <v>3895</v>
      </c>
      <c r="J571" s="3">
        <v>5330</v>
      </c>
      <c r="K571" s="3">
        <v>2633.1</v>
      </c>
      <c r="L571" s="3">
        <v>19200</v>
      </c>
      <c r="M571" s="3">
        <v>12</v>
      </c>
      <c r="N571" s="3">
        <v>14.133506944444456</v>
      </c>
      <c r="O571" s="3">
        <v>14.297569444444438</v>
      </c>
      <c r="P571" s="3">
        <v>13.967881944444436</v>
      </c>
      <c r="Q571" s="16">
        <f t="shared" si="25"/>
        <v>1.0254073145721774</v>
      </c>
      <c r="R571" s="10">
        <v>2899.1143083973639</v>
      </c>
      <c r="S571" s="11">
        <f t="shared" si="26"/>
        <v>-7.3746040147171801E-2</v>
      </c>
    </row>
    <row r="572" spans="1:19">
      <c r="A572" s="9">
        <v>2026</v>
      </c>
      <c r="B572" s="20">
        <v>10</v>
      </c>
      <c r="C572" s="5" t="s">
        <v>18</v>
      </c>
      <c r="D572" s="5" t="s">
        <v>15</v>
      </c>
      <c r="E572" s="5" t="s">
        <v>23</v>
      </c>
      <c r="F572" s="3" t="s">
        <v>25</v>
      </c>
      <c r="G572" s="3" t="str">
        <f t="shared" si="24"/>
        <v>027TIFFANY!</v>
      </c>
      <c r="H572" s="6">
        <v>6600</v>
      </c>
      <c r="I572" s="6">
        <v>3284</v>
      </c>
      <c r="J572" s="6">
        <v>3924</v>
      </c>
      <c r="K572" s="3">
        <v>2633.1</v>
      </c>
      <c r="L572" s="3">
        <v>19200</v>
      </c>
      <c r="M572" s="3">
        <v>12</v>
      </c>
      <c r="N572" s="3">
        <v>15.017410714285699</v>
      </c>
      <c r="O572" s="3">
        <v>15.20238095238096</v>
      </c>
      <c r="P572" s="3">
        <v>14.836011904761907</v>
      </c>
      <c r="Q572" s="16">
        <f t="shared" si="25"/>
        <v>2.5065512133986556</v>
      </c>
      <c r="R572" s="10">
        <v>6932.2299379133246</v>
      </c>
      <c r="S572" s="11">
        <f t="shared" si="26"/>
        <v>-5.0337869380806761E-2</v>
      </c>
    </row>
    <row r="573" spans="1:19">
      <c r="A573" s="9">
        <v>2026</v>
      </c>
      <c r="B573" s="20">
        <v>11</v>
      </c>
      <c r="C573" s="5" t="s">
        <v>18</v>
      </c>
      <c r="D573" s="5" t="s">
        <v>15</v>
      </c>
      <c r="E573" s="5" t="s">
        <v>23</v>
      </c>
      <c r="F573" s="3" t="s">
        <v>25</v>
      </c>
      <c r="G573" s="3" t="str">
        <f t="shared" si="24"/>
        <v>027TIFFANY!</v>
      </c>
      <c r="H573" s="6">
        <v>4770</v>
      </c>
      <c r="I573" s="6">
        <v>3372</v>
      </c>
      <c r="J573" s="6">
        <v>4036</v>
      </c>
      <c r="K573" s="3">
        <v>2633.1</v>
      </c>
      <c r="L573" s="3">
        <v>19200</v>
      </c>
      <c r="M573" s="3">
        <v>12</v>
      </c>
      <c r="N573" s="3">
        <v>14.47744360902257</v>
      </c>
      <c r="O573" s="3">
        <v>14.635488721804517</v>
      </c>
      <c r="P573" s="3">
        <v>14.324360902255648</v>
      </c>
      <c r="Q573" s="16">
        <f t="shared" si="25"/>
        <v>1.8115529224108466</v>
      </c>
      <c r="R573" s="10">
        <v>5121.347198430979</v>
      </c>
      <c r="S573" s="11">
        <f t="shared" si="26"/>
        <v>-7.3657693591400217E-2</v>
      </c>
    </row>
    <row r="574" spans="1:19">
      <c r="A574" s="9">
        <v>2026</v>
      </c>
      <c r="B574" s="20">
        <v>12</v>
      </c>
      <c r="C574" s="5" t="s">
        <v>18</v>
      </c>
      <c r="D574" s="5" t="s">
        <v>15</v>
      </c>
      <c r="E574" s="5" t="s">
        <v>23</v>
      </c>
      <c r="F574" s="3" t="s">
        <v>25</v>
      </c>
      <c r="G574" s="3" t="str">
        <f t="shared" si="24"/>
        <v>027TIFFANY!</v>
      </c>
      <c r="H574" s="6">
        <v>3420</v>
      </c>
      <c r="I574" s="6">
        <v>4155</v>
      </c>
      <c r="J574" s="6">
        <v>4155</v>
      </c>
      <c r="K574" s="3">
        <v>2633.1</v>
      </c>
      <c r="L574" s="3">
        <v>19200</v>
      </c>
      <c r="M574" s="3">
        <v>12</v>
      </c>
      <c r="N574" s="3">
        <v>13.68377976190477</v>
      </c>
      <c r="O574" s="3">
        <v>13.892410714285713</v>
      </c>
      <c r="P574" s="3">
        <v>13.471130952380953</v>
      </c>
      <c r="Q574" s="16">
        <f t="shared" si="25"/>
        <v>1.2988492651247578</v>
      </c>
      <c r="R574" s="10">
        <v>3422.868900473286</v>
      </c>
      <c r="S574" s="11">
        <f t="shared" si="26"/>
        <v>-8.3885978751051921E-4</v>
      </c>
    </row>
    <row r="575" spans="1:19">
      <c r="A575" s="9">
        <v>2026</v>
      </c>
      <c r="B575" s="20">
        <v>13</v>
      </c>
      <c r="C575" s="5" t="s">
        <v>18</v>
      </c>
      <c r="D575" s="5" t="s">
        <v>15</v>
      </c>
      <c r="E575" s="5" t="s">
        <v>23</v>
      </c>
      <c r="F575" s="3" t="s">
        <v>25</v>
      </c>
      <c r="G575" s="3" t="str">
        <f t="shared" si="24"/>
        <v>027TIFFANY!</v>
      </c>
      <c r="H575" s="6">
        <v>5790</v>
      </c>
      <c r="I575" s="6">
        <v>4551</v>
      </c>
      <c r="J575" s="6">
        <v>4551</v>
      </c>
      <c r="K575" s="3">
        <v>2633.1</v>
      </c>
      <c r="L575" s="3">
        <v>19200</v>
      </c>
      <c r="M575" s="3">
        <v>12</v>
      </c>
      <c r="N575" s="3">
        <v>14.021726190476178</v>
      </c>
      <c r="O575" s="3">
        <v>14.186755952380958</v>
      </c>
      <c r="P575" s="3">
        <v>13.861755952380944</v>
      </c>
      <c r="Q575" s="16">
        <f t="shared" si="25"/>
        <v>2.1989290190270023</v>
      </c>
      <c r="R575" s="10">
        <v>6047.3061270882017</v>
      </c>
      <c r="S575" s="11">
        <f t="shared" si="26"/>
        <v>-4.4439745611088377E-2</v>
      </c>
    </row>
    <row r="576" spans="1:19">
      <c r="A576" s="9">
        <v>2026</v>
      </c>
      <c r="B576" s="20">
        <v>14</v>
      </c>
      <c r="C576" s="5" t="s">
        <v>18</v>
      </c>
      <c r="D576" s="5" t="s">
        <v>15</v>
      </c>
      <c r="E576" s="5" t="s">
        <v>23</v>
      </c>
      <c r="F576" s="3" t="s">
        <v>25</v>
      </c>
      <c r="G576" s="3" t="str">
        <f t="shared" si="24"/>
        <v>027TIFFANY!</v>
      </c>
      <c r="H576" s="6">
        <v>4350</v>
      </c>
      <c r="I576" s="6">
        <v>4503</v>
      </c>
      <c r="J576" s="6">
        <v>4180</v>
      </c>
      <c r="K576" s="3">
        <v>2633.0999999999995</v>
      </c>
      <c r="L576" s="3">
        <v>19200</v>
      </c>
      <c r="M576" s="3">
        <v>12</v>
      </c>
      <c r="N576" s="3">
        <v>13.443225806451611</v>
      </c>
      <c r="O576" s="3">
        <v>13.619354838709683</v>
      </c>
      <c r="P576" s="3">
        <v>13.269032258064518</v>
      </c>
      <c r="Q576" s="16">
        <f t="shared" si="25"/>
        <v>1.6520451179218416</v>
      </c>
      <c r="R576" s="10">
        <v>4569.7723895898716</v>
      </c>
      <c r="S576" s="11">
        <f t="shared" si="26"/>
        <v>-5.0522388411464746E-2</v>
      </c>
    </row>
    <row r="577" spans="1:20">
      <c r="A577" s="9">
        <v>2026</v>
      </c>
      <c r="B577" s="20">
        <v>15</v>
      </c>
      <c r="C577" s="5" t="s">
        <v>18</v>
      </c>
      <c r="D577" s="5" t="s">
        <v>15</v>
      </c>
      <c r="E577" s="5" t="s">
        <v>23</v>
      </c>
      <c r="F577" s="3" t="s">
        <v>25</v>
      </c>
      <c r="G577" s="3" t="str">
        <f t="shared" si="24"/>
        <v>027TIFFANY!</v>
      </c>
      <c r="H577" s="6">
        <v>5610</v>
      </c>
      <c r="I577" s="6">
        <v>4484</v>
      </c>
      <c r="J577" s="6">
        <v>4953</v>
      </c>
      <c r="K577" s="3">
        <v>2633.0999999999995</v>
      </c>
      <c r="L577" s="3">
        <v>19200</v>
      </c>
      <c r="M577" s="3">
        <v>12</v>
      </c>
      <c r="N577" s="3">
        <v>14.582738095238117</v>
      </c>
      <c r="O577" s="3">
        <v>14.794791666666661</v>
      </c>
      <c r="P577" s="3">
        <v>14.374404761904756</v>
      </c>
      <c r="Q577" s="16">
        <f t="shared" si="25"/>
        <v>2.1305685313888576</v>
      </c>
      <c r="R577" s="10">
        <v>5841.1728492682078</v>
      </c>
      <c r="S577" s="11">
        <f t="shared" si="26"/>
        <v>-4.1207281509484446E-2</v>
      </c>
    </row>
    <row r="578" spans="1:20">
      <c r="A578" s="9">
        <v>2026</v>
      </c>
      <c r="B578" s="20">
        <v>16</v>
      </c>
      <c r="C578" s="5" t="s">
        <v>18</v>
      </c>
      <c r="D578" s="5" t="s">
        <v>15</v>
      </c>
      <c r="E578" s="5" t="s">
        <v>23</v>
      </c>
      <c r="F578" s="3" t="s">
        <v>25</v>
      </c>
      <c r="G578" s="3" t="str">
        <f t="shared" si="24"/>
        <v>027TIFFANY!</v>
      </c>
      <c r="H578" s="6">
        <v>9330</v>
      </c>
      <c r="I578" s="6">
        <v>7816</v>
      </c>
      <c r="J578" s="6">
        <v>7816</v>
      </c>
      <c r="K578" s="3">
        <v>2633.0999999999995</v>
      </c>
      <c r="L578" s="3">
        <v>19200</v>
      </c>
      <c r="M578" s="3">
        <v>12</v>
      </c>
      <c r="N578" s="3">
        <v>14.597473997028219</v>
      </c>
      <c r="O578" s="3">
        <v>14.758098068350654</v>
      </c>
      <c r="P578" s="3">
        <v>14.440416047548274</v>
      </c>
      <c r="Q578" s="16">
        <f t="shared" si="25"/>
        <v>3.5433519425771913</v>
      </c>
      <c r="R578" s="10">
        <v>4707.631709700092</v>
      </c>
      <c r="S578" s="13">
        <f t="shared" si="26"/>
        <v>0.49543068491960429</v>
      </c>
      <c r="T578" s="17">
        <v>0.38</v>
      </c>
    </row>
    <row r="579" spans="1:20">
      <c r="A579" s="9">
        <v>2026</v>
      </c>
      <c r="B579" s="20">
        <v>17</v>
      </c>
      <c r="C579" s="5" t="s">
        <v>18</v>
      </c>
      <c r="D579" s="5" t="s">
        <v>15</v>
      </c>
      <c r="E579" s="5" t="s">
        <v>23</v>
      </c>
      <c r="F579" s="3" t="s">
        <v>25</v>
      </c>
      <c r="G579" s="3" t="str">
        <f t="shared" si="24"/>
        <v>027TIFFANY!</v>
      </c>
      <c r="H579" s="6">
        <v>11760</v>
      </c>
      <c r="I579" s="6">
        <v>11853</v>
      </c>
      <c r="J579" s="6">
        <v>11853</v>
      </c>
      <c r="K579" s="3">
        <v>2633.0999999999995</v>
      </c>
      <c r="L579" s="3">
        <v>19200</v>
      </c>
      <c r="M579" s="3">
        <v>12</v>
      </c>
      <c r="N579" s="3">
        <v>13.77291666666668</v>
      </c>
      <c r="O579" s="3">
        <v>13.952678571428605</v>
      </c>
      <c r="P579" s="3">
        <v>13.599702380952387</v>
      </c>
      <c r="Q579" s="16">
        <f t="shared" si="25"/>
        <v>4.4662185256921507</v>
      </c>
      <c r="R579" s="10">
        <v>9495.4908747042045</v>
      </c>
      <c r="S579" s="13">
        <f t="shared" si="26"/>
        <v>0.19256029977005062</v>
      </c>
      <c r="T579" s="17">
        <v>0.05</v>
      </c>
    </row>
    <row r="580" spans="1:20">
      <c r="A580" s="9">
        <v>2026</v>
      </c>
      <c r="B580" s="20">
        <v>18</v>
      </c>
      <c r="C580" s="5" t="s">
        <v>18</v>
      </c>
      <c r="D580" s="5" t="s">
        <v>15</v>
      </c>
      <c r="E580" s="5" t="s">
        <v>23</v>
      </c>
      <c r="F580" s="3" t="s">
        <v>25</v>
      </c>
      <c r="G580" s="3" t="str">
        <f t="shared" si="24"/>
        <v>027TIFFANY!</v>
      </c>
      <c r="H580" s="6">
        <v>7860</v>
      </c>
      <c r="I580" s="6">
        <v>9589</v>
      </c>
      <c r="J580" s="6">
        <v>11039</v>
      </c>
      <c r="K580" s="3">
        <v>2633.1</v>
      </c>
      <c r="L580" s="3">
        <v>19200</v>
      </c>
      <c r="M580" s="3">
        <v>12</v>
      </c>
      <c r="N580" s="3">
        <v>13.828017883755605</v>
      </c>
      <c r="O580" s="3">
        <v>14.020864381520106</v>
      </c>
      <c r="P580" s="3">
        <v>13.638748137108793</v>
      </c>
      <c r="Q580" s="16">
        <f t="shared" si="25"/>
        <v>2.9850746268656718</v>
      </c>
      <c r="R580" s="10">
        <v>11434.79011910402</v>
      </c>
      <c r="S580" s="13">
        <f t="shared" si="26"/>
        <v>-0.45480790319389569</v>
      </c>
      <c r="T580" s="17">
        <v>0.92</v>
      </c>
    </row>
    <row r="581" spans="1:20">
      <c r="A581" s="9">
        <v>2026</v>
      </c>
      <c r="B581" s="19">
        <v>19</v>
      </c>
      <c r="C581" s="3" t="s">
        <v>18</v>
      </c>
      <c r="D581" s="3" t="s">
        <v>15</v>
      </c>
      <c r="E581" s="3" t="s">
        <v>23</v>
      </c>
      <c r="F581" s="3" t="s">
        <v>25</v>
      </c>
      <c r="G581" s="3" t="str">
        <f t="shared" si="24"/>
        <v>027TIFFANY!</v>
      </c>
      <c r="H581" s="3">
        <v>7950</v>
      </c>
      <c r="I581" s="3">
        <v>7461</v>
      </c>
      <c r="J581" s="3">
        <v>6783</v>
      </c>
      <c r="K581" s="3">
        <v>2633.1</v>
      </c>
      <c r="L581" s="3">
        <v>19200</v>
      </c>
      <c r="M581" s="3">
        <v>12</v>
      </c>
      <c r="N581" s="3">
        <v>13.801155115511554</v>
      </c>
      <c r="O581" s="3">
        <v>14.032838283828401</v>
      </c>
      <c r="P581" s="3">
        <v>13.571947194719476</v>
      </c>
      <c r="Q581" s="16">
        <f t="shared" si="25"/>
        <v>3.0192548706847444</v>
      </c>
      <c r="R581" s="24">
        <v>6176</v>
      </c>
      <c r="S581" s="13">
        <f t="shared" si="26"/>
        <v>0.22314465408805031</v>
      </c>
    </row>
    <row r="582" spans="1:20">
      <c r="A582" s="9">
        <v>2026</v>
      </c>
      <c r="B582" s="19">
        <v>20</v>
      </c>
      <c r="C582" s="3" t="s">
        <v>18</v>
      </c>
      <c r="D582" s="3" t="s">
        <v>15</v>
      </c>
      <c r="E582" s="3" t="s">
        <v>23</v>
      </c>
      <c r="F582" s="3" t="s">
        <v>25</v>
      </c>
      <c r="G582" s="3" t="str">
        <f t="shared" si="24"/>
        <v>027TIFFANY!</v>
      </c>
      <c r="H582" s="3">
        <v>5520</v>
      </c>
      <c r="I582" s="3">
        <v>4371</v>
      </c>
      <c r="J582" s="3">
        <v>7014</v>
      </c>
      <c r="K582" s="3">
        <v>2633.1</v>
      </c>
      <c r="L582" s="3">
        <v>19200</v>
      </c>
      <c r="M582" s="3">
        <v>12</v>
      </c>
      <c r="N582" s="3">
        <v>14.886996336996331</v>
      </c>
      <c r="O582" s="3">
        <v>15.080952380952363</v>
      </c>
      <c r="P582" s="3">
        <v>14.693406593406582</v>
      </c>
      <c r="Q582" s="16">
        <f t="shared" si="25"/>
        <v>2.0963882875697846</v>
      </c>
      <c r="R582" s="24">
        <v>5983</v>
      </c>
      <c r="S582" s="11">
        <f t="shared" si="26"/>
        <v>-8.3876811594202905E-2</v>
      </c>
    </row>
    <row r="583" spans="1:20">
      <c r="A583" s="9">
        <v>2026</v>
      </c>
      <c r="B583" s="19">
        <v>21</v>
      </c>
      <c r="C583" s="3" t="s">
        <v>18</v>
      </c>
      <c r="D583" s="3" t="s">
        <v>15</v>
      </c>
      <c r="E583" s="3" t="s">
        <v>23</v>
      </c>
      <c r="F583" s="3" t="s">
        <v>25</v>
      </c>
      <c r="G583" s="3" t="str">
        <f t="shared" si="24"/>
        <v>027TIFFANY!</v>
      </c>
      <c r="H583" s="3">
        <v>4770</v>
      </c>
      <c r="I583" s="3">
        <v>4623</v>
      </c>
      <c r="J583" s="3">
        <v>4280</v>
      </c>
      <c r="K583" s="3">
        <v>2633.1</v>
      </c>
      <c r="L583" s="3">
        <v>19200</v>
      </c>
      <c r="M583" s="3">
        <v>12</v>
      </c>
      <c r="N583" s="3">
        <v>14.097372742200333</v>
      </c>
      <c r="O583" s="3">
        <v>14.333333333333339</v>
      </c>
      <c r="P583" s="3">
        <v>13.866009852216745</v>
      </c>
      <c r="Q583" s="16">
        <f t="shared" si="25"/>
        <v>1.8115529224108466</v>
      </c>
      <c r="R583" s="24">
        <v>5344</v>
      </c>
      <c r="S583" s="11">
        <f t="shared" si="26"/>
        <v>-0.12033542976939203</v>
      </c>
    </row>
    <row r="584" spans="1:20">
      <c r="A584" s="9">
        <v>2026</v>
      </c>
      <c r="B584" s="19">
        <v>22</v>
      </c>
      <c r="C584" s="3" t="s">
        <v>18</v>
      </c>
      <c r="D584" s="3" t="s">
        <v>15</v>
      </c>
      <c r="E584" s="3" t="s">
        <v>23</v>
      </c>
      <c r="F584" s="3" t="s">
        <v>25</v>
      </c>
      <c r="G584" s="3" t="str">
        <f t="shared" si="24"/>
        <v>027TIFFANY!</v>
      </c>
      <c r="H584" s="3">
        <v>4260</v>
      </c>
      <c r="I584" s="3">
        <v>4446</v>
      </c>
      <c r="J584" s="3">
        <v>4523</v>
      </c>
      <c r="K584" s="3">
        <v>2633.1</v>
      </c>
      <c r="L584" s="3">
        <v>19200</v>
      </c>
      <c r="M584" s="3">
        <v>12</v>
      </c>
      <c r="N584" s="3">
        <v>14.862558502340111</v>
      </c>
      <c r="O584" s="3">
        <v>15.090171606864288</v>
      </c>
      <c r="P584" s="3">
        <v>14.637597503900155</v>
      </c>
      <c r="Q584" s="16">
        <f t="shared" si="25"/>
        <v>1.6178648741027686</v>
      </c>
      <c r="R584" s="24">
        <v>4600</v>
      </c>
      <c r="S584" s="11">
        <f t="shared" si="26"/>
        <v>-7.9812206572769953E-2</v>
      </c>
    </row>
  </sheetData>
  <autoFilter ref="A1:S584">
    <filterColumn colId="5">
      <filters>
        <filter val="TIFFANY!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2026-05-20T23:57:43Z</dcterms:modified>
</cp:coreProperties>
</file>