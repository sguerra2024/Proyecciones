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-15" yWindow="-15" windowWidth="10260" windowHeight="7365"/>
  </bookViews>
  <sheets>
    <sheet name="Astroflores" sheetId="1" r:id="rId1"/>
  </sheets>
  <externalReferences>
    <externalReference r:id="rId2"/>
  </externalReferences>
  <definedNames>
    <definedName name="_xlnm._FilterDatabase" localSheetId="0" hidden="1">Astroflores!$A$1:$K$110</definedName>
    <definedName name="_xlnm.Print_Titles" localSheetId="0">Astroflores!#REF!,Astroflores!#REF!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L2"/>
  <c r="G110" l="1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3" l="1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2"/>
</calcChain>
</file>

<file path=xl/sharedStrings.xml><?xml version="1.0" encoding="utf-8"?>
<sst xmlns="http://schemas.openxmlformats.org/spreadsheetml/2006/main" count="449" uniqueCount="114">
  <si>
    <t>Anio</t>
  </si>
  <si>
    <t>Semana</t>
  </si>
  <si>
    <t>Producto</t>
  </si>
  <si>
    <t>Finca</t>
  </si>
  <si>
    <t>Bloque</t>
  </si>
  <si>
    <t>Variedad</t>
  </si>
  <si>
    <t>Plantas</t>
  </si>
  <si>
    <t>SPRAY</t>
  </si>
  <si>
    <t>ASTROFLORES</t>
  </si>
  <si>
    <t>026</t>
  </si>
  <si>
    <t>STANDARD</t>
  </si>
  <si>
    <t>025</t>
  </si>
  <si>
    <t>PINK MONDIAL</t>
  </si>
  <si>
    <t>LOLA</t>
  </si>
  <si>
    <t>PALOMA</t>
  </si>
  <si>
    <t>027</t>
  </si>
  <si>
    <t>SATISFACTION</t>
  </si>
  <si>
    <t>028</t>
  </si>
  <si>
    <t>COTOPAXI</t>
  </si>
  <si>
    <t>DEEP PURPLE</t>
  </si>
  <si>
    <t>TIFFANY</t>
  </si>
  <si>
    <t>Tallos/m2</t>
  </si>
  <si>
    <t>Produccion</t>
  </si>
  <si>
    <t>m2Variedad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</si>
  <si>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</si>
  <si>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</si>
  <si>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</si>
  <si>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</si>
  <si>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</si>
  <si>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</si>
  <si>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</si>
  <si>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</si>
  <si>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</si>
  <si>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</si>
  <si>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</si>
  <si>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</si>
  <si>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</si>
  <si>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</si>
  <si>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</si>
  <si>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</si>
  <si>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</si>
  <si>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</si>
  <si>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</si>
  <si>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</si>
  <si>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</si>
  <si>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</si>
  <si>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</si>
  <si>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</si>
  <si>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</si>
  <si>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</si>
  <si>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</si>
  <si>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</si>
  <si>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</si>
  <si>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</si>
  <si>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</si>
  <si>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</si>
  <si>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</si>
  <si>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030</t>
  </si>
  <si>
    <t>031</t>
  </si>
  <si>
    <t>82989</t>
  </si>
  <si>
    <t>VELVET BLOSSOMS</t>
  </si>
  <si>
    <t>032</t>
  </si>
  <si>
    <t>033</t>
  </si>
  <si>
    <t>CREAMY FOLIES</t>
  </si>
  <si>
    <t>001</t>
  </si>
  <si>
    <t>BELIEVE IN PINK</t>
  </si>
  <si>
    <t>EXPLORER</t>
  </si>
  <si>
    <t>GRACE KELLY</t>
  </si>
  <si>
    <t>LIGHT HOUSE</t>
  </si>
  <si>
    <t>LUMIA</t>
  </si>
  <si>
    <t>MOMENTUM</t>
  </si>
  <si>
    <t>SUMMER ROMANCE</t>
  </si>
  <si>
    <t>SWEETNESS</t>
  </si>
  <si>
    <t>003</t>
  </si>
  <si>
    <t>CABARET</t>
  </si>
  <si>
    <t>JOCKER</t>
  </si>
  <si>
    <t>QUICKSAND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</si>
  <si>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</si>
  <si>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</si>
  <si>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</si>
  <si>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</si>
  <si>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</si>
  <si>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</si>
  <si>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</si>
  <si>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</si>
  <si>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</si>
  <si>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</si>
  <si>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</si>
  <si>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</si>
  <si>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</si>
  <si>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</si>
  <si>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</si>
  <si>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</si>
  <si>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</si>
  <si>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</si>
  <si>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</si>
  <si>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</si>
  <si>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</si>
  <si>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</si>
  <si>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</si>
  <si>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</si>
  <si>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</si>
  <si>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</si>
  <si>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</si>
  <si>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</si>
  <si>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</si>
  <si>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</si>
  <si>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</si>
  <si>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029</t>
  </si>
  <si>
    <t>PINK FLOYD</t>
  </si>
  <si>
    <t>PISTACHIO KISS</t>
  </si>
  <si>
    <t>Bloque&amp;Varid</t>
  </si>
  <si>
    <t>Proyeccion_Modelo</t>
  </si>
  <si>
    <t>%dif</t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</si>
</sst>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64" formatCode="_ * #,##0_ ;_ * \-#,##0_ ;_ * &quot;-&quot;??_ ;_ @_ "/>
    <numFmt numFmtId="165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2" fillId="0" borderId="1" xfId="1" applyNumberFormat="1" applyFont="1" applyBorder="1"/>
    <xf numFmtId="164" fontId="0" fillId="0" borderId="0" xfId="1" applyNumberFormat="1" applyFont="1"/>
    <xf numFmtId="164" fontId="2" fillId="0" borderId="1" xfId="33" applyNumberFormat="1" applyFont="1" applyBorder="1"/>
    <xf numFmtId="0" fontId="2" fillId="0" borderId="2" xfId="1" applyNumberFormat="1" applyFont="1" applyBorder="1"/>
    <xf numFmtId="43" fontId="0" fillId="0" borderId="0" xfId="1" applyFont="1"/>
    <xf numFmtId="43" fontId="0" fillId="0" borderId="0" xfId="1" applyNumberFormat="1" applyFont="1"/>
    <xf numFmtId="164" fontId="0" fillId="0" borderId="0" xfId="1" applyNumberFormat="1" applyFont="1" applyAlignment="1">
      <alignment horizontal="center"/>
    </xf>
  </cellXfs>
  <cellStyles count="34">
    <cellStyle name="Millares" xfId="1" builtinId="3"/>
    <cellStyle name="Millares 2" xfId="4"/>
    <cellStyle name="Millares 3" xfId="18"/>
    <cellStyle name="Millares 3 2" xfId="23"/>
    <cellStyle name="Millares 3 2 2" xfId="30"/>
    <cellStyle name="Millares 3 3" xfId="31"/>
    <cellStyle name="Millares 3 4" xfId="28"/>
    <cellStyle name="Millares 4" xfId="33"/>
    <cellStyle name="Millares 5" xfId="10"/>
    <cellStyle name="Normal" xfId="0" builtinId="0"/>
    <cellStyle name="Normal 10" xfId="25"/>
    <cellStyle name="Normal 11" xfId="32"/>
    <cellStyle name="Normal 12" xfId="2"/>
    <cellStyle name="Normal 2" xfId="3"/>
    <cellStyle name="Normal 3" xfId="5"/>
    <cellStyle name="Normal 3 2" xfId="6"/>
    <cellStyle name="Normal 4" xfId="7"/>
    <cellStyle name="Normal 4 2" xfId="15"/>
    <cellStyle name="Normal 4 3" xfId="21"/>
    <cellStyle name="Normal 4 4" xfId="26"/>
    <cellStyle name="Normal 5" xfId="9"/>
    <cellStyle name="Normal 5 2" xfId="17"/>
    <cellStyle name="Normal 6" xfId="11"/>
    <cellStyle name="Normal 6 2" xfId="19"/>
    <cellStyle name="Normal 6 3" xfId="24"/>
    <cellStyle name="Normal 6 4" xfId="29"/>
    <cellStyle name="Normal 7" xfId="14"/>
    <cellStyle name="Normal 8" xfId="13"/>
    <cellStyle name="Normal 9" xfId="20"/>
    <cellStyle name="Porcentaje 2" xfId="8"/>
    <cellStyle name="Porcentaje 2 2" xfId="16"/>
    <cellStyle name="Porcentaje 2 3" xfId="22"/>
    <cellStyle name="Porcentaje 2 4" xfId="27"/>
    <cellStyle name="Porcentaje 3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yecto_todas_variedades%20(11)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stimado_modelo"/>
    </sheetNames>
    <sheetDataSet>
      <sheetData sheetId="0">
        <row r="2">
          <cell r="G2" t="str">
            <v>002SOMERSET</v>
          </cell>
          <cell r="H2">
            <v>8311</v>
          </cell>
        </row>
        <row r="3">
          <cell r="G3" t="str">
            <v>004BELLINA</v>
          </cell>
          <cell r="H3">
            <v>1367</v>
          </cell>
        </row>
        <row r="4">
          <cell r="G4" t="str">
            <v>005ELBA</v>
          </cell>
          <cell r="H4">
            <v>5232</v>
          </cell>
        </row>
        <row r="5">
          <cell r="G5" t="str">
            <v>005HOT BUBBLES</v>
          </cell>
          <cell r="H5">
            <v>976</v>
          </cell>
        </row>
        <row r="6">
          <cell r="G6" t="str">
            <v>005SUSPIRO</v>
          </cell>
          <cell r="H6">
            <v>3313</v>
          </cell>
        </row>
        <row r="7">
          <cell r="G7" t="str">
            <v>007SNOW BUBBLES</v>
          </cell>
          <cell r="H7">
            <v>585</v>
          </cell>
        </row>
        <row r="8">
          <cell r="G8" t="str">
            <v>009HOT BUBBLES</v>
          </cell>
          <cell r="H8">
            <v>6869</v>
          </cell>
        </row>
        <row r="9">
          <cell r="G9" t="str">
            <v>014FRUITY BUBBLES</v>
          </cell>
          <cell r="H9">
            <v>2318</v>
          </cell>
        </row>
        <row r="10">
          <cell r="G10" t="str">
            <v>015FELLINI</v>
          </cell>
          <cell r="H10">
            <v>4187</v>
          </cell>
        </row>
        <row r="11">
          <cell r="G11" t="str">
            <v>016GOOD PEACH</v>
          </cell>
          <cell r="H11">
            <v>2583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1525</v>
          </cell>
        </row>
        <row r="14">
          <cell r="G14" t="str">
            <v>018COSMO</v>
          </cell>
          <cell r="H14">
            <v>3275</v>
          </cell>
        </row>
        <row r="15">
          <cell r="G15" t="str">
            <v>018RUBICON</v>
          </cell>
          <cell r="H15">
            <v>4130</v>
          </cell>
        </row>
        <row r="16">
          <cell r="G16" t="str">
            <v>019BELLINA</v>
          </cell>
          <cell r="H16">
            <v>1611</v>
          </cell>
        </row>
        <row r="17">
          <cell r="G17" t="str">
            <v>020SUMMER DANCE</v>
          </cell>
          <cell r="H17">
            <v>3344</v>
          </cell>
        </row>
        <row r="18">
          <cell r="G18" t="str">
            <v>021ELEGANT ROSEVER</v>
          </cell>
          <cell r="H18">
            <v>587</v>
          </cell>
        </row>
        <row r="19">
          <cell r="G19" t="str">
            <v>021FLAME CLUB</v>
          </cell>
          <cell r="H19">
            <v>1565</v>
          </cell>
        </row>
        <row r="20">
          <cell r="G20" t="str">
            <v>021KELLY</v>
          </cell>
          <cell r="H20">
            <v>587</v>
          </cell>
        </row>
        <row r="21">
          <cell r="G21" t="str">
            <v>021LEILA</v>
          </cell>
          <cell r="H21">
            <v>3098</v>
          </cell>
        </row>
        <row r="22">
          <cell r="G22" t="str">
            <v>021SNOW BUBBLES</v>
          </cell>
          <cell r="H22">
            <v>1435</v>
          </cell>
        </row>
        <row r="23">
          <cell r="G23" t="str">
            <v>022FRUITY BUBBLES</v>
          </cell>
          <cell r="H23">
            <v>5932</v>
          </cell>
        </row>
        <row r="24">
          <cell r="G24" t="str">
            <v>022GOOD PEACH</v>
          </cell>
          <cell r="H24">
            <v>1776</v>
          </cell>
        </row>
        <row r="25">
          <cell r="G25" t="str">
            <v>022MIRABEL</v>
          </cell>
          <cell r="H25">
            <v>1515</v>
          </cell>
        </row>
        <row r="26">
          <cell r="G26" t="str">
            <v>030MIRABEL</v>
          </cell>
          <cell r="H26">
            <v>3026</v>
          </cell>
        </row>
        <row r="27">
          <cell r="G27" t="str">
            <v>030SOMERSET</v>
          </cell>
          <cell r="H27">
            <v>2083</v>
          </cell>
        </row>
        <row r="28">
          <cell r="G28" t="str">
            <v>03182989</v>
          </cell>
          <cell r="H28">
            <v>894</v>
          </cell>
        </row>
        <row r="29">
          <cell r="G29" t="str">
            <v>031RUBICON</v>
          </cell>
          <cell r="H29">
            <v>2189</v>
          </cell>
        </row>
        <row r="30">
          <cell r="G30" t="str">
            <v>031SOMERSET</v>
          </cell>
          <cell r="H30">
            <v>961</v>
          </cell>
        </row>
        <row r="31">
          <cell r="G31" t="str">
            <v>031VELVET BLOSSOMS</v>
          </cell>
          <cell r="H31">
            <v>310</v>
          </cell>
        </row>
        <row r="32">
          <cell r="G32" t="str">
            <v>032ELBA</v>
          </cell>
          <cell r="H32">
            <v>1949</v>
          </cell>
        </row>
        <row r="33">
          <cell r="G33" t="str">
            <v>032MIRABEL</v>
          </cell>
          <cell r="H33">
            <v>1621</v>
          </cell>
        </row>
        <row r="34">
          <cell r="G34" t="str">
            <v>033CREAMY FOLIES</v>
          </cell>
          <cell r="H34">
            <v>733</v>
          </cell>
        </row>
        <row r="35">
          <cell r="G35" t="str">
            <v>033HOT BUBBLES</v>
          </cell>
          <cell r="H35">
            <v>2984</v>
          </cell>
        </row>
        <row r="36">
          <cell r="G36" t="str">
            <v>001BELIEVE IN PINK</v>
          </cell>
          <cell r="H36">
            <v>1420</v>
          </cell>
        </row>
        <row r="37">
          <cell r="G37" t="str">
            <v>001EXPLORER</v>
          </cell>
          <cell r="H37">
            <v>3827</v>
          </cell>
        </row>
        <row r="38">
          <cell r="G38" t="str">
            <v>001GRACE KELLY</v>
          </cell>
          <cell r="H38">
            <v>1394</v>
          </cell>
        </row>
        <row r="39">
          <cell r="G39" t="str">
            <v>001IDOLE</v>
          </cell>
          <cell r="H39">
            <v>1648</v>
          </cell>
        </row>
        <row r="40">
          <cell r="G40" t="str">
            <v>001LIGHT HOUSE</v>
          </cell>
          <cell r="H40">
            <v>1939</v>
          </cell>
        </row>
        <row r="41">
          <cell r="G41" t="str">
            <v>001LUMIA</v>
          </cell>
          <cell r="H41">
            <v>1857</v>
          </cell>
        </row>
        <row r="42">
          <cell r="G42" t="str">
            <v>001MOMENTUM</v>
          </cell>
          <cell r="H42">
            <v>2801</v>
          </cell>
        </row>
        <row r="43">
          <cell r="G43" t="str">
            <v>002SWEETNESS</v>
          </cell>
          <cell r="H43">
            <v>5440</v>
          </cell>
        </row>
        <row r="44">
          <cell r="G44" t="str">
            <v>003CABARET</v>
          </cell>
          <cell r="H44">
            <v>6126</v>
          </cell>
        </row>
        <row r="45">
          <cell r="G45" t="str">
            <v>003DEEP PURPLE</v>
          </cell>
          <cell r="H45">
            <v>14389</v>
          </cell>
        </row>
        <row r="46">
          <cell r="G46" t="str">
            <v>003EXPLORER</v>
          </cell>
          <cell r="H46">
            <v>1885</v>
          </cell>
        </row>
        <row r="47">
          <cell r="G47" t="str">
            <v>003JOCKER</v>
          </cell>
          <cell r="H47">
            <v>723</v>
          </cell>
        </row>
        <row r="48">
          <cell r="G48" t="str">
            <v>003QUICKSAND</v>
          </cell>
          <cell r="H48">
            <v>1584</v>
          </cell>
        </row>
        <row r="49">
          <cell r="G49" t="str">
            <v>004COTOPAXI</v>
          </cell>
          <cell r="H49">
            <v>847</v>
          </cell>
        </row>
        <row r="50">
          <cell r="G50" t="str">
            <v>004DEEP PURPLE</v>
          </cell>
          <cell r="H50">
            <v>19063</v>
          </cell>
        </row>
        <row r="51">
          <cell r="G51" t="str">
            <v>004HOT EXPLORER</v>
          </cell>
          <cell r="H51">
            <v>2297</v>
          </cell>
        </row>
        <row r="52">
          <cell r="G52" t="str">
            <v>004HOT MERENGUE</v>
          </cell>
          <cell r="H52">
            <v>3578</v>
          </cell>
        </row>
        <row r="53">
          <cell r="G53" t="str">
            <v>004SWEETNESS</v>
          </cell>
          <cell r="H53">
            <v>508</v>
          </cell>
        </row>
        <row r="54">
          <cell r="G54" t="str">
            <v>005EXPLORER</v>
          </cell>
          <cell r="H54">
            <v>1153</v>
          </cell>
        </row>
        <row r="55">
          <cell r="G55" t="str">
            <v>005GOLDFINCH</v>
          </cell>
          <cell r="H55">
            <v>1217</v>
          </cell>
        </row>
        <row r="56">
          <cell r="G56" t="str">
            <v>005JOCKER</v>
          </cell>
          <cell r="H56">
            <v>1528</v>
          </cell>
        </row>
        <row r="57">
          <cell r="G57" t="str">
            <v>005VENDELA</v>
          </cell>
          <cell r="H57">
            <v>1427</v>
          </cell>
        </row>
        <row r="58">
          <cell r="G58" t="str">
            <v>006ATOMIC</v>
          </cell>
          <cell r="H58">
            <v>1789</v>
          </cell>
        </row>
        <row r="59">
          <cell r="G59" t="str">
            <v>006EXPLORER</v>
          </cell>
          <cell r="H59">
            <v>5003</v>
          </cell>
        </row>
        <row r="60">
          <cell r="G60" t="str">
            <v>006MONDIAL</v>
          </cell>
          <cell r="H60">
            <v>5413</v>
          </cell>
        </row>
        <row r="61">
          <cell r="G61" t="str">
            <v>007COTOPAXI</v>
          </cell>
          <cell r="H61">
            <v>6288</v>
          </cell>
        </row>
        <row r="62">
          <cell r="G62" t="str">
            <v>007REDIANT</v>
          </cell>
          <cell r="H62">
            <v>1247</v>
          </cell>
        </row>
        <row r="63">
          <cell r="G63" t="str">
            <v>007VENDELA</v>
          </cell>
          <cell r="H63">
            <v>8635</v>
          </cell>
        </row>
        <row r="64">
          <cell r="G64" t="str">
            <v>008DEEP PURPLE</v>
          </cell>
          <cell r="H64">
            <v>6139</v>
          </cell>
        </row>
        <row r="65">
          <cell r="G65" t="str">
            <v>008FREEDOM</v>
          </cell>
          <cell r="H65">
            <v>5372</v>
          </cell>
        </row>
        <row r="66">
          <cell r="G66" t="str">
            <v>008JOCKER</v>
          </cell>
          <cell r="H66">
            <v>3706</v>
          </cell>
        </row>
        <row r="67">
          <cell r="G67" t="str">
            <v>010COOLDOWN</v>
          </cell>
          <cell r="H67">
            <v>2011</v>
          </cell>
        </row>
        <row r="68">
          <cell r="G68" t="str">
            <v>010VIOLET HILL</v>
          </cell>
          <cell r="H68">
            <v>2073</v>
          </cell>
        </row>
        <row r="69">
          <cell r="G69" t="str">
            <v>011BRIGHTON</v>
          </cell>
          <cell r="H69">
            <v>2103</v>
          </cell>
        </row>
        <row r="70">
          <cell r="G70" t="str">
            <v>011CANDLELIGHT</v>
          </cell>
          <cell r="H70">
            <v>3350</v>
          </cell>
        </row>
        <row r="71">
          <cell r="G71" t="str">
            <v>011CAYENNE</v>
          </cell>
          <cell r="H71">
            <v>1224</v>
          </cell>
        </row>
        <row r="72">
          <cell r="G72" t="str">
            <v>011LUMIA</v>
          </cell>
          <cell r="H72">
            <v>1349</v>
          </cell>
        </row>
        <row r="73">
          <cell r="G73" t="str">
            <v>011STARDUST</v>
          </cell>
          <cell r="H73">
            <v>3542</v>
          </cell>
        </row>
        <row r="74">
          <cell r="G74" t="str">
            <v>012DEEP PURPLE</v>
          </cell>
          <cell r="H74">
            <v>15517</v>
          </cell>
        </row>
        <row r="75">
          <cell r="G75" t="str">
            <v>012LIGHT HOUSE</v>
          </cell>
          <cell r="H75">
            <v>1468</v>
          </cell>
        </row>
        <row r="76">
          <cell r="G76" t="str">
            <v>013COUNTRY BLUES</v>
          </cell>
          <cell r="H76">
            <v>1400</v>
          </cell>
        </row>
        <row r="77">
          <cell r="G77" t="str">
            <v>013LORRAINE</v>
          </cell>
          <cell r="H77">
            <v>3308</v>
          </cell>
        </row>
        <row r="78">
          <cell r="G78" t="str">
            <v>013LUMIA</v>
          </cell>
          <cell r="H78">
            <v>651</v>
          </cell>
        </row>
        <row r="79">
          <cell r="G79" t="str">
            <v>013VENDELA</v>
          </cell>
          <cell r="H79">
            <v>9054</v>
          </cell>
        </row>
        <row r="80">
          <cell r="G80" t="str">
            <v>014STARDUST</v>
          </cell>
          <cell r="H80">
            <v>5382</v>
          </cell>
        </row>
        <row r="81">
          <cell r="G81" t="str">
            <v>015JOCKER</v>
          </cell>
          <cell r="H81">
            <v>3465</v>
          </cell>
        </row>
        <row r="82">
          <cell r="G82" t="str">
            <v>016DREAM IN PEACH</v>
          </cell>
          <cell r="H82">
            <v>1637</v>
          </cell>
        </row>
        <row r="83">
          <cell r="G83" t="str">
            <v>016NINA</v>
          </cell>
          <cell r="H83">
            <v>2458</v>
          </cell>
        </row>
        <row r="84">
          <cell r="G84" t="str">
            <v>017FREEDOM</v>
          </cell>
          <cell r="H84">
            <v>6590</v>
          </cell>
        </row>
        <row r="85">
          <cell r="G85" t="str">
            <v>017GOLDFINCH</v>
          </cell>
          <cell r="H85">
            <v>2982</v>
          </cell>
        </row>
        <row r="86">
          <cell r="G86" t="str">
            <v>018BRIGHTON</v>
          </cell>
          <cell r="H86">
            <v>2083</v>
          </cell>
        </row>
        <row r="87">
          <cell r="G87" t="str">
            <v>019BRIGHTON</v>
          </cell>
          <cell r="H87">
            <v>7782</v>
          </cell>
        </row>
        <row r="88">
          <cell r="G88" t="str">
            <v>019TABATHA</v>
          </cell>
          <cell r="H88">
            <v>2394</v>
          </cell>
        </row>
        <row r="89">
          <cell r="G89" t="str">
            <v>020BRIGHTON</v>
          </cell>
          <cell r="H89">
            <v>5277</v>
          </cell>
        </row>
        <row r="90">
          <cell r="G90" t="str">
            <v>020TYCOON</v>
          </cell>
          <cell r="H90">
            <v>978</v>
          </cell>
        </row>
        <row r="91">
          <cell r="G91" t="str">
            <v>021SHOW GIRL</v>
          </cell>
          <cell r="H91">
            <v>1309</v>
          </cell>
        </row>
        <row r="92">
          <cell r="G92" t="str">
            <v>022CORAL REEF</v>
          </cell>
          <cell r="H92">
            <v>2133</v>
          </cell>
        </row>
        <row r="93">
          <cell r="G93" t="str">
            <v>023COTOPAXI</v>
          </cell>
          <cell r="H93">
            <v>5416</v>
          </cell>
        </row>
        <row r="94">
          <cell r="G94" t="str">
            <v>023FRUTTETO</v>
          </cell>
          <cell r="H94">
            <v>4533</v>
          </cell>
        </row>
        <row r="95">
          <cell r="G95" t="str">
            <v>024COTOPAXI</v>
          </cell>
          <cell r="H95">
            <v>3156</v>
          </cell>
        </row>
        <row r="96">
          <cell r="G96" t="str">
            <v>024SWEETNESS</v>
          </cell>
          <cell r="H96">
            <v>1368</v>
          </cell>
        </row>
        <row r="97">
          <cell r="G97" t="str">
            <v>024TYCOON</v>
          </cell>
          <cell r="H97">
            <v>3724</v>
          </cell>
        </row>
        <row r="98">
          <cell r="G98" t="str">
            <v>025PINK MONDIAL</v>
          </cell>
          <cell r="H98">
            <v>3989</v>
          </cell>
        </row>
        <row r="99">
          <cell r="G99" t="str">
            <v>026LOLA</v>
          </cell>
          <cell r="H99">
            <v>4561</v>
          </cell>
        </row>
        <row r="100">
          <cell r="G100" t="str">
            <v>026PALOMA</v>
          </cell>
          <cell r="H100">
            <v>5117</v>
          </cell>
        </row>
        <row r="101">
          <cell r="G101" t="str">
            <v>027SATISFACTION</v>
          </cell>
          <cell r="H101">
            <v>2999</v>
          </cell>
        </row>
        <row r="102">
          <cell r="G102" t="str">
            <v>027TIFFANY</v>
          </cell>
          <cell r="H102">
            <v>2756</v>
          </cell>
        </row>
        <row r="103">
          <cell r="G103" t="str">
            <v>028COTOPAXI</v>
          </cell>
          <cell r="H103">
            <v>3906</v>
          </cell>
        </row>
        <row r="104">
          <cell r="G104" t="str">
            <v>028DEEP PURPLE</v>
          </cell>
          <cell r="H104">
            <v>8195</v>
          </cell>
        </row>
        <row r="105">
          <cell r="G105" t="str">
            <v>029PINK FLOYD</v>
          </cell>
          <cell r="H105">
            <v>3471</v>
          </cell>
        </row>
        <row r="106">
          <cell r="G106" t="str">
            <v>030EXPLORER</v>
          </cell>
          <cell r="H106">
            <v>2129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/>
  <dimension ref="A1:M110"/>
  <sheetViews>
    <sheetView tabSelected="1" workbookViewId="0">
      <pane xSplit="1" ySplit="1" topLeftCell="K20" activePane="bottomRight" state="frozen"/>
      <selection pane="topRight" activeCell="E1" sqref="E1"/>
      <selection pane="bottomLeft" activeCell="A3" sqref="A3"/>
      <selection pane="bottomRight" activeCell="L21" sqref="L21"/>
    </sheetView>
  </sheetViews>
  <sheetFormatPr baseColWidth="10" defaultColWidth="11.5" defaultRowHeight="14.25"/>
  <cols>
    <col min="1" max="1" width="11.5" style="2"/>
    <col min="2" max="2" width="10.25" style="2" customWidth="1"/>
    <col min="3" max="3" width="12" style="2" customWidth="1"/>
    <col min="4" max="4" width="15.25" style="2" customWidth="1"/>
    <col min="5" max="5" width="11.75" style="2" customWidth="1"/>
    <col min="6" max="6" width="17.5" style="2" bestFit="1" customWidth="1"/>
    <col min="7" max="7" width="17.5" style="2" customWidth="1"/>
    <col min="8" max="10" width="11.5" style="2"/>
    <col min="11" max="11" width="12.5" style="2" customWidth="1"/>
    <col min="12" max="16384" width="11.5" style="2"/>
  </cols>
  <sheetData>
    <row r="1" spans="1:13" ht="1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111</v>
      </c>
      <c r="H1" s="1" t="s">
        <v>22</v>
      </c>
      <c r="I1" s="1" t="s">
        <v>23</v>
      </c>
      <c r="J1" s="1" t="s">
        <v>6</v>
      </c>
      <c r="K1" s="3" t="s">
        <v>21</v>
      </c>
      <c r="L1" s="2" t="s">
        <v>112</v>
      </c>
      <c r="M1" s="7" t="s">
        <v>113</v>
      </c>
    </row>
    <row r="2" spans="1:13">
      <c r="A2" s="2">
        <v>2026</v>
      </c>
      <c r="B2" s="2">
        <v>28</v>
      </c>
      <c r="C2" s="2" t="s">
        <v>7</v>
      </c>
      <c r="D2" s="2" t="s">
        <v>8</v>
      </c>
      <c r="E2" s="2" t="s">
        <v>24</v>
      </c>
      <c r="F2" s="2" t="s">
        <v>25</v>
      </c>
      <c r="G2" s="2" t="str">
        <f>+E2&amp;F2</f>
        <v>002SOMERSET</v>
      </c>
      <c r="H2" s="2">
        <v>7280</v>
      </c>
      <c r="I2" s="2">
        <v>4121.4642855494149</v>
      </c>
      <c r="J2" s="2">
        <v>31200</v>
      </c>
      <c r="K2" s="5">
        <f>+H2/I2</f>
        <v>1.7663625099275935</v>
      </c>
      <c r="L2" s="2">
        <f>VLOOKUP(G2,[1]Estimado_modelo!$G$2:$H$106,2,FALSE)</f>
        <v>8311</v>
      </c>
      <c r="M2" s="6">
        <f>+(H2-L2)/H2</f>
        <v>-0.14162087912087912</v>
      </c>
    </row>
    <row r="3" spans="1:13">
      <c r="A3" s="2">
        <v>2026</v>
      </c>
      <c r="B3" s="2">
        <v>28</v>
      </c>
      <c r="C3" s="2" t="s">
        <v>7</v>
      </c>
      <c r="D3" s="2" t="s">
        <v>8</v>
      </c>
      <c r="E3" s="2" t="s">
        <v>26</v>
      </c>
      <c r="F3" s="2" t="s">
        <v>27</v>
      </c>
      <c r="G3" s="2" t="str">
        <f t="shared" ref="G3:G66" si="0">+E3&amp;F3</f>
        <v>004BELLINA</v>
      </c>
      <c r="H3" s="2">
        <v>2115</v>
      </c>
      <c r="I3" s="2">
        <v>1056.785714243442</v>
      </c>
      <c r="J3" s="2">
        <v>8000</v>
      </c>
      <c r="K3" s="5">
        <f t="shared" ref="K3:K66" si="1">+H3/I3</f>
        <v>2.0013518081233133</v>
      </c>
      <c r="L3" s="2">
        <f>VLOOKUP(G3,[1]Estimado_modelo!$G$2:$H$106,2,FALSE)</f>
        <v>1367</v>
      </c>
      <c r="M3" s="6">
        <f t="shared" ref="M3:M66" si="2">+(H3-L3)/H3</f>
        <v>0.35366430260047282</v>
      </c>
    </row>
    <row r="4" spans="1:13">
      <c r="A4" s="2">
        <v>2026</v>
      </c>
      <c r="B4" s="2">
        <v>28</v>
      </c>
      <c r="C4" s="2" t="s">
        <v>7</v>
      </c>
      <c r="D4" s="2" t="s">
        <v>8</v>
      </c>
      <c r="E4" s="2" t="s">
        <v>28</v>
      </c>
      <c r="F4" s="2" t="s">
        <v>29</v>
      </c>
      <c r="G4" s="2" t="str">
        <f t="shared" si="0"/>
        <v>005ELBA</v>
      </c>
      <c r="H4" s="2">
        <v>6510</v>
      </c>
      <c r="I4" s="2">
        <v>2641.9642856076453</v>
      </c>
      <c r="J4" s="2">
        <v>19996</v>
      </c>
      <c r="K4" s="5">
        <f t="shared" si="1"/>
        <v>2.4640757013498824</v>
      </c>
      <c r="L4" s="2">
        <f>VLOOKUP(G4,[1]Estimado_modelo!$G$2:$H$106,2,FALSE)</f>
        <v>5232</v>
      </c>
      <c r="M4" s="6">
        <f t="shared" si="2"/>
        <v>0.19631336405529953</v>
      </c>
    </row>
    <row r="5" spans="1:13">
      <c r="A5" s="2">
        <v>2026</v>
      </c>
      <c r="B5" s="2">
        <v>28</v>
      </c>
      <c r="C5" s="2" t="s">
        <v>7</v>
      </c>
      <c r="D5" s="2" t="s">
        <v>8</v>
      </c>
      <c r="E5" s="2" t="s">
        <v>28</v>
      </c>
      <c r="F5" s="2" t="s">
        <v>30</v>
      </c>
      <c r="G5" s="2" t="str">
        <f t="shared" si="0"/>
        <v>005HOT BUBBLES</v>
      </c>
      <c r="H5" s="2">
        <v>1220</v>
      </c>
      <c r="I5" s="2">
        <v>528.39285712153003</v>
      </c>
      <c r="J5" s="2">
        <v>4000</v>
      </c>
      <c r="K5" s="5">
        <f t="shared" si="1"/>
        <v>2.3088881379776125</v>
      </c>
      <c r="L5" s="2">
        <f>VLOOKUP(G5,[1]Estimado_modelo!$G$2:$H$106,2,FALSE)</f>
        <v>976</v>
      </c>
      <c r="M5" s="6">
        <f t="shared" si="2"/>
        <v>0.2</v>
      </c>
    </row>
    <row r="6" spans="1:13">
      <c r="A6" s="2">
        <v>2026</v>
      </c>
      <c r="B6" s="2">
        <v>28</v>
      </c>
      <c r="C6" s="2" t="s">
        <v>7</v>
      </c>
      <c r="D6" s="2" t="s">
        <v>8</v>
      </c>
      <c r="E6" s="2" t="s">
        <v>28</v>
      </c>
      <c r="F6" s="2" t="s">
        <v>31</v>
      </c>
      <c r="G6" s="2" t="str">
        <f t="shared" si="0"/>
        <v>005SUSPIRO</v>
      </c>
      <c r="H6" s="2">
        <v>2970</v>
      </c>
      <c r="I6" s="2">
        <v>1902.2142856375083</v>
      </c>
      <c r="J6" s="2">
        <v>14400</v>
      </c>
      <c r="K6" s="5">
        <f t="shared" si="1"/>
        <v>1.5613382900258441</v>
      </c>
      <c r="L6" s="2">
        <f>VLOOKUP(G6,[1]Estimado_modelo!$G$2:$H$106,2,FALSE)</f>
        <v>3313</v>
      </c>
      <c r="M6" s="6">
        <f t="shared" si="2"/>
        <v>-0.11548821548821549</v>
      </c>
    </row>
    <row r="7" spans="1:13">
      <c r="A7" s="2">
        <v>2026</v>
      </c>
      <c r="B7" s="2">
        <v>28</v>
      </c>
      <c r="C7" s="2" t="s">
        <v>7</v>
      </c>
      <c r="D7" s="2" t="s">
        <v>8</v>
      </c>
      <c r="E7" s="2" t="s">
        <v>32</v>
      </c>
      <c r="F7" s="2" t="s">
        <v>33</v>
      </c>
      <c r="G7" s="2" t="str">
        <f t="shared" si="0"/>
        <v>007SNOW BUBBLES</v>
      </c>
      <c r="H7" s="2">
        <v>1100</v>
      </c>
      <c r="I7" s="2">
        <v>634.05652706821184</v>
      </c>
      <c r="J7" s="2">
        <v>4800</v>
      </c>
      <c r="K7" s="5">
        <f t="shared" si="1"/>
        <v>1.7348610936729021</v>
      </c>
      <c r="L7" s="2">
        <f>VLOOKUP(G7,[1]Estimado_modelo!$G$2:$H$106,2,FALSE)</f>
        <v>585</v>
      </c>
      <c r="M7" s="6">
        <f t="shared" si="2"/>
        <v>0.4681818181818182</v>
      </c>
    </row>
    <row r="8" spans="1:13">
      <c r="A8" s="2">
        <v>2026</v>
      </c>
      <c r="B8" s="2">
        <v>28</v>
      </c>
      <c r="C8" s="2" t="s">
        <v>7</v>
      </c>
      <c r="D8" s="2" t="s">
        <v>8</v>
      </c>
      <c r="E8" s="2" t="s">
        <v>34</v>
      </c>
      <c r="F8" s="2" t="s">
        <v>30</v>
      </c>
      <c r="G8" s="2" t="str">
        <f t="shared" si="0"/>
        <v>009HOT BUBBLES</v>
      </c>
      <c r="H8" s="2">
        <v>10540</v>
      </c>
      <c r="I8" s="2">
        <v>4487.9999999102447</v>
      </c>
      <c r="J8" s="2">
        <v>31740</v>
      </c>
      <c r="K8" s="5">
        <f t="shared" si="1"/>
        <v>2.3484848485318159</v>
      </c>
      <c r="L8" s="2">
        <f>VLOOKUP(G8,[1]Estimado_modelo!$G$2:$H$106,2,FALSE)</f>
        <v>6869</v>
      </c>
      <c r="M8" s="6">
        <f t="shared" si="2"/>
        <v>0.34829222011385197</v>
      </c>
    </row>
    <row r="9" spans="1:13">
      <c r="A9" s="2">
        <v>2026</v>
      </c>
      <c r="B9" s="2">
        <v>28</v>
      </c>
      <c r="C9" s="2" t="s">
        <v>7</v>
      </c>
      <c r="D9" s="2" t="s">
        <v>8</v>
      </c>
      <c r="E9" s="2" t="s">
        <v>35</v>
      </c>
      <c r="F9" s="2" t="s">
        <v>36</v>
      </c>
      <c r="G9" s="2" t="str">
        <f t="shared" si="0"/>
        <v>014FRUITY BUBBLES</v>
      </c>
      <c r="H9" s="2">
        <v>4350</v>
      </c>
      <c r="I9" s="2">
        <v>1702.799999999999</v>
      </c>
      <c r="J9" s="2">
        <v>12900</v>
      </c>
      <c r="K9" s="5">
        <f t="shared" si="1"/>
        <v>2.5546159267089514</v>
      </c>
      <c r="L9" s="2">
        <f>VLOOKUP(G9,[1]Estimado_modelo!$G$2:$H$106,2,FALSE)</f>
        <v>2318</v>
      </c>
      <c r="M9" s="6">
        <f t="shared" si="2"/>
        <v>0.4671264367816092</v>
      </c>
    </row>
    <row r="10" spans="1:13">
      <c r="A10" s="2">
        <v>2026</v>
      </c>
      <c r="B10" s="2">
        <v>28</v>
      </c>
      <c r="C10" s="2" t="s">
        <v>7</v>
      </c>
      <c r="D10" s="2" t="s">
        <v>8</v>
      </c>
      <c r="E10" s="2" t="s">
        <v>37</v>
      </c>
      <c r="F10" s="2" t="s">
        <v>38</v>
      </c>
      <c r="G10" s="2" t="str">
        <f t="shared" si="0"/>
        <v>015FELLINI</v>
      </c>
      <c r="H10" s="2">
        <v>5840</v>
      </c>
      <c r="I10" s="2">
        <v>3009.5999999999958</v>
      </c>
      <c r="J10" s="2">
        <v>22800</v>
      </c>
      <c r="K10" s="5">
        <f t="shared" si="1"/>
        <v>1.9404572036151011</v>
      </c>
      <c r="L10" s="2">
        <f>VLOOKUP(G10,[1]Estimado_modelo!$G$2:$H$106,2,FALSE)</f>
        <v>4187</v>
      </c>
      <c r="M10" s="6">
        <f t="shared" si="2"/>
        <v>0.28304794520547943</v>
      </c>
    </row>
    <row r="11" spans="1:13">
      <c r="A11" s="2">
        <v>2026</v>
      </c>
      <c r="B11" s="2">
        <v>28</v>
      </c>
      <c r="C11" s="2" t="s">
        <v>7</v>
      </c>
      <c r="D11" s="2" t="s">
        <v>8</v>
      </c>
      <c r="E11" s="2" t="s">
        <v>39</v>
      </c>
      <c r="F11" s="2" t="s">
        <v>40</v>
      </c>
      <c r="G11" s="2" t="str">
        <f t="shared" si="0"/>
        <v>016GOOD PEACH</v>
      </c>
      <c r="H11" s="2">
        <v>3720</v>
      </c>
      <c r="I11" s="2">
        <v>1385.9999999999995</v>
      </c>
      <c r="J11" s="2">
        <v>10500</v>
      </c>
      <c r="K11" s="5">
        <f t="shared" si="1"/>
        <v>2.683982683982685</v>
      </c>
      <c r="L11" s="2">
        <f>VLOOKUP(G11,[1]Estimado_modelo!$G$2:$H$106,2,FALSE)</f>
        <v>2583</v>
      </c>
      <c r="M11" s="6">
        <f t="shared" si="2"/>
        <v>0.3056451612903226</v>
      </c>
    </row>
    <row r="12" spans="1:13">
      <c r="A12" s="2">
        <v>2026</v>
      </c>
      <c r="B12" s="2">
        <v>28</v>
      </c>
      <c r="C12" s="2" t="s">
        <v>7</v>
      </c>
      <c r="D12" s="2" t="s">
        <v>8</v>
      </c>
      <c r="E12" s="2" t="s">
        <v>39</v>
      </c>
      <c r="F12" s="2" t="s">
        <v>41</v>
      </c>
      <c r="G12" s="2" t="str">
        <f t="shared" si="0"/>
        <v>016GOOD YELLOW</v>
      </c>
      <c r="H12" s="2">
        <v>4470</v>
      </c>
      <c r="I12" s="2">
        <v>1385.9999999999995</v>
      </c>
      <c r="J12" s="2">
        <v>10500</v>
      </c>
      <c r="K12" s="5">
        <f t="shared" si="1"/>
        <v>3.2251082251082264</v>
      </c>
      <c r="L12" s="2">
        <f>VLOOKUP(G12,[1]Estimado_modelo!$G$2:$H$106,2,FALSE)</f>
        <v>3090</v>
      </c>
      <c r="M12" s="6">
        <f t="shared" si="2"/>
        <v>0.3087248322147651</v>
      </c>
    </row>
    <row r="13" spans="1:13">
      <c r="A13" s="2">
        <v>2026</v>
      </c>
      <c r="B13" s="2">
        <v>28</v>
      </c>
      <c r="C13" s="2" t="s">
        <v>7</v>
      </c>
      <c r="D13" s="2" t="s">
        <v>8</v>
      </c>
      <c r="E13" s="2" t="s">
        <v>42</v>
      </c>
      <c r="F13" s="2" t="s">
        <v>43</v>
      </c>
      <c r="G13" s="2" t="str">
        <f t="shared" si="0"/>
        <v>017ORANGE STAR</v>
      </c>
      <c r="H13" s="2">
        <v>2000</v>
      </c>
      <c r="I13" s="2">
        <v>1029.6000000000004</v>
      </c>
      <c r="J13" s="2">
        <v>7900</v>
      </c>
      <c r="K13" s="5">
        <f t="shared" si="1"/>
        <v>1.9425019425019419</v>
      </c>
      <c r="L13" s="2">
        <f>VLOOKUP(G13,[1]Estimado_modelo!$G$2:$H$106,2,FALSE)</f>
        <v>1525</v>
      </c>
      <c r="M13" s="6">
        <f t="shared" si="2"/>
        <v>0.23749999999999999</v>
      </c>
    </row>
    <row r="14" spans="1:13">
      <c r="A14" s="2">
        <v>2026</v>
      </c>
      <c r="B14" s="2">
        <v>28</v>
      </c>
      <c r="C14" s="2" t="s">
        <v>7</v>
      </c>
      <c r="D14" s="2" t="s">
        <v>8</v>
      </c>
      <c r="E14" s="2" t="s">
        <v>44</v>
      </c>
      <c r="F14" s="2" t="s">
        <v>45</v>
      </c>
      <c r="G14" s="2" t="str">
        <f t="shared" si="0"/>
        <v>018COSMO</v>
      </c>
      <c r="H14" s="2">
        <v>3700</v>
      </c>
      <c r="I14" s="2">
        <v>2653.1999999999966</v>
      </c>
      <c r="J14" s="2">
        <v>20100</v>
      </c>
      <c r="K14" s="5">
        <f t="shared" si="1"/>
        <v>1.3945424393185606</v>
      </c>
      <c r="L14" s="2">
        <f>VLOOKUP(G14,[1]Estimado_modelo!$G$2:$H$106,2,FALSE)</f>
        <v>3275</v>
      </c>
      <c r="M14" s="6">
        <f t="shared" si="2"/>
        <v>0.11486486486486487</v>
      </c>
    </row>
    <row r="15" spans="1:13">
      <c r="A15" s="2">
        <v>2026</v>
      </c>
      <c r="B15" s="2">
        <v>28</v>
      </c>
      <c r="C15" s="2" t="s">
        <v>7</v>
      </c>
      <c r="D15" s="2" t="s">
        <v>8</v>
      </c>
      <c r="E15" s="2" t="s">
        <v>44</v>
      </c>
      <c r="F15" s="2" t="s">
        <v>46</v>
      </c>
      <c r="G15" s="2" t="str">
        <f t="shared" si="0"/>
        <v>018RUBICON</v>
      </c>
      <c r="H15" s="2">
        <v>3570</v>
      </c>
      <c r="I15" s="2">
        <v>1768.7999999999988</v>
      </c>
      <c r="J15" s="2">
        <v>13400</v>
      </c>
      <c r="K15" s="5">
        <f t="shared" si="1"/>
        <v>2.0183175033921317</v>
      </c>
      <c r="L15" s="2">
        <f>VLOOKUP(G15,[1]Estimado_modelo!$G$2:$H$106,2,FALSE)</f>
        <v>4130</v>
      </c>
      <c r="M15" s="6">
        <f t="shared" si="2"/>
        <v>-0.15686274509803921</v>
      </c>
    </row>
    <row r="16" spans="1:13">
      <c r="A16" s="2">
        <v>2026</v>
      </c>
      <c r="B16" s="2">
        <v>28</v>
      </c>
      <c r="C16" s="2" t="s">
        <v>7</v>
      </c>
      <c r="D16" s="2" t="s">
        <v>8</v>
      </c>
      <c r="E16" s="2" t="s">
        <v>47</v>
      </c>
      <c r="F16" s="2" t="s">
        <v>27</v>
      </c>
      <c r="G16" s="2" t="str">
        <f t="shared" si="0"/>
        <v>019BELLINA</v>
      </c>
      <c r="H16" s="2">
        <v>1575</v>
      </c>
      <c r="I16" s="2">
        <v>1029.6000000000004</v>
      </c>
      <c r="J16" s="2">
        <v>7800</v>
      </c>
      <c r="K16" s="5">
        <f t="shared" si="1"/>
        <v>1.5297202797202791</v>
      </c>
      <c r="L16" s="2">
        <f>VLOOKUP(G16,[1]Estimado_modelo!$G$2:$H$106,2,FALSE)</f>
        <v>1611</v>
      </c>
      <c r="M16" s="6">
        <f t="shared" si="2"/>
        <v>-2.2857142857142857E-2</v>
      </c>
    </row>
    <row r="17" spans="1:13">
      <c r="A17" s="2">
        <v>2026</v>
      </c>
      <c r="B17" s="2">
        <v>28</v>
      </c>
      <c r="C17" s="2" t="s">
        <v>7</v>
      </c>
      <c r="D17" s="2" t="s">
        <v>8</v>
      </c>
      <c r="E17" s="2" t="s">
        <v>48</v>
      </c>
      <c r="F17" s="2" t="s">
        <v>49</v>
      </c>
      <c r="G17" s="2" t="str">
        <f t="shared" si="0"/>
        <v>020SUMMER DANCE</v>
      </c>
      <c r="H17" s="2">
        <v>3525</v>
      </c>
      <c r="I17" s="2">
        <v>1346.3999999999999</v>
      </c>
      <c r="J17" s="2">
        <v>10200</v>
      </c>
      <c r="K17" s="5">
        <f t="shared" si="1"/>
        <v>2.6180926916221035</v>
      </c>
      <c r="L17" s="2">
        <f>VLOOKUP(G17,[1]Estimado_modelo!$G$2:$H$106,2,FALSE)</f>
        <v>3344</v>
      </c>
      <c r="M17" s="6">
        <f t="shared" si="2"/>
        <v>5.1347517730496457E-2</v>
      </c>
    </row>
    <row r="18" spans="1:13">
      <c r="A18" s="2">
        <v>2026</v>
      </c>
      <c r="B18" s="2">
        <v>28</v>
      </c>
      <c r="C18" s="2" t="s">
        <v>7</v>
      </c>
      <c r="D18" s="2" t="s">
        <v>8</v>
      </c>
      <c r="E18" s="2" t="s">
        <v>50</v>
      </c>
      <c r="F18" s="2" t="s">
        <v>51</v>
      </c>
      <c r="G18" s="2" t="str">
        <f t="shared" si="0"/>
        <v>021ELEGANT ROSEVER</v>
      </c>
      <c r="H18" s="2">
        <v>630</v>
      </c>
      <c r="I18" s="2">
        <v>440.18999062500001</v>
      </c>
      <c r="J18" s="2">
        <v>3200</v>
      </c>
      <c r="K18" s="5">
        <f t="shared" si="1"/>
        <v>1.431200194046893</v>
      </c>
      <c r="L18" s="2">
        <f>VLOOKUP(G18,[1]Estimado_modelo!$G$2:$H$106,2,FALSE)</f>
        <v>587</v>
      </c>
      <c r="M18" s="6">
        <f t="shared" si="2"/>
        <v>6.8253968253968247E-2</v>
      </c>
    </row>
    <row r="19" spans="1:13">
      <c r="A19" s="2">
        <v>2026</v>
      </c>
      <c r="B19" s="2">
        <v>28</v>
      </c>
      <c r="C19" s="2" t="s">
        <v>7</v>
      </c>
      <c r="D19" s="2" t="s">
        <v>8</v>
      </c>
      <c r="E19" s="2" t="s">
        <v>50</v>
      </c>
      <c r="F19" s="2" t="s">
        <v>52</v>
      </c>
      <c r="G19" s="2" t="str">
        <f t="shared" si="0"/>
        <v>021FLAME CLUB</v>
      </c>
      <c r="H19" s="2">
        <v>1400</v>
      </c>
      <c r="I19" s="2">
        <v>880.37999999999977</v>
      </c>
      <c r="J19" s="2">
        <v>6400</v>
      </c>
      <c r="K19" s="5">
        <f t="shared" si="1"/>
        <v>1.5902224039619259</v>
      </c>
      <c r="L19" s="2">
        <f>VLOOKUP(G19,[1]Estimado_modelo!$G$2:$H$106,2,FALSE)</f>
        <v>1565</v>
      </c>
      <c r="M19" s="6">
        <f t="shared" si="2"/>
        <v>-0.11785714285714285</v>
      </c>
    </row>
    <row r="20" spans="1:13">
      <c r="A20" s="2">
        <v>2026</v>
      </c>
      <c r="B20" s="2">
        <v>28</v>
      </c>
      <c r="C20" s="2" t="s">
        <v>7</v>
      </c>
      <c r="D20" s="2" t="s">
        <v>8</v>
      </c>
      <c r="E20" s="2" t="s">
        <v>50</v>
      </c>
      <c r="F20" s="2" t="s">
        <v>53</v>
      </c>
      <c r="G20" s="2" t="str">
        <f t="shared" si="0"/>
        <v>021KELLY</v>
      </c>
      <c r="H20" s="2">
        <v>575</v>
      </c>
      <c r="I20" s="2">
        <v>330.14249999999998</v>
      </c>
      <c r="J20" s="2">
        <v>2400</v>
      </c>
      <c r="K20" s="5">
        <f t="shared" si="1"/>
        <v>1.7416721567202043</v>
      </c>
      <c r="L20" s="2">
        <f>VLOOKUP(G20,[1]Estimado_modelo!$G$2:$H$106,2,FALSE)</f>
        <v>587</v>
      </c>
      <c r="M20" s="6">
        <f t="shared" si="2"/>
        <v>-2.0869565217391306E-2</v>
      </c>
    </row>
    <row r="21" spans="1:13">
      <c r="A21" s="2">
        <v>2026</v>
      </c>
      <c r="B21" s="2">
        <v>28</v>
      </c>
      <c r="C21" s="2" t="s">
        <v>7</v>
      </c>
      <c r="D21" s="2" t="s">
        <v>8</v>
      </c>
      <c r="E21" s="2" t="s">
        <v>50</v>
      </c>
      <c r="F21" s="2" t="s">
        <v>54</v>
      </c>
      <c r="G21" s="2" t="str">
        <f t="shared" si="0"/>
        <v>021LEILA</v>
      </c>
      <c r="H21" s="2">
        <v>850</v>
      </c>
      <c r="I21" s="2">
        <v>770.33249999999975</v>
      </c>
      <c r="J21" s="2">
        <v>5600</v>
      </c>
      <c r="K21" s="5">
        <f t="shared" si="1"/>
        <v>1.1034196272388874</v>
      </c>
      <c r="L21" s="2">
        <f>VLOOKUP(G21,[1]Estimado_modelo!$G$2:$H$106,2,FALSE)</f>
        <v>3098</v>
      </c>
      <c r="M21" s="6">
        <f t="shared" si="2"/>
        <v>-2.644705882352941</v>
      </c>
    </row>
    <row r="22" spans="1:13">
      <c r="A22" s="2">
        <v>2026</v>
      </c>
      <c r="B22" s="2">
        <v>28</v>
      </c>
      <c r="C22" s="2" t="s">
        <v>7</v>
      </c>
      <c r="D22" s="2" t="s">
        <v>8</v>
      </c>
      <c r="E22" s="2" t="s">
        <v>50</v>
      </c>
      <c r="F22" s="2" t="s">
        <v>110</v>
      </c>
      <c r="G22" s="2" t="str">
        <f t="shared" si="0"/>
        <v>021PISTACHIO KISS</v>
      </c>
      <c r="H22" s="2">
        <v>50</v>
      </c>
      <c r="I22" s="2">
        <v>880.37999999999965</v>
      </c>
      <c r="J22" s="2">
        <v>6400</v>
      </c>
      <c r="K22" s="5">
        <f t="shared" si="1"/>
        <v>5.6793657284354503E-2</v>
      </c>
      <c r="L22" s="2" t="e">
        <f>VLOOKUP(G22,[1]Estimado_modelo!$G$2:$H$106,2,FALSE)</f>
        <v>#N/A</v>
      </c>
      <c r="M22" s="6" t="e">
        <f t="shared" si="2"/>
        <v>#N/A</v>
      </c>
    </row>
    <row r="23" spans="1:13">
      <c r="A23" s="2">
        <v>2026</v>
      </c>
      <c r="B23" s="2">
        <v>28</v>
      </c>
      <c r="C23" s="2" t="s">
        <v>7</v>
      </c>
      <c r="D23" s="2" t="s">
        <v>8</v>
      </c>
      <c r="E23" s="2" t="s">
        <v>50</v>
      </c>
      <c r="F23" s="2" t="s">
        <v>33</v>
      </c>
      <c r="G23" s="2" t="str">
        <f t="shared" si="0"/>
        <v>021SNOW BUBBLES</v>
      </c>
      <c r="H23" s="2">
        <v>1480</v>
      </c>
      <c r="I23" s="2">
        <v>1287.0000000000018</v>
      </c>
      <c r="J23" s="2">
        <v>9400</v>
      </c>
      <c r="K23" s="5">
        <f t="shared" si="1"/>
        <v>1.1499611499611484</v>
      </c>
      <c r="L23" s="2">
        <f>VLOOKUP(G23,[1]Estimado_modelo!$G$2:$H$106,2,FALSE)</f>
        <v>1435</v>
      </c>
      <c r="M23" s="6">
        <f t="shared" si="2"/>
        <v>3.0405405405405407E-2</v>
      </c>
    </row>
    <row r="24" spans="1:13">
      <c r="A24" s="2">
        <v>2026</v>
      </c>
      <c r="B24" s="2">
        <v>28</v>
      </c>
      <c r="C24" s="2" t="s">
        <v>7</v>
      </c>
      <c r="D24" s="2" t="s">
        <v>8</v>
      </c>
      <c r="E24" s="2" t="s">
        <v>55</v>
      </c>
      <c r="F24" s="2" t="s">
        <v>36</v>
      </c>
      <c r="G24" s="2" t="str">
        <f t="shared" si="0"/>
        <v>022FRUITY BUBBLES</v>
      </c>
      <c r="H24" s="2">
        <v>5425</v>
      </c>
      <c r="I24" s="2">
        <v>2641.139999999999</v>
      </c>
      <c r="J24" s="2">
        <v>19200</v>
      </c>
      <c r="K24" s="5">
        <f t="shared" si="1"/>
        <v>2.0540372717841544</v>
      </c>
      <c r="L24" s="2">
        <f>VLOOKUP(G24,[1]Estimado_modelo!$G$2:$H$106,2,FALSE)</f>
        <v>5932</v>
      </c>
      <c r="M24" s="6">
        <f t="shared" si="2"/>
        <v>-9.3456221198156678E-2</v>
      </c>
    </row>
    <row r="25" spans="1:13">
      <c r="A25" s="2">
        <v>2026</v>
      </c>
      <c r="B25" s="2">
        <v>28</v>
      </c>
      <c r="C25" s="2" t="s">
        <v>7</v>
      </c>
      <c r="D25" s="2" t="s">
        <v>8</v>
      </c>
      <c r="E25" s="2" t="s">
        <v>55</v>
      </c>
      <c r="F25" s="2" t="s">
        <v>40</v>
      </c>
      <c r="G25" s="2" t="str">
        <f t="shared" si="0"/>
        <v>022GOOD PEACH</v>
      </c>
      <c r="H25" s="2">
        <v>2430</v>
      </c>
      <c r="I25" s="2">
        <v>880.37999999999965</v>
      </c>
      <c r="J25" s="2">
        <v>6400</v>
      </c>
      <c r="K25" s="5">
        <f t="shared" si="1"/>
        <v>2.7601717440196292</v>
      </c>
      <c r="L25" s="2">
        <f>VLOOKUP(G25,[1]Estimado_modelo!$G$2:$H$106,2,FALSE)</f>
        <v>1776</v>
      </c>
      <c r="M25" s="6">
        <f t="shared" si="2"/>
        <v>0.26913580246913582</v>
      </c>
    </row>
    <row r="26" spans="1:13">
      <c r="A26" s="2">
        <v>2026</v>
      </c>
      <c r="B26" s="2">
        <v>28</v>
      </c>
      <c r="C26" s="2" t="s">
        <v>7</v>
      </c>
      <c r="D26" s="2" t="s">
        <v>8</v>
      </c>
      <c r="E26" s="2" t="s">
        <v>55</v>
      </c>
      <c r="F26" s="2" t="s">
        <v>56</v>
      </c>
      <c r="G26" s="2" t="str">
        <f t="shared" si="0"/>
        <v>022MIRABEL</v>
      </c>
      <c r="H26" s="2">
        <v>2100</v>
      </c>
      <c r="I26" s="2">
        <v>880.37999999999965</v>
      </c>
      <c r="J26" s="2">
        <v>6400</v>
      </c>
      <c r="K26" s="5">
        <f t="shared" si="1"/>
        <v>2.3853336059428893</v>
      </c>
      <c r="L26" s="2">
        <f>VLOOKUP(G26,[1]Estimado_modelo!$G$2:$H$106,2,FALSE)</f>
        <v>1515</v>
      </c>
      <c r="M26" s="6">
        <f t="shared" si="2"/>
        <v>0.27857142857142858</v>
      </c>
    </row>
    <row r="27" spans="1:13">
      <c r="A27" s="2">
        <v>2026</v>
      </c>
      <c r="B27" s="2">
        <v>28</v>
      </c>
      <c r="C27" s="2" t="s">
        <v>7</v>
      </c>
      <c r="D27" s="2" t="s">
        <v>8</v>
      </c>
      <c r="E27" s="2" t="s">
        <v>57</v>
      </c>
      <c r="F27" s="2" t="s">
        <v>56</v>
      </c>
      <c r="G27" s="2" t="str">
        <f t="shared" si="0"/>
        <v>030MIRABEL</v>
      </c>
      <c r="H27" s="2">
        <v>6100</v>
      </c>
      <c r="I27" s="2">
        <v>2413.6749943750001</v>
      </c>
      <c r="J27" s="2">
        <v>17600</v>
      </c>
      <c r="K27" s="5">
        <f t="shared" si="1"/>
        <v>2.5272665185726635</v>
      </c>
      <c r="L27" s="2">
        <f>VLOOKUP(G27,[1]Estimado_modelo!$G$2:$H$106,2,FALSE)</f>
        <v>3026</v>
      </c>
      <c r="M27" s="6">
        <f t="shared" si="2"/>
        <v>0.50393442622950824</v>
      </c>
    </row>
    <row r="28" spans="1:13">
      <c r="A28" s="2">
        <v>2026</v>
      </c>
      <c r="B28" s="2">
        <v>28</v>
      </c>
      <c r="C28" s="2" t="s">
        <v>7</v>
      </c>
      <c r="D28" s="2" t="s">
        <v>8</v>
      </c>
      <c r="E28" s="2" t="s">
        <v>57</v>
      </c>
      <c r="F28" s="2" t="s">
        <v>25</v>
      </c>
      <c r="G28" s="2" t="str">
        <f t="shared" si="0"/>
        <v>030SOMERSET</v>
      </c>
      <c r="H28" s="2">
        <v>3620</v>
      </c>
      <c r="I28" s="2">
        <v>1645.6875000000009</v>
      </c>
      <c r="J28" s="2">
        <v>12000</v>
      </c>
      <c r="K28" s="5">
        <f t="shared" si="1"/>
        <v>2.1996885800007582</v>
      </c>
      <c r="L28" s="2">
        <f>VLOOKUP(G28,[1]Estimado_modelo!$G$2:$H$106,2,FALSE)</f>
        <v>2083</v>
      </c>
      <c r="M28" s="6">
        <f t="shared" si="2"/>
        <v>0.42458563535911603</v>
      </c>
    </row>
    <row r="29" spans="1:13">
      <c r="A29" s="2">
        <v>2026</v>
      </c>
      <c r="B29" s="2">
        <v>28</v>
      </c>
      <c r="C29" s="2" t="s">
        <v>7</v>
      </c>
      <c r="D29" s="2" t="s">
        <v>8</v>
      </c>
      <c r="E29" s="2" t="s">
        <v>58</v>
      </c>
      <c r="F29" s="2" t="s">
        <v>59</v>
      </c>
      <c r="G29" s="2" t="str">
        <f t="shared" si="0"/>
        <v>03182989</v>
      </c>
      <c r="H29" s="2">
        <v>1280</v>
      </c>
      <c r="I29" s="2">
        <v>726.32013058333712</v>
      </c>
      <c r="J29" s="2">
        <v>5712</v>
      </c>
      <c r="K29" s="5">
        <f t="shared" si="1"/>
        <v>1.762308307456631</v>
      </c>
      <c r="L29" s="2">
        <f>VLOOKUP(G29,[1]Estimado_modelo!$G$2:$H$106,2,FALSE)</f>
        <v>894</v>
      </c>
      <c r="M29" s="6">
        <f t="shared" si="2"/>
        <v>0.30156250000000001</v>
      </c>
    </row>
    <row r="30" spans="1:13">
      <c r="A30" s="2">
        <v>2026</v>
      </c>
      <c r="B30" s="2">
        <v>28</v>
      </c>
      <c r="C30" s="2" t="s">
        <v>7</v>
      </c>
      <c r="D30" s="2" t="s">
        <v>8</v>
      </c>
      <c r="E30" s="2" t="s">
        <v>58</v>
      </c>
      <c r="F30" s="2" t="s">
        <v>46</v>
      </c>
      <c r="G30" s="2" t="str">
        <f t="shared" si="0"/>
        <v>031RUBICON</v>
      </c>
      <c r="H30" s="2">
        <v>2520</v>
      </c>
      <c r="I30" s="2">
        <v>924.39958333667118</v>
      </c>
      <c r="J30" s="2">
        <v>6720</v>
      </c>
      <c r="K30" s="5">
        <f t="shared" si="1"/>
        <v>2.7260938293631867</v>
      </c>
      <c r="L30" s="2">
        <f>VLOOKUP(G30,[1]Estimado_modelo!$G$2:$H$106,2,FALSE)</f>
        <v>2189</v>
      </c>
      <c r="M30" s="6">
        <f t="shared" si="2"/>
        <v>0.13134920634920635</v>
      </c>
    </row>
    <row r="31" spans="1:13">
      <c r="A31" s="2">
        <v>2026</v>
      </c>
      <c r="B31" s="2">
        <v>28</v>
      </c>
      <c r="C31" s="2" t="s">
        <v>7</v>
      </c>
      <c r="D31" s="2" t="s">
        <v>8</v>
      </c>
      <c r="E31" s="2" t="s">
        <v>58</v>
      </c>
      <c r="F31" s="2" t="s">
        <v>25</v>
      </c>
      <c r="G31" s="2" t="str">
        <f t="shared" si="0"/>
        <v>031SOMERSET</v>
      </c>
      <c r="H31" s="2">
        <v>520</v>
      </c>
      <c r="I31" s="2">
        <v>1122.4852083333392</v>
      </c>
      <c r="J31" s="2">
        <v>8160</v>
      </c>
      <c r="K31" s="5">
        <f t="shared" si="1"/>
        <v>0.4632577749261334</v>
      </c>
      <c r="L31" s="2">
        <f>VLOOKUP(G31,[1]Estimado_modelo!$G$2:$H$106,2,FALSE)</f>
        <v>961</v>
      </c>
      <c r="M31" s="6">
        <f t="shared" si="2"/>
        <v>-0.84807692307692306</v>
      </c>
    </row>
    <row r="32" spans="1:13">
      <c r="A32" s="2">
        <v>2026</v>
      </c>
      <c r="B32" s="2">
        <v>28</v>
      </c>
      <c r="C32" s="2" t="s">
        <v>7</v>
      </c>
      <c r="D32" s="2" t="s">
        <v>8</v>
      </c>
      <c r="E32" s="2" t="s">
        <v>58</v>
      </c>
      <c r="F32" s="2" t="s">
        <v>60</v>
      </c>
      <c r="G32" s="2" t="str">
        <f t="shared" si="0"/>
        <v>031VELVET BLOSSOMS</v>
      </c>
      <c r="H32" s="2">
        <v>720</v>
      </c>
      <c r="I32" s="2">
        <v>396.17125000000203</v>
      </c>
      <c r="J32" s="2">
        <v>2880</v>
      </c>
      <c r="K32" s="5">
        <f t="shared" si="1"/>
        <v>1.8173958862486774</v>
      </c>
      <c r="L32" s="2">
        <f>VLOOKUP(G32,[1]Estimado_modelo!$G$2:$H$106,2,FALSE)</f>
        <v>310</v>
      </c>
      <c r="M32" s="6">
        <f t="shared" si="2"/>
        <v>0.56944444444444442</v>
      </c>
    </row>
    <row r="33" spans="1:13">
      <c r="A33" s="2">
        <v>2026</v>
      </c>
      <c r="B33" s="2">
        <v>28</v>
      </c>
      <c r="C33" s="2" t="s">
        <v>7</v>
      </c>
      <c r="D33" s="2" t="s">
        <v>8</v>
      </c>
      <c r="E33" s="2" t="s">
        <v>61</v>
      </c>
      <c r="F33" s="2" t="s">
        <v>29</v>
      </c>
      <c r="G33" s="2" t="str">
        <f t="shared" si="0"/>
        <v>032ELBA</v>
      </c>
      <c r="H33" s="2">
        <v>3840</v>
      </c>
      <c r="I33" s="2">
        <v>1535.9749999999995</v>
      </c>
      <c r="J33" s="2">
        <v>11200</v>
      </c>
      <c r="K33" s="5">
        <f t="shared" si="1"/>
        <v>2.5000406907664523</v>
      </c>
      <c r="L33" s="2">
        <f>VLOOKUP(G33,[1]Estimado_modelo!$G$2:$H$106,2,FALSE)</f>
        <v>1949</v>
      </c>
      <c r="M33" s="6">
        <f t="shared" si="2"/>
        <v>0.49244791666666665</v>
      </c>
    </row>
    <row r="34" spans="1:13">
      <c r="A34" s="2">
        <v>2026</v>
      </c>
      <c r="B34" s="2">
        <v>28</v>
      </c>
      <c r="C34" s="2" t="s">
        <v>7</v>
      </c>
      <c r="D34" s="2" t="s">
        <v>8</v>
      </c>
      <c r="E34" s="2" t="s">
        <v>61</v>
      </c>
      <c r="F34" s="2" t="s">
        <v>56</v>
      </c>
      <c r="G34" s="2" t="str">
        <f t="shared" si="0"/>
        <v>032MIRABEL</v>
      </c>
      <c r="H34" s="2">
        <v>3040</v>
      </c>
      <c r="I34" s="2">
        <v>1535.9749999999995</v>
      </c>
      <c r="J34" s="2">
        <v>11200</v>
      </c>
      <c r="K34" s="5">
        <f t="shared" si="1"/>
        <v>1.9791988801901079</v>
      </c>
      <c r="L34" s="2">
        <f>VLOOKUP(G34,[1]Estimado_modelo!$G$2:$H$106,2,FALSE)</f>
        <v>1621</v>
      </c>
      <c r="M34" s="6">
        <f t="shared" si="2"/>
        <v>0.46677631578947371</v>
      </c>
    </row>
    <row r="35" spans="1:13">
      <c r="A35" s="2">
        <v>2026</v>
      </c>
      <c r="B35" s="2">
        <v>28</v>
      </c>
      <c r="C35" s="2" t="s">
        <v>7</v>
      </c>
      <c r="D35" s="2" t="s">
        <v>8</v>
      </c>
      <c r="E35" s="2" t="s">
        <v>62</v>
      </c>
      <c r="F35" s="2" t="s">
        <v>63</v>
      </c>
      <c r="G35" s="2" t="str">
        <f t="shared" si="0"/>
        <v>033CREAMY FOLIES</v>
      </c>
      <c r="H35" s="2">
        <v>930</v>
      </c>
      <c r="I35" s="2">
        <v>594.25687500000311</v>
      </c>
      <c r="J35" s="2">
        <v>4320</v>
      </c>
      <c r="K35" s="5">
        <f t="shared" si="1"/>
        <v>1.564979790936361</v>
      </c>
      <c r="L35" s="2">
        <f>VLOOKUP(G35,[1]Estimado_modelo!$G$2:$H$106,2,FALSE)</f>
        <v>733</v>
      </c>
      <c r="M35" s="6">
        <f t="shared" si="2"/>
        <v>0.21182795698924731</v>
      </c>
    </row>
    <row r="36" spans="1:13">
      <c r="A36" s="2">
        <v>2026</v>
      </c>
      <c r="B36" s="2">
        <v>28</v>
      </c>
      <c r="C36" s="2" t="s">
        <v>7</v>
      </c>
      <c r="D36" s="2" t="s">
        <v>8</v>
      </c>
      <c r="E36" s="2" t="s">
        <v>62</v>
      </c>
      <c r="F36" s="2" t="s">
        <v>30</v>
      </c>
      <c r="G36" s="2" t="str">
        <f t="shared" si="0"/>
        <v>033HOT BUBBLES</v>
      </c>
      <c r="H36" s="2">
        <v>5440</v>
      </c>
      <c r="I36" s="2">
        <v>2575.1131250013464</v>
      </c>
      <c r="J36" s="2">
        <v>18720</v>
      </c>
      <c r="K36" s="5">
        <f t="shared" si="1"/>
        <v>2.1125285515358305</v>
      </c>
      <c r="L36" s="2">
        <f>VLOOKUP(G36,[1]Estimado_modelo!$G$2:$H$106,2,FALSE)</f>
        <v>2984</v>
      </c>
      <c r="M36" s="6">
        <f t="shared" si="2"/>
        <v>0.45147058823529412</v>
      </c>
    </row>
    <row r="37" spans="1:13">
      <c r="A37" s="2">
        <v>2026</v>
      </c>
      <c r="B37" s="2">
        <v>28</v>
      </c>
      <c r="C37" s="2" t="s">
        <v>10</v>
      </c>
      <c r="D37" s="2" t="s">
        <v>8</v>
      </c>
      <c r="E37" s="2" t="s">
        <v>64</v>
      </c>
      <c r="F37" s="2" t="s">
        <v>65</v>
      </c>
      <c r="G37" s="2" t="str">
        <f t="shared" si="0"/>
        <v>001BELIEVE IN PINK</v>
      </c>
      <c r="H37" s="2">
        <v>1350</v>
      </c>
      <c r="I37" s="2">
        <v>1690.8137930358068</v>
      </c>
      <c r="J37" s="2">
        <v>12800</v>
      </c>
      <c r="K37" s="5">
        <f t="shared" si="1"/>
        <v>0.79843209557458983</v>
      </c>
      <c r="L37" s="2">
        <f>VLOOKUP(G37,[1]Estimado_modelo!$G$2:$H$106,2,FALSE)</f>
        <v>1420</v>
      </c>
      <c r="M37" s="6">
        <f t="shared" si="2"/>
        <v>-5.185185185185185E-2</v>
      </c>
    </row>
    <row r="38" spans="1:13">
      <c r="A38" s="2">
        <v>2026</v>
      </c>
      <c r="B38" s="2">
        <v>28</v>
      </c>
      <c r="C38" s="2" t="s">
        <v>10</v>
      </c>
      <c r="D38" s="2" t="s">
        <v>8</v>
      </c>
      <c r="E38" s="2" t="s">
        <v>64</v>
      </c>
      <c r="F38" s="2" t="s">
        <v>66</v>
      </c>
      <c r="G38" s="2" t="str">
        <f t="shared" si="0"/>
        <v>001EXPLORER</v>
      </c>
      <c r="H38" s="2">
        <v>4625</v>
      </c>
      <c r="I38" s="2">
        <v>2272.0310343918723</v>
      </c>
      <c r="J38" s="2">
        <v>17200</v>
      </c>
      <c r="K38" s="5">
        <f t="shared" si="1"/>
        <v>2.0356236028430481</v>
      </c>
      <c r="L38" s="2">
        <f>VLOOKUP(G38,[1]Estimado_modelo!$G$2:$H$106,2,FALSE)</f>
        <v>3827</v>
      </c>
      <c r="M38" s="6">
        <f t="shared" si="2"/>
        <v>0.17254054054054055</v>
      </c>
    </row>
    <row r="39" spans="1:13">
      <c r="A39" s="2">
        <v>2026</v>
      </c>
      <c r="B39" s="2">
        <v>28</v>
      </c>
      <c r="C39" s="2" t="s">
        <v>10</v>
      </c>
      <c r="D39" s="2" t="s">
        <v>8</v>
      </c>
      <c r="E39" s="2" t="s">
        <v>64</v>
      </c>
      <c r="F39" s="2" t="s">
        <v>67</v>
      </c>
      <c r="G39" s="2" t="str">
        <f t="shared" si="0"/>
        <v>001GRACE KELLY</v>
      </c>
      <c r="H39" s="2">
        <v>2190</v>
      </c>
      <c r="I39" s="2">
        <v>1162.434482712122</v>
      </c>
      <c r="J39" s="2">
        <v>8800</v>
      </c>
      <c r="K39" s="5">
        <f t="shared" si="1"/>
        <v>1.8839771467295294</v>
      </c>
      <c r="L39" s="2">
        <f>VLOOKUP(G39,[1]Estimado_modelo!$G$2:$H$106,2,FALSE)</f>
        <v>1394</v>
      </c>
      <c r="M39" s="6">
        <f t="shared" si="2"/>
        <v>0.36347031963470322</v>
      </c>
    </row>
    <row r="40" spans="1:13">
      <c r="A40" s="2">
        <v>2026</v>
      </c>
      <c r="B40" s="2">
        <v>28</v>
      </c>
      <c r="C40" s="2" t="s">
        <v>10</v>
      </c>
      <c r="D40" s="2" t="s">
        <v>8</v>
      </c>
      <c r="E40" s="2" t="s">
        <v>64</v>
      </c>
      <c r="F40" s="2" t="s">
        <v>68</v>
      </c>
      <c r="G40" s="2" t="str">
        <f t="shared" si="0"/>
        <v>001LIGHT HOUSE</v>
      </c>
      <c r="H40" s="2">
        <v>2670</v>
      </c>
      <c r="I40" s="2">
        <v>1056.7586206473825</v>
      </c>
      <c r="J40" s="2">
        <v>8000</v>
      </c>
      <c r="K40" s="5">
        <f t="shared" si="1"/>
        <v>2.5265940091071388</v>
      </c>
      <c r="L40" s="2">
        <f>VLOOKUP(G40,[1]Estimado_modelo!$G$2:$H$106,2,FALSE)</f>
        <v>1939</v>
      </c>
      <c r="M40" s="6">
        <f t="shared" si="2"/>
        <v>0.2737827715355805</v>
      </c>
    </row>
    <row r="41" spans="1:13">
      <c r="A41" s="2">
        <v>2026</v>
      </c>
      <c r="B41" s="2">
        <v>28</v>
      </c>
      <c r="C41" s="2" t="s">
        <v>10</v>
      </c>
      <c r="D41" s="2" t="s">
        <v>8</v>
      </c>
      <c r="E41" s="2" t="s">
        <v>64</v>
      </c>
      <c r="F41" s="2" t="s">
        <v>69</v>
      </c>
      <c r="G41" s="2" t="str">
        <f t="shared" si="0"/>
        <v>001LUMIA</v>
      </c>
      <c r="H41" s="2">
        <v>2880</v>
      </c>
      <c r="I41" s="2">
        <v>1109.5965516797528</v>
      </c>
      <c r="J41" s="2">
        <v>8400</v>
      </c>
      <c r="K41" s="5">
        <f t="shared" si="1"/>
        <v>2.5955379868837354</v>
      </c>
      <c r="L41" s="2">
        <f>VLOOKUP(G41,[1]Estimado_modelo!$G$2:$H$106,2,FALSE)</f>
        <v>1857</v>
      </c>
      <c r="M41" s="6">
        <f t="shared" si="2"/>
        <v>0.35520833333333335</v>
      </c>
    </row>
    <row r="42" spans="1:13">
      <c r="A42" s="2">
        <v>2026</v>
      </c>
      <c r="B42" s="2">
        <v>28</v>
      </c>
      <c r="C42" s="2" t="s">
        <v>10</v>
      </c>
      <c r="D42" s="2" t="s">
        <v>8</v>
      </c>
      <c r="E42" s="2" t="s">
        <v>64</v>
      </c>
      <c r="F42" s="2" t="s">
        <v>70</v>
      </c>
      <c r="G42" s="2" t="str">
        <f t="shared" si="0"/>
        <v>001MOMENTUM</v>
      </c>
      <c r="H42" s="2">
        <v>4650</v>
      </c>
      <c r="I42" s="2">
        <v>1902.1655171652869</v>
      </c>
      <c r="J42" s="2">
        <v>14400</v>
      </c>
      <c r="K42" s="5">
        <f t="shared" si="1"/>
        <v>2.444582218549356</v>
      </c>
      <c r="L42" s="2">
        <f>VLOOKUP(G42,[1]Estimado_modelo!$G$2:$H$106,2,FALSE)</f>
        <v>2801</v>
      </c>
      <c r="M42" s="6">
        <f t="shared" si="2"/>
        <v>0.39763440860215055</v>
      </c>
    </row>
    <row r="43" spans="1:13">
      <c r="A43" s="2">
        <v>2026</v>
      </c>
      <c r="B43" s="2">
        <v>28</v>
      </c>
      <c r="C43" s="2" t="s">
        <v>10</v>
      </c>
      <c r="D43" s="2" t="s">
        <v>8</v>
      </c>
      <c r="E43" s="2" t="s">
        <v>24</v>
      </c>
      <c r="F43" s="2" t="s">
        <v>71</v>
      </c>
      <c r="G43" s="2" t="str">
        <f t="shared" si="0"/>
        <v>002SUMMER ROMANCE</v>
      </c>
      <c r="H43" s="2">
        <v>1300</v>
      </c>
      <c r="I43" s="2">
        <v>951.10714281909407</v>
      </c>
      <c r="J43" s="2">
        <v>7200</v>
      </c>
      <c r="K43" s="5">
        <f t="shared" si="1"/>
        <v>1.3668281326820688</v>
      </c>
      <c r="L43" s="2" t="e">
        <f>VLOOKUP(G43,[1]Estimado_modelo!$G$2:$H$106,2,FALSE)</f>
        <v>#N/A</v>
      </c>
      <c r="M43" s="6" t="e">
        <f t="shared" si="2"/>
        <v>#N/A</v>
      </c>
    </row>
    <row r="44" spans="1:13">
      <c r="A44" s="2">
        <v>2026</v>
      </c>
      <c r="B44" s="2">
        <v>28</v>
      </c>
      <c r="C44" s="2" t="s">
        <v>10</v>
      </c>
      <c r="D44" s="2" t="s">
        <v>8</v>
      </c>
      <c r="E44" s="2" t="s">
        <v>24</v>
      </c>
      <c r="F44" s="2" t="s">
        <v>72</v>
      </c>
      <c r="G44" s="2" t="str">
        <f t="shared" si="0"/>
        <v>002SWEETNESS</v>
      </c>
      <c r="H44" s="2">
        <v>8520</v>
      </c>
      <c r="I44" s="2">
        <v>3804.4285712763835</v>
      </c>
      <c r="J44" s="2">
        <v>28800</v>
      </c>
      <c r="K44" s="5">
        <f t="shared" si="1"/>
        <v>2.2394953250867697</v>
      </c>
      <c r="L44" s="2">
        <f>VLOOKUP(G44,[1]Estimado_modelo!$G$2:$H$106,2,FALSE)</f>
        <v>5440</v>
      </c>
      <c r="M44" s="6">
        <f t="shared" si="2"/>
        <v>0.36150234741784038</v>
      </c>
    </row>
    <row r="45" spans="1:13">
      <c r="A45" s="2">
        <v>2026</v>
      </c>
      <c r="B45" s="2">
        <v>28</v>
      </c>
      <c r="C45" s="2" t="s">
        <v>10</v>
      </c>
      <c r="D45" s="2" t="s">
        <v>8</v>
      </c>
      <c r="E45" s="2" t="s">
        <v>73</v>
      </c>
      <c r="F45" s="2" t="s">
        <v>74</v>
      </c>
      <c r="G45" s="2" t="str">
        <f t="shared" si="0"/>
        <v>003CABARET</v>
      </c>
      <c r="H45" s="2">
        <v>10230</v>
      </c>
      <c r="I45" s="2">
        <v>2641.8965516184676</v>
      </c>
      <c r="J45" s="2">
        <v>20000</v>
      </c>
      <c r="K45" s="5">
        <f t="shared" si="1"/>
        <v>3.87221823418216</v>
      </c>
      <c r="L45" s="2">
        <f>VLOOKUP(G45,[1]Estimado_modelo!$G$2:$H$106,2,FALSE)</f>
        <v>6126</v>
      </c>
      <c r="M45" s="6">
        <f t="shared" si="2"/>
        <v>0.40117302052785925</v>
      </c>
    </row>
    <row r="46" spans="1:13">
      <c r="A46" s="2">
        <v>2026</v>
      </c>
      <c r="B46" s="2">
        <v>28</v>
      </c>
      <c r="C46" s="2" t="s">
        <v>10</v>
      </c>
      <c r="D46" s="2" t="s">
        <v>8</v>
      </c>
      <c r="E46" s="2" t="s">
        <v>73</v>
      </c>
      <c r="F46" s="2" t="s">
        <v>19</v>
      </c>
      <c r="G46" s="2" t="str">
        <f t="shared" si="0"/>
        <v>003DEEP PURPLE</v>
      </c>
      <c r="H46" s="2">
        <v>14220</v>
      </c>
      <c r="I46" s="2">
        <v>3592.9793102010881</v>
      </c>
      <c r="J46" s="2">
        <v>26044</v>
      </c>
      <c r="K46" s="5">
        <f t="shared" si="1"/>
        <v>3.9577183090442429</v>
      </c>
      <c r="L46" s="2">
        <f>VLOOKUP(G46,[1]Estimado_modelo!$G$2:$H$106,2,FALSE)</f>
        <v>14389</v>
      </c>
      <c r="M46" s="6">
        <f t="shared" si="2"/>
        <v>-1.1884669479606189E-2</v>
      </c>
    </row>
    <row r="47" spans="1:13">
      <c r="A47" s="2">
        <v>2026</v>
      </c>
      <c r="B47" s="2">
        <v>28</v>
      </c>
      <c r="C47" s="2" t="s">
        <v>10</v>
      </c>
      <c r="D47" s="2" t="s">
        <v>8</v>
      </c>
      <c r="E47" s="2" t="s">
        <v>73</v>
      </c>
      <c r="F47" s="2" t="s">
        <v>66</v>
      </c>
      <c r="G47" s="2" t="str">
        <f t="shared" si="0"/>
        <v>003EXPLORER</v>
      </c>
      <c r="H47" s="2">
        <v>2375</v>
      </c>
      <c r="I47" s="2">
        <v>1268.1103447768635</v>
      </c>
      <c r="J47" s="2">
        <v>9600</v>
      </c>
      <c r="K47" s="5">
        <f t="shared" si="1"/>
        <v>1.8728654093724821</v>
      </c>
      <c r="L47" s="2">
        <f>VLOOKUP(G47,[1]Estimado_modelo!$G$2:$H$106,2,FALSE)</f>
        <v>1885</v>
      </c>
      <c r="M47" s="6">
        <f t="shared" si="2"/>
        <v>0.2063157894736842</v>
      </c>
    </row>
    <row r="48" spans="1:13">
      <c r="A48" s="2">
        <v>2026</v>
      </c>
      <c r="B48" s="2">
        <v>28</v>
      </c>
      <c r="C48" s="2" t="s">
        <v>10</v>
      </c>
      <c r="D48" s="2" t="s">
        <v>8</v>
      </c>
      <c r="E48" s="2" t="s">
        <v>73</v>
      </c>
      <c r="F48" s="2" t="s">
        <v>75</v>
      </c>
      <c r="G48" s="2" t="str">
        <f t="shared" si="0"/>
        <v>003JOCKER</v>
      </c>
      <c r="H48" s="2">
        <v>1300</v>
      </c>
      <c r="I48" s="2">
        <v>528.37931032368999</v>
      </c>
      <c r="J48" s="2">
        <v>4000</v>
      </c>
      <c r="K48" s="5">
        <f t="shared" si="1"/>
        <v>2.460353716733549</v>
      </c>
      <c r="L48" s="2">
        <f>VLOOKUP(G48,[1]Estimado_modelo!$G$2:$H$106,2,FALSE)</f>
        <v>723</v>
      </c>
      <c r="M48" s="6">
        <f t="shared" si="2"/>
        <v>0.44384615384615383</v>
      </c>
    </row>
    <row r="49" spans="1:13">
      <c r="A49" s="2">
        <v>2026</v>
      </c>
      <c r="B49" s="2">
        <v>28</v>
      </c>
      <c r="C49" s="2" t="s">
        <v>10</v>
      </c>
      <c r="D49" s="2" t="s">
        <v>8</v>
      </c>
      <c r="E49" s="2" t="s">
        <v>73</v>
      </c>
      <c r="F49" s="2" t="s">
        <v>76</v>
      </c>
      <c r="G49" s="2" t="str">
        <f t="shared" si="0"/>
        <v>003QUICKSAND</v>
      </c>
      <c r="H49" s="2">
        <v>2040</v>
      </c>
      <c r="I49" s="2">
        <v>1162.4344827121247</v>
      </c>
      <c r="J49" s="2">
        <v>8800</v>
      </c>
      <c r="K49" s="5">
        <f t="shared" si="1"/>
        <v>1.7549376161316124</v>
      </c>
      <c r="L49" s="2">
        <f>VLOOKUP(G49,[1]Estimado_modelo!$G$2:$H$106,2,FALSE)</f>
        <v>1584</v>
      </c>
      <c r="M49" s="6">
        <f t="shared" si="2"/>
        <v>0.22352941176470589</v>
      </c>
    </row>
    <row r="50" spans="1:13">
      <c r="A50" s="2">
        <v>2026</v>
      </c>
      <c r="B50" s="2">
        <v>28</v>
      </c>
      <c r="C50" s="2" t="s">
        <v>10</v>
      </c>
      <c r="D50" s="2" t="s">
        <v>8</v>
      </c>
      <c r="E50" s="2" t="s">
        <v>26</v>
      </c>
      <c r="F50" s="2" t="s">
        <v>18</v>
      </c>
      <c r="G50" s="2" t="str">
        <f t="shared" si="0"/>
        <v>004COTOPAXI</v>
      </c>
      <c r="H50" s="2">
        <v>1440</v>
      </c>
      <c r="I50" s="2">
        <v>528.3915024419166</v>
      </c>
      <c r="J50" s="2">
        <v>4000</v>
      </c>
      <c r="K50" s="5">
        <f t="shared" si="1"/>
        <v>2.7252520022467466</v>
      </c>
      <c r="L50" s="2">
        <f>VLOOKUP(G50,[1]Estimado_modelo!$G$2:$H$106,2,FALSE)</f>
        <v>847</v>
      </c>
      <c r="M50" s="6">
        <f t="shared" si="2"/>
        <v>0.41180555555555554</v>
      </c>
    </row>
    <row r="51" spans="1:13">
      <c r="A51" s="2">
        <v>2026</v>
      </c>
      <c r="B51" s="2">
        <v>28</v>
      </c>
      <c r="C51" s="2" t="s">
        <v>10</v>
      </c>
      <c r="D51" s="2" t="s">
        <v>8</v>
      </c>
      <c r="E51" s="2" t="s">
        <v>26</v>
      </c>
      <c r="F51" s="2" t="s">
        <v>19</v>
      </c>
      <c r="G51" s="2" t="str">
        <f t="shared" si="0"/>
        <v>004DEEP PURPLE</v>
      </c>
      <c r="H51" s="2">
        <v>16920</v>
      </c>
      <c r="I51" s="2">
        <v>3910.1071427007341</v>
      </c>
      <c r="J51" s="2">
        <v>29260</v>
      </c>
      <c r="K51" s="5">
        <f t="shared" si="1"/>
        <v>4.3272471526990577</v>
      </c>
      <c r="L51" s="2">
        <f>VLOOKUP(G51,[1]Estimado_modelo!$G$2:$H$106,2,FALSE)</f>
        <v>19063</v>
      </c>
      <c r="M51" s="6">
        <f t="shared" si="2"/>
        <v>-0.1266548463356974</v>
      </c>
    </row>
    <row r="52" spans="1:13">
      <c r="A52" s="2">
        <v>2026</v>
      </c>
      <c r="B52" s="2">
        <v>28</v>
      </c>
      <c r="C52" s="2" t="s">
        <v>10</v>
      </c>
      <c r="D52" s="2" t="s">
        <v>8</v>
      </c>
      <c r="E52" s="2" t="s">
        <v>26</v>
      </c>
      <c r="F52" s="2" t="s">
        <v>77</v>
      </c>
      <c r="G52" s="2" t="str">
        <f t="shared" si="0"/>
        <v>004HOT EXPLORER</v>
      </c>
      <c r="H52" s="2">
        <v>2425</v>
      </c>
      <c r="I52" s="2">
        <v>1902.2142856381952</v>
      </c>
      <c r="J52" s="2">
        <v>14400</v>
      </c>
      <c r="K52" s="5">
        <f t="shared" si="1"/>
        <v>1.2748300852900016</v>
      </c>
      <c r="L52" s="2">
        <f>VLOOKUP(G52,[1]Estimado_modelo!$G$2:$H$106,2,FALSE)</f>
        <v>2297</v>
      </c>
      <c r="M52" s="6">
        <f t="shared" si="2"/>
        <v>5.2783505154639178E-2</v>
      </c>
    </row>
    <row r="53" spans="1:13">
      <c r="A53" s="2">
        <v>2026</v>
      </c>
      <c r="B53" s="2">
        <v>28</v>
      </c>
      <c r="C53" s="2" t="s">
        <v>10</v>
      </c>
      <c r="D53" s="2" t="s">
        <v>8</v>
      </c>
      <c r="E53" s="2" t="s">
        <v>26</v>
      </c>
      <c r="F53" s="2" t="s">
        <v>78</v>
      </c>
      <c r="G53" s="2" t="str">
        <f t="shared" si="0"/>
        <v>004HOT MERENGUE</v>
      </c>
      <c r="H53" s="2">
        <v>2790</v>
      </c>
      <c r="I53" s="2">
        <v>1162.464285667786</v>
      </c>
      <c r="J53" s="2">
        <v>8800</v>
      </c>
      <c r="K53" s="5">
        <f t="shared" si="1"/>
        <v>2.4000737350801828</v>
      </c>
      <c r="L53" s="2">
        <f>VLOOKUP(G53,[1]Estimado_modelo!$G$2:$H$106,2,FALSE)</f>
        <v>3578</v>
      </c>
      <c r="M53" s="6">
        <f t="shared" si="2"/>
        <v>-0.28243727598566309</v>
      </c>
    </row>
    <row r="54" spans="1:13">
      <c r="A54" s="2">
        <v>2026</v>
      </c>
      <c r="B54" s="2">
        <v>28</v>
      </c>
      <c r="C54" s="2" t="s">
        <v>10</v>
      </c>
      <c r="D54" s="2" t="s">
        <v>8</v>
      </c>
      <c r="E54" s="2" t="s">
        <v>26</v>
      </c>
      <c r="F54" s="2" t="s">
        <v>72</v>
      </c>
      <c r="G54" s="2" t="str">
        <f t="shared" si="0"/>
        <v>004SWEETNESS</v>
      </c>
      <c r="H54" s="2">
        <v>660</v>
      </c>
      <c r="I54" s="2">
        <v>317.03571427303262</v>
      </c>
      <c r="J54" s="2">
        <v>2400</v>
      </c>
      <c r="K54" s="5">
        <f t="shared" si="1"/>
        <v>2.0817843867003734</v>
      </c>
      <c r="L54" s="2">
        <f>VLOOKUP(G54,[1]Estimado_modelo!$G$2:$H$106,2,FALSE)</f>
        <v>508</v>
      </c>
      <c r="M54" s="6">
        <f t="shared" si="2"/>
        <v>0.23030303030303031</v>
      </c>
    </row>
    <row r="55" spans="1:13">
      <c r="A55" s="2">
        <v>2026</v>
      </c>
      <c r="B55" s="2">
        <v>28</v>
      </c>
      <c r="C55" s="2" t="s">
        <v>10</v>
      </c>
      <c r="D55" s="2" t="s">
        <v>8</v>
      </c>
      <c r="E55" s="2" t="s">
        <v>28</v>
      </c>
      <c r="F55" s="2" t="s">
        <v>66</v>
      </c>
      <c r="G55" s="2" t="str">
        <f t="shared" si="0"/>
        <v>005EXPLORER</v>
      </c>
      <c r="H55" s="2">
        <v>1400</v>
      </c>
      <c r="I55" s="2">
        <v>951.10714281875414</v>
      </c>
      <c r="J55" s="2">
        <v>7200</v>
      </c>
      <c r="K55" s="5">
        <f t="shared" si="1"/>
        <v>1.4719687582735232</v>
      </c>
      <c r="L55" s="2">
        <f>VLOOKUP(G55,[1]Estimado_modelo!$G$2:$H$106,2,FALSE)</f>
        <v>1153</v>
      </c>
      <c r="M55" s="6">
        <f t="shared" si="2"/>
        <v>0.17642857142857143</v>
      </c>
    </row>
    <row r="56" spans="1:13">
      <c r="A56" s="2">
        <v>2026</v>
      </c>
      <c r="B56" s="2">
        <v>28</v>
      </c>
      <c r="C56" s="2" t="s">
        <v>10</v>
      </c>
      <c r="D56" s="2" t="s">
        <v>8</v>
      </c>
      <c r="E56" s="2" t="s">
        <v>28</v>
      </c>
      <c r="F56" s="2" t="s">
        <v>79</v>
      </c>
      <c r="G56" s="2" t="str">
        <f t="shared" si="0"/>
        <v>005GOLDFINCH</v>
      </c>
      <c r="H56" s="2">
        <v>1125</v>
      </c>
      <c r="I56" s="2">
        <v>898.26785710660113</v>
      </c>
      <c r="J56" s="2">
        <v>6800</v>
      </c>
      <c r="K56" s="5">
        <f t="shared" si="1"/>
        <v>1.252410393068859</v>
      </c>
      <c r="L56" s="2">
        <f>VLOOKUP(G56,[1]Estimado_modelo!$G$2:$H$106,2,FALSE)</f>
        <v>1217</v>
      </c>
      <c r="M56" s="6">
        <f t="shared" si="2"/>
        <v>-8.1777777777777783E-2</v>
      </c>
    </row>
    <row r="57" spans="1:13">
      <c r="A57" s="2">
        <v>2026</v>
      </c>
      <c r="B57" s="2">
        <v>28</v>
      </c>
      <c r="C57" s="2" t="s">
        <v>10</v>
      </c>
      <c r="D57" s="2" t="s">
        <v>8</v>
      </c>
      <c r="E57" s="2" t="s">
        <v>28</v>
      </c>
      <c r="F57" s="2" t="s">
        <v>75</v>
      </c>
      <c r="G57" s="2" t="str">
        <f t="shared" si="0"/>
        <v>005JOCKER</v>
      </c>
      <c r="H57" s="2">
        <v>2900</v>
      </c>
      <c r="I57" s="2">
        <v>1162.4642856673661</v>
      </c>
      <c r="J57" s="2">
        <v>8800</v>
      </c>
      <c r="K57" s="5">
        <f t="shared" si="1"/>
        <v>2.4947002981129192</v>
      </c>
      <c r="L57" s="2">
        <f>VLOOKUP(G57,[1]Estimado_modelo!$G$2:$H$106,2,FALSE)</f>
        <v>1528</v>
      </c>
      <c r="M57" s="6">
        <f t="shared" si="2"/>
        <v>0.47310344827586209</v>
      </c>
    </row>
    <row r="58" spans="1:13">
      <c r="A58" s="2">
        <v>2026</v>
      </c>
      <c r="B58" s="2">
        <v>28</v>
      </c>
      <c r="C58" s="2" t="s">
        <v>10</v>
      </c>
      <c r="D58" s="2" t="s">
        <v>8</v>
      </c>
      <c r="E58" s="2" t="s">
        <v>28</v>
      </c>
      <c r="F58" s="2" t="s">
        <v>80</v>
      </c>
      <c r="G58" s="2" t="str">
        <f t="shared" si="0"/>
        <v>005VENDELA</v>
      </c>
      <c r="H58" s="2">
        <v>1620</v>
      </c>
      <c r="I58" s="2">
        <v>686.91071425798907</v>
      </c>
      <c r="J58" s="2">
        <v>5200</v>
      </c>
      <c r="K58" s="5">
        <f t="shared" si="1"/>
        <v>2.3583851094096668</v>
      </c>
      <c r="L58" s="2">
        <f>VLOOKUP(G58,[1]Estimado_modelo!$G$2:$H$106,2,FALSE)</f>
        <v>1427</v>
      </c>
      <c r="M58" s="6">
        <f t="shared" si="2"/>
        <v>0.1191358024691358</v>
      </c>
    </row>
    <row r="59" spans="1:13">
      <c r="A59" s="2">
        <v>2026</v>
      </c>
      <c r="B59" s="2">
        <v>28</v>
      </c>
      <c r="C59" s="2" t="s">
        <v>10</v>
      </c>
      <c r="D59" s="2" t="s">
        <v>8</v>
      </c>
      <c r="E59" s="2" t="s">
        <v>81</v>
      </c>
      <c r="F59" s="2" t="s">
        <v>82</v>
      </c>
      <c r="G59" s="2" t="str">
        <f t="shared" si="0"/>
        <v>006ATOMIC</v>
      </c>
      <c r="H59" s="2">
        <v>1100</v>
      </c>
      <c r="I59" s="2">
        <v>845.428571394752</v>
      </c>
      <c r="J59" s="2">
        <v>6400</v>
      </c>
      <c r="K59" s="5">
        <f t="shared" si="1"/>
        <v>1.3011152416877358</v>
      </c>
      <c r="L59" s="2">
        <f>VLOOKUP(G59,[1]Estimado_modelo!$G$2:$H$106,2,FALSE)</f>
        <v>1789</v>
      </c>
      <c r="M59" s="6">
        <f t="shared" si="2"/>
        <v>-0.62636363636363634</v>
      </c>
    </row>
    <row r="60" spans="1:13">
      <c r="A60" s="2">
        <v>2026</v>
      </c>
      <c r="B60" s="2">
        <v>28</v>
      </c>
      <c r="C60" s="2" t="s">
        <v>10</v>
      </c>
      <c r="D60" s="2" t="s">
        <v>8</v>
      </c>
      <c r="E60" s="2" t="s">
        <v>81</v>
      </c>
      <c r="F60" s="2" t="s">
        <v>66</v>
      </c>
      <c r="G60" s="2" t="str">
        <f t="shared" si="0"/>
        <v>006EXPLORER</v>
      </c>
      <c r="H60" s="2">
        <v>6050</v>
      </c>
      <c r="I60" s="2">
        <v>3910.1071427007359</v>
      </c>
      <c r="J60" s="2">
        <v>29600</v>
      </c>
      <c r="K60" s="5">
        <f t="shared" si="1"/>
        <v>1.5472721793043314</v>
      </c>
      <c r="L60" s="2">
        <f>VLOOKUP(G60,[1]Estimado_modelo!$G$2:$H$106,2,FALSE)</f>
        <v>5003</v>
      </c>
      <c r="M60" s="6">
        <f t="shared" si="2"/>
        <v>0.17305785123966941</v>
      </c>
    </row>
    <row r="61" spans="1:13">
      <c r="A61" s="2">
        <v>2026</v>
      </c>
      <c r="B61" s="2">
        <v>28</v>
      </c>
      <c r="C61" s="2" t="s">
        <v>10</v>
      </c>
      <c r="D61" s="2" t="s">
        <v>8</v>
      </c>
      <c r="E61" s="2" t="s">
        <v>81</v>
      </c>
      <c r="F61" s="2" t="s">
        <v>83</v>
      </c>
      <c r="G61" s="2" t="str">
        <f t="shared" si="0"/>
        <v>006MONDIAL</v>
      </c>
      <c r="H61" s="2">
        <v>8975</v>
      </c>
      <c r="I61" s="2">
        <v>4015.7857141250802</v>
      </c>
      <c r="J61" s="2">
        <v>30400</v>
      </c>
      <c r="K61" s="5">
        <f t="shared" si="1"/>
        <v>2.2349300084492643</v>
      </c>
      <c r="L61" s="2">
        <f>VLOOKUP(G61,[1]Estimado_modelo!$G$2:$H$106,2,FALSE)</f>
        <v>5413</v>
      </c>
      <c r="M61" s="6">
        <f t="shared" si="2"/>
        <v>0.39688022284122565</v>
      </c>
    </row>
    <row r="62" spans="1:13">
      <c r="A62" s="2">
        <v>2026</v>
      </c>
      <c r="B62" s="2">
        <v>28</v>
      </c>
      <c r="C62" s="2" t="s">
        <v>10</v>
      </c>
      <c r="D62" s="2" t="s">
        <v>8</v>
      </c>
      <c r="E62" s="2" t="s">
        <v>32</v>
      </c>
      <c r="F62" s="2" t="s">
        <v>65</v>
      </c>
      <c r="G62" s="2" t="str">
        <f t="shared" si="0"/>
        <v>007BELIEVE IN PINK</v>
      </c>
      <c r="H62" s="2">
        <v>0</v>
      </c>
      <c r="I62" s="2">
        <v>964.29224134073957</v>
      </c>
      <c r="J62" s="2">
        <v>7300</v>
      </c>
      <c r="K62" s="5">
        <f t="shared" si="1"/>
        <v>0</v>
      </c>
      <c r="L62" s="2" t="e">
        <f>VLOOKUP(G62,[1]Estimado_modelo!$G$2:$H$106,2,FALSE)</f>
        <v>#N/A</v>
      </c>
      <c r="M62" s="6" t="e">
        <f t="shared" si="2"/>
        <v>#N/A</v>
      </c>
    </row>
    <row r="63" spans="1:13">
      <c r="A63" s="2">
        <v>2026</v>
      </c>
      <c r="B63" s="2">
        <v>28</v>
      </c>
      <c r="C63" s="2" t="s">
        <v>10</v>
      </c>
      <c r="D63" s="2" t="s">
        <v>8</v>
      </c>
      <c r="E63" s="2" t="s">
        <v>32</v>
      </c>
      <c r="F63" s="2" t="s">
        <v>18</v>
      </c>
      <c r="G63" s="2" t="str">
        <f t="shared" si="0"/>
        <v>007COTOPAXI</v>
      </c>
      <c r="H63" s="2">
        <v>6570</v>
      </c>
      <c r="I63" s="2">
        <v>2747.5751230427736</v>
      </c>
      <c r="J63" s="2">
        <v>20800</v>
      </c>
      <c r="K63" s="5">
        <f t="shared" si="1"/>
        <v>2.3911994052137588</v>
      </c>
      <c r="L63" s="2">
        <f>VLOOKUP(G63,[1]Estimado_modelo!$G$2:$H$106,2,FALSE)</f>
        <v>6288</v>
      </c>
      <c r="M63" s="6">
        <f t="shared" si="2"/>
        <v>4.2922374429223746E-2</v>
      </c>
    </row>
    <row r="64" spans="1:13">
      <c r="A64" s="2">
        <v>2026</v>
      </c>
      <c r="B64" s="2">
        <v>28</v>
      </c>
      <c r="C64" s="2" t="s">
        <v>10</v>
      </c>
      <c r="D64" s="2" t="s">
        <v>8</v>
      </c>
      <c r="E64" s="2" t="s">
        <v>32</v>
      </c>
      <c r="F64" s="2" t="s">
        <v>84</v>
      </c>
      <c r="G64" s="2" t="str">
        <f t="shared" si="0"/>
        <v>007REDIANT</v>
      </c>
      <c r="H64" s="2">
        <v>1710</v>
      </c>
      <c r="I64" s="2">
        <v>1056.7586206473795</v>
      </c>
      <c r="J64" s="2">
        <v>9600</v>
      </c>
      <c r="K64" s="5">
        <f t="shared" si="1"/>
        <v>1.6181557136978348</v>
      </c>
      <c r="L64" s="2">
        <f>VLOOKUP(G64,[1]Estimado_modelo!$G$2:$H$106,2,FALSE)</f>
        <v>1247</v>
      </c>
      <c r="M64" s="6">
        <f t="shared" si="2"/>
        <v>0.27076023391812865</v>
      </c>
    </row>
    <row r="65" spans="1:13">
      <c r="A65" s="2">
        <v>2026</v>
      </c>
      <c r="B65" s="2">
        <v>28</v>
      </c>
      <c r="C65" s="2" t="s">
        <v>10</v>
      </c>
      <c r="D65" s="2" t="s">
        <v>8</v>
      </c>
      <c r="E65" s="2" t="s">
        <v>32</v>
      </c>
      <c r="F65" s="2" t="s">
        <v>71</v>
      </c>
      <c r="G65" s="2" t="str">
        <f t="shared" si="0"/>
        <v>007SUMMER ROMANCE</v>
      </c>
      <c r="H65" s="2">
        <v>300</v>
      </c>
      <c r="I65" s="2">
        <v>317.02758619421576</v>
      </c>
      <c r="J65" s="2">
        <v>2640</v>
      </c>
      <c r="K65" s="5">
        <f t="shared" si="1"/>
        <v>0.94628989105135974</v>
      </c>
      <c r="L65" s="2" t="e">
        <f>VLOOKUP(G65,[1]Estimado_modelo!$G$2:$H$106,2,FALSE)</f>
        <v>#N/A</v>
      </c>
      <c r="M65" s="6" t="e">
        <f t="shared" si="2"/>
        <v>#N/A</v>
      </c>
    </row>
    <row r="66" spans="1:13">
      <c r="A66" s="2">
        <v>2026</v>
      </c>
      <c r="B66" s="2">
        <v>28</v>
      </c>
      <c r="C66" s="2" t="s">
        <v>10</v>
      </c>
      <c r="D66" s="2" t="s">
        <v>8</v>
      </c>
      <c r="E66" s="2" t="s">
        <v>32</v>
      </c>
      <c r="F66" s="2" t="s">
        <v>80</v>
      </c>
      <c r="G66" s="2" t="str">
        <f t="shared" si="0"/>
        <v>007VENDELA</v>
      </c>
      <c r="H66" s="2">
        <v>9450</v>
      </c>
      <c r="I66" s="2">
        <v>3592.9793102011167</v>
      </c>
      <c r="J66" s="2">
        <v>27820</v>
      </c>
      <c r="K66" s="5">
        <f t="shared" si="1"/>
        <v>2.6301292560103935</v>
      </c>
      <c r="L66" s="2">
        <f>VLOOKUP(G66,[1]Estimado_modelo!$G$2:$H$106,2,FALSE)</f>
        <v>8635</v>
      </c>
      <c r="M66" s="6">
        <f t="shared" si="2"/>
        <v>8.6243386243386247E-2</v>
      </c>
    </row>
    <row r="67" spans="1:13">
      <c r="A67" s="2">
        <v>2026</v>
      </c>
      <c r="B67" s="2">
        <v>28</v>
      </c>
      <c r="C67" s="2" t="s">
        <v>10</v>
      </c>
      <c r="D67" s="2" t="s">
        <v>8</v>
      </c>
      <c r="E67" s="2" t="s">
        <v>85</v>
      </c>
      <c r="F67" s="2" t="s">
        <v>19</v>
      </c>
      <c r="G67" s="2" t="str">
        <f t="shared" ref="G67:G110" si="3">+E67&amp;F67</f>
        <v>008DEEP PURPLE</v>
      </c>
      <c r="H67" s="2">
        <v>8640</v>
      </c>
      <c r="I67" s="2">
        <v>1585.2222221588088</v>
      </c>
      <c r="J67" s="2">
        <v>11490</v>
      </c>
      <c r="K67" s="5">
        <f t="shared" ref="K67:K110" si="4">+H67/I67</f>
        <v>5.4503399455464097</v>
      </c>
      <c r="L67" s="2">
        <f>VLOOKUP(G67,[1]Estimado_modelo!$G$2:$H$106,2,FALSE)</f>
        <v>6139</v>
      </c>
      <c r="M67" s="6">
        <f t="shared" ref="M67:M110" si="5">+(H67-L67)/H67</f>
        <v>0.28946759259259258</v>
      </c>
    </row>
    <row r="68" spans="1:13">
      <c r="A68" s="2">
        <v>2026</v>
      </c>
      <c r="B68" s="2">
        <v>28</v>
      </c>
      <c r="C68" s="2" t="s">
        <v>10</v>
      </c>
      <c r="D68" s="2" t="s">
        <v>8</v>
      </c>
      <c r="E68" s="2" t="s">
        <v>85</v>
      </c>
      <c r="F68" s="2" t="s">
        <v>86</v>
      </c>
      <c r="G68" s="2" t="str">
        <f t="shared" si="3"/>
        <v>008FREEDOM</v>
      </c>
      <c r="H68" s="2">
        <v>3960</v>
      </c>
      <c r="I68" s="2">
        <v>2219.3111110223322</v>
      </c>
      <c r="J68" s="2">
        <v>16800</v>
      </c>
      <c r="K68" s="5">
        <f t="shared" si="4"/>
        <v>1.7843374821729319</v>
      </c>
      <c r="L68" s="2">
        <f>VLOOKUP(G68,[1]Estimado_modelo!$G$2:$H$106,2,FALSE)</f>
        <v>5372</v>
      </c>
      <c r="M68" s="6">
        <f t="shared" si="5"/>
        <v>-0.35656565656565659</v>
      </c>
    </row>
    <row r="69" spans="1:13">
      <c r="A69" s="2">
        <v>2026</v>
      </c>
      <c r="B69" s="2">
        <v>28</v>
      </c>
      <c r="C69" s="2" t="s">
        <v>10</v>
      </c>
      <c r="D69" s="2" t="s">
        <v>8</v>
      </c>
      <c r="E69" s="2" t="s">
        <v>85</v>
      </c>
      <c r="F69" s="2" t="s">
        <v>75</v>
      </c>
      <c r="G69" s="2" t="str">
        <f t="shared" si="3"/>
        <v>008JOCKER</v>
      </c>
      <c r="H69" s="2">
        <v>6700</v>
      </c>
      <c r="I69" s="2">
        <v>2959.0814813631118</v>
      </c>
      <c r="J69" s="2">
        <v>22400</v>
      </c>
      <c r="K69" s="5">
        <f t="shared" si="4"/>
        <v>2.2642161232118623</v>
      </c>
      <c r="L69" s="2">
        <f>VLOOKUP(G69,[1]Estimado_modelo!$G$2:$H$106,2,FALSE)</f>
        <v>3706</v>
      </c>
      <c r="M69" s="6">
        <f t="shared" si="5"/>
        <v>0.44686567164179103</v>
      </c>
    </row>
    <row r="70" spans="1:13">
      <c r="A70" s="2">
        <v>2026</v>
      </c>
      <c r="B70" s="2">
        <v>28</v>
      </c>
      <c r="C70" s="2" t="s">
        <v>10</v>
      </c>
      <c r="D70" s="2" t="s">
        <v>8</v>
      </c>
      <c r="E70" s="2" t="s">
        <v>85</v>
      </c>
      <c r="F70" s="2" t="s">
        <v>69</v>
      </c>
      <c r="G70" s="2" t="str">
        <f t="shared" si="3"/>
        <v>008LUMIA</v>
      </c>
      <c r="H70" s="2">
        <v>3180</v>
      </c>
      <c r="I70" s="2">
        <v>1796.5851851133164</v>
      </c>
      <c r="J70" s="2">
        <v>13600</v>
      </c>
      <c r="K70" s="5">
        <f t="shared" si="4"/>
        <v>1.770024614668871</v>
      </c>
      <c r="L70" s="2" t="e">
        <f>VLOOKUP(G70,[1]Estimado_modelo!$G$2:$H$106,2,FALSE)</f>
        <v>#N/A</v>
      </c>
      <c r="M70" s="6" t="e">
        <f t="shared" si="5"/>
        <v>#N/A</v>
      </c>
    </row>
    <row r="71" spans="1:13">
      <c r="A71" s="2">
        <v>2026</v>
      </c>
      <c r="B71" s="2">
        <v>28</v>
      </c>
      <c r="C71" s="2" t="s">
        <v>10</v>
      </c>
      <c r="D71" s="2" t="s">
        <v>8</v>
      </c>
      <c r="E71" s="2" t="s">
        <v>87</v>
      </c>
      <c r="F71" s="2" t="s">
        <v>88</v>
      </c>
      <c r="G71" s="2" t="str">
        <f t="shared" si="3"/>
        <v>010COOLDOWN</v>
      </c>
      <c r="H71" s="2">
        <v>3725</v>
      </c>
      <c r="I71" s="2">
        <v>1912.3542857142854</v>
      </c>
      <c r="J71" s="2">
        <v>16320</v>
      </c>
      <c r="K71" s="5">
        <f t="shared" si="4"/>
        <v>1.9478608267445963</v>
      </c>
      <c r="L71" s="2">
        <f>VLOOKUP(G71,[1]Estimado_modelo!$G$2:$H$106,2,FALSE)</f>
        <v>2011</v>
      </c>
      <c r="M71" s="6">
        <f t="shared" si="5"/>
        <v>0.46013422818791944</v>
      </c>
    </row>
    <row r="72" spans="1:13">
      <c r="A72" s="2">
        <v>2026</v>
      </c>
      <c r="B72" s="2">
        <v>28</v>
      </c>
      <c r="C72" s="2" t="s">
        <v>10</v>
      </c>
      <c r="D72" s="2" t="s">
        <v>8</v>
      </c>
      <c r="E72" s="2" t="s">
        <v>87</v>
      </c>
      <c r="F72" s="2" t="s">
        <v>89</v>
      </c>
      <c r="G72" s="2" t="str">
        <f t="shared" si="3"/>
        <v>010VIOLET HILL</v>
      </c>
      <c r="H72" s="2">
        <v>6990</v>
      </c>
      <c r="I72" s="2">
        <v>2812.2857142428566</v>
      </c>
      <c r="J72" s="2">
        <v>20000</v>
      </c>
      <c r="K72" s="5">
        <f t="shared" si="4"/>
        <v>2.4855227065298013</v>
      </c>
      <c r="L72" s="2">
        <f>VLOOKUP(G72,[1]Estimado_modelo!$G$2:$H$106,2,FALSE)</f>
        <v>2073</v>
      </c>
      <c r="M72" s="6">
        <f t="shared" si="5"/>
        <v>0.70343347639484977</v>
      </c>
    </row>
    <row r="73" spans="1:13">
      <c r="A73" s="2">
        <v>2026</v>
      </c>
      <c r="B73" s="2">
        <v>28</v>
      </c>
      <c r="C73" s="2" t="s">
        <v>10</v>
      </c>
      <c r="D73" s="2" t="s">
        <v>8</v>
      </c>
      <c r="E73" s="2" t="s">
        <v>90</v>
      </c>
      <c r="F73" s="2" t="s">
        <v>91</v>
      </c>
      <c r="G73" s="2" t="str">
        <f t="shared" si="3"/>
        <v>011BRIGHTON</v>
      </c>
      <c r="H73" s="2">
        <v>3775</v>
      </c>
      <c r="I73" s="2">
        <v>1768.8376470588212</v>
      </c>
      <c r="J73" s="2">
        <v>12800</v>
      </c>
      <c r="K73" s="5">
        <f t="shared" si="4"/>
        <v>2.1341698636259667</v>
      </c>
      <c r="L73" s="2">
        <f>VLOOKUP(G73,[1]Estimado_modelo!$G$2:$H$106,2,FALSE)</f>
        <v>2103</v>
      </c>
      <c r="M73" s="6">
        <f t="shared" si="5"/>
        <v>0.4429139072847682</v>
      </c>
    </row>
    <row r="74" spans="1:13">
      <c r="A74" s="2">
        <v>2026</v>
      </c>
      <c r="B74" s="2">
        <v>28</v>
      </c>
      <c r="C74" s="2" t="s">
        <v>10</v>
      </c>
      <c r="D74" s="2" t="s">
        <v>8</v>
      </c>
      <c r="E74" s="2" t="s">
        <v>90</v>
      </c>
      <c r="F74" s="2" t="s">
        <v>92</v>
      </c>
      <c r="G74" s="2" t="str">
        <f t="shared" si="3"/>
        <v>011CANDLELIGHT</v>
      </c>
      <c r="H74" s="2">
        <v>4820</v>
      </c>
      <c r="I74" s="2">
        <v>2263.799999886814</v>
      </c>
      <c r="J74" s="2">
        <v>17920</v>
      </c>
      <c r="K74" s="5">
        <f t="shared" si="4"/>
        <v>2.129163353759604</v>
      </c>
      <c r="L74" s="2">
        <f>VLOOKUP(G74,[1]Estimado_modelo!$G$2:$H$106,2,FALSE)</f>
        <v>3350</v>
      </c>
      <c r="M74" s="6">
        <f t="shared" si="5"/>
        <v>0.30497925311203322</v>
      </c>
    </row>
    <row r="75" spans="1:13">
      <c r="A75" s="2">
        <v>2026</v>
      </c>
      <c r="B75" s="2">
        <v>28</v>
      </c>
      <c r="C75" s="2" t="s">
        <v>10</v>
      </c>
      <c r="D75" s="2" t="s">
        <v>8</v>
      </c>
      <c r="E75" s="2" t="s">
        <v>90</v>
      </c>
      <c r="F75" s="2" t="s">
        <v>93</v>
      </c>
      <c r="G75" s="2" t="str">
        <f t="shared" si="3"/>
        <v>011CAYENNE</v>
      </c>
      <c r="H75" s="2">
        <v>2220</v>
      </c>
      <c r="I75" s="2">
        <v>994.97117647058758</v>
      </c>
      <c r="J75" s="2">
        <v>7200</v>
      </c>
      <c r="K75" s="5">
        <f t="shared" si="4"/>
        <v>2.2312204137157994</v>
      </c>
      <c r="L75" s="2">
        <f>VLOOKUP(G75,[1]Estimado_modelo!$G$2:$H$106,2,FALSE)</f>
        <v>1224</v>
      </c>
      <c r="M75" s="6">
        <f t="shared" si="5"/>
        <v>0.44864864864864867</v>
      </c>
    </row>
    <row r="76" spans="1:13">
      <c r="A76" s="2">
        <v>2026</v>
      </c>
      <c r="B76" s="2">
        <v>28</v>
      </c>
      <c r="C76" s="2" t="s">
        <v>10</v>
      </c>
      <c r="D76" s="2" t="s">
        <v>8</v>
      </c>
      <c r="E76" s="2" t="s">
        <v>90</v>
      </c>
      <c r="F76" s="2" t="s">
        <v>69</v>
      </c>
      <c r="G76" s="2" t="str">
        <f t="shared" si="3"/>
        <v>011LUMIA</v>
      </c>
      <c r="H76" s="2">
        <v>1890</v>
      </c>
      <c r="I76" s="2">
        <v>994.97117647058769</v>
      </c>
      <c r="J76" s="2">
        <v>7920</v>
      </c>
      <c r="K76" s="5">
        <f t="shared" si="4"/>
        <v>1.8995525143796668</v>
      </c>
      <c r="L76" s="2">
        <f>VLOOKUP(G76,[1]Estimado_modelo!$G$2:$H$106,2,FALSE)</f>
        <v>1349</v>
      </c>
      <c r="M76" s="6">
        <f t="shared" si="5"/>
        <v>0.28624338624338624</v>
      </c>
    </row>
    <row r="77" spans="1:13">
      <c r="A77" s="2">
        <v>2026</v>
      </c>
      <c r="B77" s="2">
        <v>28</v>
      </c>
      <c r="C77" s="2" t="s">
        <v>10</v>
      </c>
      <c r="D77" s="2" t="s">
        <v>8</v>
      </c>
      <c r="E77" s="2" t="s">
        <v>90</v>
      </c>
      <c r="F77" s="2" t="s">
        <v>94</v>
      </c>
      <c r="G77" s="2" t="str">
        <f t="shared" si="3"/>
        <v>011STARDUST</v>
      </c>
      <c r="H77" s="2">
        <v>4025</v>
      </c>
      <c r="I77" s="2">
        <v>2263.799999886814</v>
      </c>
      <c r="J77" s="2">
        <v>17920</v>
      </c>
      <c r="K77" s="5">
        <f t="shared" si="4"/>
        <v>1.7779839209299597</v>
      </c>
      <c r="L77" s="2">
        <f>VLOOKUP(G77,[1]Estimado_modelo!$G$2:$H$106,2,FALSE)</f>
        <v>3542</v>
      </c>
      <c r="M77" s="6">
        <f t="shared" si="5"/>
        <v>0.12</v>
      </c>
    </row>
    <row r="78" spans="1:13">
      <c r="A78" s="2">
        <v>2026</v>
      </c>
      <c r="B78" s="2">
        <v>28</v>
      </c>
      <c r="C78" s="2" t="s">
        <v>10</v>
      </c>
      <c r="D78" s="2" t="s">
        <v>8</v>
      </c>
      <c r="E78" s="2" t="s">
        <v>95</v>
      </c>
      <c r="F78" s="2" t="s">
        <v>19</v>
      </c>
      <c r="G78" s="2" t="str">
        <f t="shared" si="3"/>
        <v>012DEEP PURPLE</v>
      </c>
      <c r="H78" s="2">
        <v>24420</v>
      </c>
      <c r="I78" s="2">
        <v>6727.0499997982633</v>
      </c>
      <c r="J78" s="2">
        <v>49210</v>
      </c>
      <c r="K78" s="5">
        <f t="shared" si="4"/>
        <v>3.6301201865204402</v>
      </c>
      <c r="L78" s="2">
        <f>VLOOKUP(G78,[1]Estimado_modelo!$G$2:$H$106,2,FALSE)</f>
        <v>15517</v>
      </c>
      <c r="M78" s="6">
        <f t="shared" si="5"/>
        <v>0.3645782145782146</v>
      </c>
    </row>
    <row r="79" spans="1:13">
      <c r="A79" s="2">
        <v>2026</v>
      </c>
      <c r="B79" s="2">
        <v>28</v>
      </c>
      <c r="C79" s="2" t="s">
        <v>10</v>
      </c>
      <c r="D79" s="2" t="s">
        <v>8</v>
      </c>
      <c r="E79" s="2" t="s">
        <v>95</v>
      </c>
      <c r="F79" s="2" t="s">
        <v>68</v>
      </c>
      <c r="G79" s="2" t="str">
        <f t="shared" si="3"/>
        <v>012LIGHT HOUSE</v>
      </c>
      <c r="H79" s="2">
        <v>2460</v>
      </c>
      <c r="I79" s="2">
        <v>994.9499999999997</v>
      </c>
      <c r="J79" s="2">
        <v>7200</v>
      </c>
      <c r="K79" s="5">
        <f t="shared" si="4"/>
        <v>2.4724860545756076</v>
      </c>
      <c r="L79" s="2">
        <f>VLOOKUP(G79,[1]Estimado_modelo!$G$2:$H$106,2,FALSE)</f>
        <v>1468</v>
      </c>
      <c r="M79" s="6">
        <f t="shared" si="5"/>
        <v>0.40325203252032521</v>
      </c>
    </row>
    <row r="80" spans="1:13">
      <c r="A80" s="2">
        <v>2026</v>
      </c>
      <c r="B80" s="2">
        <v>28</v>
      </c>
      <c r="C80" s="2" t="s">
        <v>10</v>
      </c>
      <c r="D80" s="2" t="s">
        <v>8</v>
      </c>
      <c r="E80" s="2" t="s">
        <v>96</v>
      </c>
      <c r="F80" s="2" t="s">
        <v>97</v>
      </c>
      <c r="G80" s="2" t="str">
        <f t="shared" si="3"/>
        <v>013COUNTRY BLUES</v>
      </c>
      <c r="H80" s="2">
        <v>1440</v>
      </c>
      <c r="I80" s="2">
        <v>831.60000000000025</v>
      </c>
      <c r="J80" s="2">
        <v>6300</v>
      </c>
      <c r="K80" s="5">
        <f t="shared" si="4"/>
        <v>1.7316017316017311</v>
      </c>
      <c r="L80" s="2">
        <f>VLOOKUP(G80,[1]Estimado_modelo!$G$2:$H$106,2,FALSE)</f>
        <v>1400</v>
      </c>
      <c r="M80" s="6">
        <f t="shared" si="5"/>
        <v>2.7777777777777776E-2</v>
      </c>
    </row>
    <row r="81" spans="1:13">
      <c r="A81" s="2">
        <v>2026</v>
      </c>
      <c r="B81" s="2">
        <v>28</v>
      </c>
      <c r="C81" s="2" t="s">
        <v>10</v>
      </c>
      <c r="D81" s="2" t="s">
        <v>8</v>
      </c>
      <c r="E81" s="2" t="s">
        <v>96</v>
      </c>
      <c r="F81" s="2" t="s">
        <v>98</v>
      </c>
      <c r="G81" s="2" t="str">
        <f t="shared" si="3"/>
        <v>013LORRAINE</v>
      </c>
      <c r="H81" s="2">
        <v>4600</v>
      </c>
      <c r="I81" s="2">
        <v>1267.1999999999998</v>
      </c>
      <c r="J81" s="2">
        <v>9600</v>
      </c>
      <c r="K81" s="5">
        <f t="shared" si="4"/>
        <v>3.6300505050505056</v>
      </c>
      <c r="L81" s="2">
        <f>VLOOKUP(G81,[1]Estimado_modelo!$G$2:$H$106,2,FALSE)</f>
        <v>3308</v>
      </c>
      <c r="M81" s="6">
        <f t="shared" si="5"/>
        <v>0.28086956521739131</v>
      </c>
    </row>
    <row r="82" spans="1:13">
      <c r="A82" s="2">
        <v>2026</v>
      </c>
      <c r="B82" s="2">
        <v>28</v>
      </c>
      <c r="C82" s="2" t="s">
        <v>10</v>
      </c>
      <c r="D82" s="2" t="s">
        <v>8</v>
      </c>
      <c r="E82" s="2" t="s">
        <v>96</v>
      </c>
      <c r="F82" s="2" t="s">
        <v>69</v>
      </c>
      <c r="G82" s="2" t="str">
        <f t="shared" si="3"/>
        <v>013LUMIA</v>
      </c>
      <c r="H82" s="2">
        <v>630</v>
      </c>
      <c r="I82" s="2">
        <v>316.8</v>
      </c>
      <c r="J82" s="2">
        <v>2400</v>
      </c>
      <c r="K82" s="5">
        <f t="shared" si="4"/>
        <v>1.9886363636363635</v>
      </c>
      <c r="L82" s="2">
        <f>VLOOKUP(G82,[1]Estimado_modelo!$G$2:$H$106,2,FALSE)</f>
        <v>651</v>
      </c>
      <c r="M82" s="6">
        <f t="shared" si="5"/>
        <v>-3.3333333333333333E-2</v>
      </c>
    </row>
    <row r="83" spans="1:13">
      <c r="A83" s="2">
        <v>2026</v>
      </c>
      <c r="B83" s="2">
        <v>28</v>
      </c>
      <c r="C83" s="2" t="s">
        <v>10</v>
      </c>
      <c r="D83" s="2" t="s">
        <v>8</v>
      </c>
      <c r="E83" s="2" t="s">
        <v>96</v>
      </c>
      <c r="F83" s="2" t="s">
        <v>80</v>
      </c>
      <c r="G83" s="2" t="str">
        <f t="shared" si="3"/>
        <v>013VENDELA</v>
      </c>
      <c r="H83" s="2">
        <v>12300</v>
      </c>
      <c r="I83" s="2">
        <v>3603.5999999999949</v>
      </c>
      <c r="J83" s="2">
        <v>27296</v>
      </c>
      <c r="K83" s="5">
        <f t="shared" si="4"/>
        <v>3.4132534132534182</v>
      </c>
      <c r="L83" s="2">
        <f>VLOOKUP(G83,[1]Estimado_modelo!$G$2:$H$106,2,FALSE)</f>
        <v>9054</v>
      </c>
      <c r="M83" s="6">
        <f t="shared" si="5"/>
        <v>0.26390243902439026</v>
      </c>
    </row>
    <row r="84" spans="1:13">
      <c r="A84" s="2">
        <v>2026</v>
      </c>
      <c r="B84" s="2">
        <v>28</v>
      </c>
      <c r="C84" s="2" t="s">
        <v>10</v>
      </c>
      <c r="D84" s="2" t="s">
        <v>8</v>
      </c>
      <c r="E84" s="2" t="s">
        <v>35</v>
      </c>
      <c r="F84" s="2" t="s">
        <v>94</v>
      </c>
      <c r="G84" s="2" t="str">
        <f t="shared" si="3"/>
        <v>014STARDUST</v>
      </c>
      <c r="H84" s="2">
        <v>9075</v>
      </c>
      <c r="I84" s="2">
        <v>3682.7999999999943</v>
      </c>
      <c r="J84" s="2">
        <v>27900</v>
      </c>
      <c r="K84" s="5">
        <f t="shared" si="4"/>
        <v>2.4641577060931938</v>
      </c>
      <c r="L84" s="2">
        <f>VLOOKUP(G84,[1]Estimado_modelo!$G$2:$H$106,2,FALSE)</f>
        <v>5382</v>
      </c>
      <c r="M84" s="6">
        <f t="shared" si="5"/>
        <v>0.40694214876033058</v>
      </c>
    </row>
    <row r="85" spans="1:13">
      <c r="A85" s="2">
        <v>2026</v>
      </c>
      <c r="B85" s="2">
        <v>28</v>
      </c>
      <c r="C85" s="2" t="s">
        <v>10</v>
      </c>
      <c r="D85" s="2" t="s">
        <v>8</v>
      </c>
      <c r="E85" s="2" t="s">
        <v>37</v>
      </c>
      <c r="F85" s="2" t="s">
        <v>75</v>
      </c>
      <c r="G85" s="2" t="str">
        <f t="shared" si="3"/>
        <v>015JOCKER</v>
      </c>
      <c r="H85" s="2">
        <v>7725</v>
      </c>
      <c r="I85" s="2">
        <v>2375.9999999999973</v>
      </c>
      <c r="J85" s="2">
        <v>18000</v>
      </c>
      <c r="K85" s="5">
        <f t="shared" si="4"/>
        <v>3.2512626262626299</v>
      </c>
      <c r="L85" s="2">
        <f>VLOOKUP(G85,[1]Estimado_modelo!$G$2:$H$106,2,FALSE)</f>
        <v>3465</v>
      </c>
      <c r="M85" s="6">
        <f t="shared" si="5"/>
        <v>0.55145631067961165</v>
      </c>
    </row>
    <row r="86" spans="1:13">
      <c r="A86" s="2">
        <v>2026</v>
      </c>
      <c r="B86" s="2">
        <v>28</v>
      </c>
      <c r="C86" s="2" t="s">
        <v>10</v>
      </c>
      <c r="D86" s="2" t="s">
        <v>8</v>
      </c>
      <c r="E86" s="2" t="s">
        <v>39</v>
      </c>
      <c r="F86" s="2" t="s">
        <v>99</v>
      </c>
      <c r="G86" s="2" t="str">
        <f t="shared" si="3"/>
        <v>016DREAM IN PEACH</v>
      </c>
      <c r="H86" s="2">
        <v>1950</v>
      </c>
      <c r="I86" s="2">
        <v>950.40000000000032</v>
      </c>
      <c r="J86" s="2">
        <v>7200</v>
      </c>
      <c r="K86" s="5">
        <f t="shared" si="4"/>
        <v>2.051767676767676</v>
      </c>
      <c r="L86" s="2">
        <f>VLOOKUP(G86,[1]Estimado_modelo!$G$2:$H$106,2,FALSE)</f>
        <v>1637</v>
      </c>
      <c r="M86" s="6">
        <f t="shared" si="5"/>
        <v>0.16051282051282051</v>
      </c>
    </row>
    <row r="87" spans="1:13">
      <c r="A87" s="2">
        <v>2026</v>
      </c>
      <c r="B87" s="2">
        <v>28</v>
      </c>
      <c r="C87" s="2" t="s">
        <v>10</v>
      </c>
      <c r="D87" s="2" t="s">
        <v>8</v>
      </c>
      <c r="E87" s="2" t="s">
        <v>39</v>
      </c>
      <c r="F87" s="2" t="s">
        <v>100</v>
      </c>
      <c r="G87" s="2" t="str">
        <f t="shared" si="3"/>
        <v>016NINA</v>
      </c>
      <c r="H87" s="2">
        <v>3875</v>
      </c>
      <c r="I87" s="2">
        <v>1346.3999999999996</v>
      </c>
      <c r="J87" s="2">
        <v>10200</v>
      </c>
      <c r="K87" s="5">
        <f t="shared" si="4"/>
        <v>2.8780451574569228</v>
      </c>
      <c r="L87" s="2">
        <f>VLOOKUP(G87,[1]Estimado_modelo!$G$2:$H$106,2,FALSE)</f>
        <v>2458</v>
      </c>
      <c r="M87" s="6">
        <f t="shared" si="5"/>
        <v>0.36567741935483872</v>
      </c>
    </row>
    <row r="88" spans="1:13">
      <c r="A88" s="2">
        <v>2026</v>
      </c>
      <c r="B88" s="2">
        <v>28</v>
      </c>
      <c r="C88" s="2" t="s">
        <v>10</v>
      </c>
      <c r="D88" s="2" t="s">
        <v>8</v>
      </c>
      <c r="E88" s="2" t="s">
        <v>42</v>
      </c>
      <c r="F88" s="2" t="s">
        <v>86</v>
      </c>
      <c r="G88" s="2" t="str">
        <f t="shared" si="3"/>
        <v>017FREEDOM</v>
      </c>
      <c r="H88" s="2">
        <v>6390</v>
      </c>
      <c r="I88" s="2">
        <v>2851.1999999999962</v>
      </c>
      <c r="J88" s="2">
        <v>21600</v>
      </c>
      <c r="K88" s="5">
        <f t="shared" si="4"/>
        <v>2.241161616161619</v>
      </c>
      <c r="L88" s="2">
        <f>VLOOKUP(G88,[1]Estimado_modelo!$G$2:$H$106,2,FALSE)</f>
        <v>6590</v>
      </c>
      <c r="M88" s="6">
        <f t="shared" si="5"/>
        <v>-3.1298904538341159E-2</v>
      </c>
    </row>
    <row r="89" spans="1:13">
      <c r="A89" s="2">
        <v>2026</v>
      </c>
      <c r="B89" s="2">
        <v>28</v>
      </c>
      <c r="C89" s="2" t="s">
        <v>10</v>
      </c>
      <c r="D89" s="2" t="s">
        <v>8</v>
      </c>
      <c r="E89" s="2" t="s">
        <v>42</v>
      </c>
      <c r="F89" s="2" t="s">
        <v>79</v>
      </c>
      <c r="G89" s="2" t="str">
        <f t="shared" si="3"/>
        <v>017GOLDFINCH</v>
      </c>
      <c r="H89" s="2">
        <v>3500</v>
      </c>
      <c r="I89" s="2">
        <v>2138.3999999999978</v>
      </c>
      <c r="J89" s="2">
        <v>16200</v>
      </c>
      <c r="K89" s="5">
        <f t="shared" si="4"/>
        <v>1.6367377478488607</v>
      </c>
      <c r="L89" s="2">
        <f>VLOOKUP(G89,[1]Estimado_modelo!$G$2:$H$106,2,FALSE)</f>
        <v>2982</v>
      </c>
      <c r="M89" s="6">
        <f t="shared" si="5"/>
        <v>0.14799999999999999</v>
      </c>
    </row>
    <row r="90" spans="1:13">
      <c r="A90" s="2">
        <v>2026</v>
      </c>
      <c r="B90" s="2">
        <v>28</v>
      </c>
      <c r="C90" s="2" t="s">
        <v>10</v>
      </c>
      <c r="D90" s="2" t="s">
        <v>8</v>
      </c>
      <c r="E90" s="2" t="s">
        <v>44</v>
      </c>
      <c r="F90" s="2" t="s">
        <v>91</v>
      </c>
      <c r="G90" s="2" t="str">
        <f t="shared" si="3"/>
        <v>018BRIGHTON</v>
      </c>
      <c r="H90" s="2">
        <v>3175</v>
      </c>
      <c r="I90" s="2">
        <v>963.60000000000036</v>
      </c>
      <c r="J90" s="2">
        <v>7570</v>
      </c>
      <c r="K90" s="5">
        <f t="shared" si="4"/>
        <v>3.2949356579493552</v>
      </c>
      <c r="L90" s="2">
        <f>VLOOKUP(G90,[1]Estimado_modelo!$G$2:$H$106,2,FALSE)</f>
        <v>2083</v>
      </c>
      <c r="M90" s="6">
        <f t="shared" si="5"/>
        <v>0.34393700787401577</v>
      </c>
    </row>
    <row r="91" spans="1:13">
      <c r="A91" s="2">
        <v>2026</v>
      </c>
      <c r="B91" s="2">
        <v>28</v>
      </c>
      <c r="C91" s="2" t="s">
        <v>10</v>
      </c>
      <c r="D91" s="2" t="s">
        <v>8</v>
      </c>
      <c r="E91" s="2" t="s">
        <v>47</v>
      </c>
      <c r="F91" s="2" t="s">
        <v>91</v>
      </c>
      <c r="G91" s="2" t="str">
        <f t="shared" si="3"/>
        <v>019BRIGHTON</v>
      </c>
      <c r="H91" s="2">
        <v>9975</v>
      </c>
      <c r="I91" s="2">
        <v>3167.9999999999955</v>
      </c>
      <c r="J91" s="2">
        <v>24000</v>
      </c>
      <c r="K91" s="5">
        <f t="shared" si="4"/>
        <v>3.1486742424242471</v>
      </c>
      <c r="L91" s="2">
        <f>VLOOKUP(G91,[1]Estimado_modelo!$G$2:$H$106,2,FALSE)</f>
        <v>7782</v>
      </c>
      <c r="M91" s="6">
        <f t="shared" si="5"/>
        <v>0.21984962406015038</v>
      </c>
    </row>
    <row r="92" spans="1:13">
      <c r="A92" s="2">
        <v>2026</v>
      </c>
      <c r="B92" s="2">
        <v>28</v>
      </c>
      <c r="C92" s="2" t="s">
        <v>10</v>
      </c>
      <c r="D92" s="2" t="s">
        <v>8</v>
      </c>
      <c r="E92" s="2" t="s">
        <v>47</v>
      </c>
      <c r="F92" s="2" t="s">
        <v>101</v>
      </c>
      <c r="G92" s="2" t="str">
        <f t="shared" si="3"/>
        <v>019TABATHA</v>
      </c>
      <c r="H92" s="2">
        <v>2250</v>
      </c>
      <c r="I92" s="2">
        <v>1188</v>
      </c>
      <c r="J92" s="2">
        <v>9000</v>
      </c>
      <c r="K92" s="5">
        <f t="shared" si="4"/>
        <v>1.893939393939394</v>
      </c>
      <c r="L92" s="2">
        <f>VLOOKUP(G92,[1]Estimado_modelo!$G$2:$H$106,2,FALSE)</f>
        <v>2394</v>
      </c>
      <c r="M92" s="6">
        <f t="shared" si="5"/>
        <v>-6.4000000000000001E-2</v>
      </c>
    </row>
    <row r="93" spans="1:13">
      <c r="A93" s="2">
        <v>2026</v>
      </c>
      <c r="B93" s="2">
        <v>28</v>
      </c>
      <c r="C93" s="2" t="s">
        <v>10</v>
      </c>
      <c r="D93" s="2" t="s">
        <v>8</v>
      </c>
      <c r="E93" s="2" t="s">
        <v>48</v>
      </c>
      <c r="F93" s="2" t="s">
        <v>91</v>
      </c>
      <c r="G93" s="2" t="str">
        <f t="shared" si="3"/>
        <v>020BRIGHTON</v>
      </c>
      <c r="H93" s="2">
        <v>6450</v>
      </c>
      <c r="I93" s="2">
        <v>2732.3999999999965</v>
      </c>
      <c r="J93" s="2">
        <v>20700</v>
      </c>
      <c r="K93" s="5">
        <f t="shared" si="4"/>
        <v>2.3605621431708417</v>
      </c>
      <c r="L93" s="2">
        <f>VLOOKUP(G93,[1]Estimado_modelo!$G$2:$H$106,2,FALSE)</f>
        <v>5277</v>
      </c>
      <c r="M93" s="6">
        <f t="shared" si="5"/>
        <v>0.18186046511627907</v>
      </c>
    </row>
    <row r="94" spans="1:13">
      <c r="A94" s="2">
        <v>2026</v>
      </c>
      <c r="B94" s="2">
        <v>28</v>
      </c>
      <c r="C94" s="2" t="s">
        <v>10</v>
      </c>
      <c r="D94" s="2" t="s">
        <v>8</v>
      </c>
      <c r="E94" s="2" t="s">
        <v>48</v>
      </c>
      <c r="F94" s="2" t="s">
        <v>102</v>
      </c>
      <c r="G94" s="2" t="str">
        <f t="shared" si="3"/>
        <v>020TYCOON</v>
      </c>
      <c r="H94" s="2">
        <v>1500</v>
      </c>
      <c r="I94" s="2">
        <v>673.2</v>
      </c>
      <c r="J94" s="2">
        <v>5100</v>
      </c>
      <c r="K94" s="5">
        <f t="shared" si="4"/>
        <v>2.2281639928698751</v>
      </c>
      <c r="L94" s="2">
        <f>VLOOKUP(G94,[1]Estimado_modelo!$G$2:$H$106,2,FALSE)</f>
        <v>978</v>
      </c>
      <c r="M94" s="6">
        <f t="shared" si="5"/>
        <v>0.34799999999999998</v>
      </c>
    </row>
    <row r="95" spans="1:13">
      <c r="A95" s="2">
        <v>2026</v>
      </c>
      <c r="B95" s="2">
        <v>28</v>
      </c>
      <c r="C95" s="2" t="s">
        <v>10</v>
      </c>
      <c r="D95" s="2" t="s">
        <v>8</v>
      </c>
      <c r="E95" s="2" t="s">
        <v>50</v>
      </c>
      <c r="F95" s="2" t="s">
        <v>103</v>
      </c>
      <c r="G95" s="2" t="str">
        <f t="shared" si="3"/>
        <v>021SHOW GIRL</v>
      </c>
      <c r="H95" s="2">
        <v>1225</v>
      </c>
      <c r="I95" s="2">
        <v>1100.4749999999997</v>
      </c>
      <c r="J95" s="2">
        <v>8000</v>
      </c>
      <c r="K95" s="5">
        <f t="shared" si="4"/>
        <v>1.1131556827733482</v>
      </c>
      <c r="L95" s="2">
        <f>VLOOKUP(G95,[1]Estimado_modelo!$G$2:$H$106,2,FALSE)</f>
        <v>1309</v>
      </c>
      <c r="M95" s="6">
        <f t="shared" si="5"/>
        <v>-6.8571428571428575E-2</v>
      </c>
    </row>
    <row r="96" spans="1:13">
      <c r="A96" s="2">
        <v>2026</v>
      </c>
      <c r="B96" s="2">
        <v>28</v>
      </c>
      <c r="C96" s="2" t="s">
        <v>10</v>
      </c>
      <c r="D96" s="2" t="s">
        <v>8</v>
      </c>
      <c r="E96" s="2" t="s">
        <v>55</v>
      </c>
      <c r="F96" s="2" t="s">
        <v>104</v>
      </c>
      <c r="G96" s="2" t="str">
        <f t="shared" si="3"/>
        <v>022CORAL REEF</v>
      </c>
      <c r="H96" s="2">
        <v>2425</v>
      </c>
      <c r="I96" s="2">
        <v>1287</v>
      </c>
      <c r="J96" s="2">
        <v>9400</v>
      </c>
      <c r="K96" s="5">
        <f t="shared" si="4"/>
        <v>1.8842268842268843</v>
      </c>
      <c r="L96" s="2">
        <f>VLOOKUP(G96,[1]Estimado_modelo!$G$2:$H$106,2,FALSE)</f>
        <v>2133</v>
      </c>
      <c r="M96" s="6">
        <f t="shared" si="5"/>
        <v>0.12041237113402062</v>
      </c>
    </row>
    <row r="97" spans="1:13">
      <c r="A97" s="2">
        <v>2026</v>
      </c>
      <c r="B97" s="2">
        <v>28</v>
      </c>
      <c r="C97" s="2" t="s">
        <v>10</v>
      </c>
      <c r="D97" s="2" t="s">
        <v>8</v>
      </c>
      <c r="E97" s="2" t="s">
        <v>105</v>
      </c>
      <c r="F97" s="2" t="s">
        <v>18</v>
      </c>
      <c r="G97" s="2" t="str">
        <f t="shared" si="3"/>
        <v>023COTOPAXI</v>
      </c>
      <c r="H97" s="2">
        <v>7050</v>
      </c>
      <c r="I97" s="2">
        <v>2641.139999999999</v>
      </c>
      <c r="J97" s="2">
        <v>19200</v>
      </c>
      <c r="K97" s="5">
        <f t="shared" si="4"/>
        <v>2.6693018923646616</v>
      </c>
      <c r="L97" s="2">
        <f>VLOOKUP(G97,[1]Estimado_modelo!$G$2:$H$106,2,FALSE)</f>
        <v>5416</v>
      </c>
      <c r="M97" s="6">
        <f t="shared" si="5"/>
        <v>0.23177304964539008</v>
      </c>
    </row>
    <row r="98" spans="1:13">
      <c r="A98" s="2">
        <v>2026</v>
      </c>
      <c r="B98" s="2">
        <v>28</v>
      </c>
      <c r="C98" s="2" t="s">
        <v>10</v>
      </c>
      <c r="D98" s="2" t="s">
        <v>8</v>
      </c>
      <c r="E98" s="2" t="s">
        <v>105</v>
      </c>
      <c r="F98" s="2" t="s">
        <v>106</v>
      </c>
      <c r="G98" s="2" t="str">
        <f t="shared" si="3"/>
        <v>023FRUTTETO</v>
      </c>
      <c r="H98" s="2">
        <v>7980</v>
      </c>
      <c r="I98" s="2">
        <v>2641.139999999999</v>
      </c>
      <c r="J98" s="2">
        <v>19200</v>
      </c>
      <c r="K98" s="5">
        <f t="shared" si="4"/>
        <v>3.0214225675276598</v>
      </c>
      <c r="L98" s="2">
        <f>VLOOKUP(G98,[1]Estimado_modelo!$G$2:$H$106,2,FALSE)</f>
        <v>4533</v>
      </c>
      <c r="M98" s="6">
        <f t="shared" si="5"/>
        <v>0.43195488721804509</v>
      </c>
    </row>
    <row r="99" spans="1:13">
      <c r="A99" s="2">
        <v>2026</v>
      </c>
      <c r="B99" s="2">
        <v>28</v>
      </c>
      <c r="C99" s="2" t="s">
        <v>10</v>
      </c>
      <c r="D99" s="2" t="s">
        <v>8</v>
      </c>
      <c r="E99" s="2" t="s">
        <v>107</v>
      </c>
      <c r="F99" s="2" t="s">
        <v>18</v>
      </c>
      <c r="G99" s="2" t="str">
        <f t="shared" si="3"/>
        <v>024COTOPAXI</v>
      </c>
      <c r="H99" s="2">
        <v>3390</v>
      </c>
      <c r="I99" s="2">
        <v>1430.6174906249998</v>
      </c>
      <c r="J99" s="2">
        <v>10400</v>
      </c>
      <c r="K99" s="5">
        <f t="shared" si="4"/>
        <v>2.3696061471462904</v>
      </c>
      <c r="L99" s="2">
        <f>VLOOKUP(G99,[1]Estimado_modelo!$G$2:$H$106,2,FALSE)</f>
        <v>3156</v>
      </c>
      <c r="M99" s="6">
        <f t="shared" si="5"/>
        <v>6.9026548672566371E-2</v>
      </c>
    </row>
    <row r="100" spans="1:13">
      <c r="A100" s="2">
        <v>2026</v>
      </c>
      <c r="B100" s="2">
        <v>28</v>
      </c>
      <c r="C100" s="2" t="s">
        <v>10</v>
      </c>
      <c r="D100" s="2" t="s">
        <v>8</v>
      </c>
      <c r="E100" s="2" t="s">
        <v>107</v>
      </c>
      <c r="F100" s="2" t="s">
        <v>72</v>
      </c>
      <c r="G100" s="2" t="str">
        <f t="shared" si="3"/>
        <v>024SWEETNESS</v>
      </c>
      <c r="H100" s="2">
        <v>2490</v>
      </c>
      <c r="I100" s="2">
        <v>1430.6174999999998</v>
      </c>
      <c r="J100" s="2">
        <v>10400</v>
      </c>
      <c r="K100" s="5">
        <f t="shared" si="4"/>
        <v>1.7405071586220637</v>
      </c>
      <c r="L100" s="2">
        <f>VLOOKUP(G100,[1]Estimado_modelo!$G$2:$H$106,2,FALSE)</f>
        <v>1368</v>
      </c>
      <c r="M100" s="6">
        <f t="shared" si="5"/>
        <v>0.45060240963855419</v>
      </c>
    </row>
    <row r="101" spans="1:13">
      <c r="A101" s="2">
        <v>2026</v>
      </c>
      <c r="B101" s="2">
        <v>28</v>
      </c>
      <c r="C101" s="2" t="s">
        <v>10</v>
      </c>
      <c r="D101" s="2" t="s">
        <v>8</v>
      </c>
      <c r="E101" s="2" t="s">
        <v>107</v>
      </c>
      <c r="F101" s="2" t="s">
        <v>102</v>
      </c>
      <c r="G101" s="2" t="str">
        <f t="shared" si="3"/>
        <v>024TYCOON</v>
      </c>
      <c r="H101" s="2">
        <v>4410</v>
      </c>
      <c r="I101" s="2">
        <v>2861.2349999999983</v>
      </c>
      <c r="J101" s="2">
        <v>20800</v>
      </c>
      <c r="K101" s="5">
        <f t="shared" si="4"/>
        <v>1.541292483840021</v>
      </c>
      <c r="L101" s="2">
        <f>VLOOKUP(G101,[1]Estimado_modelo!$G$2:$H$106,2,FALSE)</f>
        <v>3724</v>
      </c>
      <c r="M101" s="6">
        <f t="shared" si="5"/>
        <v>0.15555555555555556</v>
      </c>
    </row>
    <row r="102" spans="1:13">
      <c r="A102" s="2">
        <v>2026</v>
      </c>
      <c r="B102" s="2">
        <v>28</v>
      </c>
      <c r="C102" s="2" t="s">
        <v>10</v>
      </c>
      <c r="D102" s="2" t="s">
        <v>8</v>
      </c>
      <c r="E102" s="2" t="s">
        <v>11</v>
      </c>
      <c r="F102" s="2" t="s">
        <v>12</v>
      </c>
      <c r="G102" s="2" t="str">
        <f t="shared" si="3"/>
        <v>025PINK MONDIAL</v>
      </c>
      <c r="H102" s="2">
        <v>7125</v>
      </c>
      <c r="I102" s="2">
        <v>3071.9505624999983</v>
      </c>
      <c r="J102" s="2">
        <v>22400</v>
      </c>
      <c r="K102" s="5">
        <f t="shared" si="4"/>
        <v>2.3193732630259425</v>
      </c>
      <c r="L102" s="2">
        <f>VLOOKUP(G102,[1]Estimado_modelo!$G$2:$H$106,2,FALSE)</f>
        <v>3989</v>
      </c>
      <c r="M102" s="6">
        <f t="shared" si="5"/>
        <v>0.440140350877193</v>
      </c>
    </row>
    <row r="103" spans="1:13">
      <c r="A103" s="2">
        <v>2026</v>
      </c>
      <c r="B103" s="2">
        <v>28</v>
      </c>
      <c r="C103" s="2" t="s">
        <v>10</v>
      </c>
      <c r="D103" s="2" t="s">
        <v>8</v>
      </c>
      <c r="E103" s="2" t="s">
        <v>9</v>
      </c>
      <c r="F103" s="2" t="s">
        <v>13</v>
      </c>
      <c r="G103" s="2" t="str">
        <f t="shared" si="3"/>
        <v>026LOLA</v>
      </c>
      <c r="H103" s="2">
        <v>4250</v>
      </c>
      <c r="I103" s="2">
        <v>2852.5249999999992</v>
      </c>
      <c r="J103" s="2">
        <v>20800</v>
      </c>
      <c r="K103" s="5">
        <f t="shared" si="4"/>
        <v>1.4899080639082922</v>
      </c>
      <c r="L103" s="2">
        <f>VLOOKUP(G103,[1]Estimado_modelo!$G$2:$H$106,2,FALSE)</f>
        <v>4561</v>
      </c>
      <c r="M103" s="6">
        <f t="shared" si="5"/>
        <v>-7.3176470588235287E-2</v>
      </c>
    </row>
    <row r="104" spans="1:13">
      <c r="A104" s="2">
        <v>2026</v>
      </c>
      <c r="B104" s="2">
        <v>28</v>
      </c>
      <c r="C104" s="2" t="s">
        <v>10</v>
      </c>
      <c r="D104" s="2" t="s">
        <v>8</v>
      </c>
      <c r="E104" s="2" t="s">
        <v>9</v>
      </c>
      <c r="F104" s="2" t="s">
        <v>14</v>
      </c>
      <c r="G104" s="2" t="str">
        <f t="shared" si="3"/>
        <v>026PALOMA</v>
      </c>
      <c r="H104" s="2">
        <v>4850</v>
      </c>
      <c r="I104" s="2">
        <v>2852.5249999999992</v>
      </c>
      <c r="J104" s="2">
        <v>20800</v>
      </c>
      <c r="K104" s="5">
        <f t="shared" si="4"/>
        <v>1.7002480258718158</v>
      </c>
      <c r="L104" s="2">
        <f>VLOOKUP(G104,[1]Estimado_modelo!$G$2:$H$106,2,FALSE)</f>
        <v>5117</v>
      </c>
      <c r="M104" s="6">
        <f t="shared" si="5"/>
        <v>-5.5051546391752575E-2</v>
      </c>
    </row>
    <row r="105" spans="1:13">
      <c r="A105" s="2">
        <v>2026</v>
      </c>
      <c r="B105" s="2">
        <v>28</v>
      </c>
      <c r="C105" s="2" t="s">
        <v>10</v>
      </c>
      <c r="D105" s="2" t="s">
        <v>8</v>
      </c>
      <c r="E105" s="2" t="s">
        <v>15</v>
      </c>
      <c r="F105" s="2" t="s">
        <v>16</v>
      </c>
      <c r="G105" s="2" t="str">
        <f t="shared" si="3"/>
        <v>027SATISFACTION</v>
      </c>
      <c r="H105" s="2">
        <v>6180</v>
      </c>
      <c r="I105" s="2">
        <v>2633.0999999999995</v>
      </c>
      <c r="J105" s="2">
        <v>19200</v>
      </c>
      <c r="K105" s="5">
        <f t="shared" si="4"/>
        <v>2.3470434089096508</v>
      </c>
      <c r="L105" s="2">
        <f>VLOOKUP(G105,[1]Estimado_modelo!$G$2:$H$106,2,FALSE)</f>
        <v>2999</v>
      </c>
      <c r="M105" s="6">
        <f t="shared" si="5"/>
        <v>0.5147249190938511</v>
      </c>
    </row>
    <row r="106" spans="1:13">
      <c r="A106" s="2">
        <v>2026</v>
      </c>
      <c r="B106" s="2">
        <v>28</v>
      </c>
      <c r="C106" s="2" t="s">
        <v>10</v>
      </c>
      <c r="D106" s="2" t="s">
        <v>8</v>
      </c>
      <c r="E106" s="2" t="s">
        <v>15</v>
      </c>
      <c r="F106" s="2" t="s">
        <v>20</v>
      </c>
      <c r="G106" s="2" t="str">
        <f t="shared" si="3"/>
        <v>027TIFFANY</v>
      </c>
      <c r="H106" s="2">
        <v>5430</v>
      </c>
      <c r="I106" s="2">
        <v>2633.0999999999995</v>
      </c>
      <c r="J106" s="2">
        <v>19200</v>
      </c>
      <c r="K106" s="5">
        <f t="shared" si="4"/>
        <v>2.0622080437507124</v>
      </c>
      <c r="L106" s="2">
        <f>VLOOKUP(G106,[1]Estimado_modelo!$G$2:$H$106,2,FALSE)</f>
        <v>2756</v>
      </c>
      <c r="M106" s="6">
        <f t="shared" si="5"/>
        <v>0.49244935543278084</v>
      </c>
    </row>
    <row r="107" spans="1:13">
      <c r="A107" s="2">
        <v>2026</v>
      </c>
      <c r="B107" s="2">
        <v>28</v>
      </c>
      <c r="C107" s="2" t="s">
        <v>10</v>
      </c>
      <c r="D107" s="2" t="s">
        <v>8</v>
      </c>
      <c r="E107" s="2" t="s">
        <v>17</v>
      </c>
      <c r="F107" s="2" t="s">
        <v>18</v>
      </c>
      <c r="G107" s="2" t="str">
        <f t="shared" si="3"/>
        <v>028COTOPAXI</v>
      </c>
      <c r="H107" s="2">
        <v>6150</v>
      </c>
      <c r="I107" s="2">
        <v>2852.5249999999987</v>
      </c>
      <c r="J107" s="2">
        <v>20800</v>
      </c>
      <c r="K107" s="5">
        <f t="shared" si="4"/>
        <v>2.1559846101261173</v>
      </c>
      <c r="L107" s="2">
        <f>VLOOKUP(G107,[1]Estimado_modelo!$G$2:$H$106,2,FALSE)</f>
        <v>3906</v>
      </c>
      <c r="M107" s="6">
        <f t="shared" si="5"/>
        <v>0.3648780487804878</v>
      </c>
    </row>
    <row r="108" spans="1:13">
      <c r="A108" s="2">
        <v>2026</v>
      </c>
      <c r="B108" s="2">
        <v>28</v>
      </c>
      <c r="C108" s="2" t="s">
        <v>10</v>
      </c>
      <c r="D108" s="2" t="s">
        <v>8</v>
      </c>
      <c r="E108" s="2" t="s">
        <v>17</v>
      </c>
      <c r="F108" s="2" t="s">
        <v>19</v>
      </c>
      <c r="G108" s="2" t="str">
        <f t="shared" si="3"/>
        <v>028DEEP PURPLE</v>
      </c>
      <c r="H108" s="2">
        <v>7650</v>
      </c>
      <c r="I108" s="2">
        <v>2852.5249999999987</v>
      </c>
      <c r="J108" s="2">
        <v>20800</v>
      </c>
      <c r="K108" s="5">
        <f t="shared" si="4"/>
        <v>2.6818345150349265</v>
      </c>
      <c r="L108" s="2">
        <f>VLOOKUP(G108,[1]Estimado_modelo!$G$2:$H$106,2,FALSE)</f>
        <v>8195</v>
      </c>
      <c r="M108" s="6">
        <f t="shared" si="5"/>
        <v>-7.1241830065359474E-2</v>
      </c>
    </row>
    <row r="109" spans="1:13">
      <c r="A109" s="2">
        <v>2026</v>
      </c>
      <c r="B109" s="2">
        <v>28</v>
      </c>
      <c r="C109" s="2" t="s">
        <v>10</v>
      </c>
      <c r="D109" s="2" t="s">
        <v>8</v>
      </c>
      <c r="E109" s="2" t="s">
        <v>108</v>
      </c>
      <c r="F109" s="2" t="s">
        <v>109</v>
      </c>
      <c r="G109" s="2" t="str">
        <f t="shared" si="3"/>
        <v>029PINK FLOYD</v>
      </c>
      <c r="H109" s="2">
        <v>4125</v>
      </c>
      <c r="I109" s="2">
        <v>3071.949999999998</v>
      </c>
      <c r="J109" s="2">
        <v>22400</v>
      </c>
      <c r="K109" s="5">
        <f t="shared" si="4"/>
        <v>1.3427952928921378</v>
      </c>
      <c r="L109" s="2">
        <f>VLOOKUP(G109,[1]Estimado_modelo!$G$2:$H$106,2,FALSE)</f>
        <v>3471</v>
      </c>
      <c r="M109" s="6">
        <f t="shared" si="5"/>
        <v>0.15854545454545454</v>
      </c>
    </row>
    <row r="110" spans="1:13">
      <c r="A110" s="2">
        <v>2026</v>
      </c>
      <c r="B110" s="2">
        <v>28</v>
      </c>
      <c r="C110" s="2" t="s">
        <v>10</v>
      </c>
      <c r="D110" s="2" t="s">
        <v>8</v>
      </c>
      <c r="E110" s="2" t="s">
        <v>57</v>
      </c>
      <c r="F110" s="2" t="s">
        <v>66</v>
      </c>
      <c r="G110" s="2" t="str">
        <f t="shared" si="3"/>
        <v>030EXPLORER</v>
      </c>
      <c r="H110" s="2">
        <v>3125</v>
      </c>
      <c r="I110" s="2">
        <v>1645.6875000000009</v>
      </c>
      <c r="J110" s="2">
        <v>12000</v>
      </c>
      <c r="K110" s="5">
        <f t="shared" si="4"/>
        <v>1.8989024343929199</v>
      </c>
      <c r="L110" s="2">
        <f>VLOOKUP(G110,[1]Estimado_modelo!$G$2:$H$106,2,FALSE)</f>
        <v>2129</v>
      </c>
      <c r="M110" s="6">
        <f t="shared" si="5"/>
        <v>0.31872</v>
      </c>
    </row>
  </sheetData>
  <autoFilter ref="A1:K110">
    <filterColumn colId="6"/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Astroflores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cp:revision/>
  <dcterms:created xsi:type="dcterms:W3CDTF">2025-10-30T14:37:34Z</dcterms:created>
  <dcterms:modified xsi:type="dcterms:W3CDTF">2026-07-14T22:08:28Z</dcterms:modified>
</cp:coreProperties>
</file>