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945" yWindow="30" windowWidth="1029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Hoja1!$A$1:$K$9484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593" i="1"/>
  <c r="G9593"/>
  <c r="K9592"/>
  <c r="G9592"/>
  <c r="K9591"/>
  <c r="G9591"/>
  <c r="K9590"/>
  <c r="G9590"/>
  <c r="K9589"/>
  <c r="G9589"/>
  <c r="K9588"/>
  <c r="G9588"/>
  <c r="K9587"/>
  <c r="G9587"/>
  <c r="K9586"/>
  <c r="G9586"/>
  <c r="K9585"/>
  <c r="G9585"/>
  <c r="K9584"/>
  <c r="G9584"/>
  <c r="K9583"/>
  <c r="G9583"/>
  <c r="K9582"/>
  <c r="G9582"/>
  <c r="K9581"/>
  <c r="G9581"/>
  <c r="K9580"/>
  <c r="G9580"/>
  <c r="K9579"/>
  <c r="G9579"/>
  <c r="K9578"/>
  <c r="G9578"/>
  <c r="K9577"/>
  <c r="G9577"/>
  <c r="K9576"/>
  <c r="G9576"/>
  <c r="K9575"/>
  <c r="G9575"/>
  <c r="K9574"/>
  <c r="G9574"/>
  <c r="K9573"/>
  <c r="G9573"/>
  <c r="K9572"/>
  <c r="G9572"/>
  <c r="K9571"/>
  <c r="G9571"/>
  <c r="K9570"/>
  <c r="G9570"/>
  <c r="K9569"/>
  <c r="G9569"/>
  <c r="K9568"/>
  <c r="G9568"/>
  <c r="K9567"/>
  <c r="G9567"/>
  <c r="K9566"/>
  <c r="G9566"/>
  <c r="K9565"/>
  <c r="G9565"/>
  <c r="K9564"/>
  <c r="G9564"/>
  <c r="K9563"/>
  <c r="G9563"/>
  <c r="K9562"/>
  <c r="G9562"/>
  <c r="K9561"/>
  <c r="G9561"/>
  <c r="K9560"/>
  <c r="G9560"/>
  <c r="K9559"/>
  <c r="G9559"/>
  <c r="K9558"/>
  <c r="G9558"/>
  <c r="K9557"/>
  <c r="G9557"/>
  <c r="K9556"/>
  <c r="G9556"/>
  <c r="K9555"/>
  <c r="G9555"/>
  <c r="K9554"/>
  <c r="G9554"/>
  <c r="K9553"/>
  <c r="G9553"/>
  <c r="K9552"/>
  <c r="G9552"/>
  <c r="K9551"/>
  <c r="G9551"/>
  <c r="K9550"/>
  <c r="G9550"/>
  <c r="K9549"/>
  <c r="G9549"/>
  <c r="K9548"/>
  <c r="G9548"/>
  <c r="K9547"/>
  <c r="G9547"/>
  <c r="K9546"/>
  <c r="G9546"/>
  <c r="K9545"/>
  <c r="G9545"/>
  <c r="K9544"/>
  <c r="G9544"/>
  <c r="K9543"/>
  <c r="G9543"/>
  <c r="K9542"/>
  <c r="G9542"/>
  <c r="K9541"/>
  <c r="G9541"/>
  <c r="K9540"/>
  <c r="G9540"/>
  <c r="K9539"/>
  <c r="G9539"/>
  <c r="K9538"/>
  <c r="G9538"/>
  <c r="K9537"/>
  <c r="G9537"/>
  <c r="K9536"/>
  <c r="G9536"/>
  <c r="K9535"/>
  <c r="G9535"/>
  <c r="K9534"/>
  <c r="G9534"/>
  <c r="K9533"/>
  <c r="G9533"/>
  <c r="K9532"/>
  <c r="G9532"/>
  <c r="K9531"/>
  <c r="G9531"/>
  <c r="K9530"/>
  <c r="G9530"/>
  <c r="K9529"/>
  <c r="G9529"/>
  <c r="K9528"/>
  <c r="G9528"/>
  <c r="K9527"/>
  <c r="G9527"/>
  <c r="K9526"/>
  <c r="G9526"/>
  <c r="K9525"/>
  <c r="G9525"/>
  <c r="K9524"/>
  <c r="G9524"/>
  <c r="K9523"/>
  <c r="G9523"/>
  <c r="K9522"/>
  <c r="G9522"/>
  <c r="K9521"/>
  <c r="G9521"/>
  <c r="K9520"/>
  <c r="G9520"/>
  <c r="K9519"/>
  <c r="G9519"/>
  <c r="K9518"/>
  <c r="G9518"/>
  <c r="K9517"/>
  <c r="G9517"/>
  <c r="K9516"/>
  <c r="G9516"/>
  <c r="K9515"/>
  <c r="G9515"/>
  <c r="K9514"/>
  <c r="G9514"/>
  <c r="K9513"/>
  <c r="G9513"/>
  <c r="K9512"/>
  <c r="G9512"/>
  <c r="K9511"/>
  <c r="G9511"/>
  <c r="K9510"/>
  <c r="G9510"/>
  <c r="K9509"/>
  <c r="G9509"/>
  <c r="K9508"/>
  <c r="G9508"/>
  <c r="K9507"/>
  <c r="G9507"/>
  <c r="K9506"/>
  <c r="G9506"/>
  <c r="K9505"/>
  <c r="G9505"/>
  <c r="K9504"/>
  <c r="G9504"/>
  <c r="K9503"/>
  <c r="G9503"/>
  <c r="K9502"/>
  <c r="G9502"/>
  <c r="K9501"/>
  <c r="G9501"/>
  <c r="K9500"/>
  <c r="G9500"/>
  <c r="K9499"/>
  <c r="G9499"/>
  <c r="K9498"/>
  <c r="G9498"/>
  <c r="K9497"/>
  <c r="G9497"/>
  <c r="K9496"/>
  <c r="G9496"/>
  <c r="K9495"/>
  <c r="G9495"/>
  <c r="K9494"/>
  <c r="G9494"/>
  <c r="K9493"/>
  <c r="G9493"/>
  <c r="K9492"/>
  <c r="G9492"/>
  <c r="K9491"/>
  <c r="G9491"/>
  <c r="K9490"/>
  <c r="G9490"/>
  <c r="K9489"/>
  <c r="G9489"/>
  <c r="K9488"/>
  <c r="G9488"/>
  <c r="K9487"/>
  <c r="G9487"/>
  <c r="K9486"/>
  <c r="G9486"/>
  <c r="K9485"/>
  <c r="G9485"/>
  <c r="G9153"/>
  <c r="H9153" s="1"/>
  <c r="G9141"/>
  <c r="H9141" s="1"/>
  <c r="G9023"/>
  <c r="H9023" s="1"/>
  <c r="G9022"/>
  <c r="H9022" s="1"/>
  <c r="G9021"/>
  <c r="H9021" s="1"/>
  <c r="G9020"/>
  <c r="H9020" s="1"/>
  <c r="G9019"/>
  <c r="H9019" s="1"/>
  <c r="G9018"/>
  <c r="H9018" s="1"/>
  <c r="G9017"/>
  <c r="H9017" s="1"/>
  <c r="G9016"/>
  <c r="H9016" s="1"/>
  <c r="G9015"/>
  <c r="H9015" s="1"/>
  <c r="G9014"/>
  <c r="H9014" s="1"/>
  <c r="G9013"/>
  <c r="H9013" s="1"/>
  <c r="G9012"/>
  <c r="H9012" s="1"/>
  <c r="G9011"/>
  <c r="H9011" s="1"/>
  <c r="G9010"/>
  <c r="H9010" s="1"/>
  <c r="G9009"/>
  <c r="H9009" s="1"/>
  <c r="G9008"/>
  <c r="H9008" s="1"/>
  <c r="G9007"/>
  <c r="H9007" s="1"/>
  <c r="G9006"/>
  <c r="H9006" s="1"/>
  <c r="G9005"/>
  <c r="H9005" s="1"/>
  <c r="G9004"/>
  <c r="H9004" s="1"/>
  <c r="G9003"/>
  <c r="H9003" s="1"/>
  <c r="G9002"/>
  <c r="H9002" s="1"/>
  <c r="G9001"/>
  <c r="H9001" s="1"/>
  <c r="G9000"/>
  <c r="H9000" s="1"/>
  <c r="G8999"/>
  <c r="H8999" s="1"/>
  <c r="G8998"/>
  <c r="H8998" s="1"/>
  <c r="G8997"/>
  <c r="H8997" s="1"/>
  <c r="G8996"/>
  <c r="H8996" s="1"/>
  <c r="G8995"/>
  <c r="H8995" s="1"/>
  <c r="G8994"/>
  <c r="H8994" s="1"/>
  <c r="G8993"/>
  <c r="H8993" s="1"/>
  <c r="G8992"/>
  <c r="H8992" s="1"/>
  <c r="G8991"/>
  <c r="H8991" s="1"/>
  <c r="G8990"/>
  <c r="H8990" s="1"/>
  <c r="G8989"/>
  <c r="H8989" s="1"/>
  <c r="G8988"/>
  <c r="H8988" s="1"/>
  <c r="G8987"/>
  <c r="H8987" s="1"/>
  <c r="G8986"/>
  <c r="H8986" s="1"/>
  <c r="G8985"/>
  <c r="H8985" s="1"/>
  <c r="G8984"/>
  <c r="H8984" s="1"/>
  <c r="G8983"/>
  <c r="H8983" s="1"/>
  <c r="G8982"/>
  <c r="H8982" s="1"/>
  <c r="G8981"/>
  <c r="H8981" s="1"/>
  <c r="G8980"/>
  <c r="H8980" s="1"/>
  <c r="G8979"/>
  <c r="H8979" s="1"/>
  <c r="G8978"/>
  <c r="H8978" s="1"/>
  <c r="G8977"/>
  <c r="H8977" s="1"/>
  <c r="G8976"/>
  <c r="H8976" s="1"/>
  <c r="G8975"/>
  <c r="H8975" s="1"/>
  <c r="G8974"/>
  <c r="H8974" s="1"/>
  <c r="G8973"/>
  <c r="H8973" s="1"/>
  <c r="G8972"/>
  <c r="H8972" s="1"/>
  <c r="G8971"/>
  <c r="H8971" s="1"/>
  <c r="G8970"/>
  <c r="H8970" s="1"/>
  <c r="G8969"/>
  <c r="H8969" s="1"/>
  <c r="G8968"/>
  <c r="H8968" s="1"/>
  <c r="G8967"/>
  <c r="H8967" s="1"/>
  <c r="G8966"/>
  <c r="H8966" s="1"/>
  <c r="G8965"/>
  <c r="H8965" s="1"/>
  <c r="G8964"/>
  <c r="H8964" s="1"/>
  <c r="G8963"/>
  <c r="H8963" s="1"/>
  <c r="G8962"/>
  <c r="H8962" s="1"/>
  <c r="G8961"/>
  <c r="H8961" s="1"/>
  <c r="G8960"/>
  <c r="H8960" s="1"/>
  <c r="G8959"/>
  <c r="H8959" s="1"/>
  <c r="G8958"/>
  <c r="H8958" s="1"/>
  <c r="G8957"/>
  <c r="H8957" s="1"/>
  <c r="G8956"/>
  <c r="H8956" s="1"/>
  <c r="G8955"/>
  <c r="H8955" s="1"/>
  <c r="G8954"/>
  <c r="H8954" s="1"/>
  <c r="G8953"/>
  <c r="H8953" s="1"/>
  <c r="G8952"/>
  <c r="H8952" s="1"/>
  <c r="G8951"/>
  <c r="H8951" s="1"/>
  <c r="G8950"/>
  <c r="H8950" s="1"/>
  <c r="G8949"/>
  <c r="H8949" s="1"/>
  <c r="G8948"/>
  <c r="H8948" s="1"/>
  <c r="G8947"/>
  <c r="H8947" s="1"/>
  <c r="G8946"/>
  <c r="H8946" s="1"/>
  <c r="G8945"/>
  <c r="H8945" s="1"/>
  <c r="G8944"/>
  <c r="H8944" s="1"/>
  <c r="G8943"/>
  <c r="H8943" s="1"/>
  <c r="G8942"/>
  <c r="H8942" s="1"/>
  <c r="G8941"/>
  <c r="H8941" s="1"/>
  <c r="G8940"/>
  <c r="H8940" s="1"/>
  <c r="G8939"/>
  <c r="H8939" s="1"/>
  <c r="G8938"/>
  <c r="H8938" s="1"/>
  <c r="G8937"/>
  <c r="H8937" s="1"/>
  <c r="G8936"/>
  <c r="H8936" s="1"/>
  <c r="G8935"/>
  <c r="H8935" s="1"/>
  <c r="G8934"/>
  <c r="H8934" s="1"/>
  <c r="G8933"/>
  <c r="H8933" s="1"/>
  <c r="G8932"/>
  <c r="H8932" s="1"/>
  <c r="G8931"/>
  <c r="H8931" s="1"/>
  <c r="G8930"/>
  <c r="H8930" s="1"/>
  <c r="G8929"/>
  <c r="H8929" s="1"/>
  <c r="G8928"/>
  <c r="H8928" s="1"/>
  <c r="G8927"/>
  <c r="H8927" s="1"/>
  <c r="G8926"/>
  <c r="H8926" s="1"/>
  <c r="G8925"/>
  <c r="H8925" s="1"/>
  <c r="G8924"/>
  <c r="H8924" s="1"/>
  <c r="G8923"/>
  <c r="H8923" s="1"/>
  <c r="G8922"/>
  <c r="H8922" s="1"/>
  <c r="G8921"/>
  <c r="H8921" s="1"/>
  <c r="G8920"/>
  <c r="H8920" s="1"/>
  <c r="G8919"/>
  <c r="H8919" s="1"/>
  <c r="G8918"/>
  <c r="H8918" s="1"/>
  <c r="K9156" l="1"/>
  <c r="G9156"/>
  <c r="K9155"/>
  <c r="G9155"/>
  <c r="K9375"/>
  <c r="G9375"/>
  <c r="K9374"/>
  <c r="G9374"/>
  <c r="K9373"/>
  <c r="G9373"/>
  <c r="K9144"/>
  <c r="G9144"/>
  <c r="K9143"/>
  <c r="G9143"/>
  <c r="K9372"/>
  <c r="G9372"/>
  <c r="K9371"/>
  <c r="G9371"/>
  <c r="K9370"/>
  <c r="G9370"/>
  <c r="K9369"/>
  <c r="G9369"/>
  <c r="K9368"/>
  <c r="G9368"/>
  <c r="K9367"/>
  <c r="G9367"/>
  <c r="K9366"/>
  <c r="G9366"/>
  <c r="K9365"/>
  <c r="G9365"/>
  <c r="K9364"/>
  <c r="G9364"/>
  <c r="K9363"/>
  <c r="G9363"/>
  <c r="K9362"/>
  <c r="G9362"/>
  <c r="K9361"/>
  <c r="G9361"/>
  <c r="K9360"/>
  <c r="G9360"/>
  <c r="K9359"/>
  <c r="G9359"/>
  <c r="K9358"/>
  <c r="G9358"/>
  <c r="K9357"/>
  <c r="G9357"/>
  <c r="K9356"/>
  <c r="G9356"/>
  <c r="K9355"/>
  <c r="G9355"/>
  <c r="K9354"/>
  <c r="G9354"/>
  <c r="K9353"/>
  <c r="G9353"/>
  <c r="K9352"/>
  <c r="G9352"/>
  <c r="K9351"/>
  <c r="G9351"/>
  <c r="K9350"/>
  <c r="G9350"/>
  <c r="K9349"/>
  <c r="G9349"/>
  <c r="K9348"/>
  <c r="G9348"/>
  <c r="K9347"/>
  <c r="G9347"/>
  <c r="K9346"/>
  <c r="G9346"/>
  <c r="K9345"/>
  <c r="G9345"/>
  <c r="K9344"/>
  <c r="G9344"/>
  <c r="K9343"/>
  <c r="G9343"/>
  <c r="K9342"/>
  <c r="G9342"/>
  <c r="K9341"/>
  <c r="G9341"/>
  <c r="K9340"/>
  <c r="G9340"/>
  <c r="K9339"/>
  <c r="G9339"/>
  <c r="K9338"/>
  <c r="G9338"/>
  <c r="K9337"/>
  <c r="G9337"/>
  <c r="K9336"/>
  <c r="G9336"/>
  <c r="K9335"/>
  <c r="G9335"/>
  <c r="K9334"/>
  <c r="G9334"/>
  <c r="K9333"/>
  <c r="G9333"/>
  <c r="K9332"/>
  <c r="G9332"/>
  <c r="K9331"/>
  <c r="G9331"/>
  <c r="K9330"/>
  <c r="G9330"/>
  <c r="K9329"/>
  <c r="G9329"/>
  <c r="K9328"/>
  <c r="G9328"/>
  <c r="K9327"/>
  <c r="G9327"/>
  <c r="K9326"/>
  <c r="G9326"/>
  <c r="K9325"/>
  <c r="G9325"/>
  <c r="K9324"/>
  <c r="G9324"/>
  <c r="K9323"/>
  <c r="G9323"/>
  <c r="K9322"/>
  <c r="G9322"/>
  <c r="K9321"/>
  <c r="G9321"/>
  <c r="K9320"/>
  <c r="G9320"/>
  <c r="K9319"/>
  <c r="G9319"/>
  <c r="K9318"/>
  <c r="G9318"/>
  <c r="K9317"/>
  <c r="G9317"/>
  <c r="K9316"/>
  <c r="G9316"/>
  <c r="K9315"/>
  <c r="G9315"/>
  <c r="K9314"/>
  <c r="G9314"/>
  <c r="K9313"/>
  <c r="G9313"/>
  <c r="K9312"/>
  <c r="G9312"/>
  <c r="K9311"/>
  <c r="G9311"/>
  <c r="K9310"/>
  <c r="G9310"/>
  <c r="K9309"/>
  <c r="G9309"/>
  <c r="K9308"/>
  <c r="G9308"/>
  <c r="K9307"/>
  <c r="G9307"/>
  <c r="K9306"/>
  <c r="G9306"/>
  <c r="K9305"/>
  <c r="G9305"/>
  <c r="K9304"/>
  <c r="G9304"/>
  <c r="K9303"/>
  <c r="G9303"/>
  <c r="K9302"/>
  <c r="G9302"/>
  <c r="K9301"/>
  <c r="G9301"/>
  <c r="K9300"/>
  <c r="G9300"/>
  <c r="K9299"/>
  <c r="G9299"/>
  <c r="K9298"/>
  <c r="G9298"/>
  <c r="K9297"/>
  <c r="G9297"/>
  <c r="K9296"/>
  <c r="G9296"/>
  <c r="K9295"/>
  <c r="G9295"/>
  <c r="K9294"/>
  <c r="G9294"/>
  <c r="K9293"/>
  <c r="G9293"/>
  <c r="K9292"/>
  <c r="G9292"/>
  <c r="K9291"/>
  <c r="G9291"/>
  <c r="K9290"/>
  <c r="G9290"/>
  <c r="K9289"/>
  <c r="G9289"/>
  <c r="K9288"/>
  <c r="G9288"/>
  <c r="K9287"/>
  <c r="G9287"/>
  <c r="K9286"/>
  <c r="G9286"/>
  <c r="K9285"/>
  <c r="G9285"/>
  <c r="K9284"/>
  <c r="G9284"/>
  <c r="K9283"/>
  <c r="G9283"/>
  <c r="K9282"/>
  <c r="G9282"/>
  <c r="K9281"/>
  <c r="G9281"/>
  <c r="K9280"/>
  <c r="G9280"/>
  <c r="K9279"/>
  <c r="G9279"/>
  <c r="K9278"/>
  <c r="G9278"/>
  <c r="K9277"/>
  <c r="G9277"/>
  <c r="K9276"/>
  <c r="G9276"/>
  <c r="K9275"/>
  <c r="G9275"/>
  <c r="K9274"/>
  <c r="G9274"/>
  <c r="K9273"/>
  <c r="G9273"/>
  <c r="K9272"/>
  <c r="G9272"/>
  <c r="K9271"/>
  <c r="G9271"/>
  <c r="K9270"/>
  <c r="G9270"/>
  <c r="K9269"/>
  <c r="G9269"/>
  <c r="K9268"/>
  <c r="G9268"/>
  <c r="K9267"/>
  <c r="G9267"/>
  <c r="K9265" l="1"/>
  <c r="G9265"/>
  <c r="K9264"/>
  <c r="G9264"/>
  <c r="K9263"/>
  <c r="G9263"/>
  <c r="K9262"/>
  <c r="G9262"/>
  <c r="K9261"/>
  <c r="G9261"/>
  <c r="K9260"/>
  <c r="G9260"/>
  <c r="K9259"/>
  <c r="G9259"/>
  <c r="K9258"/>
  <c r="G9258"/>
  <c r="K9257"/>
  <c r="G9257"/>
  <c r="K9256"/>
  <c r="G9256"/>
  <c r="K9255"/>
  <c r="G9255"/>
  <c r="K9254"/>
  <c r="G9254"/>
  <c r="K9253"/>
  <c r="G9253"/>
  <c r="K9252"/>
  <c r="G9252"/>
  <c r="K9251"/>
  <c r="G9251"/>
  <c r="K9250"/>
  <c r="G9250"/>
  <c r="K9249"/>
  <c r="G9249"/>
  <c r="K9248"/>
  <c r="G9248"/>
  <c r="K9247"/>
  <c r="G9247"/>
  <c r="K9246"/>
  <c r="G9246"/>
  <c r="K9245"/>
  <c r="G9245"/>
  <c r="K9244"/>
  <c r="G9244"/>
  <c r="K9243"/>
  <c r="G9243"/>
  <c r="K9242"/>
  <c r="G9242"/>
  <c r="K9241"/>
  <c r="G9241"/>
  <c r="K9240"/>
  <c r="G9240"/>
  <c r="K9239"/>
  <c r="G9239"/>
  <c r="K9238"/>
  <c r="G9238"/>
  <c r="K9237"/>
  <c r="G9237"/>
  <c r="K9236"/>
  <c r="G9236"/>
  <c r="K9235"/>
  <c r="G9235"/>
  <c r="K9234"/>
  <c r="G9234"/>
  <c r="K9233"/>
  <c r="G9233"/>
  <c r="K9232"/>
  <c r="G9232"/>
  <c r="K9231"/>
  <c r="G9231"/>
  <c r="K9230"/>
  <c r="G9230"/>
  <c r="K9229"/>
  <c r="G9229"/>
  <c r="K9228"/>
  <c r="G9228"/>
  <c r="K9227"/>
  <c r="G9227"/>
  <c r="K9226"/>
  <c r="G9226"/>
  <c r="K9225"/>
  <c r="G9225"/>
  <c r="K9224"/>
  <c r="G9224"/>
  <c r="K9223"/>
  <c r="G9223"/>
  <c r="K9222"/>
  <c r="G9222"/>
  <c r="K9221"/>
  <c r="G9221"/>
  <c r="K9220"/>
  <c r="G9220"/>
  <c r="K9219"/>
  <c r="G9219"/>
  <c r="K9218"/>
  <c r="G9218"/>
  <c r="K9217"/>
  <c r="G9217"/>
  <c r="K9216"/>
  <c r="G9216"/>
  <c r="K9215"/>
  <c r="G9215"/>
  <c r="K9214"/>
  <c r="G9214"/>
  <c r="K9213"/>
  <c r="G9213"/>
  <c r="K9212"/>
  <c r="G9212"/>
  <c r="K9211"/>
  <c r="G9211"/>
  <c r="K9210"/>
  <c r="G9210"/>
  <c r="K9209"/>
  <c r="G9209"/>
  <c r="K9208"/>
  <c r="G9208"/>
  <c r="K9207"/>
  <c r="G9207"/>
  <c r="K9206"/>
  <c r="G9206"/>
  <c r="K9205"/>
  <c r="G9205"/>
  <c r="K9204"/>
  <c r="G9204"/>
  <c r="K9203"/>
  <c r="G9203"/>
  <c r="K9202"/>
  <c r="G9202"/>
  <c r="K9201"/>
  <c r="G9201"/>
  <c r="K9200"/>
  <c r="G9200"/>
  <c r="K9199"/>
  <c r="G9199"/>
  <c r="K9198"/>
  <c r="G9198"/>
  <c r="K9197"/>
  <c r="G9197"/>
  <c r="K9196"/>
  <c r="G9196"/>
  <c r="K9195"/>
  <c r="G9195"/>
  <c r="K9194"/>
  <c r="G9194"/>
  <c r="K9193"/>
  <c r="G9193"/>
  <c r="K9192"/>
  <c r="G9192"/>
  <c r="K9191"/>
  <c r="G9191"/>
  <c r="K9190"/>
  <c r="G9190"/>
  <c r="K9189"/>
  <c r="G9189"/>
  <c r="K9188"/>
  <c r="G9188"/>
  <c r="K9187"/>
  <c r="G9187"/>
  <c r="K9186"/>
  <c r="G9186"/>
  <c r="K9185"/>
  <c r="G9185"/>
  <c r="K9184"/>
  <c r="G9184"/>
  <c r="K9183"/>
  <c r="G9183"/>
  <c r="K9182"/>
  <c r="G9182"/>
  <c r="K9181"/>
  <c r="G9181"/>
  <c r="K9180"/>
  <c r="G9180"/>
  <c r="K9179"/>
  <c r="G9179"/>
  <c r="K9178"/>
  <c r="G9178"/>
  <c r="K9177"/>
  <c r="G9177"/>
  <c r="K9176"/>
  <c r="G9176"/>
  <c r="K9175"/>
  <c r="G9175"/>
  <c r="K9174"/>
  <c r="G9174"/>
  <c r="K9173"/>
  <c r="G9173"/>
  <c r="K9172"/>
  <c r="G9172"/>
  <c r="K9171"/>
  <c r="G9171"/>
  <c r="K9170"/>
  <c r="G9170"/>
  <c r="K9169"/>
  <c r="G9169"/>
  <c r="K9168"/>
  <c r="G9168"/>
  <c r="K9167"/>
  <c r="G9167"/>
  <c r="K9166"/>
  <c r="G9166"/>
  <c r="K9165"/>
  <c r="G9165"/>
  <c r="K9164"/>
  <c r="G9164"/>
  <c r="K9163"/>
  <c r="G9163"/>
  <c r="K9162"/>
  <c r="G9162"/>
  <c r="K9161"/>
  <c r="G9161"/>
  <c r="K9160"/>
  <c r="G9160"/>
  <c r="K9159"/>
  <c r="G9159"/>
  <c r="K9158"/>
  <c r="G9158"/>
  <c r="K9157"/>
  <c r="G9157"/>
  <c r="K9154"/>
  <c r="G9154"/>
  <c r="K9153"/>
  <c r="K9152"/>
  <c r="G9152"/>
  <c r="K9151"/>
  <c r="G9151"/>
  <c r="G9150"/>
  <c r="H9150" s="1"/>
  <c r="K9150" s="1"/>
  <c r="G9149"/>
  <c r="H9149" s="1"/>
  <c r="K9149" s="1"/>
  <c r="K9148"/>
  <c r="G9148"/>
  <c r="K9147"/>
  <c r="G9147"/>
  <c r="K9146"/>
  <c r="G9146"/>
  <c r="K9145"/>
  <c r="G9145"/>
  <c r="K9142"/>
  <c r="G9142"/>
  <c r="K9141"/>
  <c r="K9140"/>
  <c r="G9140"/>
  <c r="K9139"/>
  <c r="G9139"/>
  <c r="G9138"/>
  <c r="H9138" s="1"/>
  <c r="K9138" s="1"/>
  <c r="G9137"/>
  <c r="H9137" s="1"/>
  <c r="K9137" s="1"/>
  <c r="K9136"/>
  <c r="G9136"/>
  <c r="K9135"/>
  <c r="G9135"/>
  <c r="K9133"/>
  <c r="G9133"/>
  <c r="K9134"/>
  <c r="G9134"/>
  <c r="K9132"/>
  <c r="G9132"/>
  <c r="K9131"/>
  <c r="G9131"/>
  <c r="K9130"/>
  <c r="G9130"/>
  <c r="K9129"/>
  <c r="G9129"/>
  <c r="K9128"/>
  <c r="G9128"/>
  <c r="K9127"/>
  <c r="G9127"/>
  <c r="K9126"/>
  <c r="G9126"/>
  <c r="K9125"/>
  <c r="G9125"/>
  <c r="K9124"/>
  <c r="G9124"/>
  <c r="K9123"/>
  <c r="G9123"/>
  <c r="K9122"/>
  <c r="G9122"/>
  <c r="K9121"/>
  <c r="G9121"/>
  <c r="K9120"/>
  <c r="G9120"/>
  <c r="K9119"/>
  <c r="G9119"/>
  <c r="K9118"/>
  <c r="G9118"/>
  <c r="K9117"/>
  <c r="G9117"/>
  <c r="K9116"/>
  <c r="G9116"/>
  <c r="K9115"/>
  <c r="G9115"/>
  <c r="K9114"/>
  <c r="G9114"/>
  <c r="K9113"/>
  <c r="G9113"/>
  <c r="K9112"/>
  <c r="G9112"/>
  <c r="K9111"/>
  <c r="G9111"/>
  <c r="K9110"/>
  <c r="G9110"/>
  <c r="K9109"/>
  <c r="G9109"/>
  <c r="K9108"/>
  <c r="G9108"/>
  <c r="K9107"/>
  <c r="G9107"/>
  <c r="K9106"/>
  <c r="G9106"/>
  <c r="K9105"/>
  <c r="G9105"/>
  <c r="K9104"/>
  <c r="G9104"/>
  <c r="K9103"/>
  <c r="G9103"/>
  <c r="K9102"/>
  <c r="G9102"/>
  <c r="K9101"/>
  <c r="G9101"/>
  <c r="K9100"/>
  <c r="G9100"/>
  <c r="K9099"/>
  <c r="G9099"/>
  <c r="K9098"/>
  <c r="G9098"/>
  <c r="K9097"/>
  <c r="G9097"/>
  <c r="K9096"/>
  <c r="G9096"/>
  <c r="K9095"/>
  <c r="G9095"/>
  <c r="K9094"/>
  <c r="G9094"/>
  <c r="K9093"/>
  <c r="G9093"/>
  <c r="K9092"/>
  <c r="G9092"/>
  <c r="K9091"/>
  <c r="G9091"/>
  <c r="K9090"/>
  <c r="G9090"/>
  <c r="K9089"/>
  <c r="G9089"/>
  <c r="K9088"/>
  <c r="G9088"/>
  <c r="K9087"/>
  <c r="G9087"/>
  <c r="K9086"/>
  <c r="G9086"/>
  <c r="K9085"/>
  <c r="G9085"/>
  <c r="K9084"/>
  <c r="G9084"/>
  <c r="K9083"/>
  <c r="G9083"/>
  <c r="K9082"/>
  <c r="G9082"/>
  <c r="K9081"/>
  <c r="G9081"/>
  <c r="K9080"/>
  <c r="G9080"/>
  <c r="K9079"/>
  <c r="G9079"/>
  <c r="K9078"/>
  <c r="G9078"/>
  <c r="K9077"/>
  <c r="G9077"/>
  <c r="K9076"/>
  <c r="G9076"/>
  <c r="K9075"/>
  <c r="G9075"/>
  <c r="K9074"/>
  <c r="G9074"/>
  <c r="K9073"/>
  <c r="G9073"/>
  <c r="K9072"/>
  <c r="G9072"/>
  <c r="K9071"/>
  <c r="G9071"/>
  <c r="K9070"/>
  <c r="G9070"/>
  <c r="K9069"/>
  <c r="G9069"/>
  <c r="K9068"/>
  <c r="G9068"/>
  <c r="K9067"/>
  <c r="G9067"/>
  <c r="K9066"/>
  <c r="G9066"/>
  <c r="K9065"/>
  <c r="G9065"/>
  <c r="K9064"/>
  <c r="G9064"/>
  <c r="K9063"/>
  <c r="G9063"/>
  <c r="K9062"/>
  <c r="G9062"/>
  <c r="K9061"/>
  <c r="G9061"/>
  <c r="K9060"/>
  <c r="G9060"/>
  <c r="K9059"/>
  <c r="G9059"/>
  <c r="K9058"/>
  <c r="G9058"/>
  <c r="K9057"/>
  <c r="G9057"/>
  <c r="K9056"/>
  <c r="G9056"/>
  <c r="K9055"/>
  <c r="G9055"/>
  <c r="K9054"/>
  <c r="G9054"/>
  <c r="K9053"/>
  <c r="G9053"/>
  <c r="K9052"/>
  <c r="G9052"/>
  <c r="K9051"/>
  <c r="G9051"/>
  <c r="K9050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K9022"/>
  <c r="K9021"/>
  <c r="K9020"/>
  <c r="K9019"/>
  <c r="K9018"/>
  <c r="K9017"/>
  <c r="K9016"/>
  <c r="K9015"/>
  <c r="K9014"/>
  <c r="K9013"/>
  <c r="K9012"/>
  <c r="K9011"/>
  <c r="K9010"/>
  <c r="K9009"/>
  <c r="K9008"/>
  <c r="K9007"/>
  <c r="K9006"/>
  <c r="K9005"/>
  <c r="K9004"/>
  <c r="K9003"/>
  <c r="K9002"/>
  <c r="K9001"/>
  <c r="K9000"/>
  <c r="K8999"/>
  <c r="K8998"/>
  <c r="K8997"/>
  <c r="K8996"/>
  <c r="K8995"/>
  <c r="K8994"/>
  <c r="K8993"/>
  <c r="K8992"/>
  <c r="K8991"/>
  <c r="K8990"/>
  <c r="K8989"/>
  <c r="K8988"/>
  <c r="K8987"/>
  <c r="K8986"/>
  <c r="K8985"/>
  <c r="K8984"/>
  <c r="K8983"/>
  <c r="K8982"/>
  <c r="K8981"/>
  <c r="K8980"/>
  <c r="K8979"/>
  <c r="K8978"/>
  <c r="K8977"/>
  <c r="K8976"/>
  <c r="K8975"/>
  <c r="K8974"/>
  <c r="K8973"/>
  <c r="K8972"/>
  <c r="K8971"/>
  <c r="K8970"/>
  <c r="K8969"/>
  <c r="K8968"/>
  <c r="K8967"/>
  <c r="K8966"/>
  <c r="K8965"/>
  <c r="K8964"/>
  <c r="K8963"/>
  <c r="K8962"/>
  <c r="K8961"/>
  <c r="K8960"/>
  <c r="K8959"/>
  <c r="K8958"/>
  <c r="K8957"/>
  <c r="K8956"/>
  <c r="K8955"/>
  <c r="K8954"/>
  <c r="K8953"/>
  <c r="K8952"/>
  <c r="K8951"/>
  <c r="K8950"/>
  <c r="K8949"/>
  <c r="K8948"/>
  <c r="K8947"/>
  <c r="K8946"/>
  <c r="K8945"/>
  <c r="K8944"/>
  <c r="K8943"/>
  <c r="K8942"/>
  <c r="K8941"/>
  <c r="K8940"/>
  <c r="K8939"/>
  <c r="K8938"/>
  <c r="K8937"/>
  <c r="K8936"/>
  <c r="K8935"/>
  <c r="K8934"/>
  <c r="K8933"/>
  <c r="K8932"/>
  <c r="K8931"/>
  <c r="K8930"/>
  <c r="K8929"/>
  <c r="K8928"/>
  <c r="K8927"/>
  <c r="K8926"/>
  <c r="K8925"/>
  <c r="K8924"/>
  <c r="K8923"/>
  <c r="K8922"/>
  <c r="K8921"/>
  <c r="K8920"/>
  <c r="K8919"/>
  <c r="K8918"/>
  <c r="G8917"/>
  <c r="H8917" s="1"/>
  <c r="K8917" s="1"/>
  <c r="G8916"/>
  <c r="H8916" s="1"/>
  <c r="K8916" s="1"/>
  <c r="G8915"/>
  <c r="H8915" s="1"/>
  <c r="K8915" s="1"/>
  <c r="G8914"/>
  <c r="H8914" s="1"/>
  <c r="K8914" s="1"/>
  <c r="G8913"/>
  <c r="H8913" s="1"/>
  <c r="K8913" s="1"/>
  <c r="G8912"/>
  <c r="H8912" s="1"/>
  <c r="K8912" s="1"/>
  <c r="G8911"/>
  <c r="H8911" s="1"/>
  <c r="K8911" s="1"/>
  <c r="G8910"/>
  <c r="H8910" s="1"/>
  <c r="K8910" s="1"/>
  <c r="G8909"/>
  <c r="H8909" s="1"/>
  <c r="K8909" s="1"/>
  <c r="G8908"/>
  <c r="H8908" s="1"/>
  <c r="K8908" s="1"/>
  <c r="G8907"/>
  <c r="H8907" s="1"/>
  <c r="K8907" s="1"/>
  <c r="G8906"/>
  <c r="H8906" s="1"/>
  <c r="K8906" s="1"/>
  <c r="G8905"/>
  <c r="H8905" s="1"/>
  <c r="K8905" s="1"/>
  <c r="G8904"/>
  <c r="H8904" s="1"/>
  <c r="K8904" s="1"/>
  <c r="G8903"/>
  <c r="H8903" s="1"/>
  <c r="K8903" s="1"/>
  <c r="G8902"/>
  <c r="H8902" s="1"/>
  <c r="K8902" s="1"/>
  <c r="G8901"/>
  <c r="H8901" s="1"/>
  <c r="K8901" s="1"/>
  <c r="G8900"/>
  <c r="H8900" s="1"/>
  <c r="K8900" s="1"/>
  <c r="G8899"/>
  <c r="H8899" s="1"/>
  <c r="K8899" s="1"/>
  <c r="G8898"/>
  <c r="H8898" s="1"/>
  <c r="K8898" s="1"/>
  <c r="G8897"/>
  <c r="H8897" s="1"/>
  <c r="K8897" s="1"/>
  <c r="G8896"/>
  <c r="H8896" s="1"/>
  <c r="K8896" s="1"/>
  <c r="G8895"/>
  <c r="H8895" s="1"/>
  <c r="K8895" s="1"/>
  <c r="G8894"/>
  <c r="H8894" s="1"/>
  <c r="K8894" s="1"/>
  <c r="G8893"/>
  <c r="H8893" s="1"/>
  <c r="K8893" s="1"/>
  <c r="G8892"/>
  <c r="H8892" s="1"/>
  <c r="K8892" s="1"/>
  <c r="G8891"/>
  <c r="H8891" s="1"/>
  <c r="K8891" s="1"/>
  <c r="G8890"/>
  <c r="H8890" s="1"/>
  <c r="K8890" s="1"/>
  <c r="G8889"/>
  <c r="H8889" s="1"/>
  <c r="K8889" s="1"/>
  <c r="G8888"/>
  <c r="H8888" s="1"/>
  <c r="K8888" s="1"/>
  <c r="G8887"/>
  <c r="H8887" s="1"/>
  <c r="K8887" s="1"/>
  <c r="G8886"/>
  <c r="H8886" s="1"/>
  <c r="K8886" s="1"/>
  <c r="G8885"/>
  <c r="H8885" s="1"/>
  <c r="K8885" s="1"/>
  <c r="G8884"/>
  <c r="H8884" s="1"/>
  <c r="K8884" s="1"/>
  <c r="G8883"/>
  <c r="H8883" s="1"/>
  <c r="K8883" s="1"/>
  <c r="G8882"/>
  <c r="H8882" s="1"/>
  <c r="K8882" s="1"/>
  <c r="G8881"/>
  <c r="H8881" s="1"/>
  <c r="K8881" s="1"/>
  <c r="G8880"/>
  <c r="H8880" s="1"/>
  <c r="K8880" s="1"/>
  <c r="G8879"/>
  <c r="H8879" s="1"/>
  <c r="K8879" s="1"/>
  <c r="G8878"/>
  <c r="H8878" s="1"/>
  <c r="K8878" s="1"/>
  <c r="G8877"/>
  <c r="H8877" s="1"/>
  <c r="K8877" s="1"/>
  <c r="G8876"/>
  <c r="H8876" s="1"/>
  <c r="K8876" s="1"/>
  <c r="G8875"/>
  <c r="H8875" s="1"/>
  <c r="K8875" s="1"/>
  <c r="G8874"/>
  <c r="H8874" s="1"/>
  <c r="K8874" s="1"/>
  <c r="G8873"/>
  <c r="H8873" s="1"/>
  <c r="K8873" s="1"/>
  <c r="G8872"/>
  <c r="H8872" s="1"/>
  <c r="K8872" s="1"/>
  <c r="G8871"/>
  <c r="H8871" s="1"/>
  <c r="K8871" s="1"/>
  <c r="G8870"/>
  <c r="H8870" s="1"/>
  <c r="K8870" s="1"/>
  <c r="G8869"/>
  <c r="H8869" s="1"/>
  <c r="K8869" s="1"/>
  <c r="G8868"/>
  <c r="H8868" s="1"/>
  <c r="K8868" s="1"/>
  <c r="G8867"/>
  <c r="H8867" s="1"/>
  <c r="K8867" s="1"/>
  <c r="G8866"/>
  <c r="H8866" s="1"/>
  <c r="K8866" s="1"/>
  <c r="G8865"/>
  <c r="H8865" s="1"/>
  <c r="K8865" s="1"/>
  <c r="G8864"/>
  <c r="H8864" s="1"/>
  <c r="K8864" s="1"/>
  <c r="G8863"/>
  <c r="H8863" s="1"/>
  <c r="K8863" s="1"/>
  <c r="G8862"/>
  <c r="H8862" s="1"/>
  <c r="K8862" s="1"/>
  <c r="G8861"/>
  <c r="H8861" s="1"/>
  <c r="K8861" s="1"/>
  <c r="G8860"/>
  <c r="H8860" s="1"/>
  <c r="K8860" s="1"/>
  <c r="G8859"/>
  <c r="H8859" s="1"/>
  <c r="K8859" s="1"/>
  <c r="G8858"/>
  <c r="H8858" s="1"/>
  <c r="K8858" s="1"/>
  <c r="G8857"/>
  <c r="H8857" s="1"/>
  <c r="K8857" s="1"/>
  <c r="G8856"/>
  <c r="H8856" s="1"/>
  <c r="K8856" s="1"/>
  <c r="G8855"/>
  <c r="H8855" s="1"/>
  <c r="K8855" s="1"/>
  <c r="G8854"/>
  <c r="H8854" s="1"/>
  <c r="K8854" s="1"/>
  <c r="G8853"/>
  <c r="H8853" s="1"/>
  <c r="K8853" s="1"/>
  <c r="G8852"/>
  <c r="H8852" s="1"/>
  <c r="K8852" s="1"/>
  <c r="G8851"/>
  <c r="H8851" s="1"/>
  <c r="K8851" s="1"/>
  <c r="G8850"/>
  <c r="H8850" s="1"/>
  <c r="K8850" s="1"/>
  <c r="G8849"/>
  <c r="H8849" s="1"/>
  <c r="K8849" s="1"/>
  <c r="G8848"/>
  <c r="H8848" s="1"/>
  <c r="K8848" s="1"/>
  <c r="G8847"/>
  <c r="H8847" s="1"/>
  <c r="K8847" s="1"/>
  <c r="G8846"/>
  <c r="H8846" s="1"/>
  <c r="K8846" s="1"/>
  <c r="G8845"/>
  <c r="H8845" s="1"/>
  <c r="K8845" s="1"/>
  <c r="G8844"/>
  <c r="H8844" s="1"/>
  <c r="K8844" s="1"/>
  <c r="G8843"/>
  <c r="H8843" s="1"/>
  <c r="K8843" s="1"/>
  <c r="G8842"/>
  <c r="H8842" s="1"/>
  <c r="K8842" s="1"/>
  <c r="G8841"/>
  <c r="H8841" s="1"/>
  <c r="K8841" s="1"/>
  <c r="G8840"/>
  <c r="H8840" s="1"/>
  <c r="K8840" s="1"/>
  <c r="G8839"/>
  <c r="H8839" s="1"/>
  <c r="K8839" s="1"/>
  <c r="G8838"/>
  <c r="H8838" s="1"/>
  <c r="K8838" s="1"/>
  <c r="G8837"/>
  <c r="H8837" s="1"/>
  <c r="K8837" s="1"/>
  <c r="G8836"/>
  <c r="H8836" s="1"/>
  <c r="K8836" s="1"/>
  <c r="G8835"/>
  <c r="H8835" s="1"/>
  <c r="K8835" s="1"/>
  <c r="G8834"/>
  <c r="H8834" s="1"/>
  <c r="K8834" s="1"/>
  <c r="G8833"/>
  <c r="H8833" s="1"/>
  <c r="K8833" s="1"/>
  <c r="G8832"/>
  <c r="H8832" s="1"/>
  <c r="K8832" s="1"/>
  <c r="G8831"/>
  <c r="H8831" s="1"/>
  <c r="K8831" s="1"/>
  <c r="G8830"/>
  <c r="H8830" s="1"/>
  <c r="K8830" s="1"/>
  <c r="G8829"/>
  <c r="H8829" s="1"/>
  <c r="K8829" s="1"/>
  <c r="G8828"/>
  <c r="H8828" s="1"/>
  <c r="K8828" s="1"/>
  <c r="G8827"/>
  <c r="H8827" s="1"/>
  <c r="K8827" s="1"/>
  <c r="G8826"/>
  <c r="H8826" s="1"/>
  <c r="K8826" s="1"/>
  <c r="G8825"/>
  <c r="H8825" s="1"/>
  <c r="K8825" s="1"/>
  <c r="G8824"/>
  <c r="H8824" s="1"/>
  <c r="K8824" s="1"/>
  <c r="G8823"/>
  <c r="H8823" s="1"/>
  <c r="K8823" s="1"/>
  <c r="G8822"/>
  <c r="H8822" s="1"/>
  <c r="K8822" s="1"/>
  <c r="G8821"/>
  <c r="H8821" s="1"/>
  <c r="K8821" s="1"/>
  <c r="G8820"/>
  <c r="H8820" s="1"/>
  <c r="K8820" s="1"/>
  <c r="G8819"/>
  <c r="H8819" s="1"/>
  <c r="K8819" s="1"/>
  <c r="G8818"/>
  <c r="H8818" s="1"/>
  <c r="K8818" s="1"/>
  <c r="G8817"/>
  <c r="H8817" s="1"/>
  <c r="K8817" s="1"/>
  <c r="G8816"/>
  <c r="H8816" s="1"/>
  <c r="K8816" s="1"/>
  <c r="G8815"/>
  <c r="H8815" s="1"/>
  <c r="K8815" s="1"/>
  <c r="G8814"/>
  <c r="H8814" s="1"/>
  <c r="K8814" s="1"/>
  <c r="G8813"/>
  <c r="H8813" s="1"/>
  <c r="K8813" s="1"/>
  <c r="G8812"/>
  <c r="H8812" s="1"/>
  <c r="K8812" s="1"/>
  <c r="G8811"/>
  <c r="H8811" s="1"/>
  <c r="K8811" s="1"/>
  <c r="G8810"/>
  <c r="H8810" s="1"/>
  <c r="K8810" s="1"/>
  <c r="G8809"/>
  <c r="H8809" s="1"/>
  <c r="K8809" s="1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G8702"/>
  <c r="H8702" s="1"/>
  <c r="K8702" s="1"/>
  <c r="G8701"/>
  <c r="H8701" s="1"/>
  <c r="K8701" s="1"/>
  <c r="G8700"/>
  <c r="H8700" s="1"/>
  <c r="K8700" s="1"/>
  <c r="G8699"/>
  <c r="H8699" s="1"/>
  <c r="K8699" s="1"/>
  <c r="G8698"/>
  <c r="H8698" s="1"/>
  <c r="K8698" s="1"/>
  <c r="G8697"/>
  <c r="H8697" s="1"/>
  <c r="K8697" s="1"/>
  <c r="G8696"/>
  <c r="H8696" s="1"/>
  <c r="K8696" s="1"/>
  <c r="G8695"/>
  <c r="H8695" s="1"/>
  <c r="K8695" s="1"/>
  <c r="G8694"/>
  <c r="H8694" s="1"/>
  <c r="K8694" s="1"/>
  <c r="G8693"/>
  <c r="H8693" s="1"/>
  <c r="K8693" s="1"/>
  <c r="G8692"/>
  <c r="H8692" s="1"/>
  <c r="K8692" s="1"/>
  <c r="G8691"/>
  <c r="H8691" s="1"/>
  <c r="K8691" s="1"/>
  <c r="G8690"/>
  <c r="H8690" s="1"/>
  <c r="K8690" s="1"/>
  <c r="G8689"/>
  <c r="H8689" s="1"/>
  <c r="K8689" s="1"/>
  <c r="G8688"/>
  <c r="H8688" s="1"/>
  <c r="K8688" s="1"/>
  <c r="G8687"/>
  <c r="H8687" s="1"/>
  <c r="K8687" s="1"/>
  <c r="G8686"/>
  <c r="H8686" s="1"/>
  <c r="K8686" s="1"/>
  <c r="G8685"/>
  <c r="H8685" s="1"/>
  <c r="K8685" s="1"/>
  <c r="G8684"/>
  <c r="H8684" s="1"/>
  <c r="K8684" s="1"/>
  <c r="G8683"/>
  <c r="H8683" s="1"/>
  <c r="K8683" s="1"/>
  <c r="G8682"/>
  <c r="H8682" s="1"/>
  <c r="K8682" s="1"/>
  <c r="G8681"/>
  <c r="H8681" s="1"/>
  <c r="K8681" s="1"/>
  <c r="G8680"/>
  <c r="H8680" s="1"/>
  <c r="K8680" s="1"/>
  <c r="G8679"/>
  <c r="H8679" s="1"/>
  <c r="K8679" s="1"/>
  <c r="G8678"/>
  <c r="H8678" s="1"/>
  <c r="K8678" s="1"/>
  <c r="G8677"/>
  <c r="H8677" s="1"/>
  <c r="K8677" s="1"/>
  <c r="G8676"/>
  <c r="H8676" s="1"/>
  <c r="K8676" s="1"/>
  <c r="G8675"/>
  <c r="H8675" s="1"/>
  <c r="K8675" s="1"/>
  <c r="G8674"/>
  <c r="H8674" s="1"/>
  <c r="K8674" s="1"/>
  <c r="G8673"/>
  <c r="H8673" s="1"/>
  <c r="K8673" s="1"/>
  <c r="G8672"/>
  <c r="H8672" s="1"/>
  <c r="K8672" s="1"/>
  <c r="G8671"/>
  <c r="H8671" s="1"/>
  <c r="K8671" s="1"/>
  <c r="G8670"/>
  <c r="H8670" s="1"/>
  <c r="K8670" s="1"/>
  <c r="G8669"/>
  <c r="H8669" s="1"/>
  <c r="K8669" s="1"/>
  <c r="G8668"/>
  <c r="H8668" s="1"/>
  <c r="K8668" s="1"/>
  <c r="G8667"/>
  <c r="H8667" s="1"/>
  <c r="K8667" s="1"/>
  <c r="G8666"/>
  <c r="H8666" s="1"/>
  <c r="K8666" s="1"/>
  <c r="G8665"/>
  <c r="H8665" s="1"/>
  <c r="K8665" s="1"/>
  <c r="G8664"/>
  <c r="H8664" s="1"/>
  <c r="K8664" s="1"/>
  <c r="G8663"/>
  <c r="H8663" s="1"/>
  <c r="K8663" s="1"/>
  <c r="G8662"/>
  <c r="H8662" s="1"/>
  <c r="K8662" s="1"/>
  <c r="G8661"/>
  <c r="H8661" s="1"/>
  <c r="K8661" s="1"/>
  <c r="G8660"/>
  <c r="H8660" s="1"/>
  <c r="K8660" s="1"/>
  <c r="G8659"/>
  <c r="H8659" s="1"/>
  <c r="K8659" s="1"/>
  <c r="G8658"/>
  <c r="H8658" s="1"/>
  <c r="K8658" s="1"/>
  <c r="G8657"/>
  <c r="H8657" s="1"/>
  <c r="K8657" s="1"/>
  <c r="G8656"/>
  <c r="H8656" s="1"/>
  <c r="K8656" s="1"/>
  <c r="G8655"/>
  <c r="H8655" s="1"/>
  <c r="K8655" s="1"/>
  <c r="G8654"/>
  <c r="H8654" s="1"/>
  <c r="K8654" s="1"/>
  <c r="G8653"/>
  <c r="H8653" s="1"/>
  <c r="K8653" s="1"/>
  <c r="G8652"/>
  <c r="H8652" s="1"/>
  <c r="K8652" s="1"/>
  <c r="G8651"/>
  <c r="H8651" s="1"/>
  <c r="K8651" s="1"/>
  <c r="G8650"/>
  <c r="H8650" s="1"/>
  <c r="K8650" s="1"/>
  <c r="G8649"/>
  <c r="H8649" s="1"/>
  <c r="K8649" s="1"/>
  <c r="G8648"/>
  <c r="H8648" s="1"/>
  <c r="K8648" s="1"/>
  <c r="G8647"/>
  <c r="H8647" s="1"/>
  <c r="K8647" s="1"/>
  <c r="G8646"/>
  <c r="H8646" s="1"/>
  <c r="K8646" s="1"/>
  <c r="G8645"/>
  <c r="H8645" s="1"/>
  <c r="K8645" s="1"/>
  <c r="G8644"/>
  <c r="H8644" s="1"/>
  <c r="K8644" s="1"/>
  <c r="G8643"/>
  <c r="H8643" s="1"/>
  <c r="K8643" s="1"/>
  <c r="G8642"/>
  <c r="H8642" s="1"/>
  <c r="K8642" s="1"/>
  <c r="G8641"/>
  <c r="H8641" s="1"/>
  <c r="K8641" s="1"/>
  <c r="G8640"/>
  <c r="H8640" s="1"/>
  <c r="K8640" s="1"/>
  <c r="G8639"/>
  <c r="H8639" s="1"/>
  <c r="K8639" s="1"/>
  <c r="G8638"/>
  <c r="H8638" s="1"/>
  <c r="K8638" s="1"/>
  <c r="G8637"/>
  <c r="H8637" s="1"/>
  <c r="K8637" s="1"/>
  <c r="G8636"/>
  <c r="H8636" s="1"/>
  <c r="K8636" s="1"/>
  <c r="G8635"/>
  <c r="H8635" s="1"/>
  <c r="K8635" s="1"/>
  <c r="G8634"/>
  <c r="H8634" s="1"/>
  <c r="K8634" s="1"/>
  <c r="G8633"/>
  <c r="H8633" s="1"/>
  <c r="K8633" s="1"/>
  <c r="G8632"/>
  <c r="H8632" s="1"/>
  <c r="K8632" s="1"/>
  <c r="G8631"/>
  <c r="H8631" s="1"/>
  <c r="K8631" s="1"/>
  <c r="G8630"/>
  <c r="H8630" s="1"/>
  <c r="K8630" s="1"/>
  <c r="G8629"/>
  <c r="H8629" s="1"/>
  <c r="K8629" s="1"/>
  <c r="G8628"/>
  <c r="H8628" s="1"/>
  <c r="K8628" s="1"/>
  <c r="G8627"/>
  <c r="H8627" s="1"/>
  <c r="K8627" s="1"/>
  <c r="G8626"/>
  <c r="H8626" s="1"/>
  <c r="K8626" s="1"/>
  <c r="G8625"/>
  <c r="H8625" s="1"/>
  <c r="K8625" s="1"/>
  <c r="G8624"/>
  <c r="H8624" s="1"/>
  <c r="K8624" s="1"/>
  <c r="G8623"/>
  <c r="H8623" s="1"/>
  <c r="K8623" s="1"/>
  <c r="G8622"/>
  <c r="H8622" s="1"/>
  <c r="K8622" s="1"/>
  <c r="G8621"/>
  <c r="H8621" s="1"/>
  <c r="K8621" s="1"/>
  <c r="G8620"/>
  <c r="H8620" s="1"/>
  <c r="K8620" s="1"/>
  <c r="G8619"/>
  <c r="H8619" s="1"/>
  <c r="K8619" s="1"/>
  <c r="G8618"/>
  <c r="H8618" s="1"/>
  <c r="K8618" s="1"/>
  <c r="G8617"/>
  <c r="H8617" s="1"/>
  <c r="K8617" s="1"/>
  <c r="G8616"/>
  <c r="H8616" s="1"/>
  <c r="K8616" s="1"/>
  <c r="G8615"/>
  <c r="H8615" s="1"/>
  <c r="K8615" s="1"/>
  <c r="G8614"/>
  <c r="H8614" s="1"/>
  <c r="K8614" s="1"/>
  <c r="G8613"/>
  <c r="H8613" s="1"/>
  <c r="K8613" s="1"/>
  <c r="G8612"/>
  <c r="H8612" s="1"/>
  <c r="K8612" s="1"/>
  <c r="G8611"/>
  <c r="H8611" s="1"/>
  <c r="K8611" s="1"/>
  <c r="G8610"/>
  <c r="H8610" s="1"/>
  <c r="K8610" s="1"/>
  <c r="G8609"/>
  <c r="H8609" s="1"/>
  <c r="K8609" s="1"/>
  <c r="G8608"/>
  <c r="H8608" s="1"/>
  <c r="K8608" s="1"/>
  <c r="G8607"/>
  <c r="H8607" s="1"/>
  <c r="K8607" s="1"/>
  <c r="G8606"/>
  <c r="H8606" s="1"/>
  <c r="K8606" s="1"/>
  <c r="G8605"/>
  <c r="H8605" s="1"/>
  <c r="K8605" s="1"/>
  <c r="G8604"/>
  <c r="H8604" s="1"/>
  <c r="K8604" s="1"/>
  <c r="G8603"/>
  <c r="H8603" s="1"/>
  <c r="K8603" s="1"/>
  <c r="G8602"/>
  <c r="H8602" s="1"/>
  <c r="K8602" s="1"/>
  <c r="G8601"/>
  <c r="H8601" s="1"/>
  <c r="K8601" s="1"/>
  <c r="G8600"/>
  <c r="H8600" s="1"/>
  <c r="K8600" s="1"/>
  <c r="G8599"/>
  <c r="H8599" s="1"/>
  <c r="K8599" s="1"/>
  <c r="G8598"/>
  <c r="H8598" s="1"/>
  <c r="K8598" s="1"/>
  <c r="G8597" l="1"/>
  <c r="H8597" s="1"/>
  <c r="K8597" s="1"/>
  <c r="G8596"/>
  <c r="H8596" s="1"/>
  <c r="K8596" s="1"/>
  <c r="G8595"/>
  <c r="H8595" s="1"/>
  <c r="K8595" s="1"/>
  <c r="G8594"/>
  <c r="H8594" s="1"/>
  <c r="G8593"/>
  <c r="H8593" s="1"/>
  <c r="K8593" s="1"/>
  <c r="G8592"/>
  <c r="H8592" s="1"/>
  <c r="G8591"/>
  <c r="H8591" s="1"/>
  <c r="K8591" s="1"/>
  <c r="G8590"/>
  <c r="H8590" s="1"/>
  <c r="G8589"/>
  <c r="H8589" s="1"/>
  <c r="K8589" s="1"/>
  <c r="G8588"/>
  <c r="H8588" s="1"/>
  <c r="K8588" s="1"/>
  <c r="G8587"/>
  <c r="H8587" s="1"/>
  <c r="K8587" s="1"/>
  <c r="G8586"/>
  <c r="H8586" s="1"/>
  <c r="G8585"/>
  <c r="H8585" s="1"/>
  <c r="K8585" s="1"/>
  <c r="G8584"/>
  <c r="H8584" s="1"/>
  <c r="G8583"/>
  <c r="H8583" s="1"/>
  <c r="K8583" s="1"/>
  <c r="G8582"/>
  <c r="H8582" s="1"/>
  <c r="K8582" s="1"/>
  <c r="G8581"/>
  <c r="H8581" s="1"/>
  <c r="K8581" s="1"/>
  <c r="G8580"/>
  <c r="H8580" s="1"/>
  <c r="K8580" s="1"/>
  <c r="G8579"/>
  <c r="H8579" s="1"/>
  <c r="K8579" s="1"/>
  <c r="G8578"/>
  <c r="H8578" s="1"/>
  <c r="K8578" s="1"/>
  <c r="G8577"/>
  <c r="H8577" s="1"/>
  <c r="K8577" s="1"/>
  <c r="G8576"/>
  <c r="H8576" s="1"/>
  <c r="G8575"/>
  <c r="H8575" s="1"/>
  <c r="K8575" s="1"/>
  <c r="G8574"/>
  <c r="H8574" s="1"/>
  <c r="K8574" s="1"/>
  <c r="G8573"/>
  <c r="H8573" s="1"/>
  <c r="K8573" s="1"/>
  <c r="G8572"/>
  <c r="H8572" s="1"/>
  <c r="K8572" s="1"/>
  <c r="G8571"/>
  <c r="H8571" s="1"/>
  <c r="K8571" s="1"/>
  <c r="G8570"/>
  <c r="H8570" s="1"/>
  <c r="G8569"/>
  <c r="H8569" s="1"/>
  <c r="K8569" s="1"/>
  <c r="G8568"/>
  <c r="H8568" s="1"/>
  <c r="G8567"/>
  <c r="H8567" s="1"/>
  <c r="K8567" s="1"/>
  <c r="G8566"/>
  <c r="H8566" s="1"/>
  <c r="K8566" s="1"/>
  <c r="G8565"/>
  <c r="H8565" s="1"/>
  <c r="K8565" s="1"/>
  <c r="G8564"/>
  <c r="H8564" s="1"/>
  <c r="K8564" s="1"/>
  <c r="G8563"/>
  <c r="H8563" s="1"/>
  <c r="G8562"/>
  <c r="H8562" s="1"/>
  <c r="G8561"/>
  <c r="H8561" s="1"/>
  <c r="K8561" s="1"/>
  <c r="G8560"/>
  <c r="H8560" s="1"/>
  <c r="G8559"/>
  <c r="H8559" s="1"/>
  <c r="G8558"/>
  <c r="H8558" s="1"/>
  <c r="K8558" s="1"/>
  <c r="G8557"/>
  <c r="H8557" s="1"/>
  <c r="K8557" s="1"/>
  <c r="G8556"/>
  <c r="H8556" s="1"/>
  <c r="K8556" s="1"/>
  <c r="G8555"/>
  <c r="H8555" s="1"/>
  <c r="K8555" s="1"/>
  <c r="G8554"/>
  <c r="H8554" s="1"/>
  <c r="G8553"/>
  <c r="H8553" s="1"/>
  <c r="K8553" s="1"/>
  <c r="G8552"/>
  <c r="H8552" s="1"/>
  <c r="G8551"/>
  <c r="H8551" s="1"/>
  <c r="K8551" s="1"/>
  <c r="G8550"/>
  <c r="H8550" s="1"/>
  <c r="K8550" s="1"/>
  <c r="G8549"/>
  <c r="H8549" s="1"/>
  <c r="K8549" s="1"/>
  <c r="G8548"/>
  <c r="H8548" s="1"/>
  <c r="K8548" s="1"/>
  <c r="G8547"/>
  <c r="H8547" s="1"/>
  <c r="K8547" s="1"/>
  <c r="G8546"/>
  <c r="H8546" s="1"/>
  <c r="G8545"/>
  <c r="H8545" s="1"/>
  <c r="K8545" s="1"/>
  <c r="G8544"/>
  <c r="H8544" s="1"/>
  <c r="G8543"/>
  <c r="H8543" s="1"/>
  <c r="K8543" s="1"/>
  <c r="G8542"/>
  <c r="H8542" s="1"/>
  <c r="K8542" s="1"/>
  <c r="G8541"/>
  <c r="H8541" s="1"/>
  <c r="K8541" s="1"/>
  <c r="G8540"/>
  <c r="H8540" s="1"/>
  <c r="K8540" s="1"/>
  <c r="G8539"/>
  <c r="H8539" s="1"/>
  <c r="K8539" s="1"/>
  <c r="G8538"/>
  <c r="H8538" s="1"/>
  <c r="G8537"/>
  <c r="H8537" s="1"/>
  <c r="K8537" s="1"/>
  <c r="G8536"/>
  <c r="H8536" s="1"/>
  <c r="G8535"/>
  <c r="H8535" s="1"/>
  <c r="K8535" s="1"/>
  <c r="G8534"/>
  <c r="H8534" s="1"/>
  <c r="K8534" s="1"/>
  <c r="G8533"/>
  <c r="H8533" s="1"/>
  <c r="K8533" s="1"/>
  <c r="G8532"/>
  <c r="H8532" s="1"/>
  <c r="K8532" s="1"/>
  <c r="G8531"/>
  <c r="H8531" s="1"/>
  <c r="K8531" s="1"/>
  <c r="G8530"/>
  <c r="H8530" s="1"/>
  <c r="G8529"/>
  <c r="H8529" s="1"/>
  <c r="K8529" s="1"/>
  <c r="G8528"/>
  <c r="H8528" s="1"/>
  <c r="K8528" s="1"/>
  <c r="G8527"/>
  <c r="H8527" s="1"/>
  <c r="K8527" s="1"/>
  <c r="G8526"/>
  <c r="H8526" s="1"/>
  <c r="K8526" s="1"/>
  <c r="G8525"/>
  <c r="H8525" s="1"/>
  <c r="K8525" s="1"/>
  <c r="G8524"/>
  <c r="H8524" s="1"/>
  <c r="K8524" s="1"/>
  <c r="G8523"/>
  <c r="H8523" s="1"/>
  <c r="K8523" s="1"/>
  <c r="G8522"/>
  <c r="H8522" s="1"/>
  <c r="K8522" s="1"/>
  <c r="G8521"/>
  <c r="H8521" s="1"/>
  <c r="G8520"/>
  <c r="H8520" s="1"/>
  <c r="G8519"/>
  <c r="H8519" s="1"/>
  <c r="K8519" s="1"/>
  <c r="G8518"/>
  <c r="H8518" s="1"/>
  <c r="K8518" s="1"/>
  <c r="G8517"/>
  <c r="H8517" s="1"/>
  <c r="K8517" s="1"/>
  <c r="G8516"/>
  <c r="H8516" s="1"/>
  <c r="K8516" s="1"/>
  <c r="G8515"/>
  <c r="H8515" s="1"/>
  <c r="K8515" s="1"/>
  <c r="G8514"/>
  <c r="H8514" s="1"/>
  <c r="K8514" s="1"/>
  <c r="G8513"/>
  <c r="H8513" s="1"/>
  <c r="K8513" s="1"/>
  <c r="G8512"/>
  <c r="H8512" s="1"/>
  <c r="K8512" s="1"/>
  <c r="G8511"/>
  <c r="H8511" s="1"/>
  <c r="K8511" s="1"/>
  <c r="G8510"/>
  <c r="H8510" s="1"/>
  <c r="K8510" s="1"/>
  <c r="G8509"/>
  <c r="H8509" s="1"/>
  <c r="K8509" s="1"/>
  <c r="G8508"/>
  <c r="H8508" s="1"/>
  <c r="K8508" s="1"/>
  <c r="G8507"/>
  <c r="H8507" s="1"/>
  <c r="K8507" s="1"/>
  <c r="G8506"/>
  <c r="H8506" s="1"/>
  <c r="G8505"/>
  <c r="H8505" s="1"/>
  <c r="K8505" s="1"/>
  <c r="G8504"/>
  <c r="H8504" s="1"/>
  <c r="K8504" s="1"/>
  <c r="G8503"/>
  <c r="H8503" s="1"/>
  <c r="K8503" s="1"/>
  <c r="G8502"/>
  <c r="H8502" s="1"/>
  <c r="K8502" s="1"/>
  <c r="G8501"/>
  <c r="H8501" s="1"/>
  <c r="K8501" s="1"/>
  <c r="G8500"/>
  <c r="H8500" s="1"/>
  <c r="K8500" s="1"/>
  <c r="G8499"/>
  <c r="H8499" s="1"/>
  <c r="K8499" s="1"/>
  <c r="G8498"/>
  <c r="H8498" s="1"/>
  <c r="G8497"/>
  <c r="H8497" s="1"/>
  <c r="K8497" s="1"/>
  <c r="G8496"/>
  <c r="H8496" s="1"/>
  <c r="K8496" s="1"/>
  <c r="G8495"/>
  <c r="H8495" s="1"/>
  <c r="K8495" s="1"/>
  <c r="G8494"/>
  <c r="H8494" s="1"/>
  <c r="K8494" s="1"/>
  <c r="G8493"/>
  <c r="H8493" s="1"/>
  <c r="K8493" s="1"/>
  <c r="G8492"/>
  <c r="H8492" s="1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H8385" s="1"/>
  <c r="K8385" s="1"/>
  <c r="G8384"/>
  <c r="H8384" s="1"/>
  <c r="K8384" s="1"/>
  <c r="G8383"/>
  <c r="H8383" s="1"/>
  <c r="K8383" s="1"/>
  <c r="G8382"/>
  <c r="H8382" s="1"/>
  <c r="K8382" s="1"/>
  <c r="G8381"/>
  <c r="H8381" s="1"/>
  <c r="K8381" s="1"/>
  <c r="G8380"/>
  <c r="H8380" s="1"/>
  <c r="K8380" s="1"/>
  <c r="G8379"/>
  <c r="H8379" s="1"/>
  <c r="K8379" s="1"/>
  <c r="G8378"/>
  <c r="H8378" s="1"/>
  <c r="G8377"/>
  <c r="H8377" s="1"/>
  <c r="K8377" s="1"/>
  <c r="G8376"/>
  <c r="H8376" s="1"/>
  <c r="K8376" s="1"/>
  <c r="G8375"/>
  <c r="H8375" s="1"/>
  <c r="K8375" s="1"/>
  <c r="G8374"/>
  <c r="H8374" s="1"/>
  <c r="K8374" s="1"/>
  <c r="G8373"/>
  <c r="H8373" s="1"/>
  <c r="K8373" s="1"/>
  <c r="G8372"/>
  <c r="H8372" s="1"/>
  <c r="K8372" s="1"/>
  <c r="G8371"/>
  <c r="H8371" s="1"/>
  <c r="K8371" s="1"/>
  <c r="G8370"/>
  <c r="H8370" s="1"/>
  <c r="K8370" s="1"/>
  <c r="G8369"/>
  <c r="H8369" s="1"/>
  <c r="K8369" s="1"/>
  <c r="G8368"/>
  <c r="H8368" s="1"/>
  <c r="K8368" s="1"/>
  <c r="G8367"/>
  <c r="H8367" s="1"/>
  <c r="K8367" s="1"/>
  <c r="G8366"/>
  <c r="H8366" s="1"/>
  <c r="K8366" s="1"/>
  <c r="G8365"/>
  <c r="H8365" s="1"/>
  <c r="K8365" s="1"/>
  <c r="G8364"/>
  <c r="H8364" s="1"/>
  <c r="K8364" s="1"/>
  <c r="G8363"/>
  <c r="H8363" s="1"/>
  <c r="K8363" s="1"/>
  <c r="G8362"/>
  <c r="H8362" s="1"/>
  <c r="G8361"/>
  <c r="H8361" s="1"/>
  <c r="K8361" s="1"/>
  <c r="G8360"/>
  <c r="H8360" s="1"/>
  <c r="K8360" s="1"/>
  <c r="G8359"/>
  <c r="H8359" s="1"/>
  <c r="K8359" s="1"/>
  <c r="G8358"/>
  <c r="H8358" s="1"/>
  <c r="K8358" s="1"/>
  <c r="G8357"/>
  <c r="H8357" s="1"/>
  <c r="K8357" s="1"/>
  <c r="G8356"/>
  <c r="H8356" s="1"/>
  <c r="K8356" s="1"/>
  <c r="G8355"/>
  <c r="H8355" s="1"/>
  <c r="K8355" s="1"/>
  <c r="G8354"/>
  <c r="H8354" s="1"/>
  <c r="K8354" s="1"/>
  <c r="G8353"/>
  <c r="H8353" s="1"/>
  <c r="K8353" s="1"/>
  <c r="G8352"/>
  <c r="H8352" s="1"/>
  <c r="G8351"/>
  <c r="H8351" s="1"/>
  <c r="K8351" s="1"/>
  <c r="G8350"/>
  <c r="H8350" s="1"/>
  <c r="K8350" s="1"/>
  <c r="G8349"/>
  <c r="H8349" s="1"/>
  <c r="K8349" s="1"/>
  <c r="G8348"/>
  <c r="H8348" s="1"/>
  <c r="K8348" s="1"/>
  <c r="G8347"/>
  <c r="H8347" s="1"/>
  <c r="K8347" s="1"/>
  <c r="G8346"/>
  <c r="H8346" s="1"/>
  <c r="K8346" s="1"/>
  <c r="G8345"/>
  <c r="H8345" s="1"/>
  <c r="K8345" s="1"/>
  <c r="G8344"/>
  <c r="H8344" s="1"/>
  <c r="K8344" s="1"/>
  <c r="G8343"/>
  <c r="H8343" s="1"/>
  <c r="K8343" s="1"/>
  <c r="G8342"/>
  <c r="H8342" s="1"/>
  <c r="K8342" s="1"/>
  <c r="G8341"/>
  <c r="H8341" s="1"/>
  <c r="K8341" s="1"/>
  <c r="G8340"/>
  <c r="H8340" s="1"/>
  <c r="K8340" s="1"/>
  <c r="G8339"/>
  <c r="H8339" s="1"/>
  <c r="K8339" s="1"/>
  <c r="G8338"/>
  <c r="H8338" s="1"/>
  <c r="K8338" s="1"/>
  <c r="G8337"/>
  <c r="H8337" s="1"/>
  <c r="K8337" s="1"/>
  <c r="G8336"/>
  <c r="H8336" s="1"/>
  <c r="K8336" s="1"/>
  <c r="G8335"/>
  <c r="H8335" s="1"/>
  <c r="K8335" s="1"/>
  <c r="G8334"/>
  <c r="H8334" s="1"/>
  <c r="K8334" s="1"/>
  <c r="G8333"/>
  <c r="H8333" s="1"/>
  <c r="K8333" s="1"/>
  <c r="G8332"/>
  <c r="H8332" s="1"/>
  <c r="K8332" s="1"/>
  <c r="G8331"/>
  <c r="H8331" s="1"/>
  <c r="K8331" s="1"/>
  <c r="G8330"/>
  <c r="H8330" s="1"/>
  <c r="K8330" s="1"/>
  <c r="G8329"/>
  <c r="H8329" s="1"/>
  <c r="K8329" s="1"/>
  <c r="G8328"/>
  <c r="H8328" s="1"/>
  <c r="K8328" s="1"/>
  <c r="G8327"/>
  <c r="H8327" s="1"/>
  <c r="K8327" s="1"/>
  <c r="G8326"/>
  <c r="H8326" s="1"/>
  <c r="K8326" s="1"/>
  <c r="G8325"/>
  <c r="H8325" s="1"/>
  <c r="K8325" s="1"/>
  <c r="G8324"/>
  <c r="H8324" s="1"/>
  <c r="K8324" s="1"/>
  <c r="G8323"/>
  <c r="H8323" s="1"/>
  <c r="K8323" s="1"/>
  <c r="G8322"/>
  <c r="H8322" s="1"/>
  <c r="K8322" s="1"/>
  <c r="G8321"/>
  <c r="H8321" s="1"/>
  <c r="K8321" s="1"/>
  <c r="G8320"/>
  <c r="H8320" s="1"/>
  <c r="K8320" s="1"/>
  <c r="G8319"/>
  <c r="H8319" s="1"/>
  <c r="K8319" s="1"/>
  <c r="G8318"/>
  <c r="H8318" s="1"/>
  <c r="K8318" s="1"/>
  <c r="G8317"/>
  <c r="H8317" s="1"/>
  <c r="K8317" s="1"/>
  <c r="G8316"/>
  <c r="H8316" s="1"/>
  <c r="K8316" s="1"/>
  <c r="G8315"/>
  <c r="H8315" s="1"/>
  <c r="K8315" s="1"/>
  <c r="G8314"/>
  <c r="H8314" s="1"/>
  <c r="K8314" s="1"/>
  <c r="G8313"/>
  <c r="H8313" s="1"/>
  <c r="K8313" s="1"/>
  <c r="G8312"/>
  <c r="H8312" s="1"/>
  <c r="K8312" s="1"/>
  <c r="G8311"/>
  <c r="H8311" s="1"/>
  <c r="K8311" s="1"/>
  <c r="G8310"/>
  <c r="H8310" s="1"/>
  <c r="K8310" s="1"/>
  <c r="G8309"/>
  <c r="H8309" s="1"/>
  <c r="K8309" s="1"/>
  <c r="G8308"/>
  <c r="H8308" s="1"/>
  <c r="K8308" s="1"/>
  <c r="G8307"/>
  <c r="H8307" s="1"/>
  <c r="K8307" s="1"/>
  <c r="G8306"/>
  <c r="H8306" s="1"/>
  <c r="K8306" s="1"/>
  <c r="G8305"/>
  <c r="H8305" s="1"/>
  <c r="K8305" s="1"/>
  <c r="G8304"/>
  <c r="H8304" s="1"/>
  <c r="K8304" s="1"/>
  <c r="G8303"/>
  <c r="H8303" s="1"/>
  <c r="K8303" s="1"/>
  <c r="G8302"/>
  <c r="H8302" s="1"/>
  <c r="K8302" s="1"/>
  <c r="G8301"/>
  <c r="H8301" s="1"/>
  <c r="K8301" s="1"/>
  <c r="G8300"/>
  <c r="H8300" s="1"/>
  <c r="K8300" s="1"/>
  <c r="G8299"/>
  <c r="H8299" s="1"/>
  <c r="K8299" s="1"/>
  <c r="G8298"/>
  <c r="H8298" s="1"/>
  <c r="K8298" s="1"/>
  <c r="G8297"/>
  <c r="H8297" s="1"/>
  <c r="K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K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H8195" s="1"/>
  <c r="K8195" s="1"/>
  <c r="G8194"/>
  <c r="H8194" s="1"/>
  <c r="K8194" s="1"/>
  <c r="G8193"/>
  <c r="H8193" s="1"/>
  <c r="K8193" s="1"/>
  <c r="G8192"/>
  <c r="H8192" s="1"/>
  <c r="K8192" s="1"/>
  <c r="G8191"/>
  <c r="H8191" s="1"/>
  <c r="K8191" s="1"/>
  <c r="G8190"/>
  <c r="H8190" s="1"/>
  <c r="K8190" s="1"/>
  <c r="G8189"/>
  <c r="H8189" s="1"/>
  <c r="K8189" s="1"/>
  <c r="G8188"/>
  <c r="H8188" s="1"/>
  <c r="K8188" s="1"/>
  <c r="G8187"/>
  <c r="H8187" s="1"/>
  <c r="K8187" s="1"/>
  <c r="G8186"/>
  <c r="H8186" s="1"/>
  <c r="K8186" s="1"/>
  <c r="G8185"/>
  <c r="H8185" s="1"/>
  <c r="K8185" s="1"/>
  <c r="G8184"/>
  <c r="H8184" s="1"/>
  <c r="K8184" s="1"/>
  <c r="G8183"/>
  <c r="H8183" s="1"/>
  <c r="K8183" s="1"/>
  <c r="G8182"/>
  <c r="H8182" s="1"/>
  <c r="K8182" s="1"/>
  <c r="G8181"/>
  <c r="H8181" s="1"/>
  <c r="K8181" s="1"/>
  <c r="G8180"/>
  <c r="H8180" s="1"/>
  <c r="K8180" s="1"/>
  <c r="G8179"/>
  <c r="H8179" s="1"/>
  <c r="K8179" s="1"/>
  <c r="G8178"/>
  <c r="H8178" s="1"/>
  <c r="K8178" s="1"/>
  <c r="G8177"/>
  <c r="H8177" s="1"/>
  <c r="K8177" s="1"/>
  <c r="G8176"/>
  <c r="H8176" s="1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4"/>
  <c r="K8592"/>
  <c r="K8590"/>
  <c r="K8586"/>
  <c r="K8584"/>
  <c r="K8576"/>
  <c r="K8570"/>
  <c r="K8568"/>
  <c r="K8563"/>
  <c r="K8562"/>
  <c r="K8560"/>
  <c r="K8559"/>
  <c r="K8554"/>
  <c r="K8552"/>
  <c r="K8546"/>
  <c r="K8544"/>
  <c r="K8538"/>
  <c r="K8536"/>
  <c r="K8530"/>
  <c r="K8521"/>
  <c r="K8520"/>
  <c r="K8506"/>
  <c r="K8498"/>
  <c r="K8378"/>
  <c r="K8362"/>
  <c r="K8352"/>
  <c r="K8282"/>
  <c r="H8391" l="1"/>
  <c r="K8391" s="1"/>
  <c r="H8399"/>
  <c r="K8399" s="1"/>
  <c r="H8407"/>
  <c r="K8407" s="1"/>
  <c r="H8415"/>
  <c r="K8415" s="1"/>
  <c r="H8423"/>
  <c r="K8423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390"/>
  <c r="K8390" s="1"/>
  <c r="H8398"/>
  <c r="K8398" s="1"/>
  <c r="H8406"/>
  <c r="K8406" s="1"/>
  <c r="H8414"/>
  <c r="K8414" s="1"/>
  <c r="H8422"/>
  <c r="K8422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389"/>
  <c r="K8389" s="1"/>
  <c r="H8397"/>
  <c r="K8397" s="1"/>
  <c r="H8405"/>
  <c r="K8405" s="1"/>
  <c r="H8413"/>
  <c r="K8413" s="1"/>
  <c r="H8421"/>
  <c r="K8421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388"/>
  <c r="K8388" s="1"/>
  <c r="H8396"/>
  <c r="K8396" s="1"/>
  <c r="H8404"/>
  <c r="K8404" s="1"/>
  <c r="H8412"/>
  <c r="K8412" s="1"/>
  <c r="H8420"/>
  <c r="K8420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387"/>
  <c r="K8387" s="1"/>
  <c r="H8395"/>
  <c r="K8395" s="1"/>
  <c r="H8403"/>
  <c r="K8403" s="1"/>
  <c r="H8411"/>
  <c r="K8411" s="1"/>
  <c r="H8419"/>
  <c r="K8419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386"/>
  <c r="K8386" s="1"/>
  <c r="H8394"/>
  <c r="K8394" s="1"/>
  <c r="H8402"/>
  <c r="K8402" s="1"/>
  <c r="H8410"/>
  <c r="K8410" s="1"/>
  <c r="H8418"/>
  <c r="K8418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393"/>
  <c r="K8393" s="1"/>
  <c r="H8401"/>
  <c r="K8401" s="1"/>
  <c r="H8409"/>
  <c r="K8409" s="1"/>
  <c r="H8417"/>
  <c r="K8417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392"/>
  <c r="K8392" s="1"/>
  <c r="H8400"/>
  <c r="K8400" s="1"/>
  <c r="H8408"/>
  <c r="K8408" s="1"/>
  <c r="H8416"/>
  <c r="K8416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132"/>
  <c r="K8132" s="1"/>
  <c r="H8073"/>
  <c r="H8081"/>
  <c r="K8081" s="1"/>
  <c r="H8089"/>
  <c r="H8096"/>
  <c r="H8103"/>
  <c r="K8103" s="1"/>
  <c r="H8110"/>
  <c r="K8110" s="1"/>
  <c r="H8117"/>
  <c r="H8125"/>
  <c r="H8138"/>
  <c r="H8146"/>
  <c r="H8154"/>
  <c r="K8154" s="1"/>
  <c r="H8162"/>
  <c r="K8162" s="1"/>
  <c r="H8170"/>
  <c r="H8104"/>
  <c r="H8171"/>
  <c r="K8171" s="1"/>
  <c r="H8072"/>
  <c r="K8072" s="1"/>
  <c r="H8080"/>
  <c r="K8080" s="1"/>
  <c r="H8088"/>
  <c r="K8088" s="1"/>
  <c r="H8102"/>
  <c r="K8102" s="1"/>
  <c r="H8109"/>
  <c r="K8109" s="1"/>
  <c r="H8116"/>
  <c r="K8116" s="1"/>
  <c r="H8124"/>
  <c r="K8124" s="1"/>
  <c r="H8131"/>
  <c r="K8131" s="1"/>
  <c r="H8137"/>
  <c r="K8137" s="1"/>
  <c r="H8145"/>
  <c r="K8145" s="1"/>
  <c r="H8153"/>
  <c r="K8153" s="1"/>
  <c r="H8161"/>
  <c r="K8161" s="1"/>
  <c r="H8169"/>
  <c r="K8169" s="1"/>
  <c r="H8097"/>
  <c r="K8097" s="1"/>
  <c r="H8163"/>
  <c r="K8163" s="1"/>
  <c r="H8079"/>
  <c r="K8079" s="1"/>
  <c r="H8087"/>
  <c r="K8087" s="1"/>
  <c r="H8095"/>
  <c r="K8095" s="1"/>
  <c r="H8101"/>
  <c r="K8101" s="1"/>
  <c r="H8108"/>
  <c r="K8108" s="1"/>
  <c r="H8115"/>
  <c r="K8115" s="1"/>
  <c r="H8123"/>
  <c r="K8123" s="1"/>
  <c r="H8130"/>
  <c r="K8130" s="1"/>
  <c r="H8136"/>
  <c r="K8136" s="1"/>
  <c r="H8144"/>
  <c r="K8144" s="1"/>
  <c r="H8152"/>
  <c r="K8152" s="1"/>
  <c r="H8160"/>
  <c r="K8160" s="1"/>
  <c r="H8168"/>
  <c r="K8168" s="1"/>
  <c r="H8090"/>
  <c r="H8155"/>
  <c r="H8078"/>
  <c r="H8086"/>
  <c r="K8086" s="1"/>
  <c r="H8094"/>
  <c r="H8114"/>
  <c r="H8122"/>
  <c r="H8129"/>
  <c r="H8143"/>
  <c r="H8151"/>
  <c r="K8151" s="1"/>
  <c r="H8159"/>
  <c r="H8167"/>
  <c r="H8175"/>
  <c r="H8147"/>
  <c r="H8077"/>
  <c r="K8077" s="1"/>
  <c r="H8085"/>
  <c r="K8085" s="1"/>
  <c r="H8093"/>
  <c r="K8093" s="1"/>
  <c r="H8100"/>
  <c r="K8100" s="1"/>
  <c r="H8107"/>
  <c r="K8107" s="1"/>
  <c r="H8113"/>
  <c r="K8113" s="1"/>
  <c r="H8121"/>
  <c r="K8121" s="1"/>
  <c r="H8135"/>
  <c r="K8135" s="1"/>
  <c r="H8142"/>
  <c r="K8142" s="1"/>
  <c r="H8150"/>
  <c r="K8150" s="1"/>
  <c r="H8158"/>
  <c r="K8158" s="1"/>
  <c r="H8166"/>
  <c r="K8166" s="1"/>
  <c r="H8174"/>
  <c r="K8174" s="1"/>
  <c r="H8074"/>
  <c r="K8074" s="1"/>
  <c r="H8118"/>
  <c r="H8139"/>
  <c r="H8076"/>
  <c r="K8076" s="1"/>
  <c r="H8084"/>
  <c r="K8084" s="1"/>
  <c r="H8092"/>
  <c r="K8092" s="1"/>
  <c r="H8099"/>
  <c r="K8099" s="1"/>
  <c r="H8106"/>
  <c r="K8106" s="1"/>
  <c r="H8112"/>
  <c r="K8112" s="1"/>
  <c r="H8120"/>
  <c r="K8120" s="1"/>
  <c r="H8128"/>
  <c r="K8128" s="1"/>
  <c r="H8134"/>
  <c r="K8134" s="1"/>
  <c r="H8141"/>
  <c r="K8141" s="1"/>
  <c r="H8149"/>
  <c r="K8149" s="1"/>
  <c r="H8157"/>
  <c r="K8157" s="1"/>
  <c r="H8165"/>
  <c r="K8165" s="1"/>
  <c r="H8173"/>
  <c r="K8173" s="1"/>
  <c r="H8082"/>
  <c r="H8126"/>
  <c r="K8126" s="1"/>
  <c r="H8075"/>
  <c r="K8075" s="1"/>
  <c r="H8083"/>
  <c r="K8083" s="1"/>
  <c r="H8091"/>
  <c r="K8091" s="1"/>
  <c r="H8098"/>
  <c r="K8098" s="1"/>
  <c r="H8105"/>
  <c r="K8105" s="1"/>
  <c r="H8111"/>
  <c r="K8111" s="1"/>
  <c r="H8119"/>
  <c r="K8119" s="1"/>
  <c r="H8127"/>
  <c r="K8127" s="1"/>
  <c r="H8133"/>
  <c r="K8133" s="1"/>
  <c r="H8140"/>
  <c r="K8140" s="1"/>
  <c r="H8148"/>
  <c r="K8148" s="1"/>
  <c r="H8156"/>
  <c r="K8156" s="1"/>
  <c r="H8164"/>
  <c r="K8164" s="1"/>
  <c r="H8172"/>
  <c r="K8172" s="1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<sst xmlns="http://schemas.openxmlformats.org/spreadsheetml/2006/main" count="38489" uniqueCount="227">
  <si>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</si>
  <si>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</si>
  <si>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</si>
  <si>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</si>
  <si>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</si>
  <si>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</si>
  <si>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</si>
  <si>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</si>
  <si>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</si>
  <si>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</si>
  <si>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</si>
  <si>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</si>
  <si>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</si>
  <si>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</si>
  <si>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</si>
  <si>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</si>
  <si>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</si>
  <si>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</si>
  <si>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</si>
  <si>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</si>
  <si>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</si>
  <si>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</si>
  <si>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</si>
  <si>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</si>
  <si>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</si>
  <si>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</si>
  <si>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</si>
  <si>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</si>
  <si>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</si>
  <si>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</si>
  <si>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</si>
  <si>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</si>
  <si>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</si>
  <si>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</si>
  <si>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</si>
  <si>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</si>
  <si>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</si>
  <si>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</si>
  <si>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</si>
  <si>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</si>
  <si>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</si>
  <si>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</si>
  <si>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</si>
  <si>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</si>
  <si>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</si>
  <si>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</si>
  <si>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</si>
  <si>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</si>
  <si>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</si>
  <si>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</si>
  <si>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</si>
  <si>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</si>
  <si>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</si>
  <si>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</si>
  <si>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</si>
  <si>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</si>
  <si>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</si>
  <si>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</si>
  <si>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</si>
  <si>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</si>
  <si>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</si>
  <si>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</si>
  <si>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</si>
  <si>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</si>
  <si>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</si>
  <si>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</si>
  <si>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</si>
  <si>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</si>
  <si>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</si>
  <si>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</si>
  <si>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</si>
  <si>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</si>
  <si>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</si>
  <si>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</si>
  <si>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</si>
  <si>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</si>
  <si>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</si>
  <si>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</si>
  <si>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</si>
  <si>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</si>
  <si>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</si>
  <si>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</si>
  <si>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</si>
  <si>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</si>
  <si>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</si>
  <si>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</si>
  <si>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</si>
  <si>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</si>
  <si>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</si>
  <si>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</si>
  <si>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</si>
  <si>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</si>
  <si>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</si>
  <si>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</si>
  <si>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</si>
  <si>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</si>
  <si>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</si>
  <si>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</si>
  <si>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</si>
  <si>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</si>
  <si>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</si>
  <si>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</si>
  <si>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</si>
  <si>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</si>
  <si>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</si>
  <si>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</si>
  <si>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</si>
  <si>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</si>
  <si>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</si>
  <si>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</si>
  <si>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</si>
  <si>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</si>
  <si>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</si>
  <si>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</si>
  <si>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</si>
  <si>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</si>
  <si>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</si>
  <si>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</si>
  <si>
    <t>002SOMERSET</t>
  </si>
  <si>
    <t>004BELLINA</t>
  </si>
  <si>
    <t>005ELBA</t>
  </si>
  <si>
    <t>005HOT BUBBLES</t>
  </si>
  <si>
    <t>005SUSPIRO</t>
  </si>
  <si>
    <t>007SNOW BUBBLES</t>
  </si>
  <si>
    <t>009HOT BUBBLES</t>
  </si>
  <si>
    <t>014FRUITY BUBBLES</t>
  </si>
  <si>
    <t>015FELLINI</t>
  </si>
  <si>
    <t>016GOOD PEACH</t>
  </si>
  <si>
    <t>016GOOD YELLOW</t>
  </si>
  <si>
    <t>017ORANGE STAR</t>
  </si>
  <si>
    <t>018COSMO</t>
  </si>
  <si>
    <t>018RUBICON</t>
  </si>
  <si>
    <t>019BELLINA</t>
  </si>
  <si>
    <t>020SUMMER DANCE</t>
  </si>
  <si>
    <t>021ELEGANT ROSEVER</t>
  </si>
  <si>
    <t>021FLAME CLUB</t>
  </si>
  <si>
    <t>021KELLY</t>
  </si>
  <si>
    <t>021LEILA</t>
  </si>
  <si>
    <t>021SNOW BUBBLES</t>
  </si>
  <si>
    <t>022FRUITY BUBBLES</t>
  </si>
  <si>
    <t>022GOOD PEACH</t>
  </si>
  <si>
    <t>022MIRABEL</t>
  </si>
  <si>
    <t>026PURPLE BUBBLY</t>
  </si>
  <si>
    <t>030MIRABEL</t>
  </si>
  <si>
    <t>030SOMERSET</t>
  </si>
  <si>
    <t>03182989</t>
  </si>
  <si>
    <t>031RUBICON</t>
  </si>
  <si>
    <t>031SOMERSET</t>
  </si>
  <si>
    <t>031VELVET BLOSSOMS</t>
  </si>
  <si>
    <t>032ELBA</t>
  </si>
  <si>
    <t>032MIRABEL</t>
  </si>
  <si>
    <t>033CREAMY FOLIES</t>
  </si>
  <si>
    <t>033HOT BUBBLES</t>
  </si>
  <si>
    <t>001BELIEVE IN PINK</t>
  </si>
  <si>
    <t>001EXPLORER</t>
  </si>
  <si>
    <t>001GRACE KELLY</t>
  </si>
  <si>
    <t>001IDOLE</t>
  </si>
  <si>
    <t>001LIGHT HOUSE</t>
  </si>
  <si>
    <t>001LUMIA</t>
  </si>
  <si>
    <t>001MOMENTUM</t>
  </si>
  <si>
    <t>002SUMMER ROMANCE</t>
  </si>
  <si>
    <t>002SWEETNESS</t>
  </si>
  <si>
    <t>003CABARET</t>
  </si>
  <si>
    <t>003DEEP PURPLE</t>
  </si>
  <si>
    <t>003EXPLORER</t>
  </si>
  <si>
    <t>003JOCKER</t>
  </si>
  <si>
    <t>003QUICKSAND</t>
  </si>
  <si>
    <t>004COTOPAXI</t>
  </si>
  <si>
    <t>004DEEP PURPLE</t>
  </si>
  <si>
    <t>004HOT EXPLORER</t>
  </si>
  <si>
    <t>004HOT MERENGUE</t>
  </si>
  <si>
    <t>004SWEETNESS</t>
  </si>
  <si>
    <t>005EXPLORER</t>
  </si>
  <si>
    <t>005GOLDFINCH</t>
  </si>
  <si>
    <t>005JOCKER</t>
  </si>
  <si>
    <t>005VENDELA</t>
  </si>
  <si>
    <t>006ATOMIC</t>
  </si>
  <si>
    <t>006EXPLORER</t>
  </si>
  <si>
    <t>006MONDIAL</t>
  </si>
  <si>
    <t>007COTOPAXI</t>
  </si>
  <si>
    <t>007REDIANT</t>
  </si>
  <si>
    <t>007SUMMER ROMANCE</t>
  </si>
  <si>
    <t>007VENDELA</t>
  </si>
  <si>
    <t>008DEEP PURPLE</t>
  </si>
  <si>
    <t>008FREEDOM</t>
  </si>
  <si>
    <t>008JOCKER</t>
  </si>
  <si>
    <t>008LUMIA</t>
  </si>
  <si>
    <t>010COOLDOWN</t>
  </si>
  <si>
    <t>010VIOLET HILL</t>
  </si>
  <si>
    <t>011BRIGHTON</t>
  </si>
  <si>
    <t>011CANDLELIGHT</t>
  </si>
  <si>
    <t>011CAYENNE</t>
  </si>
  <si>
    <t>011LUMIA</t>
  </si>
  <si>
    <t>011STARDUST</t>
  </si>
  <si>
    <t>012DEEP PURPLE</t>
  </si>
  <si>
    <t>012LIGHT HOUSE</t>
  </si>
  <si>
    <t>013COUNTRY BLUES</t>
  </si>
  <si>
    <t>013LORRAINE</t>
  </si>
  <si>
    <t>013LUMIA</t>
  </si>
  <si>
    <t>013VENDELA</t>
  </si>
  <si>
    <t>014STARDUST</t>
  </si>
  <si>
    <t>015JOCKER</t>
  </si>
  <si>
    <t>016DREAM IN PEACH</t>
  </si>
  <si>
    <t>016NINA</t>
  </si>
  <si>
    <t>017FREEDOM</t>
  </si>
  <si>
    <t>017GOLDFINCH</t>
  </si>
  <si>
    <t>018BRIGHTON</t>
  </si>
  <si>
    <t>019BRIGHTON</t>
  </si>
  <si>
    <t>019TABATHA</t>
  </si>
  <si>
    <t>020BRIGHTON</t>
  </si>
  <si>
    <t>020TYCOON</t>
  </si>
  <si>
    <t>021SHOW GIRL</t>
  </si>
  <si>
    <t>022CORAL REEF</t>
  </si>
  <si>
    <t>023COTOPAXI</t>
  </si>
  <si>
    <t>023FRUTTETO</t>
  </si>
  <si>
    <t>024COTOPAXI</t>
  </si>
  <si>
    <t>024SWEETNESS</t>
  </si>
  <si>
    <t>024TYCOON</t>
  </si>
  <si>
    <t>025PINK MONDIAL</t>
  </si>
  <si>
    <t>026LOLA</t>
  </si>
  <si>
    <t>026PALOMA</t>
  </si>
  <si>
    <t>027SATISFACTION</t>
  </si>
  <si>
    <t>027TIFFANY</t>
  </si>
  <si>
    <t>028COTOPAXI</t>
  </si>
  <si>
    <t>028DEEP PURPLE</t>
  </si>
  <si>
    <t>029PINK FLOYD</t>
  </si>
  <si>
    <t>030EXPLORER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</si>
</sst>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3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valuacion/Produccion%20Astroflores%20a%20la%20Semana%203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8440</v>
          </cell>
        </row>
        <row r="3">
          <cell r="G3" t="str">
            <v>004BELLINA</v>
          </cell>
          <cell r="H3">
            <v>1965</v>
          </cell>
        </row>
        <row r="4">
          <cell r="G4" t="str">
            <v>005ELBA</v>
          </cell>
          <cell r="H4">
            <v>5700</v>
          </cell>
        </row>
        <row r="5">
          <cell r="G5" t="str">
            <v>005HOT BUBBLES</v>
          </cell>
          <cell r="H5">
            <v>1080</v>
          </cell>
        </row>
        <row r="6">
          <cell r="G6" t="str">
            <v>005SUSPIRO</v>
          </cell>
          <cell r="H6">
            <v>3090</v>
          </cell>
        </row>
        <row r="7">
          <cell r="G7" t="str">
            <v>007SNOW BUBBLES</v>
          </cell>
          <cell r="H7">
            <v>1580</v>
          </cell>
        </row>
        <row r="8">
          <cell r="G8" t="str">
            <v>009HOT BUBBLES</v>
          </cell>
          <cell r="H8">
            <v>7400</v>
          </cell>
        </row>
        <row r="9">
          <cell r="G9" t="str">
            <v>014FRUITY BUBBLES</v>
          </cell>
          <cell r="H9">
            <v>4425</v>
          </cell>
        </row>
        <row r="10">
          <cell r="G10" t="str">
            <v>015FELLINI</v>
          </cell>
          <cell r="H10">
            <v>7680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4680</v>
          </cell>
        </row>
        <row r="13">
          <cell r="G13" t="str">
            <v>017ORANGE STAR</v>
          </cell>
          <cell r="H13">
            <v>1800</v>
          </cell>
        </row>
        <row r="14">
          <cell r="G14" t="str">
            <v>018COSMO</v>
          </cell>
          <cell r="H14">
            <v>5275</v>
          </cell>
        </row>
        <row r="15">
          <cell r="G15" t="str">
            <v>018RUBICON</v>
          </cell>
          <cell r="H15">
            <v>3540</v>
          </cell>
        </row>
        <row r="16">
          <cell r="G16" t="str">
            <v>019BELLINA</v>
          </cell>
          <cell r="H16">
            <v>1740</v>
          </cell>
        </row>
        <row r="17">
          <cell r="G17" t="str">
            <v>020SUMMER DANCE</v>
          </cell>
          <cell r="H17">
            <v>3675</v>
          </cell>
        </row>
        <row r="18">
          <cell r="G18" t="str">
            <v>021ELEGANT ROSEVER</v>
          </cell>
          <cell r="H18">
            <v>540</v>
          </cell>
        </row>
        <row r="19">
          <cell r="G19" t="str">
            <v>021FLAME CLUB</v>
          </cell>
          <cell r="H19">
            <v>1450</v>
          </cell>
        </row>
        <row r="20">
          <cell r="G20" t="str">
            <v>021KELLY</v>
          </cell>
          <cell r="H20">
            <v>450</v>
          </cell>
        </row>
        <row r="21">
          <cell r="G21" t="str">
            <v>021LEILA</v>
          </cell>
          <cell r="H21">
            <v>700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2440</v>
          </cell>
        </row>
        <row r="24">
          <cell r="G24" t="str">
            <v>022FRUITY BUBBLES</v>
          </cell>
          <cell r="H24">
            <v>4650</v>
          </cell>
        </row>
        <row r="25">
          <cell r="G25" t="str">
            <v>022GOOD PEACH</v>
          </cell>
          <cell r="H25">
            <v>2070</v>
          </cell>
        </row>
        <row r="26">
          <cell r="G26" t="str">
            <v>022MIRABEL</v>
          </cell>
          <cell r="H26">
            <v>2180</v>
          </cell>
        </row>
        <row r="27">
          <cell r="G27" t="str">
            <v>030MIRABEL</v>
          </cell>
          <cell r="H27">
            <v>4980</v>
          </cell>
        </row>
        <row r="28">
          <cell r="G28" t="str">
            <v>030SOMERSET</v>
          </cell>
          <cell r="H28">
            <v>4000</v>
          </cell>
        </row>
        <row r="29">
          <cell r="G29" t="str">
            <v>03182989</v>
          </cell>
          <cell r="H29">
            <v>780</v>
          </cell>
        </row>
        <row r="30">
          <cell r="G30" t="str">
            <v>031RUBICON</v>
          </cell>
          <cell r="H30">
            <v>2700</v>
          </cell>
        </row>
        <row r="31">
          <cell r="G31" t="str">
            <v>031SOMERSET</v>
          </cell>
          <cell r="H31">
            <v>960</v>
          </cell>
        </row>
        <row r="32">
          <cell r="G32" t="str">
            <v>031VELVET BLOSSOMS</v>
          </cell>
          <cell r="H32">
            <v>760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1880</v>
          </cell>
        </row>
        <row r="35">
          <cell r="G35" t="str">
            <v>033CREAMY FOLIES</v>
          </cell>
          <cell r="H35">
            <v>780</v>
          </cell>
        </row>
        <row r="36">
          <cell r="G36" t="str">
            <v>033HOT BUBBLES</v>
          </cell>
          <cell r="H36">
            <v>5780</v>
          </cell>
        </row>
        <row r="37">
          <cell r="G37" t="str">
            <v>001BELIEVE IN PINK</v>
          </cell>
          <cell r="H37">
            <v>1350</v>
          </cell>
        </row>
        <row r="38">
          <cell r="G38" t="str">
            <v>001EXPLORER</v>
          </cell>
          <cell r="H38">
            <v>4000</v>
          </cell>
        </row>
        <row r="39">
          <cell r="G39" t="str">
            <v>001GRACE KELLY</v>
          </cell>
          <cell r="H39">
            <v>2430</v>
          </cell>
        </row>
        <row r="40">
          <cell r="G40" t="str">
            <v>001LIGHT HOUSE</v>
          </cell>
          <cell r="H40">
            <v>2850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5275</v>
          </cell>
        </row>
        <row r="43">
          <cell r="G43" t="str">
            <v>002SUMMER ROMANCE</v>
          </cell>
          <cell r="H43">
            <v>1275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6870</v>
          </cell>
        </row>
        <row r="46">
          <cell r="G46" t="str">
            <v>003DEEP PURPLE</v>
          </cell>
          <cell r="H46">
            <v>8820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1125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900</v>
          </cell>
        </row>
        <row r="51">
          <cell r="G51" t="str">
            <v>004DEEP PURPLE</v>
          </cell>
          <cell r="H51">
            <v>12060</v>
          </cell>
        </row>
        <row r="52">
          <cell r="G52" t="str">
            <v>004HOT EXPLORER</v>
          </cell>
          <cell r="H52">
            <v>1675</v>
          </cell>
        </row>
        <row r="53">
          <cell r="G53" t="str">
            <v>004HOT MERENGUE</v>
          </cell>
          <cell r="H53">
            <v>2610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1425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2375</v>
          </cell>
        </row>
        <row r="58">
          <cell r="G58" t="str">
            <v>005VENDELA</v>
          </cell>
          <cell r="H58">
            <v>1710</v>
          </cell>
        </row>
        <row r="59">
          <cell r="G59" t="str">
            <v>006ATOMIC</v>
          </cell>
          <cell r="H59">
            <v>950</v>
          </cell>
        </row>
        <row r="60">
          <cell r="G60" t="str">
            <v>006EXPLORER</v>
          </cell>
          <cell r="H60">
            <v>5100</v>
          </cell>
        </row>
        <row r="61">
          <cell r="G61" t="str">
            <v>006MONDIAL</v>
          </cell>
          <cell r="H61">
            <v>9500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5850</v>
          </cell>
        </row>
        <row r="64">
          <cell r="G64" t="str">
            <v>007REDIANT</v>
          </cell>
          <cell r="H64">
            <v>2160</v>
          </cell>
        </row>
        <row r="65">
          <cell r="G65" t="str">
            <v>007SUMMER ROMANCE</v>
          </cell>
          <cell r="H65">
            <v>400</v>
          </cell>
        </row>
        <row r="66">
          <cell r="G66" t="str">
            <v>007VENDELA</v>
          </cell>
          <cell r="H66">
            <v>10650</v>
          </cell>
        </row>
        <row r="67">
          <cell r="G67" t="str">
            <v>008DEEP PURPLE</v>
          </cell>
          <cell r="H67">
            <v>5670</v>
          </cell>
        </row>
        <row r="68">
          <cell r="G68" t="str">
            <v>008FREEDOM</v>
          </cell>
          <cell r="H68">
            <v>2610</v>
          </cell>
        </row>
        <row r="69">
          <cell r="G69" t="str">
            <v>008JOCKER</v>
          </cell>
          <cell r="H69">
            <v>5750</v>
          </cell>
        </row>
        <row r="70">
          <cell r="G70" t="str">
            <v>008LUMIA</v>
          </cell>
          <cell r="H70">
            <v>2850</v>
          </cell>
        </row>
        <row r="71">
          <cell r="G71" t="str">
            <v>010COOLDOWN</v>
          </cell>
          <cell r="H71">
            <v>3825</v>
          </cell>
        </row>
        <row r="72">
          <cell r="G72" t="str">
            <v>010VIOLET HILL</v>
          </cell>
          <cell r="H72">
            <v>5850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4640</v>
          </cell>
        </row>
        <row r="75">
          <cell r="G75" t="str">
            <v>011CAYENNE</v>
          </cell>
          <cell r="H75">
            <v>1530</v>
          </cell>
        </row>
        <row r="76">
          <cell r="G76" t="str">
            <v>011LUMIA</v>
          </cell>
          <cell r="H76">
            <v>2640</v>
          </cell>
        </row>
        <row r="77">
          <cell r="G77" t="str">
            <v>011STARDUST</v>
          </cell>
          <cell r="H77">
            <v>4525</v>
          </cell>
        </row>
        <row r="78">
          <cell r="G78" t="str">
            <v>012DEEP PURPLE</v>
          </cell>
          <cell r="H78">
            <v>19410</v>
          </cell>
        </row>
        <row r="79">
          <cell r="G79" t="str">
            <v>012LIGHT HOUSE</v>
          </cell>
          <cell r="H79">
            <v>2100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4025</v>
          </cell>
        </row>
        <row r="82">
          <cell r="G82" t="str">
            <v>013LUMIA</v>
          </cell>
          <cell r="H82">
            <v>960</v>
          </cell>
        </row>
        <row r="83">
          <cell r="G83" t="str">
            <v>013VENDELA</v>
          </cell>
          <cell r="H83">
            <v>12150</v>
          </cell>
        </row>
        <row r="84">
          <cell r="G84" t="str">
            <v>014STARDUST</v>
          </cell>
          <cell r="H84">
            <v>8575</v>
          </cell>
        </row>
        <row r="85">
          <cell r="G85" t="str">
            <v>015JOCKER</v>
          </cell>
          <cell r="H85">
            <v>6750</v>
          </cell>
        </row>
        <row r="86">
          <cell r="G86" t="str">
            <v>016DREAM IN PEACH</v>
          </cell>
          <cell r="H86">
            <v>1800</v>
          </cell>
        </row>
        <row r="87">
          <cell r="G87" t="str">
            <v>016NINA</v>
          </cell>
          <cell r="H87">
            <v>3300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3725</v>
          </cell>
        </row>
        <row r="90">
          <cell r="G90" t="str">
            <v>018BRIGHTON</v>
          </cell>
          <cell r="H90">
            <v>2475</v>
          </cell>
        </row>
        <row r="91">
          <cell r="G91" t="str">
            <v>019BRIGHTON</v>
          </cell>
          <cell r="H91">
            <v>9375</v>
          </cell>
        </row>
        <row r="92">
          <cell r="G92" t="str">
            <v>019TABATHA</v>
          </cell>
          <cell r="H92">
            <v>2490</v>
          </cell>
        </row>
        <row r="93">
          <cell r="G93" t="str">
            <v>020BRIGHTON</v>
          </cell>
          <cell r="H93">
            <v>5500</v>
          </cell>
        </row>
        <row r="94">
          <cell r="G94" t="str">
            <v>020TYCOON</v>
          </cell>
          <cell r="H94">
            <v>1350</v>
          </cell>
        </row>
        <row r="95">
          <cell r="G95" t="str">
            <v>021SHOW GIRL</v>
          </cell>
          <cell r="H95">
            <v>1200</v>
          </cell>
        </row>
        <row r="96">
          <cell r="G96" t="str">
            <v>022CORAL REEF</v>
          </cell>
          <cell r="H96">
            <v>2375</v>
          </cell>
        </row>
        <row r="97">
          <cell r="G97" t="str">
            <v>023COTOPAXI</v>
          </cell>
          <cell r="H97">
            <v>6330</v>
          </cell>
        </row>
        <row r="98">
          <cell r="G98" t="str">
            <v>023FRUTTETO</v>
          </cell>
          <cell r="H98">
            <v>6960</v>
          </cell>
        </row>
        <row r="99">
          <cell r="G99" t="str">
            <v>024COTOPAXI</v>
          </cell>
          <cell r="H99">
            <v>4440</v>
          </cell>
        </row>
        <row r="100">
          <cell r="G100" t="str">
            <v>024SWEETNESS</v>
          </cell>
          <cell r="H100">
            <v>2220</v>
          </cell>
        </row>
        <row r="101">
          <cell r="G101" t="str">
            <v>024TYCOON</v>
          </cell>
          <cell r="H101">
            <v>5070</v>
          </cell>
        </row>
        <row r="102">
          <cell r="G102" t="str">
            <v>025PINK MONDIAL</v>
          </cell>
          <cell r="H102">
            <v>7400</v>
          </cell>
        </row>
        <row r="103">
          <cell r="G103" t="str">
            <v>026LOLA</v>
          </cell>
          <cell r="H103">
            <v>3400</v>
          </cell>
        </row>
        <row r="104">
          <cell r="G104" t="str">
            <v>026PALOMA</v>
          </cell>
          <cell r="H104">
            <v>4675</v>
          </cell>
        </row>
        <row r="105">
          <cell r="G105" t="str">
            <v>027SATISFACTION</v>
          </cell>
          <cell r="H105">
            <v>7230</v>
          </cell>
        </row>
        <row r="106">
          <cell r="G106" t="str">
            <v>027TIFFANY</v>
          </cell>
          <cell r="H106">
            <v>6360</v>
          </cell>
        </row>
        <row r="107">
          <cell r="G107" t="str">
            <v>028COTOPAXI</v>
          </cell>
          <cell r="H107">
            <v>5010</v>
          </cell>
        </row>
        <row r="108">
          <cell r="G108" t="str">
            <v>028DEEP PURPLE</v>
          </cell>
          <cell r="H108">
            <v>7260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2600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8520</v>
          </cell>
        </row>
        <row r="3">
          <cell r="G3" t="str">
            <v>004BELLINA</v>
          </cell>
          <cell r="H3">
            <v>2370</v>
          </cell>
        </row>
        <row r="4">
          <cell r="G4" t="str">
            <v>005ELBA</v>
          </cell>
          <cell r="H4">
            <v>7080</v>
          </cell>
        </row>
        <row r="5">
          <cell r="G5" t="str">
            <v>005HOT BUBBLES</v>
          </cell>
          <cell r="H5">
            <v>1280</v>
          </cell>
        </row>
        <row r="6">
          <cell r="G6" t="str">
            <v>005SUSPIRO</v>
          </cell>
          <cell r="H6">
            <v>3660</v>
          </cell>
        </row>
        <row r="7">
          <cell r="G7" t="str">
            <v>007SNOW BUBBLES</v>
          </cell>
          <cell r="H7">
            <v>1500</v>
          </cell>
        </row>
        <row r="8">
          <cell r="G8" t="str">
            <v>009HOT BUBBLES</v>
          </cell>
          <cell r="H8">
            <v>8520</v>
          </cell>
        </row>
        <row r="9">
          <cell r="G9" t="str">
            <v>014FRUITY BUBBLES</v>
          </cell>
          <cell r="H9">
            <v>3975</v>
          </cell>
        </row>
        <row r="10">
          <cell r="G10" t="str">
            <v>015FELLINI</v>
          </cell>
          <cell r="H10">
            <v>6660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4050</v>
          </cell>
        </row>
        <row r="13">
          <cell r="G13" t="str">
            <v>017ORANGE STAR</v>
          </cell>
          <cell r="H13">
            <v>1475</v>
          </cell>
        </row>
        <row r="14">
          <cell r="G14" t="str">
            <v>018COSMO</v>
          </cell>
          <cell r="H14">
            <v>4625</v>
          </cell>
        </row>
        <row r="15">
          <cell r="G15" t="str">
            <v>018RUBICON</v>
          </cell>
          <cell r="H15">
            <v>3510</v>
          </cell>
        </row>
        <row r="16">
          <cell r="G16" t="str">
            <v>019BELLINA</v>
          </cell>
          <cell r="H16">
            <v>2190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1425</v>
          </cell>
        </row>
        <row r="20">
          <cell r="G20" t="str">
            <v>021KELLY</v>
          </cell>
          <cell r="H20">
            <v>475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600</v>
          </cell>
        </row>
        <row r="23">
          <cell r="G23" t="str">
            <v>021SNOW BUBBLES</v>
          </cell>
          <cell r="H23">
            <v>2720</v>
          </cell>
        </row>
        <row r="24">
          <cell r="G24" t="str">
            <v>022FRUITY BUBBLES</v>
          </cell>
          <cell r="H24">
            <v>5000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2380</v>
          </cell>
        </row>
        <row r="27">
          <cell r="G27" t="str">
            <v>030MIRABEL</v>
          </cell>
          <cell r="H27">
            <v>6960</v>
          </cell>
        </row>
        <row r="28">
          <cell r="G28" t="str">
            <v>030SOMERSET</v>
          </cell>
          <cell r="H28">
            <v>3720</v>
          </cell>
        </row>
        <row r="29">
          <cell r="G29" t="str">
            <v>03182989</v>
          </cell>
          <cell r="H29">
            <v>720</v>
          </cell>
        </row>
        <row r="30">
          <cell r="G30" t="str">
            <v>031RUBICON</v>
          </cell>
          <cell r="H30">
            <v>2400</v>
          </cell>
        </row>
        <row r="31">
          <cell r="G31" t="str">
            <v>031SOMERSET</v>
          </cell>
          <cell r="H31">
            <v>900</v>
          </cell>
        </row>
        <row r="32">
          <cell r="G32" t="str">
            <v>031VELVET BLOSSOMS</v>
          </cell>
          <cell r="H32">
            <v>1020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2100</v>
          </cell>
        </row>
        <row r="35">
          <cell r="G35" t="str">
            <v>033CREAMY FOLIES</v>
          </cell>
          <cell r="H35">
            <v>1170</v>
          </cell>
        </row>
        <row r="36">
          <cell r="G36" t="str">
            <v>033HOT BUBBLES</v>
          </cell>
          <cell r="H36">
            <v>4920</v>
          </cell>
        </row>
        <row r="37">
          <cell r="G37" t="str">
            <v>001BELIEVE IN PINK</v>
          </cell>
          <cell r="H37">
            <v>1470</v>
          </cell>
        </row>
        <row r="38">
          <cell r="G38" t="str">
            <v>001EXPLORER</v>
          </cell>
          <cell r="H38">
            <v>3875</v>
          </cell>
        </row>
        <row r="39">
          <cell r="G39" t="str">
            <v>001GRACE KELLY</v>
          </cell>
          <cell r="H39">
            <v>2310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3510</v>
          </cell>
        </row>
        <row r="42">
          <cell r="G42" t="str">
            <v>001MOMENTUM</v>
          </cell>
          <cell r="H42">
            <v>4525</v>
          </cell>
        </row>
        <row r="43">
          <cell r="G43" t="str">
            <v>002SUMMER ROMANCE</v>
          </cell>
          <cell r="H43">
            <v>1500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6450</v>
          </cell>
        </row>
        <row r="46">
          <cell r="G46" t="str">
            <v>003DEEP PURPLE</v>
          </cell>
          <cell r="H46">
            <v>10170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2220</v>
          </cell>
        </row>
        <row r="50">
          <cell r="G50" t="str">
            <v>004COTOPAXI</v>
          </cell>
          <cell r="H50">
            <v>1440</v>
          </cell>
        </row>
        <row r="51">
          <cell r="G51" t="str">
            <v>004DEEP PURPLE</v>
          </cell>
          <cell r="H51">
            <v>12150</v>
          </cell>
        </row>
        <row r="52">
          <cell r="G52" t="str">
            <v>004HOT EXPLORER</v>
          </cell>
          <cell r="H52">
            <v>1375</v>
          </cell>
        </row>
        <row r="53">
          <cell r="G53" t="str">
            <v>004HOT MERENGUE</v>
          </cell>
          <cell r="H53">
            <v>2400</v>
          </cell>
        </row>
        <row r="54">
          <cell r="G54" t="str">
            <v>004SWEETNESS</v>
          </cell>
          <cell r="H54">
            <v>690</v>
          </cell>
        </row>
        <row r="55">
          <cell r="G55" t="str">
            <v>005EXPLORER</v>
          </cell>
          <cell r="H55">
            <v>1650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3150</v>
          </cell>
        </row>
        <row r="58">
          <cell r="G58" t="str">
            <v>005VENDELA</v>
          </cell>
          <cell r="H58">
            <v>2100</v>
          </cell>
        </row>
        <row r="59">
          <cell r="G59" t="str">
            <v>006ATOMIC</v>
          </cell>
          <cell r="H59">
            <v>900</v>
          </cell>
        </row>
        <row r="60">
          <cell r="G60" t="str">
            <v>006EXPLORER</v>
          </cell>
          <cell r="H60">
            <v>6075</v>
          </cell>
        </row>
        <row r="61">
          <cell r="G61" t="str">
            <v>006MONDIAL</v>
          </cell>
          <cell r="H61">
            <v>10650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6060</v>
          </cell>
        </row>
        <row r="64">
          <cell r="G64" t="str">
            <v>007REDIANT</v>
          </cell>
          <cell r="H64">
            <v>2070</v>
          </cell>
        </row>
        <row r="65">
          <cell r="G65" t="str">
            <v>007SUMMER ROMANCE</v>
          </cell>
          <cell r="H65">
            <v>575</v>
          </cell>
        </row>
        <row r="66">
          <cell r="G66" t="str">
            <v>007VENDELA</v>
          </cell>
          <cell r="H66">
            <v>11430</v>
          </cell>
        </row>
        <row r="67">
          <cell r="G67" t="str">
            <v>008DEEP PURPLE</v>
          </cell>
          <cell r="H67">
            <v>5880</v>
          </cell>
        </row>
        <row r="68">
          <cell r="G68" t="str">
            <v>008FREEDOM</v>
          </cell>
          <cell r="H68">
            <v>5070</v>
          </cell>
        </row>
        <row r="69">
          <cell r="G69" t="str">
            <v>008JOCKER</v>
          </cell>
          <cell r="H69">
            <v>5550</v>
          </cell>
        </row>
        <row r="70">
          <cell r="G70" t="str">
            <v>008LUMIA</v>
          </cell>
          <cell r="H70">
            <v>2490</v>
          </cell>
        </row>
        <row r="71">
          <cell r="G71" t="str">
            <v>010COOLDOWN</v>
          </cell>
          <cell r="H71">
            <v>4225</v>
          </cell>
        </row>
        <row r="72">
          <cell r="G72" t="str">
            <v>010VIOLET HILL</v>
          </cell>
          <cell r="H72">
            <v>5040</v>
          </cell>
        </row>
        <row r="73">
          <cell r="G73" t="str">
            <v>011BRIGHTON</v>
          </cell>
          <cell r="H73">
            <v>4000</v>
          </cell>
        </row>
        <row r="74">
          <cell r="G74" t="str">
            <v>011CANDLELIGHT</v>
          </cell>
          <cell r="H74">
            <v>3860</v>
          </cell>
        </row>
        <row r="75">
          <cell r="G75" t="str">
            <v>011CAYENNE</v>
          </cell>
          <cell r="H75">
            <v>1410</v>
          </cell>
        </row>
        <row r="76">
          <cell r="G76" t="str">
            <v>011LUMIA</v>
          </cell>
          <cell r="H76">
            <v>1950</v>
          </cell>
        </row>
        <row r="77">
          <cell r="G77" t="str">
            <v>011STARDUST</v>
          </cell>
          <cell r="H77">
            <v>4175</v>
          </cell>
        </row>
        <row r="78">
          <cell r="G78" t="str">
            <v>012DEEP PURPLE</v>
          </cell>
          <cell r="H78">
            <v>21930</v>
          </cell>
        </row>
        <row r="79">
          <cell r="G79" t="str">
            <v>012LIGHT HOUSE</v>
          </cell>
          <cell r="H79">
            <v>1590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4250</v>
          </cell>
        </row>
        <row r="82">
          <cell r="G82" t="str">
            <v>013LUMIA</v>
          </cell>
          <cell r="H82">
            <v>840</v>
          </cell>
        </row>
        <row r="83">
          <cell r="G83" t="str">
            <v>013VENDELA</v>
          </cell>
          <cell r="H83">
            <v>12840</v>
          </cell>
        </row>
        <row r="84">
          <cell r="G84" t="str">
            <v>014STARDUST</v>
          </cell>
          <cell r="H84">
            <v>7775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1770</v>
          </cell>
        </row>
        <row r="87">
          <cell r="G87" t="str">
            <v>016NINA</v>
          </cell>
          <cell r="H87">
            <v>3750</v>
          </cell>
        </row>
        <row r="88">
          <cell r="G88" t="str">
            <v>017FREEDOM</v>
          </cell>
          <cell r="H88">
            <v>6990</v>
          </cell>
        </row>
        <row r="89">
          <cell r="G89" t="str">
            <v>017GOLDFINCH</v>
          </cell>
          <cell r="H89">
            <v>4350</v>
          </cell>
        </row>
        <row r="90">
          <cell r="G90" t="str">
            <v>018BRIGHTON</v>
          </cell>
          <cell r="H90">
            <v>2400</v>
          </cell>
        </row>
        <row r="91">
          <cell r="G91" t="str">
            <v>019BRIGHTON</v>
          </cell>
          <cell r="H91">
            <v>7875</v>
          </cell>
        </row>
        <row r="92">
          <cell r="G92" t="str">
            <v>019TABATHA</v>
          </cell>
          <cell r="H92">
            <v>3600</v>
          </cell>
        </row>
        <row r="93">
          <cell r="G93" t="str">
            <v>020BRIGHTON</v>
          </cell>
          <cell r="H93">
            <v>6625</v>
          </cell>
        </row>
        <row r="94">
          <cell r="G94" t="str">
            <v>020TYCOON</v>
          </cell>
          <cell r="H94">
            <v>1200</v>
          </cell>
        </row>
        <row r="95">
          <cell r="G95" t="str">
            <v>021SHOW GIRL</v>
          </cell>
          <cell r="H95">
            <v>1375</v>
          </cell>
        </row>
        <row r="96">
          <cell r="G96" t="str">
            <v>022CORAL REEF</v>
          </cell>
          <cell r="H96">
            <v>2475</v>
          </cell>
        </row>
        <row r="97">
          <cell r="G97" t="str">
            <v>023COTOPAXI</v>
          </cell>
          <cell r="H97">
            <v>7980</v>
          </cell>
        </row>
        <row r="98">
          <cell r="G98" t="str">
            <v>023FRUTTETO</v>
          </cell>
          <cell r="H98">
            <v>6630</v>
          </cell>
        </row>
        <row r="99">
          <cell r="G99" t="str">
            <v>024COTOPAXI</v>
          </cell>
          <cell r="H99">
            <v>5430</v>
          </cell>
        </row>
        <row r="100">
          <cell r="G100" t="str">
            <v>024SWEETNESS</v>
          </cell>
          <cell r="H100">
            <v>2400</v>
          </cell>
        </row>
        <row r="101">
          <cell r="G101" t="str">
            <v>024TYCOON</v>
          </cell>
          <cell r="H101">
            <v>4500</v>
          </cell>
        </row>
        <row r="102">
          <cell r="G102" t="str">
            <v>025PINK MONDIAL</v>
          </cell>
          <cell r="H102">
            <v>8675</v>
          </cell>
        </row>
        <row r="103">
          <cell r="G103" t="str">
            <v>026LOLA</v>
          </cell>
          <cell r="H103">
            <v>3600</v>
          </cell>
        </row>
        <row r="104">
          <cell r="G104" t="str">
            <v>026PALOMA</v>
          </cell>
          <cell r="H104">
            <v>4750</v>
          </cell>
        </row>
        <row r="105">
          <cell r="G105" t="str">
            <v>027SATISFACTION</v>
          </cell>
          <cell r="H105">
            <v>6120</v>
          </cell>
        </row>
        <row r="106">
          <cell r="G106" t="str">
            <v>027TIFFANY</v>
          </cell>
          <cell r="H106">
            <v>6570</v>
          </cell>
        </row>
        <row r="107">
          <cell r="G107" t="str">
            <v>028COTOPAXI</v>
          </cell>
          <cell r="H107">
            <v>6930</v>
          </cell>
        </row>
        <row r="108">
          <cell r="G108" t="str">
            <v>028DEEP PURPLE</v>
          </cell>
          <cell r="H108">
            <v>9450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3025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7460</v>
          </cell>
        </row>
        <row r="3">
          <cell r="G3" t="str">
            <v>004BELLINA</v>
          </cell>
          <cell r="H3">
            <v>2040</v>
          </cell>
        </row>
        <row r="4">
          <cell r="G4" t="str">
            <v>005ELBA</v>
          </cell>
          <cell r="H4">
            <v>6630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5100</v>
          </cell>
        </row>
        <row r="7">
          <cell r="G7" t="str">
            <v>007SNOW BUBBLES</v>
          </cell>
          <cell r="H7">
            <v>1440</v>
          </cell>
        </row>
        <row r="8">
          <cell r="G8" t="str">
            <v>009HOT BUBBLES</v>
          </cell>
          <cell r="H8">
            <v>8220</v>
          </cell>
        </row>
        <row r="9">
          <cell r="G9" t="str">
            <v>014FRUITY BUBBLES</v>
          </cell>
          <cell r="H9">
            <v>4325</v>
          </cell>
        </row>
        <row r="10">
          <cell r="G10" t="str">
            <v>015FELLINI</v>
          </cell>
          <cell r="H10">
            <v>6420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4920</v>
          </cell>
        </row>
        <row r="13">
          <cell r="G13" t="str">
            <v>017ORANGE STAR</v>
          </cell>
          <cell r="H13">
            <v>1300</v>
          </cell>
        </row>
        <row r="14">
          <cell r="G14" t="str">
            <v>018COSMO</v>
          </cell>
          <cell r="H14">
            <v>3975</v>
          </cell>
        </row>
        <row r="15">
          <cell r="G15" t="str">
            <v>018RUBICON</v>
          </cell>
          <cell r="H15">
            <v>3210</v>
          </cell>
        </row>
        <row r="16">
          <cell r="G16" t="str">
            <v>019BELLINA</v>
          </cell>
          <cell r="H16">
            <v>2250</v>
          </cell>
        </row>
        <row r="17">
          <cell r="G17" t="str">
            <v>020SUMMER DANCE</v>
          </cell>
          <cell r="H17">
            <v>3850</v>
          </cell>
        </row>
        <row r="18">
          <cell r="G18" t="str">
            <v>021ELEGANT ROSEVER</v>
          </cell>
          <cell r="H18">
            <v>600</v>
          </cell>
        </row>
        <row r="19">
          <cell r="G19" t="str">
            <v>021FLAME CLUB</v>
          </cell>
          <cell r="H19">
            <v>1475</v>
          </cell>
        </row>
        <row r="20">
          <cell r="G20" t="str">
            <v>021KELLY</v>
          </cell>
          <cell r="H20">
            <v>400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800</v>
          </cell>
        </row>
        <row r="23">
          <cell r="G23" t="str">
            <v>021SNOW BUBBLES</v>
          </cell>
          <cell r="H23">
            <v>3060</v>
          </cell>
        </row>
        <row r="24">
          <cell r="G24" t="str">
            <v>022FRUITY BUBBLES</v>
          </cell>
          <cell r="H24">
            <v>6475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2240</v>
          </cell>
        </row>
        <row r="27">
          <cell r="G27" t="str">
            <v>030MIRABEL</v>
          </cell>
          <cell r="H27">
            <v>7660</v>
          </cell>
        </row>
        <row r="28">
          <cell r="G28" t="str">
            <v>030SOMERSET</v>
          </cell>
          <cell r="H28">
            <v>3620</v>
          </cell>
        </row>
        <row r="29">
          <cell r="G29" t="str">
            <v>03182989</v>
          </cell>
          <cell r="H29">
            <v>820</v>
          </cell>
        </row>
        <row r="30">
          <cell r="G30" t="str">
            <v>031RUBICON</v>
          </cell>
          <cell r="H30">
            <v>2310</v>
          </cell>
        </row>
        <row r="31">
          <cell r="G31" t="str">
            <v>031SOMERSET</v>
          </cell>
          <cell r="H31">
            <v>1040</v>
          </cell>
        </row>
        <row r="32">
          <cell r="G32" t="str">
            <v>031VELVET BLOSSOMS</v>
          </cell>
          <cell r="H32">
            <v>920</v>
          </cell>
        </row>
        <row r="33">
          <cell r="G33" t="str">
            <v>032ELBA</v>
          </cell>
          <cell r="H33">
            <v>2670</v>
          </cell>
        </row>
        <row r="34">
          <cell r="G34" t="str">
            <v>032MIRABEL</v>
          </cell>
          <cell r="H34">
            <v>2480</v>
          </cell>
        </row>
        <row r="35">
          <cell r="G35" t="str">
            <v>033CREAMY FOLIES</v>
          </cell>
          <cell r="H35">
            <v>1110</v>
          </cell>
        </row>
        <row r="36">
          <cell r="G36" t="str">
            <v>033HOT BUBBLES</v>
          </cell>
          <cell r="H36">
            <v>5640</v>
          </cell>
        </row>
        <row r="37">
          <cell r="G37" t="str">
            <v>001BELIEVE IN PINK</v>
          </cell>
          <cell r="H37">
            <v>1110</v>
          </cell>
        </row>
        <row r="38">
          <cell r="G38" t="str">
            <v>001EXPLORER</v>
          </cell>
          <cell r="H38">
            <v>4950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5825</v>
          </cell>
        </row>
        <row r="43">
          <cell r="G43" t="str">
            <v>002SUMMER ROMANCE</v>
          </cell>
          <cell r="H43">
            <v>1575</v>
          </cell>
        </row>
        <row r="44">
          <cell r="G44" t="str">
            <v>002SWEETNESS</v>
          </cell>
          <cell r="H44">
            <v>7110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7890</v>
          </cell>
        </row>
        <row r="47">
          <cell r="G47" t="str">
            <v>003EXPLORER</v>
          </cell>
          <cell r="H47">
            <v>2225</v>
          </cell>
        </row>
        <row r="48">
          <cell r="G48" t="str">
            <v>003JOCKER</v>
          </cell>
          <cell r="H48">
            <v>1325</v>
          </cell>
        </row>
        <row r="49">
          <cell r="G49" t="str">
            <v>003QUICKSAND</v>
          </cell>
          <cell r="H49">
            <v>2910</v>
          </cell>
        </row>
        <row r="50">
          <cell r="G50" t="str">
            <v>004COTOPAXI</v>
          </cell>
          <cell r="H50">
            <v>1980</v>
          </cell>
        </row>
        <row r="51">
          <cell r="G51" t="str">
            <v>004DEEP PURPLE</v>
          </cell>
          <cell r="H51">
            <v>7590</v>
          </cell>
        </row>
        <row r="52">
          <cell r="G52" t="str">
            <v>004HOT EXPLORER</v>
          </cell>
          <cell r="H52">
            <v>2150</v>
          </cell>
        </row>
        <row r="53">
          <cell r="G53" t="str">
            <v>004HOT MERENGUE</v>
          </cell>
          <cell r="H53">
            <v>2490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1775</v>
          </cell>
        </row>
        <row r="56">
          <cell r="G56" t="str">
            <v>005GOLDFINCH</v>
          </cell>
          <cell r="H56">
            <v>575</v>
          </cell>
        </row>
        <row r="57">
          <cell r="G57" t="str">
            <v>005JOCKER</v>
          </cell>
          <cell r="H57">
            <v>2075</v>
          </cell>
        </row>
        <row r="58">
          <cell r="G58" t="str">
            <v>005VENDELA</v>
          </cell>
          <cell r="H58">
            <v>2070</v>
          </cell>
        </row>
        <row r="59">
          <cell r="G59" t="str">
            <v>006ATOMIC</v>
          </cell>
          <cell r="H59">
            <v>1575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8450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6450</v>
          </cell>
        </row>
        <row r="64">
          <cell r="G64" t="str">
            <v>007REDIANT</v>
          </cell>
          <cell r="H64">
            <v>2100</v>
          </cell>
        </row>
        <row r="65">
          <cell r="G65" t="str">
            <v>007SUMMER ROMANCE</v>
          </cell>
          <cell r="H65">
            <v>800</v>
          </cell>
        </row>
        <row r="66">
          <cell r="G66" t="str">
            <v>007VENDELA</v>
          </cell>
          <cell r="H66">
            <v>11250</v>
          </cell>
        </row>
        <row r="67">
          <cell r="G67" t="str">
            <v>008DEEP PURPLE</v>
          </cell>
          <cell r="H67">
            <v>3450</v>
          </cell>
        </row>
        <row r="68">
          <cell r="G68" t="str">
            <v>008FREEDOM</v>
          </cell>
          <cell r="H68">
            <v>3420</v>
          </cell>
        </row>
        <row r="69">
          <cell r="G69" t="str">
            <v>008JOCKER</v>
          </cell>
          <cell r="H69">
            <v>5425</v>
          </cell>
        </row>
        <row r="70">
          <cell r="G70" t="str">
            <v>008LUMIA</v>
          </cell>
          <cell r="H70">
            <v>1830</v>
          </cell>
        </row>
        <row r="71">
          <cell r="G71" t="str">
            <v>010COOLDOWN</v>
          </cell>
          <cell r="H71">
            <v>2525</v>
          </cell>
        </row>
        <row r="72">
          <cell r="G72" t="str">
            <v>010VIOLET HILL</v>
          </cell>
          <cell r="H72">
            <v>4740</v>
          </cell>
        </row>
        <row r="73">
          <cell r="G73" t="str">
            <v>011BRIGHTON</v>
          </cell>
          <cell r="H73">
            <v>3950</v>
          </cell>
        </row>
        <row r="74">
          <cell r="G74" t="str">
            <v>011CANDLELIGHT</v>
          </cell>
          <cell r="H74">
            <v>4200</v>
          </cell>
        </row>
        <row r="75">
          <cell r="G75" t="str">
            <v>011CAYENNE</v>
          </cell>
          <cell r="H75">
            <v>1290</v>
          </cell>
        </row>
        <row r="76">
          <cell r="G76" t="str">
            <v>011LUMIA</v>
          </cell>
          <cell r="H76">
            <v>2070</v>
          </cell>
        </row>
        <row r="77">
          <cell r="G77" t="str">
            <v>011STARDUST</v>
          </cell>
          <cell r="H77">
            <v>4425</v>
          </cell>
        </row>
        <row r="78">
          <cell r="G78" t="str">
            <v>012DEEP PURPLE</v>
          </cell>
          <cell r="H78">
            <v>16800</v>
          </cell>
        </row>
        <row r="79">
          <cell r="G79" t="str">
            <v>012LIGHT HOUSE</v>
          </cell>
          <cell r="H79">
            <v>1440</v>
          </cell>
        </row>
        <row r="80">
          <cell r="G80" t="str">
            <v>013COUNTRY BLUES</v>
          </cell>
          <cell r="H80">
            <v>1200</v>
          </cell>
        </row>
        <row r="81">
          <cell r="G81" t="str">
            <v>013LORRAINE</v>
          </cell>
          <cell r="H81">
            <v>3825</v>
          </cell>
        </row>
        <row r="82">
          <cell r="G82" t="str">
            <v>013LUMIA</v>
          </cell>
          <cell r="H82">
            <v>660</v>
          </cell>
        </row>
        <row r="83">
          <cell r="G83" t="str">
            <v>013VENDELA</v>
          </cell>
          <cell r="H83">
            <v>11610</v>
          </cell>
        </row>
        <row r="84">
          <cell r="G84" t="str">
            <v>014STARDUST</v>
          </cell>
          <cell r="H84">
            <v>6900</v>
          </cell>
        </row>
        <row r="85">
          <cell r="G85" t="str">
            <v>015JOCKER</v>
          </cell>
          <cell r="H85">
            <v>4625</v>
          </cell>
        </row>
        <row r="86">
          <cell r="G86" t="str">
            <v>016DREAM IN PEACH</v>
          </cell>
          <cell r="H86">
            <v>1710</v>
          </cell>
        </row>
        <row r="87">
          <cell r="G87" t="str">
            <v>016NINA</v>
          </cell>
          <cell r="H87">
            <v>2425</v>
          </cell>
        </row>
        <row r="88">
          <cell r="G88" t="str">
            <v>017FREEDOM</v>
          </cell>
          <cell r="H88">
            <v>4470</v>
          </cell>
        </row>
        <row r="89">
          <cell r="G89" t="str">
            <v>017GOLDFINCH</v>
          </cell>
          <cell r="H89">
            <v>3075</v>
          </cell>
        </row>
        <row r="90">
          <cell r="G90" t="str">
            <v>018BRIGHTON</v>
          </cell>
          <cell r="H90">
            <v>1850</v>
          </cell>
        </row>
        <row r="91">
          <cell r="G91" t="str">
            <v>019BRIGHTON</v>
          </cell>
          <cell r="H91">
            <v>6325</v>
          </cell>
        </row>
        <row r="92">
          <cell r="G92" t="str">
            <v>019TABATHA</v>
          </cell>
          <cell r="H92">
            <v>3540</v>
          </cell>
        </row>
        <row r="93">
          <cell r="G93" t="str">
            <v>020BRIGHTON</v>
          </cell>
          <cell r="H93">
            <v>5575</v>
          </cell>
        </row>
        <row r="94">
          <cell r="G94" t="str">
            <v>020TYCOON</v>
          </cell>
          <cell r="H94">
            <v>1290</v>
          </cell>
        </row>
        <row r="95">
          <cell r="G95" t="str">
            <v>021SHOW GIRL</v>
          </cell>
          <cell r="H95">
            <v>1775</v>
          </cell>
        </row>
        <row r="96">
          <cell r="G96" t="str">
            <v>022CORAL REEF</v>
          </cell>
          <cell r="H96">
            <v>2625</v>
          </cell>
        </row>
        <row r="97">
          <cell r="G97" t="str">
            <v>023COTOPAXI</v>
          </cell>
          <cell r="H97">
            <v>8760</v>
          </cell>
        </row>
        <row r="98">
          <cell r="G98" t="str">
            <v>023FRUTTETO</v>
          </cell>
          <cell r="H98">
            <v>5040</v>
          </cell>
        </row>
        <row r="99">
          <cell r="G99" t="str">
            <v>024COTOPAXI</v>
          </cell>
          <cell r="H99">
            <v>4050</v>
          </cell>
        </row>
        <row r="100">
          <cell r="G100" t="str">
            <v>024SWEETNESS</v>
          </cell>
          <cell r="H100">
            <v>2340</v>
          </cell>
        </row>
        <row r="101">
          <cell r="G101" t="str">
            <v>024TYCOON</v>
          </cell>
          <cell r="H101">
            <v>4290</v>
          </cell>
        </row>
        <row r="102">
          <cell r="G102" t="str">
            <v>025PINK MONDIAL</v>
          </cell>
          <cell r="H102">
            <v>6400</v>
          </cell>
        </row>
        <row r="103">
          <cell r="G103" t="str">
            <v>026LOLA</v>
          </cell>
          <cell r="H103">
            <v>3625</v>
          </cell>
        </row>
        <row r="104">
          <cell r="G104" t="str">
            <v>026PALOMA</v>
          </cell>
          <cell r="H104">
            <v>4150</v>
          </cell>
        </row>
        <row r="105">
          <cell r="G105" t="str">
            <v>027SATISFACTION</v>
          </cell>
          <cell r="H105">
            <v>5370</v>
          </cell>
        </row>
        <row r="106">
          <cell r="G106" t="str">
            <v>027TIFFANY</v>
          </cell>
          <cell r="H106">
            <v>5910</v>
          </cell>
        </row>
        <row r="107">
          <cell r="G107" t="str">
            <v>028COTOPAXI</v>
          </cell>
          <cell r="H107">
            <v>7230</v>
          </cell>
        </row>
        <row r="108">
          <cell r="G108" t="str">
            <v>028DEEP PURPLE</v>
          </cell>
          <cell r="H108">
            <v>5670</v>
          </cell>
        </row>
        <row r="109">
          <cell r="G109" t="str">
            <v>029PINK FLOYD</v>
          </cell>
          <cell r="H109">
            <v>3525</v>
          </cell>
        </row>
        <row r="110">
          <cell r="G110" t="str">
            <v>030EXPLORER</v>
          </cell>
          <cell r="H110">
            <v>2950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9593"/>
  <sheetViews>
    <sheetView tabSelected="1" topLeftCell="A9476" zoomScaleNormal="100" workbookViewId="0">
      <selection activeCell="A9486" sqref="A9486:A9593"/>
    </sheetView>
  </sheetViews>
  <sheetFormatPr baseColWidth="10" defaultRowHeight="14.25"/>
  <cols>
    <col min="1" max="1" width="5.5" bestFit="1" customWidth="1"/>
    <col min="2" max="2" width="9" bestFit="1" customWidth="1"/>
    <col min="3" max="3" width="11.125" customWidth="1"/>
    <col min="4" max="4" width="14.75" customWidth="1"/>
    <col min="5" max="5" width="8.25" bestFit="1" customWidth="1"/>
    <col min="6" max="6" width="13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 hidden="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 hidden="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 hidden="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 hidden="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 hidden="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 hidden="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 hidden="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 hidden="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 hidden="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 hidden="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 hidden="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 hidden="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 hidden="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 hidden="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 hidden="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 hidden="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 hidden="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 hidden="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 hidden="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 hidden="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 hidden="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 hidden="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 hidden="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 hidden="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 hidden="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 hidden="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 hidden="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 hidden="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 hidden="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 hidden="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 hidden="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 hidden="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 hidden="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 hidden="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 hidden="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 hidden="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 hidden="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 hidden="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 hidden="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 hidden="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 hidden="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 hidden="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 hidden="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 hidden="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 hidden="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 hidden="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 hidden="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 hidden="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 hidden="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 hidden="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 hidden="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 hidden="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 hidden="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 hidden="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 hidden="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 hidden="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 hidden="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 hidden="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 hidden="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 hidden="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 hidden="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 hidden="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 hidden="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 hidden="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 hidden="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 hidden="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 hidden="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 hidden="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 hidden="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 hidden="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 hidden="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 hidden="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 hidden="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 hidden="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 hidden="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 hidden="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 hidden="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 hidden="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 hidden="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 hidden="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 hidden="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 hidden="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 hidden="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 hidden="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 hidden="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 hidden="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 hidden="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 hidden="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 hidden="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 hidden="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 hidden="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 hidden="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 hidden="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 hidden="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 hidden="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 hidden="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 hidden="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 hidden="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 hidden="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 hidden="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 hidden="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 hidden="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 hidden="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 hidden="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 hidden="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 hidden="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 hidden="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 hidden="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 hidden="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 hidden="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 hidden="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 hidden="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 hidden="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 hidden="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 hidden="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 hidden="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 hidden="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 hidden="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 hidden="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 hidden="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 hidden="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 hidden="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 hidden="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 hidden="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 hidden="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 hidden="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 hidden="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 hidden="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 hidden="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 hidden="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 hidden="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 hidden="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 hidden="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 hidden="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 hidden="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 hidden="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 hidden="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 hidden="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 hidden="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 hidden="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 hidden="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 hidden="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 hidden="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 hidden="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 hidden="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 hidden="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 hidden="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 hidden="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 hidden="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 hidden="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 hidden="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 hidden="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 hidden="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 hidden="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 hidden="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 hidden="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 hidden="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 hidden="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 hidden="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 hidden="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 hidden="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 hidden="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 hidden="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 hidden="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 hidden="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 hidden="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 hidden="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 hidden="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 hidden="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 hidden="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 hidden="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 hidden="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 hidden="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 hidden="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 hidden="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 hidden="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 hidden="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 hidden="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 hidden="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 hidden="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 hidden="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 hidden="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 hidden="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 hidden="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 hidden="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 hidden="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 hidden="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 hidden="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 hidden="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 hidden="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 hidden="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 hidden="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 hidden="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 hidden="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 hidden="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 hidden="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 hidden="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 hidden="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 hidden="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 hidden="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 hidden="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 hidden="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 hidden="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 hidden="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 hidden="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 hidden="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 hidden="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 hidden="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 hidden="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 hidden="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 hidden="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 hidden="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 hidden="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 hidden="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 hidden="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 hidden="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 hidden="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 hidden="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 hidden="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 hidden="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 hidden="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 hidden="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 hidden="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 hidden="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 hidden="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 hidden="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 hidden="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 hidden="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 hidden="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 hidden="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 hidden="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 hidden="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 hidden="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 hidden="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 hidden="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 hidden="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 hidden="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 hidden="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 hidden="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 hidden="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 hidden="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 hidden="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 hidden="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 hidden="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 hidden="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 hidden="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 hidden="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 hidden="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 hidden="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 hidden="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 hidden="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 hidden="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 hidden="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 hidden="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 hidden="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 hidden="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 hidden="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 hidden="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 hidden="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 hidden="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 hidden="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 hidden="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 hidden="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 hidden="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 hidden="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 hidden="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 hidden="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 hidden="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 hidden="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 hidden="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 hidden="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 hidden="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 hidden="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 hidden="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 hidden="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 hidden="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 hidden="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 hidden="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 hidden="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 hidden="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 hidden="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 hidden="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 hidden="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 hidden="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 hidden="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 hidden="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 hidden="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 hidden="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 hidden="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 hidden="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 hidden="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 hidden="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 hidden="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 hidden="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 hidden="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 hidden="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 hidden="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 hidden="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 hidden="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 hidden="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 hidden="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 hidden="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 hidden="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 hidden="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 hidden="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 hidden="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 hidden="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 hidden="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 hidden="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 hidden="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 hidden="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 hidden="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 hidden="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 hidden="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 hidden="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 hidden="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 hidden="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 hidden="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 hidden="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 hidden="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 hidden="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 hidden="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 hidden="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 hidden="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 hidden="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 hidden="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 hidden="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 hidden="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 hidden="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 hidden="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 hidden="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 hidden="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 hidden="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 hidden="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 hidden="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 hidden="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 hidden="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 hidden="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 hidden="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 hidden="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 hidden="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 hidden="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 hidden="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 hidden="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 hidden="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 hidden="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 hidden="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 hidden="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 hidden="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 hidden="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 hidden="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 hidden="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 hidden="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 hidden="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 hidden="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 hidden="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 hidden="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 hidden="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 hidden="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 hidden="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 hidden="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 hidden="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 hidden="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 hidden="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 hidden="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 hidden="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 hidden="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 hidden="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 hidden="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 hidden="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 hidden="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 hidden="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 hidden="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 hidden="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 hidden="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 hidden="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 hidden="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 hidden="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 hidden="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 hidden="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 hidden="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 hidden="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 hidden="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 hidden="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 hidden="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 hidden="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 hidden="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 hidden="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 hidden="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 hidden="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 hidden="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 hidden="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 hidden="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 hidden="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 hidden="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 hidden="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 hidden="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 hidden="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 hidden="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 hidden="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 hidden="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 hidden="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 hidden="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 hidden="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 hidden="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 hidden="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 hidden="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 hidden="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 hidden="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 hidden="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 hidden="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 hidden="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 hidden="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 hidden="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 hidden="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 hidden="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 hidden="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 hidden="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 hidden="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 hidden="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 hidden="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 hidden="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 hidden="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 hidden="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 hidden="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 hidden="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 hidden="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 hidden="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 hidden="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 hidden="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 hidden="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 hidden="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 hidden="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 hidden="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 hidden="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 hidden="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 hidden="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 hidden="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 hidden="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 hidden="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 hidden="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 hidden="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 hidden="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 hidden="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 hidden="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 hidden="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 hidden="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 hidden="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 hidden="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 hidden="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 hidden="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 hidden="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 hidden="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 hidden="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 hidden="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 hidden="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 hidden="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 hidden="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 hidden="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 hidden="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 hidden="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 hidden="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 hidden="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 hidden="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 hidden="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 hidden="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 hidden="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 hidden="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 hidden="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 hidden="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 hidden="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 hidden="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 hidden="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 hidden="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 hidden="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 hidden="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 hidden="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 hidden="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 hidden="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 hidden="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 hidden="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 hidden="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 hidden="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 hidden="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 hidden="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 hidden="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 hidden="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 hidden="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 hidden="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 hidden="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 hidden="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 hidden="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 hidden="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 hidden="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 hidden="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 hidden="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 hidden="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 hidden="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 hidden="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 hidden="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 hidden="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 hidden="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 hidden="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 hidden="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 hidden="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 hidden="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 hidden="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 hidden="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 hidden="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 hidden="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 hidden="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 hidden="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 hidden="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 hidden="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 hidden="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 hidden="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 hidden="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 hidden="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 hidden="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 hidden="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 hidden="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 hidden="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 hidden="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 hidden="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 hidden="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 hidden="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 hidden="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 hidden="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 hidden="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 hidden="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 hidden="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 hidden="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 hidden="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 hidden="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 hidden="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 hidden="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 hidden="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 hidden="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 hidden="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 hidden="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 hidden="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 hidden="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 hidden="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 hidden="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 hidden="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 hidden="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 hidden="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 hidden="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 hidden="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 hidden="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 hidden="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 hidden="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 hidden="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 hidden="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 hidden="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 hidden="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 hidden="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 hidden="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 hidden="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 hidden="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 hidden="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 hidden="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 hidden="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 hidden="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 hidden="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 hidden="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 hidden="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 hidden="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 hidden="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 hidden="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 hidden="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 hidden="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 hidden="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 hidden="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 hidden="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 hidden="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 hidden="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 hidden="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 hidden="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 hidden="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 hidden="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 hidden="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 hidden="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 hidden="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 hidden="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 hidden="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 hidden="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 hidden="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 hidden="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 hidden="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 hidden="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 hidden="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 hidden="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 hidden="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 hidden="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 hidden="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 hidden="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 hidden="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 hidden="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 hidden="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 hidden="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 hidden="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 hidden="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 hidden="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 hidden="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 hidden="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 hidden="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 hidden="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 hidden="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 hidden="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 hidden="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 hidden="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 hidden="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 hidden="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 hidden="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 hidden="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 hidden="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 hidden="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 hidden="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 hidden="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 hidden="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 hidden="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 hidden="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 hidden="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 hidden="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 hidden="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 hidden="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 hidden="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 hidden="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 hidden="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 hidden="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 hidden="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 hidden="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 hidden="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 hidden="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 hidden="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 hidden="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 hidden="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 hidden="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 hidden="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 hidden="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 hidden="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 hidden="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 hidden="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 hidden="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 hidden="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 hidden="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 hidden="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 hidden="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 hidden="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 hidden="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 hidden="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 hidden="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 hidden="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 hidden="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 hidden="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 hidden="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 hidden="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 hidden="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 hidden="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 hidden="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 hidden="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 hidden="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 hidden="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 hidden="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 hidden="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 hidden="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 hidden="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 hidden="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 hidden="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 hidden="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 hidden="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 hidden="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 hidden="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 hidden="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 hidden="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 hidden="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 hidden="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 hidden="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 hidden="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 hidden="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 hidden="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 hidden="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 hidden="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 hidden="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 hidden="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 hidden="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 hidden="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 hidden="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 hidden="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 hidden="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 hidden="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 hidden="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 hidden="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 hidden="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 hidden="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 hidden="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 hidden="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 hidden="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 hidden="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 hidden="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 hidden="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 hidden="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 hidden="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 hidden="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 hidden="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 hidden="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 hidden="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 hidden="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 hidden="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 hidden="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 hidden="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 hidden="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 hidden="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 hidden="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 hidden="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 hidden="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 hidden="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 hidden="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 hidden="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 hidden="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 hidden="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 hidden="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 hidden="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 hidden="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 hidden="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 hidden="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 hidden="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 hidden="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 hidden="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 hidden="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 hidden="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 hidden="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 hidden="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 hidden="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 hidden="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 hidden="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 hidden="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 hidden="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 hidden="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 hidden="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 hidden="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 hidden="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 hidden="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 hidden="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 hidden="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 hidden="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 hidden="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 hidden="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 hidden="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 hidden="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 hidden="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 hidden="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 hidden="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 hidden="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 hidden="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 hidden="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 hidden="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 hidden="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 hidden="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 hidden="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 hidden="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 hidden="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 hidden="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 hidden="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 hidden="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 hidden="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 hidden="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 hidden="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 hidden="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 hidden="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 hidden="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 hidden="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 hidden="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 hidden="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 hidden="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 hidden="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 hidden="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 hidden="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 hidden="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 hidden="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 hidden="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 hidden="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 hidden="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 hidden="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 hidden="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 hidden="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 hidden="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 hidden="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 hidden="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 hidden="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 hidden="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 hidden="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 hidden="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 hidden="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 hidden="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 hidden="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 hidden="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 hidden="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 hidden="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 hidden="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 hidden="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 hidden="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 hidden="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 hidden="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 hidden="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 hidden="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 hidden="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 hidden="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 hidden="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 hidden="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 hidden="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 hidden="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 hidden="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 hidden="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 hidden="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 hidden="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 hidden="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 hidden="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 hidden="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 hidden="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 hidden="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 hidden="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 hidden="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 hidden="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 hidden="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 hidden="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 hidden="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 hidden="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 hidden="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 hidden="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 hidden="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 hidden="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 hidden="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 hidden="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 hidden="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 hidden="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 hidden="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 hidden="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 hidden="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 hidden="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 hidden="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 hidden="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 hidden="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 hidden="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 hidden="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 hidden="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 hidden="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 hidden="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 hidden="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 hidden="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 hidden="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 hidden="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 hidden="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 hidden="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 hidden="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 hidden="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 hidden="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 hidden="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 hidden="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 hidden="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 hidden="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 hidden="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 hidden="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 hidden="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 hidden="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 hidden="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 hidden="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 hidden="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 hidden="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 hidden="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 hidden="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 hidden="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 hidden="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 hidden="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 hidden="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 hidden="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 hidden="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 hidden="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 hidden="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 hidden="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 hidden="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 hidden="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 hidden="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 hidden="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 hidden="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 hidden="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 hidden="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 hidden="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 hidden="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 hidden="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 hidden="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 hidden="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 hidden="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 hidden="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 hidden="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 hidden="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 hidden="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 hidden="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 hidden="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 hidden="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 hidden="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 hidden="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 hidden="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 hidden="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 hidden="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 hidden="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 hidden="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 hidden="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 hidden="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 hidden="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 hidden="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 hidden="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 hidden="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 hidden="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 hidden="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 hidden="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 hidden="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 hidden="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 hidden="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 hidden="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 hidden="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 hidden="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 hidden="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 hidden="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 hidden="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 hidden="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 hidden="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 hidden="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 hidden="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 hidden="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 hidden="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 hidden="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 hidden="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 hidden="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 hidden="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 hidden="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 hidden="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 hidden="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 hidden="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 hidden="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 hidden="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 hidden="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 hidden="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 hidden="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 hidden="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 hidden="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 hidden="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 hidden="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 hidden="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 hidden="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 hidden="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 hidden="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 hidden="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 hidden="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 hidden="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 hidden="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 hidden="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 hidden="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 hidden="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 hidden="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 hidden="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 hidden="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 hidden="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 hidden="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 hidden="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 hidden="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 hidden="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 hidden="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 hidden="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 hidden="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 hidden="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 hidden="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 hidden="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 hidden="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 hidden="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 hidden="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 hidden="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 hidden="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 hidden="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 hidden="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 hidden="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 hidden="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 hidden="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 hidden="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 hidden="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 hidden="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 hidden="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 hidden="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 hidden="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 hidden="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 hidden="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 hidden="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 hidden="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 hidden="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 hidden="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 hidden="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 hidden="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 hidden="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 hidden="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 hidden="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 hidden="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 hidden="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 hidden="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 hidden="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 hidden="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 hidden="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 hidden="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 hidden="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 hidden="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 hidden="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 hidden="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 hidden="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 hidden="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 hidden="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 hidden="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 hidden="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 hidden="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 hidden="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 hidden="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 hidden="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 hidden="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 hidden="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 hidden="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 hidden="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 hidden="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 hidden="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 hidden="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 hidden="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 hidden="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 hidden="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 hidden="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 hidden="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 hidden="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 hidden="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 hidden="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 hidden="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 hidden="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 hidden="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 hidden="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 hidden="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 hidden="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 hidden="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 hidden="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 hidden="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 hidden="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 hidden="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 hidden="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 hidden="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 hidden="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 hidden="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 hidden="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 hidden="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 hidden="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 hidden="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 hidden="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 hidden="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 hidden="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 hidden="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 hidden="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 hidden="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 hidden="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 hidden="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 hidden="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 hidden="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 hidden="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 hidden="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 hidden="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 hidden="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 hidden="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 hidden="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 hidden="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 hidden="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 hidden="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 hidden="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 hidden="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 hidden="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 hidden="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 hidden="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 hidden="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 hidden="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 hidden="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 hidden="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 hidden="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 hidden="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 hidden="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 hidden="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 hidden="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 hidden="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 hidden="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 hidden="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 hidden="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 hidden="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 hidden="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 hidden="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 hidden="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 hidden="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 hidden="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 hidden="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 hidden="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 hidden="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 hidden="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 hidden="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 hidden="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 hidden="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 hidden="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 hidden="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 hidden="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 hidden="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 hidden="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 hidden="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 hidden="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 hidden="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 hidden="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 hidden="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 hidden="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 hidden="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 hidden="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 hidden="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 hidden="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 hidden="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 hidden="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 hidden="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 hidden="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 hidden="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 hidden="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 hidden="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 hidden="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 hidden="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 hidden="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 hidden="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 hidden="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 hidden="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 hidden="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 hidden="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 hidden="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 hidden="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 hidden="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 hidden="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 hidden="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 hidden="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 hidden="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 hidden="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 hidden="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 hidden="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 hidden="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 hidden="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 hidden="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 hidden="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 hidden="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 hidden="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 hidden="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 hidden="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 hidden="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 hidden="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 hidden="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 hidden="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 hidden="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 hidden="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 hidden="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 hidden="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 hidden="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 hidden="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 hidden="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 hidden="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 hidden="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 hidden="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 hidden="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 hidden="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 hidden="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 hidden="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 hidden="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 hidden="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 hidden="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 hidden="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 hidden="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 hidden="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 hidden="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 hidden="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 hidden="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 hidden="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 hidden="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 hidden="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 hidden="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 hidden="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 hidden="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 hidden="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 hidden="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 hidden="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 hidden="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 hidden="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 hidden="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 hidden="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 hidden="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 hidden="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 hidden="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 hidden="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 hidden="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 hidden="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 hidden="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 hidden="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 hidden="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 hidden="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 hidden="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 hidden="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 hidden="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 hidden="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 hidden="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 hidden="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 hidden="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 hidden="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 hidden="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 hidden="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 hidden="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 hidden="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 hidden="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 hidden="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 hidden="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 hidden="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 hidden="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 hidden="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 hidden="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 hidden="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 hidden="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 hidden="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 hidden="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 hidden="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 hidden="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 hidden="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 hidden="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 hidden="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 hidden="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 hidden="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 hidden="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 hidden="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 hidden="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 hidden="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 hidden="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 hidden="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 hidden="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 hidden="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 hidden="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 hidden="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 hidden="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 hidden="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 hidden="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 hidden="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 hidden="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 hidden="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 hidden="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 hidden="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 hidden="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 hidden="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 hidden="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 hidden="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 hidden="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 hidden="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 hidden="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 hidden="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 hidden="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 hidden="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 hidden="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 hidden="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 hidden="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 hidden="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 hidden="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 hidden="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 hidden="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 hidden="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 hidden="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 hidden="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 hidden="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 hidden="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 hidden="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 hidden="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 hidden="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 hidden="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 hidden="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 hidden="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 hidden="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 hidden="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 hidden="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 hidden="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 hidden="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 hidden="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 hidden="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 hidden="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 hidden="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 hidden="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 hidden="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 hidden="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 hidden="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 hidden="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 hidden="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 hidden="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 hidden="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 hidden="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 hidden="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 hidden="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 hidden="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 hidden="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 hidden="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 hidden="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 hidden="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 hidden="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 hidden="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 hidden="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 hidden="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 hidden="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 hidden="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 hidden="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 hidden="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 hidden="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 hidden="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 hidden="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 hidden="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 hidden="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 hidden="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 hidden="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 hidden="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 hidden="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 hidden="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 hidden="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 hidden="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 hidden="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 hidden="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 hidden="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 hidden="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 hidden="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 hidden="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 hidden="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 hidden="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 hidden="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 hidden="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 hidden="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 hidden="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 hidden="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 hidden="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 hidden="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 hidden="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 hidden="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 hidden="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 hidden="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 hidden="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 hidden="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 hidden="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 hidden="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 hidden="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 hidden="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 hidden="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 hidden="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 hidden="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 hidden="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 hidden="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 hidden="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 hidden="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 hidden="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 hidden="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 hidden="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 hidden="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 hidden="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 hidden="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 hidden="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 hidden="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 hidden="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 hidden="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 hidden="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 hidden="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 hidden="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 hidden="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 hidden="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 hidden="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 hidden="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 hidden="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 hidden="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 hidden="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 hidden="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 hidden="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 hidden="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 hidden="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 hidden="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 hidden="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 hidden="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 hidden="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 hidden="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 hidden="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 hidden="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 hidden="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 hidden="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 hidden="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 hidden="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 hidden="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 hidden="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 hidden="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 hidden="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 hidden="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 hidden="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 hidden="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 hidden="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 hidden="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 hidden="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 hidden="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 hidden="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 hidden="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 hidden="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 hidden="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 hidden="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 hidden="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 hidden="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 hidden="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 hidden="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 hidden="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 hidden="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 hidden="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 hidden="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 hidden="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 hidden="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 hidden="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 hidden="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 hidden="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 hidden="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 hidden="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 hidden="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 hidden="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 hidden="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 hidden="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 hidden="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 hidden="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 hidden="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 hidden="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 hidden="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 hidden="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 hidden="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 hidden="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 hidden="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 hidden="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 hidden="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 hidden="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 hidden="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 hidden="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 hidden="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 hidden="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 hidden="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 hidden="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 hidden="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 hidden="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 hidden="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 hidden="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 hidden="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 hidden="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 hidden="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 hidden="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 hidden="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 hidden="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 hidden="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 hidden="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 hidden="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 hidden="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 hidden="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 hidden="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 hidden="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 hidden="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 hidden="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 hidden="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 hidden="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 hidden="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 hidden="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 hidden="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 hidden="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 hidden="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 hidden="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 hidden="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 hidden="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 hidden="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 hidden="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 hidden="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 hidden="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 hidden="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 hidden="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 hidden="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 hidden="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 hidden="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 hidden="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 hidden="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 hidden="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 hidden="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 hidden="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 hidden="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 hidden="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 hidden="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 hidden="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 hidden="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 hidden="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 hidden="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 hidden="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 hidden="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 hidden="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 hidden="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 hidden="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 hidden="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 hidden="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 hidden="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 hidden="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 hidden="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 hidden="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 hidden="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 hidden="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 hidden="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 hidden="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 hidden="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 hidden="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 hidden="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 hidden="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 hidden="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 hidden="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 hidden="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 hidden="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 hidden="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 hidden="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 hidden="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 hidden="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 hidden="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 hidden="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 hidden="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 hidden="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 hidden="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 hidden="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 hidden="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 hidden="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 hidden="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 hidden="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 hidden="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 hidden="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 hidden="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 hidden="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 hidden="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 hidden="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 hidden="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 hidden="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 hidden="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 hidden="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 hidden="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 hidden="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 hidden="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 hidden="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 hidden="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 hidden="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 hidden="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 hidden="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 hidden="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 hidden="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 hidden="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 hidden="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 hidden="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 hidden="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 hidden="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 hidden="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 hidden="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 hidden="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 hidden="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 hidden="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 hidden="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 hidden="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 hidden="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 hidden="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 hidden="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 hidden="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 hidden="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 hidden="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 hidden="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 hidden="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 hidden="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 hidden="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 hidden="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 hidden="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 hidden="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 hidden="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 hidden="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 hidden="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 hidden="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 hidden="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 hidden="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 hidden="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 hidden="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 hidden="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 hidden="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 hidden="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 hidden="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 hidden="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 hidden="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 hidden="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 hidden="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 hidden="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 hidden="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 hidden="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 hidden="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 hidden="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 hidden="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 hidden="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 hidden="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 hidden="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 hidden="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 hidden="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 hidden="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 hidden="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 hidden="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 hidden="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 hidden="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 hidden="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 hidden="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 hidden="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 hidden="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 hidden="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 hidden="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 hidden="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 hidden="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 hidden="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 hidden="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 hidden="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 hidden="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 hidden="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 hidden="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 hidden="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 hidden="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 hidden="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 hidden="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 hidden="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 hidden="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 hidden="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 hidden="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 hidden="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 hidden="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 hidden="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 hidden="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 hidden="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 hidden="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 hidden="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 hidden="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 hidden="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 hidden="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 hidden="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 hidden="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 hidden="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 hidden="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 hidden="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 hidden="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 hidden="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 hidden="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 hidden="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 hidden="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 hidden="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 hidden="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 hidden="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 hidden="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 hidden="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 hidden="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 hidden="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 hidden="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 hidden="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 hidden="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 hidden="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 hidden="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 hidden="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 hidden="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 hidden="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 hidden="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 hidden="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 hidden="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 hidden="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 hidden="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 hidden="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 hidden="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 hidden="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 hidden="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 hidden="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 hidden="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 hidden="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 hidden="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 hidden="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 hidden="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 hidden="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 hidden="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 hidden="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 hidden="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 hidden="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 hidden="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 hidden="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 hidden="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 hidden="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 hidden="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 hidden="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 hidden="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 hidden="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 hidden="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 hidden="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 hidden="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 hidden="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 hidden="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 hidden="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 hidden="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 hidden="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 hidden="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 hidden="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 hidden="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 hidden="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 hidden="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 hidden="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 hidden="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 hidden="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 hidden="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 hidden="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 hidden="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 hidden="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 hidden="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 hidden="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 hidden="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 hidden="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 hidden="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 hidden="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 hidden="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 hidden="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 hidden="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 hidden="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 hidden="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 hidden="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 hidden="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 hidden="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 hidden="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 hidden="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 hidden="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 hidden="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 hidden="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 hidden="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 hidden="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 hidden="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 hidden="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 hidden="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 hidden="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 hidden="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 hidden="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 hidden="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 hidden="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 hidden="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 hidden="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 hidden="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 hidden="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 hidden="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 hidden="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 hidden="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 hidden="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 hidden="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 hidden="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 hidden="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 hidden="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 hidden="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 hidden="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 hidden="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 hidden="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 hidden="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 hidden="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 hidden="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 hidden="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 hidden="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 hidden="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 hidden="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 hidden="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 hidden="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 hidden="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 hidden="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 hidden="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 hidden="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 hidden="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 hidden="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 hidden="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 hidden="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 hidden="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 hidden="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 hidden="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 hidden="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 hidden="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 hidden="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 hidden="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 hidden="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 hidden="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 hidden="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 hidden="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 hidden="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 hidden="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 hidden="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 hidden="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 hidden="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 hidden="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 hidden="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 hidden="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 hidden="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 hidden="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 hidden="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 hidden="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 hidden="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 hidden="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 hidden="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 hidden="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 hidden="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 hidden="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 hidden="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 hidden="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 hidden="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 hidden="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 hidden="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 hidden="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 hidden="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 hidden="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 hidden="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 hidden="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 hidden="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 hidden="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 hidden="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 hidden="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 hidden="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 hidden="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 hidden="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 hidden="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 hidden="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 hidden="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 hidden="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 hidden="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 hidden="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 hidden="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 hidden="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 hidden="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 hidden="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 hidden="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 hidden="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 hidden="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 hidden="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 hidden="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 hidden="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 hidden="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 hidden="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 hidden="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 hidden="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 hidden="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 hidden="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 hidden="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 hidden="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 hidden="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 hidden="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 hidden="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 hidden="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 hidden="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 hidden="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 hidden="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 hidden="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 hidden="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 hidden="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 hidden="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 hidden="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 hidden="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 hidden="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 hidden="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 hidden="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 hidden="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 hidden="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 hidden="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 hidden="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 hidden="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 hidden="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 hidden="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 hidden="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 hidden="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 hidden="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 hidden="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 hidden="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 hidden="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 hidden="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 hidden="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 hidden="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 hidden="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 hidden="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 hidden="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 hidden="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 hidden="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 hidden="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 hidden="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 hidden="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 hidden="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 hidden="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 hidden="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 hidden="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 hidden="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 hidden="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 hidden="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 hidden="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 hidden="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 hidden="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 hidden="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 hidden="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 hidden="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 hidden="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 hidden="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 hidden="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 hidden="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 hidden="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 hidden="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 hidden="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 hidden="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 hidden="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 hidden="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 hidden="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 hidden="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 hidden="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 hidden="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 hidden="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 hidden="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 hidden="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 hidden="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 hidden="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 hidden="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 hidden="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 hidden="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 hidden="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 hidden="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 hidden="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 hidden="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 hidden="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 hidden="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 hidden="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 hidden="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 hidden="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 hidden="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 hidden="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 hidden="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 hidden="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 hidden="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 hidden="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 hidden="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 hidden="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 hidden="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 hidden="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 hidden="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 hidden="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 hidden="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 hidden="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 hidden="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 hidden="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 hidden="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 hidden="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 hidden="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 hidden="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 hidden="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 hidden="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 hidden="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 hidden="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 hidden="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 hidden="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 hidden="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 hidden="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 hidden="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 hidden="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 hidden="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 hidden="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 hidden="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 hidden="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 hidden="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 hidden="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 hidden="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 hidden="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 hidden="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 hidden="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 hidden="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 hidden="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 hidden="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 hidden="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 hidden="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 hidden="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 hidden="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 hidden="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 hidden="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 hidden="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 hidden="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 hidden="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 hidden="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 hidden="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 hidden="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 hidden="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 hidden="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 hidden="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 hidden="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 hidden="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 hidden="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 hidden="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 hidden="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 hidden="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 hidden="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 hidden="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 hidden="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 hidden="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 hidden="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 hidden="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 hidden="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 hidden="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 hidden="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 hidden="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 hidden="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 hidden="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 hidden="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 hidden="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 hidden="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 hidden="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 hidden="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 hidden="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 hidden="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 hidden="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 hidden="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 hidden="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 hidden="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 hidden="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 hidden="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 hidden="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 hidden="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 hidden="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 hidden="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 hidden="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 hidden="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 hidden="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 hidden="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 hidden="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 hidden="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 hidden="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 hidden="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 hidden="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 hidden="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 hidden="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 hidden="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 hidden="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 hidden="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 hidden="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 hidden="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 hidden="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 hidden="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 hidden="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 hidden="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 hidden="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 hidden="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 hidden="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 hidden="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 hidden="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 hidden="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 hidden="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 hidden="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 hidden="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 hidden="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 hidden="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 hidden="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 hidden="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 hidden="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 hidden="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 hidden="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 hidden="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 hidden="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 hidden="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 hidden="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 hidden="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 hidden="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 hidden="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 hidden="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 hidden="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 hidden="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 hidden="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 hidden="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 hidden="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 hidden="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 hidden="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 hidden="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 hidden="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 hidden="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 hidden="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 hidden="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 hidden="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 hidden="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 hidden="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 hidden="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 hidden="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 hidden="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 hidden="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 hidden="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 hidden="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 hidden="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 hidden="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 hidden="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 hidden="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 hidden="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 hidden="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 hidden="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 hidden="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 hidden="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 hidden="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 hidden="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 hidden="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 hidden="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 hidden="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 hidden="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 hidden="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 hidden="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 hidden="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 hidden="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 hidden="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 hidden="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 hidden="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 hidden="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 hidden="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 hidden="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 hidden="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 hidden="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 hidden="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 hidden="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 hidden="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 hidden="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 hidden="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 hidden="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 hidden="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 hidden="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 hidden="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 hidden="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 hidden="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 hidden="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 hidden="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 hidden="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 hidden="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 hidden="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 hidden="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 hidden="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 hidden="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 hidden="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 hidden="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 hidden="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 hidden="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 hidden="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 hidden="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 hidden="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 hidden="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 hidden="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 hidden="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 hidden="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 hidden="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 hidden="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 hidden="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 hidden="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 hidden="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 hidden="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 hidden="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 hidden="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 hidden="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 hidden="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 hidden="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 hidden="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 hidden="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 hidden="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 hidden="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 hidden="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 hidden="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 hidden="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 hidden="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 hidden="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 hidden="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 hidden="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 hidden="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 hidden="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 hidden="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 hidden="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 hidden="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 hidden="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 hidden="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 hidden="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 hidden="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 hidden="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 hidden="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 hidden="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 hidden="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 hidden="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 hidden="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 hidden="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 hidden="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 hidden="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 hidden="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 hidden="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 hidden="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 hidden="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 hidden="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 hidden="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 hidden="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 hidden="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 hidden="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 hidden="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 hidden="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 hidden="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 hidden="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 hidden="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 hidden="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 hidden="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 hidden="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 hidden="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 hidden="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 hidden="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 hidden="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 hidden="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 hidden="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 hidden="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 hidden="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 hidden="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 hidden="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 hidden="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 hidden="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f>VLOOKUP(G8072,[1]Astroflores!$G$2:$H$109,2,FALSE)</f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 hidden="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f>VLOOKUP(G8073,[1]Astroflores!$G$2:$H$109,2,FALSE)</f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 hidden="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f>VLOOKUP(G8074,[1]Astroflores!$G$2:$H$109,2,FALSE)</f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 hidden="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f>VLOOKUP(G8075,[1]Astroflores!$G$2:$H$109,2,FALSE)</f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 hidden="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f>VLOOKUP(G8076,[1]Astroflores!$G$2:$H$109,2,FALSE)</f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 hidden="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f>VLOOKUP(G8077,[1]Astroflores!$G$2:$H$109,2,FALSE)</f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 hidden="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f>VLOOKUP(G8078,[1]Astroflores!$G$2:$H$109,2,FALSE)</f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 hidden="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f>VLOOKUP(G8079,[1]Astroflores!$G$2:$H$109,2,FALSE)</f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 hidden="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f>VLOOKUP(G8080,[1]Astroflores!$G$2:$H$109,2,FALSE)</f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 hidden="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f>VLOOKUP(G8081,[1]Astroflores!$G$2:$H$109,2,FALSE)</f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 hidden="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f>VLOOKUP(G8082,[1]Astroflores!$G$2:$H$109,2,FALSE)</f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 hidden="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f>VLOOKUP(G8083,[1]Astroflores!$G$2:$H$109,2,FALSE)</f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 hidden="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f>VLOOKUP(G8084,[1]Astroflores!$G$2:$H$109,2,FALSE)</f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 hidden="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f>VLOOKUP(G8085,[1]Astroflores!$G$2:$H$109,2,FALSE)</f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 hidden="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f>VLOOKUP(G8086,[1]Astroflores!$G$2:$H$109,2,FALSE)</f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 hidden="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f>VLOOKUP(G8087,[1]Astroflores!$G$2:$H$109,2,FALSE)</f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 hidden="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f>VLOOKUP(G8088,[1]Astroflores!$G$2:$H$109,2,FALSE)</f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 hidden="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f>VLOOKUP(G8089,[1]Astroflores!$G$2:$H$109,2,FALSE)</f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 hidden="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f>VLOOKUP(G8090,[1]Astroflores!$G$2:$H$109,2,FALSE)</f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 hidden="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f>VLOOKUP(G8091,[1]Astroflores!$G$2:$H$109,2,FALSE)</f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 hidden="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f>VLOOKUP(G8092,[1]Astroflores!$G$2:$H$109,2,FALSE)</f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 hidden="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f>VLOOKUP(G8093,[1]Astroflores!$G$2:$H$109,2,FALSE)</f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 hidden="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f>VLOOKUP(G8094,[1]Astroflores!$G$2:$H$109,2,FALSE)</f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 hidden="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f>VLOOKUP(G8095,[1]Astroflores!$G$2:$H$109,2,FALSE)</f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 hidden="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f>VLOOKUP(G8096,[1]Astroflores!$G$2:$H$109,2,FALSE)</f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 hidden="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f>VLOOKUP(G8097,[1]Astroflores!$G$2:$H$109,2,FALSE)</f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 hidden="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f>VLOOKUP(G8098,[1]Astroflores!$G$2:$H$109,2,FALSE)</f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 hidden="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f>VLOOKUP(G8099,[1]Astroflores!$G$2:$H$109,2,FALSE)</f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 hidden="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f>VLOOKUP(G8100,[1]Astroflores!$G$2:$H$109,2,FALSE)</f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 hidden="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f>VLOOKUP(G8101,[1]Astroflores!$G$2:$H$109,2,FALSE)</f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 hidden="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f>VLOOKUP(G8102,[1]Astroflores!$G$2:$H$109,2,FALSE)</f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 hidden="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f>VLOOKUP(G8103,[1]Astroflores!$G$2:$H$109,2,FALSE)</f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 hidden="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f>VLOOKUP(G8104,[1]Astroflores!$G$2:$H$109,2,FALSE)</f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 hidden="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f>VLOOKUP(G8105,[1]Astroflores!$G$2:$H$109,2,FALSE)</f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 hidden="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f>VLOOKUP(G8106,[1]Astroflores!$G$2:$H$109,2,FALSE)</f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 hidden="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f>VLOOKUP(G8107,[1]Astroflores!$G$2:$H$109,2,FALSE)</f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 hidden="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f>VLOOKUP(G8108,[1]Astroflores!$G$2:$H$109,2,FALSE)</f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 hidden="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f>VLOOKUP(G8109,[1]Astroflores!$G$2:$H$109,2,FALSE)</f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 hidden="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f>VLOOKUP(G8110,[1]Astroflores!$G$2:$H$109,2,FALSE)</f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 hidden="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f>VLOOKUP(G8111,[1]Astroflores!$G$2:$H$109,2,FALSE)</f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 hidden="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f>VLOOKUP(G8112,[1]Astroflores!$G$2:$H$109,2,FALSE)</f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 hidden="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f>VLOOKUP(G8113,[1]Astroflores!$G$2:$H$109,2,FALSE)</f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 hidden="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f>VLOOKUP(G8114,[1]Astroflores!$G$2:$H$109,2,FALSE)</f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 hidden="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f>VLOOKUP(G8115,[1]Astroflores!$G$2:$H$109,2,FALSE)</f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 hidden="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f>VLOOKUP(G8116,[1]Astroflores!$G$2:$H$109,2,FALSE)</f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 hidden="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f>VLOOKUP(G8117,[1]Astroflores!$G$2:$H$109,2,FALSE)</f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 hidden="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f>VLOOKUP(G8118,[1]Astroflores!$G$2:$H$109,2,FALSE)</f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 hidden="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f>VLOOKUP(G8119,[1]Astroflores!$G$2:$H$109,2,FALSE)</f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 hidden="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f>VLOOKUP(G8120,[1]Astroflores!$G$2:$H$109,2,FALSE)</f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 hidden="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f>VLOOKUP(G8121,[1]Astroflores!$G$2:$H$109,2,FALSE)</f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 hidden="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f>VLOOKUP(G8122,[1]Astroflores!$G$2:$H$109,2,FALSE)</f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 hidden="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f>VLOOKUP(G8123,[1]Astroflores!$G$2:$H$109,2,FALSE)</f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 hidden="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f>VLOOKUP(G8124,[1]Astroflores!$G$2:$H$109,2,FALSE)</f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 hidden="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f>VLOOKUP(G8125,[1]Astroflores!$G$2:$H$109,2,FALSE)</f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 hidden="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f>VLOOKUP(G8126,[1]Astroflores!$G$2:$H$109,2,FALSE)</f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 hidden="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f>VLOOKUP(G8127,[1]Astroflores!$G$2:$H$109,2,FALSE)</f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 hidden="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f>VLOOKUP(G8128,[1]Astroflores!$G$2:$H$109,2,FALSE)</f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 hidden="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f>VLOOKUP(G8129,[1]Astroflores!$G$2:$H$109,2,FALSE)</f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 hidden="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f>VLOOKUP(G8130,[1]Astroflores!$G$2:$H$109,2,FALSE)</f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 hidden="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f>VLOOKUP(G8131,[1]Astroflores!$G$2:$H$109,2,FALSE)</f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 hidden="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f>VLOOKUP(G8132,[1]Astroflores!$G$2:$H$109,2,FALSE)</f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 hidden="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f>VLOOKUP(G8133,[1]Astroflores!$G$2:$H$109,2,FALSE)</f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 hidden="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f>VLOOKUP(G8134,[1]Astroflores!$G$2:$H$109,2,FALSE)</f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 hidden="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f>VLOOKUP(G8135,[1]Astroflores!$G$2:$H$109,2,FALSE)</f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 hidden="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f>VLOOKUP(G8136,[1]Astroflores!$G$2:$H$109,2,FALSE)</f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 hidden="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f>VLOOKUP(G8137,[1]Astroflores!$G$2:$H$109,2,FALSE)</f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 hidden="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f>VLOOKUP(G8138,[1]Astroflores!$G$2:$H$109,2,FALSE)</f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 hidden="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f>VLOOKUP(G8139,[1]Astroflores!$G$2:$H$109,2,FALSE)</f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 hidden="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f>VLOOKUP(G8140,[1]Astroflores!$G$2:$H$109,2,FALSE)</f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 hidden="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f>VLOOKUP(G8141,[1]Astroflores!$G$2:$H$109,2,FALSE)</f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 hidden="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f>VLOOKUP(G8142,[1]Astroflores!$G$2:$H$109,2,FALSE)</f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 hidden="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f>VLOOKUP(G8143,[1]Astroflores!$G$2:$H$109,2,FALSE)</f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 hidden="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f>VLOOKUP(G8144,[1]Astroflores!$G$2:$H$109,2,FALSE)</f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 hidden="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f>VLOOKUP(G8145,[1]Astroflores!$G$2:$H$109,2,FALSE)</f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 hidden="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f>VLOOKUP(G8146,[1]Astroflores!$G$2:$H$109,2,FALSE)</f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 hidden="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f>VLOOKUP(G8147,[1]Astroflores!$G$2:$H$109,2,FALSE)</f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 hidden="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f>VLOOKUP(G8148,[1]Astroflores!$G$2:$H$109,2,FALSE)</f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 hidden="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f>VLOOKUP(G8149,[1]Astroflores!$G$2:$H$109,2,FALSE)</f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 hidden="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f>VLOOKUP(G8150,[1]Astroflores!$G$2:$H$109,2,FALSE)</f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 hidden="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f>VLOOKUP(G8151,[1]Astroflores!$G$2:$H$109,2,FALSE)</f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 hidden="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f>VLOOKUP(G8152,[1]Astroflores!$G$2:$H$109,2,FALSE)</f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 hidden="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f>VLOOKUP(G8153,[1]Astroflores!$G$2:$H$109,2,FALSE)</f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 hidden="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f>VLOOKUP(G8154,[1]Astroflores!$G$2:$H$109,2,FALSE)</f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 hidden="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f>VLOOKUP(G8155,[1]Astroflores!$G$2:$H$109,2,FALSE)</f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 hidden="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f>VLOOKUP(G8156,[1]Astroflores!$G$2:$H$109,2,FALSE)</f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 hidden="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f>VLOOKUP(G8157,[1]Astroflores!$G$2:$H$109,2,FALSE)</f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 hidden="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f>VLOOKUP(G8158,[1]Astroflores!$G$2:$H$109,2,FALSE)</f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 hidden="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f>VLOOKUP(G8159,[1]Astroflores!$G$2:$H$109,2,FALSE)</f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 hidden="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f>VLOOKUP(G8160,[1]Astroflores!$G$2:$H$109,2,FALSE)</f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 hidden="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f>VLOOKUP(G8161,[1]Astroflores!$G$2:$H$109,2,FALSE)</f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 hidden="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f>VLOOKUP(G8162,[1]Astroflores!$G$2:$H$109,2,FALSE)</f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 hidden="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f>VLOOKUP(G8163,[1]Astroflores!$G$2:$H$109,2,FALSE)</f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 hidden="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f>VLOOKUP(G8164,[1]Astroflores!$G$2:$H$109,2,FALSE)</f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 hidden="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f>VLOOKUP(G8165,[1]Astroflores!$G$2:$H$109,2,FALSE)</f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 hidden="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f>VLOOKUP(G8166,[1]Astroflores!$G$2:$H$109,2,FALSE)</f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 hidden="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f>VLOOKUP(G8167,[1]Astroflores!$G$2:$H$109,2,FALSE)</f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 hidden="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f>VLOOKUP(G8168,[1]Astroflores!$G$2:$H$109,2,FALSE)</f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 hidden="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f>VLOOKUP(G8169,[1]Astroflores!$G$2:$H$109,2,FALSE)</f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 hidden="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f>VLOOKUP(G8170,[1]Astroflores!$G$2:$H$109,2,FALSE)</f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 hidden="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f>VLOOKUP(G8171,[1]Astroflores!$G$2:$H$109,2,FALSE)</f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 hidden="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f>VLOOKUP(G8172,[1]Astroflores!$G$2:$H$109,2,FALSE)</f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 hidden="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f>VLOOKUP(G8173,[1]Astroflores!$G$2:$H$109,2,FALSE)</f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 hidden="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f>VLOOKUP(G8174,[1]Astroflores!$G$2:$H$109,2,FALSE)</f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 hidden="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f>VLOOKUP(G8175,[1]Astroflores!$G$2:$H$109,2,FALSE)</f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 hidden="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f>VLOOKUP(G8176,[2]Astroflores!$G$2:$H$109,2,FALSE)</f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 hidden="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f>VLOOKUP(G8177,[2]Astroflores!$G$2:$H$109,2,FALSE)</f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 hidden="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f>VLOOKUP(G8178,[2]Astroflores!$G$2:$H$109,2,FALSE)</f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 hidden="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f>VLOOKUP(G8179,[2]Astroflores!$G$2:$H$109,2,FALSE)</f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 hidden="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f>VLOOKUP(G8180,[2]Astroflores!$G$2:$H$109,2,FALSE)</f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 hidden="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f>VLOOKUP(G8181,[2]Astroflores!$G$2:$H$109,2,FALSE)</f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 hidden="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f>VLOOKUP(G8182,[2]Astroflores!$G$2:$H$109,2,FALSE)</f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 hidden="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f>VLOOKUP(G8183,[2]Astroflores!$G$2:$H$109,2,FALSE)</f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 hidden="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f>VLOOKUP(G8184,[2]Astroflores!$G$2:$H$109,2,FALSE)</f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 hidden="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f>VLOOKUP(G8185,[2]Astroflores!$G$2:$H$109,2,FALSE)</f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 hidden="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f>VLOOKUP(G8186,[2]Astroflores!$G$2:$H$109,2,FALSE)</f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 hidden="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f>VLOOKUP(G8187,[2]Astroflores!$G$2:$H$109,2,FALSE)</f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 hidden="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f>VLOOKUP(G8188,[2]Astroflores!$G$2:$H$109,2,FALSE)</f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 hidden="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f>VLOOKUP(G8189,[2]Astroflores!$G$2:$H$109,2,FALSE)</f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 hidden="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f>VLOOKUP(G8190,[2]Astroflores!$G$2:$H$109,2,FALSE)</f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 hidden="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f>VLOOKUP(G8191,[2]Astroflores!$G$2:$H$109,2,FALSE)</f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 hidden="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f>VLOOKUP(G8192,[2]Astroflores!$G$2:$H$109,2,FALSE)</f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 hidden="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f>VLOOKUP(G8193,[2]Astroflores!$G$2:$H$109,2,FALSE)</f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 hidden="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f>VLOOKUP(G8194,[2]Astroflores!$G$2:$H$109,2,FALSE)</f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 hidden="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f>VLOOKUP(G8195,[2]Astroflores!$G$2:$H$109,2,FALSE)</f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 hidden="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f>VLOOKUP(G8196,[2]Astroflores!$G$2:$H$109,2,FALSE)</f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 hidden="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f>VLOOKUP(G8197,[2]Astroflores!$G$2:$H$109,2,FALSE)</f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 hidden="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f>VLOOKUP(G8198,[2]Astroflores!$G$2:$H$109,2,FALSE)</f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 hidden="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f>VLOOKUP(G8199,[2]Astroflores!$G$2:$H$109,2,FALSE)</f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 hidden="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f>VLOOKUP(G8200,[2]Astroflores!$G$2:$H$109,2,FALSE)</f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 hidden="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f>VLOOKUP(G8201,[2]Astroflores!$G$2:$H$109,2,FALSE)</f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 hidden="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f>VLOOKUP(G8202,[2]Astroflores!$G$2:$H$109,2,FALSE)</f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 hidden="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f>VLOOKUP(G8203,[2]Astroflores!$G$2:$H$109,2,FALSE)</f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 hidden="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f>VLOOKUP(G8204,[2]Astroflores!$G$2:$H$109,2,FALSE)</f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 hidden="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f>VLOOKUP(G8205,[2]Astroflores!$G$2:$H$109,2,FALSE)</f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 hidden="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f>VLOOKUP(G8206,[2]Astroflores!$G$2:$H$109,2,FALSE)</f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 hidden="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f>VLOOKUP(G8207,[2]Astroflores!$G$2:$H$109,2,FALSE)</f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 hidden="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f>VLOOKUP(G8208,[2]Astroflores!$G$2:$H$109,2,FALSE)</f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 hidden="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f>VLOOKUP(G8209,[2]Astroflores!$G$2:$H$109,2,FALSE)</f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 hidden="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f>VLOOKUP(G8210,[2]Astroflores!$G$2:$H$109,2,FALSE)</f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 hidden="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f>VLOOKUP(G8211,[2]Astroflores!$G$2:$H$109,2,FALSE)</f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 hidden="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f>VLOOKUP(G8212,[2]Astroflores!$G$2:$H$109,2,FALSE)</f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 hidden="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f>VLOOKUP(G8213,[2]Astroflores!$G$2:$H$109,2,FALSE)</f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 hidden="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f>VLOOKUP(G8214,[2]Astroflores!$G$2:$H$109,2,FALSE)</f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 hidden="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f>VLOOKUP(G8215,[2]Astroflores!$G$2:$H$109,2,FALSE)</f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 hidden="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f>VLOOKUP(G8216,[2]Astroflores!$G$2:$H$109,2,FALSE)</f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 hidden="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f>VLOOKUP(G8217,[2]Astroflores!$G$2:$H$109,2,FALSE)</f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 hidden="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f>VLOOKUP(G8218,[2]Astroflores!$G$2:$H$109,2,FALSE)</f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 hidden="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f>VLOOKUP(G8219,[2]Astroflores!$G$2:$H$109,2,FALSE)</f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 hidden="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f>VLOOKUP(G8220,[2]Astroflores!$G$2:$H$109,2,FALSE)</f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 hidden="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f>VLOOKUP(G8221,[2]Astroflores!$G$2:$H$109,2,FALSE)</f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 hidden="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f>VLOOKUP(G8222,[2]Astroflores!$G$2:$H$109,2,FALSE)</f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 hidden="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f>VLOOKUP(G8223,[2]Astroflores!$G$2:$H$109,2,FALSE)</f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 hidden="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f>VLOOKUP(G8224,[2]Astroflores!$G$2:$H$109,2,FALSE)</f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 hidden="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f>VLOOKUP(G8225,[2]Astroflores!$G$2:$H$109,2,FALSE)</f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 hidden="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f>VLOOKUP(G8226,[2]Astroflores!$G$2:$H$109,2,FALSE)</f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 hidden="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f>VLOOKUP(G8227,[2]Astroflores!$G$2:$H$109,2,FALSE)</f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 hidden="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f>VLOOKUP(G8228,[2]Astroflores!$G$2:$H$109,2,FALSE)</f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 hidden="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f>VLOOKUP(G8229,[2]Astroflores!$G$2:$H$109,2,FALSE)</f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 hidden="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f>VLOOKUP(G8230,[2]Astroflores!$G$2:$H$109,2,FALSE)</f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 hidden="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f>VLOOKUP(G8231,[2]Astroflores!$G$2:$H$109,2,FALSE)</f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 hidden="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f>VLOOKUP(G8232,[2]Astroflores!$G$2:$H$109,2,FALSE)</f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 hidden="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f>VLOOKUP(G8233,[2]Astroflores!$G$2:$H$109,2,FALSE)</f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 hidden="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f>VLOOKUP(G8234,[2]Astroflores!$G$2:$H$109,2,FALSE)</f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 hidden="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f>VLOOKUP(G8235,[2]Astroflores!$G$2:$H$109,2,FALSE)</f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 hidden="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f>VLOOKUP(G8236,[2]Astroflores!$G$2:$H$109,2,FALSE)</f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 hidden="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f>VLOOKUP(G8237,[2]Astroflores!$G$2:$H$109,2,FALSE)</f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 hidden="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f>VLOOKUP(G8238,[2]Astroflores!$G$2:$H$109,2,FALSE)</f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 hidden="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f>VLOOKUP(G8239,[2]Astroflores!$G$2:$H$109,2,FALSE)</f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 hidden="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f>VLOOKUP(G8240,[2]Astroflores!$G$2:$H$109,2,FALSE)</f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 hidden="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f>VLOOKUP(G8241,[2]Astroflores!$G$2:$H$109,2,FALSE)</f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 hidden="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f>VLOOKUP(G8242,[2]Astroflores!$G$2:$H$109,2,FALSE)</f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 hidden="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f>VLOOKUP(G8243,[2]Astroflores!$G$2:$H$109,2,FALSE)</f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 hidden="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f>VLOOKUP(G8244,[2]Astroflores!$G$2:$H$109,2,FALSE)</f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 hidden="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f>VLOOKUP(G8245,[2]Astroflores!$G$2:$H$109,2,FALSE)</f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 hidden="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f>VLOOKUP(G8246,[2]Astroflores!$G$2:$H$109,2,FALSE)</f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 hidden="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f>VLOOKUP(G8247,[2]Astroflores!$G$2:$H$109,2,FALSE)</f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 hidden="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f>VLOOKUP(G8248,[2]Astroflores!$G$2:$H$109,2,FALSE)</f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 hidden="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f>VLOOKUP(G8249,[2]Astroflores!$G$2:$H$109,2,FALSE)</f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 hidden="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f>VLOOKUP(G8250,[2]Astroflores!$G$2:$H$109,2,FALSE)</f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 hidden="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f>VLOOKUP(G8251,[2]Astroflores!$G$2:$H$109,2,FALSE)</f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 hidden="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f>VLOOKUP(G8252,[2]Astroflores!$G$2:$H$109,2,FALSE)</f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 hidden="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f>VLOOKUP(G8253,[2]Astroflores!$G$2:$H$109,2,FALSE)</f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 hidden="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f>VLOOKUP(G8254,[2]Astroflores!$G$2:$H$109,2,FALSE)</f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 hidden="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f>VLOOKUP(G8255,[2]Astroflores!$G$2:$H$109,2,FALSE)</f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 hidden="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f>VLOOKUP(G8256,[2]Astroflores!$G$2:$H$109,2,FALSE)</f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 hidden="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f>VLOOKUP(G8257,[2]Astroflores!$G$2:$H$109,2,FALSE)</f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 hidden="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f>VLOOKUP(G8258,[2]Astroflores!$G$2:$H$109,2,FALSE)</f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 hidden="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f>VLOOKUP(G8259,[2]Astroflores!$G$2:$H$109,2,FALSE)</f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 hidden="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f>VLOOKUP(G8260,[2]Astroflores!$G$2:$H$109,2,FALSE)</f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 hidden="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f>VLOOKUP(G8261,[2]Astroflores!$G$2:$H$109,2,FALSE)</f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 hidden="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f>VLOOKUP(G8262,[2]Astroflores!$G$2:$H$109,2,FALSE)</f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 hidden="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f>VLOOKUP(G8263,[2]Astroflores!$G$2:$H$109,2,FALSE)</f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 hidden="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f>VLOOKUP(G8264,[2]Astroflores!$G$2:$H$109,2,FALSE)</f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 hidden="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f>VLOOKUP(G8265,[2]Astroflores!$G$2:$H$109,2,FALSE)</f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 hidden="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f>VLOOKUP(G8266,[2]Astroflores!$G$2:$H$109,2,FALSE)</f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 hidden="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f>VLOOKUP(G8267,[2]Astroflores!$G$2:$H$109,2,FALSE)</f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 hidden="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f>VLOOKUP(G8268,[2]Astroflores!$G$2:$H$109,2,FALSE)</f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 hidden="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f>VLOOKUP(G8269,[2]Astroflores!$G$2:$H$109,2,FALSE)</f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 hidden="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f>VLOOKUP(G8270,[2]Astroflores!$G$2:$H$109,2,FALSE)</f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 hidden="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f>VLOOKUP(G8271,[2]Astroflores!$G$2:$H$109,2,FALSE)</f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 hidden="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f>VLOOKUP(G8272,[2]Astroflores!$G$2:$H$109,2,FALSE)</f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 hidden="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f>VLOOKUP(G8273,[2]Astroflores!$G$2:$H$109,2,FALSE)</f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 hidden="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f>VLOOKUP(G8274,[2]Astroflores!$G$2:$H$109,2,FALSE)</f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 hidden="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f>VLOOKUP(G8275,[2]Astroflores!$G$2:$H$109,2,FALSE)</f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 hidden="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f>VLOOKUP(G8276,[2]Astroflores!$G$2:$H$109,2,FALSE)</f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 hidden="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f>VLOOKUP(G8277,[2]Astroflores!$G$2:$H$109,2,FALSE)</f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 hidden="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f>VLOOKUP(G8278,[2]Astroflores!$G$2:$H$109,2,FALSE)</f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 hidden="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f>VLOOKUP(G8279,[2]Astroflores!$G$2:$H$109,2,FALSE)</f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 hidden="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f>VLOOKUP(G8280,[2]Astroflores!$G$2:$H$109,2,FALSE)</f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 hidden="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f>VLOOKUP(G8281,[3]Astroflores!$G$2:$H$109,2,FALSE)</f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 hidden="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f>VLOOKUP(G8282,[3]Astroflores!$G$2:$H$109,2,FALSE)</f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 hidden="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f>VLOOKUP(G8283,[3]Astroflores!$G$2:$H$109,2,FALSE)</f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 hidden="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f>VLOOKUP(G8284,[3]Astroflores!$G$2:$H$109,2,FALSE)</f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 hidden="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f>VLOOKUP(G8285,[3]Astroflores!$G$2:$H$109,2,FALSE)</f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 hidden="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f>VLOOKUP(G8286,[3]Astroflores!$G$2:$H$109,2,FALSE)</f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 hidden="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f>VLOOKUP(G8287,[3]Astroflores!$G$2:$H$109,2,FALSE)</f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 hidden="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f>VLOOKUP(G8288,[3]Astroflores!$G$2:$H$109,2,FALSE)</f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 hidden="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f>VLOOKUP(G8289,[3]Astroflores!$G$2:$H$109,2,FALSE)</f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 hidden="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f>VLOOKUP(G8290,[3]Astroflores!$G$2:$H$109,2,FALSE)</f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 hidden="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f>VLOOKUP(G8291,[3]Astroflores!$G$2:$H$109,2,FALSE)</f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 hidden="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f>VLOOKUP(G8292,[3]Astroflores!$G$2:$H$109,2,FALSE)</f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 hidden="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f>VLOOKUP(G8293,[3]Astroflores!$G$2:$H$109,2,FALSE)</f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 hidden="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f>VLOOKUP(G8294,[3]Astroflores!$G$2:$H$109,2,FALSE)</f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 hidden="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f>VLOOKUP(G8295,[3]Astroflores!$G$2:$H$109,2,FALSE)</f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 hidden="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f>VLOOKUP(G8296,[3]Astroflores!$G$2:$H$109,2,FALSE)</f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 hidden="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f>VLOOKUP(G8297,[3]Astroflores!$G$2:$H$109,2,FALSE)</f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 hidden="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f>VLOOKUP(G8298,[3]Astroflores!$G$2:$H$109,2,FALSE)</f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 hidden="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f>VLOOKUP(G8299,[3]Astroflores!$G$2:$H$109,2,FALSE)</f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 hidden="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f>VLOOKUP(G8300,[3]Astroflores!$G$2:$H$109,2,FALSE)</f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 hidden="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f>VLOOKUP(G8301,[3]Astroflores!$G$2:$H$109,2,FALSE)</f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 hidden="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f>VLOOKUP(G8302,[3]Astroflores!$G$2:$H$109,2,FALSE)</f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 hidden="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f>VLOOKUP(G8303,[3]Astroflores!$G$2:$H$109,2,FALSE)</f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 hidden="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f>VLOOKUP(G8304,[3]Astroflores!$G$2:$H$109,2,FALSE)</f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 hidden="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f>VLOOKUP(G8305,[3]Astroflores!$G$2:$H$109,2,FALSE)</f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 hidden="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f>VLOOKUP(G8306,[3]Astroflores!$G$2:$H$109,2,FALSE)</f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 hidden="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f>VLOOKUP(G8307,[3]Astroflores!$G$2:$H$109,2,FALSE)</f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 hidden="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f>VLOOKUP(G8308,[3]Astroflores!$G$2:$H$109,2,FALSE)</f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 hidden="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f>VLOOKUP(G8309,[3]Astroflores!$G$2:$H$109,2,FALSE)</f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 hidden="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f>VLOOKUP(G8310,[3]Astroflores!$G$2:$H$109,2,FALSE)</f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 hidden="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f>VLOOKUP(G8311,[3]Astroflores!$G$2:$H$109,2,FALSE)</f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 hidden="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f>VLOOKUP(G8312,[3]Astroflores!$G$2:$H$109,2,FALSE)</f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 hidden="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f>VLOOKUP(G8313,[3]Astroflores!$G$2:$H$109,2,FALSE)</f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 hidden="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f>VLOOKUP(G8314,[3]Astroflores!$G$2:$H$109,2,FALSE)</f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 hidden="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f>VLOOKUP(G8315,[3]Astroflores!$G$2:$H$109,2,FALSE)</f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 hidden="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f>VLOOKUP(G8316,[3]Astroflores!$G$2:$H$109,2,FALSE)</f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 hidden="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f>VLOOKUP(G8317,[3]Astroflores!$G$2:$H$109,2,FALSE)</f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 hidden="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f>VLOOKUP(G8318,[3]Astroflores!$G$2:$H$109,2,FALSE)</f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 hidden="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f>VLOOKUP(G8319,[3]Astroflores!$G$2:$H$109,2,FALSE)</f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 hidden="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f>VLOOKUP(G8320,[3]Astroflores!$G$2:$H$109,2,FALSE)</f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 hidden="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f>VLOOKUP(G8321,[3]Astroflores!$G$2:$H$109,2,FALSE)</f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 hidden="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f>VLOOKUP(G8322,[3]Astroflores!$G$2:$H$109,2,FALSE)</f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 hidden="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f>VLOOKUP(G8323,[3]Astroflores!$G$2:$H$109,2,FALSE)</f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 hidden="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f>VLOOKUP(G8324,[3]Astroflores!$G$2:$H$109,2,FALSE)</f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 hidden="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f>VLOOKUP(G8325,[3]Astroflores!$G$2:$H$109,2,FALSE)</f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 hidden="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f>VLOOKUP(G8326,[3]Astroflores!$G$2:$H$109,2,FALSE)</f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 hidden="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f>VLOOKUP(G8327,[3]Astroflores!$G$2:$H$109,2,FALSE)</f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 hidden="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f>VLOOKUP(G8328,[3]Astroflores!$G$2:$H$109,2,FALSE)</f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 hidden="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f>VLOOKUP(G8329,[3]Astroflores!$G$2:$H$109,2,FALSE)</f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 hidden="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f>VLOOKUP(G8330,[3]Astroflores!$G$2:$H$109,2,FALSE)</f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 hidden="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f>VLOOKUP(G8331,[3]Astroflores!$G$2:$H$109,2,FALSE)</f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 hidden="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f>VLOOKUP(G8332,[3]Astroflores!$G$2:$H$109,2,FALSE)</f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 hidden="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f>VLOOKUP(G8333,[3]Astroflores!$G$2:$H$109,2,FALSE)</f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 hidden="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f>VLOOKUP(G8334,[3]Astroflores!$G$2:$H$109,2,FALSE)</f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 hidden="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f>VLOOKUP(G8335,[3]Astroflores!$G$2:$H$109,2,FALSE)</f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 hidden="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f>VLOOKUP(G8336,[3]Astroflores!$G$2:$H$109,2,FALSE)</f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 hidden="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f>VLOOKUP(G8337,[3]Astroflores!$G$2:$H$109,2,FALSE)</f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 hidden="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f>VLOOKUP(G8338,[3]Astroflores!$G$2:$H$109,2,FALSE)</f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 hidden="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f>VLOOKUP(G8339,[3]Astroflores!$G$2:$H$109,2,FALSE)</f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 hidden="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f>VLOOKUP(G8340,[3]Astroflores!$G$2:$H$109,2,FALSE)</f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 hidden="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f>VLOOKUP(G8341,[3]Astroflores!$G$2:$H$109,2,FALSE)</f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 hidden="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f>VLOOKUP(G8342,[3]Astroflores!$G$2:$H$109,2,FALSE)</f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 hidden="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f>VLOOKUP(G8343,[3]Astroflores!$G$2:$H$109,2,FALSE)</f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 hidden="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f>VLOOKUP(G8344,[3]Astroflores!$G$2:$H$109,2,FALSE)</f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 hidden="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f>VLOOKUP(G8345,[3]Astroflores!$G$2:$H$109,2,FALSE)</f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 hidden="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f>VLOOKUP(G8346,[3]Astroflores!$G$2:$H$109,2,FALSE)</f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 hidden="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f>VLOOKUP(G8347,[3]Astroflores!$G$2:$H$109,2,FALSE)</f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 hidden="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f>VLOOKUP(G8348,[3]Astroflores!$G$2:$H$109,2,FALSE)</f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 hidden="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f>VLOOKUP(G8349,[3]Astroflores!$G$2:$H$109,2,FALSE)</f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 hidden="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f>VLOOKUP(G8350,[3]Astroflores!$G$2:$H$109,2,FALSE)</f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 hidden="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f>VLOOKUP(G8351,[3]Astroflores!$G$2:$H$109,2,FALSE)</f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 hidden="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f>VLOOKUP(G8352,[3]Astroflores!$G$2:$H$109,2,FALSE)</f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 hidden="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f>VLOOKUP(G8353,[3]Astroflores!$G$2:$H$109,2,FALSE)</f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 hidden="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f>VLOOKUP(G8354,[3]Astroflores!$G$2:$H$109,2,FALSE)</f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 hidden="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f>VLOOKUP(G8355,[3]Astroflores!$G$2:$H$109,2,FALSE)</f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 hidden="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f>VLOOKUP(G8356,[3]Astroflores!$G$2:$H$109,2,FALSE)</f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 hidden="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f>VLOOKUP(G8357,[3]Astroflores!$G$2:$H$109,2,FALSE)</f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 hidden="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f>VLOOKUP(G8358,[3]Astroflores!$G$2:$H$109,2,FALSE)</f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 hidden="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f>VLOOKUP(G8359,[3]Astroflores!$G$2:$H$109,2,FALSE)</f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 hidden="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f>VLOOKUP(G8360,[3]Astroflores!$G$2:$H$109,2,FALSE)</f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 hidden="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f>VLOOKUP(G8361,[3]Astroflores!$G$2:$H$109,2,FALSE)</f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 hidden="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f>VLOOKUP(G8362,[3]Astroflores!$G$2:$H$109,2,FALSE)</f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 hidden="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f>VLOOKUP(G8363,[3]Astroflores!$G$2:$H$109,2,FALSE)</f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 hidden="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f>VLOOKUP(G8364,[3]Astroflores!$G$2:$H$109,2,FALSE)</f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 hidden="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f>VLOOKUP(G8365,[3]Astroflores!$G$2:$H$109,2,FALSE)</f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 hidden="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f>VLOOKUP(G8366,[3]Astroflores!$G$2:$H$109,2,FALSE)</f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 hidden="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f>VLOOKUP(G8367,[3]Astroflores!$G$2:$H$109,2,FALSE)</f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 hidden="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f>VLOOKUP(G8368,[3]Astroflores!$G$2:$H$109,2,FALSE)</f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 hidden="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f>VLOOKUP(G8369,[3]Astroflores!$G$2:$H$109,2,FALSE)</f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 hidden="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f>VLOOKUP(G8370,[3]Astroflores!$G$2:$H$109,2,FALSE)</f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 hidden="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f>VLOOKUP(G8371,[3]Astroflores!$G$2:$H$109,2,FALSE)</f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 hidden="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f>VLOOKUP(G8372,[3]Astroflores!$G$2:$H$109,2,FALSE)</f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 hidden="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f>VLOOKUP(G8373,[3]Astroflores!$G$2:$H$109,2,FALSE)</f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 hidden="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f>VLOOKUP(G8374,[3]Astroflores!$G$2:$H$109,2,FALSE)</f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 hidden="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f>VLOOKUP(G8375,[3]Astroflores!$G$2:$H$109,2,FALSE)</f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 hidden="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f>VLOOKUP(G8376,[3]Astroflores!$G$2:$H$109,2,FALSE)</f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 hidden="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f>VLOOKUP(G8377,[3]Astroflores!$G$2:$H$109,2,FALSE)</f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 hidden="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f>VLOOKUP(G8378,[3]Astroflores!$G$2:$H$109,2,FALSE)</f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 hidden="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f>VLOOKUP(G8379,[3]Astroflores!$G$2:$H$109,2,FALSE)</f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 hidden="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f>VLOOKUP(G8380,[3]Astroflores!$G$2:$H$109,2,FALSE)</f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 hidden="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f>VLOOKUP(G8381,[3]Astroflores!$G$2:$H$109,2,FALSE)</f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 hidden="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f>VLOOKUP(G8382,[3]Astroflores!$G$2:$H$109,2,FALSE)</f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 hidden="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f>VLOOKUP(G8383,[3]Astroflores!$G$2:$H$109,2,FALSE)</f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 hidden="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f>VLOOKUP(G8384,[3]Astroflores!$G$2:$H$109,2,FALSE)</f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 hidden="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f>VLOOKUP(G8385,[3]Astroflores!$G$2:$H$109,2,FALSE)</f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 hidden="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f>VLOOKUP(G8386,[4]Astroflores!$G$2:$H$109,2,FALSE)</f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 hidden="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f>VLOOKUP(G8387,[4]Astroflores!$G$2:$H$109,2,FALSE)</f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 hidden="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f>VLOOKUP(G8388,[4]Astroflores!$G$2:$H$109,2,FALSE)</f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 hidden="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f>VLOOKUP(G8389,[4]Astroflores!$G$2:$H$109,2,FALSE)</f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 hidden="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f>VLOOKUP(G8390,[4]Astroflores!$G$2:$H$109,2,FALSE)</f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 hidden="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f>VLOOKUP(G8391,[4]Astroflores!$G$2:$H$109,2,FALSE)</f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 hidden="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f>VLOOKUP(G8392,[4]Astroflores!$G$2:$H$109,2,FALSE)</f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 hidden="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f>VLOOKUP(G8393,[4]Astroflores!$G$2:$H$109,2,FALSE)</f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 hidden="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f>VLOOKUP(G8394,[4]Astroflores!$G$2:$H$109,2,FALSE)</f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 hidden="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f>VLOOKUP(G8395,[4]Astroflores!$G$2:$H$109,2,FALSE)</f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 hidden="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f>VLOOKUP(G8396,[4]Astroflores!$G$2:$H$109,2,FALSE)</f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 hidden="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f>VLOOKUP(G8397,[4]Astroflores!$G$2:$H$109,2,FALSE)</f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 hidden="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f>VLOOKUP(G8398,[4]Astroflores!$G$2:$H$109,2,FALSE)</f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 hidden="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f>VLOOKUP(G8399,[4]Astroflores!$G$2:$H$109,2,FALSE)</f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 hidden="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f>VLOOKUP(G8400,[4]Astroflores!$G$2:$H$109,2,FALSE)</f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 hidden="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f>VLOOKUP(G8401,[4]Astroflores!$G$2:$H$109,2,FALSE)</f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 hidden="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f>VLOOKUP(G8402,[4]Astroflores!$G$2:$H$109,2,FALSE)</f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 hidden="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f>VLOOKUP(G8403,[4]Astroflores!$G$2:$H$109,2,FALSE)</f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 hidden="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f>VLOOKUP(G8404,[4]Astroflores!$G$2:$H$109,2,FALSE)</f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 hidden="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f>VLOOKUP(G8405,[4]Astroflores!$G$2:$H$109,2,FALSE)</f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 hidden="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f>VLOOKUP(G8406,[4]Astroflores!$G$2:$H$109,2,FALSE)</f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 hidden="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f>VLOOKUP(G8407,[4]Astroflores!$G$2:$H$109,2,FALSE)</f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 hidden="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f>VLOOKUP(G8408,[4]Astroflores!$G$2:$H$109,2,FALSE)</f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 hidden="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f>VLOOKUP(G8409,[4]Astroflores!$G$2:$H$109,2,FALSE)</f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 hidden="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f>VLOOKUP(G8410,[4]Astroflores!$G$2:$H$109,2,FALSE)</f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 hidden="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f>VLOOKUP(G8411,[4]Astroflores!$G$2:$H$109,2,FALSE)</f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 hidden="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f>VLOOKUP(G8412,[4]Astroflores!$G$2:$H$109,2,FALSE)</f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 hidden="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f>VLOOKUP(G8413,[4]Astroflores!$G$2:$H$109,2,FALSE)</f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 hidden="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f>VLOOKUP(G8414,[4]Astroflores!$G$2:$H$109,2,FALSE)</f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 hidden="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f>VLOOKUP(G8415,[4]Astroflores!$G$2:$H$109,2,FALSE)</f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 hidden="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f>VLOOKUP(G8416,[4]Astroflores!$G$2:$H$109,2,FALSE)</f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 hidden="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f>VLOOKUP(G8417,[4]Astroflores!$G$2:$H$109,2,FALSE)</f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 hidden="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f>VLOOKUP(G8418,[4]Astroflores!$G$2:$H$109,2,FALSE)</f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 hidden="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f>VLOOKUP(G8419,[4]Astroflores!$G$2:$H$109,2,FALSE)</f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 hidden="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f>VLOOKUP(G8420,[4]Astroflores!$G$2:$H$109,2,FALSE)</f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 hidden="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f>VLOOKUP(G8421,[4]Astroflores!$G$2:$H$109,2,FALSE)</f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 hidden="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f>VLOOKUP(G8422,[4]Astroflores!$G$2:$H$109,2,FALSE)</f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 hidden="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f>VLOOKUP(G8423,[4]Astroflores!$G$2:$H$109,2,FALSE)</f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 hidden="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f>VLOOKUP(G8424,[4]Astroflores!$G$2:$H$109,2,FALSE)</f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 hidden="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f>VLOOKUP(G8425,[4]Astroflores!$G$2:$H$109,2,FALSE)</f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 hidden="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f>VLOOKUP(G8426,[4]Astroflores!$G$2:$H$109,2,FALSE)</f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 hidden="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f>VLOOKUP(G8427,[4]Astroflores!$G$2:$H$109,2,FALSE)</f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 hidden="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f>VLOOKUP(G8428,[4]Astroflores!$G$2:$H$109,2,FALSE)</f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 hidden="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f>VLOOKUP(G8429,[4]Astroflores!$G$2:$H$109,2,FALSE)</f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 hidden="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f>VLOOKUP(G8430,[4]Astroflores!$G$2:$H$109,2,FALSE)</f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 hidden="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f>VLOOKUP(G8431,[4]Astroflores!$G$2:$H$109,2,FALSE)</f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 hidden="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f>VLOOKUP(G8432,[4]Astroflores!$G$2:$H$109,2,FALSE)</f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 hidden="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f>VLOOKUP(G8433,[4]Astroflores!$G$2:$H$109,2,FALSE)</f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 hidden="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f>VLOOKUP(G8434,[4]Astroflores!$G$2:$H$109,2,FALSE)</f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 hidden="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f>VLOOKUP(G8435,[4]Astroflores!$G$2:$H$109,2,FALSE)</f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 hidden="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f>VLOOKUP(G8436,[4]Astroflores!$G$2:$H$109,2,FALSE)</f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 hidden="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f>VLOOKUP(G8437,[4]Astroflores!$G$2:$H$109,2,FALSE)</f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 hidden="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f>VLOOKUP(G8438,[4]Astroflores!$G$2:$H$109,2,FALSE)</f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 hidden="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f>VLOOKUP(G8439,[4]Astroflores!$G$2:$H$109,2,FALSE)</f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 hidden="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f>VLOOKUP(G8440,[4]Astroflores!$G$2:$H$109,2,FALSE)</f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 hidden="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f>VLOOKUP(G8441,[4]Astroflores!$G$2:$H$109,2,FALSE)</f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 hidden="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f>VLOOKUP(G8442,[4]Astroflores!$G$2:$H$109,2,FALSE)</f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 hidden="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f>VLOOKUP(G8443,[4]Astroflores!$G$2:$H$109,2,FALSE)</f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 hidden="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f>VLOOKUP(G8444,[4]Astroflores!$G$2:$H$109,2,FALSE)</f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 hidden="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f>VLOOKUP(G8445,[4]Astroflores!$G$2:$H$109,2,FALSE)</f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 hidden="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f>VLOOKUP(G8446,[4]Astroflores!$G$2:$H$109,2,FALSE)</f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 hidden="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f>VLOOKUP(G8447,[4]Astroflores!$G$2:$H$109,2,FALSE)</f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 hidden="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f>VLOOKUP(G8448,[4]Astroflores!$G$2:$H$109,2,FALSE)</f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 hidden="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f>VLOOKUP(G8449,[4]Astroflores!$G$2:$H$109,2,FALSE)</f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 hidden="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f>VLOOKUP(G8450,[4]Astroflores!$G$2:$H$109,2,FALSE)</f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 hidden="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f>VLOOKUP(G8451,[4]Astroflores!$G$2:$H$109,2,FALSE)</f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 hidden="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f>VLOOKUP(G8452,[4]Astroflores!$G$2:$H$109,2,FALSE)</f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 hidden="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f>VLOOKUP(G8453,[4]Astroflores!$G$2:$H$109,2,FALSE)</f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 hidden="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f>VLOOKUP(G8454,[4]Astroflores!$G$2:$H$109,2,FALSE)</f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 hidden="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f>VLOOKUP(G8455,[4]Astroflores!$G$2:$H$109,2,FALSE)</f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 hidden="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f>VLOOKUP(G8456,[4]Astroflores!$G$2:$H$109,2,FALSE)</f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 hidden="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f>VLOOKUP(G8457,[4]Astroflores!$G$2:$H$109,2,FALSE)</f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 hidden="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f>VLOOKUP(G8458,[4]Astroflores!$G$2:$H$109,2,FALSE)</f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 hidden="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f>VLOOKUP(G8459,[4]Astroflores!$G$2:$H$109,2,FALSE)</f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 hidden="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f>VLOOKUP(G8460,[4]Astroflores!$G$2:$H$109,2,FALSE)</f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 hidden="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f>VLOOKUP(G8461,[4]Astroflores!$G$2:$H$109,2,FALSE)</f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 hidden="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f>VLOOKUP(G8462,[4]Astroflores!$G$2:$H$109,2,FALSE)</f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 hidden="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f>VLOOKUP(G8463,[4]Astroflores!$G$2:$H$109,2,FALSE)</f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 hidden="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f>VLOOKUP(G8464,[4]Astroflores!$G$2:$H$109,2,FALSE)</f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 hidden="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f>VLOOKUP(G8465,[4]Astroflores!$G$2:$H$109,2,FALSE)</f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 hidden="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f>VLOOKUP(G8466,[4]Astroflores!$G$2:$H$109,2,FALSE)</f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 hidden="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f>VLOOKUP(G8467,[4]Astroflores!$G$2:$H$109,2,FALSE)</f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 hidden="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f>VLOOKUP(G8468,[4]Astroflores!$G$2:$H$109,2,FALSE)</f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 hidden="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f>VLOOKUP(G8469,[4]Astroflores!$G$2:$H$109,2,FALSE)</f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 hidden="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f>VLOOKUP(G8470,[4]Astroflores!$G$2:$H$109,2,FALSE)</f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 hidden="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f>VLOOKUP(G8471,[4]Astroflores!$G$2:$H$109,2,FALSE)</f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 hidden="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f>VLOOKUP(G8472,[4]Astroflores!$G$2:$H$109,2,FALSE)</f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 hidden="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f>VLOOKUP(G8473,[4]Astroflores!$G$2:$H$109,2,FALSE)</f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 hidden="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f>VLOOKUP(G8474,[4]Astroflores!$G$2:$H$109,2,FALSE)</f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 hidden="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f>VLOOKUP(G8475,[4]Astroflores!$G$2:$H$109,2,FALSE)</f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 hidden="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f>VLOOKUP(G8476,[4]Astroflores!$G$2:$H$109,2,FALSE)</f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 hidden="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f>VLOOKUP(G8477,[4]Astroflores!$G$2:$H$109,2,FALSE)</f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 hidden="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f>VLOOKUP(G8478,[4]Astroflores!$G$2:$H$109,2,FALSE)</f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 hidden="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f>VLOOKUP(G8479,[4]Astroflores!$G$2:$H$109,2,FALSE)</f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 hidden="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f>VLOOKUP(G8480,[4]Astroflores!$G$2:$H$109,2,FALSE)</f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 hidden="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f>VLOOKUP(G8481,[4]Astroflores!$G$2:$H$109,2,FALSE)</f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 hidden="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f>VLOOKUP(G8482,[4]Astroflores!$G$2:$H$109,2,FALSE)</f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 hidden="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f>VLOOKUP(G8483,[4]Astroflores!$G$2:$H$109,2,FALSE)</f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 hidden="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f>VLOOKUP(G8484,[4]Astroflores!$G$2:$H$109,2,FALSE)</f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 hidden="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f>VLOOKUP(G8485,[4]Astroflores!$G$2:$H$109,2,FALSE)</f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 hidden="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f>VLOOKUP(G8486,[4]Astroflores!$G$2:$H$109,2,FALSE)</f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 hidden="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f>VLOOKUP(G8487,[4]Astroflores!$G$2:$H$109,2,FALSE)</f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 hidden="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f>VLOOKUP(G8488,[4]Astroflores!$G$2:$H$109,2,FALSE)</f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 hidden="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f>VLOOKUP(G8489,[4]Astroflores!$G$2:$H$109,2,FALSE)</f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 hidden="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f>VLOOKUP(G8490,[4]Astroflores!$G$2:$H$109,2,FALSE)</f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 hidden="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f>VLOOKUP(G8491,[4]Astroflores!$G$2:$H$109,2,FALSE)</f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 hidden="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7">
        <f>VLOOKUP(G8492,[5]Astroflores!$G$2:$H$110,2,FALSE)</f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 hidden="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7">
        <f>VLOOKUP(G8493,[5]Astroflores!$G$2:$H$110,2,FALSE)</f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 hidden="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7">
        <f>VLOOKUP(G8494,[5]Astroflores!$G$2:$H$110,2,FALSE)</f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 hidden="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7">
        <f>VLOOKUP(G8495,[5]Astroflores!$G$2:$H$110,2,FALSE)</f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 hidden="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7">
        <f>VLOOKUP(G8496,[5]Astroflores!$G$2:$H$110,2,FALSE)</f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 hidden="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7">
        <f>VLOOKUP(G8497,[5]Astroflores!$G$2:$H$110,2,FALSE)</f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 hidden="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7">
        <f>VLOOKUP(G8498,[5]Astroflores!$G$2:$H$110,2,FALSE)</f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 hidden="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7">
        <f>VLOOKUP(G8499,[5]Astroflores!$G$2:$H$110,2,FALSE)</f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 hidden="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7">
        <f>VLOOKUP(G8500,[5]Astroflores!$G$2:$H$110,2,FALSE)</f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 hidden="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7">
        <f>VLOOKUP(G8501,[5]Astroflores!$G$2:$H$110,2,FALSE)</f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 hidden="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7">
        <f>VLOOKUP(G8502,[5]Astroflores!$G$2:$H$110,2,FALSE)</f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 hidden="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7">
        <f>VLOOKUP(G8503,[5]Astroflores!$G$2:$H$110,2,FALSE)</f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 hidden="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7">
        <f>VLOOKUP(G8504,[5]Astroflores!$G$2:$H$110,2,FALSE)</f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 hidden="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7">
        <f>VLOOKUP(G8505,[5]Astroflores!$G$2:$H$110,2,FALSE)</f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 hidden="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7">
        <f>VLOOKUP(G8506,[5]Astroflores!$G$2:$H$110,2,FALSE)</f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 hidden="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7">
        <f>VLOOKUP(G8507,[5]Astroflores!$G$2:$H$110,2,FALSE)</f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 hidden="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7">
        <f>VLOOKUP(G8508,[5]Astroflores!$G$2:$H$110,2,FALSE)</f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 hidden="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7">
        <f>VLOOKUP(G8509,[5]Astroflores!$G$2:$H$110,2,FALSE)</f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 hidden="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7">
        <f>VLOOKUP(G8510,[5]Astroflores!$G$2:$H$110,2,FALSE)</f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 hidden="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7">
        <f>VLOOKUP(G8511,[5]Astroflores!$G$2:$H$110,2,FALSE)</f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 hidden="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7">
        <f>VLOOKUP(G8512,[5]Astroflores!$G$2:$H$110,2,FALSE)</f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 hidden="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7">
        <f>VLOOKUP(G8513,[5]Astroflores!$G$2:$H$110,2,FALSE)</f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 hidden="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7">
        <f>VLOOKUP(G8514,[5]Astroflores!$G$2:$H$110,2,FALSE)</f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 hidden="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7">
        <f>VLOOKUP(G8515,[5]Astroflores!$G$2:$H$110,2,FALSE)</f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 hidden="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7" t="e">
        <f>VLOOKUP(G8516,[5]Astroflores!$G$2:$H$110,2,FALSE)</f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 hidden="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7">
        <f>VLOOKUP(G8517,[5]Astroflores!$G$2:$H$110,2,FALSE)</f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 hidden="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7">
        <f>VLOOKUP(G8518,[5]Astroflores!$G$2:$H$110,2,FALSE)</f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 hidden="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7">
        <f>VLOOKUP(G8519,[5]Astroflores!$G$2:$H$110,2,FALSE)</f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 hidden="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7">
        <f>VLOOKUP(G8520,[5]Astroflores!$G$2:$H$110,2,FALSE)</f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 hidden="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7">
        <f>VLOOKUP(G8521,[5]Astroflores!$G$2:$H$110,2,FALSE)</f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 hidden="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7">
        <f>VLOOKUP(G8522,[5]Astroflores!$G$2:$H$110,2,FALSE)</f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 hidden="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7">
        <f>VLOOKUP(G8523,[5]Astroflores!$G$2:$H$110,2,FALSE)</f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 hidden="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7">
        <f>VLOOKUP(G8524,[5]Astroflores!$G$2:$H$110,2,FALSE)</f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 hidden="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7">
        <f>VLOOKUP(G8525,[5]Astroflores!$G$2:$H$110,2,FALSE)</f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 hidden="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7">
        <f>VLOOKUP(G8526,[5]Astroflores!$G$2:$H$110,2,FALSE)</f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 hidden="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7">
        <f>VLOOKUP(G8527,[5]Astroflores!$G$2:$H$110,2,FALSE)</f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 hidden="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7">
        <f>VLOOKUP(G8528,[5]Astroflores!$G$2:$H$110,2,FALSE)</f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 hidden="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7">
        <f>VLOOKUP(G8529,[5]Astroflores!$G$2:$H$110,2,FALSE)</f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 hidden="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7">
        <f>VLOOKUP(G8530,[5]Astroflores!$G$2:$H$110,2,FALSE)</f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 hidden="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7">
        <f>VLOOKUP(G8531,[5]Astroflores!$G$2:$H$110,2,FALSE)</f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 hidden="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7">
        <f>VLOOKUP(G8532,[5]Astroflores!$G$2:$H$110,2,FALSE)</f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 hidden="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7">
        <f>VLOOKUP(G8533,[5]Astroflores!$G$2:$H$110,2,FALSE)</f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 hidden="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7">
        <f>VLOOKUP(G8534,[5]Astroflores!$G$2:$H$110,2,FALSE)</f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 hidden="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7">
        <f>VLOOKUP(G8535,[5]Astroflores!$G$2:$H$110,2,FALSE)</f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 hidden="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7">
        <f>VLOOKUP(G8536,[5]Astroflores!$G$2:$H$110,2,FALSE)</f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 hidden="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7">
        <f>VLOOKUP(G8537,[5]Astroflores!$G$2:$H$110,2,FALSE)</f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 hidden="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7">
        <f>VLOOKUP(G8538,[5]Astroflores!$G$2:$H$110,2,FALSE)</f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 hidden="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7">
        <f>VLOOKUP(G8539,[5]Astroflores!$G$2:$H$110,2,FALSE)</f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 hidden="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7">
        <f>VLOOKUP(G8540,[5]Astroflores!$G$2:$H$110,2,FALSE)</f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 hidden="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7">
        <f>VLOOKUP(G8541,[5]Astroflores!$G$2:$H$110,2,FALSE)</f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 hidden="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7">
        <f>VLOOKUP(G8542,[5]Astroflores!$G$2:$H$110,2,FALSE)</f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 hidden="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7">
        <f>VLOOKUP(G8543,[5]Astroflores!$G$2:$H$110,2,FALSE)</f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 hidden="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7">
        <f>VLOOKUP(G8544,[5]Astroflores!$G$2:$H$110,2,FALSE)</f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 hidden="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7">
        <f>VLOOKUP(G8545,[5]Astroflores!$G$2:$H$110,2,FALSE)</f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 hidden="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7">
        <f>VLOOKUP(G8546,[5]Astroflores!$G$2:$H$110,2,FALSE)</f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 hidden="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7">
        <f>VLOOKUP(G8547,[5]Astroflores!$G$2:$H$110,2,FALSE)</f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 hidden="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7">
        <f>VLOOKUP(G8548,[5]Astroflores!$G$2:$H$110,2,FALSE)</f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 hidden="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7">
        <f>VLOOKUP(G8549,[5]Astroflores!$G$2:$H$110,2,FALSE)</f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 hidden="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7">
        <f>VLOOKUP(G8550,[5]Astroflores!$G$2:$H$110,2,FALSE)</f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 hidden="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7">
        <f>VLOOKUP(G8551,[5]Astroflores!$G$2:$H$110,2,FALSE)</f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 hidden="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7">
        <f>VLOOKUP(G8552,[5]Astroflores!$G$2:$H$110,2,FALSE)</f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 hidden="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7">
        <f>VLOOKUP(G8553,[5]Astroflores!$G$2:$H$110,2,FALSE)</f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 hidden="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7">
        <f>VLOOKUP(G8554,[5]Astroflores!$G$2:$H$110,2,FALSE)</f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 hidden="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7">
        <f>VLOOKUP(G8555,[5]Astroflores!$G$2:$H$110,2,FALSE)</f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 hidden="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7">
        <f>VLOOKUP(G8556,[5]Astroflores!$G$2:$H$110,2,FALSE)</f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 hidden="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7">
        <f>VLOOKUP(G8557,[5]Astroflores!$G$2:$H$110,2,FALSE)</f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 hidden="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7">
        <f>VLOOKUP(G8558,[5]Astroflores!$G$2:$H$110,2,FALSE)</f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 hidden="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7">
        <f>VLOOKUP(G8559,[5]Astroflores!$G$2:$H$110,2,FALSE)</f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 hidden="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7">
        <f>VLOOKUP(G8560,[5]Astroflores!$G$2:$H$110,2,FALSE)</f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 hidden="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7">
        <f>VLOOKUP(G8561,[5]Astroflores!$G$2:$H$110,2,FALSE)</f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 hidden="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7">
        <f>VLOOKUP(G8562,[5]Astroflores!$G$2:$H$110,2,FALSE)</f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 hidden="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7">
        <f>VLOOKUP(G8563,[5]Astroflores!$G$2:$H$110,2,FALSE)</f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 hidden="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7">
        <f>VLOOKUP(G8564,[5]Astroflores!$G$2:$H$110,2,FALSE)</f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 hidden="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7">
        <f>VLOOKUP(G8565,[5]Astroflores!$G$2:$H$110,2,FALSE)</f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 hidden="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7">
        <f>VLOOKUP(G8566,[5]Astroflores!$G$2:$H$110,2,FALSE)</f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 hidden="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7">
        <f>VLOOKUP(G8567,[5]Astroflores!$G$2:$H$110,2,FALSE)</f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 hidden="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7">
        <f>VLOOKUP(G8568,[5]Astroflores!$G$2:$H$110,2,FALSE)</f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 hidden="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7">
        <f>VLOOKUP(G8569,[5]Astroflores!$G$2:$H$110,2,FALSE)</f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 hidden="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7">
        <f>VLOOKUP(G8570,[5]Astroflores!$G$2:$H$110,2,FALSE)</f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 hidden="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7">
        <f>VLOOKUP(G8571,[5]Astroflores!$G$2:$H$110,2,FALSE)</f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 hidden="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7">
        <f>VLOOKUP(G8572,[5]Astroflores!$G$2:$H$110,2,FALSE)</f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 hidden="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7">
        <f>VLOOKUP(G8573,[5]Astroflores!$G$2:$H$110,2,FALSE)</f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 hidden="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7">
        <f>VLOOKUP(G8574,[5]Astroflores!$G$2:$H$110,2,FALSE)</f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 hidden="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7">
        <f>VLOOKUP(G8575,[5]Astroflores!$G$2:$H$110,2,FALSE)</f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 hidden="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7">
        <f>VLOOKUP(G8576,[5]Astroflores!$G$2:$H$110,2,FALSE)</f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 hidden="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7">
        <f>VLOOKUP(G8577,[5]Astroflores!$G$2:$H$110,2,FALSE)</f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 hidden="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7">
        <f>VLOOKUP(G8578,[5]Astroflores!$G$2:$H$110,2,FALSE)</f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 hidden="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7">
        <f>VLOOKUP(G8579,[5]Astroflores!$G$2:$H$110,2,FALSE)</f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 hidden="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7">
        <f>VLOOKUP(G8580,[5]Astroflores!$G$2:$H$110,2,FALSE)</f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 hidden="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7">
        <f>VLOOKUP(G8581,[5]Astroflores!$G$2:$H$110,2,FALSE)</f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 hidden="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7">
        <f>VLOOKUP(G8582,[5]Astroflores!$G$2:$H$110,2,FALSE)</f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 hidden="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7">
        <f>VLOOKUP(G8583,[5]Astroflores!$G$2:$H$110,2,FALSE)</f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 hidden="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7">
        <f>VLOOKUP(G8584,[5]Astroflores!$G$2:$H$110,2,FALSE)</f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 hidden="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7">
        <f>VLOOKUP(G8585,[5]Astroflores!$G$2:$H$110,2,FALSE)</f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 hidden="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7">
        <f>VLOOKUP(G8586,[5]Astroflores!$G$2:$H$110,2,FALSE)</f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 hidden="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7">
        <f>VLOOKUP(G8587,[5]Astroflores!$G$2:$H$110,2,FALSE)</f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 hidden="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7">
        <f>VLOOKUP(G8588,[5]Astroflores!$G$2:$H$110,2,FALSE)</f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 hidden="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7">
        <f>VLOOKUP(G8589,[5]Astroflores!$G$2:$H$110,2,FALSE)</f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 hidden="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7">
        <f>VLOOKUP(G8590,[5]Astroflores!$G$2:$H$110,2,FALSE)</f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 hidden="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7">
        <f>VLOOKUP(G8591,[5]Astroflores!$G$2:$H$110,2,FALSE)</f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 hidden="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7">
        <f>VLOOKUP(G8592,[5]Astroflores!$G$2:$H$110,2,FALSE)</f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 hidden="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7">
        <f>VLOOKUP(G8593,[5]Astroflores!$G$2:$H$110,2,FALSE)</f>
        <v>4590</v>
      </c>
      <c r="I8593" s="6">
        <v>2633.1</v>
      </c>
      <c r="J8593" s="5">
        <v>19200</v>
      </c>
      <c r="K8593" s="6">
        <f t="shared" ref="K8593:K8631" si="352">+H8593/I8593</f>
        <v>1.7431924347727015</v>
      </c>
    </row>
    <row r="8594" spans="1:11" hidden="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7">
        <f>VLOOKUP(G8594,[5]Astroflores!$G$2:$H$110,2,FALSE)</f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 hidden="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7">
        <f>VLOOKUP(G8595,[5]Astroflores!$G$2:$H$110,2,FALSE)</f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 hidden="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7">
        <f>VLOOKUP(G8596,[5]Astroflores!$G$2:$H$110,2,FALSE)</f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 hidden="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7">
        <f>VLOOKUP(G8597,[5]Astroflores!$G$2:$H$110,2,FALSE)</f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 hidden="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f>VLOOKUP(G8598,[6]Astroflores!$G$2:$H$110,2,FALSE)</f>
        <v>8440</v>
      </c>
      <c r="I8598" s="6">
        <v>4121.4642855494085</v>
      </c>
      <c r="J8598" s="5">
        <v>31200</v>
      </c>
      <c r="K8598" s="6">
        <f t="shared" si="352"/>
        <v>2.0478158768940813</v>
      </c>
    </row>
    <row r="8599" spans="1:11" hidden="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f>VLOOKUP(G8599,[6]Astroflores!$G$2:$H$110,2,FALSE)</f>
        <v>1965</v>
      </c>
      <c r="I8599" s="6">
        <v>1056.7857142434418</v>
      </c>
      <c r="J8599" s="5">
        <v>8000</v>
      </c>
      <c r="K8599" s="6">
        <f t="shared" si="352"/>
        <v>1.859411963575561</v>
      </c>
    </row>
    <row r="8600" spans="1:11" hidden="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f>VLOOKUP(G8600,[6]Astroflores!$G$2:$H$110,2,FALSE)</f>
        <v>5700</v>
      </c>
      <c r="I8600" s="6">
        <v>2641.9642856076484</v>
      </c>
      <c r="J8600" s="5">
        <v>19996</v>
      </c>
      <c r="K8600" s="6">
        <f t="shared" si="352"/>
        <v>2.1574856371266229</v>
      </c>
    </row>
    <row r="8601" spans="1:11" hidden="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f>VLOOKUP(G8601,[6]Astroflores!$G$2:$H$110,2,FALSE)</f>
        <v>1080</v>
      </c>
      <c r="I8601" s="6">
        <v>528.39285712153003</v>
      </c>
      <c r="J8601" s="5">
        <v>4000</v>
      </c>
      <c r="K8601" s="6">
        <f t="shared" si="352"/>
        <v>2.0439337614883781</v>
      </c>
    </row>
    <row r="8602" spans="1:11" hidden="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f>VLOOKUP(G8602,[6]Astroflores!$G$2:$H$110,2,FALSE)</f>
        <v>3090</v>
      </c>
      <c r="I8602" s="6">
        <v>1902.2142856375078</v>
      </c>
      <c r="J8602" s="5">
        <v>14400</v>
      </c>
      <c r="K8602" s="6">
        <f t="shared" si="352"/>
        <v>1.6244226653804241</v>
      </c>
    </row>
    <row r="8603" spans="1:11" hidden="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f>VLOOKUP(G8603,[6]Astroflores!$G$2:$H$110,2,FALSE)</f>
        <v>1580</v>
      </c>
      <c r="I8603" s="6">
        <v>634.05652706821195</v>
      </c>
      <c r="J8603" s="5">
        <v>4800</v>
      </c>
      <c r="K8603" s="6">
        <f t="shared" si="352"/>
        <v>2.4918913890938041</v>
      </c>
    </row>
    <row r="8604" spans="1:11" hidden="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f>VLOOKUP(G8604,[6]Astroflores!$G$2:$H$110,2,FALSE)</f>
        <v>7400</v>
      </c>
      <c r="I8604" s="6">
        <v>4487.9999999102474</v>
      </c>
      <c r="J8604" s="5">
        <v>31740</v>
      </c>
      <c r="K8604" s="6">
        <f t="shared" si="352"/>
        <v>1.6488413547566818</v>
      </c>
    </row>
    <row r="8605" spans="1:11" hidden="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f>VLOOKUP(G8605,[6]Astroflores!$G$2:$H$110,2,FALSE)</f>
        <v>4425</v>
      </c>
      <c r="I8605" s="6">
        <v>1702.8</v>
      </c>
      <c r="J8605" s="5">
        <v>12900</v>
      </c>
      <c r="K8605" s="6">
        <f t="shared" si="352"/>
        <v>2.598661028893587</v>
      </c>
    </row>
    <row r="8606" spans="1:11" hidden="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f>VLOOKUP(G8606,[6]Astroflores!$G$2:$H$110,2,FALSE)</f>
        <v>7680</v>
      </c>
      <c r="I8606" s="6">
        <v>3009.6</v>
      </c>
      <c r="J8606" s="5">
        <v>22800</v>
      </c>
      <c r="K8606" s="6">
        <f t="shared" si="352"/>
        <v>2.5518341307814993</v>
      </c>
    </row>
    <row r="8607" spans="1:11" hidden="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f>VLOOKUP(G8607,[6]Astroflores!$G$2:$H$110,2,FALSE)</f>
        <v>3360</v>
      </c>
      <c r="I8607" s="6">
        <v>1386</v>
      </c>
      <c r="J8607" s="5">
        <v>10500</v>
      </c>
      <c r="K8607" s="6">
        <f t="shared" si="352"/>
        <v>2.4242424242424243</v>
      </c>
    </row>
    <row r="8608" spans="1:11" hidden="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f>VLOOKUP(G8608,[6]Astroflores!$G$2:$H$110,2,FALSE)</f>
        <v>4680</v>
      </c>
      <c r="I8608" s="6">
        <v>1386</v>
      </c>
      <c r="J8608" s="5">
        <v>10500</v>
      </c>
      <c r="K8608" s="6">
        <f t="shared" si="352"/>
        <v>3.3766233766233764</v>
      </c>
    </row>
    <row r="8609" spans="1:11" hidden="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f>VLOOKUP(G8609,[6]Astroflores!$G$2:$H$110,2,FALSE)</f>
        <v>1800</v>
      </c>
      <c r="I8609" s="6">
        <v>1029.5999999999999</v>
      </c>
      <c r="J8609" s="5">
        <v>7800</v>
      </c>
      <c r="K8609" s="6">
        <f t="shared" si="352"/>
        <v>1.7482517482517483</v>
      </c>
    </row>
    <row r="8610" spans="1:11" hidden="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f>VLOOKUP(G8610,[6]Astroflores!$G$2:$H$110,2,FALSE)</f>
        <v>5275</v>
      </c>
      <c r="I8610" s="6">
        <v>2653.2</v>
      </c>
      <c r="J8610" s="5">
        <v>20100</v>
      </c>
      <c r="K8610" s="6">
        <f t="shared" si="352"/>
        <v>1.9881652344338914</v>
      </c>
    </row>
    <row r="8611" spans="1:11" hidden="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f>VLOOKUP(G8611,[6]Astroflores!$G$2:$H$110,2,FALSE)</f>
        <v>3540</v>
      </c>
      <c r="I8611" s="6">
        <v>1768.8</v>
      </c>
      <c r="J8611" s="5">
        <v>13400</v>
      </c>
      <c r="K8611" s="6">
        <f t="shared" si="352"/>
        <v>2.0013568521031209</v>
      </c>
    </row>
    <row r="8612" spans="1:11" hidden="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f>VLOOKUP(G8612,[6]Astroflores!$G$2:$H$110,2,FALSE)</f>
        <v>1740</v>
      </c>
      <c r="I8612" s="6">
        <v>1029.5999999999999</v>
      </c>
      <c r="J8612" s="5">
        <v>7800</v>
      </c>
      <c r="K8612" s="6">
        <f t="shared" si="352"/>
        <v>1.6899766899766901</v>
      </c>
    </row>
    <row r="8613" spans="1:11" hidden="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f>VLOOKUP(G8613,[6]Astroflores!$G$2:$H$110,2,FALSE)</f>
        <v>3675</v>
      </c>
      <c r="I8613" s="6">
        <v>1346.4</v>
      </c>
      <c r="J8613" s="5">
        <v>10200</v>
      </c>
      <c r="K8613" s="6">
        <f t="shared" si="352"/>
        <v>2.7295008912655971</v>
      </c>
    </row>
    <row r="8614" spans="1:11" hidden="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f>VLOOKUP(G8614,[6]Astroflores!$G$2:$H$110,2,FALSE)</f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 hidden="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f>VLOOKUP(G8615,[6]Astroflores!$G$2:$H$110,2,FALSE)</f>
        <v>1450</v>
      </c>
      <c r="I8615" s="6">
        <v>880.38</v>
      </c>
      <c r="J8615" s="5">
        <v>6400</v>
      </c>
      <c r="K8615" s="6">
        <f t="shared" si="352"/>
        <v>1.6470160612462801</v>
      </c>
    </row>
    <row r="8616" spans="1:11" hidden="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f>VLOOKUP(G8616,[6]Astroflores!$G$2:$H$110,2,FALSE)</f>
        <v>450</v>
      </c>
      <c r="I8616" s="6">
        <v>330.14249999999998</v>
      </c>
      <c r="J8616" s="5">
        <v>2400</v>
      </c>
      <c r="K8616" s="6">
        <f t="shared" si="352"/>
        <v>1.3630477748245076</v>
      </c>
    </row>
    <row r="8617" spans="1:11" hidden="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f>VLOOKUP(G8617,[6]Astroflores!$G$2:$H$110,2,FALSE)</f>
        <v>700</v>
      </c>
      <c r="I8617" s="6">
        <v>1650.7125000000001</v>
      </c>
      <c r="J8617" s="5">
        <v>12000</v>
      </c>
      <c r="K8617" s="6">
        <f t="shared" si="352"/>
        <v>0.42405930772318012</v>
      </c>
    </row>
    <row r="8618" spans="1:11" hidden="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f>VLOOKUP(G8618,[6]Astroflores!$G$2:$H$110,2,FALSE)</f>
        <v>2440</v>
      </c>
      <c r="I8618" s="6">
        <v>1287.0000000000018</v>
      </c>
      <c r="J8618" s="5">
        <v>9400</v>
      </c>
      <c r="K8618" s="6">
        <f t="shared" si="352"/>
        <v>1.8958818958818933</v>
      </c>
    </row>
    <row r="8619" spans="1:11" hidden="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f>VLOOKUP(G8619,[6]Astroflores!$G$2:$H$110,2,FALSE)</f>
        <v>4650</v>
      </c>
      <c r="I8619" s="6">
        <v>2641.14</v>
      </c>
      <c r="J8619" s="5">
        <v>19200</v>
      </c>
      <c r="K8619" s="6">
        <f t="shared" si="352"/>
        <v>1.760603375814989</v>
      </c>
    </row>
    <row r="8620" spans="1:11" hidden="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f>VLOOKUP(G8620,[6]Astroflores!$G$2:$H$110,2,FALSE)</f>
        <v>2070</v>
      </c>
      <c r="I8620" s="6">
        <v>880.38</v>
      </c>
      <c r="J8620" s="5">
        <v>6400</v>
      </c>
      <c r="K8620" s="6">
        <f t="shared" si="352"/>
        <v>2.3512574115722757</v>
      </c>
    </row>
    <row r="8621" spans="1:11" hidden="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8" si="353">+E8621&amp;F8621</f>
        <v>022MIRABEL</v>
      </c>
      <c r="H8621" s="5">
        <f>VLOOKUP(G8621,[6]Astroflores!$G$2:$H$110,2,FALSE)</f>
        <v>2180</v>
      </c>
      <c r="I8621" s="6">
        <v>880.38</v>
      </c>
      <c r="J8621" s="5">
        <v>6400</v>
      </c>
      <c r="K8621" s="6">
        <f t="shared" si="352"/>
        <v>2.4762034575978555</v>
      </c>
    </row>
    <row r="8622" spans="1:11" hidden="1">
      <c r="A8622" s="4">
        <v>2026</v>
      </c>
      <c r="B8622">
        <v>28</v>
      </c>
      <c r="C8622" t="s">
        <v>10</v>
      </c>
      <c r="D8622" t="s">
        <v>11</v>
      </c>
      <c r="E8622" t="s">
        <v>47</v>
      </c>
      <c r="F8622" t="s">
        <v>44</v>
      </c>
      <c r="G8622" t="str">
        <f t="shared" si="353"/>
        <v>030MIRABEL</v>
      </c>
      <c r="H8622" s="5">
        <f>VLOOKUP(G8622,[6]Astroflores!$G$2:$H$110,2,FALSE)</f>
        <v>4980</v>
      </c>
      <c r="I8622" s="6">
        <v>2413.6749943750001</v>
      </c>
      <c r="J8622" s="5">
        <v>17600</v>
      </c>
      <c r="K8622" s="6">
        <f t="shared" si="352"/>
        <v>2.0632438135232567</v>
      </c>
    </row>
    <row r="8623" spans="1:11" hidden="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13</v>
      </c>
      <c r="G8623" t="str">
        <f t="shared" si="353"/>
        <v>030SOMERSET</v>
      </c>
      <c r="H8623" s="5">
        <f>VLOOKUP(G8623,[6]Astroflores!$G$2:$H$110,2,FALSE)</f>
        <v>4000</v>
      </c>
      <c r="I8623" s="6">
        <v>1645.6875</v>
      </c>
      <c r="J8623" s="5">
        <v>12000</v>
      </c>
      <c r="K8623" s="6">
        <f t="shared" si="352"/>
        <v>2.4305951160229387</v>
      </c>
    </row>
    <row r="8624" spans="1:11" hidden="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49</v>
      </c>
      <c r="G8624" t="str">
        <f t="shared" si="353"/>
        <v>03182989</v>
      </c>
      <c r="H8624" s="5">
        <f>VLOOKUP(G8624,[6]Astroflores!$G$2:$H$110,2,FALSE)</f>
        <v>780</v>
      </c>
      <c r="I8624" s="6">
        <v>726.32013058333712</v>
      </c>
      <c r="J8624" s="5">
        <v>5712</v>
      </c>
      <c r="K8624" s="6">
        <f t="shared" si="352"/>
        <v>1.0739066248563844</v>
      </c>
    </row>
    <row r="8625" spans="1:11" hidden="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34</v>
      </c>
      <c r="G8625" t="str">
        <f t="shared" si="353"/>
        <v>031RUBICON</v>
      </c>
      <c r="H8625" s="5">
        <f>VLOOKUP(G8625,[6]Astroflores!$G$2:$H$110,2,FALSE)</f>
        <v>2700</v>
      </c>
      <c r="I8625" s="6">
        <v>924.39958333667107</v>
      </c>
      <c r="J8625" s="5">
        <v>6720</v>
      </c>
      <c r="K8625" s="6">
        <f t="shared" si="352"/>
        <v>2.9208148171748429</v>
      </c>
    </row>
    <row r="8626" spans="1:11" hidden="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13</v>
      </c>
      <c r="G8626" t="str">
        <f t="shared" si="353"/>
        <v>031SOMERSET</v>
      </c>
      <c r="H8626" s="5">
        <f>VLOOKUP(G8626,[6]Astroflores!$G$2:$H$110,2,FALSE)</f>
        <v>960</v>
      </c>
      <c r="I8626" s="6">
        <v>1122.485208333339</v>
      </c>
      <c r="J8626" s="5">
        <v>8160</v>
      </c>
      <c r="K8626" s="6">
        <f t="shared" si="352"/>
        <v>0.8552451229405541</v>
      </c>
    </row>
    <row r="8627" spans="1:11" hidden="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50</v>
      </c>
      <c r="G8627" t="str">
        <f t="shared" si="353"/>
        <v>031VELVET BLOSSOMS</v>
      </c>
      <c r="H8627" s="5">
        <f>VLOOKUP(G8627,[6]Astroflores!$G$2:$H$110,2,FALSE)</f>
        <v>760</v>
      </c>
      <c r="I8627" s="6">
        <v>396.17125000000198</v>
      </c>
      <c r="J8627" s="5">
        <v>2880</v>
      </c>
      <c r="K8627" s="6">
        <f t="shared" si="352"/>
        <v>1.9183623243736041</v>
      </c>
    </row>
    <row r="8628" spans="1:11" hidden="1">
      <c r="A8628" s="4">
        <v>2026</v>
      </c>
      <c r="B8628">
        <v>28</v>
      </c>
      <c r="C8628" t="s">
        <v>10</v>
      </c>
      <c r="D8628" t="s">
        <v>11</v>
      </c>
      <c r="E8628" t="s">
        <v>51</v>
      </c>
      <c r="F8628" t="s">
        <v>17</v>
      </c>
      <c r="G8628" t="str">
        <f t="shared" si="353"/>
        <v>032ELBA</v>
      </c>
      <c r="H8628" s="5">
        <f>VLOOKUP(G8628,[6]Astroflores!$G$2:$H$110,2,FALSE)</f>
        <v>3090</v>
      </c>
      <c r="I8628" s="6">
        <v>1535.9749999999999</v>
      </c>
      <c r="J8628" s="5">
        <v>11200</v>
      </c>
      <c r="K8628" s="6">
        <f t="shared" si="352"/>
        <v>2.0117514933511287</v>
      </c>
    </row>
    <row r="8629" spans="1:11" hidden="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44</v>
      </c>
      <c r="G8629" t="str">
        <f t="shared" si="353"/>
        <v>032MIRABEL</v>
      </c>
      <c r="H8629" s="5">
        <f>VLOOKUP(G8629,[6]Astroflores!$G$2:$H$110,2,FALSE)</f>
        <v>1880</v>
      </c>
      <c r="I8629" s="6">
        <v>1535.9749999999999</v>
      </c>
      <c r="J8629" s="5">
        <v>11200</v>
      </c>
      <c r="K8629" s="6">
        <f t="shared" si="352"/>
        <v>1.2239782548544085</v>
      </c>
    </row>
    <row r="8630" spans="1:11" hidden="1">
      <c r="A8630" s="4">
        <v>2026</v>
      </c>
      <c r="B8630">
        <v>28</v>
      </c>
      <c r="C8630" t="s">
        <v>10</v>
      </c>
      <c r="D8630" t="s">
        <v>11</v>
      </c>
      <c r="E8630" t="s">
        <v>52</v>
      </c>
      <c r="F8630" t="s">
        <v>53</v>
      </c>
      <c r="G8630" t="str">
        <f t="shared" si="353"/>
        <v>033CREAMY FOLIES</v>
      </c>
      <c r="H8630" s="5">
        <f>VLOOKUP(G8630,[6]Astroflores!$G$2:$H$110,2,FALSE)</f>
        <v>780</v>
      </c>
      <c r="I8630" s="6">
        <v>594.25687500000299</v>
      </c>
      <c r="J8630" s="5">
        <v>4320</v>
      </c>
      <c r="K8630" s="6">
        <f t="shared" si="352"/>
        <v>1.312563695624045</v>
      </c>
    </row>
    <row r="8631" spans="1:11" hidden="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18</v>
      </c>
      <c r="G8631" t="str">
        <f t="shared" si="353"/>
        <v>033HOT BUBBLES</v>
      </c>
      <c r="H8631" s="5">
        <f>VLOOKUP(G8631,[6]Astroflores!$G$2:$H$110,2,FALSE)</f>
        <v>5780</v>
      </c>
      <c r="I8631" s="6">
        <v>2575.1131250013459</v>
      </c>
      <c r="J8631" s="5">
        <v>18720</v>
      </c>
      <c r="K8631" s="6">
        <f t="shared" si="352"/>
        <v>2.24456158600682</v>
      </c>
    </row>
    <row r="8632" spans="1:11" hidden="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56</v>
      </c>
      <c r="G8632" t="str">
        <f t="shared" si="353"/>
        <v>001BELIEVE IN PINK</v>
      </c>
      <c r="H8632" s="5">
        <f>VLOOKUP(G8632,[6]Astroflores!$G$2:$H$110,2,FALSE)</f>
        <v>1350</v>
      </c>
      <c r="I8632" s="6">
        <v>528.37931032368999</v>
      </c>
      <c r="J8632" s="5">
        <v>4000</v>
      </c>
      <c r="K8632" s="6">
        <f t="shared" ref="K8632:K8637" si="354">IFERROR(H8632/I8632,"")</f>
        <v>2.5549827058386856</v>
      </c>
    </row>
    <row r="8633" spans="1:11" hidden="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57</v>
      </c>
      <c r="G8633" t="str">
        <f t="shared" si="353"/>
        <v>001EXPLORER</v>
      </c>
      <c r="H8633" s="5">
        <f>VLOOKUP(G8633,[6]Astroflores!$G$2:$H$110,2,FALSE)</f>
        <v>4000</v>
      </c>
      <c r="I8633" s="6">
        <v>2272.0310343918732</v>
      </c>
      <c r="J8633" s="5">
        <v>17200</v>
      </c>
      <c r="K8633" s="6">
        <f t="shared" si="354"/>
        <v>1.7605393321885814</v>
      </c>
    </row>
    <row r="8634" spans="1:11" hidden="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58</v>
      </c>
      <c r="G8634" t="str">
        <f t="shared" si="353"/>
        <v>001GRACE KELLY</v>
      </c>
      <c r="H8634" s="5">
        <f>VLOOKUP(G8634,[6]Astroflores!$G$2:$H$110,2,FALSE)</f>
        <v>2430</v>
      </c>
      <c r="I8634" s="6">
        <v>1162.4344827121224</v>
      </c>
      <c r="J8634" s="5">
        <v>8800</v>
      </c>
      <c r="K8634" s="6">
        <f t="shared" si="354"/>
        <v>2.0904403956861892</v>
      </c>
    </row>
    <row r="8635" spans="1:11" hidden="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60</v>
      </c>
      <c r="G8635" t="str">
        <f t="shared" si="353"/>
        <v>001LIGHT HOUSE</v>
      </c>
      <c r="H8635" s="5">
        <f>VLOOKUP(G8635,[6]Astroflores!$G$2:$H$110,2,FALSE)</f>
        <v>2850</v>
      </c>
      <c r="I8635" s="6">
        <v>1056.7586206473827</v>
      </c>
      <c r="J8635" s="5">
        <v>8000</v>
      </c>
      <c r="K8635" s="6">
        <f t="shared" si="354"/>
        <v>2.6969261894963834</v>
      </c>
    </row>
    <row r="8636" spans="1:11" hidden="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61</v>
      </c>
      <c r="G8636" t="str">
        <f t="shared" si="353"/>
        <v>001LUMIA</v>
      </c>
      <c r="H8636" s="5">
        <f>VLOOKUP(G8636,[6]Astroflores!$G$2:$H$110,2,FALSE)</f>
        <v>3300</v>
      </c>
      <c r="I8636" s="6">
        <v>1109.596551679753</v>
      </c>
      <c r="J8636" s="5">
        <v>8400</v>
      </c>
      <c r="K8636" s="6">
        <f t="shared" si="354"/>
        <v>2.9740539433042792</v>
      </c>
    </row>
    <row r="8637" spans="1:11" hidden="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62</v>
      </c>
      <c r="G8637" t="str">
        <f t="shared" si="353"/>
        <v>001MOMENTUM</v>
      </c>
      <c r="H8637" s="5">
        <f>VLOOKUP(G8637,[6]Astroflores!$G$2:$H$110,2,FALSE)</f>
        <v>5275</v>
      </c>
      <c r="I8637" s="6">
        <v>1902.1655171652881</v>
      </c>
      <c r="J8637" s="5">
        <v>14400</v>
      </c>
      <c r="K8637" s="6">
        <f t="shared" si="354"/>
        <v>2.773155097386633</v>
      </c>
    </row>
    <row r="8638" spans="1:11" hidden="1">
      <c r="A8638" s="4">
        <v>2026</v>
      </c>
      <c r="B8638">
        <v>28</v>
      </c>
      <c r="C8638" t="s">
        <v>54</v>
      </c>
      <c r="D8638" t="s">
        <v>11</v>
      </c>
      <c r="E8638" t="s">
        <v>12</v>
      </c>
      <c r="F8638" t="s">
        <v>63</v>
      </c>
      <c r="G8638" t="str">
        <f t="shared" si="353"/>
        <v>002SUMMER ROMANCE</v>
      </c>
      <c r="H8638" s="5">
        <f>VLOOKUP(G8638,[6]Astroflores!$G$2:$H$110,2,FALSE)</f>
        <v>1275</v>
      </c>
      <c r="I8638" s="6">
        <v>951.10714281909407</v>
      </c>
      <c r="J8638" s="5">
        <v>7200</v>
      </c>
      <c r="K8638" s="6">
        <f t="shared" ref="K8638:K8697" si="355">+H8638/I8638</f>
        <v>1.3405429762843366</v>
      </c>
    </row>
    <row r="8639" spans="1:11" hidden="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64</v>
      </c>
      <c r="G8639" t="str">
        <f t="shared" si="353"/>
        <v>002SWEETNESS</v>
      </c>
      <c r="H8639" s="5">
        <f>VLOOKUP(G8639,[6]Astroflores!$G$2:$H$110,2,FALSE)</f>
        <v>6870</v>
      </c>
      <c r="I8639" s="6">
        <v>3804.4285712763772</v>
      </c>
      <c r="J8639" s="5">
        <v>28800</v>
      </c>
      <c r="K8639" s="6">
        <f t="shared" si="355"/>
        <v>1.8057902445241942</v>
      </c>
    </row>
    <row r="8640" spans="1:11" hidden="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66</v>
      </c>
      <c r="G8640" t="str">
        <f t="shared" si="353"/>
        <v>003CABARET</v>
      </c>
      <c r="H8640" s="5">
        <f>VLOOKUP(G8640,[6]Astroflores!$G$2:$H$110,2,FALSE)</f>
        <v>6870</v>
      </c>
      <c r="I8640" s="6">
        <v>2641.8965516184649</v>
      </c>
      <c r="J8640" s="5">
        <v>20000</v>
      </c>
      <c r="K8640" s="6">
        <f t="shared" si="355"/>
        <v>2.6004046206091362</v>
      </c>
    </row>
    <row r="8641" spans="1:11" hidden="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67</v>
      </c>
      <c r="G8641" t="str">
        <f t="shared" si="353"/>
        <v>003DEEP PURPLE</v>
      </c>
      <c r="H8641" s="5">
        <f>VLOOKUP(G8641,[6]Astroflores!$G$2:$H$110,2,FALSE)</f>
        <v>8820</v>
      </c>
      <c r="I8641" s="6">
        <v>3592.9793102010913</v>
      </c>
      <c r="J8641" s="5">
        <v>26044</v>
      </c>
      <c r="K8641" s="6">
        <f t="shared" si="355"/>
        <v>2.454787305609718</v>
      </c>
    </row>
    <row r="8642" spans="1:11" hidden="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57</v>
      </c>
      <c r="G8642" t="str">
        <f t="shared" si="353"/>
        <v>003EXPLORER</v>
      </c>
      <c r="H8642" s="5">
        <f>VLOOKUP(G8642,[6]Astroflores!$G$2:$H$110,2,FALSE)</f>
        <v>2125</v>
      </c>
      <c r="I8642" s="6">
        <v>1268.1103447768633</v>
      </c>
      <c r="J8642" s="5">
        <v>9600</v>
      </c>
      <c r="K8642" s="6">
        <f t="shared" si="355"/>
        <v>1.675721682070116</v>
      </c>
    </row>
    <row r="8643" spans="1:11" hidden="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68</v>
      </c>
      <c r="G8643" t="str">
        <f t="shared" si="353"/>
        <v>003JOCKER</v>
      </c>
      <c r="H8643" s="5">
        <f>VLOOKUP(G8643,[6]Astroflores!$G$2:$H$110,2,FALSE)</f>
        <v>1125</v>
      </c>
      <c r="I8643" s="6">
        <v>528.37931032368999</v>
      </c>
      <c r="J8643" s="5">
        <v>4000</v>
      </c>
      <c r="K8643" s="6">
        <f t="shared" si="355"/>
        <v>2.1291522548655712</v>
      </c>
    </row>
    <row r="8644" spans="1:11" hidden="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69</v>
      </c>
      <c r="G8644" t="str">
        <f t="shared" si="353"/>
        <v>003QUICKSAND</v>
      </c>
      <c r="H8644" s="5">
        <f>VLOOKUP(G8644,[6]Astroflores!$G$2:$H$110,2,FALSE)</f>
        <v>1860</v>
      </c>
      <c r="I8644" s="6">
        <v>1162.4344827121247</v>
      </c>
      <c r="J8644" s="5">
        <v>8800</v>
      </c>
      <c r="K8644" s="6">
        <f t="shared" si="355"/>
        <v>1.6000901794141171</v>
      </c>
    </row>
    <row r="8645" spans="1:11" hidden="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70</v>
      </c>
      <c r="G8645" t="str">
        <f t="shared" si="353"/>
        <v>004COTOPAXI</v>
      </c>
      <c r="H8645" s="5">
        <f>VLOOKUP(G8645,[6]Astroflores!$G$2:$H$110,2,FALSE)</f>
        <v>900</v>
      </c>
      <c r="I8645" s="6">
        <v>528.3915024419166</v>
      </c>
      <c r="J8645" s="5">
        <v>4000</v>
      </c>
      <c r="K8645" s="6">
        <f t="shared" si="355"/>
        <v>1.7032825014042168</v>
      </c>
    </row>
    <row r="8646" spans="1:11" hidden="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67</v>
      </c>
      <c r="G8646" t="str">
        <f t="shared" si="353"/>
        <v>004DEEP PURPLE</v>
      </c>
      <c r="H8646" s="5">
        <f>VLOOKUP(G8646,[6]Astroflores!$G$2:$H$110,2,FALSE)</f>
        <v>12060</v>
      </c>
      <c r="I8646" s="6">
        <v>3910.1071427007282</v>
      </c>
      <c r="J8646" s="5">
        <v>29260</v>
      </c>
      <c r="K8646" s="6">
        <f t="shared" si="355"/>
        <v>3.0843144599025245</v>
      </c>
    </row>
    <row r="8647" spans="1:11" hidden="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71</v>
      </c>
      <c r="G8647" t="str">
        <f t="shared" si="353"/>
        <v>004HOT EXPLORER</v>
      </c>
      <c r="H8647" s="5">
        <f>VLOOKUP(G8647,[6]Astroflores!$G$2:$H$110,2,FALSE)</f>
        <v>1675</v>
      </c>
      <c r="I8647" s="6">
        <v>1902.2142856381945</v>
      </c>
      <c r="J8647" s="5">
        <v>14400</v>
      </c>
      <c r="K8647" s="6">
        <f t="shared" si="355"/>
        <v>0.88055273932402212</v>
      </c>
    </row>
    <row r="8648" spans="1:11" hidden="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72</v>
      </c>
      <c r="G8648" t="str">
        <f t="shared" si="353"/>
        <v>004HOT MERENGUE</v>
      </c>
      <c r="H8648" s="5">
        <f>VLOOKUP(G8648,[6]Astroflores!$G$2:$H$110,2,FALSE)</f>
        <v>2610</v>
      </c>
      <c r="I8648" s="6">
        <v>1162.4642856677858</v>
      </c>
      <c r="J8648" s="5">
        <v>8800</v>
      </c>
      <c r="K8648" s="6">
        <f t="shared" si="355"/>
        <v>2.2452302683008165</v>
      </c>
    </row>
    <row r="8649" spans="1:11" hidden="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64</v>
      </c>
      <c r="G8649" t="str">
        <f t="shared" si="353"/>
        <v>004SWEETNESS</v>
      </c>
      <c r="H8649" s="5">
        <f>VLOOKUP(G8649,[6]Astroflores!$G$2:$H$110,2,FALSE)</f>
        <v>540</v>
      </c>
      <c r="I8649" s="6">
        <v>317.03571427303262</v>
      </c>
      <c r="J8649" s="5">
        <v>2400</v>
      </c>
      <c r="K8649" s="6">
        <f t="shared" si="355"/>
        <v>1.7032781345730328</v>
      </c>
    </row>
    <row r="8650" spans="1:11" hidden="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57</v>
      </c>
      <c r="G8650" t="str">
        <f t="shared" si="353"/>
        <v>005EXPLORER</v>
      </c>
      <c r="H8650" s="5">
        <f>VLOOKUP(G8650,[6]Astroflores!$G$2:$H$110,2,FALSE)</f>
        <v>1425</v>
      </c>
      <c r="I8650" s="6">
        <v>951.10714281875391</v>
      </c>
      <c r="J8650" s="5">
        <v>7200</v>
      </c>
      <c r="K8650" s="6">
        <f t="shared" si="355"/>
        <v>1.498253914671265</v>
      </c>
    </row>
    <row r="8651" spans="1:11" hidden="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73</v>
      </c>
      <c r="G8651" t="str">
        <f t="shared" si="353"/>
        <v>005GOLDFINCH</v>
      </c>
      <c r="H8651" s="5">
        <f>VLOOKUP(G8651,[6]Astroflores!$G$2:$H$110,2,FALSE)</f>
        <v>900</v>
      </c>
      <c r="I8651" s="6">
        <v>898.26785710660101</v>
      </c>
      <c r="J8651" s="5">
        <v>6800</v>
      </c>
      <c r="K8651" s="6">
        <f t="shared" si="355"/>
        <v>1.0019283144550872</v>
      </c>
    </row>
    <row r="8652" spans="1:11" hidden="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68</v>
      </c>
      <c r="G8652" t="str">
        <f t="shared" si="353"/>
        <v>005JOCKER</v>
      </c>
      <c r="H8652" s="5">
        <f>VLOOKUP(G8652,[6]Astroflores!$G$2:$H$110,2,FALSE)</f>
        <v>2375</v>
      </c>
      <c r="I8652" s="6">
        <v>1162.4642856673661</v>
      </c>
      <c r="J8652" s="5">
        <v>8800</v>
      </c>
      <c r="K8652" s="6">
        <f t="shared" si="355"/>
        <v>2.0430735200062702</v>
      </c>
    </row>
    <row r="8653" spans="1:11" hidden="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74</v>
      </c>
      <c r="G8653" t="str">
        <f t="shared" si="353"/>
        <v>005VENDELA</v>
      </c>
      <c r="H8653" s="5">
        <f>VLOOKUP(G8653,[6]Astroflores!$G$2:$H$110,2,FALSE)</f>
        <v>1710</v>
      </c>
      <c r="I8653" s="6">
        <v>686.91071425798896</v>
      </c>
      <c r="J8653" s="5">
        <v>5200</v>
      </c>
      <c r="K8653" s="6">
        <f t="shared" si="355"/>
        <v>2.4894065043768712</v>
      </c>
    </row>
    <row r="8654" spans="1:11" hidden="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76</v>
      </c>
      <c r="G8654" t="str">
        <f t="shared" si="353"/>
        <v>006ATOMIC</v>
      </c>
      <c r="H8654" s="5">
        <f>VLOOKUP(G8654,[6]Astroflores!$G$2:$H$110,2,FALSE)</f>
        <v>950</v>
      </c>
      <c r="I8654" s="6">
        <v>845.428571394752</v>
      </c>
      <c r="J8654" s="5">
        <v>6400</v>
      </c>
      <c r="K8654" s="6">
        <f t="shared" si="355"/>
        <v>1.1236904360030446</v>
      </c>
    </row>
    <row r="8655" spans="1:11" hidden="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57</v>
      </c>
      <c r="G8655" t="str">
        <f t="shared" si="353"/>
        <v>006EXPLORER</v>
      </c>
      <c r="H8655" s="5">
        <f>VLOOKUP(G8655,[6]Astroflores!$G$2:$H$110,2,FALSE)</f>
        <v>5100</v>
      </c>
      <c r="I8655" s="6">
        <v>3910.1071427007355</v>
      </c>
      <c r="J8655" s="5">
        <v>29600</v>
      </c>
      <c r="K8655" s="6">
        <f t="shared" si="355"/>
        <v>1.3043120850334036</v>
      </c>
    </row>
    <row r="8656" spans="1:11" hidden="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77</v>
      </c>
      <c r="G8656" t="str">
        <f t="shared" si="353"/>
        <v>006MONDIAL</v>
      </c>
      <c r="H8656" s="5">
        <f>VLOOKUP(G8656,[6]Astroflores!$G$2:$H$110,2,FALSE)</f>
        <v>9500</v>
      </c>
      <c r="I8656" s="6">
        <v>4015.7857141250793</v>
      </c>
      <c r="J8656" s="5">
        <v>30400</v>
      </c>
      <c r="K8656" s="6">
        <f t="shared" si="355"/>
        <v>2.3656640757958791</v>
      </c>
    </row>
    <row r="8657" spans="1:11" hidden="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70</v>
      </c>
      <c r="G8657" t="str">
        <f t="shared" si="353"/>
        <v>007COTOPAXI</v>
      </c>
      <c r="H8657" s="5">
        <f>VLOOKUP(G8657,[6]Astroflores!$G$2:$H$110,2,FALSE)</f>
        <v>5850</v>
      </c>
      <c r="I8657" s="6">
        <v>2747.5751230427709</v>
      </c>
      <c r="J8657" s="5">
        <v>20800</v>
      </c>
      <c r="K8657" s="6">
        <f t="shared" si="355"/>
        <v>2.1291501553273213</v>
      </c>
    </row>
    <row r="8658" spans="1:11" hidden="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78</v>
      </c>
      <c r="G8658" t="str">
        <f t="shared" si="353"/>
        <v>007REDIANT</v>
      </c>
      <c r="H8658" s="5">
        <f>VLOOKUP(G8658,[6]Astroflores!$G$2:$H$110,2,FALSE)</f>
        <v>2160</v>
      </c>
      <c r="I8658" s="6">
        <v>1056.75862064738</v>
      </c>
      <c r="J8658" s="5">
        <v>9600</v>
      </c>
      <c r="K8658" s="6">
        <f t="shared" si="355"/>
        <v>2.0439861646709483</v>
      </c>
    </row>
    <row r="8659" spans="1:11" hidden="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74</v>
      </c>
      <c r="G8659" t="str">
        <f t="shared" si="353"/>
        <v>007VENDELA</v>
      </c>
      <c r="H8659" s="5">
        <f>VLOOKUP(G8659,[6]Astroflores!$G$2:$H$110,2,FALSE)</f>
        <v>10650</v>
      </c>
      <c r="I8659" s="6">
        <v>3592.9793102011122</v>
      </c>
      <c r="J8659" s="5">
        <v>27820</v>
      </c>
      <c r="K8659" s="6">
        <f t="shared" si="355"/>
        <v>2.9641139234402885</v>
      </c>
    </row>
    <row r="8660" spans="1:11" hidden="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67</v>
      </c>
      <c r="G8660" t="str">
        <f t="shared" si="353"/>
        <v>008DEEP PURPLE</v>
      </c>
      <c r="H8660" s="5">
        <f>VLOOKUP(G8660,[6]Astroflores!$G$2:$H$110,2,FALSE)</f>
        <v>5670</v>
      </c>
      <c r="I8660" s="6">
        <v>1585.2222221588099</v>
      </c>
      <c r="J8660" s="5">
        <v>11490</v>
      </c>
      <c r="K8660" s="6">
        <f t="shared" si="355"/>
        <v>3.5767855892648286</v>
      </c>
    </row>
    <row r="8661" spans="1:11" hidden="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81</v>
      </c>
      <c r="G8661" t="str">
        <f t="shared" si="353"/>
        <v>008FREEDOM</v>
      </c>
      <c r="H8661" s="5">
        <f>VLOOKUP(G8661,[6]Astroflores!$G$2:$H$110,2,FALSE)</f>
        <v>2610</v>
      </c>
      <c r="I8661" s="6">
        <v>2219.311111022334</v>
      </c>
      <c r="J8661" s="5">
        <v>16800</v>
      </c>
      <c r="K8661" s="6">
        <f t="shared" si="355"/>
        <v>1.1760406132503405</v>
      </c>
    </row>
    <row r="8662" spans="1:11" hidden="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68</v>
      </c>
      <c r="G8662" t="str">
        <f t="shared" si="353"/>
        <v>008JOCKER</v>
      </c>
      <c r="H8662" s="5">
        <f>VLOOKUP(G8662,[6]Astroflores!$G$2:$H$110,2,FALSE)</f>
        <v>5750</v>
      </c>
      <c r="I8662" s="6">
        <v>2959.0814813631118</v>
      </c>
      <c r="J8662" s="5">
        <v>22400</v>
      </c>
      <c r="K8662" s="6">
        <f t="shared" si="355"/>
        <v>1.9431705535027177</v>
      </c>
    </row>
    <row r="8663" spans="1:11" hidden="1">
      <c r="A8663" s="4">
        <v>2026</v>
      </c>
      <c r="B8663">
        <v>28</v>
      </c>
      <c r="C8663" t="s">
        <v>54</v>
      </c>
      <c r="D8663" t="s">
        <v>11</v>
      </c>
      <c r="E8663" t="s">
        <v>82</v>
      </c>
      <c r="F8663" t="s">
        <v>83</v>
      </c>
      <c r="G8663" t="str">
        <f t="shared" si="353"/>
        <v>010COOLDOWN</v>
      </c>
      <c r="H8663" s="5">
        <f>VLOOKUP(G8663,[6]Astroflores!$G$2:$H$110,2,FALSE)</f>
        <v>3825</v>
      </c>
      <c r="I8663" s="6">
        <v>1912.3542857142861</v>
      </c>
      <c r="J8663" s="5">
        <v>16320</v>
      </c>
      <c r="K8663" s="6">
        <f t="shared" si="355"/>
        <v>2.0001523925632423</v>
      </c>
    </row>
    <row r="8664" spans="1:11" hidden="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84</v>
      </c>
      <c r="G8664" t="str">
        <f t="shared" si="353"/>
        <v>010VIOLET HILL</v>
      </c>
      <c r="H8664" s="5">
        <f>VLOOKUP(G8664,[6]Astroflores!$G$2:$H$110,2,FALSE)</f>
        <v>5850</v>
      </c>
      <c r="I8664" s="6">
        <v>2812.2857142428579</v>
      </c>
      <c r="J8664" s="5">
        <v>20000</v>
      </c>
      <c r="K8664" s="6">
        <f t="shared" si="355"/>
        <v>2.0801584882974722</v>
      </c>
    </row>
    <row r="8665" spans="1:11" hidden="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86</v>
      </c>
      <c r="G8665" t="str">
        <f t="shared" si="353"/>
        <v>011BRIGHTON</v>
      </c>
      <c r="H8665" s="5">
        <f>VLOOKUP(G8665,[6]Astroflores!$G$2:$H$110,2,FALSE)</f>
        <v>3550</v>
      </c>
      <c r="I8665" s="6">
        <v>1768.8376470588223</v>
      </c>
      <c r="J8665" s="5">
        <v>12800</v>
      </c>
      <c r="K8665" s="6">
        <f t="shared" si="355"/>
        <v>2.0069676863237556</v>
      </c>
    </row>
    <row r="8666" spans="1:11" hidden="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87</v>
      </c>
      <c r="G8666" t="str">
        <f t="shared" si="353"/>
        <v>011CANDLELIGHT</v>
      </c>
      <c r="H8666" s="5">
        <f>VLOOKUP(G8666,[6]Astroflores!$G$2:$H$110,2,FALSE)</f>
        <v>4640</v>
      </c>
      <c r="I8666" s="6">
        <v>2263.7999998868127</v>
      </c>
      <c r="J8666" s="5">
        <v>17920</v>
      </c>
      <c r="K8666" s="6">
        <f t="shared" si="355"/>
        <v>2.049651029345346</v>
      </c>
    </row>
    <row r="8667" spans="1:11" hidden="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88</v>
      </c>
      <c r="G8667" t="str">
        <f t="shared" si="353"/>
        <v>011CAYENNE</v>
      </c>
      <c r="H8667" s="5">
        <f>VLOOKUP(G8667,[6]Astroflores!$G$2:$H$110,2,FALSE)</f>
        <v>1530</v>
      </c>
      <c r="I8667" s="6">
        <v>994.97117647058747</v>
      </c>
      <c r="J8667" s="5">
        <v>7200</v>
      </c>
      <c r="K8667" s="6">
        <f t="shared" si="355"/>
        <v>1.5377329878311592</v>
      </c>
    </row>
    <row r="8668" spans="1:11" hidden="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61</v>
      </c>
      <c r="G8668" t="str">
        <f t="shared" si="353"/>
        <v>011LUMIA</v>
      </c>
      <c r="H8668" s="5">
        <f>VLOOKUP(G8668,[6]Astroflores!$G$2:$H$110,2,FALSE)</f>
        <v>2640</v>
      </c>
      <c r="I8668" s="6">
        <v>994.97117647058747</v>
      </c>
      <c r="J8668" s="5">
        <v>7920</v>
      </c>
      <c r="K8668" s="6">
        <f t="shared" si="355"/>
        <v>2.6533431946890591</v>
      </c>
    </row>
    <row r="8669" spans="1:11" hidden="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89</v>
      </c>
      <c r="G8669" t="str">
        <f t="shared" si="353"/>
        <v>011STARDUST</v>
      </c>
      <c r="H8669" s="5">
        <f>VLOOKUP(G8669,[6]Astroflores!$G$2:$H$110,2,FALSE)</f>
        <v>4525</v>
      </c>
      <c r="I8669" s="6">
        <v>2263.7999998868127</v>
      </c>
      <c r="J8669" s="5">
        <v>17920</v>
      </c>
      <c r="K8669" s="6">
        <f t="shared" si="355"/>
        <v>1.9988514887473472</v>
      </c>
    </row>
    <row r="8670" spans="1:11" hidden="1">
      <c r="A8670" s="4">
        <v>2026</v>
      </c>
      <c r="B8670">
        <v>28</v>
      </c>
      <c r="C8670" t="s">
        <v>54</v>
      </c>
      <c r="D8670" t="s">
        <v>11</v>
      </c>
      <c r="E8670" t="s">
        <v>90</v>
      </c>
      <c r="F8670" t="s">
        <v>67</v>
      </c>
      <c r="G8670" t="str">
        <f t="shared" si="353"/>
        <v>012DEEP PURPLE</v>
      </c>
      <c r="H8670" s="5">
        <f>VLOOKUP(G8670,[6]Astroflores!$G$2:$H$110,2,FALSE)</f>
        <v>19410</v>
      </c>
      <c r="I8670" s="6">
        <v>6727.0499997982479</v>
      </c>
      <c r="J8670" s="5">
        <v>49210</v>
      </c>
      <c r="K8670" s="6">
        <f t="shared" si="355"/>
        <v>2.8853657993596196</v>
      </c>
    </row>
    <row r="8671" spans="1:11" hidden="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60</v>
      </c>
      <c r="G8671" t="str">
        <f t="shared" si="353"/>
        <v>012LIGHT HOUSE</v>
      </c>
      <c r="H8671" s="5">
        <f>VLOOKUP(G8671,[6]Astroflores!$G$2:$H$110,2,FALSE)</f>
        <v>2100</v>
      </c>
      <c r="I8671" s="6">
        <v>994.95</v>
      </c>
      <c r="J8671" s="5">
        <v>7200</v>
      </c>
      <c r="K8671" s="6">
        <f t="shared" si="355"/>
        <v>2.1106588270767372</v>
      </c>
    </row>
    <row r="8672" spans="1:11" hidden="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92</v>
      </c>
      <c r="G8672" t="str">
        <f t="shared" si="353"/>
        <v>013COUNTRY BLUES</v>
      </c>
      <c r="H8672" s="5">
        <f>VLOOKUP(G8672,[6]Astroflores!$G$2:$H$110,2,FALSE)</f>
        <v>1400</v>
      </c>
      <c r="I8672" s="6">
        <v>831.6</v>
      </c>
      <c r="J8672" s="5">
        <v>6300</v>
      </c>
      <c r="K8672" s="6">
        <f t="shared" si="355"/>
        <v>1.6835016835016834</v>
      </c>
    </row>
    <row r="8673" spans="1:11" hidden="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93</v>
      </c>
      <c r="G8673" t="str">
        <f t="shared" si="353"/>
        <v>013LORRAINE</v>
      </c>
      <c r="H8673" s="5">
        <f>VLOOKUP(G8673,[6]Astroflores!$G$2:$H$110,2,FALSE)</f>
        <v>4025</v>
      </c>
      <c r="I8673" s="6">
        <v>1267.2</v>
      </c>
      <c r="J8673" s="5">
        <v>9600</v>
      </c>
      <c r="K8673" s="6">
        <f t="shared" si="355"/>
        <v>3.1762941919191916</v>
      </c>
    </row>
    <row r="8674" spans="1:11" hidden="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61</v>
      </c>
      <c r="G8674" t="str">
        <f t="shared" si="353"/>
        <v>013LUMIA</v>
      </c>
      <c r="H8674" s="5">
        <f>VLOOKUP(G8674,[6]Astroflores!$G$2:$H$110,2,FALSE)</f>
        <v>960</v>
      </c>
      <c r="I8674" s="6">
        <v>316.8</v>
      </c>
      <c r="J8674" s="5">
        <v>2400</v>
      </c>
      <c r="K8674" s="6">
        <f t="shared" si="355"/>
        <v>3.0303030303030303</v>
      </c>
    </row>
    <row r="8675" spans="1:11" hidden="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74</v>
      </c>
      <c r="G8675" t="str">
        <f t="shared" si="353"/>
        <v>013VENDELA</v>
      </c>
      <c r="H8675" s="5">
        <f>VLOOKUP(G8675,[6]Astroflores!$G$2:$H$110,2,FALSE)</f>
        <v>12150</v>
      </c>
      <c r="I8675" s="6">
        <v>3603.6</v>
      </c>
      <c r="J8675" s="5">
        <v>27296</v>
      </c>
      <c r="K8675" s="6">
        <f t="shared" si="355"/>
        <v>3.3716283716283719</v>
      </c>
    </row>
    <row r="8676" spans="1:11" hidden="1">
      <c r="A8676" s="4">
        <v>2026</v>
      </c>
      <c r="B8676">
        <v>28</v>
      </c>
      <c r="C8676" t="s">
        <v>54</v>
      </c>
      <c r="D8676" t="s">
        <v>11</v>
      </c>
      <c r="E8676" t="s">
        <v>23</v>
      </c>
      <c r="F8676" t="s">
        <v>89</v>
      </c>
      <c r="G8676" t="str">
        <f t="shared" si="353"/>
        <v>014STARDUST</v>
      </c>
      <c r="H8676" s="5">
        <f>VLOOKUP(G8676,[6]Astroflores!$G$2:$H$110,2,FALSE)</f>
        <v>8575</v>
      </c>
      <c r="I8676" s="6">
        <v>3682.8</v>
      </c>
      <c r="J8676" s="5">
        <v>27900</v>
      </c>
      <c r="K8676" s="6">
        <f t="shared" si="355"/>
        <v>2.3283914412946669</v>
      </c>
    </row>
    <row r="8677" spans="1:11" hidden="1">
      <c r="A8677" s="4">
        <v>2026</v>
      </c>
      <c r="B8677">
        <v>28</v>
      </c>
      <c r="C8677" t="s">
        <v>54</v>
      </c>
      <c r="D8677" t="s">
        <v>11</v>
      </c>
      <c r="E8677" t="s">
        <v>25</v>
      </c>
      <c r="F8677" t="s">
        <v>68</v>
      </c>
      <c r="G8677" t="str">
        <f t="shared" si="353"/>
        <v>015JOCKER</v>
      </c>
      <c r="H8677" s="5">
        <f>VLOOKUP(G8677,[6]Astroflores!$G$2:$H$110,2,FALSE)</f>
        <v>6750</v>
      </c>
      <c r="I8677" s="6">
        <v>2376</v>
      </c>
      <c r="J8677" s="5">
        <v>18000</v>
      </c>
      <c r="K8677" s="6">
        <f t="shared" si="355"/>
        <v>2.8409090909090908</v>
      </c>
    </row>
    <row r="8678" spans="1:11" hidden="1">
      <c r="A8678" s="4">
        <v>2026</v>
      </c>
      <c r="B8678">
        <v>28</v>
      </c>
      <c r="C8678" t="s">
        <v>54</v>
      </c>
      <c r="D8678" t="s">
        <v>11</v>
      </c>
      <c r="E8678" t="s">
        <v>27</v>
      </c>
      <c r="F8678" t="s">
        <v>94</v>
      </c>
      <c r="G8678" t="str">
        <f t="shared" si="353"/>
        <v>016DREAM IN PEACH</v>
      </c>
      <c r="H8678" s="5">
        <f>VLOOKUP(G8678,[6]Astroflores!$G$2:$H$110,2,FALSE)</f>
        <v>1800</v>
      </c>
      <c r="I8678" s="6">
        <v>950.4</v>
      </c>
      <c r="J8678" s="5">
        <v>7200</v>
      </c>
      <c r="K8678" s="6">
        <f t="shared" si="355"/>
        <v>1.893939393939394</v>
      </c>
    </row>
    <row r="8679" spans="1:11" hidden="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95</v>
      </c>
      <c r="G8679" t="str">
        <f t="shared" ref="G8679:G8741" si="356">+E8679&amp;F8679</f>
        <v>016NINA</v>
      </c>
      <c r="H8679" s="5">
        <f>VLOOKUP(G8679,[6]Astroflores!$G$2:$H$110,2,FALSE)</f>
        <v>3300</v>
      </c>
      <c r="I8679" s="6">
        <v>1346.4</v>
      </c>
      <c r="J8679" s="5">
        <v>10200</v>
      </c>
      <c r="K8679" s="6">
        <f t="shared" si="355"/>
        <v>2.4509803921568625</v>
      </c>
    </row>
    <row r="8680" spans="1:11" hidden="1">
      <c r="A8680" s="4">
        <v>2026</v>
      </c>
      <c r="B8680">
        <v>28</v>
      </c>
      <c r="C8680" t="s">
        <v>54</v>
      </c>
      <c r="D8680" t="s">
        <v>11</v>
      </c>
      <c r="E8680" t="s">
        <v>30</v>
      </c>
      <c r="F8680" t="s">
        <v>81</v>
      </c>
      <c r="G8680" t="str">
        <f t="shared" si="356"/>
        <v>017FREEDOM</v>
      </c>
      <c r="H8680" s="5">
        <f>VLOOKUP(G8680,[6]Astroflores!$G$2:$H$110,2,FALSE)</f>
        <v>5400</v>
      </c>
      <c r="I8680" s="6">
        <v>2851.2</v>
      </c>
      <c r="J8680" s="5">
        <v>21600</v>
      </c>
      <c r="K8680" s="6">
        <f t="shared" si="355"/>
        <v>1.893939393939394</v>
      </c>
    </row>
    <row r="8681" spans="1:11" hidden="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73</v>
      </c>
      <c r="G8681" t="str">
        <f t="shared" si="356"/>
        <v>017GOLDFINCH</v>
      </c>
      <c r="H8681" s="5">
        <f>VLOOKUP(G8681,[6]Astroflores!$G$2:$H$110,2,FALSE)</f>
        <v>3725</v>
      </c>
      <c r="I8681" s="6">
        <v>2138.4</v>
      </c>
      <c r="J8681" s="5">
        <v>16200</v>
      </c>
      <c r="K8681" s="6">
        <f t="shared" si="355"/>
        <v>1.741956603067714</v>
      </c>
    </row>
    <row r="8682" spans="1:11" hidden="1">
      <c r="A8682" s="4">
        <v>2026</v>
      </c>
      <c r="B8682">
        <v>28</v>
      </c>
      <c r="C8682" t="s">
        <v>54</v>
      </c>
      <c r="D8682" t="s">
        <v>11</v>
      </c>
      <c r="E8682" t="s">
        <v>32</v>
      </c>
      <c r="F8682" t="s">
        <v>86</v>
      </c>
      <c r="G8682" t="str">
        <f t="shared" si="356"/>
        <v>018BRIGHTON</v>
      </c>
      <c r="H8682" s="5">
        <f>VLOOKUP(G8682,[6]Astroflores!$G$2:$H$110,2,FALSE)</f>
        <v>2475</v>
      </c>
      <c r="I8682" s="6">
        <v>963.6</v>
      </c>
      <c r="J8682" s="5">
        <v>7570</v>
      </c>
      <c r="K8682" s="6">
        <f t="shared" si="355"/>
        <v>2.5684931506849313</v>
      </c>
    </row>
    <row r="8683" spans="1:11" hidden="1">
      <c r="A8683" s="4">
        <v>2026</v>
      </c>
      <c r="B8683">
        <v>28</v>
      </c>
      <c r="C8683" t="s">
        <v>54</v>
      </c>
      <c r="D8683" t="s">
        <v>11</v>
      </c>
      <c r="E8683" t="s">
        <v>35</v>
      </c>
      <c r="F8683" t="s">
        <v>86</v>
      </c>
      <c r="G8683" t="str">
        <f t="shared" si="356"/>
        <v>019BRIGHTON</v>
      </c>
      <c r="H8683" s="5">
        <f>VLOOKUP(G8683,[6]Astroflores!$G$2:$H$110,2,FALSE)</f>
        <v>9375</v>
      </c>
      <c r="I8683" s="6">
        <v>3168</v>
      </c>
      <c r="J8683" s="5">
        <v>24000</v>
      </c>
      <c r="K8683" s="6">
        <f t="shared" si="355"/>
        <v>2.9592803030303032</v>
      </c>
    </row>
    <row r="8684" spans="1:11" hidden="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96</v>
      </c>
      <c r="G8684" t="str">
        <f t="shared" si="356"/>
        <v>019TABATHA</v>
      </c>
      <c r="H8684" s="5">
        <f>VLOOKUP(G8684,[6]Astroflores!$G$2:$H$110,2,FALSE)</f>
        <v>2490</v>
      </c>
      <c r="I8684" s="6">
        <v>1188</v>
      </c>
      <c r="J8684" s="5">
        <v>9000</v>
      </c>
      <c r="K8684" s="6">
        <f t="shared" si="355"/>
        <v>2.095959595959596</v>
      </c>
    </row>
    <row r="8685" spans="1:11" hidden="1">
      <c r="A8685" s="4">
        <v>2026</v>
      </c>
      <c r="B8685">
        <v>28</v>
      </c>
      <c r="C8685" t="s">
        <v>54</v>
      </c>
      <c r="D8685" t="s">
        <v>11</v>
      </c>
      <c r="E8685" t="s">
        <v>36</v>
      </c>
      <c r="F8685" t="s">
        <v>86</v>
      </c>
      <c r="G8685" t="str">
        <f t="shared" si="356"/>
        <v>020BRIGHTON</v>
      </c>
      <c r="H8685" s="5">
        <f>VLOOKUP(G8685,[6]Astroflores!$G$2:$H$110,2,FALSE)</f>
        <v>5500</v>
      </c>
      <c r="I8685" s="6">
        <v>2732.4</v>
      </c>
      <c r="J8685" s="5">
        <v>20700</v>
      </c>
      <c r="K8685" s="6">
        <f t="shared" si="355"/>
        <v>2.0128824476650564</v>
      </c>
    </row>
    <row r="8686" spans="1:11" hidden="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97</v>
      </c>
      <c r="G8686" t="str">
        <f t="shared" si="356"/>
        <v>020TYCOON</v>
      </c>
      <c r="H8686" s="5">
        <f>VLOOKUP(G8686,[6]Astroflores!$G$2:$H$110,2,FALSE)</f>
        <v>1350</v>
      </c>
      <c r="I8686" s="6">
        <v>673.2</v>
      </c>
      <c r="J8686" s="5">
        <v>5100</v>
      </c>
      <c r="K8686" s="6">
        <f t="shared" si="355"/>
        <v>2.0053475935828877</v>
      </c>
    </row>
    <row r="8687" spans="1:11" hidden="1">
      <c r="A8687" s="4">
        <v>2026</v>
      </c>
      <c r="B8687">
        <v>28</v>
      </c>
      <c r="C8687" t="s">
        <v>54</v>
      </c>
      <c r="D8687" t="s">
        <v>11</v>
      </c>
      <c r="E8687" t="s">
        <v>38</v>
      </c>
      <c r="F8687" t="s">
        <v>98</v>
      </c>
      <c r="G8687" t="str">
        <f t="shared" si="356"/>
        <v>021SHOW GIRL</v>
      </c>
      <c r="H8687" s="5">
        <f>VLOOKUP(G8687,[6]Astroflores!$G$2:$H$110,2,FALSE)</f>
        <v>1200</v>
      </c>
      <c r="I8687" s="6">
        <v>1100.4749999999999</v>
      </c>
      <c r="J8687" s="5">
        <v>8000</v>
      </c>
      <c r="K8687" s="6">
        <f t="shared" si="355"/>
        <v>1.0904382198596061</v>
      </c>
    </row>
    <row r="8688" spans="1:11" hidden="1">
      <c r="A8688" s="4">
        <v>2026</v>
      </c>
      <c r="B8688">
        <v>28</v>
      </c>
      <c r="C8688" t="s">
        <v>54</v>
      </c>
      <c r="D8688" t="s">
        <v>11</v>
      </c>
      <c r="E8688" t="s">
        <v>43</v>
      </c>
      <c r="F8688" t="s">
        <v>99</v>
      </c>
      <c r="G8688" t="str">
        <f t="shared" si="356"/>
        <v>022CORAL REEF</v>
      </c>
      <c r="H8688" s="5">
        <f>VLOOKUP(G8688,[6]Astroflores!$G$2:$H$110,2,FALSE)</f>
        <v>2375</v>
      </c>
      <c r="I8688" s="6">
        <v>1287</v>
      </c>
      <c r="J8688" s="5">
        <v>9400</v>
      </c>
      <c r="K8688" s="6">
        <f t="shared" si="355"/>
        <v>1.8453768453768453</v>
      </c>
    </row>
    <row r="8689" spans="1:11" hidden="1">
      <c r="A8689" s="4">
        <v>2026</v>
      </c>
      <c r="B8689">
        <v>28</v>
      </c>
      <c r="C8689" t="s">
        <v>54</v>
      </c>
      <c r="D8689" t="s">
        <v>11</v>
      </c>
      <c r="E8689" t="s">
        <v>100</v>
      </c>
      <c r="F8689" t="s">
        <v>70</v>
      </c>
      <c r="G8689" t="str">
        <f t="shared" si="356"/>
        <v>023COTOPAXI</v>
      </c>
      <c r="H8689" s="5">
        <f>VLOOKUP(G8689,[6]Astroflores!$G$2:$H$110,2,FALSE)</f>
        <v>6330</v>
      </c>
      <c r="I8689" s="6">
        <v>2641.14</v>
      </c>
      <c r="J8689" s="5">
        <v>19200</v>
      </c>
      <c r="K8689" s="6">
        <f t="shared" si="355"/>
        <v>2.3966923373997595</v>
      </c>
    </row>
    <row r="8690" spans="1:11" hidden="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101</v>
      </c>
      <c r="G8690" t="str">
        <f t="shared" si="356"/>
        <v>023FRUTTETO</v>
      </c>
      <c r="H8690" s="5">
        <f>VLOOKUP(G8690,[6]Astroflores!$G$2:$H$110,2,FALSE)</f>
        <v>6960</v>
      </c>
      <c r="I8690" s="6">
        <v>2641.14</v>
      </c>
      <c r="J8690" s="5">
        <v>19200</v>
      </c>
      <c r="K8690" s="6">
        <f t="shared" si="355"/>
        <v>2.635225697994048</v>
      </c>
    </row>
    <row r="8691" spans="1:11" hidden="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70</v>
      </c>
      <c r="G8691" t="str">
        <f t="shared" si="356"/>
        <v>024COTOPAXI</v>
      </c>
      <c r="H8691" s="5">
        <f>VLOOKUP(G8691,[6]Astroflores!$G$2:$H$110,2,FALSE)</f>
        <v>4440</v>
      </c>
      <c r="I8691" s="6">
        <v>1430.6174906250001</v>
      </c>
      <c r="J8691" s="5">
        <v>10400</v>
      </c>
      <c r="K8691" s="6">
        <f t="shared" si="355"/>
        <v>3.1035549537845215</v>
      </c>
    </row>
    <row r="8692" spans="1:11" hidden="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64</v>
      </c>
      <c r="G8692" t="str">
        <f t="shared" si="356"/>
        <v>024SWEETNESS</v>
      </c>
      <c r="H8692" s="5">
        <f>VLOOKUP(G8692,[6]Astroflores!$G$2:$H$110,2,FALSE)</f>
        <v>2220</v>
      </c>
      <c r="I8692" s="6">
        <v>1430.6175000000001</v>
      </c>
      <c r="J8692" s="5">
        <v>10400</v>
      </c>
      <c r="K8692" s="6">
        <f t="shared" si="355"/>
        <v>1.5517774667232855</v>
      </c>
    </row>
    <row r="8693" spans="1:11" hidden="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97</v>
      </c>
      <c r="G8693" t="str">
        <f t="shared" si="356"/>
        <v>024TYCOON</v>
      </c>
      <c r="H8693" s="5">
        <f>VLOOKUP(G8693,[6]Astroflores!$G$2:$H$110,2,FALSE)</f>
        <v>5070</v>
      </c>
      <c r="I8693" s="6">
        <v>2861.2350000000001</v>
      </c>
      <c r="J8693" s="5">
        <v>20800</v>
      </c>
      <c r="K8693" s="6">
        <f t="shared" si="355"/>
        <v>1.7719621072718599</v>
      </c>
    </row>
    <row r="8694" spans="1:11" hidden="1">
      <c r="A8694" s="4">
        <v>2026</v>
      </c>
      <c r="B8694">
        <v>28</v>
      </c>
      <c r="C8694" t="s">
        <v>54</v>
      </c>
      <c r="D8694" t="s">
        <v>11</v>
      </c>
      <c r="E8694" t="s">
        <v>103</v>
      </c>
      <c r="F8694" t="s">
        <v>104</v>
      </c>
      <c r="G8694" t="str">
        <f t="shared" si="356"/>
        <v>025PINK MONDIAL</v>
      </c>
      <c r="H8694" s="5">
        <f>VLOOKUP(G8694,[6]Astroflores!$G$2:$H$110,2,FALSE)</f>
        <v>7400</v>
      </c>
      <c r="I8694" s="6">
        <v>3071.9505625000002</v>
      </c>
      <c r="J8694" s="5">
        <v>22400</v>
      </c>
      <c r="K8694" s="6">
        <f t="shared" si="355"/>
        <v>2.4088929328269422</v>
      </c>
    </row>
    <row r="8695" spans="1:11" hidden="1">
      <c r="A8695" s="4">
        <v>2026</v>
      </c>
      <c r="B8695">
        <v>28</v>
      </c>
      <c r="C8695" t="s">
        <v>54</v>
      </c>
      <c r="D8695" t="s">
        <v>11</v>
      </c>
      <c r="E8695" t="s">
        <v>45</v>
      </c>
      <c r="F8695" t="s">
        <v>105</v>
      </c>
      <c r="G8695" t="str">
        <f t="shared" si="356"/>
        <v>026LOLA</v>
      </c>
      <c r="H8695" s="5">
        <f>VLOOKUP(G8695,[6]Astroflores!$G$2:$H$110,2,FALSE)</f>
        <v>3400</v>
      </c>
      <c r="I8695" s="6">
        <v>1097.125</v>
      </c>
      <c r="J8695" s="5">
        <v>8000</v>
      </c>
      <c r="K8695" s="6">
        <f t="shared" si="355"/>
        <v>3.0990087729292468</v>
      </c>
    </row>
    <row r="8696" spans="1:11" hidden="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106</v>
      </c>
      <c r="G8696" t="str">
        <f t="shared" si="356"/>
        <v>026PALOMA</v>
      </c>
      <c r="H8696" s="5">
        <f>VLOOKUP(G8696,[6]Astroflores!$G$2:$H$110,2,FALSE)</f>
        <v>4675</v>
      </c>
      <c r="I8696" s="6">
        <v>2852.5250000000001</v>
      </c>
      <c r="J8696" s="5">
        <v>20800</v>
      </c>
      <c r="K8696" s="6">
        <f t="shared" si="355"/>
        <v>1.638898870299121</v>
      </c>
    </row>
    <row r="8697" spans="1:11" hidden="1">
      <c r="A8697" s="4">
        <v>2026</v>
      </c>
      <c r="B8697">
        <v>28</v>
      </c>
      <c r="C8697" t="s">
        <v>54</v>
      </c>
      <c r="D8697" t="s">
        <v>11</v>
      </c>
      <c r="E8697" t="s">
        <v>107</v>
      </c>
      <c r="F8697" t="s">
        <v>108</v>
      </c>
      <c r="G8697" t="str">
        <f t="shared" si="356"/>
        <v>027SATISFACTION</v>
      </c>
      <c r="H8697" s="5">
        <f>VLOOKUP(G8697,[6]Astroflores!$G$2:$H$110,2,FALSE)</f>
        <v>7230</v>
      </c>
      <c r="I8697" s="6">
        <v>2633.1</v>
      </c>
      <c r="J8697" s="5">
        <v>19200</v>
      </c>
      <c r="K8697" s="6">
        <f t="shared" si="355"/>
        <v>2.7458129201321637</v>
      </c>
    </row>
    <row r="8698" spans="1:11" hidden="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109</v>
      </c>
      <c r="G8698" t="str">
        <f t="shared" si="356"/>
        <v>027TIFFANY</v>
      </c>
      <c r="H8698" s="5">
        <f>VLOOKUP(G8698,[6]Astroflores!$G$2:$H$110,2,FALSE)</f>
        <v>6360</v>
      </c>
      <c r="I8698" s="6">
        <v>2633.1</v>
      </c>
      <c r="J8698" s="5">
        <v>19200</v>
      </c>
      <c r="K8698" s="6">
        <f t="shared" ref="K8698:K8737" si="357">+H8698/I8698</f>
        <v>2.4154038965477955</v>
      </c>
    </row>
    <row r="8699" spans="1:11" hidden="1">
      <c r="A8699" s="4">
        <v>2026</v>
      </c>
      <c r="B8699">
        <v>28</v>
      </c>
      <c r="C8699" t="s">
        <v>54</v>
      </c>
      <c r="D8699" t="s">
        <v>11</v>
      </c>
      <c r="E8699" t="s">
        <v>110</v>
      </c>
      <c r="F8699" t="s">
        <v>70</v>
      </c>
      <c r="G8699" t="str">
        <f t="shared" si="356"/>
        <v>028COTOPAXI</v>
      </c>
      <c r="H8699" s="5">
        <f>VLOOKUP(G8699,[6]Astroflores!$G$2:$H$110,2,FALSE)</f>
        <v>5010</v>
      </c>
      <c r="I8699" s="6">
        <v>2852.5250000000001</v>
      </c>
      <c r="J8699" s="5">
        <v>20800</v>
      </c>
      <c r="K8699" s="6">
        <f t="shared" si="357"/>
        <v>1.7563386823954215</v>
      </c>
    </row>
    <row r="8700" spans="1:11" hidden="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67</v>
      </c>
      <c r="G8700" t="str">
        <f t="shared" si="356"/>
        <v>028DEEP PURPLE</v>
      </c>
      <c r="H8700" s="5">
        <f>VLOOKUP(G8700,[6]Astroflores!$G$2:$H$110,2,FALSE)</f>
        <v>7260</v>
      </c>
      <c r="I8700" s="6">
        <v>2852.5250000000001</v>
      </c>
      <c r="J8700" s="5">
        <v>20800</v>
      </c>
      <c r="K8700" s="6">
        <f t="shared" si="357"/>
        <v>2.5451135397586349</v>
      </c>
    </row>
    <row r="8701" spans="1:11" hidden="1">
      <c r="A8701" s="4">
        <v>2026</v>
      </c>
      <c r="B8701">
        <v>28</v>
      </c>
      <c r="C8701" t="s">
        <v>54</v>
      </c>
      <c r="D8701" t="s">
        <v>11</v>
      </c>
      <c r="E8701" t="s">
        <v>111</v>
      </c>
      <c r="F8701" t="s">
        <v>112</v>
      </c>
      <c r="G8701" t="str">
        <f t="shared" si="356"/>
        <v>029PINK FLOYD</v>
      </c>
      <c r="H8701" s="5">
        <f>VLOOKUP(G8701,[6]Astroflores!$G$2:$H$110,2,FALSE)</f>
        <v>4350</v>
      </c>
      <c r="I8701" s="6">
        <v>3071.95</v>
      </c>
      <c r="J8701" s="5">
        <v>22400</v>
      </c>
      <c r="K8701" s="6">
        <f t="shared" si="357"/>
        <v>1.4160386725044354</v>
      </c>
    </row>
    <row r="8702" spans="1:11" hidden="1">
      <c r="A8702" s="4">
        <v>2026</v>
      </c>
      <c r="B8702">
        <v>28</v>
      </c>
      <c r="C8702" t="s">
        <v>54</v>
      </c>
      <c r="D8702" t="s">
        <v>11</v>
      </c>
      <c r="E8702" t="s">
        <v>47</v>
      </c>
      <c r="F8702" t="s">
        <v>57</v>
      </c>
      <c r="G8702" t="str">
        <f t="shared" si="356"/>
        <v>030EXPLORER</v>
      </c>
      <c r="H8702" s="5">
        <f>VLOOKUP(G8702,[6]Astroflores!$G$2:$H$110,2,FALSE)</f>
        <v>2600</v>
      </c>
      <c r="I8702" s="6">
        <v>1645.6875</v>
      </c>
      <c r="J8702" s="5">
        <v>12000</v>
      </c>
      <c r="K8702" s="6">
        <f t="shared" si="357"/>
        <v>1.5798868254149101</v>
      </c>
    </row>
    <row r="8703" spans="1:11" hidden="1">
      <c r="A8703" s="4">
        <v>2026</v>
      </c>
      <c r="B8703">
        <v>29</v>
      </c>
      <c r="C8703" t="s">
        <v>10</v>
      </c>
      <c r="D8703" t="s">
        <v>11</v>
      </c>
      <c r="E8703" t="s">
        <v>12</v>
      </c>
      <c r="F8703" t="s">
        <v>13</v>
      </c>
      <c r="G8703" t="str">
        <f t="shared" si="356"/>
        <v>002SOMERSET</v>
      </c>
      <c r="H8703" s="5">
        <v>5340</v>
      </c>
      <c r="I8703" s="6">
        <v>4121.4642855494085</v>
      </c>
      <c r="J8703" s="5">
        <v>31200</v>
      </c>
      <c r="K8703" s="6">
        <f t="shared" si="357"/>
        <v>1.29565601689744</v>
      </c>
    </row>
    <row r="8704" spans="1:11" hidden="1">
      <c r="A8704" s="4">
        <v>2026</v>
      </c>
      <c r="B8704">
        <v>29</v>
      </c>
      <c r="C8704" t="s">
        <v>10</v>
      </c>
      <c r="D8704" t="s">
        <v>11</v>
      </c>
      <c r="E8704" t="s">
        <v>14</v>
      </c>
      <c r="F8704" t="s">
        <v>15</v>
      </c>
      <c r="G8704" t="str">
        <f t="shared" si="356"/>
        <v>004BELLINA</v>
      </c>
      <c r="H8704" s="5">
        <v>1605</v>
      </c>
      <c r="I8704" s="6">
        <v>1056.7857142434418</v>
      </c>
      <c r="J8704" s="5">
        <v>8000</v>
      </c>
      <c r="K8704" s="6">
        <f t="shared" si="357"/>
        <v>1.5187563366609544</v>
      </c>
    </row>
    <row r="8705" spans="1:11" hidden="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17</v>
      </c>
      <c r="G8705" t="str">
        <f t="shared" si="356"/>
        <v>005ELBA</v>
      </c>
      <c r="H8705" s="5">
        <v>4770</v>
      </c>
      <c r="I8705" s="6">
        <v>2641.9642856076484</v>
      </c>
      <c r="J8705" s="5">
        <v>19996</v>
      </c>
      <c r="K8705" s="6">
        <f t="shared" si="357"/>
        <v>1.8054748226480686</v>
      </c>
    </row>
    <row r="8706" spans="1:11" hidden="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18</v>
      </c>
      <c r="G8706" t="str">
        <f t="shared" si="356"/>
        <v>005HOT BUBBLES</v>
      </c>
      <c r="H8706" s="5">
        <v>980</v>
      </c>
      <c r="I8706" s="6">
        <v>528.39285712153003</v>
      </c>
      <c r="J8706" s="5">
        <v>4000</v>
      </c>
      <c r="K8706" s="6">
        <f t="shared" si="357"/>
        <v>1.8546806354246395</v>
      </c>
    </row>
    <row r="8707" spans="1:11" hidden="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19</v>
      </c>
      <c r="G8707" t="str">
        <f t="shared" si="356"/>
        <v>005SUSPIRO</v>
      </c>
      <c r="H8707" s="5">
        <v>3120</v>
      </c>
      <c r="I8707" s="6">
        <v>1902.2142856375078</v>
      </c>
      <c r="J8707" s="5">
        <v>14400</v>
      </c>
      <c r="K8707" s="6">
        <f t="shared" si="357"/>
        <v>1.6401937592190692</v>
      </c>
    </row>
    <row r="8708" spans="1:11" hidden="1">
      <c r="A8708" s="4">
        <v>2026</v>
      </c>
      <c r="B8708">
        <v>29</v>
      </c>
      <c r="C8708" t="s">
        <v>10</v>
      </c>
      <c r="D8708" t="s">
        <v>11</v>
      </c>
      <c r="E8708" t="s">
        <v>20</v>
      </c>
      <c r="F8708" t="s">
        <v>21</v>
      </c>
      <c r="G8708" t="str">
        <f t="shared" si="356"/>
        <v>007SNOW BUBBLES</v>
      </c>
      <c r="H8708" s="5">
        <v>600</v>
      </c>
      <c r="I8708" s="6">
        <v>634.05652706821195</v>
      </c>
      <c r="J8708" s="5">
        <v>4800</v>
      </c>
      <c r="K8708" s="6">
        <f t="shared" si="357"/>
        <v>0.94628786927612818</v>
      </c>
    </row>
    <row r="8709" spans="1:11" hidden="1">
      <c r="A8709" s="4">
        <v>2026</v>
      </c>
      <c r="B8709">
        <v>29</v>
      </c>
      <c r="C8709" t="s">
        <v>10</v>
      </c>
      <c r="D8709" t="s">
        <v>11</v>
      </c>
      <c r="E8709" t="s">
        <v>22</v>
      </c>
      <c r="F8709" t="s">
        <v>18</v>
      </c>
      <c r="G8709" t="str">
        <f t="shared" si="356"/>
        <v>009HOT BUBBLES</v>
      </c>
      <c r="H8709" s="5">
        <v>5860</v>
      </c>
      <c r="I8709" s="6">
        <v>4487.9999999102474</v>
      </c>
      <c r="J8709" s="5">
        <v>31740</v>
      </c>
      <c r="K8709" s="6">
        <f t="shared" si="357"/>
        <v>1.3057040998478588</v>
      </c>
    </row>
    <row r="8710" spans="1:11" hidden="1">
      <c r="A8710" s="4">
        <v>2026</v>
      </c>
      <c r="B8710">
        <v>29</v>
      </c>
      <c r="C8710" t="s">
        <v>10</v>
      </c>
      <c r="D8710" t="s">
        <v>11</v>
      </c>
      <c r="E8710" t="s">
        <v>23</v>
      </c>
      <c r="F8710" t="s">
        <v>24</v>
      </c>
      <c r="G8710" t="str">
        <f t="shared" si="356"/>
        <v>014FRUITY BUBBLES</v>
      </c>
      <c r="H8710" s="5">
        <v>3700</v>
      </c>
      <c r="I8710" s="6">
        <v>1702.8</v>
      </c>
      <c r="J8710" s="5">
        <v>12900</v>
      </c>
      <c r="K8710" s="6">
        <f t="shared" si="357"/>
        <v>2.1728917077754288</v>
      </c>
    </row>
    <row r="8711" spans="1:11" hidden="1">
      <c r="A8711" s="4">
        <v>2026</v>
      </c>
      <c r="B8711">
        <v>29</v>
      </c>
      <c r="C8711" t="s">
        <v>10</v>
      </c>
      <c r="D8711" t="s">
        <v>11</v>
      </c>
      <c r="E8711" t="s">
        <v>25</v>
      </c>
      <c r="F8711" t="s">
        <v>26</v>
      </c>
      <c r="G8711" t="str">
        <f t="shared" si="356"/>
        <v>015FELLINI</v>
      </c>
      <c r="H8711" s="5">
        <v>4520</v>
      </c>
      <c r="I8711" s="6">
        <v>3009.6</v>
      </c>
      <c r="J8711" s="5">
        <v>22800</v>
      </c>
      <c r="K8711" s="6">
        <f t="shared" si="357"/>
        <v>1.5018607123870282</v>
      </c>
    </row>
    <row r="8712" spans="1:11" hidden="1">
      <c r="A8712" s="4">
        <v>2026</v>
      </c>
      <c r="B8712">
        <v>29</v>
      </c>
      <c r="C8712" t="s">
        <v>10</v>
      </c>
      <c r="D8712" t="s">
        <v>11</v>
      </c>
      <c r="E8712" t="s">
        <v>27</v>
      </c>
      <c r="F8712" t="s">
        <v>28</v>
      </c>
      <c r="G8712" t="str">
        <f t="shared" si="356"/>
        <v>016GOOD PEACH</v>
      </c>
      <c r="H8712" s="5">
        <v>2250</v>
      </c>
      <c r="I8712" s="6">
        <v>1386</v>
      </c>
      <c r="J8712" s="5">
        <v>10500</v>
      </c>
      <c r="K8712" s="6">
        <f t="shared" si="357"/>
        <v>1.6233766233766234</v>
      </c>
    </row>
    <row r="8713" spans="1:11" hidden="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29</v>
      </c>
      <c r="G8713" t="str">
        <f t="shared" si="356"/>
        <v>016GOOD YELLOW</v>
      </c>
      <c r="H8713" s="5">
        <v>2280</v>
      </c>
      <c r="I8713" s="6">
        <v>1386</v>
      </c>
      <c r="J8713" s="5">
        <v>10500</v>
      </c>
      <c r="K8713" s="6">
        <f t="shared" si="357"/>
        <v>1.6450216450216451</v>
      </c>
    </row>
    <row r="8714" spans="1:11" hidden="1">
      <c r="A8714" s="4">
        <v>2026</v>
      </c>
      <c r="B8714">
        <v>29</v>
      </c>
      <c r="C8714" t="s">
        <v>10</v>
      </c>
      <c r="D8714" t="s">
        <v>11</v>
      </c>
      <c r="E8714" t="s">
        <v>30</v>
      </c>
      <c r="F8714" t="s">
        <v>31</v>
      </c>
      <c r="G8714" t="str">
        <f t="shared" si="356"/>
        <v>017ORANGE STAR</v>
      </c>
      <c r="H8714" s="5">
        <v>2000</v>
      </c>
      <c r="I8714" s="6">
        <v>1029.5999999999999</v>
      </c>
      <c r="J8714" s="5">
        <v>7800</v>
      </c>
      <c r="K8714" s="6">
        <f t="shared" si="357"/>
        <v>1.9425019425019427</v>
      </c>
    </row>
    <row r="8715" spans="1:11" hidden="1">
      <c r="A8715" s="4">
        <v>2026</v>
      </c>
      <c r="B8715">
        <v>29</v>
      </c>
      <c r="C8715" t="s">
        <v>10</v>
      </c>
      <c r="D8715" t="s">
        <v>11</v>
      </c>
      <c r="E8715" t="s">
        <v>32</v>
      </c>
      <c r="F8715" t="s">
        <v>33</v>
      </c>
      <c r="G8715" t="str">
        <f t="shared" si="356"/>
        <v>018COSMO</v>
      </c>
      <c r="H8715" s="5">
        <v>4400</v>
      </c>
      <c r="I8715" s="6">
        <v>2653.2</v>
      </c>
      <c r="J8715" s="5">
        <v>20100</v>
      </c>
      <c r="K8715" s="6">
        <f t="shared" si="357"/>
        <v>1.6583747927031511</v>
      </c>
    </row>
    <row r="8716" spans="1:11" hidden="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34</v>
      </c>
      <c r="G8716" t="str">
        <f t="shared" si="356"/>
        <v>018RUBICON</v>
      </c>
      <c r="H8716" s="5">
        <v>3330</v>
      </c>
      <c r="I8716" s="6">
        <v>1768.8</v>
      </c>
      <c r="J8716" s="5">
        <v>13400</v>
      </c>
      <c r="K8716" s="6">
        <f t="shared" si="357"/>
        <v>1.8826322930800543</v>
      </c>
    </row>
    <row r="8717" spans="1:11" hidden="1">
      <c r="A8717" s="4">
        <v>2026</v>
      </c>
      <c r="B8717">
        <v>29</v>
      </c>
      <c r="C8717" t="s">
        <v>10</v>
      </c>
      <c r="D8717" t="s">
        <v>11</v>
      </c>
      <c r="E8717" t="s">
        <v>35</v>
      </c>
      <c r="F8717" t="s">
        <v>15</v>
      </c>
      <c r="G8717" t="str">
        <f t="shared" si="356"/>
        <v>019BELLINA</v>
      </c>
      <c r="H8717" s="5">
        <v>1395</v>
      </c>
      <c r="I8717" s="6">
        <v>1029.5999999999999</v>
      </c>
      <c r="J8717" s="5">
        <v>7800</v>
      </c>
      <c r="K8717" s="6">
        <f t="shared" si="357"/>
        <v>1.354895104895105</v>
      </c>
    </row>
    <row r="8718" spans="1:11" hidden="1">
      <c r="A8718" s="4">
        <v>2026</v>
      </c>
      <c r="B8718">
        <v>29</v>
      </c>
      <c r="C8718" t="s">
        <v>10</v>
      </c>
      <c r="D8718" t="s">
        <v>11</v>
      </c>
      <c r="E8718" t="s">
        <v>36</v>
      </c>
      <c r="F8718" t="s">
        <v>37</v>
      </c>
      <c r="G8718" t="str">
        <f t="shared" si="356"/>
        <v>020SUMMER DANCE</v>
      </c>
      <c r="H8718" s="5">
        <v>3175</v>
      </c>
      <c r="I8718" s="6">
        <v>1346.4</v>
      </c>
      <c r="J8718" s="5">
        <v>10200</v>
      </c>
      <c r="K8718" s="6">
        <f t="shared" si="357"/>
        <v>2.3581402257872845</v>
      </c>
    </row>
    <row r="8719" spans="1:11" hidden="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39</v>
      </c>
      <c r="G8719" t="str">
        <f t="shared" si="356"/>
        <v>021ELEGANT ROSEVER</v>
      </c>
      <c r="H8719" s="5">
        <v>330</v>
      </c>
      <c r="I8719" s="6">
        <v>440.18999062500001</v>
      </c>
      <c r="J8719" s="5">
        <v>3200</v>
      </c>
      <c r="K8719" s="6">
        <f t="shared" si="357"/>
        <v>0.74967629211980102</v>
      </c>
    </row>
    <row r="8720" spans="1:11" hidden="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40</v>
      </c>
      <c r="G8720" t="str">
        <f t="shared" si="356"/>
        <v>021FLAME CLUB</v>
      </c>
      <c r="H8720" s="5">
        <v>1600</v>
      </c>
      <c r="I8720" s="6">
        <v>880.38</v>
      </c>
      <c r="J8720" s="5">
        <v>6400</v>
      </c>
      <c r="K8720" s="6">
        <f t="shared" si="357"/>
        <v>1.8173970330993434</v>
      </c>
    </row>
    <row r="8721" spans="1:11" hidden="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41</v>
      </c>
      <c r="G8721" t="str">
        <f t="shared" si="356"/>
        <v>021KELLY</v>
      </c>
      <c r="H8721" s="5">
        <v>650</v>
      </c>
      <c r="I8721" s="6">
        <v>330.14249999999998</v>
      </c>
      <c r="J8721" s="5">
        <v>2400</v>
      </c>
      <c r="K8721" s="6">
        <f t="shared" si="357"/>
        <v>1.9688467858576222</v>
      </c>
    </row>
    <row r="8722" spans="1:11" hidden="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42</v>
      </c>
      <c r="G8722" t="str">
        <f t="shared" si="356"/>
        <v>021LEILA</v>
      </c>
      <c r="H8722" s="5">
        <v>2900</v>
      </c>
      <c r="I8722" s="6">
        <v>1650.7125000000001</v>
      </c>
      <c r="J8722" s="5">
        <v>12000</v>
      </c>
      <c r="K8722" s="6">
        <f t="shared" si="357"/>
        <v>1.756817131996032</v>
      </c>
    </row>
    <row r="8723" spans="1:11" hidden="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21</v>
      </c>
      <c r="G8723" t="str">
        <f t="shared" si="356"/>
        <v>021SNOW BUBBLES</v>
      </c>
      <c r="H8723" s="5">
        <v>1260</v>
      </c>
      <c r="I8723" s="6">
        <v>1287.0000000000018</v>
      </c>
      <c r="J8723" s="5">
        <v>9400</v>
      </c>
      <c r="K8723" s="6">
        <f t="shared" si="357"/>
        <v>0.97902097902097762</v>
      </c>
    </row>
    <row r="8724" spans="1:11" hidden="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24</v>
      </c>
      <c r="G8724" t="str">
        <f t="shared" si="356"/>
        <v>022FRUITY BUBBLES</v>
      </c>
      <c r="H8724" s="5">
        <v>3150</v>
      </c>
      <c r="I8724" s="6">
        <v>2641.14</v>
      </c>
      <c r="J8724" s="5">
        <v>19200</v>
      </c>
      <c r="K8724" s="6">
        <f t="shared" si="357"/>
        <v>1.1926668029714442</v>
      </c>
    </row>
    <row r="8725" spans="1:11" hidden="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28</v>
      </c>
      <c r="G8725" t="str">
        <f t="shared" si="356"/>
        <v>022GOOD PEACH</v>
      </c>
      <c r="H8725" s="5">
        <v>1770</v>
      </c>
      <c r="I8725" s="6">
        <v>880.38</v>
      </c>
      <c r="J8725" s="5">
        <v>6400</v>
      </c>
      <c r="K8725" s="6">
        <f t="shared" si="357"/>
        <v>2.0104954678661486</v>
      </c>
    </row>
    <row r="8726" spans="1:11" hidden="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44</v>
      </c>
      <c r="G8726" t="str">
        <f t="shared" si="356"/>
        <v>022MIRABEL</v>
      </c>
      <c r="H8726" s="5">
        <v>1340</v>
      </c>
      <c r="I8726" s="6">
        <v>880.38</v>
      </c>
      <c r="J8726" s="5">
        <v>6400</v>
      </c>
      <c r="K8726" s="6">
        <f t="shared" si="357"/>
        <v>1.5220700152207001</v>
      </c>
    </row>
    <row r="8727" spans="1:11" hidden="1">
      <c r="A8727" s="4">
        <v>2026</v>
      </c>
      <c r="B8727">
        <v>29</v>
      </c>
      <c r="C8727" t="s">
        <v>10</v>
      </c>
      <c r="D8727" t="s">
        <v>11</v>
      </c>
      <c r="E8727" t="s">
        <v>45</v>
      </c>
      <c r="F8727" t="s">
        <v>46</v>
      </c>
      <c r="G8727" t="str">
        <f t="shared" si="356"/>
        <v>026PURPLE BUBBLY</v>
      </c>
      <c r="H8727" s="5">
        <v>770</v>
      </c>
      <c r="I8727" s="6">
        <v>1755.4</v>
      </c>
      <c r="J8727" s="5">
        <v>12800</v>
      </c>
      <c r="K8727" s="6">
        <f t="shared" si="357"/>
        <v>0.43864646234476468</v>
      </c>
    </row>
    <row r="8728" spans="1:11" hidden="1">
      <c r="A8728" s="4">
        <v>2026</v>
      </c>
      <c r="B8728">
        <v>29</v>
      </c>
      <c r="C8728" t="s">
        <v>10</v>
      </c>
      <c r="D8728" t="s">
        <v>11</v>
      </c>
      <c r="E8728" t="s">
        <v>47</v>
      </c>
      <c r="F8728" t="s">
        <v>44</v>
      </c>
      <c r="G8728" t="str">
        <f t="shared" si="356"/>
        <v>030MIRABEL</v>
      </c>
      <c r="H8728" s="5">
        <v>2540</v>
      </c>
      <c r="I8728" s="6">
        <v>2413.6749943750001</v>
      </c>
      <c r="J8728" s="5">
        <v>17600</v>
      </c>
      <c r="K8728" s="6">
        <f t="shared" si="357"/>
        <v>1.0523372060941911</v>
      </c>
    </row>
    <row r="8729" spans="1:11" hidden="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13</v>
      </c>
      <c r="G8729" t="str">
        <f t="shared" si="356"/>
        <v>030SOMERSET</v>
      </c>
      <c r="H8729" s="5">
        <v>3380</v>
      </c>
      <c r="I8729" s="6">
        <v>1645.6875</v>
      </c>
      <c r="J8729" s="5">
        <v>12000</v>
      </c>
      <c r="K8729" s="6">
        <f t="shared" si="357"/>
        <v>2.053852873039383</v>
      </c>
    </row>
    <row r="8730" spans="1:11" hidden="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49</v>
      </c>
      <c r="G8730" t="str">
        <f t="shared" si="356"/>
        <v>03182989</v>
      </c>
      <c r="H8730" s="5">
        <v>500</v>
      </c>
      <c r="I8730" s="6">
        <v>726.32013058333712</v>
      </c>
      <c r="J8730" s="5">
        <v>5712</v>
      </c>
      <c r="K8730" s="6">
        <f t="shared" si="357"/>
        <v>0.68840168260024648</v>
      </c>
    </row>
    <row r="8731" spans="1:11" hidden="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34</v>
      </c>
      <c r="G8731" t="str">
        <f t="shared" si="356"/>
        <v>031RUBICON</v>
      </c>
      <c r="H8731" s="5">
        <v>2580</v>
      </c>
      <c r="I8731" s="6">
        <v>924.39958333667107</v>
      </c>
      <c r="J8731" s="5">
        <v>6720</v>
      </c>
      <c r="K8731" s="6">
        <f t="shared" si="357"/>
        <v>2.7910008253004057</v>
      </c>
    </row>
    <row r="8732" spans="1:11" hidden="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13</v>
      </c>
      <c r="G8732" t="str">
        <f t="shared" si="356"/>
        <v>031SOMERSET</v>
      </c>
      <c r="H8732" s="5">
        <v>200</v>
      </c>
      <c r="I8732" s="6">
        <v>1122.485208333339</v>
      </c>
      <c r="J8732" s="5">
        <v>8160</v>
      </c>
      <c r="K8732" s="6">
        <f t="shared" si="357"/>
        <v>0.17817606727928212</v>
      </c>
    </row>
    <row r="8733" spans="1:11" hidden="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50</v>
      </c>
      <c r="G8733" t="str">
        <f t="shared" si="356"/>
        <v>031VELVET BLOSSOMS</v>
      </c>
      <c r="H8733" s="5">
        <v>260</v>
      </c>
      <c r="I8733" s="6">
        <v>396.17125000000198</v>
      </c>
      <c r="J8733" s="5">
        <v>2880</v>
      </c>
      <c r="K8733" s="6">
        <f t="shared" si="357"/>
        <v>0.65628184781202248</v>
      </c>
    </row>
    <row r="8734" spans="1:11" hidden="1">
      <c r="A8734" s="4">
        <v>2026</v>
      </c>
      <c r="B8734">
        <v>29</v>
      </c>
      <c r="C8734" t="s">
        <v>10</v>
      </c>
      <c r="D8734" t="s">
        <v>11</v>
      </c>
      <c r="E8734" t="s">
        <v>51</v>
      </c>
      <c r="F8734" t="s">
        <v>17</v>
      </c>
      <c r="G8734" t="str">
        <f t="shared" si="356"/>
        <v>032ELBA</v>
      </c>
      <c r="H8734" s="5">
        <v>2040</v>
      </c>
      <c r="I8734" s="6">
        <v>1535.9749999999999</v>
      </c>
      <c r="J8734" s="5">
        <v>11200</v>
      </c>
      <c r="K8734" s="6">
        <f t="shared" si="357"/>
        <v>1.3281466169696774</v>
      </c>
    </row>
    <row r="8735" spans="1:11" hidden="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44</v>
      </c>
      <c r="G8735" t="str">
        <f t="shared" si="356"/>
        <v>032MIRABEL</v>
      </c>
      <c r="H8735" s="5">
        <v>1700</v>
      </c>
      <c r="I8735" s="6">
        <v>1535.9749999999999</v>
      </c>
      <c r="J8735" s="5">
        <v>11200</v>
      </c>
      <c r="K8735" s="6">
        <f t="shared" si="357"/>
        <v>1.1067888474747312</v>
      </c>
    </row>
    <row r="8736" spans="1:11" hidden="1">
      <c r="A8736" s="4">
        <v>2026</v>
      </c>
      <c r="B8736">
        <v>29</v>
      </c>
      <c r="C8736" t="s">
        <v>10</v>
      </c>
      <c r="D8736" t="s">
        <v>11</v>
      </c>
      <c r="E8736" t="s">
        <v>52</v>
      </c>
      <c r="F8736" t="s">
        <v>53</v>
      </c>
      <c r="G8736" t="str">
        <f t="shared" si="356"/>
        <v>033CREAMY FOLIES</v>
      </c>
      <c r="H8736" s="5">
        <v>810</v>
      </c>
      <c r="I8736" s="6">
        <v>594.25687500000299</v>
      </c>
      <c r="J8736" s="5">
        <v>4320</v>
      </c>
      <c r="K8736" s="6">
        <f t="shared" si="357"/>
        <v>1.3630469146865081</v>
      </c>
    </row>
    <row r="8737" spans="1:11" hidden="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18</v>
      </c>
      <c r="G8737" t="str">
        <f t="shared" si="356"/>
        <v>033HOT BUBBLES</v>
      </c>
      <c r="H8737" s="5">
        <v>2620</v>
      </c>
      <c r="I8737" s="6">
        <v>2575.1131250013459</v>
      </c>
      <c r="J8737" s="5">
        <v>18720</v>
      </c>
      <c r="K8737" s="6">
        <f t="shared" si="357"/>
        <v>1.0174310303352714</v>
      </c>
    </row>
    <row r="8738" spans="1:11" hidden="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56</v>
      </c>
      <c r="G8738" t="str">
        <f t="shared" si="356"/>
        <v>001BELIEVE IN PINK</v>
      </c>
      <c r="H8738" s="5">
        <v>1800</v>
      </c>
      <c r="I8738" s="6">
        <v>528.37931032368999</v>
      </c>
      <c r="J8738" s="5">
        <v>4000</v>
      </c>
      <c r="K8738" s="6">
        <f t="shared" ref="K8738:K8743" si="358">IFERROR(H8738/I8738,"")</f>
        <v>3.4066436077849143</v>
      </c>
    </row>
    <row r="8739" spans="1:11" hidden="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57</v>
      </c>
      <c r="G8739" t="str">
        <f t="shared" si="356"/>
        <v>001EXPLORER</v>
      </c>
      <c r="H8739" s="5">
        <v>3000</v>
      </c>
      <c r="I8739" s="6">
        <v>2272.0310343918732</v>
      </c>
      <c r="J8739" s="5">
        <v>17200</v>
      </c>
      <c r="K8739" s="6">
        <f t="shared" si="358"/>
        <v>1.3204044991414361</v>
      </c>
    </row>
    <row r="8740" spans="1:11" hidden="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58</v>
      </c>
      <c r="G8740" t="str">
        <f t="shared" si="356"/>
        <v>001GRACE KELLY</v>
      </c>
      <c r="H8740" s="5">
        <v>1830</v>
      </c>
      <c r="I8740" s="6">
        <v>1162.4344827121224</v>
      </c>
      <c r="J8740" s="5">
        <v>8800</v>
      </c>
      <c r="K8740" s="6">
        <f t="shared" si="358"/>
        <v>1.5742822732945376</v>
      </c>
    </row>
    <row r="8741" spans="1:11" hidden="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60</v>
      </c>
      <c r="G8741" t="str">
        <f t="shared" si="356"/>
        <v>001LIGHT HOUSE</v>
      </c>
      <c r="H8741" s="5">
        <v>1920</v>
      </c>
      <c r="I8741" s="6">
        <v>1056.7586206473827</v>
      </c>
      <c r="J8741" s="5">
        <v>8000</v>
      </c>
      <c r="K8741" s="6">
        <f t="shared" si="358"/>
        <v>1.8168765908186162</v>
      </c>
    </row>
    <row r="8742" spans="1:11" hidden="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61</v>
      </c>
      <c r="G8742" t="str">
        <f t="shared" ref="G8742:G8801" si="359">+E8742&amp;F8742</f>
        <v>001LUMIA</v>
      </c>
      <c r="H8742" s="5">
        <v>1920</v>
      </c>
      <c r="I8742" s="6">
        <v>1109.596551679753</v>
      </c>
      <c r="J8742" s="5">
        <v>8400</v>
      </c>
      <c r="K8742" s="6">
        <f t="shared" si="358"/>
        <v>1.7303586579224897</v>
      </c>
    </row>
    <row r="8743" spans="1:11" hidden="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62</v>
      </c>
      <c r="G8743" t="str">
        <f t="shared" si="359"/>
        <v>001MOMENTUM</v>
      </c>
      <c r="H8743" s="5">
        <v>3175</v>
      </c>
      <c r="I8743" s="6">
        <v>1902.1655171652881</v>
      </c>
      <c r="J8743" s="5">
        <v>14400</v>
      </c>
      <c r="K8743" s="6">
        <f t="shared" si="358"/>
        <v>1.6691502244933765</v>
      </c>
    </row>
    <row r="8744" spans="1:11" hidden="1">
      <c r="A8744" s="4">
        <v>2026</v>
      </c>
      <c r="B8744">
        <v>29</v>
      </c>
      <c r="C8744" t="s">
        <v>54</v>
      </c>
      <c r="D8744" t="s">
        <v>11</v>
      </c>
      <c r="E8744" t="s">
        <v>12</v>
      </c>
      <c r="F8744" t="s">
        <v>63</v>
      </c>
      <c r="G8744" t="str">
        <f t="shared" si="359"/>
        <v>002SUMMER ROMANCE</v>
      </c>
      <c r="H8744" s="5">
        <v>700</v>
      </c>
      <c r="I8744" s="6">
        <v>951.10714281909407</v>
      </c>
      <c r="J8744" s="5">
        <v>7200</v>
      </c>
      <c r="K8744" s="6">
        <f t="shared" ref="K8744:K8803" si="360">+H8744/I8744</f>
        <v>0.7359843791364985</v>
      </c>
    </row>
    <row r="8745" spans="1:11" hidden="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64</v>
      </c>
      <c r="G8745" t="str">
        <f t="shared" si="359"/>
        <v>002SWEETNESS</v>
      </c>
      <c r="H8745" s="5">
        <v>5550</v>
      </c>
      <c r="I8745" s="6">
        <v>3804.4285712763772</v>
      </c>
      <c r="J8745" s="5">
        <v>28800</v>
      </c>
      <c r="K8745" s="6">
        <f t="shared" si="360"/>
        <v>1.4588261800741307</v>
      </c>
    </row>
    <row r="8746" spans="1:11" hidden="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66</v>
      </c>
      <c r="G8746" t="str">
        <f t="shared" si="359"/>
        <v>003CABARET</v>
      </c>
      <c r="H8746" s="5">
        <v>8760</v>
      </c>
      <c r="I8746" s="6">
        <v>2641.8965516184649</v>
      </c>
      <c r="J8746" s="5">
        <v>20000</v>
      </c>
      <c r="K8746" s="6">
        <f t="shared" si="360"/>
        <v>3.3157997782439645</v>
      </c>
    </row>
    <row r="8747" spans="1:11" hidden="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67</v>
      </c>
      <c r="G8747" t="str">
        <f t="shared" si="359"/>
        <v>003DEEP PURPLE</v>
      </c>
      <c r="H8747" s="5">
        <v>16530</v>
      </c>
      <c r="I8747" s="6">
        <v>3592.9793102010913</v>
      </c>
      <c r="J8747" s="5">
        <v>26044</v>
      </c>
      <c r="K8747" s="6">
        <f t="shared" si="360"/>
        <v>4.6006387938467848</v>
      </c>
    </row>
    <row r="8748" spans="1:11" hidden="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57</v>
      </c>
      <c r="G8748" t="str">
        <f t="shared" si="359"/>
        <v>003EXPLORER</v>
      </c>
      <c r="H8748" s="5">
        <v>1725</v>
      </c>
      <c r="I8748" s="6">
        <v>1268.1103447768633</v>
      </c>
      <c r="J8748" s="5">
        <v>9600</v>
      </c>
      <c r="K8748" s="6">
        <f t="shared" si="360"/>
        <v>1.3602917183863295</v>
      </c>
    </row>
    <row r="8749" spans="1:11" hidden="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68</v>
      </c>
      <c r="G8749" t="str">
        <f t="shared" si="359"/>
        <v>003JOCKER</v>
      </c>
      <c r="H8749" s="5">
        <v>725</v>
      </c>
      <c r="I8749" s="6">
        <v>528.37931032368999</v>
      </c>
      <c r="J8749" s="5">
        <v>4000</v>
      </c>
      <c r="K8749" s="6">
        <f t="shared" si="360"/>
        <v>1.3721203420244794</v>
      </c>
    </row>
    <row r="8750" spans="1:11" hidden="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69</v>
      </c>
      <c r="G8750" t="str">
        <f t="shared" si="359"/>
        <v>003QUICKSAND</v>
      </c>
      <c r="H8750" s="5">
        <v>1560</v>
      </c>
      <c r="I8750" s="6">
        <v>1162.4344827121247</v>
      </c>
      <c r="J8750" s="5">
        <v>8800</v>
      </c>
      <c r="K8750" s="6">
        <f t="shared" si="360"/>
        <v>1.3420111182182917</v>
      </c>
    </row>
    <row r="8751" spans="1:11" hidden="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70</v>
      </c>
      <c r="G8751" t="str">
        <f t="shared" si="359"/>
        <v>004COTOPAXI</v>
      </c>
      <c r="H8751" s="5">
        <v>870</v>
      </c>
      <c r="I8751" s="6">
        <v>528.3915024419166</v>
      </c>
      <c r="J8751" s="5">
        <v>4000</v>
      </c>
      <c r="K8751" s="6">
        <f t="shared" si="360"/>
        <v>1.6465064180240763</v>
      </c>
    </row>
    <row r="8752" spans="1:11" hidden="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67</v>
      </c>
      <c r="G8752" t="str">
        <f t="shared" si="359"/>
        <v>004DEEP PURPLE</v>
      </c>
      <c r="H8752" s="5">
        <v>20940</v>
      </c>
      <c r="I8752" s="6">
        <v>3910.1071427007282</v>
      </c>
      <c r="J8752" s="5">
        <v>29260</v>
      </c>
      <c r="K8752" s="6">
        <f t="shared" si="360"/>
        <v>5.3553519726665728</v>
      </c>
    </row>
    <row r="8753" spans="1:11" hidden="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71</v>
      </c>
      <c r="G8753" t="str">
        <f t="shared" si="359"/>
        <v>004HOT EXPLORER</v>
      </c>
      <c r="H8753" s="5">
        <v>1775</v>
      </c>
      <c r="I8753" s="6">
        <v>1902.2142856381945</v>
      </c>
      <c r="J8753" s="5">
        <v>14400</v>
      </c>
      <c r="K8753" s="6">
        <f t="shared" si="360"/>
        <v>0.9331230521194861</v>
      </c>
    </row>
    <row r="8754" spans="1:11" hidden="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72</v>
      </c>
      <c r="G8754" t="str">
        <f t="shared" si="359"/>
        <v>004HOT MERENGUE</v>
      </c>
      <c r="H8754" s="5">
        <v>3090</v>
      </c>
      <c r="I8754" s="6">
        <v>1162.4642856677858</v>
      </c>
      <c r="J8754" s="5">
        <v>8800</v>
      </c>
      <c r="K8754" s="6">
        <f t="shared" si="360"/>
        <v>2.6581461797124613</v>
      </c>
    </row>
    <row r="8755" spans="1:11" hidden="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64</v>
      </c>
      <c r="G8755" t="str">
        <f t="shared" si="359"/>
        <v>004SWEETNESS</v>
      </c>
      <c r="H8755" s="5">
        <v>810</v>
      </c>
      <c r="I8755" s="6">
        <v>317.03571427303262</v>
      </c>
      <c r="J8755" s="5">
        <v>2400</v>
      </c>
      <c r="K8755" s="6">
        <f t="shared" si="360"/>
        <v>2.5549172018595492</v>
      </c>
    </row>
    <row r="8756" spans="1:11" hidden="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57</v>
      </c>
      <c r="G8756" t="str">
        <f t="shared" si="359"/>
        <v>005EXPLORER</v>
      </c>
      <c r="H8756" s="5">
        <v>1025</v>
      </c>
      <c r="I8756" s="6">
        <v>951.10714281875391</v>
      </c>
      <c r="J8756" s="5">
        <v>7200</v>
      </c>
      <c r="K8756" s="6">
        <f t="shared" si="360"/>
        <v>1.0776914123074011</v>
      </c>
    </row>
    <row r="8757" spans="1:11" hidden="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73</v>
      </c>
      <c r="G8757" t="str">
        <f t="shared" si="359"/>
        <v>005GOLDFINCH</v>
      </c>
      <c r="H8757" s="5">
        <v>1225</v>
      </c>
      <c r="I8757" s="6">
        <v>898.26785710660101</v>
      </c>
      <c r="J8757" s="5">
        <v>6800</v>
      </c>
      <c r="K8757" s="6">
        <f t="shared" si="360"/>
        <v>1.3637357613416468</v>
      </c>
    </row>
    <row r="8758" spans="1:11" hidden="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68</v>
      </c>
      <c r="G8758" t="str">
        <f t="shared" si="359"/>
        <v>005JOCKER</v>
      </c>
      <c r="H8758" s="5">
        <v>1900</v>
      </c>
      <c r="I8758" s="6">
        <v>1162.4642856673661</v>
      </c>
      <c r="J8758" s="5">
        <v>8800</v>
      </c>
      <c r="K8758" s="6">
        <f t="shared" si="360"/>
        <v>1.6344588160050162</v>
      </c>
    </row>
    <row r="8759" spans="1:11" hidden="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74</v>
      </c>
      <c r="G8759" t="str">
        <f t="shared" si="359"/>
        <v>005VENDELA</v>
      </c>
      <c r="H8759" s="5">
        <v>1320</v>
      </c>
      <c r="I8759" s="6">
        <v>686.91071425798896</v>
      </c>
      <c r="J8759" s="5">
        <v>5200</v>
      </c>
      <c r="K8759" s="6">
        <f t="shared" si="360"/>
        <v>1.9216471261856549</v>
      </c>
    </row>
    <row r="8760" spans="1:11" hidden="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76</v>
      </c>
      <c r="G8760" t="str">
        <f t="shared" si="359"/>
        <v>006ATOMIC</v>
      </c>
      <c r="H8760" s="5">
        <v>2075</v>
      </c>
      <c r="I8760" s="6">
        <v>845.428571394752</v>
      </c>
      <c r="J8760" s="5">
        <v>6400</v>
      </c>
      <c r="K8760" s="6">
        <f t="shared" si="360"/>
        <v>2.4543764786382289</v>
      </c>
    </row>
    <row r="8761" spans="1:11" hidden="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57</v>
      </c>
      <c r="G8761" t="str">
        <f t="shared" si="359"/>
        <v>006EXPLORER</v>
      </c>
      <c r="H8761" s="5">
        <v>5625</v>
      </c>
      <c r="I8761" s="6">
        <v>3910.1071427007355</v>
      </c>
      <c r="J8761" s="5">
        <v>29600</v>
      </c>
      <c r="K8761" s="6">
        <f t="shared" si="360"/>
        <v>1.438579505551548</v>
      </c>
    </row>
    <row r="8762" spans="1:11" hidden="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77</v>
      </c>
      <c r="G8762" t="str">
        <f t="shared" si="359"/>
        <v>006MONDIAL</v>
      </c>
      <c r="H8762" s="5">
        <v>5625</v>
      </c>
      <c r="I8762" s="6">
        <v>4015.7857141250793</v>
      </c>
      <c r="J8762" s="5">
        <v>30400</v>
      </c>
      <c r="K8762" s="6">
        <f t="shared" si="360"/>
        <v>1.4007221501422968</v>
      </c>
    </row>
    <row r="8763" spans="1:11" hidden="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9"/>
        <v>007COTOPAXI</v>
      </c>
      <c r="H8763" s="5">
        <v>6870</v>
      </c>
      <c r="I8763" s="6">
        <v>2747.5751230427709</v>
      </c>
      <c r="J8763" s="5">
        <v>20800</v>
      </c>
      <c r="K8763" s="6">
        <f t="shared" si="360"/>
        <v>2.5003865926664441</v>
      </c>
    </row>
    <row r="8764" spans="1:11" hidden="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9"/>
        <v>007REDIANT</v>
      </c>
      <c r="H8764" s="5">
        <v>930</v>
      </c>
      <c r="I8764" s="6">
        <v>1056.75862064738</v>
      </c>
      <c r="J8764" s="5">
        <v>9600</v>
      </c>
      <c r="K8764" s="6">
        <f t="shared" si="360"/>
        <v>0.88004959867776944</v>
      </c>
    </row>
    <row r="8765" spans="1:11" hidden="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9"/>
        <v>007VENDELA</v>
      </c>
      <c r="H8765" s="5">
        <v>8670</v>
      </c>
      <c r="I8765" s="6">
        <v>3592.9793102011122</v>
      </c>
      <c r="J8765" s="5">
        <v>27820</v>
      </c>
      <c r="K8765" s="6">
        <f t="shared" si="360"/>
        <v>2.4130392221809673</v>
      </c>
    </row>
    <row r="8766" spans="1:11" hidden="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9"/>
        <v>008DEEP PURPLE</v>
      </c>
      <c r="H8766" s="5">
        <v>7740</v>
      </c>
      <c r="I8766" s="6">
        <v>1585.2222221588099</v>
      </c>
      <c r="J8766" s="5">
        <v>11490</v>
      </c>
      <c r="K8766" s="6">
        <f t="shared" si="360"/>
        <v>4.8825962012186546</v>
      </c>
    </row>
    <row r="8767" spans="1:11" hidden="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9"/>
        <v>008FREEDOM</v>
      </c>
      <c r="H8767" s="5">
        <v>4440</v>
      </c>
      <c r="I8767" s="6">
        <v>2219.311111022334</v>
      </c>
      <c r="J8767" s="5">
        <v>16800</v>
      </c>
      <c r="K8767" s="6">
        <f t="shared" si="360"/>
        <v>2.0006208133454066</v>
      </c>
    </row>
    <row r="8768" spans="1:11" hidden="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9"/>
        <v>008JOCKER</v>
      </c>
      <c r="H8768" s="5">
        <v>3125</v>
      </c>
      <c r="I8768" s="6">
        <v>2959.0814813631118</v>
      </c>
      <c r="J8768" s="5">
        <v>22400</v>
      </c>
      <c r="K8768" s="6">
        <f t="shared" si="360"/>
        <v>1.0560709529906074</v>
      </c>
    </row>
    <row r="8769" spans="1:11" hidden="1">
      <c r="A8769" s="4">
        <v>2026</v>
      </c>
      <c r="B8769">
        <v>29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9"/>
        <v>010COOLDOWN</v>
      </c>
      <c r="H8769" s="5">
        <v>825</v>
      </c>
      <c r="I8769" s="6">
        <v>1912.3542857142861</v>
      </c>
      <c r="J8769" s="5">
        <v>16320</v>
      </c>
      <c r="K8769" s="6">
        <f t="shared" si="360"/>
        <v>0.43140541800383664</v>
      </c>
    </row>
    <row r="8770" spans="1:11" hidden="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9"/>
        <v>010VIOLET HILL</v>
      </c>
      <c r="H8770" s="5">
        <v>1260</v>
      </c>
      <c r="I8770" s="6">
        <v>2812.2857142428579</v>
      </c>
      <c r="J8770" s="5">
        <v>20000</v>
      </c>
      <c r="K8770" s="6">
        <f t="shared" si="360"/>
        <v>0.448034135940994</v>
      </c>
    </row>
    <row r="8771" spans="1:11" hidden="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9"/>
        <v>011BRIGHTON</v>
      </c>
      <c r="H8771" s="5">
        <v>2350</v>
      </c>
      <c r="I8771" s="6">
        <v>1768.8376470588223</v>
      </c>
      <c r="J8771" s="5">
        <v>12800</v>
      </c>
      <c r="K8771" s="6">
        <f t="shared" si="360"/>
        <v>1.3285560740453028</v>
      </c>
    </row>
    <row r="8772" spans="1:11" hidden="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9"/>
        <v>011CANDLELIGHT</v>
      </c>
      <c r="H8772" s="5">
        <v>3980</v>
      </c>
      <c r="I8772" s="6">
        <v>2263.7999998868127</v>
      </c>
      <c r="J8772" s="5">
        <v>17920</v>
      </c>
      <c r="K8772" s="6">
        <f t="shared" si="360"/>
        <v>1.758105839826396</v>
      </c>
    </row>
    <row r="8773" spans="1:11" hidden="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9"/>
        <v>011CAYENNE</v>
      </c>
      <c r="H8773" s="5">
        <v>1800</v>
      </c>
      <c r="I8773" s="6">
        <v>994.97117647058747</v>
      </c>
      <c r="J8773" s="5">
        <v>7200</v>
      </c>
      <c r="K8773" s="6">
        <f t="shared" si="360"/>
        <v>1.8090976327425401</v>
      </c>
    </row>
    <row r="8774" spans="1:11" hidden="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9"/>
        <v>011LUMIA</v>
      </c>
      <c r="H8774" s="5">
        <v>1620</v>
      </c>
      <c r="I8774" s="6">
        <v>994.97117647058747</v>
      </c>
      <c r="J8774" s="5">
        <v>7920</v>
      </c>
      <c r="K8774" s="6">
        <f t="shared" si="360"/>
        <v>1.6281878694682861</v>
      </c>
    </row>
    <row r="8775" spans="1:11" hidden="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9"/>
        <v>011STARDUST</v>
      </c>
      <c r="H8775" s="5">
        <v>3375</v>
      </c>
      <c r="I8775" s="6">
        <v>2263.7999998868127</v>
      </c>
      <c r="J8775" s="5">
        <v>17920</v>
      </c>
      <c r="K8775" s="6">
        <f t="shared" si="360"/>
        <v>1.4908560827673585</v>
      </c>
    </row>
    <row r="8776" spans="1:11" hidden="1">
      <c r="A8776" s="4">
        <v>2026</v>
      </c>
      <c r="B8776">
        <v>29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9"/>
        <v>012DEEP PURPLE</v>
      </c>
      <c r="H8776" s="5">
        <v>19860</v>
      </c>
      <c r="I8776" s="6">
        <v>6727.0499997982479</v>
      </c>
      <c r="J8776" s="5">
        <v>49210</v>
      </c>
      <c r="K8776" s="6">
        <f t="shared" si="360"/>
        <v>2.9522599059908319</v>
      </c>
    </row>
    <row r="8777" spans="1:11" hidden="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9"/>
        <v>012LIGHT HOUSE</v>
      </c>
      <c r="H8777" s="5">
        <v>1500</v>
      </c>
      <c r="I8777" s="6">
        <v>994.95</v>
      </c>
      <c r="J8777" s="5">
        <v>7200</v>
      </c>
      <c r="K8777" s="6">
        <f t="shared" si="360"/>
        <v>1.5076134479119554</v>
      </c>
    </row>
    <row r="8778" spans="1:11" hidden="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9"/>
        <v>013COUNTRY BLUES</v>
      </c>
      <c r="H8778" s="5">
        <v>1775</v>
      </c>
      <c r="I8778" s="6">
        <v>831.6</v>
      </c>
      <c r="J8778" s="5">
        <v>6300</v>
      </c>
      <c r="K8778" s="6">
        <f t="shared" si="360"/>
        <v>2.1344396344396346</v>
      </c>
    </row>
    <row r="8779" spans="1:11" hidden="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9"/>
        <v>013LORRAINE</v>
      </c>
      <c r="H8779" s="5">
        <v>3300</v>
      </c>
      <c r="I8779" s="6">
        <v>1267.2</v>
      </c>
      <c r="J8779" s="5">
        <v>9600</v>
      </c>
      <c r="K8779" s="6">
        <f t="shared" si="360"/>
        <v>2.6041666666666665</v>
      </c>
    </row>
    <row r="8780" spans="1:11" hidden="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9"/>
        <v>013LUMIA</v>
      </c>
      <c r="H8780" s="5">
        <v>720</v>
      </c>
      <c r="I8780" s="6">
        <v>316.8</v>
      </c>
      <c r="J8780" s="5">
        <v>2400</v>
      </c>
      <c r="K8780" s="6">
        <f t="shared" si="360"/>
        <v>2.2727272727272725</v>
      </c>
    </row>
    <row r="8781" spans="1:11" hidden="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9"/>
        <v>013VENDELA</v>
      </c>
      <c r="H8781" s="5">
        <v>9960</v>
      </c>
      <c r="I8781" s="6">
        <v>3603.6</v>
      </c>
      <c r="J8781" s="5">
        <v>27296</v>
      </c>
      <c r="K8781" s="6">
        <f t="shared" si="360"/>
        <v>2.763902763902764</v>
      </c>
    </row>
    <row r="8782" spans="1:11" hidden="1">
      <c r="A8782" s="4">
        <v>2026</v>
      </c>
      <c r="B8782">
        <v>29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9"/>
        <v>014STARDUST</v>
      </c>
      <c r="H8782" s="5">
        <v>7050</v>
      </c>
      <c r="I8782" s="6">
        <v>3682.8</v>
      </c>
      <c r="J8782" s="5">
        <v>27900</v>
      </c>
      <c r="K8782" s="6">
        <f t="shared" si="360"/>
        <v>1.9143043336591723</v>
      </c>
    </row>
    <row r="8783" spans="1:11" hidden="1">
      <c r="A8783" s="4">
        <v>2026</v>
      </c>
      <c r="B8783">
        <v>29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9"/>
        <v>015JOCKER</v>
      </c>
      <c r="H8783" s="5">
        <v>3700</v>
      </c>
      <c r="I8783" s="6">
        <v>2376</v>
      </c>
      <c r="J8783" s="5">
        <v>18000</v>
      </c>
      <c r="K8783" s="6">
        <f t="shared" si="360"/>
        <v>1.5572390572390573</v>
      </c>
    </row>
    <row r="8784" spans="1:11" hidden="1">
      <c r="A8784" s="4">
        <v>2026</v>
      </c>
      <c r="B8784">
        <v>29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9"/>
        <v>016DREAM IN PEACH</v>
      </c>
      <c r="H8784" s="5">
        <v>1830</v>
      </c>
      <c r="I8784" s="6">
        <v>950.4</v>
      </c>
      <c r="J8784" s="5">
        <v>7200</v>
      </c>
      <c r="K8784" s="6">
        <f t="shared" si="360"/>
        <v>1.9255050505050506</v>
      </c>
    </row>
    <row r="8785" spans="1:11" hidden="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si="359"/>
        <v>016NINA</v>
      </c>
      <c r="H8785" s="5">
        <v>3025</v>
      </c>
      <c r="I8785" s="6">
        <v>1346.4</v>
      </c>
      <c r="J8785" s="5">
        <v>10200</v>
      </c>
      <c r="K8785" s="6">
        <f t="shared" si="360"/>
        <v>2.2467320261437909</v>
      </c>
    </row>
    <row r="8786" spans="1:11" hidden="1">
      <c r="A8786" s="4">
        <v>2026</v>
      </c>
      <c r="B8786">
        <v>29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9"/>
        <v>017FREEDOM</v>
      </c>
      <c r="H8786" s="5">
        <v>7110</v>
      </c>
      <c r="I8786" s="6">
        <v>2851.2</v>
      </c>
      <c r="J8786" s="5">
        <v>21600</v>
      </c>
      <c r="K8786" s="6">
        <f t="shared" si="360"/>
        <v>2.493686868686869</v>
      </c>
    </row>
    <row r="8787" spans="1:11" hidden="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9"/>
        <v>017GOLDFINCH</v>
      </c>
      <c r="H8787" s="5">
        <v>2950</v>
      </c>
      <c r="I8787" s="6">
        <v>2138.4</v>
      </c>
      <c r="J8787" s="5">
        <v>16200</v>
      </c>
      <c r="K8787" s="6">
        <f t="shared" si="360"/>
        <v>1.3795361017583239</v>
      </c>
    </row>
    <row r="8788" spans="1:11" hidden="1">
      <c r="A8788" s="4">
        <v>2026</v>
      </c>
      <c r="B8788">
        <v>29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9"/>
        <v>018BRIGHTON</v>
      </c>
      <c r="H8788" s="5">
        <v>2450</v>
      </c>
      <c r="I8788" s="6">
        <v>963.6</v>
      </c>
      <c r="J8788" s="5">
        <v>7570</v>
      </c>
      <c r="K8788" s="6">
        <f t="shared" si="360"/>
        <v>2.5425487754254879</v>
      </c>
    </row>
    <row r="8789" spans="1:11" hidden="1">
      <c r="A8789" s="4">
        <v>2026</v>
      </c>
      <c r="B8789">
        <v>29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9"/>
        <v>019BRIGHTON</v>
      </c>
      <c r="H8789" s="5">
        <v>8375</v>
      </c>
      <c r="I8789" s="6">
        <v>3168</v>
      </c>
      <c r="J8789" s="5">
        <v>24000</v>
      </c>
      <c r="K8789" s="6">
        <f t="shared" si="360"/>
        <v>2.6436237373737375</v>
      </c>
    </row>
    <row r="8790" spans="1:11" hidden="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9"/>
        <v>019TABATHA</v>
      </c>
      <c r="H8790" s="5">
        <v>3090</v>
      </c>
      <c r="I8790" s="6">
        <v>1188</v>
      </c>
      <c r="J8790" s="5">
        <v>9000</v>
      </c>
      <c r="K8790" s="6">
        <f t="shared" si="360"/>
        <v>2.6010101010101012</v>
      </c>
    </row>
    <row r="8791" spans="1:11" hidden="1">
      <c r="A8791" s="4">
        <v>2026</v>
      </c>
      <c r="B8791">
        <v>29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9"/>
        <v>020BRIGHTON</v>
      </c>
      <c r="H8791" s="5">
        <v>4775</v>
      </c>
      <c r="I8791" s="6">
        <v>2732.4</v>
      </c>
      <c r="J8791" s="5">
        <v>20700</v>
      </c>
      <c r="K8791" s="6">
        <f t="shared" si="360"/>
        <v>1.7475479432001171</v>
      </c>
    </row>
    <row r="8792" spans="1:11" hidden="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9"/>
        <v>020TYCOON</v>
      </c>
      <c r="H8792" s="5">
        <v>1440</v>
      </c>
      <c r="I8792" s="6">
        <v>673.2</v>
      </c>
      <c r="J8792" s="5">
        <v>5100</v>
      </c>
      <c r="K8792" s="6">
        <f t="shared" si="360"/>
        <v>2.1390374331550799</v>
      </c>
    </row>
    <row r="8793" spans="1:11" hidden="1">
      <c r="A8793" s="4">
        <v>2026</v>
      </c>
      <c r="B8793">
        <v>29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9"/>
        <v>021SHOW GIRL</v>
      </c>
      <c r="H8793" s="5">
        <v>1075</v>
      </c>
      <c r="I8793" s="6">
        <v>1100.4749999999999</v>
      </c>
      <c r="J8793" s="5">
        <v>8000</v>
      </c>
      <c r="K8793" s="6">
        <f t="shared" si="360"/>
        <v>0.97685090529089724</v>
      </c>
    </row>
    <row r="8794" spans="1:11" hidden="1">
      <c r="A8794" s="4">
        <v>2026</v>
      </c>
      <c r="B8794">
        <v>29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9"/>
        <v>022CORAL REEF</v>
      </c>
      <c r="H8794" s="5">
        <v>2400</v>
      </c>
      <c r="I8794" s="6">
        <v>1287</v>
      </c>
      <c r="J8794" s="5">
        <v>9400</v>
      </c>
      <c r="K8794" s="6">
        <f t="shared" si="360"/>
        <v>1.8648018648018647</v>
      </c>
    </row>
    <row r="8795" spans="1:11" hidden="1">
      <c r="A8795" s="4">
        <v>2026</v>
      </c>
      <c r="B8795">
        <v>29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9"/>
        <v>023COTOPAXI</v>
      </c>
      <c r="H8795" s="5">
        <v>5880</v>
      </c>
      <c r="I8795" s="6">
        <v>2641.14</v>
      </c>
      <c r="J8795" s="5">
        <v>19200</v>
      </c>
      <c r="K8795" s="6">
        <f t="shared" si="360"/>
        <v>2.226311365546696</v>
      </c>
    </row>
    <row r="8796" spans="1:11" hidden="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9"/>
        <v>023FRUTTETO</v>
      </c>
      <c r="H8796" s="5">
        <v>8700</v>
      </c>
      <c r="I8796" s="6">
        <v>2641.14</v>
      </c>
      <c r="J8796" s="5">
        <v>19200</v>
      </c>
      <c r="K8796" s="6">
        <f t="shared" si="360"/>
        <v>3.2940321224925602</v>
      </c>
    </row>
    <row r="8797" spans="1:11" hidden="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9"/>
        <v>024COTOPAXI</v>
      </c>
      <c r="H8797" s="5">
        <v>2580</v>
      </c>
      <c r="I8797" s="6">
        <v>1430.6174906250001</v>
      </c>
      <c r="J8797" s="5">
        <v>10400</v>
      </c>
      <c r="K8797" s="6">
        <f t="shared" si="360"/>
        <v>1.8034170677396544</v>
      </c>
    </row>
    <row r="8798" spans="1:11" hidden="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9"/>
        <v>024SWEETNESS</v>
      </c>
      <c r="H8798" s="5">
        <v>840</v>
      </c>
      <c r="I8798" s="6">
        <v>1430.6175000000001</v>
      </c>
      <c r="J8798" s="5">
        <v>10400</v>
      </c>
      <c r="K8798" s="6">
        <f t="shared" si="360"/>
        <v>0.58715904146286479</v>
      </c>
    </row>
    <row r="8799" spans="1:11" hidden="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9"/>
        <v>024TYCOON</v>
      </c>
      <c r="H8799" s="5">
        <v>1890</v>
      </c>
      <c r="I8799" s="6">
        <v>2861.2350000000001</v>
      </c>
      <c r="J8799" s="5">
        <v>20800</v>
      </c>
      <c r="K8799" s="6">
        <f t="shared" si="360"/>
        <v>0.66055392164572291</v>
      </c>
    </row>
    <row r="8800" spans="1:11" hidden="1">
      <c r="A8800" s="4">
        <v>2026</v>
      </c>
      <c r="B8800">
        <v>29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9"/>
        <v>025PINK MONDIAL</v>
      </c>
      <c r="H8800" s="5">
        <v>4675</v>
      </c>
      <c r="I8800" s="6">
        <v>3071.9505625000002</v>
      </c>
      <c r="J8800" s="5">
        <v>22400</v>
      </c>
      <c r="K8800" s="6">
        <f t="shared" si="360"/>
        <v>1.521834386617021</v>
      </c>
    </row>
    <row r="8801" spans="1:11" hidden="1">
      <c r="A8801" s="4">
        <v>2026</v>
      </c>
      <c r="B8801">
        <v>29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9"/>
        <v>026LOLA</v>
      </c>
      <c r="H8801" s="5">
        <v>5225</v>
      </c>
      <c r="I8801" s="6">
        <v>1097.125</v>
      </c>
      <c r="J8801" s="5">
        <v>8000</v>
      </c>
      <c r="K8801" s="6">
        <f t="shared" si="360"/>
        <v>4.7624473054574459</v>
      </c>
    </row>
    <row r="8802" spans="1:11" hidden="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ref="G8802:G8864" si="361">+E8802&amp;F8802</f>
        <v>026PALOMA</v>
      </c>
      <c r="H8802" s="5">
        <v>6325</v>
      </c>
      <c r="I8802" s="6">
        <v>2852.5250000000001</v>
      </c>
      <c r="J8802" s="5">
        <v>20800</v>
      </c>
      <c r="K8802" s="6">
        <f t="shared" si="360"/>
        <v>2.2173337656988106</v>
      </c>
    </row>
    <row r="8803" spans="1:11" hidden="1">
      <c r="A8803" s="4">
        <v>2026</v>
      </c>
      <c r="B8803">
        <v>29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61"/>
        <v>027SATISFACTION</v>
      </c>
      <c r="H8803" s="5">
        <v>2610</v>
      </c>
      <c r="I8803" s="6">
        <v>2633.1</v>
      </c>
      <c r="J8803" s="5">
        <v>19200</v>
      </c>
      <c r="K8803" s="6">
        <f t="shared" si="360"/>
        <v>0.99122707075310479</v>
      </c>
    </row>
    <row r="8804" spans="1:11" hidden="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61"/>
        <v>027TIFFANY</v>
      </c>
      <c r="H8804" s="5">
        <v>2040</v>
      </c>
      <c r="I8804" s="6">
        <v>2633.1</v>
      </c>
      <c r="J8804" s="5">
        <v>19200</v>
      </c>
      <c r="K8804" s="6">
        <f t="shared" ref="K8804:K8843" si="362">+H8804/I8804</f>
        <v>0.7747521932323117</v>
      </c>
    </row>
    <row r="8805" spans="1:11" hidden="1">
      <c r="A8805" s="4">
        <v>2026</v>
      </c>
      <c r="B8805">
        <v>29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61"/>
        <v>028COTOPAXI</v>
      </c>
      <c r="H8805" s="5">
        <v>3210</v>
      </c>
      <c r="I8805" s="6">
        <v>2852.5250000000001</v>
      </c>
      <c r="J8805" s="5">
        <v>20800</v>
      </c>
      <c r="K8805" s="6">
        <f t="shared" si="362"/>
        <v>1.125318796504851</v>
      </c>
    </row>
    <row r="8806" spans="1:11" hidden="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61"/>
        <v>028DEEP PURPLE</v>
      </c>
      <c r="H8806" s="5">
        <v>7440</v>
      </c>
      <c r="I8806" s="6">
        <v>2852.5250000000001</v>
      </c>
      <c r="J8806" s="5">
        <v>20800</v>
      </c>
      <c r="K8806" s="6">
        <f t="shared" si="362"/>
        <v>2.6082155283476918</v>
      </c>
    </row>
    <row r="8807" spans="1:11" hidden="1">
      <c r="A8807" s="4">
        <v>2026</v>
      </c>
      <c r="B8807">
        <v>29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61"/>
        <v>029PINK FLOYD</v>
      </c>
      <c r="H8807" s="5">
        <v>3925</v>
      </c>
      <c r="I8807" s="6">
        <v>3071.95</v>
      </c>
      <c r="J8807" s="5">
        <v>22400</v>
      </c>
      <c r="K8807" s="6">
        <f t="shared" si="362"/>
        <v>1.2776900665700941</v>
      </c>
    </row>
    <row r="8808" spans="1:11" hidden="1">
      <c r="A8808" s="4">
        <v>2026</v>
      </c>
      <c r="B8808">
        <v>29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61"/>
        <v>030EXPLORER</v>
      </c>
      <c r="H8808" s="5">
        <v>2275</v>
      </c>
      <c r="I8808" s="6">
        <v>1645.6875</v>
      </c>
      <c r="J8808" s="5">
        <v>12000</v>
      </c>
      <c r="K8808" s="6">
        <f t="shared" si="362"/>
        <v>1.3824009722380464</v>
      </c>
    </row>
    <row r="8809" spans="1:11" hidden="1">
      <c r="A8809" s="4">
        <v>2026</v>
      </c>
      <c r="B8809">
        <v>30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61"/>
        <v>002SOMERSET</v>
      </c>
      <c r="H8809" s="5">
        <f>VLOOKUP(G8809,[7]Astroflores!$G$2:$H$110,2,FALSE)</f>
        <v>8520</v>
      </c>
      <c r="I8809" s="6">
        <v>4121.4642855494085</v>
      </c>
      <c r="J8809" s="5">
        <v>31200</v>
      </c>
      <c r="K8809" s="6">
        <f t="shared" si="362"/>
        <v>2.0672264539262528</v>
      </c>
    </row>
    <row r="8810" spans="1:11" hidden="1">
      <c r="A8810" s="4">
        <v>2026</v>
      </c>
      <c r="B8810">
        <v>30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61"/>
        <v>004BELLINA</v>
      </c>
      <c r="H8810" s="5">
        <f>VLOOKUP(G8810,[7]Astroflores!$G$2:$H$110,2,FALSE)</f>
        <v>2370</v>
      </c>
      <c r="I8810" s="6">
        <v>1056.7857142434418</v>
      </c>
      <c r="J8810" s="5">
        <v>8000</v>
      </c>
      <c r="K8810" s="6">
        <f t="shared" si="362"/>
        <v>2.2426495438544936</v>
      </c>
    </row>
    <row r="8811" spans="1:11" hidden="1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61"/>
        <v>005ELBA</v>
      </c>
      <c r="H8811" s="5">
        <f>VLOOKUP(G8811,[7]Astroflores!$G$2:$H$110,2,FALSE)</f>
        <v>7080</v>
      </c>
      <c r="I8811" s="6">
        <v>2641.9642856076484</v>
      </c>
      <c r="J8811" s="5">
        <v>19996</v>
      </c>
      <c r="K8811" s="6">
        <f t="shared" si="362"/>
        <v>2.6798242650625417</v>
      </c>
    </row>
    <row r="8812" spans="1:11" hidden="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61"/>
        <v>005HOT BUBBLES</v>
      </c>
      <c r="H8812" s="5">
        <f>VLOOKUP(G8812,[7]Astroflores!$G$2:$H$110,2,FALSE)</f>
        <v>1280</v>
      </c>
      <c r="I8812" s="6">
        <v>528.39285712153003</v>
      </c>
      <c r="J8812" s="5">
        <v>4000</v>
      </c>
      <c r="K8812" s="6">
        <f t="shared" si="362"/>
        <v>2.4224400136158555</v>
      </c>
    </row>
    <row r="8813" spans="1:11" hidden="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61"/>
        <v>005SUSPIRO</v>
      </c>
      <c r="H8813" s="5">
        <f>VLOOKUP(G8813,[7]Astroflores!$G$2:$H$110,2,FALSE)</f>
        <v>3660</v>
      </c>
      <c r="I8813" s="6">
        <v>1902.2142856375078</v>
      </c>
      <c r="J8813" s="5">
        <v>14400</v>
      </c>
      <c r="K8813" s="6">
        <f t="shared" si="362"/>
        <v>1.9240734483146771</v>
      </c>
    </row>
    <row r="8814" spans="1:11" hidden="1">
      <c r="A8814" s="4">
        <v>2026</v>
      </c>
      <c r="B8814">
        <v>30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61"/>
        <v>007SNOW BUBBLES</v>
      </c>
      <c r="H8814" s="5">
        <f>VLOOKUP(G8814,[7]Astroflores!$G$2:$H$110,2,FALSE)</f>
        <v>1500</v>
      </c>
      <c r="I8814" s="6">
        <v>634.05652706821195</v>
      </c>
      <c r="J8814" s="5">
        <v>4800</v>
      </c>
      <c r="K8814" s="6">
        <f t="shared" si="362"/>
        <v>2.3657196731903207</v>
      </c>
    </row>
    <row r="8815" spans="1:11" hidden="1">
      <c r="A8815" s="4">
        <v>2026</v>
      </c>
      <c r="B8815">
        <v>30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61"/>
        <v>009HOT BUBBLES</v>
      </c>
      <c r="H8815" s="5">
        <f>VLOOKUP(G8815,[7]Astroflores!$G$2:$H$110,2,FALSE)</f>
        <v>8520</v>
      </c>
      <c r="I8815" s="6">
        <v>4487.9999999102474</v>
      </c>
      <c r="J8815" s="5">
        <v>31740</v>
      </c>
      <c r="K8815" s="6">
        <f t="shared" si="362"/>
        <v>1.8983957219630985</v>
      </c>
    </row>
    <row r="8816" spans="1:11" hidden="1">
      <c r="A8816" s="4">
        <v>2026</v>
      </c>
      <c r="B8816">
        <v>30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61"/>
        <v>014FRUITY BUBBLES</v>
      </c>
      <c r="H8816" s="5">
        <f>VLOOKUP(G8816,[7]Astroflores!$G$2:$H$110,2,FALSE)</f>
        <v>3975</v>
      </c>
      <c r="I8816" s="6">
        <v>1702.8</v>
      </c>
      <c r="J8816" s="5">
        <v>12900</v>
      </c>
      <c r="K8816" s="6">
        <f t="shared" si="362"/>
        <v>2.3343904157857649</v>
      </c>
    </row>
    <row r="8817" spans="1:11" hidden="1">
      <c r="A8817" s="4">
        <v>2026</v>
      </c>
      <c r="B8817">
        <v>30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61"/>
        <v>015FELLINI</v>
      </c>
      <c r="H8817" s="5">
        <f>VLOOKUP(G8817,[7]Astroflores!$G$2:$H$110,2,FALSE)</f>
        <v>6660</v>
      </c>
      <c r="I8817" s="6">
        <v>3009.6</v>
      </c>
      <c r="J8817" s="5">
        <v>22800</v>
      </c>
      <c r="K8817" s="6">
        <f t="shared" si="362"/>
        <v>2.2129186602870816</v>
      </c>
    </row>
    <row r="8818" spans="1:11" hidden="1">
      <c r="A8818" s="4">
        <v>2026</v>
      </c>
      <c r="B8818">
        <v>30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61"/>
        <v>016GOOD PEACH</v>
      </c>
      <c r="H8818" s="5">
        <f>VLOOKUP(G8818,[7]Astroflores!$G$2:$H$110,2,FALSE)</f>
        <v>3270</v>
      </c>
      <c r="I8818" s="6">
        <v>1386</v>
      </c>
      <c r="J8818" s="5">
        <v>10500</v>
      </c>
      <c r="K8818" s="6">
        <f t="shared" si="362"/>
        <v>2.3593073593073592</v>
      </c>
    </row>
    <row r="8819" spans="1:11" hidden="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61"/>
        <v>016GOOD YELLOW</v>
      </c>
      <c r="H8819" s="5">
        <f>VLOOKUP(G8819,[7]Astroflores!$G$2:$H$110,2,FALSE)</f>
        <v>4050</v>
      </c>
      <c r="I8819" s="6">
        <v>1386</v>
      </c>
      <c r="J8819" s="5">
        <v>10500</v>
      </c>
      <c r="K8819" s="6">
        <f t="shared" si="362"/>
        <v>2.9220779220779223</v>
      </c>
    </row>
    <row r="8820" spans="1:11" hidden="1">
      <c r="A8820" s="4">
        <v>2026</v>
      </c>
      <c r="B8820">
        <v>30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61"/>
        <v>017ORANGE STAR</v>
      </c>
      <c r="H8820" s="5">
        <f>VLOOKUP(G8820,[7]Astroflores!$G$2:$H$110,2,FALSE)</f>
        <v>1475</v>
      </c>
      <c r="I8820" s="6">
        <v>1029.5999999999999</v>
      </c>
      <c r="J8820" s="5">
        <v>7800</v>
      </c>
      <c r="K8820" s="6">
        <f t="shared" si="362"/>
        <v>1.4325951825951828</v>
      </c>
    </row>
    <row r="8821" spans="1:11" hidden="1">
      <c r="A8821" s="4">
        <v>2026</v>
      </c>
      <c r="B8821">
        <v>30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61"/>
        <v>018COSMO</v>
      </c>
      <c r="H8821" s="5">
        <f>VLOOKUP(G8821,[7]Astroflores!$G$2:$H$110,2,FALSE)</f>
        <v>4625</v>
      </c>
      <c r="I8821" s="6">
        <v>2653.2</v>
      </c>
      <c r="J8821" s="5">
        <v>20100</v>
      </c>
      <c r="K8821" s="6">
        <f t="shared" si="362"/>
        <v>1.7431780491481985</v>
      </c>
    </row>
    <row r="8822" spans="1:11" hidden="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61"/>
        <v>018RUBICON</v>
      </c>
      <c r="H8822" s="5">
        <f>VLOOKUP(G8822,[7]Astroflores!$G$2:$H$110,2,FALSE)</f>
        <v>3510</v>
      </c>
      <c r="I8822" s="6">
        <v>1768.8</v>
      </c>
      <c r="J8822" s="5">
        <v>13400</v>
      </c>
      <c r="K8822" s="6">
        <f t="shared" si="362"/>
        <v>1.9843962008141114</v>
      </c>
    </row>
    <row r="8823" spans="1:11" hidden="1">
      <c r="A8823" s="4">
        <v>2026</v>
      </c>
      <c r="B8823">
        <v>30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61"/>
        <v>019BELLINA</v>
      </c>
      <c r="H8823" s="5">
        <f>VLOOKUP(G8823,[7]Astroflores!$G$2:$H$110,2,FALSE)</f>
        <v>2190</v>
      </c>
      <c r="I8823" s="6">
        <v>1029.5999999999999</v>
      </c>
      <c r="J8823" s="5">
        <v>7800</v>
      </c>
      <c r="K8823" s="6">
        <f t="shared" si="362"/>
        <v>2.1270396270396272</v>
      </c>
    </row>
    <row r="8824" spans="1:11" hidden="1">
      <c r="A8824" s="4">
        <v>2026</v>
      </c>
      <c r="B8824">
        <v>30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61"/>
        <v>020SUMMER DANCE</v>
      </c>
      <c r="H8824" s="5">
        <f>VLOOKUP(G8824,[7]Astroflores!$G$2:$H$110,2,FALSE)</f>
        <v>3625</v>
      </c>
      <c r="I8824" s="6">
        <v>1346.4</v>
      </c>
      <c r="J8824" s="5">
        <v>10200</v>
      </c>
      <c r="K8824" s="6">
        <f t="shared" si="362"/>
        <v>2.6923648247177656</v>
      </c>
    </row>
    <row r="8825" spans="1:11" hidden="1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61"/>
        <v>021ELEGANT ROSEVER</v>
      </c>
      <c r="H8825" s="5">
        <f>VLOOKUP(G8825,[7]Astroflores!$G$2:$H$110,2,FALSE)</f>
        <v>1020</v>
      </c>
      <c r="I8825" s="6">
        <v>440.18999062500001</v>
      </c>
      <c r="J8825" s="5">
        <v>3200</v>
      </c>
      <c r="K8825" s="6">
        <f t="shared" si="362"/>
        <v>2.3171812665521125</v>
      </c>
    </row>
    <row r="8826" spans="1:11" hidden="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61"/>
        <v>021FLAME CLUB</v>
      </c>
      <c r="H8826" s="5">
        <f>VLOOKUP(G8826,[7]Astroflores!$G$2:$H$110,2,FALSE)</f>
        <v>1425</v>
      </c>
      <c r="I8826" s="6">
        <v>880.38</v>
      </c>
      <c r="J8826" s="5">
        <v>6400</v>
      </c>
      <c r="K8826" s="6">
        <f t="shared" si="362"/>
        <v>1.6186192326041027</v>
      </c>
    </row>
    <row r="8827" spans="1:11" hidden="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61"/>
        <v>021KELLY</v>
      </c>
      <c r="H8827" s="5">
        <f>VLOOKUP(G8827,[7]Astroflores!$G$2:$H$110,2,FALSE)</f>
        <v>475</v>
      </c>
      <c r="I8827" s="6">
        <v>330.14249999999998</v>
      </c>
      <c r="J8827" s="5">
        <v>2400</v>
      </c>
      <c r="K8827" s="6">
        <f t="shared" si="362"/>
        <v>1.4387726512036469</v>
      </c>
    </row>
    <row r="8828" spans="1:11" hidden="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61"/>
        <v>021LEILA</v>
      </c>
      <c r="H8828" s="5">
        <f>VLOOKUP(G8828,[7]Astroflores!$G$2:$H$110,2,FALSE)</f>
        <v>875</v>
      </c>
      <c r="I8828" s="6">
        <v>1650.7125000000001</v>
      </c>
      <c r="J8828" s="5">
        <v>12000</v>
      </c>
      <c r="K8828" s="6">
        <f t="shared" si="362"/>
        <v>0.53007413465397513</v>
      </c>
    </row>
    <row r="8829" spans="1:11" hidden="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61"/>
        <v>021SNOW BUBBLES</v>
      </c>
      <c r="H8829" s="5">
        <f>VLOOKUP(G8829,[7]Astroflores!$G$2:$H$110,2,FALSE)</f>
        <v>2720</v>
      </c>
      <c r="I8829" s="6">
        <v>1287.0000000000018</v>
      </c>
      <c r="J8829" s="5">
        <v>9400</v>
      </c>
      <c r="K8829" s="6">
        <f t="shared" si="362"/>
        <v>2.1134421134421104</v>
      </c>
    </row>
    <row r="8830" spans="1:11" hidden="1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61"/>
        <v>022FRUITY BUBBLES</v>
      </c>
      <c r="H8830" s="5">
        <f>VLOOKUP(G8830,[7]Astroflores!$G$2:$H$110,2,FALSE)</f>
        <v>5000</v>
      </c>
      <c r="I8830" s="6">
        <v>2641.14</v>
      </c>
      <c r="J8830" s="5">
        <v>19200</v>
      </c>
      <c r="K8830" s="6">
        <f t="shared" si="362"/>
        <v>1.8931219094784828</v>
      </c>
    </row>
    <row r="8831" spans="1:11" hidden="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61"/>
        <v>022GOOD PEACH</v>
      </c>
      <c r="H8831" s="5">
        <f>VLOOKUP(G8831,[7]Astroflores!$G$2:$H$110,2,FALSE)</f>
        <v>2190</v>
      </c>
      <c r="I8831" s="6">
        <v>880.38</v>
      </c>
      <c r="J8831" s="5">
        <v>6400</v>
      </c>
      <c r="K8831" s="6">
        <f t="shared" si="362"/>
        <v>2.4875621890547266</v>
      </c>
    </row>
    <row r="8832" spans="1:11" hidden="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61"/>
        <v>022MIRABEL</v>
      </c>
      <c r="H8832" s="5">
        <f>VLOOKUP(G8832,[7]Astroflores!$G$2:$H$110,2,FALSE)</f>
        <v>2380</v>
      </c>
      <c r="I8832" s="6">
        <v>880.38</v>
      </c>
      <c r="J8832" s="5">
        <v>6400</v>
      </c>
      <c r="K8832" s="6">
        <f t="shared" si="362"/>
        <v>2.7033780867352735</v>
      </c>
    </row>
    <row r="8833" spans="1:11" hidden="1">
      <c r="A8833" s="4">
        <v>2026</v>
      </c>
      <c r="B8833">
        <v>30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61"/>
        <v>026PURPLE BUBBLY</v>
      </c>
      <c r="H8833" s="5" t="e">
        <f>VLOOKUP(G8833,[7]Astroflores!$G$2:$H$110,2,FALSE)</f>
        <v>#N/A</v>
      </c>
      <c r="I8833" s="6">
        <v>1755.4</v>
      </c>
      <c r="J8833" s="5">
        <v>12800</v>
      </c>
      <c r="K8833" s="6" t="e">
        <f t="shared" si="362"/>
        <v>#N/A</v>
      </c>
    </row>
    <row r="8834" spans="1:11" hidden="1">
      <c r="A8834" s="4">
        <v>2026</v>
      </c>
      <c r="B8834">
        <v>30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61"/>
        <v>030MIRABEL</v>
      </c>
      <c r="H8834" s="5">
        <f>VLOOKUP(G8834,[7]Astroflores!$G$2:$H$110,2,FALSE)</f>
        <v>6960</v>
      </c>
      <c r="I8834" s="6">
        <v>2413.6749943750001</v>
      </c>
      <c r="J8834" s="5">
        <v>17600</v>
      </c>
      <c r="K8834" s="6">
        <f t="shared" si="362"/>
        <v>2.8835696670927442</v>
      </c>
    </row>
    <row r="8835" spans="1:11" hidden="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61"/>
        <v>030SOMERSET</v>
      </c>
      <c r="H8835" s="5">
        <f>VLOOKUP(G8835,[7]Astroflores!$G$2:$H$110,2,FALSE)</f>
        <v>3720</v>
      </c>
      <c r="I8835" s="6">
        <v>1645.6875</v>
      </c>
      <c r="J8835" s="5">
        <v>12000</v>
      </c>
      <c r="K8835" s="6">
        <f t="shared" si="362"/>
        <v>2.2604534579013329</v>
      </c>
    </row>
    <row r="8836" spans="1:11" hidden="1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61"/>
        <v>03182989</v>
      </c>
      <c r="H8836" s="5">
        <f>VLOOKUP(G8836,[7]Astroflores!$G$2:$H$110,2,FALSE)</f>
        <v>720</v>
      </c>
      <c r="I8836" s="6">
        <v>726.32013058333712</v>
      </c>
      <c r="J8836" s="5">
        <v>5712</v>
      </c>
      <c r="K8836" s="6">
        <f t="shared" si="362"/>
        <v>0.99129842294435488</v>
      </c>
    </row>
    <row r="8837" spans="1:11" hidden="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61"/>
        <v>031RUBICON</v>
      </c>
      <c r="H8837" s="5">
        <f>VLOOKUP(G8837,[7]Astroflores!$G$2:$H$110,2,FALSE)</f>
        <v>2400</v>
      </c>
      <c r="I8837" s="6">
        <v>924.39958333667107</v>
      </c>
      <c r="J8837" s="5">
        <v>6720</v>
      </c>
      <c r="K8837" s="6">
        <f t="shared" si="362"/>
        <v>2.5962798374887495</v>
      </c>
    </row>
    <row r="8838" spans="1:11" hidden="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61"/>
        <v>031SOMERSET</v>
      </c>
      <c r="H8838" s="5">
        <f>VLOOKUP(G8838,[7]Astroflores!$G$2:$H$110,2,FALSE)</f>
        <v>900</v>
      </c>
      <c r="I8838" s="6">
        <v>1122.485208333339</v>
      </c>
      <c r="J8838" s="5">
        <v>8160</v>
      </c>
      <c r="K8838" s="6">
        <f t="shared" si="362"/>
        <v>0.80179230275676949</v>
      </c>
    </row>
    <row r="8839" spans="1:11" hidden="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61"/>
        <v>031VELVET BLOSSOMS</v>
      </c>
      <c r="H8839" s="5">
        <f>VLOOKUP(G8839,[7]Astroflores!$G$2:$H$110,2,FALSE)</f>
        <v>1020</v>
      </c>
      <c r="I8839" s="6">
        <v>396.17125000000198</v>
      </c>
      <c r="J8839" s="5">
        <v>2880</v>
      </c>
      <c r="K8839" s="6">
        <f t="shared" si="362"/>
        <v>2.5746441721856264</v>
      </c>
    </row>
    <row r="8840" spans="1:11" hidden="1">
      <c r="A8840" s="4">
        <v>2026</v>
      </c>
      <c r="B8840">
        <v>30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61"/>
        <v>032ELBA</v>
      </c>
      <c r="H8840" s="5">
        <f>VLOOKUP(G8840,[7]Astroflores!$G$2:$H$110,2,FALSE)</f>
        <v>3090</v>
      </c>
      <c r="I8840" s="6">
        <v>1535.9749999999999</v>
      </c>
      <c r="J8840" s="5">
        <v>11200</v>
      </c>
      <c r="K8840" s="6">
        <f t="shared" si="362"/>
        <v>2.0117514933511287</v>
      </c>
    </row>
    <row r="8841" spans="1:11" hidden="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61"/>
        <v>032MIRABEL</v>
      </c>
      <c r="H8841" s="5">
        <f>VLOOKUP(G8841,[7]Astroflores!$G$2:$H$110,2,FALSE)</f>
        <v>2100</v>
      </c>
      <c r="I8841" s="6">
        <v>1535.9749999999999</v>
      </c>
      <c r="J8841" s="5">
        <v>11200</v>
      </c>
      <c r="K8841" s="6">
        <f t="shared" si="362"/>
        <v>1.367209752762903</v>
      </c>
    </row>
    <row r="8842" spans="1:11" hidden="1">
      <c r="A8842" s="4">
        <v>2026</v>
      </c>
      <c r="B8842">
        <v>30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61"/>
        <v>033CREAMY FOLIES</v>
      </c>
      <c r="H8842" s="5">
        <f>VLOOKUP(G8842,[7]Astroflores!$G$2:$H$110,2,FALSE)</f>
        <v>1170</v>
      </c>
      <c r="I8842" s="6">
        <v>594.25687500000299</v>
      </c>
      <c r="J8842" s="5">
        <v>4320</v>
      </c>
      <c r="K8842" s="6">
        <f t="shared" si="362"/>
        <v>1.9688455434360672</v>
      </c>
    </row>
    <row r="8843" spans="1:11" hidden="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61"/>
        <v>033HOT BUBBLES</v>
      </c>
      <c r="H8843" s="5">
        <f>VLOOKUP(G8843,[7]Astroflores!$G$2:$H$110,2,FALSE)</f>
        <v>4920</v>
      </c>
      <c r="I8843" s="6">
        <v>2575.1131250013459</v>
      </c>
      <c r="J8843" s="5">
        <v>18720</v>
      </c>
      <c r="K8843" s="6">
        <f t="shared" si="362"/>
        <v>1.9105956752860822</v>
      </c>
    </row>
    <row r="8844" spans="1:11" hidden="1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61"/>
        <v>001BELIEVE IN PINK</v>
      </c>
      <c r="H8844" s="5">
        <f>VLOOKUP(G8844,[7]Astroflores!$G$2:$H$110,2,FALSE)</f>
        <v>1470</v>
      </c>
      <c r="I8844" s="6">
        <v>528.37931032368999</v>
      </c>
      <c r="J8844" s="5">
        <v>4000</v>
      </c>
      <c r="K8844" s="6">
        <f t="shared" ref="K8844:K8849" si="363">IFERROR(H8844/I8844,"")</f>
        <v>2.782092279691013</v>
      </c>
    </row>
    <row r="8845" spans="1:11" hidden="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61"/>
        <v>001EXPLORER</v>
      </c>
      <c r="H8845" s="5">
        <f>VLOOKUP(G8845,[7]Astroflores!$G$2:$H$110,2,FALSE)</f>
        <v>3875</v>
      </c>
      <c r="I8845" s="6">
        <v>2272.0310343918732</v>
      </c>
      <c r="J8845" s="5">
        <v>17200</v>
      </c>
      <c r="K8845" s="6">
        <f t="shared" si="363"/>
        <v>1.7055224780576881</v>
      </c>
    </row>
    <row r="8846" spans="1:11" hidden="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61"/>
        <v>001GRACE KELLY</v>
      </c>
      <c r="H8846" s="5">
        <f>VLOOKUP(G8846,[7]Astroflores!$G$2:$H$110,2,FALSE)</f>
        <v>2310</v>
      </c>
      <c r="I8846" s="6">
        <v>1162.4344827121224</v>
      </c>
      <c r="J8846" s="5">
        <v>8800</v>
      </c>
      <c r="K8846" s="6">
        <f t="shared" si="363"/>
        <v>1.987208771207859</v>
      </c>
    </row>
    <row r="8847" spans="1:11" hidden="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60</v>
      </c>
      <c r="G8847" t="str">
        <f t="shared" si="361"/>
        <v>001LIGHT HOUSE</v>
      </c>
      <c r="H8847" s="5">
        <f>VLOOKUP(G8847,[7]Astroflores!$G$2:$H$110,2,FALSE)</f>
        <v>2040</v>
      </c>
      <c r="I8847" s="6">
        <v>1056.7586206473827</v>
      </c>
      <c r="J8847" s="5">
        <v>8000</v>
      </c>
      <c r="K8847" s="6">
        <f t="shared" si="363"/>
        <v>1.9304313777447797</v>
      </c>
    </row>
    <row r="8848" spans="1:11" hidden="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61</v>
      </c>
      <c r="G8848" t="str">
        <f t="shared" si="361"/>
        <v>001LUMIA</v>
      </c>
      <c r="H8848" s="5">
        <f>VLOOKUP(G8848,[7]Astroflores!$G$2:$H$110,2,FALSE)</f>
        <v>3510</v>
      </c>
      <c r="I8848" s="6">
        <v>1109.596551679753</v>
      </c>
      <c r="J8848" s="5">
        <v>8400</v>
      </c>
      <c r="K8848" s="6">
        <f t="shared" si="363"/>
        <v>3.1633119215145515</v>
      </c>
    </row>
    <row r="8849" spans="1:11" hidden="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62</v>
      </c>
      <c r="G8849" t="str">
        <f t="shared" si="361"/>
        <v>001MOMENTUM</v>
      </c>
      <c r="H8849" s="5">
        <f>VLOOKUP(G8849,[7]Astroflores!$G$2:$H$110,2,FALSE)</f>
        <v>4525</v>
      </c>
      <c r="I8849" s="6">
        <v>1902.1655171652881</v>
      </c>
      <c r="J8849" s="5">
        <v>14400</v>
      </c>
      <c r="K8849" s="6">
        <f t="shared" si="363"/>
        <v>2.3788676427818984</v>
      </c>
    </row>
    <row r="8850" spans="1:11" hidden="1">
      <c r="A8850" s="4">
        <v>2026</v>
      </c>
      <c r="B8850">
        <v>30</v>
      </c>
      <c r="C8850" t="s">
        <v>54</v>
      </c>
      <c r="D8850" t="s">
        <v>11</v>
      </c>
      <c r="E8850" t="s">
        <v>12</v>
      </c>
      <c r="F8850" t="s">
        <v>63</v>
      </c>
      <c r="G8850" t="str">
        <f t="shared" si="361"/>
        <v>002SUMMER ROMANCE</v>
      </c>
      <c r="H8850" s="5">
        <f>VLOOKUP(G8850,[7]Astroflores!$G$2:$H$110,2,FALSE)</f>
        <v>1500</v>
      </c>
      <c r="I8850" s="6">
        <v>951.10714281909407</v>
      </c>
      <c r="J8850" s="5">
        <v>7200</v>
      </c>
      <c r="K8850" s="6">
        <f t="shared" ref="K8850:K8912" si="364">+H8850/I8850</f>
        <v>1.5771093838639254</v>
      </c>
    </row>
    <row r="8851" spans="1:11" hidden="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64</v>
      </c>
      <c r="G8851" t="str">
        <f t="shared" si="361"/>
        <v>002SWEETNESS</v>
      </c>
      <c r="H8851" s="5">
        <f>VLOOKUP(G8851,[7]Astroflores!$G$2:$H$110,2,FALSE)</f>
        <v>6870</v>
      </c>
      <c r="I8851" s="6">
        <v>3804.4285712763772</v>
      </c>
      <c r="J8851" s="5">
        <v>28800</v>
      </c>
      <c r="K8851" s="6">
        <f t="shared" si="364"/>
        <v>1.8057902445241942</v>
      </c>
    </row>
    <row r="8852" spans="1:11" hidden="1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66</v>
      </c>
      <c r="G8852" t="str">
        <f t="shared" si="361"/>
        <v>003CABARET</v>
      </c>
      <c r="H8852" s="5">
        <f>VLOOKUP(G8852,[7]Astroflores!$G$2:$H$110,2,FALSE)</f>
        <v>6450</v>
      </c>
      <c r="I8852" s="6">
        <v>2641.8965516184649</v>
      </c>
      <c r="J8852" s="5">
        <v>20000</v>
      </c>
      <c r="K8852" s="6">
        <f t="shared" si="364"/>
        <v>2.4414279189125079</v>
      </c>
    </row>
    <row r="8853" spans="1:11" hidden="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67</v>
      </c>
      <c r="G8853" t="str">
        <f t="shared" si="361"/>
        <v>003DEEP PURPLE</v>
      </c>
      <c r="H8853" s="5">
        <f>VLOOKUP(G8853,[7]Astroflores!$G$2:$H$110,2,FALSE)</f>
        <v>10170</v>
      </c>
      <c r="I8853" s="6">
        <v>3592.9793102010913</v>
      </c>
      <c r="J8853" s="5">
        <v>26044</v>
      </c>
      <c r="K8853" s="6">
        <f t="shared" si="364"/>
        <v>2.8305200564683481</v>
      </c>
    </row>
    <row r="8854" spans="1:11" hidden="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57</v>
      </c>
      <c r="G8854" t="str">
        <f t="shared" si="361"/>
        <v>003EXPLORER</v>
      </c>
      <c r="H8854" s="5">
        <f>VLOOKUP(G8854,[7]Astroflores!$G$2:$H$110,2,FALSE)</f>
        <v>2125</v>
      </c>
      <c r="I8854" s="6">
        <v>1268.1103447768633</v>
      </c>
      <c r="J8854" s="5">
        <v>9600</v>
      </c>
      <c r="K8854" s="6">
        <f t="shared" si="364"/>
        <v>1.675721682070116</v>
      </c>
    </row>
    <row r="8855" spans="1:11" hidden="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68</v>
      </c>
      <c r="G8855" t="str">
        <f t="shared" si="361"/>
        <v>003JOCKER</v>
      </c>
      <c r="H8855" s="5">
        <f>VLOOKUP(G8855,[7]Astroflores!$G$2:$H$110,2,FALSE)</f>
        <v>1300</v>
      </c>
      <c r="I8855" s="6">
        <v>528.37931032368999</v>
      </c>
      <c r="J8855" s="5">
        <v>4000</v>
      </c>
      <c r="K8855" s="6">
        <f t="shared" si="364"/>
        <v>2.460353716733549</v>
      </c>
    </row>
    <row r="8856" spans="1:11" hidden="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69</v>
      </c>
      <c r="G8856" t="str">
        <f t="shared" si="361"/>
        <v>003QUICKSAND</v>
      </c>
      <c r="H8856" s="5">
        <f>VLOOKUP(G8856,[7]Astroflores!$G$2:$H$110,2,FALSE)</f>
        <v>2220</v>
      </c>
      <c r="I8856" s="6">
        <v>1162.4344827121247</v>
      </c>
      <c r="J8856" s="5">
        <v>8800</v>
      </c>
      <c r="K8856" s="6">
        <f t="shared" si="364"/>
        <v>1.9097850528491076</v>
      </c>
    </row>
    <row r="8857" spans="1:11" hidden="1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70</v>
      </c>
      <c r="G8857" t="str">
        <f t="shared" si="361"/>
        <v>004COTOPAXI</v>
      </c>
      <c r="H8857" s="5">
        <f>VLOOKUP(G8857,[7]Astroflores!$G$2:$H$110,2,FALSE)</f>
        <v>1440</v>
      </c>
      <c r="I8857" s="6">
        <v>528.3915024419166</v>
      </c>
      <c r="J8857" s="5">
        <v>4000</v>
      </c>
      <c r="K8857" s="6">
        <f t="shared" si="364"/>
        <v>2.7252520022467466</v>
      </c>
    </row>
    <row r="8858" spans="1:11" hidden="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67</v>
      </c>
      <c r="G8858" t="str">
        <f t="shared" si="361"/>
        <v>004DEEP PURPLE</v>
      </c>
      <c r="H8858" s="5">
        <f>VLOOKUP(G8858,[7]Astroflores!$G$2:$H$110,2,FALSE)</f>
        <v>12150</v>
      </c>
      <c r="I8858" s="6">
        <v>3910.1071427007282</v>
      </c>
      <c r="J8858" s="5">
        <v>29260</v>
      </c>
      <c r="K8858" s="6">
        <f t="shared" si="364"/>
        <v>3.1073317319913492</v>
      </c>
    </row>
    <row r="8859" spans="1:11" hidden="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71</v>
      </c>
      <c r="G8859" t="str">
        <f t="shared" si="361"/>
        <v>004HOT EXPLORER</v>
      </c>
      <c r="H8859" s="5">
        <f>VLOOKUP(G8859,[7]Astroflores!$G$2:$H$110,2,FALSE)</f>
        <v>1375</v>
      </c>
      <c r="I8859" s="6">
        <v>1902.2142856381945</v>
      </c>
      <c r="J8859" s="5">
        <v>14400</v>
      </c>
      <c r="K8859" s="6">
        <f t="shared" si="364"/>
        <v>0.72284180093763006</v>
      </c>
    </row>
    <row r="8860" spans="1:11" hidden="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72</v>
      </c>
      <c r="G8860" t="str">
        <f t="shared" si="361"/>
        <v>004HOT MERENGUE</v>
      </c>
      <c r="H8860" s="5">
        <f>VLOOKUP(G8860,[7]Astroflores!$G$2:$H$110,2,FALSE)</f>
        <v>2400</v>
      </c>
      <c r="I8860" s="6">
        <v>1162.4642856677858</v>
      </c>
      <c r="J8860" s="5">
        <v>8800</v>
      </c>
      <c r="K8860" s="6">
        <f t="shared" si="364"/>
        <v>2.0645795570582224</v>
      </c>
    </row>
    <row r="8861" spans="1:11" hidden="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64</v>
      </c>
      <c r="G8861" t="str">
        <f t="shared" si="361"/>
        <v>004SWEETNESS</v>
      </c>
      <c r="H8861" s="5">
        <f>VLOOKUP(G8861,[7]Astroflores!$G$2:$H$110,2,FALSE)</f>
        <v>690</v>
      </c>
      <c r="I8861" s="6">
        <v>317.03571427303262</v>
      </c>
      <c r="J8861" s="5">
        <v>2400</v>
      </c>
      <c r="K8861" s="6">
        <f t="shared" si="364"/>
        <v>2.1764109497322086</v>
      </c>
    </row>
    <row r="8862" spans="1:11" hidden="1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57</v>
      </c>
      <c r="G8862" t="str">
        <f t="shared" si="361"/>
        <v>005EXPLORER</v>
      </c>
      <c r="H8862" s="5">
        <f>VLOOKUP(G8862,[7]Astroflores!$G$2:$H$110,2,FALSE)</f>
        <v>1650</v>
      </c>
      <c r="I8862" s="6">
        <v>951.10714281875391</v>
      </c>
      <c r="J8862" s="5">
        <v>7200</v>
      </c>
      <c r="K8862" s="6">
        <f t="shared" si="364"/>
        <v>1.7348203222509384</v>
      </c>
    </row>
    <row r="8863" spans="1:11" hidden="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73</v>
      </c>
      <c r="G8863" t="str">
        <f t="shared" si="361"/>
        <v>005GOLDFINCH</v>
      </c>
      <c r="H8863" s="5">
        <f>VLOOKUP(G8863,[7]Astroflores!$G$2:$H$110,2,FALSE)</f>
        <v>900</v>
      </c>
      <c r="I8863" s="6">
        <v>898.26785710660101</v>
      </c>
      <c r="J8863" s="5">
        <v>6800</v>
      </c>
      <c r="K8863" s="6">
        <f t="shared" si="364"/>
        <v>1.0019283144550872</v>
      </c>
    </row>
    <row r="8864" spans="1:11" hidden="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68</v>
      </c>
      <c r="G8864" t="str">
        <f t="shared" si="361"/>
        <v>005JOCKER</v>
      </c>
      <c r="H8864" s="5">
        <f>VLOOKUP(G8864,[7]Astroflores!$G$2:$H$110,2,FALSE)</f>
        <v>3150</v>
      </c>
      <c r="I8864" s="6">
        <v>1162.4642856673661</v>
      </c>
      <c r="J8864" s="5">
        <v>8800</v>
      </c>
      <c r="K8864" s="6">
        <f t="shared" si="364"/>
        <v>2.7097606686398952</v>
      </c>
    </row>
    <row r="8865" spans="1:11" hidden="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74</v>
      </c>
      <c r="G8865" t="str">
        <f t="shared" ref="G8865:G8917" si="365">+E8865&amp;F8865</f>
        <v>005VENDELA</v>
      </c>
      <c r="H8865" s="5">
        <f>VLOOKUP(G8865,[7]Astroflores!$G$2:$H$110,2,FALSE)</f>
        <v>2100</v>
      </c>
      <c r="I8865" s="6">
        <v>686.91071425798896</v>
      </c>
      <c r="J8865" s="5">
        <v>5200</v>
      </c>
      <c r="K8865" s="6">
        <f t="shared" si="364"/>
        <v>3.0571658825680874</v>
      </c>
    </row>
    <row r="8866" spans="1:11" hidden="1">
      <c r="A8866" s="4">
        <v>2026</v>
      </c>
      <c r="B8866">
        <v>30</v>
      </c>
      <c r="C8866" t="s">
        <v>54</v>
      </c>
      <c r="D8866" t="s">
        <v>11</v>
      </c>
      <c r="E8866" t="s">
        <v>75</v>
      </c>
      <c r="F8866" t="s">
        <v>76</v>
      </c>
      <c r="G8866" t="str">
        <f t="shared" si="365"/>
        <v>006ATOMIC</v>
      </c>
      <c r="H8866" s="5">
        <f>VLOOKUP(G8866,[7]Astroflores!$G$2:$H$110,2,FALSE)</f>
        <v>900</v>
      </c>
      <c r="I8866" s="6">
        <v>845.428571394752</v>
      </c>
      <c r="J8866" s="5">
        <v>6400</v>
      </c>
      <c r="K8866" s="6">
        <f t="shared" si="364"/>
        <v>1.0645488341081475</v>
      </c>
    </row>
    <row r="8867" spans="1:11" hidden="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57</v>
      </c>
      <c r="G8867" t="str">
        <f t="shared" si="365"/>
        <v>006EXPLORER</v>
      </c>
      <c r="H8867" s="5">
        <f>VLOOKUP(G8867,[7]Astroflores!$G$2:$H$110,2,FALSE)</f>
        <v>6075</v>
      </c>
      <c r="I8867" s="6">
        <v>3910.1071427007355</v>
      </c>
      <c r="J8867" s="5">
        <v>29600</v>
      </c>
      <c r="K8867" s="6">
        <f t="shared" si="364"/>
        <v>1.5536658659956717</v>
      </c>
    </row>
    <row r="8868" spans="1:11" hidden="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77</v>
      </c>
      <c r="G8868" t="str">
        <f t="shared" si="365"/>
        <v>006MONDIAL</v>
      </c>
      <c r="H8868" s="5">
        <f>VLOOKUP(G8868,[7]Astroflores!$G$2:$H$110,2,FALSE)</f>
        <v>10650</v>
      </c>
      <c r="I8868" s="6">
        <v>4015.7857141250793</v>
      </c>
      <c r="J8868" s="5">
        <v>30400</v>
      </c>
      <c r="K8868" s="6">
        <f t="shared" si="364"/>
        <v>2.6520339376027486</v>
      </c>
    </row>
    <row r="8869" spans="1:11" hidden="1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70</v>
      </c>
      <c r="G8869" t="str">
        <f t="shared" si="365"/>
        <v>007COTOPAXI</v>
      </c>
      <c r="H8869" s="5">
        <f>VLOOKUP(G8869,[7]Astroflores!$G$2:$H$110,2,FALSE)</f>
        <v>6060</v>
      </c>
      <c r="I8869" s="6">
        <v>2747.5751230427709</v>
      </c>
      <c r="J8869" s="5">
        <v>20800</v>
      </c>
      <c r="K8869" s="6">
        <f t="shared" si="364"/>
        <v>2.2055811865441997</v>
      </c>
    </row>
    <row r="8870" spans="1:11" hidden="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78</v>
      </c>
      <c r="G8870" t="str">
        <f t="shared" si="365"/>
        <v>007REDIANT</v>
      </c>
      <c r="H8870" s="5">
        <f>VLOOKUP(G8870,[7]Astroflores!$G$2:$H$110,2,FALSE)</f>
        <v>2070</v>
      </c>
      <c r="I8870" s="6">
        <v>1056.75862064738</v>
      </c>
      <c r="J8870" s="5">
        <v>9600</v>
      </c>
      <c r="K8870" s="6">
        <f t="shared" si="364"/>
        <v>1.9588200744763256</v>
      </c>
    </row>
    <row r="8871" spans="1:11" hidden="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63</v>
      </c>
      <c r="G8871" t="str">
        <f t="shared" si="365"/>
        <v>007SUMMER ROMANCE</v>
      </c>
      <c r="H8871" s="5">
        <f>VLOOKUP(G8871,[7]Astroflores!$G$2:$H$110,2,FALSE)</f>
        <v>575</v>
      </c>
      <c r="I8871" s="6">
        <v>317.02758619421581</v>
      </c>
      <c r="J8871" s="5">
        <v>2640</v>
      </c>
      <c r="K8871" s="6">
        <f t="shared" si="364"/>
        <v>1.8137222911817725</v>
      </c>
    </row>
    <row r="8872" spans="1:11" hidden="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114</v>
      </c>
      <c r="G8872" t="str">
        <f t="shared" si="365"/>
        <v>007TOPACIO</v>
      </c>
      <c r="H8872" s="5" t="e">
        <f>VLOOKUP(G8872,[7]Astroflores!$G$2:$H$110,2,FALSE)</f>
        <v>#N/A</v>
      </c>
      <c r="I8872" s="6">
        <v>52.837931032368999</v>
      </c>
      <c r="J8872" s="5">
        <v>440</v>
      </c>
      <c r="K8872" s="6" t="e">
        <f t="shared" si="364"/>
        <v>#N/A</v>
      </c>
    </row>
    <row r="8873" spans="1:11" hidden="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5"/>
        <v>007VENDELA</v>
      </c>
      <c r="H8873" s="5">
        <f>VLOOKUP(G8873,[7]Astroflores!$G$2:$H$110,2,FALSE)</f>
        <v>11430</v>
      </c>
      <c r="I8873" s="6">
        <v>3592.9793102011122</v>
      </c>
      <c r="J8873" s="5">
        <v>27820</v>
      </c>
      <c r="K8873" s="6">
        <f t="shared" si="364"/>
        <v>3.1812039572697182</v>
      </c>
    </row>
    <row r="8874" spans="1:11" hidden="1">
      <c r="A8874" s="4">
        <v>2026</v>
      </c>
      <c r="B8874">
        <v>30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5"/>
        <v>008DEEP PURPLE</v>
      </c>
      <c r="H8874" s="5">
        <f>VLOOKUP(G8874,[7]Astroflores!$G$2:$H$110,2,FALSE)</f>
        <v>5880</v>
      </c>
      <c r="I8874" s="6">
        <v>1585.2222221588099</v>
      </c>
      <c r="J8874" s="5">
        <v>11490</v>
      </c>
      <c r="K8874" s="6">
        <f t="shared" si="364"/>
        <v>3.7092591296079704</v>
      </c>
    </row>
    <row r="8875" spans="1:11" hidden="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5"/>
        <v>008FREEDOM</v>
      </c>
      <c r="H8875" s="5">
        <f>VLOOKUP(G8875,[7]Astroflores!$G$2:$H$110,2,FALSE)</f>
        <v>5070</v>
      </c>
      <c r="I8875" s="6">
        <v>2219.311111022334</v>
      </c>
      <c r="J8875" s="5">
        <v>16800</v>
      </c>
      <c r="K8875" s="6">
        <f t="shared" si="364"/>
        <v>2.284492685509282</v>
      </c>
    </row>
    <row r="8876" spans="1:11" hidden="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5"/>
        <v>008JOCKER</v>
      </c>
      <c r="H8876" s="5">
        <f>VLOOKUP(G8876,[7]Astroflores!$G$2:$H$110,2,FALSE)</f>
        <v>5550</v>
      </c>
      <c r="I8876" s="6">
        <v>2959.0814813631118</v>
      </c>
      <c r="J8876" s="5">
        <v>22400</v>
      </c>
      <c r="K8876" s="6">
        <f t="shared" si="364"/>
        <v>1.875582012511319</v>
      </c>
    </row>
    <row r="8877" spans="1:11" hidden="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63</v>
      </c>
      <c r="G8877" t="str">
        <f t="shared" si="365"/>
        <v>008SUMMER ROMANCE</v>
      </c>
      <c r="H8877" s="5" t="e">
        <f>VLOOKUP(G8877,[7]Astroflores!$G$2:$H$110,2,FALSE)</f>
        <v>#N/A</v>
      </c>
      <c r="I8877" s="6">
        <v>1796.5851851133182</v>
      </c>
      <c r="J8877" s="5">
        <v>13600</v>
      </c>
      <c r="K8877" s="6" t="e">
        <f t="shared" si="364"/>
        <v>#N/A</v>
      </c>
    </row>
    <row r="8878" spans="1:11" hidden="1">
      <c r="A8878" s="4">
        <v>2026</v>
      </c>
      <c r="B8878">
        <v>30</v>
      </c>
      <c r="C8878" t="s">
        <v>54</v>
      </c>
      <c r="D8878" t="s">
        <v>11</v>
      </c>
      <c r="E8878" t="s">
        <v>82</v>
      </c>
      <c r="F8878" t="s">
        <v>83</v>
      </c>
      <c r="G8878" t="str">
        <f t="shared" si="365"/>
        <v>010COOLDOWN</v>
      </c>
      <c r="H8878" s="5">
        <f>VLOOKUP(G8878,[7]Astroflores!$G$2:$H$110,2,FALSE)</f>
        <v>4225</v>
      </c>
      <c r="I8878" s="6">
        <v>1912.3542857142861</v>
      </c>
      <c r="J8878" s="5">
        <v>16320</v>
      </c>
      <c r="K8878" s="6">
        <f t="shared" si="364"/>
        <v>2.2093186558378299</v>
      </c>
    </row>
    <row r="8879" spans="1:11" hidden="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84</v>
      </c>
      <c r="G8879" t="str">
        <f t="shared" si="365"/>
        <v>010VIOLET HILL</v>
      </c>
      <c r="H8879" s="5">
        <f>VLOOKUP(G8879,[7]Astroflores!$G$2:$H$110,2,FALSE)</f>
        <v>5040</v>
      </c>
      <c r="I8879" s="6">
        <v>2812.2857142428579</v>
      </c>
      <c r="J8879" s="5">
        <v>20000</v>
      </c>
      <c r="K8879" s="6">
        <f t="shared" si="364"/>
        <v>1.792136543763976</v>
      </c>
    </row>
    <row r="8880" spans="1:11" hidden="1">
      <c r="A8880" s="4">
        <v>2026</v>
      </c>
      <c r="B8880">
        <v>30</v>
      </c>
      <c r="C8880" t="s">
        <v>54</v>
      </c>
      <c r="D8880" t="s">
        <v>11</v>
      </c>
      <c r="E8880" t="s">
        <v>85</v>
      </c>
      <c r="F8880" t="s">
        <v>86</v>
      </c>
      <c r="G8880" t="str">
        <f t="shared" si="365"/>
        <v>011BRIGHTON</v>
      </c>
      <c r="H8880" s="5">
        <f>VLOOKUP(G8880,[7]Astroflores!$G$2:$H$110,2,FALSE)</f>
        <v>4000</v>
      </c>
      <c r="I8880" s="6">
        <v>1768.8376470588223</v>
      </c>
      <c r="J8880" s="5">
        <v>12800</v>
      </c>
      <c r="K8880" s="6">
        <f t="shared" si="364"/>
        <v>2.2613720409281752</v>
      </c>
    </row>
    <row r="8881" spans="1:11" hidden="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87</v>
      </c>
      <c r="G8881" t="str">
        <f t="shared" si="365"/>
        <v>011CANDLELIGHT</v>
      </c>
      <c r="H8881" s="5">
        <f>VLOOKUP(G8881,[7]Astroflores!$G$2:$H$110,2,FALSE)</f>
        <v>3860</v>
      </c>
      <c r="I8881" s="6">
        <v>2263.7999998868127</v>
      </c>
      <c r="J8881" s="5">
        <v>17920</v>
      </c>
      <c r="K8881" s="6">
        <f t="shared" si="364"/>
        <v>1.7050976235502233</v>
      </c>
    </row>
    <row r="8882" spans="1:11" hidden="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88</v>
      </c>
      <c r="G8882" t="str">
        <f t="shared" si="365"/>
        <v>011CAYENNE</v>
      </c>
      <c r="H8882" s="5">
        <f>VLOOKUP(G8882,[7]Astroflores!$G$2:$H$110,2,FALSE)</f>
        <v>1410</v>
      </c>
      <c r="I8882" s="6">
        <v>994.97117647058747</v>
      </c>
      <c r="J8882" s="5">
        <v>7200</v>
      </c>
      <c r="K8882" s="6">
        <f t="shared" si="364"/>
        <v>1.4171264789816564</v>
      </c>
    </row>
    <row r="8883" spans="1:11" hidden="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61</v>
      </c>
      <c r="G8883" t="str">
        <f t="shared" si="365"/>
        <v>011LUMIA</v>
      </c>
      <c r="H8883" s="5">
        <f>VLOOKUP(G8883,[7]Astroflores!$G$2:$H$110,2,FALSE)</f>
        <v>1950</v>
      </c>
      <c r="I8883" s="6">
        <v>994.97117647058747</v>
      </c>
      <c r="J8883" s="5">
        <v>7920</v>
      </c>
      <c r="K8883" s="6">
        <f t="shared" si="364"/>
        <v>1.9598557688044185</v>
      </c>
    </row>
    <row r="8884" spans="1:11" hidden="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89</v>
      </c>
      <c r="G8884" t="str">
        <f t="shared" si="365"/>
        <v>011STARDUST</v>
      </c>
      <c r="H8884" s="5">
        <f>VLOOKUP(G8884,[7]Astroflores!$G$2:$H$110,2,FALSE)</f>
        <v>4175</v>
      </c>
      <c r="I8884" s="6">
        <v>2263.7999998868127</v>
      </c>
      <c r="J8884" s="5">
        <v>17920</v>
      </c>
      <c r="K8884" s="6">
        <f t="shared" si="364"/>
        <v>1.8442441912751768</v>
      </c>
    </row>
    <row r="8885" spans="1:11" hidden="1">
      <c r="A8885" s="4">
        <v>2026</v>
      </c>
      <c r="B8885">
        <v>30</v>
      </c>
      <c r="C8885" t="s">
        <v>54</v>
      </c>
      <c r="D8885" t="s">
        <v>11</v>
      </c>
      <c r="E8885" t="s">
        <v>90</v>
      </c>
      <c r="F8885" t="s">
        <v>67</v>
      </c>
      <c r="G8885" t="str">
        <f t="shared" si="365"/>
        <v>012DEEP PURPLE</v>
      </c>
      <c r="H8885" s="5">
        <f>VLOOKUP(G8885,[7]Astroflores!$G$2:$H$110,2,FALSE)</f>
        <v>21930</v>
      </c>
      <c r="I8885" s="6">
        <v>6727.0499997982479</v>
      </c>
      <c r="J8885" s="5">
        <v>49210</v>
      </c>
      <c r="K8885" s="6">
        <f t="shared" si="364"/>
        <v>3.2599727964944081</v>
      </c>
    </row>
    <row r="8886" spans="1:11" hidden="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60</v>
      </c>
      <c r="G8886" t="str">
        <f t="shared" si="365"/>
        <v>012LIGHT HOUSE</v>
      </c>
      <c r="H8886" s="5">
        <f>VLOOKUP(G8886,[7]Astroflores!$G$2:$H$110,2,FALSE)</f>
        <v>1590</v>
      </c>
      <c r="I8886" s="6">
        <v>994.95</v>
      </c>
      <c r="J8886" s="5">
        <v>7200</v>
      </c>
      <c r="K8886" s="6">
        <f t="shared" si="364"/>
        <v>1.5980702547866725</v>
      </c>
    </row>
    <row r="8887" spans="1:11" hidden="1">
      <c r="A8887" s="4">
        <v>2026</v>
      </c>
      <c r="B8887">
        <v>30</v>
      </c>
      <c r="C8887" t="s">
        <v>54</v>
      </c>
      <c r="D8887" t="s">
        <v>11</v>
      </c>
      <c r="E8887" t="s">
        <v>91</v>
      </c>
      <c r="F8887" t="s">
        <v>92</v>
      </c>
      <c r="G8887" t="str">
        <f t="shared" si="365"/>
        <v>013COUNTRY BLUES</v>
      </c>
      <c r="H8887" s="5">
        <f>VLOOKUP(G8887,[7]Astroflores!$G$2:$H$110,2,FALSE)</f>
        <v>1400</v>
      </c>
      <c r="I8887" s="6">
        <v>831.6</v>
      </c>
      <c r="J8887" s="5">
        <v>6300</v>
      </c>
      <c r="K8887" s="6">
        <f t="shared" si="364"/>
        <v>1.6835016835016834</v>
      </c>
    </row>
    <row r="8888" spans="1:11" hidden="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93</v>
      </c>
      <c r="G8888" t="str">
        <f t="shared" si="365"/>
        <v>013LORRAINE</v>
      </c>
      <c r="H8888" s="5">
        <f>VLOOKUP(G8888,[7]Astroflores!$G$2:$H$110,2,FALSE)</f>
        <v>4250</v>
      </c>
      <c r="I8888" s="6">
        <v>1267.2</v>
      </c>
      <c r="J8888" s="5">
        <v>9600</v>
      </c>
      <c r="K8888" s="6">
        <f t="shared" si="364"/>
        <v>3.3538510101010099</v>
      </c>
    </row>
    <row r="8889" spans="1:11" hidden="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61</v>
      </c>
      <c r="G8889" t="str">
        <f t="shared" si="365"/>
        <v>013LUMIA</v>
      </c>
      <c r="H8889" s="5">
        <f>VLOOKUP(G8889,[7]Astroflores!$G$2:$H$110,2,FALSE)</f>
        <v>840</v>
      </c>
      <c r="I8889" s="6">
        <v>316.8</v>
      </c>
      <c r="J8889" s="5">
        <v>2400</v>
      </c>
      <c r="K8889" s="6">
        <f t="shared" si="364"/>
        <v>2.6515151515151514</v>
      </c>
    </row>
    <row r="8890" spans="1:11" hidden="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74</v>
      </c>
      <c r="G8890" t="str">
        <f t="shared" si="365"/>
        <v>013VENDELA</v>
      </c>
      <c r="H8890" s="5">
        <f>VLOOKUP(G8890,[7]Astroflores!$G$2:$H$110,2,FALSE)</f>
        <v>12840</v>
      </c>
      <c r="I8890" s="6">
        <v>3603.6</v>
      </c>
      <c r="J8890" s="5">
        <v>27296</v>
      </c>
      <c r="K8890" s="6">
        <f t="shared" si="364"/>
        <v>3.5631035631035632</v>
      </c>
    </row>
    <row r="8891" spans="1:11" hidden="1">
      <c r="A8891" s="4">
        <v>2026</v>
      </c>
      <c r="B8891">
        <v>30</v>
      </c>
      <c r="C8891" t="s">
        <v>54</v>
      </c>
      <c r="D8891" t="s">
        <v>11</v>
      </c>
      <c r="E8891" t="s">
        <v>23</v>
      </c>
      <c r="F8891" t="s">
        <v>89</v>
      </c>
      <c r="G8891" t="str">
        <f t="shared" si="365"/>
        <v>014STARDUST</v>
      </c>
      <c r="H8891" s="5">
        <f>VLOOKUP(G8891,[7]Astroflores!$G$2:$H$110,2,FALSE)</f>
        <v>7775</v>
      </c>
      <c r="I8891" s="6">
        <v>3682.8</v>
      </c>
      <c r="J8891" s="5">
        <v>27900</v>
      </c>
      <c r="K8891" s="6">
        <f t="shared" si="364"/>
        <v>2.1111654176170305</v>
      </c>
    </row>
    <row r="8892" spans="1:11" hidden="1">
      <c r="A8892" s="4">
        <v>2026</v>
      </c>
      <c r="B8892">
        <v>30</v>
      </c>
      <c r="C8892" t="s">
        <v>54</v>
      </c>
      <c r="D8892" t="s">
        <v>11</v>
      </c>
      <c r="E8892" t="s">
        <v>25</v>
      </c>
      <c r="F8892" t="s">
        <v>68</v>
      </c>
      <c r="G8892" t="str">
        <f t="shared" si="365"/>
        <v>015JOCKER</v>
      </c>
      <c r="H8892" s="5">
        <f>VLOOKUP(G8892,[7]Astroflores!$G$2:$H$110,2,FALSE)</f>
        <v>6175</v>
      </c>
      <c r="I8892" s="6">
        <v>2376</v>
      </c>
      <c r="J8892" s="5">
        <v>18000</v>
      </c>
      <c r="K8892" s="6">
        <f t="shared" si="364"/>
        <v>2.5989057239057241</v>
      </c>
    </row>
    <row r="8893" spans="1:11" hidden="1">
      <c r="A8893" s="4">
        <v>2026</v>
      </c>
      <c r="B8893">
        <v>30</v>
      </c>
      <c r="C8893" t="s">
        <v>54</v>
      </c>
      <c r="D8893" t="s">
        <v>11</v>
      </c>
      <c r="E8893" t="s">
        <v>27</v>
      </c>
      <c r="F8893" t="s">
        <v>94</v>
      </c>
      <c r="G8893" t="str">
        <f t="shared" si="365"/>
        <v>016DREAM IN PEACH</v>
      </c>
      <c r="H8893" s="5">
        <f>VLOOKUP(G8893,[7]Astroflores!$G$2:$H$110,2,FALSE)</f>
        <v>1770</v>
      </c>
      <c r="I8893" s="6">
        <v>950.4</v>
      </c>
      <c r="J8893" s="5">
        <v>7200</v>
      </c>
      <c r="K8893" s="6">
        <f t="shared" si="364"/>
        <v>1.8623737373737375</v>
      </c>
    </row>
    <row r="8894" spans="1:11" hidden="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95</v>
      </c>
      <c r="G8894" t="str">
        <f t="shared" si="365"/>
        <v>016NINA</v>
      </c>
      <c r="H8894" s="5">
        <f>VLOOKUP(G8894,[7]Astroflores!$G$2:$H$110,2,FALSE)</f>
        <v>3750</v>
      </c>
      <c r="I8894" s="6">
        <v>1346.4</v>
      </c>
      <c r="J8894" s="5">
        <v>10200</v>
      </c>
      <c r="K8894" s="6">
        <f t="shared" si="364"/>
        <v>2.785204991087344</v>
      </c>
    </row>
    <row r="8895" spans="1:11" hidden="1">
      <c r="A8895" s="4">
        <v>2026</v>
      </c>
      <c r="B8895">
        <v>30</v>
      </c>
      <c r="C8895" t="s">
        <v>54</v>
      </c>
      <c r="D8895" t="s">
        <v>11</v>
      </c>
      <c r="E8895" t="s">
        <v>30</v>
      </c>
      <c r="F8895" t="s">
        <v>81</v>
      </c>
      <c r="G8895" t="str">
        <f t="shared" si="365"/>
        <v>017FREEDOM</v>
      </c>
      <c r="H8895" s="5">
        <f>VLOOKUP(G8895,[7]Astroflores!$G$2:$H$110,2,FALSE)</f>
        <v>6990</v>
      </c>
      <c r="I8895" s="6">
        <v>2851.2</v>
      </c>
      <c r="J8895" s="5">
        <v>21600</v>
      </c>
      <c r="K8895" s="6">
        <f t="shared" si="364"/>
        <v>2.4515993265993266</v>
      </c>
    </row>
    <row r="8896" spans="1:11" hidden="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73</v>
      </c>
      <c r="G8896" t="str">
        <f t="shared" si="365"/>
        <v>017GOLDFINCH</v>
      </c>
      <c r="H8896" s="5">
        <f>VLOOKUP(G8896,[7]Astroflores!$G$2:$H$110,2,FALSE)</f>
        <v>4350</v>
      </c>
      <c r="I8896" s="6">
        <v>2138.4</v>
      </c>
      <c r="J8896" s="5">
        <v>16200</v>
      </c>
      <c r="K8896" s="6">
        <f t="shared" si="364"/>
        <v>2.0342312008978674</v>
      </c>
    </row>
    <row r="8897" spans="1:11" hidden="1">
      <c r="A8897" s="4">
        <v>2026</v>
      </c>
      <c r="B8897">
        <v>30</v>
      </c>
      <c r="C8897" t="s">
        <v>54</v>
      </c>
      <c r="D8897" t="s">
        <v>11</v>
      </c>
      <c r="E8897" t="s">
        <v>32</v>
      </c>
      <c r="F8897" t="s">
        <v>86</v>
      </c>
      <c r="G8897" t="str">
        <f t="shared" si="365"/>
        <v>018BRIGHTON</v>
      </c>
      <c r="H8897" s="5">
        <f>VLOOKUP(G8897,[7]Astroflores!$G$2:$H$110,2,FALSE)</f>
        <v>2400</v>
      </c>
      <c r="I8897" s="6">
        <v>963.6</v>
      </c>
      <c r="J8897" s="5">
        <v>7570</v>
      </c>
      <c r="K8897" s="6">
        <f t="shared" si="364"/>
        <v>2.4906600249066</v>
      </c>
    </row>
    <row r="8898" spans="1:11" hidden="1">
      <c r="A8898" s="4">
        <v>2026</v>
      </c>
      <c r="B8898">
        <v>30</v>
      </c>
      <c r="C8898" t="s">
        <v>54</v>
      </c>
      <c r="D8898" t="s">
        <v>11</v>
      </c>
      <c r="E8898" t="s">
        <v>35</v>
      </c>
      <c r="F8898" t="s">
        <v>86</v>
      </c>
      <c r="G8898" t="str">
        <f t="shared" si="365"/>
        <v>019BRIGHTON</v>
      </c>
      <c r="H8898" s="5">
        <f>VLOOKUP(G8898,[7]Astroflores!$G$2:$H$110,2,FALSE)</f>
        <v>7875</v>
      </c>
      <c r="I8898" s="6">
        <v>3168</v>
      </c>
      <c r="J8898" s="5">
        <v>24000</v>
      </c>
      <c r="K8898" s="6">
        <f t="shared" si="364"/>
        <v>2.4857954545454546</v>
      </c>
    </row>
    <row r="8899" spans="1:11" hidden="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96</v>
      </c>
      <c r="G8899" t="str">
        <f t="shared" si="365"/>
        <v>019TABATHA</v>
      </c>
      <c r="H8899" s="5">
        <f>VLOOKUP(G8899,[7]Astroflores!$G$2:$H$110,2,FALSE)</f>
        <v>3600</v>
      </c>
      <c r="I8899" s="6">
        <v>1188</v>
      </c>
      <c r="J8899" s="5">
        <v>9000</v>
      </c>
      <c r="K8899" s="6">
        <f t="shared" si="364"/>
        <v>3.0303030303030303</v>
      </c>
    </row>
    <row r="8900" spans="1:11" hidden="1">
      <c r="A8900" s="4">
        <v>2026</v>
      </c>
      <c r="B8900">
        <v>30</v>
      </c>
      <c r="C8900" t="s">
        <v>54</v>
      </c>
      <c r="D8900" t="s">
        <v>11</v>
      </c>
      <c r="E8900" t="s">
        <v>36</v>
      </c>
      <c r="F8900" t="s">
        <v>86</v>
      </c>
      <c r="G8900" t="str">
        <f t="shared" si="365"/>
        <v>020BRIGHTON</v>
      </c>
      <c r="H8900" s="5">
        <f>VLOOKUP(G8900,[7]Astroflores!$G$2:$H$110,2,FALSE)</f>
        <v>6625</v>
      </c>
      <c r="I8900" s="6">
        <v>2732.4</v>
      </c>
      <c r="J8900" s="5">
        <v>20700</v>
      </c>
      <c r="K8900" s="6">
        <f t="shared" si="364"/>
        <v>2.4246084028692723</v>
      </c>
    </row>
    <row r="8901" spans="1:11" hidden="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97</v>
      </c>
      <c r="G8901" t="str">
        <f t="shared" si="365"/>
        <v>020TYCOON</v>
      </c>
      <c r="H8901" s="5">
        <f>VLOOKUP(G8901,[7]Astroflores!$G$2:$H$110,2,FALSE)</f>
        <v>1200</v>
      </c>
      <c r="I8901" s="6">
        <v>673.2</v>
      </c>
      <c r="J8901" s="5">
        <v>5100</v>
      </c>
      <c r="K8901" s="6">
        <f t="shared" si="364"/>
        <v>1.7825311942959001</v>
      </c>
    </row>
    <row r="8902" spans="1:11" hidden="1">
      <c r="A8902" s="4">
        <v>2026</v>
      </c>
      <c r="B8902">
        <v>30</v>
      </c>
      <c r="C8902" t="s">
        <v>54</v>
      </c>
      <c r="D8902" t="s">
        <v>11</v>
      </c>
      <c r="E8902" t="s">
        <v>38</v>
      </c>
      <c r="F8902" t="s">
        <v>98</v>
      </c>
      <c r="G8902" t="str">
        <f t="shared" si="365"/>
        <v>021SHOW GIRL</v>
      </c>
      <c r="H8902" s="5">
        <f>VLOOKUP(G8902,[7]Astroflores!$G$2:$H$110,2,FALSE)</f>
        <v>1375</v>
      </c>
      <c r="I8902" s="6">
        <v>1100.4749999999999</v>
      </c>
      <c r="J8902" s="5">
        <v>8000</v>
      </c>
      <c r="K8902" s="6">
        <f t="shared" si="364"/>
        <v>1.2494604602557988</v>
      </c>
    </row>
    <row r="8903" spans="1:11" hidden="1">
      <c r="A8903" s="4">
        <v>2026</v>
      </c>
      <c r="B8903">
        <v>30</v>
      </c>
      <c r="C8903" t="s">
        <v>54</v>
      </c>
      <c r="D8903" t="s">
        <v>11</v>
      </c>
      <c r="E8903" t="s">
        <v>43</v>
      </c>
      <c r="F8903" t="s">
        <v>99</v>
      </c>
      <c r="G8903" t="str">
        <f t="shared" si="365"/>
        <v>022CORAL REEF</v>
      </c>
      <c r="H8903" s="5">
        <f>VLOOKUP(G8903,[7]Astroflores!$G$2:$H$110,2,FALSE)</f>
        <v>2475</v>
      </c>
      <c r="I8903" s="6">
        <v>1287</v>
      </c>
      <c r="J8903" s="5">
        <v>9400</v>
      </c>
      <c r="K8903" s="6">
        <f t="shared" si="364"/>
        <v>1.9230769230769231</v>
      </c>
    </row>
    <row r="8904" spans="1:11" hidden="1">
      <c r="A8904" s="4">
        <v>2026</v>
      </c>
      <c r="B8904">
        <v>30</v>
      </c>
      <c r="C8904" t="s">
        <v>54</v>
      </c>
      <c r="D8904" t="s">
        <v>11</v>
      </c>
      <c r="E8904" t="s">
        <v>100</v>
      </c>
      <c r="F8904" t="s">
        <v>70</v>
      </c>
      <c r="G8904" t="str">
        <f t="shared" si="365"/>
        <v>023COTOPAXI</v>
      </c>
      <c r="H8904" s="5">
        <f>VLOOKUP(G8904,[7]Astroflores!$G$2:$H$110,2,FALSE)</f>
        <v>7980</v>
      </c>
      <c r="I8904" s="6">
        <v>2641.14</v>
      </c>
      <c r="J8904" s="5">
        <v>19200</v>
      </c>
      <c r="K8904" s="6">
        <f t="shared" si="364"/>
        <v>3.0214225675276585</v>
      </c>
    </row>
    <row r="8905" spans="1:11" hidden="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101</v>
      </c>
      <c r="G8905" t="str">
        <f t="shared" si="365"/>
        <v>023FRUTTETO</v>
      </c>
      <c r="H8905" s="5">
        <f>VLOOKUP(G8905,[7]Astroflores!$G$2:$H$110,2,FALSE)</f>
        <v>6630</v>
      </c>
      <c r="I8905" s="6">
        <v>2641.14</v>
      </c>
      <c r="J8905" s="5">
        <v>19200</v>
      </c>
      <c r="K8905" s="6">
        <f t="shared" si="364"/>
        <v>2.5102796519684683</v>
      </c>
    </row>
    <row r="8906" spans="1:11" hidden="1">
      <c r="A8906" s="4">
        <v>2026</v>
      </c>
      <c r="B8906">
        <v>30</v>
      </c>
      <c r="C8906" t="s">
        <v>54</v>
      </c>
      <c r="D8906" t="s">
        <v>11</v>
      </c>
      <c r="E8906" t="s">
        <v>102</v>
      </c>
      <c r="F8906" t="s">
        <v>70</v>
      </c>
      <c r="G8906" t="str">
        <f t="shared" si="365"/>
        <v>024COTOPAXI</v>
      </c>
      <c r="H8906" s="5">
        <f>VLOOKUP(G8906,[7]Astroflores!$G$2:$H$110,2,FALSE)</f>
        <v>5430</v>
      </c>
      <c r="I8906" s="6">
        <v>1430.6174906250001</v>
      </c>
      <c r="J8906" s="5">
        <v>10400</v>
      </c>
      <c r="K8906" s="6">
        <f t="shared" si="364"/>
        <v>3.7955638286148536</v>
      </c>
    </row>
    <row r="8907" spans="1:11" hidden="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64</v>
      </c>
      <c r="G8907" t="str">
        <f t="shared" si="365"/>
        <v>024SWEETNESS</v>
      </c>
      <c r="H8907" s="5">
        <f>VLOOKUP(G8907,[7]Astroflores!$G$2:$H$110,2,FALSE)</f>
        <v>2400</v>
      </c>
      <c r="I8907" s="6">
        <v>1430.6175000000001</v>
      </c>
      <c r="J8907" s="5">
        <v>10400</v>
      </c>
      <c r="K8907" s="6">
        <f t="shared" si="364"/>
        <v>1.6775972613224708</v>
      </c>
    </row>
    <row r="8908" spans="1:11" hidden="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97</v>
      </c>
      <c r="G8908" t="str">
        <f t="shared" si="365"/>
        <v>024TYCOON</v>
      </c>
      <c r="H8908" s="5">
        <f>VLOOKUP(G8908,[7]Astroflores!$G$2:$H$110,2,FALSE)</f>
        <v>4500</v>
      </c>
      <c r="I8908" s="6">
        <v>2861.2350000000001</v>
      </c>
      <c r="J8908" s="5">
        <v>20800</v>
      </c>
      <c r="K8908" s="6">
        <f t="shared" si="364"/>
        <v>1.5727474324898163</v>
      </c>
    </row>
    <row r="8909" spans="1:11" hidden="1">
      <c r="A8909" s="4">
        <v>2026</v>
      </c>
      <c r="B8909">
        <v>30</v>
      </c>
      <c r="C8909" t="s">
        <v>54</v>
      </c>
      <c r="D8909" t="s">
        <v>11</v>
      </c>
      <c r="E8909" t="s">
        <v>103</v>
      </c>
      <c r="F8909" t="s">
        <v>104</v>
      </c>
      <c r="G8909" t="str">
        <f t="shared" si="365"/>
        <v>025PINK MONDIAL</v>
      </c>
      <c r="H8909" s="5">
        <f>VLOOKUP(G8909,[7]Astroflores!$G$2:$H$110,2,FALSE)</f>
        <v>8675</v>
      </c>
      <c r="I8909" s="6">
        <v>3071.9505625000002</v>
      </c>
      <c r="J8909" s="5">
        <v>22400</v>
      </c>
      <c r="K8909" s="6">
        <f t="shared" si="364"/>
        <v>2.823938674631584</v>
      </c>
    </row>
    <row r="8910" spans="1:11" hidden="1">
      <c r="A8910" s="4">
        <v>2026</v>
      </c>
      <c r="B8910">
        <v>30</v>
      </c>
      <c r="C8910" t="s">
        <v>54</v>
      </c>
      <c r="D8910" t="s">
        <v>11</v>
      </c>
      <c r="E8910" t="s">
        <v>45</v>
      </c>
      <c r="F8910" t="s">
        <v>105</v>
      </c>
      <c r="G8910" t="str">
        <f t="shared" si="365"/>
        <v>026LOLA</v>
      </c>
      <c r="H8910" s="5">
        <f>VLOOKUP(G8910,[7]Astroflores!$G$2:$H$110,2,FALSE)</f>
        <v>3600</v>
      </c>
      <c r="I8910" s="6">
        <v>1097.125</v>
      </c>
      <c r="J8910" s="5">
        <v>8000</v>
      </c>
      <c r="K8910" s="6">
        <f t="shared" si="364"/>
        <v>3.2813034066309674</v>
      </c>
    </row>
    <row r="8911" spans="1:11" hidden="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106</v>
      </c>
      <c r="G8911" t="str">
        <f t="shared" si="365"/>
        <v>026PALOMA</v>
      </c>
      <c r="H8911" s="5">
        <f>VLOOKUP(G8911,[7]Astroflores!$G$2:$H$110,2,FALSE)</f>
        <v>4750</v>
      </c>
      <c r="I8911" s="6">
        <v>2852.5250000000001</v>
      </c>
      <c r="J8911" s="5">
        <v>20800</v>
      </c>
      <c r="K8911" s="6">
        <f t="shared" si="364"/>
        <v>1.6651913655445614</v>
      </c>
    </row>
    <row r="8912" spans="1:11" hidden="1">
      <c r="A8912" s="4">
        <v>2026</v>
      </c>
      <c r="B8912">
        <v>30</v>
      </c>
      <c r="C8912" t="s">
        <v>54</v>
      </c>
      <c r="D8912" t="s">
        <v>11</v>
      </c>
      <c r="E8912" t="s">
        <v>107</v>
      </c>
      <c r="F8912" t="s">
        <v>108</v>
      </c>
      <c r="G8912" t="str">
        <f t="shared" si="365"/>
        <v>027SATISFACTION</v>
      </c>
      <c r="H8912" s="5">
        <f>VLOOKUP(G8912,[7]Astroflores!$G$2:$H$110,2,FALSE)</f>
        <v>6120</v>
      </c>
      <c r="I8912" s="6">
        <v>2633.1</v>
      </c>
      <c r="J8912" s="5">
        <v>19200</v>
      </c>
      <c r="K8912" s="6">
        <f t="shared" si="364"/>
        <v>2.3242565796969354</v>
      </c>
    </row>
    <row r="8913" spans="1:11" hidden="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109</v>
      </c>
      <c r="G8913" t="str">
        <f t="shared" si="365"/>
        <v>027TIFFANY</v>
      </c>
      <c r="H8913" s="5">
        <f>VLOOKUP(G8913,[7]Astroflores!$G$2:$H$110,2,FALSE)</f>
        <v>6570</v>
      </c>
      <c r="I8913" s="6">
        <v>2633.1</v>
      </c>
      <c r="J8913" s="5">
        <v>19200</v>
      </c>
      <c r="K8913" s="6">
        <f t="shared" ref="K8913:K8917" si="366">+H8913/I8913</f>
        <v>2.4951577987922979</v>
      </c>
    </row>
    <row r="8914" spans="1:11" hidden="1">
      <c r="A8914" s="4">
        <v>2026</v>
      </c>
      <c r="B8914">
        <v>30</v>
      </c>
      <c r="C8914" t="s">
        <v>54</v>
      </c>
      <c r="D8914" t="s">
        <v>11</v>
      </c>
      <c r="E8914" t="s">
        <v>110</v>
      </c>
      <c r="F8914" t="s">
        <v>70</v>
      </c>
      <c r="G8914" t="str">
        <f t="shared" si="365"/>
        <v>028COTOPAXI</v>
      </c>
      <c r="H8914" s="5">
        <f>VLOOKUP(G8914,[7]Astroflores!$G$2:$H$110,2,FALSE)</f>
        <v>6930</v>
      </c>
      <c r="I8914" s="6">
        <v>2852.5250000000001</v>
      </c>
      <c r="J8914" s="5">
        <v>20800</v>
      </c>
      <c r="K8914" s="6">
        <f t="shared" si="366"/>
        <v>2.4294265606786967</v>
      </c>
    </row>
    <row r="8915" spans="1:11" hidden="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67</v>
      </c>
      <c r="G8915" t="str">
        <f t="shared" si="365"/>
        <v>028DEEP PURPLE</v>
      </c>
      <c r="H8915" s="5">
        <f>VLOOKUP(G8915,[7]Astroflores!$G$2:$H$110,2,FALSE)</f>
        <v>9450</v>
      </c>
      <c r="I8915" s="6">
        <v>2852.5250000000001</v>
      </c>
      <c r="J8915" s="5">
        <v>20800</v>
      </c>
      <c r="K8915" s="6">
        <f t="shared" si="366"/>
        <v>3.3128544009254957</v>
      </c>
    </row>
    <row r="8916" spans="1:11" hidden="1">
      <c r="A8916" s="4">
        <v>2026</v>
      </c>
      <c r="B8916">
        <v>30</v>
      </c>
      <c r="C8916" t="s">
        <v>54</v>
      </c>
      <c r="D8916" t="s">
        <v>11</v>
      </c>
      <c r="E8916" t="s">
        <v>111</v>
      </c>
      <c r="F8916" t="s">
        <v>112</v>
      </c>
      <c r="G8916" t="str">
        <f t="shared" si="365"/>
        <v>029PINK FLOYD</v>
      </c>
      <c r="H8916" s="5">
        <f>VLOOKUP(G8916,[7]Astroflores!$G$2:$H$110,2,FALSE)</f>
        <v>4350</v>
      </c>
      <c r="I8916" s="6">
        <v>3071.95</v>
      </c>
      <c r="J8916" s="5">
        <v>22400</v>
      </c>
      <c r="K8916" s="6">
        <f t="shared" si="366"/>
        <v>1.4160386725044354</v>
      </c>
    </row>
    <row r="8917" spans="1:11" ht="13.5" hidden="1" customHeight="1">
      <c r="A8917" s="4">
        <v>2026</v>
      </c>
      <c r="B8917">
        <v>30</v>
      </c>
      <c r="C8917" t="s">
        <v>54</v>
      </c>
      <c r="D8917" t="s">
        <v>11</v>
      </c>
      <c r="E8917" t="s">
        <v>47</v>
      </c>
      <c r="F8917" t="s">
        <v>57</v>
      </c>
      <c r="G8917" t="str">
        <f t="shared" si="365"/>
        <v>030EXPLORER</v>
      </c>
      <c r="H8917" s="5">
        <f>VLOOKUP(G8917,[7]Astroflores!$G$2:$H$110,2,FALSE)</f>
        <v>3025</v>
      </c>
      <c r="I8917" s="6">
        <v>1645.6875</v>
      </c>
      <c r="J8917" s="5">
        <v>12000</v>
      </c>
      <c r="K8917" s="6">
        <f t="shared" si="366"/>
        <v>1.8381375564923474</v>
      </c>
    </row>
    <row r="8918" spans="1:11" hidden="1">
      <c r="A8918" s="4">
        <v>2026</v>
      </c>
      <c r="B8918">
        <v>31</v>
      </c>
      <c r="C8918" t="s">
        <v>10</v>
      </c>
      <c r="D8918" t="s">
        <v>11</v>
      </c>
      <c r="E8918" t="s">
        <v>12</v>
      </c>
      <c r="F8918" t="s">
        <v>13</v>
      </c>
      <c r="G8918" t="str">
        <f>+E8918&amp;F8918</f>
        <v>002SOMERSET</v>
      </c>
      <c r="H8918" s="5">
        <f>VLOOKUP(G8918,[8]Astroflores!$G$2:$H$110,2,FALSE)</f>
        <v>7460</v>
      </c>
      <c r="I8918" s="6">
        <v>4121.4642855494085</v>
      </c>
      <c r="J8918" s="5">
        <v>31200</v>
      </c>
      <c r="K8918" s="6">
        <f t="shared" ref="K8918:K8952" si="367">+H8918/I8918</f>
        <v>1.8100363082499817</v>
      </c>
    </row>
    <row r="8919" spans="1:11" hidden="1">
      <c r="A8919" s="4">
        <v>2026</v>
      </c>
      <c r="B8919">
        <v>31</v>
      </c>
      <c r="C8919" t="s">
        <v>10</v>
      </c>
      <c r="D8919" t="s">
        <v>11</v>
      </c>
      <c r="E8919" t="s">
        <v>14</v>
      </c>
      <c r="F8919" t="s">
        <v>15</v>
      </c>
      <c r="G8919" t="str">
        <f t="shared" ref="G8919:G8982" si="368">+E8919&amp;F8919</f>
        <v>004BELLINA</v>
      </c>
      <c r="H8919" s="5">
        <f>VLOOKUP(G8919,[8]Astroflores!$G$2:$H$110,2,FALSE)</f>
        <v>2040</v>
      </c>
      <c r="I8919" s="6">
        <v>1056.7857142434418</v>
      </c>
      <c r="J8919" s="5">
        <v>8000</v>
      </c>
      <c r="K8919" s="6">
        <f t="shared" si="367"/>
        <v>1.9303818858494375</v>
      </c>
    </row>
    <row r="8920" spans="1:11" hidden="1">
      <c r="A8920" s="4">
        <v>2026</v>
      </c>
      <c r="B8920">
        <v>31</v>
      </c>
      <c r="C8920" t="s">
        <v>10</v>
      </c>
      <c r="D8920" t="s">
        <v>11</v>
      </c>
      <c r="E8920" t="s">
        <v>16</v>
      </c>
      <c r="F8920" t="s">
        <v>17</v>
      </c>
      <c r="G8920" t="str">
        <f t="shared" si="368"/>
        <v>005ELBA</v>
      </c>
      <c r="H8920" s="5">
        <f>VLOOKUP(G8920,[8]Astroflores!$G$2:$H$110,2,FALSE)</f>
        <v>6630</v>
      </c>
      <c r="I8920" s="6">
        <v>2641.9642856076484</v>
      </c>
      <c r="J8920" s="5">
        <v>19996</v>
      </c>
      <c r="K8920" s="6">
        <f t="shared" si="367"/>
        <v>2.5094964516051768</v>
      </c>
    </row>
    <row r="8921" spans="1:11" hidden="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18</v>
      </c>
      <c r="G8921" t="str">
        <f t="shared" si="368"/>
        <v>005HOT BUBBLES</v>
      </c>
      <c r="H8921" s="5">
        <f>VLOOKUP(G8921,[8]Astroflores!$G$2:$H$110,2,FALSE)</f>
        <v>1300</v>
      </c>
      <c r="I8921" s="6">
        <v>528.39285712153003</v>
      </c>
      <c r="J8921" s="5">
        <v>4000</v>
      </c>
      <c r="K8921" s="6">
        <f t="shared" si="367"/>
        <v>2.4602906388286034</v>
      </c>
    </row>
    <row r="8922" spans="1:11" hidden="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19</v>
      </c>
      <c r="G8922" t="str">
        <f t="shared" si="368"/>
        <v>005SUSPIRO</v>
      </c>
      <c r="H8922" s="5">
        <f>VLOOKUP(G8922,[8]Astroflores!$G$2:$H$110,2,FALSE)</f>
        <v>5100</v>
      </c>
      <c r="I8922" s="6">
        <v>1902.2142856375078</v>
      </c>
      <c r="J8922" s="5">
        <v>14400</v>
      </c>
      <c r="K8922" s="6">
        <f t="shared" si="367"/>
        <v>2.681085952569632</v>
      </c>
    </row>
    <row r="8923" spans="1:11" hidden="1">
      <c r="A8923" s="4">
        <v>2026</v>
      </c>
      <c r="B8923">
        <v>31</v>
      </c>
      <c r="C8923" t="s">
        <v>10</v>
      </c>
      <c r="D8923" t="s">
        <v>11</v>
      </c>
      <c r="E8923" t="s">
        <v>20</v>
      </c>
      <c r="F8923" t="s">
        <v>21</v>
      </c>
      <c r="G8923" t="str">
        <f t="shared" si="368"/>
        <v>007SNOW BUBBLES</v>
      </c>
      <c r="H8923" s="5">
        <f>VLOOKUP(G8923,[8]Astroflores!$G$2:$H$110,2,FALSE)</f>
        <v>1440</v>
      </c>
      <c r="I8923" s="6">
        <v>634.05652706821195</v>
      </c>
      <c r="J8923" s="5">
        <v>4800</v>
      </c>
      <c r="K8923" s="6">
        <f t="shared" si="367"/>
        <v>2.2710908862627077</v>
      </c>
    </row>
    <row r="8924" spans="1:11" hidden="1">
      <c r="A8924" s="4">
        <v>2026</v>
      </c>
      <c r="B8924">
        <v>31</v>
      </c>
      <c r="C8924" t="s">
        <v>10</v>
      </c>
      <c r="D8924" t="s">
        <v>11</v>
      </c>
      <c r="E8924" t="s">
        <v>22</v>
      </c>
      <c r="F8924" t="s">
        <v>18</v>
      </c>
      <c r="G8924" t="str">
        <f t="shared" si="368"/>
        <v>009HOT BUBBLES</v>
      </c>
      <c r="H8924" s="5">
        <f>VLOOKUP(G8924,[8]Astroflores!$G$2:$H$110,2,FALSE)</f>
        <v>8220</v>
      </c>
      <c r="I8924" s="6">
        <v>4487.9999999102474</v>
      </c>
      <c r="J8924" s="5">
        <v>31740</v>
      </c>
      <c r="K8924" s="6">
        <f t="shared" si="367"/>
        <v>1.8315508021756655</v>
      </c>
    </row>
    <row r="8925" spans="1:11" hidden="1">
      <c r="A8925" s="4">
        <v>2026</v>
      </c>
      <c r="B8925">
        <v>31</v>
      </c>
      <c r="C8925" t="s">
        <v>10</v>
      </c>
      <c r="D8925" t="s">
        <v>11</v>
      </c>
      <c r="E8925" t="s">
        <v>23</v>
      </c>
      <c r="F8925" t="s">
        <v>24</v>
      </c>
      <c r="G8925" t="str">
        <f t="shared" si="368"/>
        <v>014FRUITY BUBBLES</v>
      </c>
      <c r="H8925" s="5">
        <f>VLOOKUP(G8925,[8]Astroflores!$G$2:$H$110,2,FALSE)</f>
        <v>4325</v>
      </c>
      <c r="I8925" s="6">
        <v>1702.8</v>
      </c>
      <c r="J8925" s="5">
        <v>12900</v>
      </c>
      <c r="K8925" s="6">
        <f t="shared" si="367"/>
        <v>2.5399342259807378</v>
      </c>
    </row>
    <row r="8926" spans="1:11" hidden="1">
      <c r="A8926" s="4">
        <v>2026</v>
      </c>
      <c r="B8926">
        <v>31</v>
      </c>
      <c r="C8926" t="s">
        <v>10</v>
      </c>
      <c r="D8926" t="s">
        <v>11</v>
      </c>
      <c r="E8926" t="s">
        <v>25</v>
      </c>
      <c r="F8926" t="s">
        <v>26</v>
      </c>
      <c r="G8926" t="str">
        <f t="shared" si="368"/>
        <v>015FELLINI</v>
      </c>
      <c r="H8926" s="5">
        <f>VLOOKUP(G8926,[8]Astroflores!$G$2:$H$110,2,FALSE)</f>
        <v>6420</v>
      </c>
      <c r="I8926" s="6">
        <v>3009.6</v>
      </c>
      <c r="J8926" s="5">
        <v>22800</v>
      </c>
      <c r="K8926" s="6">
        <f t="shared" si="367"/>
        <v>2.1331738437001597</v>
      </c>
    </row>
    <row r="8927" spans="1:11" hidden="1">
      <c r="A8927" s="4">
        <v>2026</v>
      </c>
      <c r="B8927">
        <v>31</v>
      </c>
      <c r="C8927" t="s">
        <v>10</v>
      </c>
      <c r="D8927" t="s">
        <v>11</v>
      </c>
      <c r="E8927" t="s">
        <v>27</v>
      </c>
      <c r="F8927" t="s">
        <v>28</v>
      </c>
      <c r="G8927" t="str">
        <f t="shared" si="368"/>
        <v>016GOOD PEACH</v>
      </c>
      <c r="H8927" s="5">
        <f>VLOOKUP(G8927,[8]Astroflores!$G$2:$H$110,2,FALSE)</f>
        <v>3360</v>
      </c>
      <c r="I8927" s="6">
        <v>1386</v>
      </c>
      <c r="J8927" s="5">
        <v>10500</v>
      </c>
      <c r="K8927" s="6">
        <f t="shared" si="367"/>
        <v>2.4242424242424243</v>
      </c>
    </row>
    <row r="8928" spans="1:11" hidden="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29</v>
      </c>
      <c r="G8928" t="str">
        <f t="shared" si="368"/>
        <v>016GOOD YELLOW</v>
      </c>
      <c r="H8928" s="5">
        <f>VLOOKUP(G8928,[8]Astroflores!$G$2:$H$110,2,FALSE)</f>
        <v>4920</v>
      </c>
      <c r="I8928" s="6">
        <v>1386</v>
      </c>
      <c r="J8928" s="5">
        <v>10500</v>
      </c>
      <c r="K8928" s="6">
        <f t="shared" si="367"/>
        <v>3.5497835497835499</v>
      </c>
    </row>
    <row r="8929" spans="1:11" hidden="1">
      <c r="A8929" s="4">
        <v>2026</v>
      </c>
      <c r="B8929">
        <v>31</v>
      </c>
      <c r="C8929" t="s">
        <v>10</v>
      </c>
      <c r="D8929" t="s">
        <v>11</v>
      </c>
      <c r="E8929" t="s">
        <v>30</v>
      </c>
      <c r="F8929" t="s">
        <v>31</v>
      </c>
      <c r="G8929" t="str">
        <f t="shared" si="368"/>
        <v>017ORANGE STAR</v>
      </c>
      <c r="H8929" s="5">
        <f>VLOOKUP(G8929,[8]Astroflores!$G$2:$H$110,2,FALSE)</f>
        <v>1300</v>
      </c>
      <c r="I8929" s="6">
        <v>1029.5999999999999</v>
      </c>
      <c r="J8929" s="5">
        <v>7800</v>
      </c>
      <c r="K8929" s="6">
        <f t="shared" si="367"/>
        <v>1.2626262626262628</v>
      </c>
    </row>
    <row r="8930" spans="1:11" hidden="1">
      <c r="A8930" s="4">
        <v>2026</v>
      </c>
      <c r="B8930">
        <v>31</v>
      </c>
      <c r="C8930" t="s">
        <v>10</v>
      </c>
      <c r="D8930" t="s">
        <v>11</v>
      </c>
      <c r="E8930" t="s">
        <v>32</v>
      </c>
      <c r="F8930" t="s">
        <v>33</v>
      </c>
      <c r="G8930" t="str">
        <f t="shared" si="368"/>
        <v>018COSMO</v>
      </c>
      <c r="H8930" s="5">
        <f>VLOOKUP(G8930,[8]Astroflores!$G$2:$H$110,2,FALSE)</f>
        <v>3975</v>
      </c>
      <c r="I8930" s="6">
        <v>2653.2</v>
      </c>
      <c r="J8930" s="5">
        <v>20100</v>
      </c>
      <c r="K8930" s="6">
        <f t="shared" si="367"/>
        <v>1.4981908638625057</v>
      </c>
    </row>
    <row r="8931" spans="1:11" hidden="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34</v>
      </c>
      <c r="G8931" t="str">
        <f t="shared" si="368"/>
        <v>018RUBICON</v>
      </c>
      <c r="H8931" s="5">
        <f>VLOOKUP(G8931,[8]Astroflores!$G$2:$H$110,2,FALSE)</f>
        <v>3210</v>
      </c>
      <c r="I8931" s="6">
        <v>1768.8</v>
      </c>
      <c r="J8931" s="5">
        <v>13400</v>
      </c>
      <c r="K8931" s="6">
        <f t="shared" si="367"/>
        <v>1.8147896879240164</v>
      </c>
    </row>
    <row r="8932" spans="1:11" hidden="1">
      <c r="A8932" s="4">
        <v>2026</v>
      </c>
      <c r="B8932">
        <v>31</v>
      </c>
      <c r="C8932" t="s">
        <v>10</v>
      </c>
      <c r="D8932" t="s">
        <v>11</v>
      </c>
      <c r="E8932" t="s">
        <v>35</v>
      </c>
      <c r="F8932" t="s">
        <v>15</v>
      </c>
      <c r="G8932" t="str">
        <f t="shared" si="368"/>
        <v>019BELLINA</v>
      </c>
      <c r="H8932" s="5">
        <f>VLOOKUP(G8932,[8]Astroflores!$G$2:$H$110,2,FALSE)</f>
        <v>2250</v>
      </c>
      <c r="I8932" s="6">
        <v>1029.5999999999999</v>
      </c>
      <c r="J8932" s="5">
        <v>7800</v>
      </c>
      <c r="K8932" s="6">
        <f t="shared" si="367"/>
        <v>2.1853146853146854</v>
      </c>
    </row>
    <row r="8933" spans="1:11" hidden="1">
      <c r="A8933" s="4">
        <v>2026</v>
      </c>
      <c r="B8933">
        <v>31</v>
      </c>
      <c r="C8933" t="s">
        <v>10</v>
      </c>
      <c r="D8933" t="s">
        <v>11</v>
      </c>
      <c r="E8933" t="s">
        <v>36</v>
      </c>
      <c r="F8933" t="s">
        <v>37</v>
      </c>
      <c r="G8933" t="str">
        <f t="shared" si="368"/>
        <v>020SUMMER DANCE</v>
      </c>
      <c r="H8933" s="5">
        <f>VLOOKUP(G8933,[8]Astroflores!$G$2:$H$110,2,FALSE)</f>
        <v>3850</v>
      </c>
      <c r="I8933" s="6">
        <v>1346.4</v>
      </c>
      <c r="J8933" s="5">
        <v>10200</v>
      </c>
      <c r="K8933" s="6">
        <f t="shared" si="367"/>
        <v>2.8594771241830061</v>
      </c>
    </row>
    <row r="8934" spans="1:11" hidden="1">
      <c r="A8934" s="4">
        <v>2026</v>
      </c>
      <c r="B8934">
        <v>31</v>
      </c>
      <c r="C8934" t="s">
        <v>10</v>
      </c>
      <c r="D8934" t="s">
        <v>11</v>
      </c>
      <c r="E8934" t="s">
        <v>38</v>
      </c>
      <c r="F8934" t="s">
        <v>39</v>
      </c>
      <c r="G8934" t="str">
        <f t="shared" si="368"/>
        <v>021ELEGANT ROSEVER</v>
      </c>
      <c r="H8934" s="5">
        <f>VLOOKUP(G8934,[8]Astroflores!$G$2:$H$110,2,FALSE)</f>
        <v>600</v>
      </c>
      <c r="I8934" s="6">
        <v>440.18999062500001</v>
      </c>
      <c r="J8934" s="5">
        <v>3200</v>
      </c>
      <c r="K8934" s="6">
        <f t="shared" si="367"/>
        <v>1.3630478038541838</v>
      </c>
    </row>
    <row r="8935" spans="1:11" hidden="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40</v>
      </c>
      <c r="G8935" t="str">
        <f t="shared" si="368"/>
        <v>021FLAME CLUB</v>
      </c>
      <c r="H8935" s="5">
        <f>VLOOKUP(G8935,[8]Astroflores!$G$2:$H$110,2,FALSE)</f>
        <v>1475</v>
      </c>
      <c r="I8935" s="6">
        <v>880.38</v>
      </c>
      <c r="J8935" s="5">
        <v>6400</v>
      </c>
      <c r="K8935" s="6">
        <f t="shared" si="367"/>
        <v>1.6754128898884573</v>
      </c>
    </row>
    <row r="8936" spans="1:11" hidden="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41</v>
      </c>
      <c r="G8936" t="str">
        <f t="shared" si="368"/>
        <v>021KELLY</v>
      </c>
      <c r="H8936" s="5">
        <f>VLOOKUP(G8936,[8]Astroflores!$G$2:$H$110,2,FALSE)</f>
        <v>400</v>
      </c>
      <c r="I8936" s="6">
        <v>330.14249999999998</v>
      </c>
      <c r="J8936" s="5">
        <v>2400</v>
      </c>
      <c r="K8936" s="6">
        <f t="shared" si="367"/>
        <v>1.211598022066229</v>
      </c>
    </row>
    <row r="8937" spans="1:11" hidden="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42</v>
      </c>
      <c r="G8937" t="str">
        <f t="shared" si="368"/>
        <v>021LEILA</v>
      </c>
      <c r="H8937" s="5">
        <f>VLOOKUP(G8937,[8]Astroflores!$G$2:$H$110,2,FALSE)</f>
        <v>875</v>
      </c>
      <c r="I8937" s="6">
        <v>1650.7125000000001</v>
      </c>
      <c r="J8937" s="5">
        <v>12000</v>
      </c>
      <c r="K8937" s="6">
        <f t="shared" si="367"/>
        <v>0.53007413465397513</v>
      </c>
    </row>
    <row r="8938" spans="1:11" hidden="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21</v>
      </c>
      <c r="G8938" t="str">
        <f t="shared" si="368"/>
        <v>021SNOW BUBBLES</v>
      </c>
      <c r="H8938" s="5">
        <f>VLOOKUP(G8938,[8]Astroflores!$G$2:$H$110,2,FALSE)</f>
        <v>3060</v>
      </c>
      <c r="I8938" s="6">
        <v>1287.0000000000018</v>
      </c>
      <c r="J8938" s="5">
        <v>9400</v>
      </c>
      <c r="K8938" s="6">
        <f t="shared" si="367"/>
        <v>2.3776223776223744</v>
      </c>
    </row>
    <row r="8939" spans="1:11" hidden="1">
      <c r="A8939" s="4">
        <v>2026</v>
      </c>
      <c r="B8939">
        <v>31</v>
      </c>
      <c r="C8939" t="s">
        <v>10</v>
      </c>
      <c r="D8939" t="s">
        <v>11</v>
      </c>
      <c r="E8939" t="s">
        <v>43</v>
      </c>
      <c r="F8939" t="s">
        <v>24</v>
      </c>
      <c r="G8939" t="str">
        <f t="shared" si="368"/>
        <v>022FRUITY BUBBLES</v>
      </c>
      <c r="H8939" s="5">
        <f>VLOOKUP(G8939,[8]Astroflores!$G$2:$H$110,2,FALSE)</f>
        <v>6475</v>
      </c>
      <c r="I8939" s="6">
        <v>2641.14</v>
      </c>
      <c r="J8939" s="5">
        <v>19200</v>
      </c>
      <c r="K8939" s="6">
        <f t="shared" si="367"/>
        <v>2.4515928727746354</v>
      </c>
    </row>
    <row r="8940" spans="1:11" hidden="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28</v>
      </c>
      <c r="G8940" t="str">
        <f t="shared" si="368"/>
        <v>022GOOD PEACH</v>
      </c>
      <c r="H8940" s="5">
        <f>VLOOKUP(G8940,[8]Astroflores!$G$2:$H$110,2,FALSE)</f>
        <v>2460</v>
      </c>
      <c r="I8940" s="6">
        <v>880.38</v>
      </c>
      <c r="J8940" s="5">
        <v>6400</v>
      </c>
      <c r="K8940" s="6">
        <f t="shared" si="367"/>
        <v>2.7942479383902405</v>
      </c>
    </row>
    <row r="8941" spans="1:11" hidden="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44</v>
      </c>
      <c r="G8941" t="str">
        <f t="shared" si="368"/>
        <v>022MIRABEL</v>
      </c>
      <c r="H8941" s="5">
        <f>VLOOKUP(G8941,[8]Astroflores!$G$2:$H$110,2,FALSE)</f>
        <v>2240</v>
      </c>
      <c r="I8941" s="6">
        <v>880.38</v>
      </c>
      <c r="J8941" s="5">
        <v>6400</v>
      </c>
      <c r="K8941" s="6">
        <f t="shared" si="367"/>
        <v>2.544355846339081</v>
      </c>
    </row>
    <row r="8942" spans="1:11" hidden="1">
      <c r="A8942" s="4">
        <v>2026</v>
      </c>
      <c r="B8942">
        <v>31</v>
      </c>
      <c r="C8942" t="s">
        <v>10</v>
      </c>
      <c r="D8942" t="s">
        <v>11</v>
      </c>
      <c r="E8942" t="s">
        <v>45</v>
      </c>
      <c r="F8942" t="s">
        <v>46</v>
      </c>
      <c r="G8942" t="str">
        <f t="shared" si="368"/>
        <v>026PURPLE BUBBLY</v>
      </c>
      <c r="H8942" s="5" t="e">
        <f>VLOOKUP(G8942,[8]Astroflores!$G$2:$H$110,2,FALSE)</f>
        <v>#N/A</v>
      </c>
      <c r="I8942" s="6">
        <v>1755.4</v>
      </c>
      <c r="J8942" s="5">
        <v>12800</v>
      </c>
      <c r="K8942" s="6" t="e">
        <f t="shared" si="367"/>
        <v>#N/A</v>
      </c>
    </row>
    <row r="8943" spans="1:11" hidden="1">
      <c r="A8943" s="4">
        <v>2026</v>
      </c>
      <c r="B8943">
        <v>31</v>
      </c>
      <c r="C8943" t="s">
        <v>10</v>
      </c>
      <c r="D8943" t="s">
        <v>11</v>
      </c>
      <c r="E8943" t="s">
        <v>47</v>
      </c>
      <c r="F8943" t="s">
        <v>44</v>
      </c>
      <c r="G8943" t="str">
        <f t="shared" si="368"/>
        <v>030MIRABEL</v>
      </c>
      <c r="H8943" s="5">
        <f>VLOOKUP(G8943,[8]Astroflores!$G$2:$H$110,2,FALSE)</f>
        <v>7660</v>
      </c>
      <c r="I8943" s="6">
        <v>2413.6749943750001</v>
      </c>
      <c r="J8943" s="5">
        <v>17600</v>
      </c>
      <c r="K8943" s="6">
        <f t="shared" si="367"/>
        <v>3.1735838577486235</v>
      </c>
    </row>
    <row r="8944" spans="1:11" hidden="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13</v>
      </c>
      <c r="G8944" t="str">
        <f t="shared" si="368"/>
        <v>030SOMERSET</v>
      </c>
      <c r="H8944" s="5">
        <f>VLOOKUP(G8944,[8]Astroflores!$G$2:$H$110,2,FALSE)</f>
        <v>3620</v>
      </c>
      <c r="I8944" s="6">
        <v>1645.6875</v>
      </c>
      <c r="J8944" s="5">
        <v>12000</v>
      </c>
      <c r="K8944" s="6">
        <f t="shared" si="367"/>
        <v>2.1996885800007595</v>
      </c>
    </row>
    <row r="8945" spans="1:11" hidden="1">
      <c r="A8945" s="4">
        <v>2026</v>
      </c>
      <c r="B8945">
        <v>31</v>
      </c>
      <c r="C8945" t="s">
        <v>10</v>
      </c>
      <c r="D8945" t="s">
        <v>11</v>
      </c>
      <c r="E8945" t="s">
        <v>48</v>
      </c>
      <c r="F8945" t="s">
        <v>49</v>
      </c>
      <c r="G8945" t="str">
        <f t="shared" si="368"/>
        <v>03182989</v>
      </c>
      <c r="H8945" s="5">
        <f>VLOOKUP(G8945,[8]Astroflores!$G$2:$H$110,2,FALSE)</f>
        <v>820</v>
      </c>
      <c r="I8945" s="6">
        <v>726.32013058333712</v>
      </c>
      <c r="J8945" s="5">
        <v>5712</v>
      </c>
      <c r="K8945" s="6">
        <f t="shared" si="367"/>
        <v>1.1289787594644043</v>
      </c>
    </row>
    <row r="8946" spans="1:11" hidden="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34</v>
      </c>
      <c r="G8946" t="str">
        <f t="shared" si="368"/>
        <v>031RUBICON</v>
      </c>
      <c r="H8946" s="5">
        <f>VLOOKUP(G8946,[8]Astroflores!$G$2:$H$110,2,FALSE)</f>
        <v>2310</v>
      </c>
      <c r="I8946" s="6">
        <v>924.39958333667107</v>
      </c>
      <c r="J8946" s="5">
        <v>6720</v>
      </c>
      <c r="K8946" s="6">
        <f t="shared" si="367"/>
        <v>2.4989193435829211</v>
      </c>
    </row>
    <row r="8947" spans="1:11" hidden="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13</v>
      </c>
      <c r="G8947" t="str">
        <f t="shared" si="368"/>
        <v>031SOMERSET</v>
      </c>
      <c r="H8947" s="5">
        <f>VLOOKUP(G8947,[8]Astroflores!$G$2:$H$110,2,FALSE)</f>
        <v>1040</v>
      </c>
      <c r="I8947" s="6">
        <v>1122.485208333339</v>
      </c>
      <c r="J8947" s="5">
        <v>8160</v>
      </c>
      <c r="K8947" s="6">
        <f t="shared" si="367"/>
        <v>0.92651554985226703</v>
      </c>
    </row>
    <row r="8948" spans="1:11" hidden="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50</v>
      </c>
      <c r="G8948" t="str">
        <f t="shared" si="368"/>
        <v>031VELVET BLOSSOMS</v>
      </c>
      <c r="H8948" s="5">
        <f>VLOOKUP(G8948,[8]Astroflores!$G$2:$H$110,2,FALSE)</f>
        <v>920</v>
      </c>
      <c r="I8948" s="6">
        <v>396.17125000000198</v>
      </c>
      <c r="J8948" s="5">
        <v>2880</v>
      </c>
      <c r="K8948" s="6">
        <f t="shared" si="367"/>
        <v>2.3222280768733103</v>
      </c>
    </row>
    <row r="8949" spans="1:11" hidden="1">
      <c r="A8949" s="4">
        <v>2026</v>
      </c>
      <c r="B8949">
        <v>31</v>
      </c>
      <c r="C8949" t="s">
        <v>10</v>
      </c>
      <c r="D8949" t="s">
        <v>11</v>
      </c>
      <c r="E8949" t="s">
        <v>51</v>
      </c>
      <c r="F8949" t="s">
        <v>17</v>
      </c>
      <c r="G8949" t="str">
        <f t="shared" si="368"/>
        <v>032ELBA</v>
      </c>
      <c r="H8949" s="5">
        <f>VLOOKUP(G8949,[8]Astroflores!$G$2:$H$110,2,FALSE)</f>
        <v>2670</v>
      </c>
      <c r="I8949" s="6">
        <v>1535.9749999999999</v>
      </c>
      <c r="J8949" s="5">
        <v>11200</v>
      </c>
      <c r="K8949" s="6">
        <f t="shared" si="367"/>
        <v>1.7383095427985482</v>
      </c>
    </row>
    <row r="8950" spans="1:11" hidden="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44</v>
      </c>
      <c r="G8950" t="str">
        <f t="shared" si="368"/>
        <v>032MIRABEL</v>
      </c>
      <c r="H8950" s="5">
        <f>VLOOKUP(G8950,[8]Astroflores!$G$2:$H$110,2,FALSE)</f>
        <v>2480</v>
      </c>
      <c r="I8950" s="6">
        <v>1535.9749999999999</v>
      </c>
      <c r="J8950" s="5">
        <v>11200</v>
      </c>
      <c r="K8950" s="6">
        <f t="shared" si="367"/>
        <v>1.6146096127866665</v>
      </c>
    </row>
    <row r="8951" spans="1:11" hidden="1">
      <c r="A8951" s="4">
        <v>2026</v>
      </c>
      <c r="B8951">
        <v>31</v>
      </c>
      <c r="C8951" t="s">
        <v>10</v>
      </c>
      <c r="D8951" t="s">
        <v>11</v>
      </c>
      <c r="E8951" t="s">
        <v>52</v>
      </c>
      <c r="F8951" t="s">
        <v>53</v>
      </c>
      <c r="G8951" t="str">
        <f t="shared" si="368"/>
        <v>033CREAMY FOLIES</v>
      </c>
      <c r="H8951" s="5">
        <f>VLOOKUP(G8951,[8]Astroflores!$G$2:$H$110,2,FALSE)</f>
        <v>1110</v>
      </c>
      <c r="I8951" s="6">
        <v>594.25687500000299</v>
      </c>
      <c r="J8951" s="5">
        <v>4320</v>
      </c>
      <c r="K8951" s="6">
        <f t="shared" si="367"/>
        <v>1.8678791053111408</v>
      </c>
    </row>
    <row r="8952" spans="1:11" hidden="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18</v>
      </c>
      <c r="G8952" t="str">
        <f t="shared" si="368"/>
        <v>033HOT BUBBLES</v>
      </c>
      <c r="H8952" s="5">
        <f>VLOOKUP(G8952,[8]Astroflores!$G$2:$H$110,2,FALSE)</f>
        <v>5640</v>
      </c>
      <c r="I8952" s="6">
        <v>2575.1131250013459</v>
      </c>
      <c r="J8952" s="5">
        <v>18720</v>
      </c>
      <c r="K8952" s="6">
        <f t="shared" si="367"/>
        <v>2.1901950424011187</v>
      </c>
    </row>
    <row r="8953" spans="1:11" hidden="1">
      <c r="A8953" s="4">
        <v>2026</v>
      </c>
      <c r="B8953">
        <v>31</v>
      </c>
      <c r="C8953" t="s">
        <v>54</v>
      </c>
      <c r="D8953" t="s">
        <v>11</v>
      </c>
      <c r="E8953" t="s">
        <v>55</v>
      </c>
      <c r="F8953" t="s">
        <v>56</v>
      </c>
      <c r="G8953" t="str">
        <f t="shared" si="368"/>
        <v>001BELIEVE IN PINK</v>
      </c>
      <c r="H8953" s="5">
        <f>VLOOKUP(G8953,[8]Astroflores!$G$2:$H$110,2,FALSE)</f>
        <v>1110</v>
      </c>
      <c r="I8953" s="6">
        <v>528.37931032368999</v>
      </c>
      <c r="J8953" s="5">
        <v>4000</v>
      </c>
      <c r="K8953" s="6">
        <f t="shared" ref="K8953:K8958" si="369">IFERROR(H8953/I8953,"")</f>
        <v>2.1007635581340303</v>
      </c>
    </row>
    <row r="8954" spans="1:11" hidden="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57</v>
      </c>
      <c r="G8954" t="str">
        <f t="shared" si="368"/>
        <v>001EXPLORER</v>
      </c>
      <c r="H8954" s="5">
        <f>VLOOKUP(G8954,[8]Astroflores!$G$2:$H$110,2,FALSE)</f>
        <v>4950</v>
      </c>
      <c r="I8954" s="6">
        <v>2272.0310343918732</v>
      </c>
      <c r="J8954" s="5">
        <v>17200</v>
      </c>
      <c r="K8954" s="6">
        <f t="shared" si="369"/>
        <v>2.1786674235833692</v>
      </c>
    </row>
    <row r="8955" spans="1:11" hidden="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58</v>
      </c>
      <c r="G8955" t="str">
        <f t="shared" si="368"/>
        <v>001GRACE KELLY</v>
      </c>
      <c r="H8955" s="5">
        <f>VLOOKUP(G8955,[8]Astroflores!$G$2:$H$110,2,FALSE)</f>
        <v>2010</v>
      </c>
      <c r="I8955" s="6">
        <v>1162.4344827121224</v>
      </c>
      <c r="J8955" s="5">
        <v>8800</v>
      </c>
      <c r="K8955" s="6">
        <f t="shared" si="369"/>
        <v>1.7291297100120331</v>
      </c>
    </row>
    <row r="8956" spans="1:11" hidden="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60</v>
      </c>
      <c r="G8956" t="str">
        <f t="shared" si="368"/>
        <v>001LIGHT HOUSE</v>
      </c>
      <c r="H8956" s="5">
        <f>VLOOKUP(G8956,[8]Astroflores!$G$2:$H$110,2,FALSE)</f>
        <v>2010</v>
      </c>
      <c r="I8956" s="6">
        <v>1056.7586206473827</v>
      </c>
      <c r="J8956" s="5">
        <v>8000</v>
      </c>
      <c r="K8956" s="6">
        <f t="shared" si="369"/>
        <v>1.9020426810132387</v>
      </c>
    </row>
    <row r="8957" spans="1:11" hidden="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61</v>
      </c>
      <c r="G8957" t="str">
        <f t="shared" si="368"/>
        <v>001LUMIA</v>
      </c>
      <c r="H8957" s="5">
        <f>VLOOKUP(G8957,[8]Astroflores!$G$2:$H$110,2,FALSE)</f>
        <v>3300</v>
      </c>
      <c r="I8957" s="6">
        <v>1109.596551679753</v>
      </c>
      <c r="J8957" s="5">
        <v>8400</v>
      </c>
      <c r="K8957" s="6">
        <f t="shared" si="369"/>
        <v>2.9740539433042792</v>
      </c>
    </row>
    <row r="8958" spans="1:11" hidden="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62</v>
      </c>
      <c r="G8958" t="str">
        <f t="shared" si="368"/>
        <v>001MOMENTUM</v>
      </c>
      <c r="H8958" s="5">
        <f>VLOOKUP(G8958,[8]Astroflores!$G$2:$H$110,2,FALSE)</f>
        <v>5825</v>
      </c>
      <c r="I8958" s="6">
        <v>1902.1655171652881</v>
      </c>
      <c r="J8958" s="5">
        <v>14400</v>
      </c>
      <c r="K8958" s="6">
        <f t="shared" si="369"/>
        <v>3.0622992307634385</v>
      </c>
    </row>
    <row r="8959" spans="1:11" hidden="1">
      <c r="A8959" s="4">
        <v>2026</v>
      </c>
      <c r="B8959">
        <v>31</v>
      </c>
      <c r="C8959" t="s">
        <v>54</v>
      </c>
      <c r="D8959" t="s">
        <v>11</v>
      </c>
      <c r="E8959" t="s">
        <v>12</v>
      </c>
      <c r="F8959" t="s">
        <v>63</v>
      </c>
      <c r="G8959" t="str">
        <f t="shared" si="368"/>
        <v>002SUMMER ROMANCE</v>
      </c>
      <c r="H8959" s="5">
        <f>VLOOKUP(G8959,[8]Astroflores!$G$2:$H$110,2,FALSE)</f>
        <v>1575</v>
      </c>
      <c r="I8959" s="6">
        <v>951.10714281909407</v>
      </c>
      <c r="J8959" s="5">
        <v>7200</v>
      </c>
      <c r="K8959" s="6">
        <f t="shared" ref="K8959:K9019" si="370">+H8959/I8959</f>
        <v>1.6559648530571218</v>
      </c>
    </row>
    <row r="8960" spans="1:11" hidden="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64</v>
      </c>
      <c r="G8960" t="str">
        <f t="shared" si="368"/>
        <v>002SWEETNESS</v>
      </c>
      <c r="H8960" s="5">
        <f>VLOOKUP(G8960,[8]Astroflores!$G$2:$H$110,2,FALSE)</f>
        <v>7110</v>
      </c>
      <c r="I8960" s="6">
        <v>3804.4285712763772</v>
      </c>
      <c r="J8960" s="5">
        <v>28800</v>
      </c>
      <c r="K8960" s="6">
        <f t="shared" si="370"/>
        <v>1.8688746198787511</v>
      </c>
    </row>
    <row r="8961" spans="1:11" hidden="1">
      <c r="A8961" s="4">
        <v>2026</v>
      </c>
      <c r="B8961">
        <v>31</v>
      </c>
      <c r="C8961" t="s">
        <v>54</v>
      </c>
      <c r="D8961" t="s">
        <v>11</v>
      </c>
      <c r="E8961" t="s">
        <v>65</v>
      </c>
      <c r="F8961" t="s">
        <v>66</v>
      </c>
      <c r="G8961" t="str">
        <f t="shared" si="368"/>
        <v>003CABARET</v>
      </c>
      <c r="H8961" s="5">
        <f>VLOOKUP(G8961,[8]Astroflores!$G$2:$H$110,2,FALSE)</f>
        <v>4860</v>
      </c>
      <c r="I8961" s="6">
        <v>2641.8965516184649</v>
      </c>
      <c r="J8961" s="5">
        <v>20000</v>
      </c>
      <c r="K8961" s="6">
        <f t="shared" si="370"/>
        <v>1.8395875482038433</v>
      </c>
    </row>
    <row r="8962" spans="1:11" hidden="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67</v>
      </c>
      <c r="G8962" t="str">
        <f t="shared" si="368"/>
        <v>003DEEP PURPLE</v>
      </c>
      <c r="H8962" s="5">
        <f>VLOOKUP(G8962,[8]Astroflores!$G$2:$H$110,2,FALSE)</f>
        <v>7890</v>
      </c>
      <c r="I8962" s="6">
        <v>3592.9793102010913</v>
      </c>
      <c r="J8962" s="5">
        <v>26044</v>
      </c>
      <c r="K8962" s="6">
        <f t="shared" si="370"/>
        <v>2.1959491883515505</v>
      </c>
    </row>
    <row r="8963" spans="1:11" hidden="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57</v>
      </c>
      <c r="G8963" t="str">
        <f t="shared" si="368"/>
        <v>003EXPLORER</v>
      </c>
      <c r="H8963" s="5">
        <f>VLOOKUP(G8963,[8]Astroflores!$G$2:$H$110,2,FALSE)</f>
        <v>2225</v>
      </c>
      <c r="I8963" s="6">
        <v>1268.1103447768633</v>
      </c>
      <c r="J8963" s="5">
        <v>9600</v>
      </c>
      <c r="K8963" s="6">
        <f t="shared" si="370"/>
        <v>1.7545791729910627</v>
      </c>
    </row>
    <row r="8964" spans="1:11" hidden="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68</v>
      </c>
      <c r="G8964" t="str">
        <f t="shared" si="368"/>
        <v>003JOCKER</v>
      </c>
      <c r="H8964" s="5">
        <f>VLOOKUP(G8964,[8]Astroflores!$G$2:$H$110,2,FALSE)</f>
        <v>1325</v>
      </c>
      <c r="I8964" s="6">
        <v>528.37931032368999</v>
      </c>
      <c r="J8964" s="5">
        <v>4000</v>
      </c>
      <c r="K8964" s="6">
        <f t="shared" si="370"/>
        <v>2.5076682112861173</v>
      </c>
    </row>
    <row r="8965" spans="1:11" hidden="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69</v>
      </c>
      <c r="G8965" t="str">
        <f t="shared" si="368"/>
        <v>003QUICKSAND</v>
      </c>
      <c r="H8965" s="5">
        <f>VLOOKUP(G8965,[8]Astroflores!$G$2:$H$110,2,FALSE)</f>
        <v>2910</v>
      </c>
      <c r="I8965" s="6">
        <v>1162.4344827121247</v>
      </c>
      <c r="J8965" s="5">
        <v>8800</v>
      </c>
      <c r="K8965" s="6">
        <f t="shared" si="370"/>
        <v>2.5033668935995057</v>
      </c>
    </row>
    <row r="8966" spans="1:11" hidden="1">
      <c r="A8966" s="4">
        <v>2026</v>
      </c>
      <c r="B8966">
        <v>31</v>
      </c>
      <c r="C8966" t="s">
        <v>54</v>
      </c>
      <c r="D8966" t="s">
        <v>11</v>
      </c>
      <c r="E8966" t="s">
        <v>14</v>
      </c>
      <c r="F8966" t="s">
        <v>70</v>
      </c>
      <c r="G8966" t="str">
        <f t="shared" si="368"/>
        <v>004COTOPAXI</v>
      </c>
      <c r="H8966" s="5">
        <f>VLOOKUP(G8966,[8]Astroflores!$G$2:$H$110,2,FALSE)</f>
        <v>1980</v>
      </c>
      <c r="I8966" s="6">
        <v>528.3915024419166</v>
      </c>
      <c r="J8966" s="5">
        <v>4000</v>
      </c>
      <c r="K8966" s="6">
        <f t="shared" si="370"/>
        <v>3.7472215030892766</v>
      </c>
    </row>
    <row r="8967" spans="1:11" hidden="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67</v>
      </c>
      <c r="G8967" t="str">
        <f t="shared" si="368"/>
        <v>004DEEP PURPLE</v>
      </c>
      <c r="H8967" s="5">
        <f>VLOOKUP(G8967,[8]Astroflores!$G$2:$H$110,2,FALSE)</f>
        <v>7590</v>
      </c>
      <c r="I8967" s="6">
        <v>3910.1071427007282</v>
      </c>
      <c r="J8967" s="5">
        <v>29260</v>
      </c>
      <c r="K8967" s="6">
        <f t="shared" si="370"/>
        <v>1.9411232794908924</v>
      </c>
    </row>
    <row r="8968" spans="1:11" hidden="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71</v>
      </c>
      <c r="G8968" t="str">
        <f t="shared" si="368"/>
        <v>004HOT EXPLORER</v>
      </c>
      <c r="H8968" s="5">
        <f>VLOOKUP(G8968,[8]Astroflores!$G$2:$H$110,2,FALSE)</f>
        <v>2150</v>
      </c>
      <c r="I8968" s="6">
        <v>1902.2142856381945</v>
      </c>
      <c r="J8968" s="5">
        <v>14400</v>
      </c>
      <c r="K8968" s="6">
        <f t="shared" si="370"/>
        <v>1.130261725102476</v>
      </c>
    </row>
    <row r="8969" spans="1:11" hidden="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72</v>
      </c>
      <c r="G8969" t="str">
        <f t="shared" si="368"/>
        <v>004HOT MERENGUE</v>
      </c>
      <c r="H8969" s="5">
        <f>VLOOKUP(G8969,[8]Astroflores!$G$2:$H$110,2,FALSE)</f>
        <v>2490</v>
      </c>
      <c r="I8969" s="6">
        <v>1162.4642856677858</v>
      </c>
      <c r="J8969" s="5">
        <v>8800</v>
      </c>
      <c r="K8969" s="6">
        <f t="shared" si="370"/>
        <v>2.1420012904479058</v>
      </c>
    </row>
    <row r="8970" spans="1:11" hidden="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64</v>
      </c>
      <c r="G8970" t="str">
        <f t="shared" si="368"/>
        <v>004SWEETNESS</v>
      </c>
      <c r="H8970" s="5">
        <f>VLOOKUP(G8970,[8]Astroflores!$G$2:$H$110,2,FALSE)</f>
        <v>630</v>
      </c>
      <c r="I8970" s="6">
        <v>317.03571427303262</v>
      </c>
      <c r="J8970" s="5">
        <v>2400</v>
      </c>
      <c r="K8970" s="6">
        <f t="shared" si="370"/>
        <v>1.9871578236685381</v>
      </c>
    </row>
    <row r="8971" spans="1:11" hidden="1">
      <c r="A8971" s="4">
        <v>2026</v>
      </c>
      <c r="B8971">
        <v>31</v>
      </c>
      <c r="C8971" t="s">
        <v>54</v>
      </c>
      <c r="D8971" t="s">
        <v>11</v>
      </c>
      <c r="E8971" t="s">
        <v>16</v>
      </c>
      <c r="F8971" t="s">
        <v>57</v>
      </c>
      <c r="G8971" t="str">
        <f t="shared" si="368"/>
        <v>005EXPLORER</v>
      </c>
      <c r="H8971" s="5">
        <f>VLOOKUP(G8971,[8]Astroflores!$G$2:$H$110,2,FALSE)</f>
        <v>1775</v>
      </c>
      <c r="I8971" s="6">
        <v>951.10714281875391</v>
      </c>
      <c r="J8971" s="5">
        <v>7200</v>
      </c>
      <c r="K8971" s="6">
        <f t="shared" si="370"/>
        <v>1.8662461042396459</v>
      </c>
    </row>
    <row r="8972" spans="1:11" hidden="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73</v>
      </c>
      <c r="G8972" t="str">
        <f t="shared" si="368"/>
        <v>005GOLDFINCH</v>
      </c>
      <c r="H8972" s="5">
        <f>VLOOKUP(G8972,[8]Astroflores!$G$2:$H$110,2,FALSE)</f>
        <v>575</v>
      </c>
      <c r="I8972" s="6">
        <v>898.26785710660101</v>
      </c>
      <c r="J8972" s="5">
        <v>6800</v>
      </c>
      <c r="K8972" s="6">
        <f t="shared" si="370"/>
        <v>0.64012086756852804</v>
      </c>
    </row>
    <row r="8973" spans="1:11" hidden="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68</v>
      </c>
      <c r="G8973" t="str">
        <f t="shared" si="368"/>
        <v>005JOCKER</v>
      </c>
      <c r="H8973" s="5">
        <f>VLOOKUP(G8973,[8]Astroflores!$G$2:$H$110,2,FALSE)</f>
        <v>2075</v>
      </c>
      <c r="I8973" s="6">
        <v>1162.4642856673661</v>
      </c>
      <c r="J8973" s="5">
        <v>8800</v>
      </c>
      <c r="K8973" s="6">
        <f t="shared" si="370"/>
        <v>1.7850010753738992</v>
      </c>
    </row>
    <row r="8974" spans="1:11" hidden="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74</v>
      </c>
      <c r="G8974" t="str">
        <f t="shared" si="368"/>
        <v>005VENDELA</v>
      </c>
      <c r="H8974" s="5">
        <f>VLOOKUP(G8974,[8]Astroflores!$G$2:$H$110,2,FALSE)</f>
        <v>2070</v>
      </c>
      <c r="I8974" s="6">
        <v>686.91071425798896</v>
      </c>
      <c r="J8974" s="5">
        <v>5200</v>
      </c>
      <c r="K8974" s="6">
        <f t="shared" si="370"/>
        <v>3.0134920842456858</v>
      </c>
    </row>
    <row r="8975" spans="1:11" hidden="1">
      <c r="A8975" s="4">
        <v>2026</v>
      </c>
      <c r="B8975">
        <v>31</v>
      </c>
      <c r="C8975" t="s">
        <v>54</v>
      </c>
      <c r="D8975" t="s">
        <v>11</v>
      </c>
      <c r="E8975" t="s">
        <v>75</v>
      </c>
      <c r="F8975" t="s">
        <v>76</v>
      </c>
      <c r="G8975" t="str">
        <f t="shared" si="368"/>
        <v>006ATOMIC</v>
      </c>
      <c r="H8975" s="5">
        <f>VLOOKUP(G8975,[8]Astroflores!$G$2:$H$110,2,FALSE)</f>
        <v>1575</v>
      </c>
      <c r="I8975" s="6">
        <v>845.428571394752</v>
      </c>
      <c r="J8975" s="5">
        <v>6400</v>
      </c>
      <c r="K8975" s="6">
        <f t="shared" si="370"/>
        <v>1.8629604596892582</v>
      </c>
    </row>
    <row r="8976" spans="1:11" hidden="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57</v>
      </c>
      <c r="G8976" t="str">
        <f t="shared" si="368"/>
        <v>006EXPLORER</v>
      </c>
      <c r="H8976" s="5">
        <f>VLOOKUP(G8976,[8]Astroflores!$G$2:$H$110,2,FALSE)</f>
        <v>8050</v>
      </c>
      <c r="I8976" s="6">
        <v>3910.1071427007355</v>
      </c>
      <c r="J8976" s="5">
        <v>29600</v>
      </c>
      <c r="K8976" s="6">
        <f t="shared" si="370"/>
        <v>2.0587671146115487</v>
      </c>
    </row>
    <row r="8977" spans="1:11" hidden="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77</v>
      </c>
      <c r="G8977" t="str">
        <f t="shared" si="368"/>
        <v>006MONDIAL</v>
      </c>
      <c r="H8977" s="5">
        <f>VLOOKUP(G8977,[8]Astroflores!$G$2:$H$110,2,FALSE)</f>
        <v>8450</v>
      </c>
      <c r="I8977" s="6">
        <v>4015.7857141250793</v>
      </c>
      <c r="J8977" s="5">
        <v>30400</v>
      </c>
      <c r="K8977" s="6">
        <f t="shared" si="370"/>
        <v>2.1041959411026503</v>
      </c>
    </row>
    <row r="8978" spans="1:11" hidden="1">
      <c r="A8978" s="4">
        <v>2026</v>
      </c>
      <c r="B8978">
        <v>31</v>
      </c>
      <c r="C8978" t="s">
        <v>54</v>
      </c>
      <c r="D8978" t="s">
        <v>11</v>
      </c>
      <c r="E8978" t="s">
        <v>20</v>
      </c>
      <c r="F8978" t="s">
        <v>70</v>
      </c>
      <c r="G8978" t="str">
        <f t="shared" si="368"/>
        <v>007COTOPAXI</v>
      </c>
      <c r="H8978" s="5">
        <f>VLOOKUP(G8978,[8]Astroflores!$G$2:$H$110,2,FALSE)</f>
        <v>6450</v>
      </c>
      <c r="I8978" s="6">
        <v>2747.5751230427709</v>
      </c>
      <c r="J8978" s="5">
        <v>20800</v>
      </c>
      <c r="K8978" s="6">
        <f t="shared" si="370"/>
        <v>2.3475245302326879</v>
      </c>
    </row>
    <row r="8979" spans="1:11" hidden="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78</v>
      </c>
      <c r="G8979" t="str">
        <f t="shared" si="368"/>
        <v>007REDIANT</v>
      </c>
      <c r="H8979" s="5">
        <f>VLOOKUP(G8979,[8]Astroflores!$G$2:$H$110,2,FALSE)</f>
        <v>2100</v>
      </c>
      <c r="I8979" s="6">
        <v>1056.75862064738</v>
      </c>
      <c r="J8979" s="5">
        <v>9600</v>
      </c>
      <c r="K8979" s="6">
        <f t="shared" si="370"/>
        <v>1.9872087712078665</v>
      </c>
    </row>
    <row r="8980" spans="1:11" hidden="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74</v>
      </c>
      <c r="G8980" t="str">
        <f t="shared" si="368"/>
        <v>007VENDELA</v>
      </c>
      <c r="H8980" s="5">
        <f>VLOOKUP(G8980,[8]Astroflores!$G$2:$H$110,2,FALSE)</f>
        <v>11250</v>
      </c>
      <c r="I8980" s="6">
        <v>3592.9793102011122</v>
      </c>
      <c r="J8980" s="5">
        <v>27820</v>
      </c>
      <c r="K8980" s="6">
        <f t="shared" si="370"/>
        <v>3.1311062571552344</v>
      </c>
    </row>
    <row r="8981" spans="1:11" hidden="1">
      <c r="A8981" s="4">
        <v>2026</v>
      </c>
      <c r="B8981">
        <v>31</v>
      </c>
      <c r="C8981" t="s">
        <v>54</v>
      </c>
      <c r="D8981" t="s">
        <v>11</v>
      </c>
      <c r="E8981" t="s">
        <v>79</v>
      </c>
      <c r="F8981" t="s">
        <v>67</v>
      </c>
      <c r="G8981" t="str">
        <f t="shared" si="368"/>
        <v>008DEEP PURPLE</v>
      </c>
      <c r="H8981" s="5">
        <f>VLOOKUP(G8981,[8]Astroflores!$G$2:$H$110,2,FALSE)</f>
        <v>3450</v>
      </c>
      <c r="I8981" s="6">
        <v>1585.2222221588099</v>
      </c>
      <c r="J8981" s="5">
        <v>11490</v>
      </c>
      <c r="K8981" s="6">
        <f t="shared" si="370"/>
        <v>2.176351019923044</v>
      </c>
    </row>
    <row r="8982" spans="1:11" hidden="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81</v>
      </c>
      <c r="G8982" t="str">
        <f t="shared" si="368"/>
        <v>008FREEDOM</v>
      </c>
      <c r="H8982" s="5">
        <f>VLOOKUP(G8982,[8]Astroflores!$G$2:$H$110,2,FALSE)</f>
        <v>3420</v>
      </c>
      <c r="I8982" s="6">
        <v>2219.311111022334</v>
      </c>
      <c r="J8982" s="5">
        <v>16800</v>
      </c>
      <c r="K8982" s="6">
        <f t="shared" si="370"/>
        <v>1.5410187346038944</v>
      </c>
    </row>
    <row r="8983" spans="1:11" hidden="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68</v>
      </c>
      <c r="G8983" t="str">
        <f t="shared" ref="G8983:G9023" si="371">+E8983&amp;F8983</f>
        <v>008JOCKER</v>
      </c>
      <c r="H8983" s="5">
        <f>VLOOKUP(G8983,[8]Astroflores!$G$2:$H$110,2,FALSE)</f>
        <v>5425</v>
      </c>
      <c r="I8983" s="6">
        <v>2959.0814813631118</v>
      </c>
      <c r="J8983" s="5">
        <v>22400</v>
      </c>
      <c r="K8983" s="6">
        <f t="shared" si="370"/>
        <v>1.8333391743916945</v>
      </c>
    </row>
    <row r="8984" spans="1:11" hidden="1">
      <c r="A8984" s="4">
        <v>2026</v>
      </c>
      <c r="B8984">
        <v>31</v>
      </c>
      <c r="C8984" t="s">
        <v>54</v>
      </c>
      <c r="D8984" t="s">
        <v>11</v>
      </c>
      <c r="E8984" t="s">
        <v>82</v>
      </c>
      <c r="F8984" t="s">
        <v>83</v>
      </c>
      <c r="G8984" t="str">
        <f t="shared" si="371"/>
        <v>010COOLDOWN</v>
      </c>
      <c r="H8984" s="5">
        <f>VLOOKUP(G8984,[8]Astroflores!$G$2:$H$110,2,FALSE)</f>
        <v>2525</v>
      </c>
      <c r="I8984" s="6">
        <v>1912.3542857142861</v>
      </c>
      <c r="J8984" s="5">
        <v>16320</v>
      </c>
      <c r="K8984" s="6">
        <f t="shared" si="370"/>
        <v>1.3203620369208333</v>
      </c>
    </row>
    <row r="8985" spans="1:11" hidden="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84</v>
      </c>
      <c r="G8985" t="str">
        <f t="shared" si="371"/>
        <v>010VIOLET HILL</v>
      </c>
      <c r="H8985" s="5">
        <f>VLOOKUP(G8985,[8]Astroflores!$G$2:$H$110,2,FALSE)</f>
        <v>4740</v>
      </c>
      <c r="I8985" s="6">
        <v>2812.2857142428579</v>
      </c>
      <c r="J8985" s="5">
        <v>20000</v>
      </c>
      <c r="K8985" s="6">
        <f t="shared" si="370"/>
        <v>1.6854617494923108</v>
      </c>
    </row>
    <row r="8986" spans="1:11" hidden="1">
      <c r="A8986" s="4">
        <v>2026</v>
      </c>
      <c r="B8986">
        <v>31</v>
      </c>
      <c r="C8986" t="s">
        <v>54</v>
      </c>
      <c r="D8986" t="s">
        <v>11</v>
      </c>
      <c r="E8986" t="s">
        <v>85</v>
      </c>
      <c r="F8986" t="s">
        <v>86</v>
      </c>
      <c r="G8986" t="str">
        <f t="shared" si="371"/>
        <v>011BRIGHTON</v>
      </c>
      <c r="H8986" s="5">
        <f>VLOOKUP(G8986,[8]Astroflores!$G$2:$H$110,2,FALSE)</f>
        <v>3950</v>
      </c>
      <c r="I8986" s="6">
        <v>1768.8376470588223</v>
      </c>
      <c r="J8986" s="5">
        <v>12800</v>
      </c>
      <c r="K8986" s="6">
        <f t="shared" si="370"/>
        <v>2.2331048904165729</v>
      </c>
    </row>
    <row r="8987" spans="1:11" hidden="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87</v>
      </c>
      <c r="G8987" t="str">
        <f t="shared" si="371"/>
        <v>011CANDLELIGHT</v>
      </c>
      <c r="H8987" s="5">
        <f>VLOOKUP(G8987,[8]Astroflores!$G$2:$H$110,2,FALSE)</f>
        <v>4200</v>
      </c>
      <c r="I8987" s="6">
        <v>2263.7999998868127</v>
      </c>
      <c r="J8987" s="5">
        <v>17920</v>
      </c>
      <c r="K8987" s="6">
        <f t="shared" si="370"/>
        <v>1.855287569666046</v>
      </c>
    </row>
    <row r="8988" spans="1:11" hidden="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88</v>
      </c>
      <c r="G8988" t="str">
        <f t="shared" si="371"/>
        <v>011CAYENNE</v>
      </c>
      <c r="H8988" s="5">
        <f>VLOOKUP(G8988,[8]Astroflores!$G$2:$H$110,2,FALSE)</f>
        <v>1290</v>
      </c>
      <c r="I8988" s="6">
        <v>994.97117647058747</v>
      </c>
      <c r="J8988" s="5">
        <v>7200</v>
      </c>
      <c r="K8988" s="6">
        <f t="shared" si="370"/>
        <v>1.2965199701321539</v>
      </c>
    </row>
    <row r="8989" spans="1:11" hidden="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61</v>
      </c>
      <c r="G8989" t="str">
        <f t="shared" si="371"/>
        <v>011LUMIA</v>
      </c>
      <c r="H8989" s="5">
        <f>VLOOKUP(G8989,[8]Astroflores!$G$2:$H$110,2,FALSE)</f>
        <v>2070</v>
      </c>
      <c r="I8989" s="6">
        <v>994.97117647058747</v>
      </c>
      <c r="J8989" s="5">
        <v>7920</v>
      </c>
      <c r="K8989" s="6">
        <f t="shared" si="370"/>
        <v>2.0804622776539214</v>
      </c>
    </row>
    <row r="8990" spans="1:11" hidden="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89</v>
      </c>
      <c r="G8990" t="str">
        <f t="shared" si="371"/>
        <v>011STARDUST</v>
      </c>
      <c r="H8990" s="5">
        <f>VLOOKUP(G8990,[8]Astroflores!$G$2:$H$110,2,FALSE)</f>
        <v>4425</v>
      </c>
      <c r="I8990" s="6">
        <v>2263.7999998868127</v>
      </c>
      <c r="J8990" s="5">
        <v>17920</v>
      </c>
      <c r="K8990" s="6">
        <f t="shared" si="370"/>
        <v>1.9546779751838699</v>
      </c>
    </row>
    <row r="8991" spans="1:11" hidden="1">
      <c r="A8991" s="4">
        <v>2026</v>
      </c>
      <c r="B8991">
        <v>31</v>
      </c>
      <c r="C8991" t="s">
        <v>54</v>
      </c>
      <c r="D8991" t="s">
        <v>11</v>
      </c>
      <c r="E8991" t="s">
        <v>90</v>
      </c>
      <c r="F8991" t="s">
        <v>67</v>
      </c>
      <c r="G8991" t="str">
        <f t="shared" si="371"/>
        <v>012DEEP PURPLE</v>
      </c>
      <c r="H8991" s="5">
        <f>VLOOKUP(G8991,[8]Astroflores!$G$2:$H$110,2,FALSE)</f>
        <v>16800</v>
      </c>
      <c r="I8991" s="6">
        <v>6727.0499997982479</v>
      </c>
      <c r="J8991" s="5">
        <v>49210</v>
      </c>
      <c r="K8991" s="6">
        <f t="shared" si="370"/>
        <v>2.4973799808985886</v>
      </c>
    </row>
    <row r="8992" spans="1:11" hidden="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60</v>
      </c>
      <c r="G8992" t="str">
        <f t="shared" si="371"/>
        <v>012LIGHT HOUSE</v>
      </c>
      <c r="H8992" s="5">
        <f>VLOOKUP(G8992,[8]Astroflores!$G$2:$H$110,2,FALSE)</f>
        <v>1440</v>
      </c>
      <c r="I8992" s="6">
        <v>994.95</v>
      </c>
      <c r="J8992" s="5">
        <v>7200</v>
      </c>
      <c r="K8992" s="6">
        <f t="shared" si="370"/>
        <v>1.447308909995477</v>
      </c>
    </row>
    <row r="8993" spans="1:11" hidden="1">
      <c r="A8993" s="4">
        <v>2026</v>
      </c>
      <c r="B8993">
        <v>31</v>
      </c>
      <c r="C8993" t="s">
        <v>54</v>
      </c>
      <c r="D8993" t="s">
        <v>11</v>
      </c>
      <c r="E8993" t="s">
        <v>91</v>
      </c>
      <c r="F8993" t="s">
        <v>92</v>
      </c>
      <c r="G8993" t="str">
        <f t="shared" si="371"/>
        <v>013COUNTRY BLUES</v>
      </c>
      <c r="H8993" s="5">
        <f>VLOOKUP(G8993,[8]Astroflores!$G$2:$H$110,2,FALSE)</f>
        <v>1200</v>
      </c>
      <c r="I8993" s="6">
        <v>831.6</v>
      </c>
      <c r="J8993" s="5">
        <v>6300</v>
      </c>
      <c r="K8993" s="6">
        <f t="shared" si="370"/>
        <v>1.4430014430014431</v>
      </c>
    </row>
    <row r="8994" spans="1:11" hidden="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93</v>
      </c>
      <c r="G8994" t="str">
        <f t="shared" si="371"/>
        <v>013LORRAINE</v>
      </c>
      <c r="H8994" s="5">
        <f>VLOOKUP(G8994,[8]Astroflores!$G$2:$H$110,2,FALSE)</f>
        <v>3825</v>
      </c>
      <c r="I8994" s="6">
        <v>1267.2</v>
      </c>
      <c r="J8994" s="5">
        <v>9600</v>
      </c>
      <c r="K8994" s="6">
        <f t="shared" si="370"/>
        <v>3.0184659090909092</v>
      </c>
    </row>
    <row r="8995" spans="1:11" hidden="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61</v>
      </c>
      <c r="G8995" t="str">
        <f t="shared" si="371"/>
        <v>013LUMIA</v>
      </c>
      <c r="H8995" s="5">
        <f>VLOOKUP(G8995,[8]Astroflores!$G$2:$H$110,2,FALSE)</f>
        <v>660</v>
      </c>
      <c r="I8995" s="6">
        <v>316.8</v>
      </c>
      <c r="J8995" s="5">
        <v>2400</v>
      </c>
      <c r="K8995" s="6">
        <f t="shared" si="370"/>
        <v>2.083333333333333</v>
      </c>
    </row>
    <row r="8996" spans="1:11" hidden="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74</v>
      </c>
      <c r="G8996" t="str">
        <f t="shared" si="371"/>
        <v>013VENDELA</v>
      </c>
      <c r="H8996" s="5">
        <f>VLOOKUP(G8996,[8]Astroflores!$G$2:$H$110,2,FALSE)</f>
        <v>11610</v>
      </c>
      <c r="I8996" s="6">
        <v>3603.6</v>
      </c>
      <c r="J8996" s="5">
        <v>27296</v>
      </c>
      <c r="K8996" s="6">
        <f t="shared" si="370"/>
        <v>3.221778221778222</v>
      </c>
    </row>
    <row r="8997" spans="1:11" hidden="1">
      <c r="A8997" s="4">
        <v>2026</v>
      </c>
      <c r="B8997">
        <v>31</v>
      </c>
      <c r="C8997" t="s">
        <v>54</v>
      </c>
      <c r="D8997" t="s">
        <v>11</v>
      </c>
      <c r="E8997" t="s">
        <v>23</v>
      </c>
      <c r="F8997" t="s">
        <v>89</v>
      </c>
      <c r="G8997" t="str">
        <f t="shared" si="371"/>
        <v>014STARDUST</v>
      </c>
      <c r="H8997" s="5">
        <f>VLOOKUP(G8997,[8]Astroflores!$G$2:$H$110,2,FALSE)</f>
        <v>6900</v>
      </c>
      <c r="I8997" s="6">
        <v>3682.8</v>
      </c>
      <c r="J8997" s="5">
        <v>27900</v>
      </c>
      <c r="K8997" s="6">
        <f t="shared" si="370"/>
        <v>1.8735744542196153</v>
      </c>
    </row>
    <row r="8998" spans="1:11" hidden="1">
      <c r="A8998" s="4">
        <v>2026</v>
      </c>
      <c r="B8998">
        <v>31</v>
      </c>
      <c r="C8998" t="s">
        <v>54</v>
      </c>
      <c r="D8998" t="s">
        <v>11</v>
      </c>
      <c r="E8998" t="s">
        <v>25</v>
      </c>
      <c r="F8998" t="s">
        <v>68</v>
      </c>
      <c r="G8998" t="str">
        <f t="shared" si="371"/>
        <v>015JOCKER</v>
      </c>
      <c r="H8998" s="5">
        <f>VLOOKUP(G8998,[8]Astroflores!$G$2:$H$110,2,FALSE)</f>
        <v>4625</v>
      </c>
      <c r="I8998" s="6">
        <v>2376</v>
      </c>
      <c r="J8998" s="5">
        <v>18000</v>
      </c>
      <c r="K8998" s="6">
        <f t="shared" si="370"/>
        <v>1.9465488215488216</v>
      </c>
    </row>
    <row r="8999" spans="1:11" hidden="1">
      <c r="A8999" s="4">
        <v>2026</v>
      </c>
      <c r="B8999">
        <v>31</v>
      </c>
      <c r="C8999" t="s">
        <v>54</v>
      </c>
      <c r="D8999" t="s">
        <v>11</v>
      </c>
      <c r="E8999" t="s">
        <v>27</v>
      </c>
      <c r="F8999" t="s">
        <v>94</v>
      </c>
      <c r="G8999" t="str">
        <f t="shared" si="371"/>
        <v>016DREAM IN PEACH</v>
      </c>
      <c r="H8999" s="5">
        <f>VLOOKUP(G8999,[8]Astroflores!$G$2:$H$110,2,FALSE)</f>
        <v>1710</v>
      </c>
      <c r="I8999" s="6">
        <v>950.4</v>
      </c>
      <c r="J8999" s="5">
        <v>7200</v>
      </c>
      <c r="K8999" s="6">
        <f t="shared" si="370"/>
        <v>1.7992424242424243</v>
      </c>
    </row>
    <row r="9000" spans="1:11" hidden="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95</v>
      </c>
      <c r="G9000" t="str">
        <f t="shared" si="371"/>
        <v>016NINA</v>
      </c>
      <c r="H9000" s="5">
        <f>VLOOKUP(G9000,[8]Astroflores!$G$2:$H$110,2,FALSE)</f>
        <v>2425</v>
      </c>
      <c r="I9000" s="6">
        <v>1346.4</v>
      </c>
      <c r="J9000" s="5">
        <v>10200</v>
      </c>
      <c r="K9000" s="6">
        <f t="shared" si="370"/>
        <v>1.8010992275698157</v>
      </c>
    </row>
    <row r="9001" spans="1:11" hidden="1">
      <c r="A9001" s="4">
        <v>2026</v>
      </c>
      <c r="B9001">
        <v>31</v>
      </c>
      <c r="C9001" t="s">
        <v>54</v>
      </c>
      <c r="D9001" t="s">
        <v>11</v>
      </c>
      <c r="E9001" t="s">
        <v>30</v>
      </c>
      <c r="F9001" t="s">
        <v>81</v>
      </c>
      <c r="G9001" t="str">
        <f t="shared" si="371"/>
        <v>017FREEDOM</v>
      </c>
      <c r="H9001" s="5">
        <f>VLOOKUP(G9001,[8]Astroflores!$G$2:$H$110,2,FALSE)</f>
        <v>4470</v>
      </c>
      <c r="I9001" s="6">
        <v>2851.2</v>
      </c>
      <c r="J9001" s="5">
        <v>21600</v>
      </c>
      <c r="K9001" s="6">
        <f t="shared" si="370"/>
        <v>1.5677609427609429</v>
      </c>
    </row>
    <row r="9002" spans="1:11" hidden="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73</v>
      </c>
      <c r="G9002" t="str">
        <f t="shared" si="371"/>
        <v>017GOLDFINCH</v>
      </c>
      <c r="H9002" s="5">
        <f>VLOOKUP(G9002,[8]Astroflores!$G$2:$H$110,2,FALSE)</f>
        <v>3075</v>
      </c>
      <c r="I9002" s="6">
        <v>2138.4</v>
      </c>
      <c r="J9002" s="5">
        <v>16200</v>
      </c>
      <c r="K9002" s="6">
        <f t="shared" si="370"/>
        <v>1.4379910213243545</v>
      </c>
    </row>
    <row r="9003" spans="1:11" hidden="1">
      <c r="A9003" s="4">
        <v>2026</v>
      </c>
      <c r="B9003">
        <v>31</v>
      </c>
      <c r="C9003" t="s">
        <v>54</v>
      </c>
      <c r="D9003" t="s">
        <v>11</v>
      </c>
      <c r="E9003" t="s">
        <v>32</v>
      </c>
      <c r="F9003" t="s">
        <v>86</v>
      </c>
      <c r="G9003" t="str">
        <f t="shared" si="371"/>
        <v>018BRIGHTON</v>
      </c>
      <c r="H9003" s="5">
        <f>VLOOKUP(G9003,[8]Astroflores!$G$2:$H$110,2,FALSE)</f>
        <v>1850</v>
      </c>
      <c r="I9003" s="6">
        <v>963.6</v>
      </c>
      <c r="J9003" s="5">
        <v>7570</v>
      </c>
      <c r="K9003" s="6">
        <f t="shared" si="370"/>
        <v>1.9198837691988377</v>
      </c>
    </row>
    <row r="9004" spans="1:11" hidden="1">
      <c r="A9004" s="4">
        <v>2026</v>
      </c>
      <c r="B9004">
        <v>31</v>
      </c>
      <c r="C9004" t="s">
        <v>54</v>
      </c>
      <c r="D9004" t="s">
        <v>11</v>
      </c>
      <c r="E9004" t="s">
        <v>35</v>
      </c>
      <c r="F9004" t="s">
        <v>86</v>
      </c>
      <c r="G9004" t="str">
        <f t="shared" si="371"/>
        <v>019BRIGHTON</v>
      </c>
      <c r="H9004" s="5">
        <f>VLOOKUP(G9004,[8]Astroflores!$G$2:$H$110,2,FALSE)</f>
        <v>6325</v>
      </c>
      <c r="I9004" s="6">
        <v>3168</v>
      </c>
      <c r="J9004" s="5">
        <v>24000</v>
      </c>
      <c r="K9004" s="6">
        <f t="shared" si="370"/>
        <v>1.9965277777777777</v>
      </c>
    </row>
    <row r="9005" spans="1:11" hidden="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96</v>
      </c>
      <c r="G9005" t="str">
        <f t="shared" si="371"/>
        <v>019TABATHA</v>
      </c>
      <c r="H9005" s="5">
        <f>VLOOKUP(G9005,[8]Astroflores!$G$2:$H$110,2,FALSE)</f>
        <v>3540</v>
      </c>
      <c r="I9005" s="6">
        <v>1188</v>
      </c>
      <c r="J9005" s="5">
        <v>9000</v>
      </c>
      <c r="K9005" s="6">
        <f t="shared" si="370"/>
        <v>2.9797979797979797</v>
      </c>
    </row>
    <row r="9006" spans="1:11" hidden="1">
      <c r="A9006" s="4">
        <v>2026</v>
      </c>
      <c r="B9006">
        <v>31</v>
      </c>
      <c r="C9006" t="s">
        <v>54</v>
      </c>
      <c r="D9006" t="s">
        <v>11</v>
      </c>
      <c r="E9006" t="s">
        <v>36</v>
      </c>
      <c r="F9006" t="s">
        <v>86</v>
      </c>
      <c r="G9006" t="str">
        <f t="shared" si="371"/>
        <v>020BRIGHTON</v>
      </c>
      <c r="H9006" s="5">
        <f>VLOOKUP(G9006,[8]Astroflores!$G$2:$H$110,2,FALSE)</f>
        <v>5575</v>
      </c>
      <c r="I9006" s="6">
        <v>2732.4</v>
      </c>
      <c r="J9006" s="5">
        <v>20700</v>
      </c>
      <c r="K9006" s="6">
        <f t="shared" si="370"/>
        <v>2.0403308446786705</v>
      </c>
    </row>
    <row r="9007" spans="1:11" hidden="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97</v>
      </c>
      <c r="G9007" t="str">
        <f t="shared" si="371"/>
        <v>020TYCOON</v>
      </c>
      <c r="H9007" s="5">
        <f>VLOOKUP(G9007,[8]Astroflores!$G$2:$H$110,2,FALSE)</f>
        <v>1290</v>
      </c>
      <c r="I9007" s="6">
        <v>673.2</v>
      </c>
      <c r="J9007" s="5">
        <v>5100</v>
      </c>
      <c r="K9007" s="6">
        <f t="shared" si="370"/>
        <v>1.9162210338680925</v>
      </c>
    </row>
    <row r="9008" spans="1:11" hidden="1">
      <c r="A9008" s="4">
        <v>2026</v>
      </c>
      <c r="B9008">
        <v>31</v>
      </c>
      <c r="C9008" t="s">
        <v>54</v>
      </c>
      <c r="D9008" t="s">
        <v>11</v>
      </c>
      <c r="E9008" t="s">
        <v>38</v>
      </c>
      <c r="F9008" t="s">
        <v>98</v>
      </c>
      <c r="G9008" t="str">
        <f t="shared" si="371"/>
        <v>021SHOW GIRL</v>
      </c>
      <c r="H9008" s="5">
        <f>VLOOKUP(G9008,[8]Astroflores!$G$2:$H$110,2,FALSE)</f>
        <v>1775</v>
      </c>
      <c r="I9008" s="6">
        <v>1100.4749999999999</v>
      </c>
      <c r="J9008" s="5">
        <v>8000</v>
      </c>
      <c r="K9008" s="6">
        <f t="shared" si="370"/>
        <v>1.6129398668756674</v>
      </c>
    </row>
    <row r="9009" spans="1:11" hidden="1">
      <c r="A9009" s="4">
        <v>2026</v>
      </c>
      <c r="B9009">
        <v>31</v>
      </c>
      <c r="C9009" t="s">
        <v>54</v>
      </c>
      <c r="D9009" t="s">
        <v>11</v>
      </c>
      <c r="E9009" t="s">
        <v>43</v>
      </c>
      <c r="F9009" t="s">
        <v>99</v>
      </c>
      <c r="G9009" t="str">
        <f t="shared" si="371"/>
        <v>022CORAL REEF</v>
      </c>
      <c r="H9009" s="5">
        <f>VLOOKUP(G9009,[8]Astroflores!$G$2:$H$110,2,FALSE)</f>
        <v>2625</v>
      </c>
      <c r="I9009" s="6">
        <v>1287</v>
      </c>
      <c r="J9009" s="5">
        <v>9400</v>
      </c>
      <c r="K9009" s="6">
        <f t="shared" si="370"/>
        <v>2.0396270396270397</v>
      </c>
    </row>
    <row r="9010" spans="1:11" hidden="1">
      <c r="A9010" s="4">
        <v>2026</v>
      </c>
      <c r="B9010">
        <v>31</v>
      </c>
      <c r="C9010" t="s">
        <v>54</v>
      </c>
      <c r="D9010" t="s">
        <v>11</v>
      </c>
      <c r="E9010" t="s">
        <v>100</v>
      </c>
      <c r="F9010" t="s">
        <v>70</v>
      </c>
      <c r="G9010" t="str">
        <f t="shared" si="371"/>
        <v>023COTOPAXI</v>
      </c>
      <c r="H9010" s="5">
        <f>VLOOKUP(G9010,[8]Astroflores!$G$2:$H$110,2,FALSE)</f>
        <v>8760</v>
      </c>
      <c r="I9010" s="6">
        <v>2641.14</v>
      </c>
      <c r="J9010" s="5">
        <v>19200</v>
      </c>
      <c r="K9010" s="6">
        <f t="shared" si="370"/>
        <v>3.3167495854063018</v>
      </c>
    </row>
    <row r="9011" spans="1:11" hidden="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101</v>
      </c>
      <c r="G9011" t="str">
        <f t="shared" si="371"/>
        <v>023FRUTTETO</v>
      </c>
      <c r="H9011" s="5">
        <f>VLOOKUP(G9011,[8]Astroflores!$G$2:$H$110,2,FALSE)</f>
        <v>5040</v>
      </c>
      <c r="I9011" s="6">
        <v>2641.14</v>
      </c>
      <c r="J9011" s="5">
        <v>19200</v>
      </c>
      <c r="K9011" s="6">
        <f t="shared" si="370"/>
        <v>1.9082668847543107</v>
      </c>
    </row>
    <row r="9012" spans="1:11" hidden="1">
      <c r="A9012" s="4">
        <v>2026</v>
      </c>
      <c r="B9012">
        <v>31</v>
      </c>
      <c r="C9012" t="s">
        <v>54</v>
      </c>
      <c r="D9012" t="s">
        <v>11</v>
      </c>
      <c r="E9012" t="s">
        <v>102</v>
      </c>
      <c r="F9012" t="s">
        <v>70</v>
      </c>
      <c r="G9012" t="str">
        <f t="shared" si="371"/>
        <v>024COTOPAXI</v>
      </c>
      <c r="H9012" s="5">
        <f>VLOOKUP(G9012,[8]Astroflores!$G$2:$H$110,2,FALSE)</f>
        <v>4050</v>
      </c>
      <c r="I9012" s="6">
        <v>1430.6174906250001</v>
      </c>
      <c r="J9012" s="5">
        <v>10400</v>
      </c>
      <c r="K9012" s="6">
        <f t="shared" si="370"/>
        <v>2.8309453970331782</v>
      </c>
    </row>
    <row r="9013" spans="1:11" hidden="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64</v>
      </c>
      <c r="G9013" t="str">
        <f t="shared" si="371"/>
        <v>024SWEETNESS</v>
      </c>
      <c r="H9013" s="5">
        <f>VLOOKUP(G9013,[8]Astroflores!$G$2:$H$110,2,FALSE)</f>
        <v>2340</v>
      </c>
      <c r="I9013" s="6">
        <v>1430.6175000000001</v>
      </c>
      <c r="J9013" s="5">
        <v>10400</v>
      </c>
      <c r="K9013" s="6">
        <f t="shared" si="370"/>
        <v>1.635657329789409</v>
      </c>
    </row>
    <row r="9014" spans="1:11" hidden="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97</v>
      </c>
      <c r="G9014" t="str">
        <f t="shared" si="371"/>
        <v>024TYCOON</v>
      </c>
      <c r="H9014" s="5">
        <f>VLOOKUP(G9014,[8]Astroflores!$G$2:$H$110,2,FALSE)</f>
        <v>4290</v>
      </c>
      <c r="I9014" s="6">
        <v>2861.2350000000001</v>
      </c>
      <c r="J9014" s="5">
        <v>20800</v>
      </c>
      <c r="K9014" s="6">
        <f t="shared" si="370"/>
        <v>1.4993525523069582</v>
      </c>
    </row>
    <row r="9015" spans="1:11" hidden="1">
      <c r="A9015" s="4">
        <v>2026</v>
      </c>
      <c r="B9015">
        <v>31</v>
      </c>
      <c r="C9015" t="s">
        <v>54</v>
      </c>
      <c r="D9015" t="s">
        <v>11</v>
      </c>
      <c r="E9015" t="s">
        <v>103</v>
      </c>
      <c r="F9015" t="s">
        <v>104</v>
      </c>
      <c r="G9015" t="str">
        <f t="shared" si="371"/>
        <v>025PINK MONDIAL</v>
      </c>
      <c r="H9015" s="5">
        <f>VLOOKUP(G9015,[8]Astroflores!$G$2:$H$110,2,FALSE)</f>
        <v>6400</v>
      </c>
      <c r="I9015" s="6">
        <v>3071.9505625000002</v>
      </c>
      <c r="J9015" s="5">
        <v>22400</v>
      </c>
      <c r="K9015" s="6">
        <f t="shared" si="370"/>
        <v>2.0833668608233014</v>
      </c>
    </row>
    <row r="9016" spans="1:11" hidden="1">
      <c r="A9016" s="4">
        <v>2026</v>
      </c>
      <c r="B9016">
        <v>31</v>
      </c>
      <c r="C9016" t="s">
        <v>54</v>
      </c>
      <c r="D9016" t="s">
        <v>11</v>
      </c>
      <c r="E9016" t="s">
        <v>45</v>
      </c>
      <c r="F9016" t="s">
        <v>105</v>
      </c>
      <c r="G9016" t="str">
        <f t="shared" si="371"/>
        <v>026LOLA</v>
      </c>
      <c r="H9016" s="5">
        <f>VLOOKUP(G9016,[8]Astroflores!$G$2:$H$110,2,FALSE)</f>
        <v>3625</v>
      </c>
      <c r="I9016" s="6">
        <v>1097.125</v>
      </c>
      <c r="J9016" s="5">
        <v>8000</v>
      </c>
      <c r="K9016" s="6">
        <f t="shared" si="370"/>
        <v>3.3040902358436823</v>
      </c>
    </row>
    <row r="9017" spans="1:11" hidden="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106</v>
      </c>
      <c r="G9017" t="str">
        <f t="shared" si="371"/>
        <v>026PALOMA</v>
      </c>
      <c r="H9017" s="5">
        <f>VLOOKUP(G9017,[8]Astroflores!$G$2:$H$110,2,FALSE)</f>
        <v>4150</v>
      </c>
      <c r="I9017" s="6">
        <v>2852.5250000000001</v>
      </c>
      <c r="J9017" s="5">
        <v>20800</v>
      </c>
      <c r="K9017" s="6">
        <f t="shared" si="370"/>
        <v>1.4548514035810378</v>
      </c>
    </row>
    <row r="9018" spans="1:11" hidden="1">
      <c r="A9018" s="4">
        <v>2026</v>
      </c>
      <c r="B9018">
        <v>31</v>
      </c>
      <c r="C9018" t="s">
        <v>54</v>
      </c>
      <c r="D9018" t="s">
        <v>11</v>
      </c>
      <c r="E9018" t="s">
        <v>107</v>
      </c>
      <c r="F9018" t="s">
        <v>108</v>
      </c>
      <c r="G9018" t="str">
        <f t="shared" si="371"/>
        <v>027SATISFACTION</v>
      </c>
      <c r="H9018" s="5">
        <f>VLOOKUP(G9018,[8]Astroflores!$G$2:$H$110,2,FALSE)</f>
        <v>5370</v>
      </c>
      <c r="I9018" s="6">
        <v>2633.1</v>
      </c>
      <c r="J9018" s="5">
        <v>19200</v>
      </c>
      <c r="K9018" s="6">
        <f t="shared" si="370"/>
        <v>2.0394212145379971</v>
      </c>
    </row>
    <row r="9019" spans="1:11" hidden="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109</v>
      </c>
      <c r="G9019" t="str">
        <f t="shared" si="371"/>
        <v>027TIFFANY</v>
      </c>
      <c r="H9019" s="5">
        <f>VLOOKUP(G9019,[8]Astroflores!$G$2:$H$110,2,FALSE)</f>
        <v>5910</v>
      </c>
      <c r="I9019" s="6">
        <v>2633.1</v>
      </c>
      <c r="J9019" s="5">
        <v>19200</v>
      </c>
      <c r="K9019" s="6">
        <f t="shared" si="370"/>
        <v>2.2445026774524326</v>
      </c>
    </row>
    <row r="9020" spans="1:11" hidden="1">
      <c r="A9020" s="4">
        <v>2026</v>
      </c>
      <c r="B9020">
        <v>31</v>
      </c>
      <c r="C9020" t="s">
        <v>54</v>
      </c>
      <c r="D9020" t="s">
        <v>11</v>
      </c>
      <c r="E9020" t="s">
        <v>110</v>
      </c>
      <c r="F9020" t="s">
        <v>70</v>
      </c>
      <c r="G9020" t="str">
        <f t="shared" si="371"/>
        <v>028COTOPAXI</v>
      </c>
      <c r="H9020" s="5">
        <f>VLOOKUP(G9020,[8]Astroflores!$G$2:$H$110,2,FALSE)</f>
        <v>7230</v>
      </c>
      <c r="I9020" s="6">
        <v>2852.5250000000001</v>
      </c>
      <c r="J9020" s="5">
        <v>20800</v>
      </c>
      <c r="K9020" s="6">
        <f t="shared" ref="K9020:K9058" si="372">+H9020/I9020</f>
        <v>2.5345965416604588</v>
      </c>
    </row>
    <row r="9021" spans="1:11" hidden="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67</v>
      </c>
      <c r="G9021" t="str">
        <f t="shared" si="371"/>
        <v>028DEEP PURPLE</v>
      </c>
      <c r="H9021" s="5">
        <f>VLOOKUP(G9021,[8]Astroflores!$G$2:$H$110,2,FALSE)</f>
        <v>5670</v>
      </c>
      <c r="I9021" s="6">
        <v>2852.5250000000001</v>
      </c>
      <c r="J9021" s="5">
        <v>20800</v>
      </c>
      <c r="K9021" s="6">
        <f t="shared" si="372"/>
        <v>1.9877126405552974</v>
      </c>
    </row>
    <row r="9022" spans="1:11" hidden="1">
      <c r="A9022" s="4">
        <v>2026</v>
      </c>
      <c r="B9022">
        <v>31</v>
      </c>
      <c r="C9022" t="s">
        <v>54</v>
      </c>
      <c r="D9022" t="s">
        <v>11</v>
      </c>
      <c r="E9022" t="s">
        <v>111</v>
      </c>
      <c r="F9022" t="s">
        <v>112</v>
      </c>
      <c r="G9022" t="str">
        <f t="shared" si="371"/>
        <v>029PINK FLOYD</v>
      </c>
      <c r="H9022" s="5">
        <f>VLOOKUP(G9022,[8]Astroflores!$G$2:$H$110,2,FALSE)</f>
        <v>3525</v>
      </c>
      <c r="I9022" s="6">
        <v>3071.95</v>
      </c>
      <c r="J9022" s="5">
        <v>22400</v>
      </c>
      <c r="K9022" s="6">
        <f t="shared" si="372"/>
        <v>1.1474796139260079</v>
      </c>
    </row>
    <row r="9023" spans="1:11" hidden="1">
      <c r="A9023" s="4">
        <v>2026</v>
      </c>
      <c r="B9023">
        <v>31</v>
      </c>
      <c r="C9023" t="s">
        <v>54</v>
      </c>
      <c r="D9023" t="s">
        <v>11</v>
      </c>
      <c r="E9023" t="s">
        <v>47</v>
      </c>
      <c r="F9023" t="s">
        <v>57</v>
      </c>
      <c r="G9023" t="str">
        <f t="shared" si="371"/>
        <v>030EXPLORER</v>
      </c>
      <c r="H9023" s="5">
        <f>VLOOKUP(G9023,[8]Astroflores!$G$2:$H$110,2,FALSE)</f>
        <v>2950</v>
      </c>
      <c r="I9023" s="6">
        <v>1645.6875</v>
      </c>
      <c r="J9023" s="5">
        <v>12000</v>
      </c>
      <c r="K9023" s="6">
        <f t="shared" si="372"/>
        <v>1.7925638980669174</v>
      </c>
    </row>
    <row r="9024" spans="1:11" hidden="1">
      <c r="A9024" s="4">
        <v>2026</v>
      </c>
      <c r="B9024">
        <v>32</v>
      </c>
      <c r="C9024" t="s">
        <v>10</v>
      </c>
      <c r="D9024" t="s">
        <v>11</v>
      </c>
      <c r="E9024" t="s">
        <v>12</v>
      </c>
      <c r="F9024" t="s">
        <v>13</v>
      </c>
      <c r="G9024" t="str">
        <f t="shared" ref="G8980:G9043" si="373">+E9024&amp;F9024</f>
        <v>002SOMERSET</v>
      </c>
      <c r="H9024" s="5">
        <v>8860</v>
      </c>
      <c r="I9024" s="6">
        <v>4121.4642855494085</v>
      </c>
      <c r="J9024" s="5">
        <v>31200</v>
      </c>
      <c r="K9024" s="6">
        <f t="shared" si="372"/>
        <v>2.149721406312981</v>
      </c>
    </row>
    <row r="9025" spans="1:11" hidden="1">
      <c r="A9025" s="4">
        <v>2026</v>
      </c>
      <c r="B9025">
        <v>32</v>
      </c>
      <c r="C9025" t="s">
        <v>10</v>
      </c>
      <c r="D9025" t="s">
        <v>11</v>
      </c>
      <c r="E9025" t="s">
        <v>14</v>
      </c>
      <c r="F9025" t="s">
        <v>15</v>
      </c>
      <c r="G9025" t="str">
        <f t="shared" si="373"/>
        <v>004BELLINA</v>
      </c>
      <c r="H9025" s="5">
        <v>1470</v>
      </c>
      <c r="I9025" s="6">
        <v>1056.7857142434418</v>
      </c>
      <c r="J9025" s="5">
        <v>8000</v>
      </c>
      <c r="K9025" s="6">
        <f t="shared" si="372"/>
        <v>1.3910104765679769</v>
      </c>
    </row>
    <row r="9026" spans="1:11" hidden="1">
      <c r="A9026" s="4">
        <v>2026</v>
      </c>
      <c r="B9026">
        <v>32</v>
      </c>
      <c r="C9026" t="s">
        <v>10</v>
      </c>
      <c r="D9026" t="s">
        <v>11</v>
      </c>
      <c r="E9026" t="s">
        <v>16</v>
      </c>
      <c r="F9026" t="s">
        <v>17</v>
      </c>
      <c r="G9026" t="str">
        <f t="shared" si="373"/>
        <v>005ELBA</v>
      </c>
      <c r="H9026" s="5">
        <v>7200</v>
      </c>
      <c r="I9026" s="6">
        <v>2641.9642856076484</v>
      </c>
      <c r="J9026" s="5">
        <v>19996</v>
      </c>
      <c r="K9026" s="6">
        <f t="shared" si="372"/>
        <v>2.7252450153178391</v>
      </c>
    </row>
    <row r="9027" spans="1:11" hidden="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18</v>
      </c>
      <c r="G9027" t="str">
        <f t="shared" si="373"/>
        <v>005HOT BUBBLES</v>
      </c>
      <c r="H9027" s="5">
        <v>1160</v>
      </c>
      <c r="I9027" s="6">
        <v>528.39285712153003</v>
      </c>
      <c r="J9027" s="5">
        <v>4000</v>
      </c>
      <c r="K9027" s="6">
        <f t="shared" si="372"/>
        <v>2.1953362623393691</v>
      </c>
    </row>
    <row r="9028" spans="1:11" hidden="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19</v>
      </c>
      <c r="G9028" t="str">
        <f t="shared" si="373"/>
        <v>005SUSPIRO</v>
      </c>
      <c r="H9028" s="5">
        <v>2490</v>
      </c>
      <c r="I9028" s="6">
        <v>1902.2142856375078</v>
      </c>
      <c r="J9028" s="5">
        <v>14400</v>
      </c>
      <c r="K9028" s="6">
        <f t="shared" si="372"/>
        <v>1.3090007886075263</v>
      </c>
    </row>
    <row r="9029" spans="1:11" hidden="1">
      <c r="A9029" s="4">
        <v>2026</v>
      </c>
      <c r="B9029">
        <v>32</v>
      </c>
      <c r="C9029" t="s">
        <v>10</v>
      </c>
      <c r="D9029" t="s">
        <v>11</v>
      </c>
      <c r="E9029" t="s">
        <v>20</v>
      </c>
      <c r="F9029" t="s">
        <v>21</v>
      </c>
      <c r="G9029" t="str">
        <f t="shared" si="373"/>
        <v>007SNOW BUBBLES</v>
      </c>
      <c r="H9029" s="5">
        <v>1100</v>
      </c>
      <c r="I9029" s="6">
        <v>634.05652706821195</v>
      </c>
      <c r="J9029" s="5">
        <v>4800</v>
      </c>
      <c r="K9029" s="6">
        <f t="shared" si="372"/>
        <v>1.7348610936729016</v>
      </c>
    </row>
    <row r="9030" spans="1:11" hidden="1">
      <c r="A9030" s="4">
        <v>2026</v>
      </c>
      <c r="B9030">
        <v>32</v>
      </c>
      <c r="C9030" t="s">
        <v>10</v>
      </c>
      <c r="D9030" t="s">
        <v>11</v>
      </c>
      <c r="E9030" t="s">
        <v>22</v>
      </c>
      <c r="F9030" t="s">
        <v>18</v>
      </c>
      <c r="G9030" t="str">
        <f t="shared" si="373"/>
        <v>009HOT BUBBLES</v>
      </c>
      <c r="H9030" s="5">
        <v>9660</v>
      </c>
      <c r="I9030" s="6">
        <v>4487.9999999102474</v>
      </c>
      <c r="J9030" s="5">
        <v>31740</v>
      </c>
      <c r="K9030" s="6">
        <f t="shared" si="372"/>
        <v>2.1524064171553441</v>
      </c>
    </row>
    <row r="9031" spans="1:11" hidden="1">
      <c r="A9031" s="4">
        <v>2026</v>
      </c>
      <c r="B9031">
        <v>32</v>
      </c>
      <c r="C9031" t="s">
        <v>10</v>
      </c>
      <c r="D9031" t="s">
        <v>11</v>
      </c>
      <c r="E9031" t="s">
        <v>23</v>
      </c>
      <c r="F9031" t="s">
        <v>24</v>
      </c>
      <c r="G9031" t="str">
        <f t="shared" si="373"/>
        <v>014FRUITY BUBBLES</v>
      </c>
      <c r="H9031" s="5">
        <v>3625</v>
      </c>
      <c r="I9031" s="6">
        <v>1702.8</v>
      </c>
      <c r="J9031" s="5">
        <v>12900</v>
      </c>
      <c r="K9031" s="6">
        <f t="shared" si="372"/>
        <v>2.1288466055907915</v>
      </c>
    </row>
    <row r="9032" spans="1:11" hidden="1">
      <c r="A9032" s="4">
        <v>2026</v>
      </c>
      <c r="B9032">
        <v>32</v>
      </c>
      <c r="C9032" t="s">
        <v>10</v>
      </c>
      <c r="D9032" t="s">
        <v>11</v>
      </c>
      <c r="E9032" t="s">
        <v>25</v>
      </c>
      <c r="F9032" t="s">
        <v>26</v>
      </c>
      <c r="G9032" t="str">
        <f t="shared" si="373"/>
        <v>015FELLINI</v>
      </c>
      <c r="H9032" s="5">
        <v>6700</v>
      </c>
      <c r="I9032" s="6">
        <v>3009.6</v>
      </c>
      <c r="J9032" s="5">
        <v>22800</v>
      </c>
      <c r="K9032" s="6">
        <f t="shared" si="372"/>
        <v>2.2262094630515685</v>
      </c>
    </row>
    <row r="9033" spans="1:11" hidden="1">
      <c r="A9033" s="4">
        <v>2026</v>
      </c>
      <c r="B9033">
        <v>32</v>
      </c>
      <c r="C9033" t="s">
        <v>10</v>
      </c>
      <c r="D9033" t="s">
        <v>11</v>
      </c>
      <c r="E9033" t="s">
        <v>27</v>
      </c>
      <c r="F9033" t="s">
        <v>28</v>
      </c>
      <c r="G9033" t="str">
        <f t="shared" si="373"/>
        <v>016GOOD PEACH</v>
      </c>
      <c r="H9033" s="5">
        <v>2670</v>
      </c>
      <c r="I9033" s="6">
        <v>1386</v>
      </c>
      <c r="J9033" s="5">
        <v>10500</v>
      </c>
      <c r="K9033" s="6">
        <f t="shared" si="372"/>
        <v>1.9264069264069263</v>
      </c>
    </row>
    <row r="9034" spans="1:11" hidden="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29</v>
      </c>
      <c r="G9034" t="str">
        <f t="shared" si="373"/>
        <v>016GOOD YELLOW</v>
      </c>
      <c r="H9034" s="5">
        <v>2910</v>
      </c>
      <c r="I9034" s="6">
        <v>1386</v>
      </c>
      <c r="J9034" s="5">
        <v>10500</v>
      </c>
      <c r="K9034" s="6">
        <f t="shared" si="372"/>
        <v>2.0995670995670994</v>
      </c>
    </row>
    <row r="9035" spans="1:11" hidden="1">
      <c r="A9035" s="4">
        <v>2026</v>
      </c>
      <c r="B9035">
        <v>32</v>
      </c>
      <c r="C9035" t="s">
        <v>10</v>
      </c>
      <c r="D9035" t="s">
        <v>11</v>
      </c>
      <c r="E9035" t="s">
        <v>30</v>
      </c>
      <c r="F9035" t="s">
        <v>31</v>
      </c>
      <c r="G9035" t="str">
        <f t="shared" si="373"/>
        <v>017ORANGE STAR</v>
      </c>
      <c r="H9035" s="5">
        <v>1875</v>
      </c>
      <c r="I9035" s="6">
        <v>1029.5999999999999</v>
      </c>
      <c r="J9035" s="5">
        <v>7800</v>
      </c>
      <c r="K9035" s="6">
        <f t="shared" si="372"/>
        <v>1.8210955710955712</v>
      </c>
    </row>
    <row r="9036" spans="1:11" hidden="1">
      <c r="A9036" s="4">
        <v>2026</v>
      </c>
      <c r="B9036">
        <v>32</v>
      </c>
      <c r="C9036" t="s">
        <v>10</v>
      </c>
      <c r="D9036" t="s">
        <v>11</v>
      </c>
      <c r="E9036" t="s">
        <v>32</v>
      </c>
      <c r="F9036" t="s">
        <v>33</v>
      </c>
      <c r="G9036" t="str">
        <f t="shared" si="373"/>
        <v>018COSMO</v>
      </c>
      <c r="H9036" s="5">
        <v>5825</v>
      </c>
      <c r="I9036" s="6">
        <v>2653.2</v>
      </c>
      <c r="J9036" s="5">
        <v>20100</v>
      </c>
      <c r="K9036" s="6">
        <f t="shared" si="372"/>
        <v>2.1954620835217851</v>
      </c>
    </row>
    <row r="9037" spans="1:11" hidden="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34</v>
      </c>
      <c r="G9037" t="str">
        <f t="shared" si="373"/>
        <v>018RUBICON</v>
      </c>
      <c r="H9037" s="5">
        <v>4980</v>
      </c>
      <c r="I9037" s="6">
        <v>1768.8</v>
      </c>
      <c r="J9037" s="5">
        <v>13400</v>
      </c>
      <c r="K9037" s="6">
        <f t="shared" si="372"/>
        <v>2.8154681139755766</v>
      </c>
    </row>
    <row r="9038" spans="1:11" hidden="1">
      <c r="A9038" s="4">
        <v>2026</v>
      </c>
      <c r="B9038">
        <v>32</v>
      </c>
      <c r="C9038" t="s">
        <v>10</v>
      </c>
      <c r="D9038" t="s">
        <v>11</v>
      </c>
      <c r="E9038" t="s">
        <v>35</v>
      </c>
      <c r="F9038" t="s">
        <v>15</v>
      </c>
      <c r="G9038" t="str">
        <f t="shared" si="373"/>
        <v>019BELLINA</v>
      </c>
      <c r="H9038" s="5">
        <v>2010</v>
      </c>
      <c r="I9038" s="6">
        <v>1029.5999999999999</v>
      </c>
      <c r="J9038" s="5">
        <v>7800</v>
      </c>
      <c r="K9038" s="6">
        <f t="shared" si="372"/>
        <v>1.9522144522144524</v>
      </c>
    </row>
    <row r="9039" spans="1:11" hidden="1">
      <c r="A9039" s="4">
        <v>2026</v>
      </c>
      <c r="B9039">
        <v>32</v>
      </c>
      <c r="C9039" t="s">
        <v>10</v>
      </c>
      <c r="D9039" t="s">
        <v>11</v>
      </c>
      <c r="E9039" t="s">
        <v>36</v>
      </c>
      <c r="F9039" t="s">
        <v>37</v>
      </c>
      <c r="G9039" t="str">
        <f t="shared" si="373"/>
        <v>020SUMMER DANCE</v>
      </c>
      <c r="H9039" s="5">
        <v>4350</v>
      </c>
      <c r="I9039" s="6">
        <v>1346.4</v>
      </c>
      <c r="J9039" s="5">
        <v>10200</v>
      </c>
      <c r="K9039" s="6">
        <f t="shared" si="372"/>
        <v>3.2308377896613187</v>
      </c>
    </row>
    <row r="9040" spans="1:11" hidden="1">
      <c r="A9040" s="4">
        <v>2026</v>
      </c>
      <c r="B9040">
        <v>32</v>
      </c>
      <c r="C9040" t="s">
        <v>10</v>
      </c>
      <c r="D9040" t="s">
        <v>11</v>
      </c>
      <c r="E9040" t="s">
        <v>38</v>
      </c>
      <c r="F9040" t="s">
        <v>39</v>
      </c>
      <c r="G9040" t="str">
        <f t="shared" si="373"/>
        <v>021ELEGANT ROSEVER</v>
      </c>
      <c r="H9040" s="5">
        <v>510</v>
      </c>
      <c r="I9040" s="6">
        <v>440.18999062500001</v>
      </c>
      <c r="J9040" s="5">
        <v>3200</v>
      </c>
      <c r="K9040" s="6">
        <f t="shared" si="372"/>
        <v>1.1585906332760563</v>
      </c>
    </row>
    <row r="9041" spans="1:11" hidden="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40</v>
      </c>
      <c r="G9041" t="str">
        <f t="shared" si="373"/>
        <v>021FLAME CLUB</v>
      </c>
      <c r="H9041" s="5">
        <v>2075</v>
      </c>
      <c r="I9041" s="6">
        <v>880.38</v>
      </c>
      <c r="J9041" s="5">
        <v>6400</v>
      </c>
      <c r="K9041" s="6">
        <f t="shared" si="372"/>
        <v>2.3569367773007111</v>
      </c>
    </row>
    <row r="9042" spans="1:11" hidden="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41</v>
      </c>
      <c r="G9042" t="str">
        <f t="shared" si="373"/>
        <v>021KELLY</v>
      </c>
      <c r="H9042" s="5">
        <v>650</v>
      </c>
      <c r="I9042" s="6">
        <v>330.14249999999998</v>
      </c>
      <c r="J9042" s="5">
        <v>2400</v>
      </c>
      <c r="K9042" s="6">
        <f t="shared" si="372"/>
        <v>1.9688467858576222</v>
      </c>
    </row>
    <row r="9043" spans="1:11" hidden="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42</v>
      </c>
      <c r="G9043" t="str">
        <f t="shared" si="373"/>
        <v>021LEILA</v>
      </c>
      <c r="H9043" s="5">
        <v>2200</v>
      </c>
      <c r="I9043" s="6">
        <v>1650.7125000000001</v>
      </c>
      <c r="J9043" s="5">
        <v>12000</v>
      </c>
      <c r="K9043" s="6">
        <f t="shared" si="372"/>
        <v>1.3327578242728517</v>
      </c>
    </row>
    <row r="9044" spans="1:11" hidden="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21</v>
      </c>
      <c r="G9044" t="str">
        <f t="shared" ref="G9044:G9106" si="374">+E9044&amp;F9044</f>
        <v>021SNOW BUBBLES</v>
      </c>
      <c r="H9044" s="5">
        <v>3880</v>
      </c>
      <c r="I9044" s="6">
        <v>1287.0000000000018</v>
      </c>
      <c r="J9044" s="5">
        <v>9400</v>
      </c>
      <c r="K9044" s="6">
        <f t="shared" si="372"/>
        <v>3.0147630147630107</v>
      </c>
    </row>
    <row r="9045" spans="1:11" hidden="1">
      <c r="A9045" s="4">
        <v>2026</v>
      </c>
      <c r="B9045">
        <v>32</v>
      </c>
      <c r="C9045" t="s">
        <v>10</v>
      </c>
      <c r="D9045" t="s">
        <v>11</v>
      </c>
      <c r="E9045" t="s">
        <v>43</v>
      </c>
      <c r="F9045" t="s">
        <v>24</v>
      </c>
      <c r="G9045" t="str">
        <f t="shared" si="374"/>
        <v>022FRUITY BUBBLES</v>
      </c>
      <c r="H9045" s="5">
        <v>5725</v>
      </c>
      <c r="I9045" s="6">
        <v>2641.14</v>
      </c>
      <c r="J9045" s="5">
        <v>19200</v>
      </c>
      <c r="K9045" s="6">
        <f t="shared" si="372"/>
        <v>2.1676245863528627</v>
      </c>
    </row>
    <row r="9046" spans="1:11" hidden="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28</v>
      </c>
      <c r="G9046" t="str">
        <f t="shared" si="374"/>
        <v>022GOOD PEACH</v>
      </c>
      <c r="H9046" s="5">
        <v>2130</v>
      </c>
      <c r="I9046" s="6">
        <v>880.38</v>
      </c>
      <c r="J9046" s="5">
        <v>6400</v>
      </c>
      <c r="K9046" s="6">
        <f t="shared" si="372"/>
        <v>2.4194098003135012</v>
      </c>
    </row>
    <row r="9047" spans="1:11" hidden="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44</v>
      </c>
      <c r="G9047" t="str">
        <f t="shared" si="374"/>
        <v>022MIRABEL</v>
      </c>
      <c r="H9047" s="5">
        <v>1760</v>
      </c>
      <c r="I9047" s="6">
        <v>880.38</v>
      </c>
      <c r="J9047" s="5">
        <v>6400</v>
      </c>
      <c r="K9047" s="6">
        <f t="shared" si="372"/>
        <v>1.9991367364092778</v>
      </c>
    </row>
    <row r="9048" spans="1:11" hidden="1">
      <c r="A9048" s="4">
        <v>2026</v>
      </c>
      <c r="B9048">
        <v>32</v>
      </c>
      <c r="C9048" t="s">
        <v>10</v>
      </c>
      <c r="D9048" t="s">
        <v>11</v>
      </c>
      <c r="E9048" t="s">
        <v>45</v>
      </c>
      <c r="F9048" t="s">
        <v>46</v>
      </c>
      <c r="G9048" t="str">
        <f t="shared" si="374"/>
        <v>026PURPLE BUBBLY</v>
      </c>
      <c r="H9048" s="5">
        <v>510</v>
      </c>
      <c r="I9048" s="6">
        <v>1755.4</v>
      </c>
      <c r="J9048" s="5">
        <v>12800</v>
      </c>
      <c r="K9048" s="6">
        <f t="shared" si="372"/>
        <v>0.29053207246211687</v>
      </c>
    </row>
    <row r="9049" spans="1:11" hidden="1">
      <c r="A9049" s="4">
        <v>2026</v>
      </c>
      <c r="B9049">
        <v>32</v>
      </c>
      <c r="C9049" t="s">
        <v>10</v>
      </c>
      <c r="D9049" t="s">
        <v>11</v>
      </c>
      <c r="E9049" t="s">
        <v>47</v>
      </c>
      <c r="F9049" t="s">
        <v>44</v>
      </c>
      <c r="G9049" t="str">
        <f t="shared" si="374"/>
        <v>030MIRABEL</v>
      </c>
      <c r="H9049" s="5">
        <v>3920</v>
      </c>
      <c r="I9049" s="6">
        <v>2413.6749943750001</v>
      </c>
      <c r="J9049" s="5">
        <v>17600</v>
      </c>
      <c r="K9049" s="6">
        <f t="shared" si="372"/>
        <v>1.6240794676729249</v>
      </c>
    </row>
    <row r="9050" spans="1:11" hidden="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13</v>
      </c>
      <c r="G9050" t="str">
        <f t="shared" si="374"/>
        <v>030SOMERSET</v>
      </c>
      <c r="H9050" s="5">
        <v>4240</v>
      </c>
      <c r="I9050" s="6">
        <v>1645.6875</v>
      </c>
      <c r="J9050" s="5">
        <v>12000</v>
      </c>
      <c r="K9050" s="6">
        <f t="shared" si="372"/>
        <v>2.5764308229843151</v>
      </c>
    </row>
    <row r="9051" spans="1:11" hidden="1">
      <c r="A9051" s="4">
        <v>2026</v>
      </c>
      <c r="B9051">
        <v>32</v>
      </c>
      <c r="C9051" t="s">
        <v>10</v>
      </c>
      <c r="D9051" t="s">
        <v>11</v>
      </c>
      <c r="E9051" t="s">
        <v>48</v>
      </c>
      <c r="F9051" t="s">
        <v>49</v>
      </c>
      <c r="G9051" t="str">
        <f t="shared" si="374"/>
        <v>03182989</v>
      </c>
      <c r="H9051" s="5">
        <v>1680</v>
      </c>
      <c r="I9051" s="6">
        <v>726.32013058333712</v>
      </c>
      <c r="J9051" s="5">
        <v>5712</v>
      </c>
      <c r="K9051" s="6">
        <f t="shared" si="372"/>
        <v>2.313029653536828</v>
      </c>
    </row>
    <row r="9052" spans="1:11" hidden="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34</v>
      </c>
      <c r="G9052" t="str">
        <f t="shared" si="374"/>
        <v>031RUBICON</v>
      </c>
      <c r="H9052" s="5">
        <v>2040</v>
      </c>
      <c r="I9052" s="6">
        <v>924.39958333667107</v>
      </c>
      <c r="J9052" s="5">
        <v>6720</v>
      </c>
      <c r="K9052" s="6">
        <f t="shared" si="372"/>
        <v>2.206837861865437</v>
      </c>
    </row>
    <row r="9053" spans="1:11" hidden="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13</v>
      </c>
      <c r="G9053" t="str">
        <f t="shared" si="374"/>
        <v>031SOMERSET</v>
      </c>
      <c r="H9053" s="5">
        <v>2640</v>
      </c>
      <c r="I9053" s="6">
        <v>1122.485208333339</v>
      </c>
      <c r="J9053" s="5">
        <v>8160</v>
      </c>
      <c r="K9053" s="6">
        <f t="shared" si="372"/>
        <v>2.3519240880865238</v>
      </c>
    </row>
    <row r="9054" spans="1:11" hidden="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50</v>
      </c>
      <c r="G9054" t="str">
        <f t="shared" si="374"/>
        <v>031VELVET BLOSSOMS</v>
      </c>
      <c r="H9054" s="5">
        <v>500</v>
      </c>
      <c r="I9054" s="6">
        <v>396.17125000000198</v>
      </c>
      <c r="J9054" s="5">
        <v>2880</v>
      </c>
      <c r="K9054" s="6">
        <f t="shared" si="372"/>
        <v>1.2620804765615816</v>
      </c>
    </row>
    <row r="9055" spans="1:11" hidden="1">
      <c r="A9055" s="4">
        <v>2026</v>
      </c>
      <c r="B9055">
        <v>32</v>
      </c>
      <c r="C9055" t="s">
        <v>10</v>
      </c>
      <c r="D9055" t="s">
        <v>11</v>
      </c>
      <c r="E9055" t="s">
        <v>51</v>
      </c>
      <c r="F9055" t="s">
        <v>17</v>
      </c>
      <c r="G9055" t="str">
        <f t="shared" si="374"/>
        <v>032ELBA</v>
      </c>
      <c r="H9055" s="5">
        <v>2850</v>
      </c>
      <c r="I9055" s="6">
        <v>1535.9749999999999</v>
      </c>
      <c r="J9055" s="5">
        <v>11200</v>
      </c>
      <c r="K9055" s="6">
        <f t="shared" si="372"/>
        <v>1.8554989501782257</v>
      </c>
    </row>
    <row r="9056" spans="1:11" hidden="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44</v>
      </c>
      <c r="G9056" t="str">
        <f t="shared" si="374"/>
        <v>032MIRABEL</v>
      </c>
      <c r="H9056" s="5">
        <v>2140</v>
      </c>
      <c r="I9056" s="6">
        <v>1535.9749999999999</v>
      </c>
      <c r="J9056" s="5">
        <v>11200</v>
      </c>
      <c r="K9056" s="6">
        <f t="shared" si="372"/>
        <v>1.3932518432917202</v>
      </c>
    </row>
    <row r="9057" spans="1:11" hidden="1">
      <c r="A9057" s="4">
        <v>2026</v>
      </c>
      <c r="B9057">
        <v>32</v>
      </c>
      <c r="C9057" t="s">
        <v>10</v>
      </c>
      <c r="D9057" t="s">
        <v>11</v>
      </c>
      <c r="E9057" t="s">
        <v>52</v>
      </c>
      <c r="F9057" t="s">
        <v>53</v>
      </c>
      <c r="G9057" t="str">
        <f t="shared" si="374"/>
        <v>033CREAMY FOLIES</v>
      </c>
      <c r="H9057" s="5">
        <v>1410</v>
      </c>
      <c r="I9057" s="6">
        <v>594.25687500000299</v>
      </c>
      <c r="J9057" s="5">
        <v>4320</v>
      </c>
      <c r="K9057" s="6">
        <f t="shared" si="372"/>
        <v>2.3727112959357735</v>
      </c>
    </row>
    <row r="9058" spans="1:11" hidden="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18</v>
      </c>
      <c r="G9058" t="str">
        <f t="shared" si="374"/>
        <v>033HOT BUBBLES</v>
      </c>
      <c r="H9058" s="5">
        <v>2660</v>
      </c>
      <c r="I9058" s="6">
        <v>2575.1131250013459</v>
      </c>
      <c r="J9058" s="5">
        <v>18720</v>
      </c>
      <c r="K9058" s="6">
        <f t="shared" si="372"/>
        <v>1.032964328508329</v>
      </c>
    </row>
    <row r="9059" spans="1:11" hidden="1">
      <c r="A9059" s="4">
        <v>2026</v>
      </c>
      <c r="B9059">
        <v>32</v>
      </c>
      <c r="C9059" t="s">
        <v>54</v>
      </c>
      <c r="D9059" t="s">
        <v>11</v>
      </c>
      <c r="E9059" t="s">
        <v>55</v>
      </c>
      <c r="F9059" t="s">
        <v>56</v>
      </c>
      <c r="G9059" t="str">
        <f t="shared" si="374"/>
        <v>001BELIEVE IN PINK</v>
      </c>
      <c r="H9059" s="5">
        <v>1410</v>
      </c>
      <c r="I9059" s="6">
        <v>528.37931032368999</v>
      </c>
      <c r="J9059" s="5">
        <v>4000</v>
      </c>
      <c r="K9059" s="6">
        <f t="shared" ref="K9059:K9064" si="375">IFERROR(H9059/I9059,"")</f>
        <v>2.6685374927648495</v>
      </c>
    </row>
    <row r="9060" spans="1:11" hidden="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57</v>
      </c>
      <c r="G9060" t="str">
        <f t="shared" si="374"/>
        <v>001EXPLORER</v>
      </c>
      <c r="H9060" s="5">
        <v>3400</v>
      </c>
      <c r="I9060" s="6">
        <v>2272.0310343918732</v>
      </c>
      <c r="J9060" s="5">
        <v>17200</v>
      </c>
      <c r="K9060" s="6">
        <f t="shared" si="375"/>
        <v>1.4964584323602941</v>
      </c>
    </row>
    <row r="9061" spans="1:11" hidden="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58</v>
      </c>
      <c r="G9061" t="str">
        <f t="shared" si="374"/>
        <v>001GRACE KELLY</v>
      </c>
      <c r="H9061" s="5">
        <v>1530</v>
      </c>
      <c r="I9061" s="6">
        <v>1162.4344827121224</v>
      </c>
      <c r="J9061" s="5">
        <v>8800</v>
      </c>
      <c r="K9061" s="6">
        <f t="shared" si="375"/>
        <v>1.3162032120987117</v>
      </c>
    </row>
    <row r="9062" spans="1:11" hidden="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60</v>
      </c>
      <c r="G9062" t="str">
        <f t="shared" si="374"/>
        <v>001LIGHT HOUSE</v>
      </c>
      <c r="H9062" s="5">
        <v>1590</v>
      </c>
      <c r="I9062" s="6">
        <v>1056.7586206473827</v>
      </c>
      <c r="J9062" s="5">
        <v>8000</v>
      </c>
      <c r="K9062" s="6">
        <f t="shared" si="375"/>
        <v>1.5046009267716665</v>
      </c>
    </row>
    <row r="9063" spans="1:11" hidden="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61</v>
      </c>
      <c r="G9063" t="str">
        <f t="shared" si="374"/>
        <v>001LUMIA</v>
      </c>
      <c r="H9063" s="5">
        <v>3310</v>
      </c>
      <c r="I9063" s="6">
        <v>1109.596551679753</v>
      </c>
      <c r="J9063" s="5">
        <v>8400</v>
      </c>
      <c r="K9063" s="6">
        <f t="shared" si="375"/>
        <v>2.983066227980959</v>
      </c>
    </row>
    <row r="9064" spans="1:11" hidden="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62</v>
      </c>
      <c r="G9064" t="str">
        <f t="shared" si="374"/>
        <v>001MOMENTUM</v>
      </c>
      <c r="H9064" s="5">
        <v>4200</v>
      </c>
      <c r="I9064" s="6">
        <v>1902.1655171652881</v>
      </c>
      <c r="J9064" s="5">
        <v>14400</v>
      </c>
      <c r="K9064" s="6">
        <f t="shared" si="375"/>
        <v>2.2080097457865135</v>
      </c>
    </row>
    <row r="9065" spans="1:11" hidden="1">
      <c r="A9065" s="4">
        <v>2026</v>
      </c>
      <c r="B9065">
        <v>32</v>
      </c>
      <c r="C9065" t="s">
        <v>54</v>
      </c>
      <c r="D9065" t="s">
        <v>11</v>
      </c>
      <c r="E9065" t="s">
        <v>12</v>
      </c>
      <c r="F9065" t="s">
        <v>63</v>
      </c>
      <c r="G9065" t="str">
        <f t="shared" si="374"/>
        <v>002SUMMER ROMANCE</v>
      </c>
      <c r="H9065" s="5">
        <v>1150</v>
      </c>
      <c r="I9065" s="6">
        <v>951.10714281909407</v>
      </c>
      <c r="J9065" s="5">
        <v>7200</v>
      </c>
      <c r="K9065" s="6">
        <f t="shared" ref="K9065:K9128" si="376">+H9065/I9065</f>
        <v>1.2091171942956762</v>
      </c>
    </row>
    <row r="9066" spans="1:11" hidden="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64</v>
      </c>
      <c r="G9066" t="str">
        <f t="shared" si="374"/>
        <v>002SWEETNESS</v>
      </c>
      <c r="H9066" s="5">
        <v>7080</v>
      </c>
      <c r="I9066" s="6">
        <v>3804.4285712763772</v>
      </c>
      <c r="J9066" s="5">
        <v>28800</v>
      </c>
      <c r="K9066" s="6">
        <f t="shared" si="376"/>
        <v>1.8609890729594316</v>
      </c>
    </row>
    <row r="9067" spans="1:11" hidden="1">
      <c r="A9067" s="4">
        <v>2026</v>
      </c>
      <c r="B9067">
        <v>32</v>
      </c>
      <c r="C9067" t="s">
        <v>54</v>
      </c>
      <c r="D9067" t="s">
        <v>11</v>
      </c>
      <c r="E9067" t="s">
        <v>65</v>
      </c>
      <c r="F9067" t="s">
        <v>66</v>
      </c>
      <c r="G9067" t="str">
        <f t="shared" si="374"/>
        <v>003CABARET</v>
      </c>
      <c r="H9067" s="5">
        <v>4920</v>
      </c>
      <c r="I9067" s="6">
        <v>2641.8965516184649</v>
      </c>
      <c r="J9067" s="5">
        <v>20000</v>
      </c>
      <c r="K9067" s="6">
        <f t="shared" si="376"/>
        <v>1.8622985055890759</v>
      </c>
    </row>
    <row r="9068" spans="1:11" hidden="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67</v>
      </c>
      <c r="G9068" t="str">
        <f t="shared" si="374"/>
        <v>003DEEP PURPLE</v>
      </c>
      <c r="H9068" s="5">
        <v>9930</v>
      </c>
      <c r="I9068" s="6">
        <v>3592.9793102010913</v>
      </c>
      <c r="J9068" s="5">
        <v>26044</v>
      </c>
      <c r="K9068" s="6">
        <f t="shared" si="376"/>
        <v>2.7637231229823698</v>
      </c>
    </row>
    <row r="9069" spans="1:11" hidden="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57</v>
      </c>
      <c r="G9069" t="str">
        <f t="shared" si="374"/>
        <v>003EXPLORER</v>
      </c>
      <c r="H9069" s="5">
        <v>2050</v>
      </c>
      <c r="I9069" s="6">
        <v>1268.1103447768633</v>
      </c>
      <c r="J9069" s="5">
        <v>9600</v>
      </c>
      <c r="K9069" s="6">
        <f t="shared" si="376"/>
        <v>1.6165785638794059</v>
      </c>
    </row>
    <row r="9070" spans="1:11" hidden="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68</v>
      </c>
      <c r="G9070" t="str">
        <f t="shared" si="374"/>
        <v>003JOCKER</v>
      </c>
      <c r="H9070" s="5">
        <v>1200</v>
      </c>
      <c r="I9070" s="6">
        <v>528.37931032368999</v>
      </c>
      <c r="J9070" s="5">
        <v>4000</v>
      </c>
      <c r="K9070" s="6">
        <f t="shared" si="376"/>
        <v>2.2710957385232762</v>
      </c>
    </row>
    <row r="9071" spans="1:11" hidden="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69</v>
      </c>
      <c r="G9071" t="str">
        <f t="shared" si="374"/>
        <v>003QUICKSAND</v>
      </c>
      <c r="H9071" s="5">
        <v>2190</v>
      </c>
      <c r="I9071" s="6">
        <v>1162.4344827121247</v>
      </c>
      <c r="J9071" s="5">
        <v>8800</v>
      </c>
      <c r="K9071" s="6">
        <f t="shared" si="376"/>
        <v>1.883977146729525</v>
      </c>
    </row>
    <row r="9072" spans="1:11" hidden="1">
      <c r="A9072" s="4">
        <v>2026</v>
      </c>
      <c r="B9072">
        <v>32</v>
      </c>
      <c r="C9072" t="s">
        <v>54</v>
      </c>
      <c r="D9072" t="s">
        <v>11</v>
      </c>
      <c r="E9072" t="s">
        <v>14</v>
      </c>
      <c r="F9072" t="s">
        <v>70</v>
      </c>
      <c r="G9072" t="str">
        <f t="shared" si="374"/>
        <v>004COTOPAXI</v>
      </c>
      <c r="H9072" s="5">
        <v>1380</v>
      </c>
      <c r="I9072" s="6">
        <v>528.3915024419166</v>
      </c>
      <c r="J9072" s="5">
        <v>4000</v>
      </c>
      <c r="K9072" s="6">
        <f t="shared" si="376"/>
        <v>2.6116998354864656</v>
      </c>
    </row>
    <row r="9073" spans="1:11" hidden="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67</v>
      </c>
      <c r="G9073" t="str">
        <f t="shared" si="374"/>
        <v>004DEEP PURPLE</v>
      </c>
      <c r="H9073" s="5">
        <v>12570</v>
      </c>
      <c r="I9073" s="6">
        <v>3910.1071427007282</v>
      </c>
      <c r="J9073" s="5">
        <v>29260</v>
      </c>
      <c r="K9073" s="6">
        <f t="shared" si="376"/>
        <v>3.2147456684058651</v>
      </c>
    </row>
    <row r="9074" spans="1:11" hidden="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71</v>
      </c>
      <c r="G9074" t="str">
        <f t="shared" si="374"/>
        <v>004HOT EXPLORER</v>
      </c>
      <c r="H9074" s="5">
        <v>2300</v>
      </c>
      <c r="I9074" s="6">
        <v>1902.2142856381945</v>
      </c>
      <c r="J9074" s="5">
        <v>14400</v>
      </c>
      <c r="K9074" s="6">
        <f t="shared" si="376"/>
        <v>1.2091171942956722</v>
      </c>
    </row>
    <row r="9075" spans="1:11" hidden="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72</v>
      </c>
      <c r="G9075" t="str">
        <f t="shared" si="374"/>
        <v>004HOT MERENGUE</v>
      </c>
      <c r="H9075" s="5">
        <v>2220</v>
      </c>
      <c r="I9075" s="6">
        <v>1162.4642856677858</v>
      </c>
      <c r="J9075" s="5">
        <v>8800</v>
      </c>
      <c r="K9075" s="6">
        <f t="shared" si="376"/>
        <v>1.9097360902788556</v>
      </c>
    </row>
    <row r="9076" spans="1:11" hidden="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64</v>
      </c>
      <c r="G9076" t="str">
        <f t="shared" si="374"/>
        <v>004SWEETNESS</v>
      </c>
      <c r="H9076" s="5">
        <v>840</v>
      </c>
      <c r="I9076" s="6">
        <v>317.03571427303262</v>
      </c>
      <c r="J9076" s="5">
        <v>2400</v>
      </c>
      <c r="K9076" s="6">
        <f t="shared" si="376"/>
        <v>2.649543764891384</v>
      </c>
    </row>
    <row r="9077" spans="1:11" hidden="1">
      <c r="A9077" s="4">
        <v>2026</v>
      </c>
      <c r="B9077">
        <v>32</v>
      </c>
      <c r="C9077" t="s">
        <v>54</v>
      </c>
      <c r="D9077" t="s">
        <v>11</v>
      </c>
      <c r="E9077" t="s">
        <v>16</v>
      </c>
      <c r="F9077" t="s">
        <v>57</v>
      </c>
      <c r="G9077" t="str">
        <f t="shared" si="374"/>
        <v>005EXPLORER</v>
      </c>
      <c r="H9077" s="5">
        <v>1000</v>
      </c>
      <c r="I9077" s="6">
        <v>951.10714281875391</v>
      </c>
      <c r="J9077" s="5">
        <v>7200</v>
      </c>
      <c r="K9077" s="6">
        <f t="shared" si="376"/>
        <v>1.0514062559096597</v>
      </c>
    </row>
    <row r="9078" spans="1:11" hidden="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73</v>
      </c>
      <c r="G9078" t="str">
        <f t="shared" si="374"/>
        <v>005GOLDFINCH</v>
      </c>
      <c r="H9078" s="5">
        <v>825</v>
      </c>
      <c r="I9078" s="6">
        <v>898.26785710660101</v>
      </c>
      <c r="J9078" s="5">
        <v>6800</v>
      </c>
      <c r="K9078" s="6">
        <f t="shared" si="376"/>
        <v>0.91843428825049678</v>
      </c>
    </row>
    <row r="9079" spans="1:11" hidden="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68</v>
      </c>
      <c r="G9079" t="str">
        <f t="shared" si="374"/>
        <v>005JOCKER</v>
      </c>
      <c r="H9079" s="5">
        <v>1950</v>
      </c>
      <c r="I9079" s="6">
        <v>1162.4642856673661</v>
      </c>
      <c r="J9079" s="5">
        <v>8800</v>
      </c>
      <c r="K9079" s="6">
        <f t="shared" si="376"/>
        <v>1.6774708901104112</v>
      </c>
    </row>
    <row r="9080" spans="1:11" hidden="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74</v>
      </c>
      <c r="G9080" t="str">
        <f t="shared" si="374"/>
        <v>005VENDELA</v>
      </c>
      <c r="H9080" s="5">
        <v>2190</v>
      </c>
      <c r="I9080" s="6">
        <v>686.91071425798896</v>
      </c>
      <c r="J9080" s="5">
        <v>5200</v>
      </c>
      <c r="K9080" s="6">
        <f t="shared" si="376"/>
        <v>3.1881872775352909</v>
      </c>
    </row>
    <row r="9081" spans="1:11" hidden="1">
      <c r="A9081" s="4">
        <v>2026</v>
      </c>
      <c r="B9081">
        <v>32</v>
      </c>
      <c r="C9081" t="s">
        <v>54</v>
      </c>
      <c r="D9081" t="s">
        <v>11</v>
      </c>
      <c r="E9081" t="s">
        <v>75</v>
      </c>
      <c r="F9081" t="s">
        <v>76</v>
      </c>
      <c r="G9081" t="str">
        <f t="shared" si="374"/>
        <v>006ATOMIC</v>
      </c>
      <c r="H9081" s="5">
        <v>925</v>
      </c>
      <c r="I9081" s="6">
        <v>845.428571394752</v>
      </c>
      <c r="J9081" s="5">
        <v>6400</v>
      </c>
      <c r="K9081" s="6">
        <f t="shared" si="376"/>
        <v>1.0941196350555962</v>
      </c>
    </row>
    <row r="9082" spans="1:11" hidden="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57</v>
      </c>
      <c r="G9082" t="str">
        <f t="shared" si="374"/>
        <v>006EXPLORER</v>
      </c>
      <c r="H9082" s="5">
        <v>5375</v>
      </c>
      <c r="I9082" s="6">
        <v>3910.1071427007355</v>
      </c>
      <c r="J9082" s="5">
        <v>29600</v>
      </c>
      <c r="K9082" s="6">
        <f t="shared" si="376"/>
        <v>1.3746426386381458</v>
      </c>
    </row>
    <row r="9083" spans="1:11" hidden="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77</v>
      </c>
      <c r="G9083" t="str">
        <f t="shared" si="374"/>
        <v>006MONDIAL</v>
      </c>
      <c r="H9083" s="5">
        <v>6250</v>
      </c>
      <c r="I9083" s="6">
        <v>4015.7857141250793</v>
      </c>
      <c r="J9083" s="5">
        <v>30400</v>
      </c>
      <c r="K9083" s="6">
        <f t="shared" si="376"/>
        <v>1.5563579446025519</v>
      </c>
    </row>
    <row r="9084" spans="1:11" hidden="1">
      <c r="A9084" s="4">
        <v>2026</v>
      </c>
      <c r="B9084">
        <v>32</v>
      </c>
      <c r="C9084" t="s">
        <v>54</v>
      </c>
      <c r="D9084" t="s">
        <v>11</v>
      </c>
      <c r="E9084" t="s">
        <v>20</v>
      </c>
      <c r="F9084" t="s">
        <v>70</v>
      </c>
      <c r="G9084" t="str">
        <f t="shared" si="374"/>
        <v>007COTOPAXI</v>
      </c>
      <c r="H9084" s="5">
        <v>5730</v>
      </c>
      <c r="I9084" s="6">
        <v>2747.5751230427709</v>
      </c>
      <c r="J9084" s="5">
        <v>20800</v>
      </c>
      <c r="K9084" s="6">
        <f t="shared" si="376"/>
        <v>2.0854752803462482</v>
      </c>
    </row>
    <row r="9085" spans="1:11" hidden="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78</v>
      </c>
      <c r="G9085" t="str">
        <f t="shared" si="374"/>
        <v>007REDIANT</v>
      </c>
      <c r="H9085" s="5">
        <v>1200</v>
      </c>
      <c r="I9085" s="6">
        <v>1056.75862064738</v>
      </c>
      <c r="J9085" s="5">
        <v>9600</v>
      </c>
      <c r="K9085" s="6">
        <f t="shared" si="376"/>
        <v>1.1355478692616381</v>
      </c>
    </row>
    <row r="9086" spans="1:11" hidden="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63</v>
      </c>
      <c r="G9086" t="str">
        <f t="shared" si="374"/>
        <v>007SUMMER ROMANCE</v>
      </c>
      <c r="H9086" s="5">
        <v>300</v>
      </c>
      <c r="I9086" s="6">
        <v>317.02758619421581</v>
      </c>
      <c r="J9086" s="5">
        <v>2640</v>
      </c>
      <c r="K9086" s="6">
        <f t="shared" si="376"/>
        <v>0.94628989105135963</v>
      </c>
    </row>
    <row r="9087" spans="1:11" hidden="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114</v>
      </c>
      <c r="G9087" t="str">
        <f t="shared" si="374"/>
        <v>007TOPACIO</v>
      </c>
      <c r="H9087" s="5">
        <v>0</v>
      </c>
      <c r="I9087" s="6">
        <v>52.837931032368999</v>
      </c>
      <c r="J9087" s="5">
        <v>440</v>
      </c>
      <c r="K9087" s="6">
        <f t="shared" si="376"/>
        <v>0</v>
      </c>
    </row>
    <row r="9088" spans="1:11" hidden="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74</v>
      </c>
      <c r="G9088" t="str">
        <f t="shared" si="374"/>
        <v>007VENDELA</v>
      </c>
      <c r="H9088" s="5">
        <v>14790</v>
      </c>
      <c r="I9088" s="6">
        <v>3592.9793102011122</v>
      </c>
      <c r="J9088" s="5">
        <v>27820</v>
      </c>
      <c r="K9088" s="6">
        <f t="shared" si="376"/>
        <v>4.1163610260734149</v>
      </c>
    </row>
    <row r="9089" spans="1:11" hidden="1">
      <c r="A9089" s="4">
        <v>2026</v>
      </c>
      <c r="B9089">
        <v>32</v>
      </c>
      <c r="C9089" t="s">
        <v>54</v>
      </c>
      <c r="D9089" t="s">
        <v>11</v>
      </c>
      <c r="E9089" t="s">
        <v>79</v>
      </c>
      <c r="F9089" t="s">
        <v>67</v>
      </c>
      <c r="G9089" t="str">
        <f t="shared" si="374"/>
        <v>008DEEP PURPLE</v>
      </c>
      <c r="H9089" s="5">
        <v>5970</v>
      </c>
      <c r="I9089" s="6">
        <v>1585.2222221588099</v>
      </c>
      <c r="J9089" s="5">
        <v>11490</v>
      </c>
      <c r="K9089" s="6">
        <f t="shared" si="376"/>
        <v>3.7660335040407453</v>
      </c>
    </row>
    <row r="9090" spans="1:11" hidden="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81</v>
      </c>
      <c r="G9090" t="str">
        <f t="shared" si="374"/>
        <v>008FREEDOM</v>
      </c>
      <c r="H9090" s="5">
        <v>3330</v>
      </c>
      <c r="I9090" s="6">
        <v>2219.311111022334</v>
      </c>
      <c r="J9090" s="5">
        <v>16800</v>
      </c>
      <c r="K9090" s="6">
        <f t="shared" si="376"/>
        <v>1.500465610009055</v>
      </c>
    </row>
    <row r="9091" spans="1:11" hidden="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68</v>
      </c>
      <c r="G9091" t="str">
        <f t="shared" si="374"/>
        <v>008JOCKER</v>
      </c>
      <c r="H9091" s="5">
        <v>4975</v>
      </c>
      <c r="I9091" s="6">
        <v>2959.0814813631118</v>
      </c>
      <c r="J9091" s="5">
        <v>22400</v>
      </c>
      <c r="K9091" s="6">
        <f t="shared" si="376"/>
        <v>1.6812649571610472</v>
      </c>
    </row>
    <row r="9092" spans="1:11" hidden="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63</v>
      </c>
      <c r="G9092" t="str">
        <f t="shared" si="374"/>
        <v>008SUMMER ROMANCE</v>
      </c>
      <c r="H9092" s="5">
        <v>0</v>
      </c>
      <c r="I9092" s="6">
        <v>1796.5851851133182</v>
      </c>
      <c r="J9092" s="5">
        <v>13600</v>
      </c>
      <c r="K9092" s="6">
        <f t="shared" si="376"/>
        <v>0</v>
      </c>
    </row>
    <row r="9093" spans="1:11" hidden="1">
      <c r="A9093" s="4">
        <v>2026</v>
      </c>
      <c r="B9093">
        <v>32</v>
      </c>
      <c r="C9093" t="s">
        <v>54</v>
      </c>
      <c r="D9093" t="s">
        <v>11</v>
      </c>
      <c r="E9093" t="s">
        <v>82</v>
      </c>
      <c r="F9093" t="s">
        <v>83</v>
      </c>
      <c r="G9093" t="str">
        <f t="shared" si="374"/>
        <v>010COOLDOWN</v>
      </c>
      <c r="H9093" s="5">
        <v>1600</v>
      </c>
      <c r="I9093" s="6">
        <v>1912.3542857142861</v>
      </c>
      <c r="J9093" s="5">
        <v>16320</v>
      </c>
      <c r="K9093" s="6">
        <f t="shared" si="376"/>
        <v>0.83666505309834982</v>
      </c>
    </row>
    <row r="9094" spans="1:11" hidden="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84</v>
      </c>
      <c r="G9094" t="str">
        <f t="shared" si="374"/>
        <v>010VIOLET HILL</v>
      </c>
      <c r="H9094" s="5">
        <v>2700</v>
      </c>
      <c r="I9094" s="6">
        <v>2812.2857142428579</v>
      </c>
      <c r="J9094" s="5">
        <v>20000</v>
      </c>
      <c r="K9094" s="6">
        <f t="shared" si="376"/>
        <v>0.96007314844498715</v>
      </c>
    </row>
    <row r="9095" spans="1:11" hidden="1">
      <c r="A9095" s="4">
        <v>2026</v>
      </c>
      <c r="B9095">
        <v>32</v>
      </c>
      <c r="C9095" t="s">
        <v>54</v>
      </c>
      <c r="D9095" t="s">
        <v>11</v>
      </c>
      <c r="E9095" t="s">
        <v>85</v>
      </c>
      <c r="F9095" t="s">
        <v>86</v>
      </c>
      <c r="G9095" t="str">
        <f t="shared" si="374"/>
        <v>011BRIGHTON</v>
      </c>
      <c r="H9095" s="5">
        <v>4375</v>
      </c>
      <c r="I9095" s="6">
        <v>1768.8376470588223</v>
      </c>
      <c r="J9095" s="5">
        <v>12800</v>
      </c>
      <c r="K9095" s="6">
        <f t="shared" si="376"/>
        <v>2.4733756697651916</v>
      </c>
    </row>
    <row r="9096" spans="1:11" hidden="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87</v>
      </c>
      <c r="G9096" t="str">
        <f t="shared" si="374"/>
        <v>011CANDLELIGHT</v>
      </c>
      <c r="H9096" s="5">
        <v>3880</v>
      </c>
      <c r="I9096" s="6">
        <v>2263.7999998868127</v>
      </c>
      <c r="J9096" s="5">
        <v>17920</v>
      </c>
      <c r="K9096" s="6">
        <f t="shared" si="376"/>
        <v>1.7139323262629187</v>
      </c>
    </row>
    <row r="9097" spans="1:11" hidden="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88</v>
      </c>
      <c r="G9097" t="str">
        <f t="shared" si="374"/>
        <v>011CAYENNE</v>
      </c>
      <c r="H9097" s="5">
        <v>1140</v>
      </c>
      <c r="I9097" s="6">
        <v>994.97117647058747</v>
      </c>
      <c r="J9097" s="5">
        <v>7200</v>
      </c>
      <c r="K9097" s="6">
        <f t="shared" si="376"/>
        <v>1.1457618340702755</v>
      </c>
    </row>
    <row r="9098" spans="1:11" hidden="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61</v>
      </c>
      <c r="G9098" t="str">
        <f t="shared" si="374"/>
        <v>011LUMIA</v>
      </c>
      <c r="H9098" s="5">
        <v>2930</v>
      </c>
      <c r="I9098" s="6">
        <v>994.97117647058747</v>
      </c>
      <c r="J9098" s="5">
        <v>7920</v>
      </c>
      <c r="K9098" s="6">
        <f t="shared" si="376"/>
        <v>2.9448089244086906</v>
      </c>
    </row>
    <row r="9099" spans="1:11" hidden="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89</v>
      </c>
      <c r="G9099" t="str">
        <f t="shared" si="374"/>
        <v>011STARDUST</v>
      </c>
      <c r="H9099" s="5">
        <v>2825</v>
      </c>
      <c r="I9099" s="6">
        <v>2263.7999998868127</v>
      </c>
      <c r="J9099" s="5">
        <v>17920</v>
      </c>
      <c r="K9099" s="6">
        <f t="shared" si="376"/>
        <v>1.2479017581682335</v>
      </c>
    </row>
    <row r="9100" spans="1:11" hidden="1">
      <c r="A9100" s="4">
        <v>2026</v>
      </c>
      <c r="B9100">
        <v>32</v>
      </c>
      <c r="C9100" t="s">
        <v>54</v>
      </c>
      <c r="D9100" t="s">
        <v>11</v>
      </c>
      <c r="E9100" t="s">
        <v>90</v>
      </c>
      <c r="F9100" t="s">
        <v>67</v>
      </c>
      <c r="G9100" t="str">
        <f t="shared" si="374"/>
        <v>012DEEP PURPLE</v>
      </c>
      <c r="H9100" s="5">
        <v>17400</v>
      </c>
      <c r="I9100" s="6">
        <v>6727.0499997982479</v>
      </c>
      <c r="J9100" s="5">
        <v>49210</v>
      </c>
      <c r="K9100" s="6">
        <f t="shared" si="376"/>
        <v>2.5865721230735383</v>
      </c>
    </row>
    <row r="9101" spans="1:11" hidden="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60</v>
      </c>
      <c r="G9101" t="str">
        <f t="shared" si="374"/>
        <v>012LIGHT HOUSE</v>
      </c>
      <c r="H9101" s="5">
        <v>1740</v>
      </c>
      <c r="I9101" s="6">
        <v>994.95</v>
      </c>
      <c r="J9101" s="5">
        <v>7200</v>
      </c>
      <c r="K9101" s="6">
        <f t="shared" si="376"/>
        <v>1.748831599577868</v>
      </c>
    </row>
    <row r="9102" spans="1:11" hidden="1">
      <c r="A9102" s="4">
        <v>2026</v>
      </c>
      <c r="B9102">
        <v>32</v>
      </c>
      <c r="C9102" t="s">
        <v>54</v>
      </c>
      <c r="D9102" t="s">
        <v>11</v>
      </c>
      <c r="E9102" t="s">
        <v>91</v>
      </c>
      <c r="F9102" t="s">
        <v>92</v>
      </c>
      <c r="G9102" t="str">
        <f t="shared" si="374"/>
        <v>013COUNTRY BLUES</v>
      </c>
      <c r="H9102" s="5">
        <v>1375</v>
      </c>
      <c r="I9102" s="6">
        <v>831.6</v>
      </c>
      <c r="J9102" s="5">
        <v>6300</v>
      </c>
      <c r="K9102" s="6">
        <f t="shared" si="376"/>
        <v>1.6534391534391535</v>
      </c>
    </row>
    <row r="9103" spans="1:11" hidden="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93</v>
      </c>
      <c r="G9103" t="str">
        <f t="shared" si="374"/>
        <v>013LORRAINE</v>
      </c>
      <c r="H9103" s="5">
        <v>4300</v>
      </c>
      <c r="I9103" s="6">
        <v>1267.2</v>
      </c>
      <c r="J9103" s="5">
        <v>9600</v>
      </c>
      <c r="K9103" s="6">
        <f t="shared" si="376"/>
        <v>3.3933080808080809</v>
      </c>
    </row>
    <row r="9104" spans="1:11" hidden="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61</v>
      </c>
      <c r="G9104" t="str">
        <f t="shared" si="374"/>
        <v>013LUMIA</v>
      </c>
      <c r="H9104" s="5">
        <v>1000</v>
      </c>
      <c r="I9104" s="6">
        <v>316.8</v>
      </c>
      <c r="J9104" s="5">
        <v>2400</v>
      </c>
      <c r="K9104" s="6">
        <f t="shared" si="376"/>
        <v>3.1565656565656566</v>
      </c>
    </row>
    <row r="9105" spans="1:11" hidden="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74</v>
      </c>
      <c r="G9105" t="str">
        <f t="shared" si="374"/>
        <v>013VENDELA</v>
      </c>
      <c r="H9105" s="5">
        <v>11280</v>
      </c>
      <c r="I9105" s="6">
        <v>3603.6</v>
      </c>
      <c r="J9105" s="5">
        <v>27296</v>
      </c>
      <c r="K9105" s="6">
        <f t="shared" si="376"/>
        <v>3.1302031302031303</v>
      </c>
    </row>
    <row r="9106" spans="1:11" hidden="1">
      <c r="A9106" s="4">
        <v>2026</v>
      </c>
      <c r="B9106">
        <v>32</v>
      </c>
      <c r="C9106" t="s">
        <v>54</v>
      </c>
      <c r="D9106" t="s">
        <v>11</v>
      </c>
      <c r="E9106" t="s">
        <v>23</v>
      </c>
      <c r="F9106" t="s">
        <v>89</v>
      </c>
      <c r="G9106" t="str">
        <f t="shared" si="374"/>
        <v>014STARDUST</v>
      </c>
      <c r="H9106" s="5">
        <v>5850</v>
      </c>
      <c r="I9106" s="6">
        <v>3682.8</v>
      </c>
      <c r="J9106" s="5">
        <v>27900</v>
      </c>
      <c r="K9106" s="6">
        <f t="shared" si="376"/>
        <v>1.5884652981427174</v>
      </c>
    </row>
    <row r="9107" spans="1:11" hidden="1">
      <c r="A9107" s="4">
        <v>2026</v>
      </c>
      <c r="B9107">
        <v>32</v>
      </c>
      <c r="C9107" t="s">
        <v>54</v>
      </c>
      <c r="D9107" t="s">
        <v>11</v>
      </c>
      <c r="E9107" t="s">
        <v>25</v>
      </c>
      <c r="F9107" t="s">
        <v>68</v>
      </c>
      <c r="G9107" t="str">
        <f t="shared" ref="G9107:G9174" si="377">+E9107&amp;F9107</f>
        <v>015JOCKER</v>
      </c>
      <c r="H9107" s="5">
        <v>4825</v>
      </c>
      <c r="I9107" s="6">
        <v>2376</v>
      </c>
      <c r="J9107" s="5">
        <v>18000</v>
      </c>
      <c r="K9107" s="6">
        <f t="shared" si="376"/>
        <v>2.0307239057239057</v>
      </c>
    </row>
    <row r="9108" spans="1:11" hidden="1">
      <c r="A9108" s="4">
        <v>2026</v>
      </c>
      <c r="B9108">
        <v>32</v>
      </c>
      <c r="C9108" t="s">
        <v>54</v>
      </c>
      <c r="D9108" t="s">
        <v>11</v>
      </c>
      <c r="E9108" t="s">
        <v>27</v>
      </c>
      <c r="F9108" t="s">
        <v>94</v>
      </c>
      <c r="G9108" t="str">
        <f t="shared" si="377"/>
        <v>016DREAM IN PEACH</v>
      </c>
      <c r="H9108" s="5">
        <v>810</v>
      </c>
      <c r="I9108" s="6">
        <v>950.4</v>
      </c>
      <c r="J9108" s="5">
        <v>7200</v>
      </c>
      <c r="K9108" s="6">
        <f t="shared" si="376"/>
        <v>0.85227272727272729</v>
      </c>
    </row>
    <row r="9109" spans="1:11" hidden="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95</v>
      </c>
      <c r="G9109" t="str">
        <f t="shared" si="377"/>
        <v>016NINA</v>
      </c>
      <c r="H9109" s="5">
        <v>3275</v>
      </c>
      <c r="I9109" s="6">
        <v>1346.4</v>
      </c>
      <c r="J9109" s="5">
        <v>10200</v>
      </c>
      <c r="K9109" s="6">
        <f t="shared" si="376"/>
        <v>2.4324123588829472</v>
      </c>
    </row>
    <row r="9110" spans="1:11" hidden="1">
      <c r="A9110" s="4">
        <v>2026</v>
      </c>
      <c r="B9110">
        <v>32</v>
      </c>
      <c r="C9110" t="s">
        <v>54</v>
      </c>
      <c r="D9110" t="s">
        <v>11</v>
      </c>
      <c r="E9110" t="s">
        <v>30</v>
      </c>
      <c r="F9110" t="s">
        <v>81</v>
      </c>
      <c r="G9110" t="str">
        <f t="shared" si="377"/>
        <v>017FREEDOM</v>
      </c>
      <c r="H9110" s="5">
        <v>5190</v>
      </c>
      <c r="I9110" s="6">
        <v>2851.2</v>
      </c>
      <c r="J9110" s="5">
        <v>21600</v>
      </c>
      <c r="K9110" s="6">
        <f t="shared" si="376"/>
        <v>1.8202861952861955</v>
      </c>
    </row>
    <row r="9111" spans="1:11" hidden="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73</v>
      </c>
      <c r="G9111" t="str">
        <f t="shared" si="377"/>
        <v>017GOLDFINCH</v>
      </c>
      <c r="H9111" s="5">
        <v>2600</v>
      </c>
      <c r="I9111" s="6">
        <v>2138.4</v>
      </c>
      <c r="J9111" s="5">
        <v>16200</v>
      </c>
      <c r="K9111" s="6">
        <f t="shared" si="376"/>
        <v>1.2158623269734381</v>
      </c>
    </row>
    <row r="9112" spans="1:11" hidden="1">
      <c r="A9112" s="4">
        <v>2026</v>
      </c>
      <c r="B9112">
        <v>32</v>
      </c>
      <c r="C9112" t="s">
        <v>54</v>
      </c>
      <c r="D9112" t="s">
        <v>11</v>
      </c>
      <c r="E9112" t="s">
        <v>32</v>
      </c>
      <c r="F9112" t="s">
        <v>86</v>
      </c>
      <c r="G9112" t="str">
        <f t="shared" si="377"/>
        <v>018BRIGHTON</v>
      </c>
      <c r="H9112" s="5">
        <v>1725</v>
      </c>
      <c r="I9112" s="6">
        <v>963.6</v>
      </c>
      <c r="J9112" s="5">
        <v>7570</v>
      </c>
      <c r="K9112" s="6">
        <f t="shared" si="376"/>
        <v>1.790161892901619</v>
      </c>
    </row>
    <row r="9113" spans="1:11" hidden="1">
      <c r="A9113" s="4">
        <v>2026</v>
      </c>
      <c r="B9113">
        <v>32</v>
      </c>
      <c r="C9113" t="s">
        <v>54</v>
      </c>
      <c r="D9113" t="s">
        <v>11</v>
      </c>
      <c r="E9113" t="s">
        <v>35</v>
      </c>
      <c r="F9113" t="s">
        <v>86</v>
      </c>
      <c r="G9113" t="str">
        <f t="shared" si="377"/>
        <v>019BRIGHTON</v>
      </c>
      <c r="H9113" s="5">
        <v>6250</v>
      </c>
      <c r="I9113" s="6">
        <v>3168</v>
      </c>
      <c r="J9113" s="5">
        <v>24000</v>
      </c>
      <c r="K9113" s="6">
        <f t="shared" si="376"/>
        <v>1.9728535353535352</v>
      </c>
    </row>
    <row r="9114" spans="1:11" hidden="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96</v>
      </c>
      <c r="G9114" t="str">
        <f t="shared" si="377"/>
        <v>019TABATHA</v>
      </c>
      <c r="H9114" s="5">
        <v>2400</v>
      </c>
      <c r="I9114" s="6">
        <v>1188</v>
      </c>
      <c r="J9114" s="5">
        <v>9000</v>
      </c>
      <c r="K9114" s="6">
        <f t="shared" si="376"/>
        <v>2.0202020202020203</v>
      </c>
    </row>
    <row r="9115" spans="1:11" hidden="1">
      <c r="A9115" s="4">
        <v>2026</v>
      </c>
      <c r="B9115">
        <v>32</v>
      </c>
      <c r="C9115" t="s">
        <v>54</v>
      </c>
      <c r="D9115" t="s">
        <v>11</v>
      </c>
      <c r="E9115" t="s">
        <v>36</v>
      </c>
      <c r="F9115" t="s">
        <v>86</v>
      </c>
      <c r="G9115" t="str">
        <f t="shared" si="377"/>
        <v>020BRIGHTON</v>
      </c>
      <c r="H9115" s="5">
        <v>4200</v>
      </c>
      <c r="I9115" s="6">
        <v>2732.4</v>
      </c>
      <c r="J9115" s="5">
        <v>20700</v>
      </c>
      <c r="K9115" s="6">
        <f t="shared" si="376"/>
        <v>1.5371102327624067</v>
      </c>
    </row>
    <row r="9116" spans="1:11" hidden="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97</v>
      </c>
      <c r="G9116" t="str">
        <f t="shared" si="377"/>
        <v>020TYCOON</v>
      </c>
      <c r="H9116" s="5">
        <v>720</v>
      </c>
      <c r="I9116" s="6">
        <v>673.2</v>
      </c>
      <c r="J9116" s="5">
        <v>5100</v>
      </c>
      <c r="K9116" s="6">
        <f t="shared" si="376"/>
        <v>1.0695187165775399</v>
      </c>
    </row>
    <row r="9117" spans="1:11" hidden="1">
      <c r="A9117" s="4">
        <v>2026</v>
      </c>
      <c r="B9117">
        <v>32</v>
      </c>
      <c r="C9117" t="s">
        <v>54</v>
      </c>
      <c r="D9117" t="s">
        <v>11</v>
      </c>
      <c r="E9117" t="s">
        <v>38</v>
      </c>
      <c r="F9117" t="s">
        <v>98</v>
      </c>
      <c r="G9117" t="str">
        <f t="shared" si="377"/>
        <v>021SHOW GIRL</v>
      </c>
      <c r="H9117" s="5">
        <v>1525</v>
      </c>
      <c r="I9117" s="6">
        <v>1100.4749999999999</v>
      </c>
      <c r="J9117" s="5">
        <v>8000</v>
      </c>
      <c r="K9117" s="6">
        <f t="shared" si="376"/>
        <v>1.3857652377382494</v>
      </c>
    </row>
    <row r="9118" spans="1:11" hidden="1">
      <c r="A9118" s="4">
        <v>2026</v>
      </c>
      <c r="B9118">
        <v>32</v>
      </c>
      <c r="C9118" t="s">
        <v>54</v>
      </c>
      <c r="D9118" t="s">
        <v>11</v>
      </c>
      <c r="E9118" t="s">
        <v>43</v>
      </c>
      <c r="F9118" t="s">
        <v>99</v>
      </c>
      <c r="G9118" t="str">
        <f t="shared" si="377"/>
        <v>022CORAL REEF</v>
      </c>
      <c r="H9118" s="5">
        <v>2150</v>
      </c>
      <c r="I9118" s="6">
        <v>1287</v>
      </c>
      <c r="J9118" s="5">
        <v>9400</v>
      </c>
      <c r="K9118" s="6">
        <f t="shared" si="376"/>
        <v>1.6705516705516705</v>
      </c>
    </row>
    <row r="9119" spans="1:11" hidden="1">
      <c r="A9119" s="4">
        <v>2026</v>
      </c>
      <c r="B9119">
        <v>32</v>
      </c>
      <c r="C9119" t="s">
        <v>54</v>
      </c>
      <c r="D9119" t="s">
        <v>11</v>
      </c>
      <c r="E9119" t="s">
        <v>100</v>
      </c>
      <c r="F9119" t="s">
        <v>70</v>
      </c>
      <c r="G9119" t="str">
        <f t="shared" si="377"/>
        <v>023COTOPAXI</v>
      </c>
      <c r="H9119" s="5">
        <v>7140</v>
      </c>
      <c r="I9119" s="6">
        <v>2641.14</v>
      </c>
      <c r="J9119" s="5">
        <v>19200</v>
      </c>
      <c r="K9119" s="6">
        <f t="shared" si="376"/>
        <v>2.7033780867352735</v>
      </c>
    </row>
    <row r="9120" spans="1:11" hidden="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101</v>
      </c>
      <c r="G9120" t="str">
        <f t="shared" si="377"/>
        <v>023FRUTTETO</v>
      </c>
      <c r="H9120" s="5">
        <v>4620</v>
      </c>
      <c r="I9120" s="6">
        <v>2641.14</v>
      </c>
      <c r="J9120" s="5">
        <v>19200</v>
      </c>
      <c r="K9120" s="6">
        <f t="shared" si="376"/>
        <v>1.7492446443581182</v>
      </c>
    </row>
    <row r="9121" spans="1:11" hidden="1">
      <c r="A9121" s="4">
        <v>2026</v>
      </c>
      <c r="B9121">
        <v>32</v>
      </c>
      <c r="C9121" t="s">
        <v>54</v>
      </c>
      <c r="D9121" t="s">
        <v>11</v>
      </c>
      <c r="E9121" t="s">
        <v>102</v>
      </c>
      <c r="F9121" t="s">
        <v>70</v>
      </c>
      <c r="G9121" t="str">
        <f t="shared" si="377"/>
        <v>024COTOPAXI</v>
      </c>
      <c r="H9121" s="5">
        <v>3180</v>
      </c>
      <c r="I9121" s="6">
        <v>1430.6174906250001</v>
      </c>
      <c r="J9121" s="5">
        <v>10400</v>
      </c>
      <c r="K9121" s="6">
        <f t="shared" si="376"/>
        <v>2.2228163858186436</v>
      </c>
    </row>
    <row r="9122" spans="1:11" hidden="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64</v>
      </c>
      <c r="G9122" t="str">
        <f t="shared" si="377"/>
        <v>024SWEETNESS</v>
      </c>
      <c r="H9122" s="5">
        <v>1680</v>
      </c>
      <c r="I9122" s="6">
        <v>1430.6175000000001</v>
      </c>
      <c r="J9122" s="5">
        <v>10400</v>
      </c>
      <c r="K9122" s="6">
        <f t="shared" si="376"/>
        <v>1.1743180829257296</v>
      </c>
    </row>
    <row r="9123" spans="1:11" hidden="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97</v>
      </c>
      <c r="G9123" t="str">
        <f t="shared" si="377"/>
        <v>024TYCOON</v>
      </c>
      <c r="H9123" s="5">
        <v>2370</v>
      </c>
      <c r="I9123" s="6">
        <v>2861.2350000000001</v>
      </c>
      <c r="J9123" s="5">
        <v>20800</v>
      </c>
      <c r="K9123" s="6">
        <f t="shared" si="376"/>
        <v>0.82831364777797001</v>
      </c>
    </row>
    <row r="9124" spans="1:11" hidden="1">
      <c r="A9124" s="4">
        <v>2026</v>
      </c>
      <c r="B9124">
        <v>32</v>
      </c>
      <c r="C9124" t="s">
        <v>54</v>
      </c>
      <c r="D9124" t="s">
        <v>11</v>
      </c>
      <c r="E9124" t="s">
        <v>103</v>
      </c>
      <c r="F9124" t="s">
        <v>104</v>
      </c>
      <c r="G9124" t="str">
        <f t="shared" si="377"/>
        <v>025PINK MONDIAL</v>
      </c>
      <c r="H9124" s="5">
        <v>4625</v>
      </c>
      <c r="I9124" s="6">
        <v>3071.9505625000002</v>
      </c>
      <c r="J9124" s="5">
        <v>22400</v>
      </c>
      <c r="K9124" s="6">
        <f t="shared" si="376"/>
        <v>1.5055580830168389</v>
      </c>
    </row>
    <row r="9125" spans="1:11" hidden="1">
      <c r="A9125" s="4">
        <v>2026</v>
      </c>
      <c r="B9125">
        <v>32</v>
      </c>
      <c r="C9125" t="s">
        <v>54</v>
      </c>
      <c r="D9125" t="s">
        <v>11</v>
      </c>
      <c r="E9125" t="s">
        <v>45</v>
      </c>
      <c r="F9125" t="s">
        <v>105</v>
      </c>
      <c r="G9125" t="str">
        <f t="shared" si="377"/>
        <v>026LOLA</v>
      </c>
      <c r="H9125" s="5">
        <v>2775</v>
      </c>
      <c r="I9125" s="6">
        <v>1097.125</v>
      </c>
      <c r="J9125" s="5">
        <v>8000</v>
      </c>
      <c r="K9125" s="6">
        <f t="shared" si="376"/>
        <v>2.5293380426113705</v>
      </c>
    </row>
    <row r="9126" spans="1:11" hidden="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106</v>
      </c>
      <c r="G9126" t="str">
        <f t="shared" si="377"/>
        <v>026PALOMA</v>
      </c>
      <c r="H9126" s="5">
        <v>4775</v>
      </c>
      <c r="I9126" s="6">
        <v>2852.5250000000001</v>
      </c>
      <c r="J9126" s="5">
        <v>20800</v>
      </c>
      <c r="K9126" s="6">
        <f t="shared" si="376"/>
        <v>1.6739555306263749</v>
      </c>
    </row>
    <row r="9127" spans="1:11" hidden="1">
      <c r="A9127" s="4">
        <v>2026</v>
      </c>
      <c r="B9127">
        <v>32</v>
      </c>
      <c r="C9127" t="s">
        <v>54</v>
      </c>
      <c r="D9127" t="s">
        <v>11</v>
      </c>
      <c r="E9127" t="s">
        <v>107</v>
      </c>
      <c r="F9127" t="s">
        <v>108</v>
      </c>
      <c r="G9127" t="str">
        <f t="shared" si="377"/>
        <v>027SATISFACTION</v>
      </c>
      <c r="H9127" s="5">
        <v>4680</v>
      </c>
      <c r="I9127" s="6">
        <v>2633.1</v>
      </c>
      <c r="J9127" s="5">
        <v>19200</v>
      </c>
      <c r="K9127" s="6">
        <f t="shared" si="376"/>
        <v>1.7773726785917741</v>
      </c>
    </row>
    <row r="9128" spans="1:11" hidden="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109</v>
      </c>
      <c r="G9128" t="str">
        <f t="shared" si="377"/>
        <v>027TIFFANY</v>
      </c>
      <c r="H9128" s="5">
        <v>4350</v>
      </c>
      <c r="I9128" s="6">
        <v>2633.1</v>
      </c>
      <c r="J9128" s="5">
        <v>19200</v>
      </c>
      <c r="K9128" s="6">
        <f t="shared" si="376"/>
        <v>1.6520451179218412</v>
      </c>
    </row>
    <row r="9129" spans="1:11" hidden="1">
      <c r="A9129" s="4">
        <v>2026</v>
      </c>
      <c r="B9129">
        <v>32</v>
      </c>
      <c r="C9129" t="s">
        <v>54</v>
      </c>
      <c r="D9129" t="s">
        <v>11</v>
      </c>
      <c r="E9129" t="s">
        <v>110</v>
      </c>
      <c r="F9129" t="s">
        <v>70</v>
      </c>
      <c r="G9129" t="str">
        <f t="shared" si="377"/>
        <v>028COTOPAXI</v>
      </c>
      <c r="H9129" s="5">
        <v>4650</v>
      </c>
      <c r="I9129" s="6">
        <v>2852.5250000000001</v>
      </c>
      <c r="J9129" s="5">
        <v>20800</v>
      </c>
      <c r="K9129" s="6">
        <f t="shared" ref="K9129:K9191" si="378">+H9129/I9129</f>
        <v>1.6301347052173074</v>
      </c>
    </row>
    <row r="9130" spans="1:11" hidden="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67</v>
      </c>
      <c r="G9130" t="str">
        <f t="shared" si="377"/>
        <v>028DEEP PURPLE</v>
      </c>
      <c r="H9130" s="5">
        <v>8490</v>
      </c>
      <c r="I9130" s="6">
        <v>2852.5250000000001</v>
      </c>
      <c r="J9130" s="5">
        <v>20800</v>
      </c>
      <c r="K9130" s="6">
        <f t="shared" si="378"/>
        <v>2.9763104617838581</v>
      </c>
    </row>
    <row r="9131" spans="1:11" hidden="1">
      <c r="A9131" s="4">
        <v>2026</v>
      </c>
      <c r="B9131">
        <v>32</v>
      </c>
      <c r="C9131" t="s">
        <v>54</v>
      </c>
      <c r="D9131" t="s">
        <v>11</v>
      </c>
      <c r="E9131" t="s">
        <v>111</v>
      </c>
      <c r="F9131" t="s">
        <v>112</v>
      </c>
      <c r="G9131" t="str">
        <f t="shared" si="377"/>
        <v>029PINK FLOYD</v>
      </c>
      <c r="H9131" s="5">
        <v>4775</v>
      </c>
      <c r="I9131" s="6">
        <v>3071.95</v>
      </c>
      <c r="J9131" s="5">
        <v>22400</v>
      </c>
      <c r="K9131" s="6">
        <f t="shared" si="378"/>
        <v>1.5543872784387767</v>
      </c>
    </row>
    <row r="9132" spans="1:11" hidden="1">
      <c r="A9132" s="4">
        <v>2026</v>
      </c>
      <c r="B9132">
        <v>32</v>
      </c>
      <c r="C9132" t="s">
        <v>54</v>
      </c>
      <c r="D9132" t="s">
        <v>11</v>
      </c>
      <c r="E9132" t="s">
        <v>47</v>
      </c>
      <c r="F9132" t="s">
        <v>57</v>
      </c>
      <c r="G9132" t="str">
        <f t="shared" si="377"/>
        <v>030EXPLORER</v>
      </c>
      <c r="H9132" s="5">
        <v>1675</v>
      </c>
      <c r="I9132" s="6">
        <v>1645.6875</v>
      </c>
      <c r="J9132" s="5">
        <v>12000</v>
      </c>
      <c r="K9132" s="6">
        <f t="shared" si="378"/>
        <v>1.0178117048346056</v>
      </c>
    </row>
    <row r="9133" spans="1:11" hidden="1">
      <c r="A9133" s="4">
        <v>2026</v>
      </c>
      <c r="B9133">
        <v>23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77"/>
        <v>008LUMIA</v>
      </c>
      <c r="H9133" s="5">
        <v>3570</v>
      </c>
      <c r="I9133" s="6">
        <v>1796.5851851133182</v>
      </c>
      <c r="J9133" s="5">
        <v>13600</v>
      </c>
      <c r="K9133" s="6">
        <f t="shared" si="378"/>
        <v>1.9871031051471266</v>
      </c>
    </row>
    <row r="9134" spans="1:11" hidden="1">
      <c r="A9134" s="4">
        <v>2026</v>
      </c>
      <c r="B9134">
        <v>24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7"/>
        <v>008LUMIA</v>
      </c>
      <c r="H9134" s="5">
        <v>420</v>
      </c>
      <c r="I9134" s="6">
        <v>1796.5851851133182</v>
      </c>
      <c r="J9134" s="5">
        <v>13600</v>
      </c>
      <c r="K9134" s="6">
        <f t="shared" si="378"/>
        <v>0.23377683589966197</v>
      </c>
    </row>
    <row r="9135" spans="1:11" hidden="1">
      <c r="A9135" s="4">
        <v>2026</v>
      </c>
      <c r="B9135">
        <v>25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7"/>
        <v>008LUMIA</v>
      </c>
      <c r="H9135" s="5">
        <v>7710</v>
      </c>
      <c r="I9135" s="6">
        <v>1796.5851851133182</v>
      </c>
      <c r="J9135" s="5">
        <v>13600</v>
      </c>
      <c r="K9135" s="6">
        <f t="shared" si="378"/>
        <v>4.291474773300938</v>
      </c>
    </row>
    <row r="9136" spans="1:11" hidden="1">
      <c r="A9136" s="4">
        <v>2026</v>
      </c>
      <c r="B9136">
        <v>26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7"/>
        <v>008LUMIA</v>
      </c>
      <c r="H9136" s="5">
        <v>3810</v>
      </c>
      <c r="I9136" s="6">
        <v>1796.5851851133182</v>
      </c>
      <c r="J9136" s="5">
        <v>13600</v>
      </c>
      <c r="K9136" s="6">
        <f t="shared" si="378"/>
        <v>2.1206898685183622</v>
      </c>
    </row>
    <row r="9137" spans="1:11" hidden="1">
      <c r="A9137" s="4">
        <v>2026</v>
      </c>
      <c r="B9137">
        <v>27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7"/>
        <v>008LUMIA</v>
      </c>
      <c r="H9137" s="7">
        <f>VLOOKUP(G9137,[5]Astroflores!$G$2:$H$110,2,FALSE)</f>
        <v>3240</v>
      </c>
      <c r="I9137" s="6">
        <v>1796.5851851133182</v>
      </c>
      <c r="J9137" s="5">
        <v>13600</v>
      </c>
      <c r="K9137" s="6">
        <f t="shared" si="378"/>
        <v>1.8034213055116781</v>
      </c>
    </row>
    <row r="9138" spans="1:11" hidden="1">
      <c r="A9138" s="4">
        <v>2026</v>
      </c>
      <c r="B9138">
        <v>28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7"/>
        <v>008LUMIA</v>
      </c>
      <c r="H9138" s="5">
        <f>VLOOKUP(G9138,[6]Astroflores!$G$2:$H$110,2,FALSE)</f>
        <v>2850</v>
      </c>
      <c r="I9138" s="6">
        <v>1796.5851851133182</v>
      </c>
      <c r="J9138" s="5">
        <v>13600</v>
      </c>
      <c r="K9138" s="6">
        <f t="shared" si="378"/>
        <v>1.5863428150334205</v>
      </c>
    </row>
    <row r="9139" spans="1:11" hidden="1">
      <c r="A9139" s="4">
        <v>2026</v>
      </c>
      <c r="B9139">
        <v>29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7"/>
        <v>008LUMIA</v>
      </c>
      <c r="H9139" s="5">
        <v>4440</v>
      </c>
      <c r="I9139" s="6">
        <v>1796.5851851133182</v>
      </c>
      <c r="J9139" s="5">
        <v>13600</v>
      </c>
      <c r="K9139" s="6">
        <f t="shared" si="378"/>
        <v>2.4713551223678549</v>
      </c>
    </row>
    <row r="9140" spans="1:11" hidden="1">
      <c r="A9140" s="4">
        <v>2026</v>
      </c>
      <c r="B9140">
        <v>30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7"/>
        <v>008LUMIA</v>
      </c>
      <c r="H9140" s="5">
        <v>2100</v>
      </c>
      <c r="I9140" s="6">
        <v>1796.5851851133182</v>
      </c>
      <c r="J9140" s="5">
        <v>13600</v>
      </c>
      <c r="K9140" s="6">
        <f t="shared" si="378"/>
        <v>1.1688841794983098</v>
      </c>
    </row>
    <row r="9141" spans="1:11" hidden="1">
      <c r="A9141" s="4">
        <v>2026</v>
      </c>
      <c r="B9141">
        <v>31</v>
      </c>
      <c r="C9141" t="s">
        <v>54</v>
      </c>
      <c r="D9141" t="s">
        <v>11</v>
      </c>
      <c r="E9141" t="s">
        <v>79</v>
      </c>
      <c r="F9141" t="s">
        <v>61</v>
      </c>
      <c r="G9141" t="str">
        <f>+E9141&amp;F9141</f>
        <v>008LUMIA</v>
      </c>
      <c r="H9141" s="5">
        <f>VLOOKUP(G9141,[8]Astroflores!$G$2:$H$110,2,FALSE)</f>
        <v>1830</v>
      </c>
      <c r="I9141" s="6">
        <v>1796.5851851133164</v>
      </c>
      <c r="J9141" s="5">
        <v>13600</v>
      </c>
      <c r="K9141" s="6">
        <f t="shared" si="378"/>
        <v>1.0185990707056711</v>
      </c>
    </row>
    <row r="9142" spans="1:11" hidden="1">
      <c r="A9142" s="4">
        <v>2026</v>
      </c>
      <c r="B9142">
        <v>32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7"/>
        <v>008LUMIA</v>
      </c>
      <c r="H9142" s="5">
        <v>1620</v>
      </c>
      <c r="I9142" s="6">
        <v>1796.5851851133164</v>
      </c>
      <c r="J9142" s="5">
        <v>13600</v>
      </c>
      <c r="K9142" s="6">
        <f t="shared" si="378"/>
        <v>0.90171065275583995</v>
      </c>
    </row>
    <row r="9143" spans="1:11">
      <c r="A9143" s="4">
        <v>2026</v>
      </c>
      <c r="B9143">
        <v>33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ref="G9143" si="379">+E9143&amp;F9143</f>
        <v>008LUMIA</v>
      </c>
      <c r="H9143" s="5">
        <v>3570</v>
      </c>
      <c r="I9143" s="6">
        <v>1796.5851851133164</v>
      </c>
      <c r="J9143" s="5">
        <v>13600</v>
      </c>
      <c r="K9143" s="6">
        <f t="shared" ref="K9143" si="380">+H9143/I9143</f>
        <v>1.9871031051471286</v>
      </c>
    </row>
    <row r="9144" spans="1:11">
      <c r="A9144" s="4">
        <v>2026</v>
      </c>
      <c r="B9144">
        <v>34</v>
      </c>
      <c r="C9144" t="s">
        <v>54</v>
      </c>
      <c r="D9144" t="s">
        <v>11</v>
      </c>
      <c r="E9144" t="s">
        <v>79</v>
      </c>
      <c r="F9144" t="s">
        <v>61</v>
      </c>
      <c r="G9144" t="str">
        <f t="shared" ref="G9144" si="381">+E9144&amp;F9144</f>
        <v>008LUMIA</v>
      </c>
      <c r="H9144" s="5">
        <v>1860</v>
      </c>
      <c r="I9144" s="6">
        <v>1796.5851851133164</v>
      </c>
      <c r="J9144" s="5">
        <v>13600</v>
      </c>
      <c r="K9144" s="6">
        <f t="shared" ref="K9144" si="382">+H9144/I9144</f>
        <v>1.0352974161270754</v>
      </c>
    </row>
    <row r="9145" spans="1:11" hidden="1">
      <c r="A9145" s="4">
        <v>2026</v>
      </c>
      <c r="B9145">
        <v>23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7"/>
        <v>021PISTACHIO KISS</v>
      </c>
      <c r="H9145" s="5">
        <v>200</v>
      </c>
      <c r="I9145" s="6">
        <v>220.095</v>
      </c>
      <c r="J9145" s="5">
        <v>6400</v>
      </c>
      <c r="K9145" s="6">
        <f t="shared" si="378"/>
        <v>0.90869851654967171</v>
      </c>
    </row>
    <row r="9146" spans="1:11" hidden="1">
      <c r="A9146" s="4">
        <v>2026</v>
      </c>
      <c r="B9146">
        <v>24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7"/>
        <v>021PISTACHIO KISS</v>
      </c>
      <c r="H9146" s="5">
        <v>125</v>
      </c>
      <c r="I9146" s="6">
        <v>220.095</v>
      </c>
      <c r="J9146" s="5">
        <v>6400</v>
      </c>
      <c r="K9146" s="6">
        <f t="shared" si="378"/>
        <v>0.56793657284354482</v>
      </c>
    </row>
    <row r="9147" spans="1:11" hidden="1">
      <c r="A9147" s="4">
        <v>2026</v>
      </c>
      <c r="B9147">
        <v>25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7"/>
        <v>021PISTACHIO KISS</v>
      </c>
      <c r="H9147" s="5">
        <v>25</v>
      </c>
      <c r="I9147" s="6">
        <v>880.38</v>
      </c>
      <c r="J9147" s="5">
        <v>6400</v>
      </c>
      <c r="K9147" s="6">
        <f t="shared" si="378"/>
        <v>2.8396828642177241E-2</v>
      </c>
    </row>
    <row r="9148" spans="1:11" hidden="1">
      <c r="A9148" s="4">
        <v>2026</v>
      </c>
      <c r="B9148">
        <v>26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7"/>
        <v>021PISTACHIO KISS</v>
      </c>
      <c r="H9148" s="5">
        <v>25</v>
      </c>
      <c r="I9148" s="6">
        <v>880.38</v>
      </c>
      <c r="J9148" s="5">
        <v>6400</v>
      </c>
      <c r="K9148" s="6">
        <f t="shared" si="378"/>
        <v>2.8396828642177241E-2</v>
      </c>
    </row>
    <row r="9149" spans="1:11" hidden="1">
      <c r="A9149" s="4">
        <v>2026</v>
      </c>
      <c r="B9149">
        <v>27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7"/>
        <v>021PISTACHIO KISS</v>
      </c>
      <c r="H9149" s="7">
        <f>VLOOKUP(G9149,[5]Astroflores!$G$2:$H$110,2,FALSE)</f>
        <v>75</v>
      </c>
      <c r="I9149" s="6">
        <v>880.38</v>
      </c>
      <c r="J9149" s="5">
        <v>6400</v>
      </c>
      <c r="K9149" s="6">
        <f t="shared" si="378"/>
        <v>8.5190485926531723E-2</v>
      </c>
    </row>
    <row r="9150" spans="1:11" hidden="1">
      <c r="A9150" s="4">
        <v>2026</v>
      </c>
      <c r="B9150">
        <v>28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7"/>
        <v>021PISTACHIO KISS</v>
      </c>
      <c r="H9150" s="5">
        <f>VLOOKUP(G9150,[6]Astroflores!$G$2:$H$110,2,FALSE)</f>
        <v>75</v>
      </c>
      <c r="I9150" s="6">
        <v>880.38</v>
      </c>
      <c r="J9150" s="5">
        <v>6400</v>
      </c>
      <c r="K9150" s="6">
        <f t="shared" si="378"/>
        <v>8.5190485926531723E-2</v>
      </c>
    </row>
    <row r="9151" spans="1:11" hidden="1">
      <c r="A9151" s="4">
        <v>2026</v>
      </c>
      <c r="B9151">
        <v>29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7"/>
        <v>021PISTACHIO KISS</v>
      </c>
      <c r="H9151" s="5">
        <v>50</v>
      </c>
      <c r="I9151" s="6">
        <v>880.37999999999965</v>
      </c>
      <c r="J9151" s="5">
        <v>6400</v>
      </c>
      <c r="K9151" s="6">
        <f t="shared" si="378"/>
        <v>5.6793657284354503E-2</v>
      </c>
    </row>
    <row r="9152" spans="1:11" hidden="1">
      <c r="A9152" s="4">
        <v>2026</v>
      </c>
      <c r="B9152">
        <v>30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7"/>
        <v>021PISTACHIO KISS</v>
      </c>
      <c r="H9152" s="5">
        <v>75</v>
      </c>
      <c r="I9152" s="6">
        <v>880.37999999999965</v>
      </c>
      <c r="J9152" s="5">
        <v>6400</v>
      </c>
      <c r="K9152" s="6">
        <f t="shared" si="378"/>
        <v>8.5190485926531764E-2</v>
      </c>
    </row>
    <row r="9153" spans="1:11" hidden="1">
      <c r="A9153" s="4">
        <v>2026</v>
      </c>
      <c r="B9153">
        <v>31</v>
      </c>
      <c r="C9153" t="s">
        <v>10</v>
      </c>
      <c r="D9153" t="s">
        <v>11</v>
      </c>
      <c r="E9153" t="s">
        <v>38</v>
      </c>
      <c r="F9153" t="s">
        <v>115</v>
      </c>
      <c r="G9153" t="str">
        <f>+E9153&amp;F9153</f>
        <v>021PISTACHIO KISS</v>
      </c>
      <c r="H9153" s="5">
        <f>VLOOKUP(G9153,[8]Astroflores!$G$2:$H$110,2,FALSE)</f>
        <v>800</v>
      </c>
      <c r="I9153" s="6">
        <v>880.37999999999965</v>
      </c>
      <c r="J9153" s="5">
        <v>6400</v>
      </c>
      <c r="K9153" s="6">
        <f t="shared" si="378"/>
        <v>0.90869851654967204</v>
      </c>
    </row>
    <row r="9154" spans="1:11" hidden="1">
      <c r="A9154" s="4">
        <v>2026</v>
      </c>
      <c r="B9154">
        <v>32</v>
      </c>
      <c r="C9154" t="s">
        <v>10</v>
      </c>
      <c r="D9154" t="s">
        <v>11</v>
      </c>
      <c r="E9154" t="s">
        <v>38</v>
      </c>
      <c r="F9154" t="s">
        <v>115</v>
      </c>
      <c r="G9154" t="str">
        <f t="shared" si="377"/>
        <v>021PISTACHIO KISS</v>
      </c>
      <c r="H9154" s="5">
        <v>75</v>
      </c>
      <c r="I9154" s="6">
        <v>880.37999999999965</v>
      </c>
      <c r="J9154" s="5">
        <v>6400</v>
      </c>
      <c r="K9154" s="6">
        <f t="shared" si="378"/>
        <v>8.5190485926531764E-2</v>
      </c>
    </row>
    <row r="9155" spans="1:11">
      <c r="A9155" s="4">
        <v>2026</v>
      </c>
      <c r="B9155">
        <v>33</v>
      </c>
      <c r="C9155" t="s">
        <v>10</v>
      </c>
      <c r="D9155" t="s">
        <v>11</v>
      </c>
      <c r="E9155" t="s">
        <v>38</v>
      </c>
      <c r="F9155" t="s">
        <v>115</v>
      </c>
      <c r="G9155" t="str">
        <f t="shared" ref="G9155:G9156" si="383">+E9155&amp;F9155</f>
        <v>021PISTACHIO KISS</v>
      </c>
      <c r="H9155" s="5">
        <v>200</v>
      </c>
      <c r="I9155" s="6">
        <v>880.37999999999965</v>
      </c>
      <c r="J9155" s="5">
        <v>6400</v>
      </c>
      <c r="K9155" s="6">
        <f t="shared" ref="K9155:K9156" si="384">+H9155/I9155</f>
        <v>0.22717462913741801</v>
      </c>
    </row>
    <row r="9156" spans="1:11">
      <c r="A9156" s="4">
        <v>2026</v>
      </c>
      <c r="B9156">
        <v>34</v>
      </c>
      <c r="C9156" t="s">
        <v>10</v>
      </c>
      <c r="D9156" t="s">
        <v>11</v>
      </c>
      <c r="E9156" t="s">
        <v>38</v>
      </c>
      <c r="F9156" t="s">
        <v>115</v>
      </c>
      <c r="G9156" t="str">
        <f t="shared" si="383"/>
        <v>021PISTACHIO KISS</v>
      </c>
      <c r="H9156" s="5">
        <v>125</v>
      </c>
      <c r="I9156" s="6">
        <v>880.37999999999965</v>
      </c>
      <c r="J9156" s="5">
        <v>6400</v>
      </c>
      <c r="K9156" s="6">
        <f t="shared" si="384"/>
        <v>0.14198414321088626</v>
      </c>
    </row>
    <row r="9157" spans="1:11">
      <c r="A9157" s="4">
        <v>2026</v>
      </c>
      <c r="B9157">
        <v>33</v>
      </c>
      <c r="C9157" t="s">
        <v>10</v>
      </c>
      <c r="D9157" t="s">
        <v>11</v>
      </c>
      <c r="E9157" t="s">
        <v>12</v>
      </c>
      <c r="F9157" t="s">
        <v>13</v>
      </c>
      <c r="G9157" t="str">
        <f t="shared" si="377"/>
        <v>002SOMERSET</v>
      </c>
      <c r="H9157" s="5">
        <v>9760</v>
      </c>
      <c r="I9157" s="6">
        <v>4121.4642855494085</v>
      </c>
      <c r="J9157" s="5">
        <v>31200</v>
      </c>
      <c r="K9157" s="6">
        <f t="shared" si="378"/>
        <v>2.3680903979249091</v>
      </c>
    </row>
    <row r="9158" spans="1:11">
      <c r="A9158" s="4">
        <v>2026</v>
      </c>
      <c r="B9158">
        <v>33</v>
      </c>
      <c r="C9158" t="s">
        <v>10</v>
      </c>
      <c r="D9158" t="s">
        <v>11</v>
      </c>
      <c r="E9158" t="s">
        <v>14</v>
      </c>
      <c r="F9158" t="s">
        <v>15</v>
      </c>
      <c r="G9158" t="str">
        <f t="shared" si="377"/>
        <v>004BELLINA</v>
      </c>
      <c r="H9158" s="5">
        <v>1020</v>
      </c>
      <c r="I9158" s="6">
        <v>1056.7857142434418</v>
      </c>
      <c r="J9158" s="5">
        <v>8000</v>
      </c>
      <c r="K9158" s="6">
        <f t="shared" si="378"/>
        <v>0.96519094292471874</v>
      </c>
    </row>
    <row r="9159" spans="1:11">
      <c r="A9159" s="4">
        <v>2026</v>
      </c>
      <c r="B9159">
        <v>33</v>
      </c>
      <c r="C9159" t="s">
        <v>10</v>
      </c>
      <c r="D9159" t="s">
        <v>11</v>
      </c>
      <c r="E9159" t="s">
        <v>16</v>
      </c>
      <c r="F9159" t="s">
        <v>17</v>
      </c>
      <c r="G9159" t="str">
        <f t="shared" si="377"/>
        <v>005ELBA</v>
      </c>
      <c r="H9159" s="5">
        <v>8340</v>
      </c>
      <c r="I9159" s="6">
        <v>2641.9642856076484</v>
      </c>
      <c r="J9159" s="5">
        <v>19996</v>
      </c>
      <c r="K9159" s="6">
        <f t="shared" si="378"/>
        <v>3.1567421427431639</v>
      </c>
    </row>
    <row r="9160" spans="1:11">
      <c r="A9160" s="4">
        <v>2026</v>
      </c>
      <c r="B9160">
        <v>33</v>
      </c>
      <c r="C9160" t="s">
        <v>10</v>
      </c>
      <c r="D9160" t="s">
        <v>11</v>
      </c>
      <c r="E9160" t="s">
        <v>16</v>
      </c>
      <c r="F9160" t="s">
        <v>18</v>
      </c>
      <c r="G9160" t="str">
        <f t="shared" si="377"/>
        <v>005HOT BUBBLES</v>
      </c>
      <c r="H9160" s="5">
        <v>1560</v>
      </c>
      <c r="I9160" s="6">
        <v>528.39285712153003</v>
      </c>
      <c r="J9160" s="5">
        <v>4000</v>
      </c>
      <c r="K9160" s="6">
        <f t="shared" si="378"/>
        <v>2.9523487665943238</v>
      </c>
    </row>
    <row r="9161" spans="1:11">
      <c r="A9161" s="4">
        <v>2026</v>
      </c>
      <c r="B9161">
        <v>33</v>
      </c>
      <c r="C9161" t="s">
        <v>10</v>
      </c>
      <c r="D9161" t="s">
        <v>11</v>
      </c>
      <c r="E9161" t="s">
        <v>16</v>
      </c>
      <c r="F9161" t="s">
        <v>19</v>
      </c>
      <c r="G9161" t="str">
        <f t="shared" si="377"/>
        <v>005SUSPIRO</v>
      </c>
      <c r="H9161" s="5">
        <v>3330</v>
      </c>
      <c r="I9161" s="6">
        <v>1902.2142856375078</v>
      </c>
      <c r="J9161" s="5">
        <v>14400</v>
      </c>
      <c r="K9161" s="6">
        <f t="shared" si="378"/>
        <v>1.7505914160895832</v>
      </c>
    </row>
    <row r="9162" spans="1:11">
      <c r="A9162" s="4">
        <v>2026</v>
      </c>
      <c r="B9162">
        <v>33</v>
      </c>
      <c r="C9162" t="s">
        <v>10</v>
      </c>
      <c r="D9162" t="s">
        <v>11</v>
      </c>
      <c r="E9162" t="s">
        <v>20</v>
      </c>
      <c r="F9162" t="s">
        <v>21</v>
      </c>
      <c r="G9162" t="str">
        <f t="shared" si="377"/>
        <v>007SNOW BUBBLES</v>
      </c>
      <c r="H9162" s="5">
        <v>1180</v>
      </c>
      <c r="I9162" s="6">
        <v>634.05652706821195</v>
      </c>
      <c r="J9162" s="5">
        <v>4800</v>
      </c>
      <c r="K9162" s="6">
        <f t="shared" si="378"/>
        <v>1.8610328095763855</v>
      </c>
    </row>
    <row r="9163" spans="1:11">
      <c r="A9163" s="4">
        <v>2026</v>
      </c>
      <c r="B9163">
        <v>33</v>
      </c>
      <c r="C9163" t="s">
        <v>10</v>
      </c>
      <c r="D9163" t="s">
        <v>11</v>
      </c>
      <c r="E9163" t="s">
        <v>22</v>
      </c>
      <c r="F9163" t="s">
        <v>18</v>
      </c>
      <c r="G9163" t="str">
        <f t="shared" si="377"/>
        <v>009HOT BUBBLES</v>
      </c>
      <c r="H9163" s="5">
        <v>11820</v>
      </c>
      <c r="I9163" s="6">
        <v>4487.9999999102474</v>
      </c>
      <c r="J9163" s="5">
        <v>31740</v>
      </c>
      <c r="K9163" s="6">
        <f t="shared" si="378"/>
        <v>2.633689839624862</v>
      </c>
    </row>
    <row r="9164" spans="1:11">
      <c r="A9164" s="4">
        <v>2026</v>
      </c>
      <c r="B9164">
        <v>33</v>
      </c>
      <c r="C9164" t="s">
        <v>10</v>
      </c>
      <c r="D9164" t="s">
        <v>11</v>
      </c>
      <c r="E9164" t="s">
        <v>23</v>
      </c>
      <c r="F9164" t="s">
        <v>24</v>
      </c>
      <c r="G9164" t="str">
        <f t="shared" si="377"/>
        <v>014FRUITY BUBBLES</v>
      </c>
      <c r="H9164" s="5">
        <v>3000</v>
      </c>
      <c r="I9164" s="6">
        <v>1702.8</v>
      </c>
      <c r="J9164" s="5">
        <v>12900</v>
      </c>
      <c r="K9164" s="6">
        <f t="shared" si="378"/>
        <v>1.7618040873854828</v>
      </c>
    </row>
    <row r="9165" spans="1:11">
      <c r="A9165" s="4">
        <v>2026</v>
      </c>
      <c r="B9165">
        <v>33</v>
      </c>
      <c r="C9165" t="s">
        <v>10</v>
      </c>
      <c r="D9165" t="s">
        <v>11</v>
      </c>
      <c r="E9165" t="s">
        <v>25</v>
      </c>
      <c r="F9165" t="s">
        <v>26</v>
      </c>
      <c r="G9165" t="str">
        <f t="shared" si="377"/>
        <v>015FELLINI</v>
      </c>
      <c r="H9165" s="5">
        <v>6960</v>
      </c>
      <c r="I9165" s="6">
        <v>3009.6</v>
      </c>
      <c r="J9165" s="5">
        <v>22800</v>
      </c>
      <c r="K9165" s="6">
        <f t="shared" si="378"/>
        <v>2.3125996810207337</v>
      </c>
    </row>
    <row r="9166" spans="1:11">
      <c r="A9166" s="4">
        <v>2026</v>
      </c>
      <c r="B9166">
        <v>33</v>
      </c>
      <c r="C9166" t="s">
        <v>10</v>
      </c>
      <c r="D9166" t="s">
        <v>11</v>
      </c>
      <c r="E9166" t="s">
        <v>27</v>
      </c>
      <c r="F9166" t="s">
        <v>28</v>
      </c>
      <c r="G9166" t="str">
        <f t="shared" si="377"/>
        <v>016GOOD PEACH</v>
      </c>
      <c r="H9166" s="5">
        <v>3360</v>
      </c>
      <c r="I9166" s="6">
        <v>1386</v>
      </c>
      <c r="J9166" s="5">
        <v>10500</v>
      </c>
      <c r="K9166" s="6">
        <f t="shared" si="378"/>
        <v>2.4242424242424243</v>
      </c>
    </row>
    <row r="9167" spans="1:11">
      <c r="A9167" s="4">
        <v>2026</v>
      </c>
      <c r="B9167">
        <v>33</v>
      </c>
      <c r="C9167" t="s">
        <v>10</v>
      </c>
      <c r="D9167" t="s">
        <v>11</v>
      </c>
      <c r="E9167" t="s">
        <v>27</v>
      </c>
      <c r="F9167" t="s">
        <v>29</v>
      </c>
      <c r="G9167" t="str">
        <f t="shared" si="377"/>
        <v>016GOOD YELLOW</v>
      </c>
      <c r="H9167" s="5">
        <v>3120</v>
      </c>
      <c r="I9167" s="6">
        <v>1386</v>
      </c>
      <c r="J9167" s="5">
        <v>10500</v>
      </c>
      <c r="K9167" s="6">
        <f t="shared" si="378"/>
        <v>2.2510822510822512</v>
      </c>
    </row>
    <row r="9168" spans="1:11">
      <c r="A9168" s="4">
        <v>2026</v>
      </c>
      <c r="B9168">
        <v>33</v>
      </c>
      <c r="C9168" t="s">
        <v>10</v>
      </c>
      <c r="D9168" t="s">
        <v>11</v>
      </c>
      <c r="E9168" t="s">
        <v>30</v>
      </c>
      <c r="F9168" t="s">
        <v>31</v>
      </c>
      <c r="G9168" t="str">
        <f t="shared" si="377"/>
        <v>017ORANGE STAR</v>
      </c>
      <c r="H9168" s="5">
        <v>1375</v>
      </c>
      <c r="I9168" s="6">
        <v>1029.5999999999999</v>
      </c>
      <c r="J9168" s="5">
        <v>7800</v>
      </c>
      <c r="K9168" s="6">
        <f t="shared" si="378"/>
        <v>1.3354700854700856</v>
      </c>
    </row>
    <row r="9169" spans="1:11">
      <c r="A9169" s="4">
        <v>2026</v>
      </c>
      <c r="B9169">
        <v>33</v>
      </c>
      <c r="C9169" t="s">
        <v>10</v>
      </c>
      <c r="D9169" t="s">
        <v>11</v>
      </c>
      <c r="E9169" t="s">
        <v>32</v>
      </c>
      <c r="F9169" t="s">
        <v>33</v>
      </c>
      <c r="G9169" t="str">
        <f t="shared" si="377"/>
        <v>018COSMO</v>
      </c>
      <c r="H9169" s="5">
        <v>4575</v>
      </c>
      <c r="I9169" s="6">
        <v>2653.2</v>
      </c>
      <c r="J9169" s="5">
        <v>20100</v>
      </c>
      <c r="K9169" s="6">
        <f t="shared" si="378"/>
        <v>1.724332881049299</v>
      </c>
    </row>
    <row r="9170" spans="1:11">
      <c r="A9170" s="4">
        <v>2026</v>
      </c>
      <c r="B9170">
        <v>33</v>
      </c>
      <c r="C9170" t="s">
        <v>10</v>
      </c>
      <c r="D9170" t="s">
        <v>11</v>
      </c>
      <c r="E9170" t="s">
        <v>32</v>
      </c>
      <c r="F9170" t="s">
        <v>34</v>
      </c>
      <c r="G9170" t="str">
        <f t="shared" si="377"/>
        <v>018RUBICON</v>
      </c>
      <c r="H9170" s="5">
        <v>4770</v>
      </c>
      <c r="I9170" s="6">
        <v>1768.8</v>
      </c>
      <c r="J9170" s="5">
        <v>13400</v>
      </c>
      <c r="K9170" s="6">
        <f t="shared" si="378"/>
        <v>2.6967435549525103</v>
      </c>
    </row>
    <row r="9171" spans="1:11">
      <c r="A9171" s="4">
        <v>2026</v>
      </c>
      <c r="B9171">
        <v>33</v>
      </c>
      <c r="C9171" t="s">
        <v>10</v>
      </c>
      <c r="D9171" t="s">
        <v>11</v>
      </c>
      <c r="E9171" t="s">
        <v>35</v>
      </c>
      <c r="F9171" t="s">
        <v>15</v>
      </c>
      <c r="G9171" t="str">
        <f t="shared" si="377"/>
        <v>019BELLINA</v>
      </c>
      <c r="H9171" s="5">
        <v>1770</v>
      </c>
      <c r="I9171" s="6">
        <v>1029.5999999999999</v>
      </c>
      <c r="J9171" s="5">
        <v>7800</v>
      </c>
      <c r="K9171" s="6">
        <f t="shared" si="378"/>
        <v>1.7191142191142192</v>
      </c>
    </row>
    <row r="9172" spans="1:11">
      <c r="A9172" s="4">
        <v>2026</v>
      </c>
      <c r="B9172">
        <v>33</v>
      </c>
      <c r="C9172" t="s">
        <v>10</v>
      </c>
      <c r="D9172" t="s">
        <v>11</v>
      </c>
      <c r="E9172" t="s">
        <v>36</v>
      </c>
      <c r="F9172" t="s">
        <v>37</v>
      </c>
      <c r="G9172" t="str">
        <f t="shared" si="377"/>
        <v>020SUMMER DANCE</v>
      </c>
      <c r="H9172" s="5">
        <v>4000</v>
      </c>
      <c r="I9172" s="6">
        <v>1346.4</v>
      </c>
      <c r="J9172" s="5">
        <v>10200</v>
      </c>
      <c r="K9172" s="6">
        <f t="shared" si="378"/>
        <v>2.9708853238265003</v>
      </c>
    </row>
    <row r="9173" spans="1:1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39</v>
      </c>
      <c r="G9173" t="str">
        <f t="shared" si="377"/>
        <v>021ELEGANT ROSEVER</v>
      </c>
      <c r="H9173" s="5">
        <v>420</v>
      </c>
      <c r="I9173" s="6">
        <v>440.18999062500001</v>
      </c>
      <c r="J9173" s="5">
        <v>3200</v>
      </c>
      <c r="K9173" s="6">
        <f t="shared" si="378"/>
        <v>0.95413346269792865</v>
      </c>
    </row>
    <row r="9174" spans="1:1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40</v>
      </c>
      <c r="G9174" t="str">
        <f t="shared" si="377"/>
        <v>021FLAME CLUB</v>
      </c>
      <c r="H9174" s="5">
        <v>1975</v>
      </c>
      <c r="I9174" s="6">
        <v>880.38</v>
      </c>
      <c r="J9174" s="5">
        <v>6400</v>
      </c>
      <c r="K9174" s="6">
        <f t="shared" si="378"/>
        <v>2.2433494627320023</v>
      </c>
    </row>
    <row r="9175" spans="1:11">
      <c r="A9175" s="4">
        <v>2026</v>
      </c>
      <c r="B9175">
        <v>33</v>
      </c>
      <c r="C9175" t="s">
        <v>10</v>
      </c>
      <c r="D9175" t="s">
        <v>11</v>
      </c>
      <c r="E9175" t="s">
        <v>38</v>
      </c>
      <c r="F9175" t="s">
        <v>41</v>
      </c>
      <c r="G9175" t="str">
        <f t="shared" ref="G9175:G9237" si="385">+E9175&amp;F9175</f>
        <v>021KELLY</v>
      </c>
      <c r="H9175" s="5">
        <v>675</v>
      </c>
      <c r="I9175" s="6">
        <v>330.14249999999998</v>
      </c>
      <c r="J9175" s="5">
        <v>2400</v>
      </c>
      <c r="K9175" s="6">
        <f t="shared" si="378"/>
        <v>2.0445716622367613</v>
      </c>
    </row>
    <row r="9176" spans="1:11">
      <c r="A9176" s="4">
        <v>2026</v>
      </c>
      <c r="B9176">
        <v>33</v>
      </c>
      <c r="C9176" t="s">
        <v>10</v>
      </c>
      <c r="D9176" t="s">
        <v>11</v>
      </c>
      <c r="E9176" t="s">
        <v>38</v>
      </c>
      <c r="F9176" t="s">
        <v>42</v>
      </c>
      <c r="G9176" t="str">
        <f t="shared" si="385"/>
        <v>021LEILA</v>
      </c>
      <c r="H9176" s="5">
        <v>2175</v>
      </c>
      <c r="I9176" s="6">
        <v>1650.7125000000001</v>
      </c>
      <c r="J9176" s="5">
        <v>12000</v>
      </c>
      <c r="K9176" s="6">
        <f t="shared" si="378"/>
        <v>1.317612848997024</v>
      </c>
    </row>
    <row r="9177" spans="1:11">
      <c r="A9177" s="4">
        <v>2026</v>
      </c>
      <c r="B9177">
        <v>33</v>
      </c>
      <c r="C9177" t="s">
        <v>10</v>
      </c>
      <c r="D9177" t="s">
        <v>11</v>
      </c>
      <c r="E9177" t="s">
        <v>38</v>
      </c>
      <c r="F9177" t="s">
        <v>21</v>
      </c>
      <c r="G9177" t="str">
        <f t="shared" si="385"/>
        <v>021SNOW BUBBLES</v>
      </c>
      <c r="H9177" s="5">
        <v>2900</v>
      </c>
      <c r="I9177" s="6">
        <v>1287.0000000000018</v>
      </c>
      <c r="J9177" s="5">
        <v>9400</v>
      </c>
      <c r="K9177" s="6">
        <f t="shared" si="378"/>
        <v>2.25330225330225</v>
      </c>
    </row>
    <row r="9178" spans="1:11">
      <c r="A9178" s="4">
        <v>2026</v>
      </c>
      <c r="B9178">
        <v>33</v>
      </c>
      <c r="C9178" t="s">
        <v>10</v>
      </c>
      <c r="D9178" t="s">
        <v>11</v>
      </c>
      <c r="E9178" t="s">
        <v>43</v>
      </c>
      <c r="F9178" t="s">
        <v>24</v>
      </c>
      <c r="G9178" t="str">
        <f t="shared" si="385"/>
        <v>022FRUITY BUBBLES</v>
      </c>
      <c r="H9178" s="5">
        <v>5375</v>
      </c>
      <c r="I9178" s="6">
        <v>2641.14</v>
      </c>
      <c r="J9178" s="5">
        <v>19200</v>
      </c>
      <c r="K9178" s="6">
        <f t="shared" si="378"/>
        <v>2.0351060526893692</v>
      </c>
    </row>
    <row r="9179" spans="1:11">
      <c r="A9179" s="4">
        <v>2026</v>
      </c>
      <c r="B9179">
        <v>33</v>
      </c>
      <c r="C9179" t="s">
        <v>10</v>
      </c>
      <c r="D9179" t="s">
        <v>11</v>
      </c>
      <c r="E9179" t="s">
        <v>43</v>
      </c>
      <c r="F9179" t="s">
        <v>28</v>
      </c>
      <c r="G9179" t="str">
        <f t="shared" si="385"/>
        <v>022GOOD PEACH</v>
      </c>
      <c r="H9179" s="5">
        <v>1980</v>
      </c>
      <c r="I9179" s="6">
        <v>880.38</v>
      </c>
      <c r="J9179" s="5">
        <v>6400</v>
      </c>
      <c r="K9179" s="6">
        <f t="shared" si="378"/>
        <v>2.2490288284604376</v>
      </c>
    </row>
    <row r="9180" spans="1:11">
      <c r="A9180" s="4">
        <v>2026</v>
      </c>
      <c r="B9180">
        <v>33</v>
      </c>
      <c r="C9180" t="s">
        <v>10</v>
      </c>
      <c r="D9180" t="s">
        <v>11</v>
      </c>
      <c r="E9180" t="s">
        <v>43</v>
      </c>
      <c r="F9180" t="s">
        <v>44</v>
      </c>
      <c r="G9180" t="str">
        <f t="shared" si="385"/>
        <v>022MIRABEL</v>
      </c>
      <c r="H9180" s="5">
        <v>1760</v>
      </c>
      <c r="I9180" s="6">
        <v>880.38</v>
      </c>
      <c r="J9180" s="5">
        <v>6400</v>
      </c>
      <c r="K9180" s="6">
        <f t="shared" si="378"/>
        <v>1.9991367364092778</v>
      </c>
    </row>
    <row r="9181" spans="1:11">
      <c r="A9181" s="4">
        <v>2026</v>
      </c>
      <c r="B9181">
        <v>33</v>
      </c>
      <c r="C9181" t="s">
        <v>10</v>
      </c>
      <c r="D9181" t="s">
        <v>11</v>
      </c>
      <c r="E9181" t="s">
        <v>45</v>
      </c>
      <c r="F9181" t="s">
        <v>46</v>
      </c>
      <c r="G9181" t="str">
        <f t="shared" si="385"/>
        <v>026PURPLE BUBBLY</v>
      </c>
      <c r="H9181" s="5">
        <v>430</v>
      </c>
      <c r="I9181" s="6">
        <v>1755.4</v>
      </c>
      <c r="J9181" s="5">
        <v>12800</v>
      </c>
      <c r="K9181" s="6">
        <f t="shared" si="378"/>
        <v>0.24495841403668678</v>
      </c>
    </row>
    <row r="9182" spans="1:11">
      <c r="A9182" s="4">
        <v>2026</v>
      </c>
      <c r="B9182">
        <v>33</v>
      </c>
      <c r="C9182" t="s">
        <v>10</v>
      </c>
      <c r="D9182" t="s">
        <v>11</v>
      </c>
      <c r="E9182" t="s">
        <v>47</v>
      </c>
      <c r="F9182" t="s">
        <v>44</v>
      </c>
      <c r="G9182" t="str">
        <f t="shared" si="385"/>
        <v>030MIRABEL</v>
      </c>
      <c r="H9182" s="5">
        <v>4960</v>
      </c>
      <c r="I9182" s="6">
        <v>2413.6749943750001</v>
      </c>
      <c r="J9182" s="5">
        <v>17600</v>
      </c>
      <c r="K9182" s="6">
        <f t="shared" si="378"/>
        <v>2.0549576937902314</v>
      </c>
    </row>
    <row r="9183" spans="1:11">
      <c r="A9183" s="4">
        <v>2026</v>
      </c>
      <c r="B9183">
        <v>33</v>
      </c>
      <c r="C9183" t="s">
        <v>10</v>
      </c>
      <c r="D9183" t="s">
        <v>11</v>
      </c>
      <c r="E9183" t="s">
        <v>47</v>
      </c>
      <c r="F9183" t="s">
        <v>13</v>
      </c>
      <c r="G9183" t="str">
        <f t="shared" si="385"/>
        <v>030SOMERSET</v>
      </c>
      <c r="H9183" s="5">
        <v>3520</v>
      </c>
      <c r="I9183" s="6">
        <v>1645.6875</v>
      </c>
      <c r="J9183" s="5">
        <v>12000</v>
      </c>
      <c r="K9183" s="6">
        <f t="shared" si="378"/>
        <v>2.1389237021001861</v>
      </c>
    </row>
    <row r="9184" spans="1:1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49</v>
      </c>
      <c r="G9184" t="str">
        <f t="shared" si="385"/>
        <v>03182989</v>
      </c>
      <c r="H9184" s="5">
        <v>1300</v>
      </c>
      <c r="I9184" s="6">
        <v>726.32013058333712</v>
      </c>
      <c r="J9184" s="5">
        <v>5712</v>
      </c>
      <c r="K9184" s="6">
        <f t="shared" si="378"/>
        <v>1.7898443747606407</v>
      </c>
    </row>
    <row r="9185" spans="1:11">
      <c r="A9185" s="4">
        <v>2026</v>
      </c>
      <c r="B9185">
        <v>33</v>
      </c>
      <c r="C9185" t="s">
        <v>10</v>
      </c>
      <c r="D9185" t="s">
        <v>11</v>
      </c>
      <c r="E9185" t="s">
        <v>48</v>
      </c>
      <c r="F9185" t="s">
        <v>34</v>
      </c>
      <c r="G9185" t="str">
        <f t="shared" si="385"/>
        <v>031RUBICON</v>
      </c>
      <c r="H9185" s="5">
        <v>2250</v>
      </c>
      <c r="I9185" s="6">
        <v>924.39958333667107</v>
      </c>
      <c r="J9185" s="5">
        <v>6720</v>
      </c>
      <c r="K9185" s="6">
        <f t="shared" si="378"/>
        <v>2.4340123476457025</v>
      </c>
    </row>
    <row r="9186" spans="1:11">
      <c r="A9186" s="4">
        <v>2026</v>
      </c>
      <c r="B9186">
        <v>33</v>
      </c>
      <c r="C9186" t="s">
        <v>10</v>
      </c>
      <c r="D9186" t="s">
        <v>11</v>
      </c>
      <c r="E9186" t="s">
        <v>48</v>
      </c>
      <c r="F9186" t="s">
        <v>13</v>
      </c>
      <c r="G9186" t="str">
        <f t="shared" si="385"/>
        <v>031SOMERSET</v>
      </c>
      <c r="H9186" s="5">
        <v>2500</v>
      </c>
      <c r="I9186" s="6">
        <v>1122.485208333339</v>
      </c>
      <c r="J9186" s="5">
        <v>8160</v>
      </c>
      <c r="K9186" s="6">
        <f t="shared" si="378"/>
        <v>2.2272008409910264</v>
      </c>
    </row>
    <row r="9187" spans="1:11">
      <c r="A9187" s="4">
        <v>2026</v>
      </c>
      <c r="B9187">
        <v>33</v>
      </c>
      <c r="C9187" t="s">
        <v>10</v>
      </c>
      <c r="D9187" t="s">
        <v>11</v>
      </c>
      <c r="E9187" t="s">
        <v>48</v>
      </c>
      <c r="F9187" t="s">
        <v>50</v>
      </c>
      <c r="G9187" t="str">
        <f t="shared" si="385"/>
        <v>031VELVET BLOSSOMS</v>
      </c>
      <c r="H9187" s="5">
        <v>380</v>
      </c>
      <c r="I9187" s="6">
        <v>396.17125000000198</v>
      </c>
      <c r="J9187" s="5">
        <v>2880</v>
      </c>
      <c r="K9187" s="6">
        <f t="shared" si="378"/>
        <v>0.95918116218680205</v>
      </c>
    </row>
    <row r="9188" spans="1:11">
      <c r="A9188" s="4">
        <v>2026</v>
      </c>
      <c r="B9188">
        <v>33</v>
      </c>
      <c r="C9188" t="s">
        <v>10</v>
      </c>
      <c r="D9188" t="s">
        <v>11</v>
      </c>
      <c r="E9188" t="s">
        <v>51</v>
      </c>
      <c r="F9188" t="s">
        <v>17</v>
      </c>
      <c r="G9188" t="str">
        <f t="shared" si="385"/>
        <v>032ELBA</v>
      </c>
      <c r="H9188" s="5">
        <v>2670</v>
      </c>
      <c r="I9188" s="6">
        <v>1535.9749999999999</v>
      </c>
      <c r="J9188" s="5">
        <v>11200</v>
      </c>
      <c r="K9188" s="6">
        <f t="shared" si="378"/>
        <v>1.7383095427985482</v>
      </c>
    </row>
    <row r="9189" spans="1:11">
      <c r="A9189" s="4">
        <v>2026</v>
      </c>
      <c r="B9189">
        <v>33</v>
      </c>
      <c r="C9189" t="s">
        <v>10</v>
      </c>
      <c r="D9189" t="s">
        <v>11</v>
      </c>
      <c r="E9189" t="s">
        <v>51</v>
      </c>
      <c r="F9189" t="s">
        <v>44</v>
      </c>
      <c r="G9189" t="str">
        <f t="shared" si="385"/>
        <v>032MIRABEL</v>
      </c>
      <c r="H9189" s="5">
        <v>2040</v>
      </c>
      <c r="I9189" s="6">
        <v>1535.9749999999999</v>
      </c>
      <c r="J9189" s="5">
        <v>11200</v>
      </c>
      <c r="K9189" s="6">
        <f t="shared" si="378"/>
        <v>1.3281466169696774</v>
      </c>
    </row>
    <row r="9190" spans="1:11">
      <c r="A9190" s="4">
        <v>2026</v>
      </c>
      <c r="B9190">
        <v>33</v>
      </c>
      <c r="C9190" t="s">
        <v>10</v>
      </c>
      <c r="D9190" t="s">
        <v>11</v>
      </c>
      <c r="E9190" t="s">
        <v>52</v>
      </c>
      <c r="F9190" t="s">
        <v>53</v>
      </c>
      <c r="G9190" t="str">
        <f t="shared" si="385"/>
        <v>033CREAMY FOLIES</v>
      </c>
      <c r="H9190" s="5">
        <v>1260</v>
      </c>
      <c r="I9190" s="6">
        <v>594.25687500000299</v>
      </c>
      <c r="J9190" s="5">
        <v>4320</v>
      </c>
      <c r="K9190" s="6">
        <f t="shared" si="378"/>
        <v>2.120295200623457</v>
      </c>
    </row>
    <row r="9191" spans="1:11">
      <c r="A9191" s="4">
        <v>2026</v>
      </c>
      <c r="B9191">
        <v>33</v>
      </c>
      <c r="C9191" t="s">
        <v>10</v>
      </c>
      <c r="D9191" t="s">
        <v>11</v>
      </c>
      <c r="E9191" t="s">
        <v>52</v>
      </c>
      <c r="F9191" t="s">
        <v>18</v>
      </c>
      <c r="G9191" t="str">
        <f t="shared" si="385"/>
        <v>033HOT BUBBLES</v>
      </c>
      <c r="H9191" s="5">
        <v>2560</v>
      </c>
      <c r="I9191" s="6">
        <v>2575.1131250013459</v>
      </c>
      <c r="J9191" s="5">
        <v>18720</v>
      </c>
      <c r="K9191" s="6">
        <f t="shared" si="378"/>
        <v>0.9941310830756851</v>
      </c>
    </row>
    <row r="9192" spans="1:1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56</v>
      </c>
      <c r="G9192" t="str">
        <f t="shared" si="385"/>
        <v>001BELIEVE IN PINK</v>
      </c>
      <c r="H9192" s="5">
        <v>1110</v>
      </c>
      <c r="I9192" s="6">
        <v>528.37931032368999</v>
      </c>
      <c r="J9192" s="5">
        <v>4000</v>
      </c>
      <c r="K9192" s="6">
        <f t="shared" ref="K9192:K9198" si="386">IFERROR(H9192/I9192,"")</f>
        <v>2.1007635581340303</v>
      </c>
    </row>
    <row r="9193" spans="1:1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57</v>
      </c>
      <c r="G9193" t="str">
        <f t="shared" si="385"/>
        <v>001EXPLORER</v>
      </c>
      <c r="H9193" s="5">
        <v>3000</v>
      </c>
      <c r="I9193" s="6">
        <v>2272.0310343918732</v>
      </c>
      <c r="J9193" s="5">
        <v>17200</v>
      </c>
      <c r="K9193" s="6">
        <f t="shared" si="386"/>
        <v>1.3204044991414361</v>
      </c>
    </row>
    <row r="9194" spans="1:1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58</v>
      </c>
      <c r="G9194" t="str">
        <f t="shared" si="385"/>
        <v>001GRACE KELLY</v>
      </c>
      <c r="H9194" s="5">
        <v>1290</v>
      </c>
      <c r="I9194" s="6">
        <v>1162.4344827121224</v>
      </c>
      <c r="J9194" s="5">
        <v>8800</v>
      </c>
      <c r="K9194" s="6">
        <f t="shared" si="386"/>
        <v>1.109739963142051</v>
      </c>
    </row>
    <row r="9195" spans="1:1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59</v>
      </c>
      <c r="G9195" t="str">
        <f t="shared" si="385"/>
        <v>001IDOLE</v>
      </c>
      <c r="H9195" s="5">
        <v>1225</v>
      </c>
      <c r="I9195" s="6">
        <v>1162.4344827121181</v>
      </c>
      <c r="J9195" s="5">
        <v>8800</v>
      </c>
      <c r="K9195" s="6">
        <f t="shared" si="386"/>
        <v>1.0538228332162929</v>
      </c>
    </row>
    <row r="9196" spans="1:11">
      <c r="A9196" s="4">
        <v>2026</v>
      </c>
      <c r="B9196">
        <v>33</v>
      </c>
      <c r="C9196" t="s">
        <v>54</v>
      </c>
      <c r="D9196" t="s">
        <v>11</v>
      </c>
      <c r="E9196" t="s">
        <v>55</v>
      </c>
      <c r="F9196" t="s">
        <v>60</v>
      </c>
      <c r="G9196" t="str">
        <f t="shared" si="385"/>
        <v>001LIGHT HOUSE</v>
      </c>
      <c r="H9196" s="5">
        <v>1560</v>
      </c>
      <c r="I9196" s="6">
        <v>1056.7586206473827</v>
      </c>
      <c r="J9196" s="5">
        <v>8000</v>
      </c>
      <c r="K9196" s="6">
        <f t="shared" si="386"/>
        <v>1.4762122300401257</v>
      </c>
    </row>
    <row r="9197" spans="1:11">
      <c r="A9197" s="4">
        <v>2026</v>
      </c>
      <c r="B9197">
        <v>33</v>
      </c>
      <c r="C9197" t="s">
        <v>54</v>
      </c>
      <c r="D9197" t="s">
        <v>11</v>
      </c>
      <c r="E9197" t="s">
        <v>55</v>
      </c>
      <c r="F9197" t="s">
        <v>61</v>
      </c>
      <c r="G9197" t="str">
        <f t="shared" si="385"/>
        <v>001LUMIA</v>
      </c>
      <c r="H9197" s="5">
        <v>1770</v>
      </c>
      <c r="I9197" s="6">
        <v>1109.596551679753</v>
      </c>
      <c r="J9197" s="5">
        <v>8400</v>
      </c>
      <c r="K9197" s="6">
        <f t="shared" si="386"/>
        <v>1.5951743877722953</v>
      </c>
    </row>
    <row r="9198" spans="1:11">
      <c r="A9198" s="4">
        <v>2026</v>
      </c>
      <c r="B9198">
        <v>33</v>
      </c>
      <c r="C9198" t="s">
        <v>54</v>
      </c>
      <c r="D9198" t="s">
        <v>11</v>
      </c>
      <c r="E9198" t="s">
        <v>55</v>
      </c>
      <c r="F9198" t="s">
        <v>62</v>
      </c>
      <c r="G9198" t="str">
        <f t="shared" si="385"/>
        <v>001MOMENTUM</v>
      </c>
      <c r="H9198" s="5">
        <v>3475</v>
      </c>
      <c r="I9198" s="6">
        <v>1902.1655171652881</v>
      </c>
      <c r="J9198" s="5">
        <v>14400</v>
      </c>
      <c r="K9198" s="6">
        <f t="shared" si="386"/>
        <v>1.8268652063352702</v>
      </c>
    </row>
    <row r="9199" spans="1:11">
      <c r="A9199" s="4">
        <v>2026</v>
      </c>
      <c r="B9199">
        <v>33</v>
      </c>
      <c r="C9199" t="s">
        <v>54</v>
      </c>
      <c r="D9199" t="s">
        <v>11</v>
      </c>
      <c r="E9199" t="s">
        <v>12</v>
      </c>
      <c r="F9199" t="s">
        <v>63</v>
      </c>
      <c r="G9199" t="str">
        <f t="shared" si="385"/>
        <v>002SUMMER ROMANCE</v>
      </c>
      <c r="H9199" s="5">
        <v>1450</v>
      </c>
      <c r="I9199" s="6">
        <v>951.10714281909407</v>
      </c>
      <c r="J9199" s="5">
        <v>7200</v>
      </c>
      <c r="K9199" s="6">
        <f t="shared" ref="K9199:K9261" si="387">+H9199/I9199</f>
        <v>1.5245390710684612</v>
      </c>
    </row>
    <row r="9200" spans="1:11">
      <c r="A9200" s="4">
        <v>2026</v>
      </c>
      <c r="B9200">
        <v>33</v>
      </c>
      <c r="C9200" t="s">
        <v>54</v>
      </c>
      <c r="D9200" t="s">
        <v>11</v>
      </c>
      <c r="E9200" t="s">
        <v>12</v>
      </c>
      <c r="F9200" t="s">
        <v>64</v>
      </c>
      <c r="G9200" t="str">
        <f t="shared" si="385"/>
        <v>002SWEETNESS</v>
      </c>
      <c r="H9200" s="5">
        <v>5850</v>
      </c>
      <c r="I9200" s="6">
        <v>3804.4285712763772</v>
      </c>
      <c r="J9200" s="5">
        <v>28800</v>
      </c>
      <c r="K9200" s="6">
        <f t="shared" si="387"/>
        <v>1.5376816492673269</v>
      </c>
    </row>
    <row r="9201" spans="1:1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66</v>
      </c>
      <c r="G9201" t="str">
        <f t="shared" si="385"/>
        <v>003CABARET</v>
      </c>
      <c r="H9201" s="5">
        <v>5010</v>
      </c>
      <c r="I9201" s="6">
        <v>2641.8965516184649</v>
      </c>
      <c r="J9201" s="5">
        <v>20000</v>
      </c>
      <c r="K9201" s="6">
        <f t="shared" si="387"/>
        <v>1.8963649416669248</v>
      </c>
    </row>
    <row r="9202" spans="1:1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67</v>
      </c>
      <c r="G9202" t="str">
        <f t="shared" si="385"/>
        <v>003DEEP PURPLE</v>
      </c>
      <c r="H9202" s="5">
        <v>7650</v>
      </c>
      <c r="I9202" s="6">
        <v>3592.9793102010913</v>
      </c>
      <c r="J9202" s="5">
        <v>26044</v>
      </c>
      <c r="K9202" s="6">
        <f t="shared" si="387"/>
        <v>2.1291522548655717</v>
      </c>
    </row>
    <row r="9203" spans="1:11">
      <c r="A9203" s="4">
        <v>2026</v>
      </c>
      <c r="B9203">
        <v>33</v>
      </c>
      <c r="C9203" t="s">
        <v>54</v>
      </c>
      <c r="D9203" t="s">
        <v>11</v>
      </c>
      <c r="E9203" t="s">
        <v>65</v>
      </c>
      <c r="F9203" t="s">
        <v>57</v>
      </c>
      <c r="G9203" t="str">
        <f t="shared" si="385"/>
        <v>003EXPLORER</v>
      </c>
      <c r="H9203" s="5">
        <v>2175</v>
      </c>
      <c r="I9203" s="6">
        <v>1268.1103447768633</v>
      </c>
      <c r="J9203" s="5">
        <v>9600</v>
      </c>
      <c r="K9203" s="6">
        <f t="shared" si="387"/>
        <v>1.7151504275305893</v>
      </c>
    </row>
    <row r="9204" spans="1:11">
      <c r="A9204" s="4">
        <v>2026</v>
      </c>
      <c r="B9204">
        <v>33</v>
      </c>
      <c r="C9204" t="s">
        <v>54</v>
      </c>
      <c r="D9204" t="s">
        <v>11</v>
      </c>
      <c r="E9204" t="s">
        <v>65</v>
      </c>
      <c r="F9204" t="s">
        <v>68</v>
      </c>
      <c r="G9204" t="str">
        <f t="shared" si="385"/>
        <v>003JOCKER</v>
      </c>
      <c r="H9204" s="5">
        <v>1000</v>
      </c>
      <c r="I9204" s="6">
        <v>528.37931032368999</v>
      </c>
      <c r="J9204" s="5">
        <v>4000</v>
      </c>
      <c r="K9204" s="6">
        <f t="shared" si="387"/>
        <v>1.8925797821027301</v>
      </c>
    </row>
    <row r="9205" spans="1:11">
      <c r="A9205" s="4">
        <v>2026</v>
      </c>
      <c r="B9205">
        <v>33</v>
      </c>
      <c r="C9205" t="s">
        <v>54</v>
      </c>
      <c r="D9205" t="s">
        <v>11</v>
      </c>
      <c r="E9205" t="s">
        <v>65</v>
      </c>
      <c r="F9205" t="s">
        <v>69</v>
      </c>
      <c r="G9205" t="str">
        <f t="shared" si="385"/>
        <v>003QUICKSAND</v>
      </c>
      <c r="H9205" s="5">
        <v>1560</v>
      </c>
      <c r="I9205" s="6">
        <v>1162.4344827121247</v>
      </c>
      <c r="J9205" s="5">
        <v>8800</v>
      </c>
      <c r="K9205" s="6">
        <f t="shared" si="387"/>
        <v>1.3420111182182917</v>
      </c>
    </row>
    <row r="9206" spans="1:1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70</v>
      </c>
      <c r="G9206" t="str">
        <f t="shared" si="385"/>
        <v>004COTOPAXI</v>
      </c>
      <c r="H9206" s="5">
        <v>720</v>
      </c>
      <c r="I9206" s="6">
        <v>528.3915024419166</v>
      </c>
      <c r="J9206" s="5">
        <v>4000</v>
      </c>
      <c r="K9206" s="6">
        <f t="shared" si="387"/>
        <v>1.3626260011233733</v>
      </c>
    </row>
    <row r="9207" spans="1:1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67</v>
      </c>
      <c r="G9207" t="str">
        <f t="shared" si="385"/>
        <v>004DEEP PURPLE</v>
      </c>
      <c r="H9207" s="5">
        <v>9930</v>
      </c>
      <c r="I9207" s="6">
        <v>3910.1071427007282</v>
      </c>
      <c r="J9207" s="5">
        <v>29260</v>
      </c>
      <c r="K9207" s="6">
        <f t="shared" si="387"/>
        <v>2.5395723538003372</v>
      </c>
    </row>
    <row r="9208" spans="1:11">
      <c r="A9208" s="4">
        <v>2026</v>
      </c>
      <c r="B9208">
        <v>33</v>
      </c>
      <c r="C9208" t="s">
        <v>54</v>
      </c>
      <c r="D9208" t="s">
        <v>11</v>
      </c>
      <c r="E9208" t="s">
        <v>14</v>
      </c>
      <c r="F9208" t="s">
        <v>71</v>
      </c>
      <c r="G9208" t="str">
        <f t="shared" si="385"/>
        <v>004HOT EXPLORER</v>
      </c>
      <c r="H9208" s="5">
        <v>2300</v>
      </c>
      <c r="I9208" s="6">
        <v>1902.2142856381945</v>
      </c>
      <c r="J9208" s="5">
        <v>14400</v>
      </c>
      <c r="K9208" s="6">
        <f t="shared" si="387"/>
        <v>1.2091171942956722</v>
      </c>
    </row>
    <row r="9209" spans="1:11">
      <c r="A9209" s="4">
        <v>2026</v>
      </c>
      <c r="B9209">
        <v>33</v>
      </c>
      <c r="C9209" t="s">
        <v>54</v>
      </c>
      <c r="D9209" t="s">
        <v>11</v>
      </c>
      <c r="E9209" t="s">
        <v>14</v>
      </c>
      <c r="F9209" t="s">
        <v>72</v>
      </c>
      <c r="G9209" t="str">
        <f t="shared" si="385"/>
        <v>004HOT MERENGUE</v>
      </c>
      <c r="H9209" s="5">
        <v>2250</v>
      </c>
      <c r="I9209" s="6">
        <v>1162.4642856677858</v>
      </c>
      <c r="J9209" s="5">
        <v>8800</v>
      </c>
      <c r="K9209" s="6">
        <f t="shared" si="387"/>
        <v>1.9355433347420834</v>
      </c>
    </row>
    <row r="9210" spans="1:11">
      <c r="A9210" s="4">
        <v>2026</v>
      </c>
      <c r="B9210">
        <v>33</v>
      </c>
      <c r="C9210" t="s">
        <v>54</v>
      </c>
      <c r="D9210" t="s">
        <v>11</v>
      </c>
      <c r="E9210" t="s">
        <v>14</v>
      </c>
      <c r="F9210" t="s">
        <v>64</v>
      </c>
      <c r="G9210" t="str">
        <f t="shared" si="385"/>
        <v>004SWEETNESS</v>
      </c>
      <c r="H9210" s="5">
        <v>720</v>
      </c>
      <c r="I9210" s="6">
        <v>317.03571427303262</v>
      </c>
      <c r="J9210" s="5">
        <v>2400</v>
      </c>
      <c r="K9210" s="6">
        <f t="shared" si="387"/>
        <v>2.2710375127640434</v>
      </c>
    </row>
    <row r="9211" spans="1:1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57</v>
      </c>
      <c r="G9211" t="str">
        <f t="shared" si="385"/>
        <v>005EXPLORER</v>
      </c>
      <c r="H9211" s="5">
        <v>1075</v>
      </c>
      <c r="I9211" s="6">
        <v>951.10714281875391</v>
      </c>
      <c r="J9211" s="5">
        <v>7200</v>
      </c>
      <c r="K9211" s="6">
        <f t="shared" si="387"/>
        <v>1.1302617251028841</v>
      </c>
    </row>
    <row r="9212" spans="1:11">
      <c r="A9212" s="4">
        <v>2026</v>
      </c>
      <c r="B9212">
        <v>33</v>
      </c>
      <c r="C9212" t="s">
        <v>54</v>
      </c>
      <c r="D9212" t="s">
        <v>11</v>
      </c>
      <c r="E9212" t="s">
        <v>16</v>
      </c>
      <c r="F9212" t="s">
        <v>73</v>
      </c>
      <c r="G9212" t="str">
        <f t="shared" si="385"/>
        <v>005GOLDFINCH</v>
      </c>
      <c r="H9212" s="5">
        <v>750</v>
      </c>
      <c r="I9212" s="6">
        <v>898.26785710660101</v>
      </c>
      <c r="J9212" s="5">
        <v>6800</v>
      </c>
      <c r="K9212" s="6">
        <f t="shared" si="387"/>
        <v>0.8349402620459061</v>
      </c>
    </row>
    <row r="9213" spans="1:11">
      <c r="A9213" s="4">
        <v>2026</v>
      </c>
      <c r="B9213">
        <v>33</v>
      </c>
      <c r="C9213" t="s">
        <v>54</v>
      </c>
      <c r="D9213" t="s">
        <v>11</v>
      </c>
      <c r="E9213" t="s">
        <v>16</v>
      </c>
      <c r="F9213" t="s">
        <v>68</v>
      </c>
      <c r="G9213" t="str">
        <f t="shared" si="385"/>
        <v>005JOCKER</v>
      </c>
      <c r="H9213" s="5">
        <v>2050</v>
      </c>
      <c r="I9213" s="6">
        <v>1162.4642856673661</v>
      </c>
      <c r="J9213" s="5">
        <v>8800</v>
      </c>
      <c r="K9213" s="6">
        <f t="shared" si="387"/>
        <v>1.7634950383212016</v>
      </c>
    </row>
    <row r="9214" spans="1:11">
      <c r="A9214" s="4">
        <v>2026</v>
      </c>
      <c r="B9214">
        <v>33</v>
      </c>
      <c r="C9214" t="s">
        <v>54</v>
      </c>
      <c r="D9214" t="s">
        <v>11</v>
      </c>
      <c r="E9214" t="s">
        <v>16</v>
      </c>
      <c r="F9214" t="s">
        <v>74</v>
      </c>
      <c r="G9214" t="str">
        <f t="shared" si="385"/>
        <v>005VENDELA</v>
      </c>
      <c r="H9214" s="5">
        <v>2490</v>
      </c>
      <c r="I9214" s="6">
        <v>686.91071425798896</v>
      </c>
      <c r="J9214" s="5">
        <v>5200</v>
      </c>
      <c r="K9214" s="6">
        <f t="shared" si="387"/>
        <v>3.6249252607593037</v>
      </c>
    </row>
    <row r="9215" spans="1:11">
      <c r="A9215" s="4">
        <v>2026</v>
      </c>
      <c r="B9215">
        <v>33</v>
      </c>
      <c r="C9215" t="s">
        <v>54</v>
      </c>
      <c r="D9215" t="s">
        <v>11</v>
      </c>
      <c r="E9215" t="s">
        <v>75</v>
      </c>
      <c r="F9215" t="s">
        <v>76</v>
      </c>
      <c r="G9215" t="str">
        <f t="shared" si="385"/>
        <v>006ATOMIC</v>
      </c>
      <c r="H9215" s="5">
        <v>725</v>
      </c>
      <c r="I9215" s="6">
        <v>845.428571394752</v>
      </c>
      <c r="J9215" s="5">
        <v>6400</v>
      </c>
      <c r="K9215" s="6">
        <f t="shared" si="387"/>
        <v>0.85755322747600771</v>
      </c>
    </row>
    <row r="9216" spans="1:11">
      <c r="A9216" s="4">
        <v>2026</v>
      </c>
      <c r="B9216">
        <v>33</v>
      </c>
      <c r="C9216" t="s">
        <v>54</v>
      </c>
      <c r="D9216" t="s">
        <v>11</v>
      </c>
      <c r="E9216" t="s">
        <v>75</v>
      </c>
      <c r="F9216" t="s">
        <v>57</v>
      </c>
      <c r="G9216" t="str">
        <f t="shared" si="385"/>
        <v>006EXPLORER</v>
      </c>
      <c r="H9216" s="5">
        <v>5175</v>
      </c>
      <c r="I9216" s="6">
        <v>3910.1071427007355</v>
      </c>
      <c r="J9216" s="5">
        <v>29600</v>
      </c>
      <c r="K9216" s="6">
        <f t="shared" si="387"/>
        <v>1.3234931451074241</v>
      </c>
    </row>
    <row r="9217" spans="1:11">
      <c r="A9217" s="4">
        <v>2026</v>
      </c>
      <c r="B9217">
        <v>33</v>
      </c>
      <c r="C9217" t="s">
        <v>54</v>
      </c>
      <c r="D9217" t="s">
        <v>11</v>
      </c>
      <c r="E9217" t="s">
        <v>75</v>
      </c>
      <c r="F9217" t="s">
        <v>77</v>
      </c>
      <c r="G9217" t="str">
        <f t="shared" si="385"/>
        <v>006MONDIAL</v>
      </c>
      <c r="H9217" s="5">
        <v>5200</v>
      </c>
      <c r="I9217" s="6">
        <v>4015.7857141250793</v>
      </c>
      <c r="J9217" s="5">
        <v>30400</v>
      </c>
      <c r="K9217" s="6">
        <f t="shared" si="387"/>
        <v>1.2948898099093233</v>
      </c>
    </row>
    <row r="9218" spans="1:1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70</v>
      </c>
      <c r="G9218" t="str">
        <f t="shared" si="385"/>
        <v>007COTOPAXI</v>
      </c>
      <c r="H9218" s="5">
        <v>4800</v>
      </c>
      <c r="I9218" s="6">
        <v>2747.5751230427709</v>
      </c>
      <c r="J9218" s="5">
        <v>20800</v>
      </c>
      <c r="K9218" s="6">
        <f t="shared" si="387"/>
        <v>1.7469949992429303</v>
      </c>
    </row>
    <row r="9219" spans="1:1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78</v>
      </c>
      <c r="G9219" t="str">
        <f t="shared" si="385"/>
        <v>007REDIANT</v>
      </c>
      <c r="H9219" s="5">
        <v>1410</v>
      </c>
      <c r="I9219" s="6">
        <v>1056.75862064738</v>
      </c>
      <c r="J9219" s="5">
        <v>9600</v>
      </c>
      <c r="K9219" s="6">
        <f t="shared" si="387"/>
        <v>1.3342687463824248</v>
      </c>
    </row>
    <row r="9220" spans="1:11">
      <c r="A9220" s="4">
        <v>2026</v>
      </c>
      <c r="B9220">
        <v>33</v>
      </c>
      <c r="C9220" t="s">
        <v>54</v>
      </c>
      <c r="D9220" t="s">
        <v>11</v>
      </c>
      <c r="E9220" t="s">
        <v>20</v>
      </c>
      <c r="F9220" t="s">
        <v>63</v>
      </c>
      <c r="G9220" t="str">
        <f t="shared" si="385"/>
        <v>007SUMMER ROMANCE</v>
      </c>
      <c r="H9220" s="5">
        <v>0</v>
      </c>
      <c r="I9220" s="6">
        <v>317.02758619421581</v>
      </c>
      <c r="J9220" s="5">
        <v>2640</v>
      </c>
      <c r="K9220" s="6">
        <f t="shared" si="387"/>
        <v>0</v>
      </c>
    </row>
    <row r="9221" spans="1:11">
      <c r="A9221" s="4">
        <v>2026</v>
      </c>
      <c r="B9221">
        <v>33</v>
      </c>
      <c r="C9221" t="s">
        <v>54</v>
      </c>
      <c r="D9221" t="s">
        <v>11</v>
      </c>
      <c r="E9221" t="s">
        <v>20</v>
      </c>
      <c r="F9221" t="s">
        <v>114</v>
      </c>
      <c r="G9221" t="str">
        <f t="shared" si="385"/>
        <v>007TOPACIO</v>
      </c>
      <c r="H9221" s="5">
        <v>0</v>
      </c>
      <c r="I9221" s="6">
        <v>52.837931032368999</v>
      </c>
      <c r="J9221" s="5">
        <v>440</v>
      </c>
      <c r="K9221" s="6">
        <f t="shared" si="387"/>
        <v>0</v>
      </c>
    </row>
    <row r="9222" spans="1:11">
      <c r="A9222" s="4">
        <v>2026</v>
      </c>
      <c r="B9222">
        <v>33</v>
      </c>
      <c r="C9222" t="s">
        <v>54</v>
      </c>
      <c r="D9222" t="s">
        <v>11</v>
      </c>
      <c r="E9222" t="s">
        <v>20</v>
      </c>
      <c r="F9222" t="s">
        <v>74</v>
      </c>
      <c r="G9222" t="str">
        <f t="shared" si="385"/>
        <v>007VENDELA</v>
      </c>
      <c r="H9222" s="5">
        <v>13350</v>
      </c>
      <c r="I9222" s="6">
        <v>3592.9793102011122</v>
      </c>
      <c r="J9222" s="5">
        <v>27820</v>
      </c>
      <c r="K9222" s="6">
        <f t="shared" si="387"/>
        <v>3.7155794251575447</v>
      </c>
    </row>
    <row r="9223" spans="1:1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67</v>
      </c>
      <c r="G9223" t="str">
        <f t="shared" si="385"/>
        <v>008DEEP PURPLE</v>
      </c>
      <c r="H9223" s="5">
        <v>4620</v>
      </c>
      <c r="I9223" s="6">
        <v>1585.2222221588099</v>
      </c>
      <c r="J9223" s="5">
        <v>11490</v>
      </c>
      <c r="K9223" s="6">
        <f t="shared" si="387"/>
        <v>2.9144178875491198</v>
      </c>
    </row>
    <row r="9224" spans="1:11">
      <c r="A9224" s="4">
        <v>2026</v>
      </c>
      <c r="B9224">
        <v>33</v>
      </c>
      <c r="C9224" t="s">
        <v>54</v>
      </c>
      <c r="D9224" t="s">
        <v>11</v>
      </c>
      <c r="E9224" t="s">
        <v>79</v>
      </c>
      <c r="F9224" t="s">
        <v>81</v>
      </c>
      <c r="G9224" t="str">
        <f t="shared" si="385"/>
        <v>008FREEDOM</v>
      </c>
      <c r="H9224" s="5">
        <v>3720</v>
      </c>
      <c r="I9224" s="6">
        <v>2219.311111022334</v>
      </c>
      <c r="J9224" s="5">
        <v>16800</v>
      </c>
      <c r="K9224" s="6">
        <f t="shared" si="387"/>
        <v>1.6761958165866921</v>
      </c>
    </row>
    <row r="9225" spans="1:11">
      <c r="A9225" s="4">
        <v>2026</v>
      </c>
      <c r="B9225">
        <v>33</v>
      </c>
      <c r="C9225" t="s">
        <v>54</v>
      </c>
      <c r="D9225" t="s">
        <v>11</v>
      </c>
      <c r="E9225" t="s">
        <v>79</v>
      </c>
      <c r="F9225" t="s">
        <v>68</v>
      </c>
      <c r="G9225" t="str">
        <f t="shared" si="385"/>
        <v>008JOCKER</v>
      </c>
      <c r="H9225" s="5">
        <v>4200</v>
      </c>
      <c r="I9225" s="6">
        <v>2959.0814813631118</v>
      </c>
      <c r="J9225" s="5">
        <v>22400</v>
      </c>
      <c r="K9225" s="6">
        <f t="shared" si="387"/>
        <v>1.4193593608193764</v>
      </c>
    </row>
    <row r="9226" spans="1:11">
      <c r="A9226" s="4">
        <v>2026</v>
      </c>
      <c r="B9226">
        <v>33</v>
      </c>
      <c r="C9226" t="s">
        <v>54</v>
      </c>
      <c r="D9226" t="s">
        <v>11</v>
      </c>
      <c r="E9226" t="s">
        <v>82</v>
      </c>
      <c r="F9226" t="s">
        <v>83</v>
      </c>
      <c r="G9226" t="str">
        <f t="shared" si="385"/>
        <v>010COOLDOWN</v>
      </c>
      <c r="H9226" s="5">
        <v>1275</v>
      </c>
      <c r="I9226" s="6">
        <v>1912.3542857142861</v>
      </c>
      <c r="J9226" s="5">
        <v>16320</v>
      </c>
      <c r="K9226" s="6">
        <f t="shared" si="387"/>
        <v>0.66671746418774747</v>
      </c>
    </row>
    <row r="9227" spans="1:11">
      <c r="A9227" s="4">
        <v>2026</v>
      </c>
      <c r="B9227">
        <v>33</v>
      </c>
      <c r="C9227" t="s">
        <v>54</v>
      </c>
      <c r="D9227" t="s">
        <v>11</v>
      </c>
      <c r="E9227" t="s">
        <v>82</v>
      </c>
      <c r="F9227" t="s">
        <v>84</v>
      </c>
      <c r="G9227" t="str">
        <f t="shared" si="385"/>
        <v>010VIOLET HILL</v>
      </c>
      <c r="H9227" s="5">
        <v>2970</v>
      </c>
      <c r="I9227" s="6">
        <v>2812.2857142428579</v>
      </c>
      <c r="J9227" s="5">
        <v>20000</v>
      </c>
      <c r="K9227" s="6">
        <f t="shared" si="387"/>
        <v>1.0560804632894858</v>
      </c>
    </row>
    <row r="9228" spans="1:1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86</v>
      </c>
      <c r="G9228" t="str">
        <f t="shared" si="385"/>
        <v>011BRIGHTON</v>
      </c>
      <c r="H9228" s="5">
        <v>3600</v>
      </c>
      <c r="I9228" s="6">
        <v>1768.8376470588223</v>
      </c>
      <c r="J9228" s="5">
        <v>12800</v>
      </c>
      <c r="K9228" s="6">
        <f t="shared" si="387"/>
        <v>2.0352348368353574</v>
      </c>
    </row>
    <row r="9229" spans="1:1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87</v>
      </c>
      <c r="G9229" t="str">
        <f t="shared" si="385"/>
        <v>011CANDLELIGHT</v>
      </c>
      <c r="H9229" s="5">
        <v>3720</v>
      </c>
      <c r="I9229" s="6">
        <v>2263.7999998868127</v>
      </c>
      <c r="J9229" s="5">
        <v>17920</v>
      </c>
      <c r="K9229" s="6">
        <f t="shared" si="387"/>
        <v>1.643254704561355</v>
      </c>
    </row>
    <row r="9230" spans="1:1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88</v>
      </c>
      <c r="G9230" t="str">
        <f t="shared" si="385"/>
        <v>011CAYENNE</v>
      </c>
      <c r="H9230" s="5">
        <v>1680</v>
      </c>
      <c r="I9230" s="6">
        <v>994.97117647058747</v>
      </c>
      <c r="J9230" s="5">
        <v>7200</v>
      </c>
      <c r="K9230" s="6">
        <f t="shared" si="387"/>
        <v>1.6884911238930376</v>
      </c>
    </row>
    <row r="9231" spans="1:11">
      <c r="A9231" s="4">
        <v>2026</v>
      </c>
      <c r="B9231">
        <v>33</v>
      </c>
      <c r="C9231" t="s">
        <v>54</v>
      </c>
      <c r="D9231" t="s">
        <v>11</v>
      </c>
      <c r="E9231" t="s">
        <v>85</v>
      </c>
      <c r="F9231" t="s">
        <v>61</v>
      </c>
      <c r="G9231" t="str">
        <f t="shared" si="385"/>
        <v>011LUMIA</v>
      </c>
      <c r="H9231" s="5">
        <v>1740</v>
      </c>
      <c r="I9231" s="6">
        <v>994.97117647058747</v>
      </c>
      <c r="J9231" s="5">
        <v>7920</v>
      </c>
      <c r="K9231" s="6">
        <f t="shared" si="387"/>
        <v>1.7487943783177888</v>
      </c>
    </row>
    <row r="9232" spans="1:11">
      <c r="A9232" s="4">
        <v>2026</v>
      </c>
      <c r="B9232">
        <v>33</v>
      </c>
      <c r="C9232" t="s">
        <v>54</v>
      </c>
      <c r="D9232" t="s">
        <v>11</v>
      </c>
      <c r="E9232" t="s">
        <v>85</v>
      </c>
      <c r="F9232" t="s">
        <v>89</v>
      </c>
      <c r="G9232" t="str">
        <f t="shared" si="385"/>
        <v>011STARDUST</v>
      </c>
      <c r="H9232" s="5">
        <v>2525</v>
      </c>
      <c r="I9232" s="6">
        <v>2263.7999998868127</v>
      </c>
      <c r="J9232" s="5">
        <v>17920</v>
      </c>
      <c r="K9232" s="6">
        <f t="shared" si="387"/>
        <v>1.1153812174778015</v>
      </c>
    </row>
    <row r="9233" spans="1:11">
      <c r="A9233" s="4">
        <v>2026</v>
      </c>
      <c r="B9233">
        <v>33</v>
      </c>
      <c r="C9233" t="s">
        <v>54</v>
      </c>
      <c r="D9233" t="s">
        <v>11</v>
      </c>
      <c r="E9233" t="s">
        <v>90</v>
      </c>
      <c r="F9233" t="s">
        <v>67</v>
      </c>
      <c r="G9233" t="str">
        <f t="shared" si="385"/>
        <v>012DEEP PURPLE</v>
      </c>
      <c r="H9233" s="5">
        <v>14010</v>
      </c>
      <c r="I9233" s="6">
        <v>6727.0499997982479</v>
      </c>
      <c r="J9233" s="5">
        <v>49210</v>
      </c>
      <c r="K9233" s="6">
        <f t="shared" si="387"/>
        <v>2.0826365197850731</v>
      </c>
    </row>
    <row r="9234" spans="1:11">
      <c r="A9234" s="4">
        <v>2026</v>
      </c>
      <c r="B9234">
        <v>33</v>
      </c>
      <c r="C9234" t="s">
        <v>54</v>
      </c>
      <c r="D9234" t="s">
        <v>11</v>
      </c>
      <c r="E9234" t="s">
        <v>90</v>
      </c>
      <c r="F9234" t="s">
        <v>60</v>
      </c>
      <c r="G9234" t="str">
        <f t="shared" si="385"/>
        <v>012LIGHT HOUSE</v>
      </c>
      <c r="H9234" s="5">
        <v>1380</v>
      </c>
      <c r="I9234" s="6">
        <v>994.95</v>
      </c>
      <c r="J9234" s="5">
        <v>7200</v>
      </c>
      <c r="K9234" s="6">
        <f t="shared" si="387"/>
        <v>1.3870043720789988</v>
      </c>
    </row>
    <row r="9235" spans="1:1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92</v>
      </c>
      <c r="G9235" t="str">
        <f t="shared" si="385"/>
        <v>013COUNTRY BLUES</v>
      </c>
      <c r="H9235" s="5">
        <v>1250</v>
      </c>
      <c r="I9235" s="6">
        <v>831.6</v>
      </c>
      <c r="J9235" s="5">
        <v>6300</v>
      </c>
      <c r="K9235" s="6">
        <f t="shared" si="387"/>
        <v>1.5031265031265031</v>
      </c>
    </row>
    <row r="9236" spans="1:1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93</v>
      </c>
      <c r="G9236" t="str">
        <f t="shared" si="385"/>
        <v>013LORRAINE</v>
      </c>
      <c r="H9236" s="5">
        <v>3175</v>
      </c>
      <c r="I9236" s="6">
        <v>1267.2</v>
      </c>
      <c r="J9236" s="5">
        <v>9600</v>
      </c>
      <c r="K9236" s="6">
        <f t="shared" si="387"/>
        <v>2.5055239898989896</v>
      </c>
    </row>
    <row r="9237" spans="1:11">
      <c r="A9237" s="4">
        <v>2026</v>
      </c>
      <c r="B9237">
        <v>33</v>
      </c>
      <c r="C9237" t="s">
        <v>54</v>
      </c>
      <c r="D9237" t="s">
        <v>11</v>
      </c>
      <c r="E9237" t="s">
        <v>91</v>
      </c>
      <c r="F9237" t="s">
        <v>61</v>
      </c>
      <c r="G9237" t="str">
        <f t="shared" si="385"/>
        <v>013LUMIA</v>
      </c>
      <c r="H9237" s="5">
        <v>570</v>
      </c>
      <c r="I9237" s="6">
        <v>316.8</v>
      </c>
      <c r="J9237" s="5">
        <v>2400</v>
      </c>
      <c r="K9237" s="6">
        <f t="shared" si="387"/>
        <v>1.7992424242424241</v>
      </c>
    </row>
    <row r="9238" spans="1:11">
      <c r="A9238" s="4">
        <v>2026</v>
      </c>
      <c r="B9238">
        <v>33</v>
      </c>
      <c r="C9238" t="s">
        <v>54</v>
      </c>
      <c r="D9238" t="s">
        <v>11</v>
      </c>
      <c r="E9238" t="s">
        <v>91</v>
      </c>
      <c r="F9238" t="s">
        <v>74</v>
      </c>
      <c r="G9238" t="str">
        <f t="shared" ref="G9238:G9265" si="388">+E9238&amp;F9238</f>
        <v>013VENDELA</v>
      </c>
      <c r="H9238" s="5">
        <v>9480</v>
      </c>
      <c r="I9238" s="6">
        <v>3603.6</v>
      </c>
      <c r="J9238" s="5">
        <v>27296</v>
      </c>
      <c r="K9238" s="6">
        <f t="shared" si="387"/>
        <v>2.6307026307026309</v>
      </c>
    </row>
    <row r="9239" spans="1:11">
      <c r="A9239" s="4">
        <v>2026</v>
      </c>
      <c r="B9239">
        <v>33</v>
      </c>
      <c r="C9239" t="s">
        <v>54</v>
      </c>
      <c r="D9239" t="s">
        <v>11</v>
      </c>
      <c r="E9239" t="s">
        <v>23</v>
      </c>
      <c r="F9239" t="s">
        <v>89</v>
      </c>
      <c r="G9239" t="str">
        <f t="shared" si="388"/>
        <v>014STARDUST</v>
      </c>
      <c r="H9239" s="5">
        <v>4400</v>
      </c>
      <c r="I9239" s="6">
        <v>3682.8</v>
      </c>
      <c r="J9239" s="5">
        <v>27900</v>
      </c>
      <c r="K9239" s="6">
        <f t="shared" si="387"/>
        <v>1.1947431302270011</v>
      </c>
    </row>
    <row r="9240" spans="1:11">
      <c r="A9240" s="4">
        <v>2026</v>
      </c>
      <c r="B9240">
        <v>33</v>
      </c>
      <c r="C9240" t="s">
        <v>54</v>
      </c>
      <c r="D9240" t="s">
        <v>11</v>
      </c>
      <c r="E9240" t="s">
        <v>25</v>
      </c>
      <c r="F9240" t="s">
        <v>68</v>
      </c>
      <c r="G9240" t="str">
        <f t="shared" si="388"/>
        <v>015JOCKER</v>
      </c>
      <c r="H9240" s="5">
        <v>3250</v>
      </c>
      <c r="I9240" s="6">
        <v>2376</v>
      </c>
      <c r="J9240" s="5">
        <v>18000</v>
      </c>
      <c r="K9240" s="6">
        <f t="shared" si="387"/>
        <v>1.3678451178451179</v>
      </c>
    </row>
    <row r="9241" spans="1:11">
      <c r="A9241" s="4">
        <v>2026</v>
      </c>
      <c r="B9241">
        <v>33</v>
      </c>
      <c r="C9241" t="s">
        <v>54</v>
      </c>
      <c r="D9241" t="s">
        <v>11</v>
      </c>
      <c r="E9241" t="s">
        <v>27</v>
      </c>
      <c r="F9241" t="s">
        <v>94</v>
      </c>
      <c r="G9241" t="str">
        <f t="shared" si="388"/>
        <v>016DREAM IN PEACH</v>
      </c>
      <c r="H9241" s="5">
        <v>450</v>
      </c>
      <c r="I9241" s="6">
        <v>950.4</v>
      </c>
      <c r="J9241" s="5">
        <v>7200</v>
      </c>
      <c r="K9241" s="6">
        <f t="shared" si="387"/>
        <v>0.47348484848484851</v>
      </c>
    </row>
    <row r="9242" spans="1:11">
      <c r="A9242" s="4">
        <v>2026</v>
      </c>
      <c r="B9242">
        <v>33</v>
      </c>
      <c r="C9242" t="s">
        <v>54</v>
      </c>
      <c r="D9242" t="s">
        <v>11</v>
      </c>
      <c r="E9242" t="s">
        <v>27</v>
      </c>
      <c r="F9242" t="s">
        <v>95</v>
      </c>
      <c r="G9242" t="str">
        <f t="shared" si="388"/>
        <v>016NINA</v>
      </c>
      <c r="H9242" s="5">
        <v>3075</v>
      </c>
      <c r="I9242" s="6">
        <v>1346.4</v>
      </c>
      <c r="J9242" s="5">
        <v>10200</v>
      </c>
      <c r="K9242" s="6">
        <f t="shared" si="387"/>
        <v>2.2838680926916219</v>
      </c>
    </row>
    <row r="9243" spans="1:11">
      <c r="A9243" s="4">
        <v>2026</v>
      </c>
      <c r="B9243">
        <v>33</v>
      </c>
      <c r="C9243" t="s">
        <v>54</v>
      </c>
      <c r="D9243" t="s">
        <v>11</v>
      </c>
      <c r="E9243" t="s">
        <v>30</v>
      </c>
      <c r="F9243" t="s">
        <v>81</v>
      </c>
      <c r="G9243" t="str">
        <f t="shared" si="388"/>
        <v>017FREEDOM</v>
      </c>
      <c r="H9243" s="5">
        <v>5040</v>
      </c>
      <c r="I9243" s="6">
        <v>2851.2</v>
      </c>
      <c r="J9243" s="5">
        <v>21600</v>
      </c>
      <c r="K9243" s="6">
        <f t="shared" si="387"/>
        <v>1.7676767676767677</v>
      </c>
    </row>
    <row r="9244" spans="1:11">
      <c r="A9244" s="4">
        <v>2026</v>
      </c>
      <c r="B9244">
        <v>33</v>
      </c>
      <c r="C9244" t="s">
        <v>54</v>
      </c>
      <c r="D9244" t="s">
        <v>11</v>
      </c>
      <c r="E9244" t="s">
        <v>30</v>
      </c>
      <c r="F9244" t="s">
        <v>73</v>
      </c>
      <c r="G9244" t="str">
        <f t="shared" si="388"/>
        <v>017GOLDFINCH</v>
      </c>
      <c r="H9244" s="5">
        <v>2425</v>
      </c>
      <c r="I9244" s="6">
        <v>2138.4</v>
      </c>
      <c r="J9244" s="5">
        <v>16200</v>
      </c>
      <c r="K9244" s="6">
        <f t="shared" si="387"/>
        <v>1.134025439580995</v>
      </c>
    </row>
    <row r="9245" spans="1:11">
      <c r="A9245" s="4">
        <v>2026</v>
      </c>
      <c r="B9245">
        <v>33</v>
      </c>
      <c r="C9245" t="s">
        <v>54</v>
      </c>
      <c r="D9245" t="s">
        <v>11</v>
      </c>
      <c r="E9245" t="s">
        <v>32</v>
      </c>
      <c r="F9245" t="s">
        <v>86</v>
      </c>
      <c r="G9245" t="str">
        <f t="shared" si="388"/>
        <v>018BRIGHTON</v>
      </c>
      <c r="H9245" s="5">
        <v>1450</v>
      </c>
      <c r="I9245" s="6">
        <v>963.6</v>
      </c>
      <c r="J9245" s="5">
        <v>7570</v>
      </c>
      <c r="K9245" s="6">
        <f t="shared" si="387"/>
        <v>1.5047737650477375</v>
      </c>
    </row>
    <row r="9246" spans="1:11">
      <c r="A9246" s="4">
        <v>2026</v>
      </c>
      <c r="B9246">
        <v>33</v>
      </c>
      <c r="C9246" t="s">
        <v>54</v>
      </c>
      <c r="D9246" t="s">
        <v>11</v>
      </c>
      <c r="E9246" t="s">
        <v>35</v>
      </c>
      <c r="F9246" t="s">
        <v>86</v>
      </c>
      <c r="G9246" t="str">
        <f t="shared" si="388"/>
        <v>019BRIGHTON</v>
      </c>
      <c r="H9246" s="5">
        <v>4950</v>
      </c>
      <c r="I9246" s="6">
        <v>3168</v>
      </c>
      <c r="J9246" s="5">
        <v>24000</v>
      </c>
      <c r="K9246" s="6">
        <f t="shared" si="387"/>
        <v>1.5625</v>
      </c>
    </row>
    <row r="9247" spans="1:11">
      <c r="A9247" s="4">
        <v>2026</v>
      </c>
      <c r="B9247">
        <v>33</v>
      </c>
      <c r="C9247" t="s">
        <v>54</v>
      </c>
      <c r="D9247" t="s">
        <v>11</v>
      </c>
      <c r="E9247" t="s">
        <v>35</v>
      </c>
      <c r="F9247" t="s">
        <v>96</v>
      </c>
      <c r="G9247" t="str">
        <f t="shared" si="388"/>
        <v>019TABATHA</v>
      </c>
      <c r="H9247" s="5">
        <v>2490</v>
      </c>
      <c r="I9247" s="6">
        <v>1188</v>
      </c>
      <c r="J9247" s="5">
        <v>9000</v>
      </c>
      <c r="K9247" s="6">
        <f t="shared" si="387"/>
        <v>2.095959595959596</v>
      </c>
    </row>
    <row r="9248" spans="1:11">
      <c r="A9248" s="4">
        <v>2026</v>
      </c>
      <c r="B9248">
        <v>33</v>
      </c>
      <c r="C9248" t="s">
        <v>54</v>
      </c>
      <c r="D9248" t="s">
        <v>11</v>
      </c>
      <c r="E9248" t="s">
        <v>36</v>
      </c>
      <c r="F9248" t="s">
        <v>86</v>
      </c>
      <c r="G9248" t="str">
        <f t="shared" si="388"/>
        <v>020BRIGHTON</v>
      </c>
      <c r="H9248" s="5">
        <v>4625</v>
      </c>
      <c r="I9248" s="6">
        <v>2732.4</v>
      </c>
      <c r="J9248" s="5">
        <v>20700</v>
      </c>
      <c r="K9248" s="6">
        <f t="shared" si="387"/>
        <v>1.6926511491728882</v>
      </c>
    </row>
    <row r="9249" spans="1:11">
      <c r="A9249" s="4">
        <v>2026</v>
      </c>
      <c r="B9249">
        <v>33</v>
      </c>
      <c r="C9249" t="s">
        <v>54</v>
      </c>
      <c r="D9249" t="s">
        <v>11</v>
      </c>
      <c r="E9249" t="s">
        <v>36</v>
      </c>
      <c r="F9249" t="s">
        <v>97</v>
      </c>
      <c r="G9249" t="str">
        <f t="shared" si="388"/>
        <v>020TYCOON</v>
      </c>
      <c r="H9249" s="5">
        <v>930</v>
      </c>
      <c r="I9249" s="6">
        <v>673.2</v>
      </c>
      <c r="J9249" s="5">
        <v>5100</v>
      </c>
      <c r="K9249" s="6">
        <f t="shared" si="387"/>
        <v>1.3814616755793225</v>
      </c>
    </row>
    <row r="9250" spans="1:11">
      <c r="A9250" s="4">
        <v>2026</v>
      </c>
      <c r="B9250">
        <v>33</v>
      </c>
      <c r="C9250" t="s">
        <v>54</v>
      </c>
      <c r="D9250" t="s">
        <v>11</v>
      </c>
      <c r="E9250" t="s">
        <v>38</v>
      </c>
      <c r="F9250" t="s">
        <v>98</v>
      </c>
      <c r="G9250" t="str">
        <f t="shared" si="388"/>
        <v>021SHOW GIRL</v>
      </c>
      <c r="H9250" s="5">
        <v>1275</v>
      </c>
      <c r="I9250" s="6">
        <v>1100.4749999999999</v>
      </c>
      <c r="J9250" s="5">
        <v>8000</v>
      </c>
      <c r="K9250" s="6">
        <f t="shared" si="387"/>
        <v>1.1585906086008315</v>
      </c>
    </row>
    <row r="9251" spans="1:11">
      <c r="A9251" s="4">
        <v>2026</v>
      </c>
      <c r="B9251">
        <v>33</v>
      </c>
      <c r="C9251" t="s">
        <v>54</v>
      </c>
      <c r="D9251" t="s">
        <v>11</v>
      </c>
      <c r="E9251" t="s">
        <v>43</v>
      </c>
      <c r="F9251" t="s">
        <v>99</v>
      </c>
      <c r="G9251" t="str">
        <f t="shared" si="388"/>
        <v>022CORAL REEF</v>
      </c>
      <c r="H9251" s="5">
        <v>2025</v>
      </c>
      <c r="I9251" s="6">
        <v>1287</v>
      </c>
      <c r="J9251" s="5">
        <v>9400</v>
      </c>
      <c r="K9251" s="6">
        <f t="shared" si="387"/>
        <v>1.5734265734265733</v>
      </c>
    </row>
    <row r="9252" spans="1:11">
      <c r="A9252" s="4">
        <v>2026</v>
      </c>
      <c r="B9252">
        <v>33</v>
      </c>
      <c r="C9252" t="s">
        <v>54</v>
      </c>
      <c r="D9252" t="s">
        <v>11</v>
      </c>
      <c r="E9252" t="s">
        <v>100</v>
      </c>
      <c r="F9252" t="s">
        <v>70</v>
      </c>
      <c r="G9252" t="str">
        <f t="shared" si="388"/>
        <v>023COTOPAXI</v>
      </c>
      <c r="H9252" s="5">
        <v>5400</v>
      </c>
      <c r="I9252" s="6">
        <v>2641.14</v>
      </c>
      <c r="J9252" s="5">
        <v>19200</v>
      </c>
      <c r="K9252" s="6">
        <f t="shared" si="387"/>
        <v>2.0445716622367613</v>
      </c>
    </row>
    <row r="9253" spans="1:11">
      <c r="A9253" s="4">
        <v>2026</v>
      </c>
      <c r="B9253">
        <v>33</v>
      </c>
      <c r="C9253" t="s">
        <v>54</v>
      </c>
      <c r="D9253" t="s">
        <v>11</v>
      </c>
      <c r="E9253" t="s">
        <v>100</v>
      </c>
      <c r="F9253" t="s">
        <v>101</v>
      </c>
      <c r="G9253" t="str">
        <f t="shared" si="388"/>
        <v>023FRUTTETO</v>
      </c>
      <c r="H9253" s="5">
        <v>3330</v>
      </c>
      <c r="I9253" s="6">
        <v>2641.14</v>
      </c>
      <c r="J9253" s="5">
        <v>19200</v>
      </c>
      <c r="K9253" s="6">
        <f t="shared" si="387"/>
        <v>1.2608191917126697</v>
      </c>
    </row>
    <row r="9254" spans="1:1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70</v>
      </c>
      <c r="G9254" t="str">
        <f t="shared" si="388"/>
        <v>024COTOPAXI</v>
      </c>
      <c r="H9254" s="5">
        <v>2610</v>
      </c>
      <c r="I9254" s="6">
        <v>1430.6174906250001</v>
      </c>
      <c r="J9254" s="5">
        <v>10400</v>
      </c>
      <c r="K9254" s="6">
        <f t="shared" si="387"/>
        <v>1.8243870336436037</v>
      </c>
    </row>
    <row r="9255" spans="1:11">
      <c r="A9255" s="4">
        <v>2026</v>
      </c>
      <c r="B9255">
        <v>33</v>
      </c>
      <c r="C9255" t="s">
        <v>54</v>
      </c>
      <c r="D9255" t="s">
        <v>11</v>
      </c>
      <c r="E9255" t="s">
        <v>102</v>
      </c>
      <c r="F9255" t="s">
        <v>64</v>
      </c>
      <c r="G9255" t="str">
        <f t="shared" si="388"/>
        <v>024SWEETNESS</v>
      </c>
      <c r="H9255" s="5">
        <v>1470</v>
      </c>
      <c r="I9255" s="6">
        <v>1430.6175000000001</v>
      </c>
      <c r="J9255" s="5">
        <v>10400</v>
      </c>
      <c r="K9255" s="6">
        <f t="shared" si="387"/>
        <v>1.0275283225600134</v>
      </c>
    </row>
    <row r="9256" spans="1:11">
      <c r="A9256" s="4">
        <v>2026</v>
      </c>
      <c r="B9256">
        <v>33</v>
      </c>
      <c r="C9256" t="s">
        <v>54</v>
      </c>
      <c r="D9256" t="s">
        <v>11</v>
      </c>
      <c r="E9256" t="s">
        <v>102</v>
      </c>
      <c r="F9256" t="s">
        <v>97</v>
      </c>
      <c r="G9256" t="str">
        <f t="shared" si="388"/>
        <v>024TYCOON</v>
      </c>
      <c r="H9256" s="5">
        <v>2640</v>
      </c>
      <c r="I9256" s="6">
        <v>2861.2350000000001</v>
      </c>
      <c r="J9256" s="5">
        <v>20800</v>
      </c>
      <c r="K9256" s="6">
        <f t="shared" si="387"/>
        <v>0.92267849372735899</v>
      </c>
    </row>
    <row r="9257" spans="1:11">
      <c r="A9257" s="4">
        <v>2026</v>
      </c>
      <c r="B9257">
        <v>33</v>
      </c>
      <c r="C9257" t="s">
        <v>54</v>
      </c>
      <c r="D9257" t="s">
        <v>11</v>
      </c>
      <c r="E9257" t="s">
        <v>103</v>
      </c>
      <c r="F9257" t="s">
        <v>104</v>
      </c>
      <c r="G9257" t="str">
        <f t="shared" si="388"/>
        <v>025PINK MONDIAL</v>
      </c>
      <c r="H9257" s="5">
        <v>4600</v>
      </c>
      <c r="I9257" s="6">
        <v>3071.9505625000002</v>
      </c>
      <c r="J9257" s="5">
        <v>22400</v>
      </c>
      <c r="K9257" s="6">
        <f t="shared" si="387"/>
        <v>1.4974199312167478</v>
      </c>
    </row>
    <row r="9258" spans="1:11">
      <c r="A9258" s="4">
        <v>2026</v>
      </c>
      <c r="B9258">
        <v>33</v>
      </c>
      <c r="C9258" t="s">
        <v>54</v>
      </c>
      <c r="D9258" t="s">
        <v>11</v>
      </c>
      <c r="E9258" t="s">
        <v>45</v>
      </c>
      <c r="F9258" t="s">
        <v>105</v>
      </c>
      <c r="G9258" t="str">
        <f t="shared" si="388"/>
        <v>026LOLA</v>
      </c>
      <c r="H9258" s="5">
        <v>3000</v>
      </c>
      <c r="I9258" s="6">
        <v>1097.125</v>
      </c>
      <c r="J9258" s="5">
        <v>8000</v>
      </c>
      <c r="K9258" s="6">
        <f t="shared" si="387"/>
        <v>2.734419505525806</v>
      </c>
    </row>
    <row r="9259" spans="1:11">
      <c r="A9259" s="4">
        <v>2026</v>
      </c>
      <c r="B9259">
        <v>33</v>
      </c>
      <c r="C9259" t="s">
        <v>54</v>
      </c>
      <c r="D9259" t="s">
        <v>11</v>
      </c>
      <c r="E9259" t="s">
        <v>45</v>
      </c>
      <c r="F9259" t="s">
        <v>106</v>
      </c>
      <c r="G9259" t="str">
        <f t="shared" si="388"/>
        <v>026PALOMA</v>
      </c>
      <c r="H9259" s="5">
        <v>4225</v>
      </c>
      <c r="I9259" s="6">
        <v>2852.5250000000001</v>
      </c>
      <c r="J9259" s="5">
        <v>20800</v>
      </c>
      <c r="K9259" s="6">
        <f t="shared" si="387"/>
        <v>1.4811438988264782</v>
      </c>
    </row>
    <row r="9260" spans="1:11">
      <c r="A9260" s="4">
        <v>2026</v>
      </c>
      <c r="B9260">
        <v>33</v>
      </c>
      <c r="C9260" t="s">
        <v>54</v>
      </c>
      <c r="D9260" t="s">
        <v>11</v>
      </c>
      <c r="E9260" t="s">
        <v>107</v>
      </c>
      <c r="F9260" t="s">
        <v>108</v>
      </c>
      <c r="G9260" t="str">
        <f t="shared" si="388"/>
        <v>027SATISFACTION</v>
      </c>
      <c r="H9260" s="5">
        <v>3900</v>
      </c>
      <c r="I9260" s="6">
        <v>2633.1</v>
      </c>
      <c r="J9260" s="5">
        <v>19200</v>
      </c>
      <c r="K9260" s="6">
        <f t="shared" si="387"/>
        <v>1.4811438988264785</v>
      </c>
    </row>
    <row r="9261" spans="1:11">
      <c r="A9261" s="4">
        <v>2026</v>
      </c>
      <c r="B9261">
        <v>33</v>
      </c>
      <c r="C9261" t="s">
        <v>54</v>
      </c>
      <c r="D9261" t="s">
        <v>11</v>
      </c>
      <c r="E9261" t="s">
        <v>107</v>
      </c>
      <c r="F9261" t="s">
        <v>109</v>
      </c>
      <c r="G9261" t="str">
        <f t="shared" si="388"/>
        <v>027TIFFANY</v>
      </c>
      <c r="H9261" s="5">
        <v>3750</v>
      </c>
      <c r="I9261" s="6">
        <v>2633.1</v>
      </c>
      <c r="J9261" s="5">
        <v>19200</v>
      </c>
      <c r="K9261" s="6">
        <f t="shared" si="387"/>
        <v>1.4241768257946907</v>
      </c>
    </row>
    <row r="9262" spans="1:11">
      <c r="A9262" s="4">
        <v>2026</v>
      </c>
      <c r="B9262">
        <v>33</v>
      </c>
      <c r="C9262" t="s">
        <v>54</v>
      </c>
      <c r="D9262" t="s">
        <v>11</v>
      </c>
      <c r="E9262" t="s">
        <v>110</v>
      </c>
      <c r="F9262" t="s">
        <v>70</v>
      </c>
      <c r="G9262" t="str">
        <f t="shared" si="388"/>
        <v>028COTOPAXI</v>
      </c>
      <c r="H9262" s="5">
        <v>3840</v>
      </c>
      <c r="I9262" s="6">
        <v>2852.5250000000001</v>
      </c>
      <c r="J9262" s="5">
        <v>20800</v>
      </c>
      <c r="K9262" s="6">
        <f t="shared" ref="K9262:K9265" si="389">+H9262/I9262</f>
        <v>1.3461757565665506</v>
      </c>
    </row>
    <row r="9263" spans="1:11">
      <c r="A9263" s="4">
        <v>2026</v>
      </c>
      <c r="B9263">
        <v>33</v>
      </c>
      <c r="C9263" t="s">
        <v>54</v>
      </c>
      <c r="D9263" t="s">
        <v>11</v>
      </c>
      <c r="E9263" t="s">
        <v>110</v>
      </c>
      <c r="F9263" t="s">
        <v>67</v>
      </c>
      <c r="G9263" t="str">
        <f t="shared" si="388"/>
        <v>028DEEP PURPLE</v>
      </c>
      <c r="H9263" s="5">
        <v>7950</v>
      </c>
      <c r="I9263" s="6">
        <v>2852.5250000000001</v>
      </c>
      <c r="J9263" s="5">
        <v>20800</v>
      </c>
      <c r="K9263" s="6">
        <f t="shared" si="389"/>
        <v>2.7870044960166869</v>
      </c>
    </row>
    <row r="9264" spans="1:11">
      <c r="A9264" s="4">
        <v>2026</v>
      </c>
      <c r="B9264">
        <v>33</v>
      </c>
      <c r="C9264" t="s">
        <v>54</v>
      </c>
      <c r="D9264" t="s">
        <v>11</v>
      </c>
      <c r="E9264" t="s">
        <v>111</v>
      </c>
      <c r="F9264" t="s">
        <v>112</v>
      </c>
      <c r="G9264" t="str">
        <f t="shared" si="388"/>
        <v>029PINK FLOYD</v>
      </c>
      <c r="H9264" s="5">
        <v>4300</v>
      </c>
      <c r="I9264" s="6">
        <v>3071.95</v>
      </c>
      <c r="J9264" s="5">
        <v>22400</v>
      </c>
      <c r="K9264" s="6">
        <f t="shared" si="389"/>
        <v>1.3997623659239247</v>
      </c>
    </row>
    <row r="9265" spans="1:11">
      <c r="A9265" s="4">
        <v>2026</v>
      </c>
      <c r="B9265">
        <v>33</v>
      </c>
      <c r="C9265" t="s">
        <v>54</v>
      </c>
      <c r="D9265" t="s">
        <v>11</v>
      </c>
      <c r="E9265" t="s">
        <v>47</v>
      </c>
      <c r="F9265" t="s">
        <v>57</v>
      </c>
      <c r="G9265" t="str">
        <f t="shared" si="388"/>
        <v>030EXPLORER</v>
      </c>
      <c r="H9265" s="5">
        <v>1675</v>
      </c>
      <c r="I9265" s="6">
        <v>1645.6875</v>
      </c>
      <c r="J9265" s="5">
        <v>12000</v>
      </c>
      <c r="K9265" s="6">
        <f t="shared" si="389"/>
        <v>1.0178117048346056</v>
      </c>
    </row>
    <row r="9266" spans="1:11">
      <c r="A9266" s="4">
        <v>2026</v>
      </c>
      <c r="B9266">
        <v>33</v>
      </c>
      <c r="C9266" t="s">
        <v>10</v>
      </c>
      <c r="D9266" t="s">
        <v>11</v>
      </c>
      <c r="E9266" t="s">
        <v>38</v>
      </c>
      <c r="F9266" t="s">
        <v>115</v>
      </c>
      <c r="G9266" t="s">
        <v>117</v>
      </c>
      <c r="H9266" s="5">
        <v>150</v>
      </c>
      <c r="I9266" s="6">
        <v>880.37999999999965</v>
      </c>
      <c r="J9266" s="5">
        <v>6400</v>
      </c>
      <c r="K9266" s="6">
        <v>8.5190485926531764E-2</v>
      </c>
    </row>
    <row r="9267" spans="1:11">
      <c r="A9267" s="4">
        <v>2026</v>
      </c>
      <c r="B9267">
        <v>34</v>
      </c>
      <c r="C9267" t="s">
        <v>10</v>
      </c>
      <c r="D9267" t="s">
        <v>11</v>
      </c>
      <c r="E9267" t="s">
        <v>12</v>
      </c>
      <c r="F9267" t="s">
        <v>13</v>
      </c>
      <c r="G9267" t="str">
        <f t="shared" ref="G9267:G9329" si="390">+E9267&amp;F9267</f>
        <v>002SOMERSET</v>
      </c>
      <c r="H9267" s="5">
        <v>8500</v>
      </c>
      <c r="I9267" s="6">
        <v>4121.4642855494085</v>
      </c>
      <c r="J9267" s="5">
        <v>31200</v>
      </c>
      <c r="K9267" s="6">
        <f t="shared" ref="K9267:K9301" si="391">+H9267/I9267</f>
        <v>2.0623738096682098</v>
      </c>
    </row>
    <row r="9268" spans="1:11">
      <c r="A9268" s="4">
        <v>2026</v>
      </c>
      <c r="B9268">
        <v>34</v>
      </c>
      <c r="C9268" t="s">
        <v>10</v>
      </c>
      <c r="D9268" t="s">
        <v>11</v>
      </c>
      <c r="E9268" t="s">
        <v>14</v>
      </c>
      <c r="F9268" t="s">
        <v>15</v>
      </c>
      <c r="G9268" t="str">
        <f t="shared" si="390"/>
        <v>004BELLINA</v>
      </c>
      <c r="H9268" s="5">
        <v>1035</v>
      </c>
      <c r="I9268" s="6">
        <v>1056.7857142434418</v>
      </c>
      <c r="J9268" s="5">
        <v>8000</v>
      </c>
      <c r="K9268" s="6">
        <f t="shared" si="391"/>
        <v>0.97938492737949401</v>
      </c>
    </row>
    <row r="9269" spans="1:11">
      <c r="A9269" s="4">
        <v>2026</v>
      </c>
      <c r="B9269">
        <v>34</v>
      </c>
      <c r="C9269" t="s">
        <v>10</v>
      </c>
      <c r="D9269" t="s">
        <v>11</v>
      </c>
      <c r="E9269" t="s">
        <v>16</v>
      </c>
      <c r="F9269" t="s">
        <v>17</v>
      </c>
      <c r="G9269" t="str">
        <f t="shared" si="390"/>
        <v>005ELBA</v>
      </c>
      <c r="H9269" s="5">
        <v>9270</v>
      </c>
      <c r="I9269" s="6">
        <v>2641.9642856076484</v>
      </c>
      <c r="J9269" s="5">
        <v>19996</v>
      </c>
      <c r="K9269" s="6">
        <f t="shared" si="391"/>
        <v>3.5087529572217182</v>
      </c>
    </row>
    <row r="9270" spans="1:11">
      <c r="A9270" s="4">
        <v>2026</v>
      </c>
      <c r="B9270">
        <v>34</v>
      </c>
      <c r="C9270" t="s">
        <v>10</v>
      </c>
      <c r="D9270" t="s">
        <v>11</v>
      </c>
      <c r="E9270" t="s">
        <v>16</v>
      </c>
      <c r="F9270" t="s">
        <v>18</v>
      </c>
      <c r="G9270" t="str">
        <f t="shared" si="390"/>
        <v>005HOT BUBBLES</v>
      </c>
      <c r="H9270" s="5">
        <v>1800</v>
      </c>
      <c r="I9270" s="6">
        <v>528.39285712153003</v>
      </c>
      <c r="J9270" s="5">
        <v>4000</v>
      </c>
      <c r="K9270" s="6">
        <f t="shared" si="391"/>
        <v>3.406556269147297</v>
      </c>
    </row>
    <row r="9271" spans="1:11">
      <c r="A9271" s="4">
        <v>2026</v>
      </c>
      <c r="B9271">
        <v>34</v>
      </c>
      <c r="C9271" t="s">
        <v>10</v>
      </c>
      <c r="D9271" t="s">
        <v>11</v>
      </c>
      <c r="E9271" t="s">
        <v>16</v>
      </c>
      <c r="F9271" t="s">
        <v>19</v>
      </c>
      <c r="G9271" t="str">
        <f t="shared" si="390"/>
        <v>005SUSPIRO</v>
      </c>
      <c r="H9271" s="5">
        <v>3300</v>
      </c>
      <c r="I9271" s="6">
        <v>1902.2142856375078</v>
      </c>
      <c r="J9271" s="5">
        <v>14400</v>
      </c>
      <c r="K9271" s="6">
        <f t="shared" si="391"/>
        <v>1.7348203222509384</v>
      </c>
    </row>
    <row r="9272" spans="1:11">
      <c r="A9272" s="4">
        <v>2026</v>
      </c>
      <c r="B9272">
        <v>34</v>
      </c>
      <c r="C9272" t="s">
        <v>10</v>
      </c>
      <c r="D9272" t="s">
        <v>11</v>
      </c>
      <c r="E9272" t="s">
        <v>20</v>
      </c>
      <c r="F9272" t="s">
        <v>21</v>
      </c>
      <c r="G9272" t="str">
        <f t="shared" si="390"/>
        <v>007SNOW BUBBLES</v>
      </c>
      <c r="H9272" s="5">
        <v>1360</v>
      </c>
      <c r="I9272" s="6">
        <v>634.05652706821195</v>
      </c>
      <c r="J9272" s="5">
        <v>4800</v>
      </c>
      <c r="K9272" s="6">
        <f t="shared" si="391"/>
        <v>2.1449191703592239</v>
      </c>
    </row>
    <row r="9273" spans="1:11">
      <c r="A9273" s="4">
        <v>2026</v>
      </c>
      <c r="B9273">
        <v>34</v>
      </c>
      <c r="C9273" t="s">
        <v>10</v>
      </c>
      <c r="D9273" t="s">
        <v>11</v>
      </c>
      <c r="E9273" t="s">
        <v>22</v>
      </c>
      <c r="F9273" t="s">
        <v>18</v>
      </c>
      <c r="G9273" t="str">
        <f t="shared" si="390"/>
        <v>009HOT BUBBLES</v>
      </c>
      <c r="H9273" s="5">
        <v>13040</v>
      </c>
      <c r="I9273" s="6">
        <v>4487.9999999102474</v>
      </c>
      <c r="J9273" s="5">
        <v>31740</v>
      </c>
      <c r="K9273" s="6">
        <f t="shared" si="391"/>
        <v>2.905525846760423</v>
      </c>
    </row>
    <row r="9274" spans="1:11">
      <c r="A9274" s="4">
        <v>2026</v>
      </c>
      <c r="B9274">
        <v>34</v>
      </c>
      <c r="C9274" t="s">
        <v>10</v>
      </c>
      <c r="D9274" t="s">
        <v>11</v>
      </c>
      <c r="E9274" t="s">
        <v>23</v>
      </c>
      <c r="F9274" t="s">
        <v>24</v>
      </c>
      <c r="G9274" t="str">
        <f t="shared" si="390"/>
        <v>014FRUITY BUBBLES</v>
      </c>
      <c r="H9274" s="5">
        <v>2375</v>
      </c>
      <c r="I9274" s="6">
        <v>1702.8</v>
      </c>
      <c r="J9274" s="5">
        <v>12900</v>
      </c>
      <c r="K9274" s="6">
        <f t="shared" si="391"/>
        <v>1.3947615691801738</v>
      </c>
    </row>
    <row r="9275" spans="1:11">
      <c r="A9275" s="4">
        <v>2026</v>
      </c>
      <c r="B9275">
        <v>34</v>
      </c>
      <c r="C9275" t="s">
        <v>10</v>
      </c>
      <c r="D9275" t="s">
        <v>11</v>
      </c>
      <c r="E9275" t="s">
        <v>25</v>
      </c>
      <c r="F9275" t="s">
        <v>26</v>
      </c>
      <c r="G9275" t="str">
        <f t="shared" si="390"/>
        <v>015FELLINI</v>
      </c>
      <c r="H9275" s="5">
        <v>5380</v>
      </c>
      <c r="I9275" s="6">
        <v>3009.6</v>
      </c>
      <c r="J9275" s="5">
        <v>22800</v>
      </c>
      <c r="K9275" s="6">
        <f t="shared" si="391"/>
        <v>1.7876129718234981</v>
      </c>
    </row>
    <row r="9276" spans="1:11">
      <c r="A9276" s="4">
        <v>2026</v>
      </c>
      <c r="B9276">
        <v>34</v>
      </c>
      <c r="C9276" t="s">
        <v>10</v>
      </c>
      <c r="D9276" t="s">
        <v>11</v>
      </c>
      <c r="E9276" t="s">
        <v>27</v>
      </c>
      <c r="F9276" t="s">
        <v>28</v>
      </c>
      <c r="G9276" t="str">
        <f t="shared" si="390"/>
        <v>016GOOD PEACH</v>
      </c>
      <c r="H9276" s="5">
        <v>3300</v>
      </c>
      <c r="I9276" s="6">
        <v>1386</v>
      </c>
      <c r="J9276" s="5">
        <v>10500</v>
      </c>
      <c r="K9276" s="6">
        <f t="shared" si="391"/>
        <v>2.3809523809523809</v>
      </c>
    </row>
    <row r="9277" spans="1:11">
      <c r="A9277" s="4">
        <v>2026</v>
      </c>
      <c r="B9277">
        <v>34</v>
      </c>
      <c r="C9277" t="s">
        <v>10</v>
      </c>
      <c r="D9277" t="s">
        <v>11</v>
      </c>
      <c r="E9277" t="s">
        <v>27</v>
      </c>
      <c r="F9277" t="s">
        <v>29</v>
      </c>
      <c r="G9277" t="str">
        <f t="shared" si="390"/>
        <v>016GOOD YELLOW</v>
      </c>
      <c r="H9277" s="5">
        <v>2880</v>
      </c>
      <c r="I9277" s="6">
        <v>1386</v>
      </c>
      <c r="J9277" s="5">
        <v>10500</v>
      </c>
      <c r="K9277" s="6">
        <f t="shared" si="391"/>
        <v>2.0779220779220777</v>
      </c>
    </row>
    <row r="9278" spans="1:11">
      <c r="A9278" s="4">
        <v>2026</v>
      </c>
      <c r="B9278">
        <v>34</v>
      </c>
      <c r="C9278" t="s">
        <v>10</v>
      </c>
      <c r="D9278" t="s">
        <v>11</v>
      </c>
      <c r="E9278" t="s">
        <v>30</v>
      </c>
      <c r="F9278" t="s">
        <v>31</v>
      </c>
      <c r="G9278" t="str">
        <f t="shared" si="390"/>
        <v>017ORANGE STAR</v>
      </c>
      <c r="H9278" s="5">
        <v>1175</v>
      </c>
      <c r="I9278" s="6">
        <v>1029.5999999999999</v>
      </c>
      <c r="J9278" s="5">
        <v>7800</v>
      </c>
      <c r="K9278" s="6">
        <f t="shared" si="391"/>
        <v>1.1412198912198914</v>
      </c>
    </row>
    <row r="9279" spans="1:11">
      <c r="A9279" s="4">
        <v>2026</v>
      </c>
      <c r="B9279">
        <v>34</v>
      </c>
      <c r="C9279" t="s">
        <v>10</v>
      </c>
      <c r="D9279" t="s">
        <v>11</v>
      </c>
      <c r="E9279" t="s">
        <v>32</v>
      </c>
      <c r="F9279" t="s">
        <v>33</v>
      </c>
      <c r="G9279" t="str">
        <f t="shared" si="390"/>
        <v>018COSMO</v>
      </c>
      <c r="H9279" s="5">
        <v>3750</v>
      </c>
      <c r="I9279" s="6">
        <v>2653.2</v>
      </c>
      <c r="J9279" s="5">
        <v>20100</v>
      </c>
      <c r="K9279" s="6">
        <f t="shared" si="391"/>
        <v>1.4133876074174583</v>
      </c>
    </row>
    <row r="9280" spans="1:11">
      <c r="A9280" s="4">
        <v>2026</v>
      </c>
      <c r="B9280">
        <v>34</v>
      </c>
      <c r="C9280" t="s">
        <v>10</v>
      </c>
      <c r="D9280" t="s">
        <v>11</v>
      </c>
      <c r="E9280" t="s">
        <v>32</v>
      </c>
      <c r="F9280" t="s">
        <v>34</v>
      </c>
      <c r="G9280" t="str">
        <f t="shared" si="390"/>
        <v>018RUBICON</v>
      </c>
      <c r="H9280" s="5">
        <v>4530</v>
      </c>
      <c r="I9280" s="6">
        <v>1768.8</v>
      </c>
      <c r="J9280" s="5">
        <v>13400</v>
      </c>
      <c r="K9280" s="6">
        <f t="shared" si="391"/>
        <v>2.5610583446404345</v>
      </c>
    </row>
    <row r="9281" spans="1:11">
      <c r="A9281" s="4">
        <v>2026</v>
      </c>
      <c r="B9281">
        <v>34</v>
      </c>
      <c r="C9281" t="s">
        <v>10</v>
      </c>
      <c r="D9281" t="s">
        <v>11</v>
      </c>
      <c r="E9281" t="s">
        <v>35</v>
      </c>
      <c r="F9281" t="s">
        <v>15</v>
      </c>
      <c r="G9281" t="str">
        <f t="shared" si="390"/>
        <v>019BELLINA</v>
      </c>
      <c r="H9281" s="5">
        <v>1800</v>
      </c>
      <c r="I9281" s="6">
        <v>1029.5999999999999</v>
      </c>
      <c r="J9281" s="5">
        <v>7800</v>
      </c>
      <c r="K9281" s="6">
        <f t="shared" si="391"/>
        <v>1.7482517482517483</v>
      </c>
    </row>
    <row r="9282" spans="1:11">
      <c r="A9282" s="4">
        <v>2026</v>
      </c>
      <c r="B9282">
        <v>34</v>
      </c>
      <c r="C9282" t="s">
        <v>10</v>
      </c>
      <c r="D9282" t="s">
        <v>11</v>
      </c>
      <c r="E9282" t="s">
        <v>36</v>
      </c>
      <c r="F9282" t="s">
        <v>37</v>
      </c>
      <c r="G9282" t="str">
        <f t="shared" si="390"/>
        <v>020SUMMER DANCE</v>
      </c>
      <c r="H9282" s="5">
        <v>3025</v>
      </c>
      <c r="I9282" s="6">
        <v>1346.4</v>
      </c>
      <c r="J9282" s="5">
        <v>10200</v>
      </c>
      <c r="K9282" s="6">
        <f t="shared" si="391"/>
        <v>2.2467320261437909</v>
      </c>
    </row>
    <row r="9283" spans="1:11">
      <c r="A9283" s="4">
        <v>2026</v>
      </c>
      <c r="B9283">
        <v>34</v>
      </c>
      <c r="C9283" t="s">
        <v>10</v>
      </c>
      <c r="D9283" t="s">
        <v>11</v>
      </c>
      <c r="E9283" t="s">
        <v>38</v>
      </c>
      <c r="F9283" t="s">
        <v>39</v>
      </c>
      <c r="G9283" t="str">
        <f t="shared" si="390"/>
        <v>021ELEGANT ROSEVER</v>
      </c>
      <c r="H9283" s="5">
        <v>300</v>
      </c>
      <c r="I9283" s="6">
        <v>440.18999062500001</v>
      </c>
      <c r="J9283" s="5">
        <v>3200</v>
      </c>
      <c r="K9283" s="6">
        <f t="shared" si="391"/>
        <v>0.68152390192709189</v>
      </c>
    </row>
    <row r="9284" spans="1:11">
      <c r="A9284" s="4">
        <v>2026</v>
      </c>
      <c r="B9284">
        <v>34</v>
      </c>
      <c r="C9284" t="s">
        <v>10</v>
      </c>
      <c r="D9284" t="s">
        <v>11</v>
      </c>
      <c r="E9284" t="s">
        <v>38</v>
      </c>
      <c r="F9284" t="s">
        <v>40</v>
      </c>
      <c r="G9284" t="str">
        <f t="shared" si="390"/>
        <v>021FLAME CLUB</v>
      </c>
      <c r="H9284" s="5">
        <v>1600</v>
      </c>
      <c r="I9284" s="6">
        <v>880.38</v>
      </c>
      <c r="J9284" s="5">
        <v>6400</v>
      </c>
      <c r="K9284" s="6">
        <f t="shared" si="391"/>
        <v>1.8173970330993434</v>
      </c>
    </row>
    <row r="9285" spans="1:11">
      <c r="A9285" s="4">
        <v>2026</v>
      </c>
      <c r="B9285">
        <v>34</v>
      </c>
      <c r="C9285" t="s">
        <v>10</v>
      </c>
      <c r="D9285" t="s">
        <v>11</v>
      </c>
      <c r="E9285" t="s">
        <v>38</v>
      </c>
      <c r="F9285" t="s">
        <v>41</v>
      </c>
      <c r="G9285" t="str">
        <f t="shared" si="390"/>
        <v>021KELLY</v>
      </c>
      <c r="H9285" s="5">
        <v>550</v>
      </c>
      <c r="I9285" s="6">
        <v>330.14249999999998</v>
      </c>
      <c r="J9285" s="5">
        <v>2400</v>
      </c>
      <c r="K9285" s="6">
        <f t="shared" si="391"/>
        <v>1.6659472803410649</v>
      </c>
    </row>
    <row r="9286" spans="1:11">
      <c r="A9286" s="4">
        <v>2026</v>
      </c>
      <c r="B9286">
        <v>34</v>
      </c>
      <c r="C9286" t="s">
        <v>10</v>
      </c>
      <c r="D9286" t="s">
        <v>11</v>
      </c>
      <c r="E9286" t="s">
        <v>38</v>
      </c>
      <c r="F9286" t="s">
        <v>42</v>
      </c>
      <c r="G9286" t="str">
        <f t="shared" si="390"/>
        <v>021LEILA</v>
      </c>
      <c r="H9286" s="5">
        <v>2400</v>
      </c>
      <c r="I9286" s="6">
        <v>1650.7125000000001</v>
      </c>
      <c r="J9286" s="5">
        <v>12000</v>
      </c>
      <c r="K9286" s="6">
        <f t="shared" si="391"/>
        <v>1.4539176264794746</v>
      </c>
    </row>
    <row r="9287" spans="1:11">
      <c r="A9287" s="4">
        <v>2026</v>
      </c>
      <c r="B9287">
        <v>34</v>
      </c>
      <c r="C9287" t="s">
        <v>10</v>
      </c>
      <c r="D9287" t="s">
        <v>11</v>
      </c>
      <c r="E9287" t="s">
        <v>38</v>
      </c>
      <c r="F9287" t="s">
        <v>21</v>
      </c>
      <c r="G9287" t="str">
        <f t="shared" si="390"/>
        <v>021SNOW BUBBLES</v>
      </c>
      <c r="H9287" s="5">
        <v>2320</v>
      </c>
      <c r="I9287" s="6">
        <v>1287.0000000000018</v>
      </c>
      <c r="J9287" s="5">
        <v>9400</v>
      </c>
      <c r="K9287" s="6">
        <f t="shared" si="391"/>
        <v>1.8026418026418001</v>
      </c>
    </row>
    <row r="9288" spans="1:11">
      <c r="A9288" s="4">
        <v>2026</v>
      </c>
      <c r="B9288">
        <v>34</v>
      </c>
      <c r="C9288" t="s">
        <v>10</v>
      </c>
      <c r="D9288" t="s">
        <v>11</v>
      </c>
      <c r="E9288" t="s">
        <v>43</v>
      </c>
      <c r="F9288" t="s">
        <v>24</v>
      </c>
      <c r="G9288" t="str">
        <f t="shared" si="390"/>
        <v>022FRUITY BUBBLES</v>
      </c>
      <c r="H9288" s="5">
        <v>5100</v>
      </c>
      <c r="I9288" s="6">
        <v>2641.14</v>
      </c>
      <c r="J9288" s="5">
        <v>19200</v>
      </c>
      <c r="K9288" s="6">
        <f t="shared" si="391"/>
        <v>1.9309843476680526</v>
      </c>
    </row>
    <row r="9289" spans="1:11">
      <c r="A9289" s="4">
        <v>2026</v>
      </c>
      <c r="B9289">
        <v>34</v>
      </c>
      <c r="C9289" t="s">
        <v>10</v>
      </c>
      <c r="D9289" t="s">
        <v>11</v>
      </c>
      <c r="E9289" t="s">
        <v>43</v>
      </c>
      <c r="F9289" t="s">
        <v>28</v>
      </c>
      <c r="G9289" t="str">
        <f t="shared" si="390"/>
        <v>022GOOD PEACH</v>
      </c>
      <c r="H9289" s="5">
        <v>2160</v>
      </c>
      <c r="I9289" s="6">
        <v>880.38</v>
      </c>
      <c r="J9289" s="5">
        <v>6400</v>
      </c>
      <c r="K9289" s="6">
        <f t="shared" si="391"/>
        <v>2.4534859946841139</v>
      </c>
    </row>
    <row r="9290" spans="1:11">
      <c r="A9290" s="4">
        <v>2026</v>
      </c>
      <c r="B9290">
        <v>34</v>
      </c>
      <c r="C9290" t="s">
        <v>10</v>
      </c>
      <c r="D9290" t="s">
        <v>11</v>
      </c>
      <c r="E9290" t="s">
        <v>43</v>
      </c>
      <c r="F9290" t="s">
        <v>44</v>
      </c>
      <c r="G9290" t="str">
        <f t="shared" si="390"/>
        <v>022MIRABEL</v>
      </c>
      <c r="H9290" s="5">
        <v>1720</v>
      </c>
      <c r="I9290" s="6">
        <v>880.38</v>
      </c>
      <c r="J9290" s="5">
        <v>6400</v>
      </c>
      <c r="K9290" s="6">
        <f t="shared" si="391"/>
        <v>1.9537018105817943</v>
      </c>
    </row>
    <row r="9291" spans="1:11">
      <c r="A9291" s="4">
        <v>2026</v>
      </c>
      <c r="B9291">
        <v>34</v>
      </c>
      <c r="C9291" t="s">
        <v>10</v>
      </c>
      <c r="D9291" t="s">
        <v>11</v>
      </c>
      <c r="E9291" t="s">
        <v>45</v>
      </c>
      <c r="F9291" t="s">
        <v>46</v>
      </c>
      <c r="G9291" t="str">
        <f t="shared" si="390"/>
        <v>026PURPLE BUBBLY</v>
      </c>
      <c r="H9291" s="5">
        <v>480</v>
      </c>
      <c r="I9291" s="6">
        <v>1755.4</v>
      </c>
      <c r="J9291" s="5">
        <v>12800</v>
      </c>
      <c r="K9291" s="6">
        <f t="shared" si="391"/>
        <v>0.27344195055258058</v>
      </c>
    </row>
    <row r="9292" spans="1:11">
      <c r="A9292" s="4">
        <v>2026</v>
      </c>
      <c r="B9292">
        <v>34</v>
      </c>
      <c r="C9292" t="s">
        <v>10</v>
      </c>
      <c r="D9292" t="s">
        <v>11</v>
      </c>
      <c r="E9292" t="s">
        <v>47</v>
      </c>
      <c r="F9292" t="s">
        <v>44</v>
      </c>
      <c r="G9292" t="str">
        <f t="shared" si="390"/>
        <v>030MIRABEL</v>
      </c>
      <c r="H9292" s="5">
        <v>4300</v>
      </c>
      <c r="I9292" s="6">
        <v>2413.6749943750001</v>
      </c>
      <c r="J9292" s="5">
        <v>17600</v>
      </c>
      <c r="K9292" s="6">
        <f t="shared" si="391"/>
        <v>1.7815157426004022</v>
      </c>
    </row>
    <row r="9293" spans="1:11">
      <c r="A9293" s="4">
        <v>2026</v>
      </c>
      <c r="B9293">
        <v>34</v>
      </c>
      <c r="C9293" t="s">
        <v>10</v>
      </c>
      <c r="D9293" t="s">
        <v>11</v>
      </c>
      <c r="E9293" t="s">
        <v>47</v>
      </c>
      <c r="F9293" t="s">
        <v>13</v>
      </c>
      <c r="G9293" t="str">
        <f t="shared" si="390"/>
        <v>030SOMERSET</v>
      </c>
      <c r="H9293" s="5">
        <v>2600</v>
      </c>
      <c r="I9293" s="6">
        <v>1645.6875</v>
      </c>
      <c r="J9293" s="5">
        <v>12000</v>
      </c>
      <c r="K9293" s="6">
        <f t="shared" si="391"/>
        <v>1.5798868254149101</v>
      </c>
    </row>
    <row r="9294" spans="1:11">
      <c r="A9294" s="4">
        <v>2026</v>
      </c>
      <c r="B9294">
        <v>34</v>
      </c>
      <c r="C9294" t="s">
        <v>10</v>
      </c>
      <c r="D9294" t="s">
        <v>11</v>
      </c>
      <c r="E9294" t="s">
        <v>48</v>
      </c>
      <c r="F9294" t="s">
        <v>49</v>
      </c>
      <c r="G9294" t="str">
        <f t="shared" si="390"/>
        <v>03182989</v>
      </c>
      <c r="H9294" s="5">
        <v>1820</v>
      </c>
      <c r="I9294" s="6">
        <v>726.32013058333712</v>
      </c>
      <c r="J9294" s="5">
        <v>5712</v>
      </c>
      <c r="K9294" s="6">
        <f t="shared" si="391"/>
        <v>2.505782124664897</v>
      </c>
    </row>
    <row r="9295" spans="1:11">
      <c r="A9295" s="4">
        <v>2026</v>
      </c>
      <c r="B9295">
        <v>34</v>
      </c>
      <c r="C9295" t="s">
        <v>10</v>
      </c>
      <c r="D9295" t="s">
        <v>11</v>
      </c>
      <c r="E9295" t="s">
        <v>48</v>
      </c>
      <c r="F9295" t="s">
        <v>34</v>
      </c>
      <c r="G9295" t="str">
        <f t="shared" si="390"/>
        <v>031RUBICON</v>
      </c>
      <c r="H9295" s="5">
        <v>1890</v>
      </c>
      <c r="I9295" s="6">
        <v>924.39958333667107</v>
      </c>
      <c r="J9295" s="5">
        <v>6720</v>
      </c>
      <c r="K9295" s="6">
        <f t="shared" si="391"/>
        <v>2.04457037202239</v>
      </c>
    </row>
    <row r="9296" spans="1:11">
      <c r="A9296" s="4">
        <v>2026</v>
      </c>
      <c r="B9296">
        <v>34</v>
      </c>
      <c r="C9296" t="s">
        <v>10</v>
      </c>
      <c r="D9296" t="s">
        <v>11</v>
      </c>
      <c r="E9296" t="s">
        <v>48</v>
      </c>
      <c r="F9296" t="s">
        <v>13</v>
      </c>
      <c r="G9296" t="str">
        <f t="shared" si="390"/>
        <v>031SOMERSET</v>
      </c>
      <c r="H9296" s="5">
        <v>2480</v>
      </c>
      <c r="I9296" s="6">
        <v>1122.485208333339</v>
      </c>
      <c r="J9296" s="5">
        <v>8160</v>
      </c>
      <c r="K9296" s="6">
        <f t="shared" si="391"/>
        <v>2.2093832342630981</v>
      </c>
    </row>
    <row r="9297" spans="1:11">
      <c r="A9297" s="4">
        <v>2026</v>
      </c>
      <c r="B9297">
        <v>34</v>
      </c>
      <c r="C9297" t="s">
        <v>10</v>
      </c>
      <c r="D9297" t="s">
        <v>11</v>
      </c>
      <c r="E9297" t="s">
        <v>48</v>
      </c>
      <c r="F9297" t="s">
        <v>50</v>
      </c>
      <c r="G9297" t="str">
        <f t="shared" si="390"/>
        <v>031VELVET BLOSSOMS</v>
      </c>
      <c r="H9297" s="5">
        <v>280</v>
      </c>
      <c r="I9297" s="6">
        <v>396.17125000000198</v>
      </c>
      <c r="J9297" s="5">
        <v>2880</v>
      </c>
      <c r="K9297" s="6">
        <f t="shared" si="391"/>
        <v>0.7067650668744857</v>
      </c>
    </row>
    <row r="9298" spans="1:11">
      <c r="A9298" s="4">
        <v>2026</v>
      </c>
      <c r="B9298">
        <v>34</v>
      </c>
      <c r="C9298" t="s">
        <v>10</v>
      </c>
      <c r="D9298" t="s">
        <v>11</v>
      </c>
      <c r="E9298" t="s">
        <v>51</v>
      </c>
      <c r="F9298" t="s">
        <v>17</v>
      </c>
      <c r="G9298" t="str">
        <f t="shared" si="390"/>
        <v>032ELBA</v>
      </c>
      <c r="H9298" s="5">
        <v>3060</v>
      </c>
      <c r="I9298" s="6">
        <v>1535.9749999999999</v>
      </c>
      <c r="J9298" s="5">
        <v>11200</v>
      </c>
      <c r="K9298" s="6">
        <f t="shared" si="391"/>
        <v>1.9922199254545159</v>
      </c>
    </row>
    <row r="9299" spans="1:11">
      <c r="A9299" s="4">
        <v>2026</v>
      </c>
      <c r="B9299">
        <v>34</v>
      </c>
      <c r="C9299" t="s">
        <v>10</v>
      </c>
      <c r="D9299" t="s">
        <v>11</v>
      </c>
      <c r="E9299" t="s">
        <v>51</v>
      </c>
      <c r="F9299" t="s">
        <v>44</v>
      </c>
      <c r="G9299" t="str">
        <f t="shared" si="390"/>
        <v>032MIRABEL</v>
      </c>
      <c r="H9299" s="5">
        <v>1860</v>
      </c>
      <c r="I9299" s="6">
        <v>1535.9749999999999</v>
      </c>
      <c r="J9299" s="5">
        <v>11200</v>
      </c>
      <c r="K9299" s="6">
        <f t="shared" si="391"/>
        <v>1.2109572095899999</v>
      </c>
    </row>
    <row r="9300" spans="1:11">
      <c r="A9300" s="4">
        <v>2026</v>
      </c>
      <c r="B9300">
        <v>34</v>
      </c>
      <c r="C9300" t="s">
        <v>10</v>
      </c>
      <c r="D9300" t="s">
        <v>11</v>
      </c>
      <c r="E9300" t="s">
        <v>52</v>
      </c>
      <c r="F9300" t="s">
        <v>53</v>
      </c>
      <c r="G9300" t="str">
        <f t="shared" si="390"/>
        <v>033CREAMY FOLIES</v>
      </c>
      <c r="H9300" s="5">
        <v>1440</v>
      </c>
      <c r="I9300" s="6">
        <v>594.25687500000299</v>
      </c>
      <c r="J9300" s="5">
        <v>4320</v>
      </c>
      <c r="K9300" s="6">
        <f t="shared" si="391"/>
        <v>2.4231945149982366</v>
      </c>
    </row>
    <row r="9301" spans="1:11">
      <c r="A9301" s="4">
        <v>2026</v>
      </c>
      <c r="B9301">
        <v>34</v>
      </c>
      <c r="C9301" t="s">
        <v>10</v>
      </c>
      <c r="D9301" t="s">
        <v>11</v>
      </c>
      <c r="E9301" t="s">
        <v>52</v>
      </c>
      <c r="F9301" t="s">
        <v>18</v>
      </c>
      <c r="G9301" t="str">
        <f t="shared" si="390"/>
        <v>033HOT BUBBLES</v>
      </c>
      <c r="H9301" s="5">
        <v>2820</v>
      </c>
      <c r="I9301" s="6">
        <v>2575.1131250013459</v>
      </c>
      <c r="J9301" s="5">
        <v>18720</v>
      </c>
      <c r="K9301" s="6">
        <f t="shared" si="391"/>
        <v>1.0950975212005594</v>
      </c>
    </row>
    <row r="9302" spans="1:11">
      <c r="A9302" s="4">
        <v>2026</v>
      </c>
      <c r="B9302">
        <v>34</v>
      </c>
      <c r="C9302" t="s">
        <v>54</v>
      </c>
      <c r="D9302" t="s">
        <v>11</v>
      </c>
      <c r="E9302" t="s">
        <v>55</v>
      </c>
      <c r="F9302" t="s">
        <v>56</v>
      </c>
      <c r="G9302" t="str">
        <f t="shared" si="390"/>
        <v>001BELIEVE IN PINK</v>
      </c>
      <c r="H9302" s="5">
        <v>990</v>
      </c>
      <c r="I9302" s="6">
        <v>528.37931032368999</v>
      </c>
      <c r="J9302" s="5">
        <v>4000</v>
      </c>
      <c r="K9302" s="6">
        <f t="shared" ref="K9302:K9307" si="392">IFERROR(H9302/I9302,"")</f>
        <v>1.8736539842817028</v>
      </c>
    </row>
    <row r="9303" spans="1:11">
      <c r="A9303" s="4">
        <v>2026</v>
      </c>
      <c r="B9303">
        <v>34</v>
      </c>
      <c r="C9303" t="s">
        <v>54</v>
      </c>
      <c r="D9303" t="s">
        <v>11</v>
      </c>
      <c r="E9303" t="s">
        <v>55</v>
      </c>
      <c r="F9303" t="s">
        <v>57</v>
      </c>
      <c r="G9303" t="str">
        <f t="shared" si="390"/>
        <v>001EXPLORER</v>
      </c>
      <c r="H9303" s="5">
        <v>2700</v>
      </c>
      <c r="I9303" s="6">
        <v>2272.0310343918732</v>
      </c>
      <c r="J9303" s="5">
        <v>17200</v>
      </c>
      <c r="K9303" s="6">
        <f t="shared" si="392"/>
        <v>1.1883640492272924</v>
      </c>
    </row>
    <row r="9304" spans="1:11">
      <c r="A9304" s="4">
        <v>2026</v>
      </c>
      <c r="B9304">
        <v>34</v>
      </c>
      <c r="C9304" t="s">
        <v>54</v>
      </c>
      <c r="D9304" t="s">
        <v>11</v>
      </c>
      <c r="E9304" t="s">
        <v>55</v>
      </c>
      <c r="F9304" t="s">
        <v>58</v>
      </c>
      <c r="G9304" t="str">
        <f t="shared" si="390"/>
        <v>001GRACE KELLY</v>
      </c>
      <c r="H9304" s="5">
        <v>1590</v>
      </c>
      <c r="I9304" s="6">
        <v>1162.4344827121224</v>
      </c>
      <c r="J9304" s="5">
        <v>8800</v>
      </c>
      <c r="K9304" s="6">
        <f t="shared" si="392"/>
        <v>1.3678190243378769</v>
      </c>
    </row>
    <row r="9305" spans="1:11">
      <c r="A9305" s="4">
        <v>2026</v>
      </c>
      <c r="B9305">
        <v>34</v>
      </c>
      <c r="C9305" t="s">
        <v>54</v>
      </c>
      <c r="D9305" t="s">
        <v>11</v>
      </c>
      <c r="E9305" t="s">
        <v>55</v>
      </c>
      <c r="F9305" t="s">
        <v>59</v>
      </c>
      <c r="G9305" t="str">
        <f t="shared" si="390"/>
        <v>001IDOLE</v>
      </c>
      <c r="H9305" s="5">
        <v>1120</v>
      </c>
      <c r="I9305" s="6">
        <v>1162.4344827121181</v>
      </c>
      <c r="J9305" s="5">
        <v>8800</v>
      </c>
      <c r="K9305" s="6">
        <f t="shared" si="392"/>
        <v>0.96349516179775341</v>
      </c>
    </row>
    <row r="9306" spans="1:11">
      <c r="A9306" s="4">
        <v>2026</v>
      </c>
      <c r="B9306">
        <v>34</v>
      </c>
      <c r="C9306" t="s">
        <v>54</v>
      </c>
      <c r="D9306" t="s">
        <v>11</v>
      </c>
      <c r="E9306" t="s">
        <v>55</v>
      </c>
      <c r="F9306" t="s">
        <v>60</v>
      </c>
      <c r="G9306" t="str">
        <f t="shared" si="390"/>
        <v>001LIGHT HOUSE</v>
      </c>
      <c r="H9306" s="5">
        <v>1140</v>
      </c>
      <c r="I9306" s="6">
        <v>1056.7586206473827</v>
      </c>
      <c r="J9306" s="5">
        <v>8000</v>
      </c>
      <c r="K9306" s="6">
        <f t="shared" si="392"/>
        <v>1.0787704757985535</v>
      </c>
    </row>
    <row r="9307" spans="1:11">
      <c r="A9307" s="4">
        <v>2026</v>
      </c>
      <c r="B9307">
        <v>34</v>
      </c>
      <c r="C9307" t="s">
        <v>54</v>
      </c>
      <c r="D9307" t="s">
        <v>11</v>
      </c>
      <c r="E9307" t="s">
        <v>55</v>
      </c>
      <c r="F9307" t="s">
        <v>62</v>
      </c>
      <c r="G9307" t="str">
        <f t="shared" si="390"/>
        <v>001MOMENTUM</v>
      </c>
      <c r="H9307" s="5">
        <v>3275</v>
      </c>
      <c r="I9307" s="6">
        <v>1902.1655171652881</v>
      </c>
      <c r="J9307" s="5">
        <v>14400</v>
      </c>
      <c r="K9307" s="6">
        <f t="shared" si="392"/>
        <v>1.721721885107341</v>
      </c>
    </row>
    <row r="9308" spans="1:11">
      <c r="A9308" s="4">
        <v>2026</v>
      </c>
      <c r="B9308">
        <v>34</v>
      </c>
      <c r="C9308" t="s">
        <v>54</v>
      </c>
      <c r="D9308" t="s">
        <v>11</v>
      </c>
      <c r="E9308" t="s">
        <v>12</v>
      </c>
      <c r="F9308" t="s">
        <v>63</v>
      </c>
      <c r="G9308" t="str">
        <f t="shared" si="390"/>
        <v>002SUMMER ROMANCE</v>
      </c>
      <c r="H9308" s="5">
        <v>2100</v>
      </c>
      <c r="I9308" s="6">
        <v>951.10714281909407</v>
      </c>
      <c r="J9308" s="5">
        <v>7200</v>
      </c>
      <c r="K9308" s="6">
        <f t="shared" ref="K9308:K9368" si="393">+H9308/I9308</f>
        <v>2.2079531374094956</v>
      </c>
    </row>
    <row r="9309" spans="1:11">
      <c r="A9309" s="4">
        <v>2026</v>
      </c>
      <c r="B9309">
        <v>34</v>
      </c>
      <c r="C9309" t="s">
        <v>54</v>
      </c>
      <c r="D9309" t="s">
        <v>11</v>
      </c>
      <c r="E9309" t="s">
        <v>12</v>
      </c>
      <c r="F9309" t="s">
        <v>64</v>
      </c>
      <c r="G9309" t="str">
        <f t="shared" si="390"/>
        <v>002SWEETNESS</v>
      </c>
      <c r="H9309" s="5">
        <v>6090</v>
      </c>
      <c r="I9309" s="6">
        <v>3804.4285712763772</v>
      </c>
      <c r="J9309" s="5">
        <v>28800</v>
      </c>
      <c r="K9309" s="6">
        <f t="shared" si="393"/>
        <v>1.600766024621884</v>
      </c>
    </row>
    <row r="9310" spans="1:11">
      <c r="A9310" s="4">
        <v>2026</v>
      </c>
      <c r="B9310">
        <v>34</v>
      </c>
      <c r="C9310" t="s">
        <v>54</v>
      </c>
      <c r="D9310" t="s">
        <v>11</v>
      </c>
      <c r="E9310" t="s">
        <v>65</v>
      </c>
      <c r="F9310" t="s">
        <v>66</v>
      </c>
      <c r="G9310" t="str">
        <f t="shared" si="390"/>
        <v>003CABARET</v>
      </c>
      <c r="H9310" s="5">
        <v>4290</v>
      </c>
      <c r="I9310" s="6">
        <v>2641.8965516184649</v>
      </c>
      <c r="J9310" s="5">
        <v>20000</v>
      </c>
      <c r="K9310" s="6">
        <f t="shared" si="393"/>
        <v>1.6238334530441332</v>
      </c>
    </row>
    <row r="9311" spans="1:11">
      <c r="A9311" s="4">
        <v>2026</v>
      </c>
      <c r="B9311">
        <v>34</v>
      </c>
      <c r="C9311" t="s">
        <v>54</v>
      </c>
      <c r="D9311" t="s">
        <v>11</v>
      </c>
      <c r="E9311" t="s">
        <v>65</v>
      </c>
      <c r="F9311" t="s">
        <v>67</v>
      </c>
      <c r="G9311" t="str">
        <f t="shared" si="390"/>
        <v>003DEEP PURPLE</v>
      </c>
      <c r="H9311" s="5">
        <v>5850</v>
      </c>
      <c r="I9311" s="6">
        <v>3592.9793102010913</v>
      </c>
      <c r="J9311" s="5">
        <v>26044</v>
      </c>
      <c r="K9311" s="6">
        <f t="shared" si="393"/>
        <v>1.6281752537207312</v>
      </c>
    </row>
    <row r="9312" spans="1:11">
      <c r="A9312" s="4">
        <v>2026</v>
      </c>
      <c r="B9312">
        <v>34</v>
      </c>
      <c r="C9312" t="s">
        <v>54</v>
      </c>
      <c r="D9312" t="s">
        <v>11</v>
      </c>
      <c r="E9312" t="s">
        <v>65</v>
      </c>
      <c r="F9312" t="s">
        <v>57</v>
      </c>
      <c r="G9312" t="str">
        <f t="shared" si="390"/>
        <v>003EXPLORER</v>
      </c>
      <c r="H9312" s="5">
        <v>2100</v>
      </c>
      <c r="I9312" s="6">
        <v>1268.1103447768633</v>
      </c>
      <c r="J9312" s="5">
        <v>9600</v>
      </c>
      <c r="K9312" s="6">
        <f t="shared" si="393"/>
        <v>1.6560073093398793</v>
      </c>
    </row>
    <row r="9313" spans="1:11">
      <c r="A9313" s="4">
        <v>2026</v>
      </c>
      <c r="B9313">
        <v>34</v>
      </c>
      <c r="C9313" t="s">
        <v>54</v>
      </c>
      <c r="D9313" t="s">
        <v>11</v>
      </c>
      <c r="E9313" t="s">
        <v>65</v>
      </c>
      <c r="F9313" t="s">
        <v>68</v>
      </c>
      <c r="G9313" t="str">
        <f t="shared" si="390"/>
        <v>003JOCKER</v>
      </c>
      <c r="H9313" s="5">
        <v>900</v>
      </c>
      <c r="I9313" s="6">
        <v>528.37931032368999</v>
      </c>
      <c r="J9313" s="5">
        <v>4000</v>
      </c>
      <c r="K9313" s="6">
        <f t="shared" si="393"/>
        <v>1.7033218038924571</v>
      </c>
    </row>
    <row r="9314" spans="1:11">
      <c r="A9314" s="4">
        <v>2026</v>
      </c>
      <c r="B9314">
        <v>34</v>
      </c>
      <c r="C9314" t="s">
        <v>54</v>
      </c>
      <c r="D9314" t="s">
        <v>11</v>
      </c>
      <c r="E9314" t="s">
        <v>65</v>
      </c>
      <c r="F9314" t="s">
        <v>69</v>
      </c>
      <c r="G9314" t="str">
        <f t="shared" si="390"/>
        <v>003QUICKSAND</v>
      </c>
      <c r="H9314" s="5">
        <v>1680</v>
      </c>
      <c r="I9314" s="6">
        <v>1162.4344827121247</v>
      </c>
      <c r="J9314" s="5">
        <v>8800</v>
      </c>
      <c r="K9314" s="6">
        <f t="shared" si="393"/>
        <v>1.4452427426966219</v>
      </c>
    </row>
    <row r="9315" spans="1:11">
      <c r="A9315" s="4">
        <v>2026</v>
      </c>
      <c r="B9315">
        <v>34</v>
      </c>
      <c r="C9315" t="s">
        <v>54</v>
      </c>
      <c r="D9315" t="s">
        <v>11</v>
      </c>
      <c r="E9315" t="s">
        <v>14</v>
      </c>
      <c r="F9315" t="s">
        <v>70</v>
      </c>
      <c r="G9315" t="str">
        <f t="shared" si="390"/>
        <v>004COTOPAXI</v>
      </c>
      <c r="H9315" s="5">
        <v>720</v>
      </c>
      <c r="I9315" s="6">
        <v>528.3915024419166</v>
      </c>
      <c r="J9315" s="5">
        <v>4000</v>
      </c>
      <c r="K9315" s="6">
        <f t="shared" si="393"/>
        <v>1.3626260011233733</v>
      </c>
    </row>
    <row r="9316" spans="1:11">
      <c r="A9316" s="4">
        <v>2026</v>
      </c>
      <c r="B9316">
        <v>34</v>
      </c>
      <c r="C9316" t="s">
        <v>54</v>
      </c>
      <c r="D9316" t="s">
        <v>11</v>
      </c>
      <c r="E9316" t="s">
        <v>14</v>
      </c>
      <c r="F9316" t="s">
        <v>67</v>
      </c>
      <c r="G9316" t="str">
        <f t="shared" si="390"/>
        <v>004DEEP PURPLE</v>
      </c>
      <c r="H9316" s="5">
        <v>8070</v>
      </c>
      <c r="I9316" s="6">
        <v>3910.1071427007282</v>
      </c>
      <c r="J9316" s="5">
        <v>29260</v>
      </c>
      <c r="K9316" s="6">
        <f t="shared" si="393"/>
        <v>2.0638820639646247</v>
      </c>
    </row>
    <row r="9317" spans="1:11">
      <c r="A9317" s="4">
        <v>2026</v>
      </c>
      <c r="B9317">
        <v>34</v>
      </c>
      <c r="C9317" t="s">
        <v>54</v>
      </c>
      <c r="D9317" t="s">
        <v>11</v>
      </c>
      <c r="E9317" t="s">
        <v>14</v>
      </c>
      <c r="F9317" t="s">
        <v>71</v>
      </c>
      <c r="G9317" t="str">
        <f t="shared" si="390"/>
        <v>004HOT EXPLORER</v>
      </c>
      <c r="H9317" s="5">
        <v>2450</v>
      </c>
      <c r="I9317" s="6">
        <v>1902.2142856381945</v>
      </c>
      <c r="J9317" s="5">
        <v>14400</v>
      </c>
      <c r="K9317" s="6">
        <f t="shared" si="393"/>
        <v>1.2879726634888682</v>
      </c>
    </row>
    <row r="9318" spans="1:11">
      <c r="A9318" s="4">
        <v>2026</v>
      </c>
      <c r="B9318">
        <v>34</v>
      </c>
      <c r="C9318" t="s">
        <v>54</v>
      </c>
      <c r="D9318" t="s">
        <v>11</v>
      </c>
      <c r="E9318" t="s">
        <v>14</v>
      </c>
      <c r="F9318" t="s">
        <v>72</v>
      </c>
      <c r="G9318" t="str">
        <f t="shared" si="390"/>
        <v>004HOT MERENGUE</v>
      </c>
      <c r="H9318" s="5">
        <v>1860</v>
      </c>
      <c r="I9318" s="6">
        <v>1162.4642856677858</v>
      </c>
      <c r="J9318" s="5">
        <v>8800</v>
      </c>
      <c r="K9318" s="6">
        <f t="shared" si="393"/>
        <v>1.6000491567201223</v>
      </c>
    </row>
    <row r="9319" spans="1:11">
      <c r="A9319" s="4">
        <v>2026</v>
      </c>
      <c r="B9319">
        <v>34</v>
      </c>
      <c r="C9319" t="s">
        <v>54</v>
      </c>
      <c r="D9319" t="s">
        <v>11</v>
      </c>
      <c r="E9319" t="s">
        <v>14</v>
      </c>
      <c r="F9319" t="s">
        <v>64</v>
      </c>
      <c r="G9319" t="str">
        <f t="shared" si="390"/>
        <v>004SWEETNESS</v>
      </c>
      <c r="H9319" s="5">
        <v>690</v>
      </c>
      <c r="I9319" s="6">
        <v>317.03571427303262</v>
      </c>
      <c r="J9319" s="5">
        <v>2400</v>
      </c>
      <c r="K9319" s="6">
        <f t="shared" si="393"/>
        <v>2.1764109497322086</v>
      </c>
    </row>
    <row r="9320" spans="1:11">
      <c r="A9320" s="4">
        <v>2026</v>
      </c>
      <c r="B9320">
        <v>34</v>
      </c>
      <c r="C9320" t="s">
        <v>54</v>
      </c>
      <c r="D9320" t="s">
        <v>11</v>
      </c>
      <c r="E9320" t="s">
        <v>16</v>
      </c>
      <c r="F9320" t="s">
        <v>57</v>
      </c>
      <c r="G9320" t="str">
        <f t="shared" si="390"/>
        <v>005EXPLORER</v>
      </c>
      <c r="H9320" s="5">
        <v>1525</v>
      </c>
      <c r="I9320" s="6">
        <v>951.10714281875391</v>
      </c>
      <c r="J9320" s="5">
        <v>7200</v>
      </c>
      <c r="K9320" s="6">
        <f t="shared" si="393"/>
        <v>1.6033945402622309</v>
      </c>
    </row>
    <row r="9321" spans="1:11">
      <c r="A9321" s="4">
        <v>2026</v>
      </c>
      <c r="B9321">
        <v>34</v>
      </c>
      <c r="C9321" t="s">
        <v>54</v>
      </c>
      <c r="D9321" t="s">
        <v>11</v>
      </c>
      <c r="E9321" t="s">
        <v>16</v>
      </c>
      <c r="F9321" t="s">
        <v>73</v>
      </c>
      <c r="G9321" t="str">
        <f t="shared" si="390"/>
        <v>005GOLDFINCH</v>
      </c>
      <c r="H9321" s="5">
        <v>675</v>
      </c>
      <c r="I9321" s="6">
        <v>898.26785710660101</v>
      </c>
      <c r="J9321" s="5">
        <v>6800</v>
      </c>
      <c r="K9321" s="6">
        <f t="shared" si="393"/>
        <v>0.75144623584131554</v>
      </c>
    </row>
    <row r="9322" spans="1:11">
      <c r="A9322" s="4">
        <v>2026</v>
      </c>
      <c r="B9322">
        <v>34</v>
      </c>
      <c r="C9322" t="s">
        <v>54</v>
      </c>
      <c r="D9322" t="s">
        <v>11</v>
      </c>
      <c r="E9322" t="s">
        <v>16</v>
      </c>
      <c r="F9322" t="s">
        <v>68</v>
      </c>
      <c r="G9322" t="str">
        <f t="shared" si="390"/>
        <v>005JOCKER</v>
      </c>
      <c r="H9322" s="5">
        <v>1950</v>
      </c>
      <c r="I9322" s="6">
        <v>1162.4642856673661</v>
      </c>
      <c r="J9322" s="5">
        <v>8800</v>
      </c>
      <c r="K9322" s="6">
        <f t="shared" si="393"/>
        <v>1.6774708901104112</v>
      </c>
    </row>
    <row r="9323" spans="1:11">
      <c r="A9323" s="4">
        <v>2026</v>
      </c>
      <c r="B9323">
        <v>34</v>
      </c>
      <c r="C9323" t="s">
        <v>54</v>
      </c>
      <c r="D9323" t="s">
        <v>11</v>
      </c>
      <c r="E9323" t="s">
        <v>16</v>
      </c>
      <c r="F9323" t="s">
        <v>74</v>
      </c>
      <c r="G9323" t="str">
        <f t="shared" si="390"/>
        <v>005VENDELA</v>
      </c>
      <c r="H9323" s="5">
        <v>2460</v>
      </c>
      <c r="I9323" s="6">
        <v>686.91071425798896</v>
      </c>
      <c r="J9323" s="5">
        <v>5200</v>
      </c>
      <c r="K9323" s="6">
        <f t="shared" si="393"/>
        <v>3.5812514624369021</v>
      </c>
    </row>
    <row r="9324" spans="1:11">
      <c r="A9324" s="4">
        <v>2026</v>
      </c>
      <c r="B9324">
        <v>34</v>
      </c>
      <c r="C9324" t="s">
        <v>54</v>
      </c>
      <c r="D9324" t="s">
        <v>11</v>
      </c>
      <c r="E9324" t="s">
        <v>75</v>
      </c>
      <c r="F9324" t="s">
        <v>76</v>
      </c>
      <c r="G9324" t="str">
        <f t="shared" si="390"/>
        <v>006ATOMIC</v>
      </c>
      <c r="H9324" s="5">
        <v>650</v>
      </c>
      <c r="I9324" s="6">
        <v>845.428571394752</v>
      </c>
      <c r="J9324" s="5">
        <v>6400</v>
      </c>
      <c r="K9324" s="6">
        <f t="shared" si="393"/>
        <v>0.7688408246336621</v>
      </c>
    </row>
    <row r="9325" spans="1:11">
      <c r="A9325" s="4">
        <v>2026</v>
      </c>
      <c r="B9325">
        <v>34</v>
      </c>
      <c r="C9325" t="s">
        <v>54</v>
      </c>
      <c r="D9325" t="s">
        <v>11</v>
      </c>
      <c r="E9325" t="s">
        <v>75</v>
      </c>
      <c r="F9325" t="s">
        <v>57</v>
      </c>
      <c r="G9325" t="str">
        <f t="shared" si="390"/>
        <v>006EXPLORER</v>
      </c>
      <c r="H9325" s="5">
        <v>5400</v>
      </c>
      <c r="I9325" s="6">
        <v>3910.1071427007355</v>
      </c>
      <c r="J9325" s="5">
        <v>29600</v>
      </c>
      <c r="K9325" s="6">
        <f t="shared" si="393"/>
        <v>1.3810363253294859</v>
      </c>
    </row>
    <row r="9326" spans="1:11">
      <c r="A9326" s="4">
        <v>2026</v>
      </c>
      <c r="B9326">
        <v>34</v>
      </c>
      <c r="C9326" t="s">
        <v>54</v>
      </c>
      <c r="D9326" t="s">
        <v>11</v>
      </c>
      <c r="E9326" t="s">
        <v>75</v>
      </c>
      <c r="F9326" t="s">
        <v>77</v>
      </c>
      <c r="G9326" t="str">
        <f t="shared" si="390"/>
        <v>006MONDIAL</v>
      </c>
      <c r="H9326" s="5">
        <v>5800</v>
      </c>
      <c r="I9326" s="6">
        <v>4015.7857141250793</v>
      </c>
      <c r="J9326" s="5">
        <v>30400</v>
      </c>
      <c r="K9326" s="6">
        <f t="shared" si="393"/>
        <v>1.4443001725911684</v>
      </c>
    </row>
    <row r="9327" spans="1:11">
      <c r="A9327" s="4">
        <v>2026</v>
      </c>
      <c r="B9327">
        <v>34</v>
      </c>
      <c r="C9327" t="s">
        <v>54</v>
      </c>
      <c r="D9327" t="s">
        <v>11</v>
      </c>
      <c r="E9327" t="s">
        <v>20</v>
      </c>
      <c r="F9327" t="s">
        <v>70</v>
      </c>
      <c r="G9327" t="str">
        <f t="shared" si="390"/>
        <v>007COTOPAXI</v>
      </c>
      <c r="H9327" s="5">
        <v>7590</v>
      </c>
      <c r="I9327" s="6">
        <v>2747.5751230427709</v>
      </c>
      <c r="J9327" s="5">
        <v>20800</v>
      </c>
      <c r="K9327" s="6">
        <f t="shared" si="393"/>
        <v>2.7624358425528839</v>
      </c>
    </row>
    <row r="9328" spans="1:11">
      <c r="A9328" s="4">
        <v>2026</v>
      </c>
      <c r="B9328">
        <v>34</v>
      </c>
      <c r="C9328" t="s">
        <v>54</v>
      </c>
      <c r="D9328" t="s">
        <v>11</v>
      </c>
      <c r="E9328" t="s">
        <v>20</v>
      </c>
      <c r="F9328" t="s">
        <v>78</v>
      </c>
      <c r="G9328" t="str">
        <f t="shared" si="390"/>
        <v>007REDIANT</v>
      </c>
      <c r="H9328" s="5">
        <v>1350</v>
      </c>
      <c r="I9328" s="6">
        <v>1056.75862064738</v>
      </c>
      <c r="J9328" s="5">
        <v>9600</v>
      </c>
      <c r="K9328" s="6">
        <f t="shared" si="393"/>
        <v>1.2774913529193428</v>
      </c>
    </row>
    <row r="9329" spans="1:11">
      <c r="A9329" s="4">
        <v>2026</v>
      </c>
      <c r="B9329">
        <v>34</v>
      </c>
      <c r="C9329" t="s">
        <v>54</v>
      </c>
      <c r="D9329" t="s">
        <v>11</v>
      </c>
      <c r="E9329" t="s">
        <v>20</v>
      </c>
      <c r="F9329" t="s">
        <v>63</v>
      </c>
      <c r="G9329" t="str">
        <f t="shared" si="390"/>
        <v>007SUMMER ROMANCE</v>
      </c>
      <c r="H9329" s="5">
        <v>0</v>
      </c>
      <c r="I9329" s="6">
        <v>317.02758619421581</v>
      </c>
      <c r="J9329" s="5">
        <v>2640</v>
      </c>
      <c r="K9329" s="6">
        <f t="shared" si="393"/>
        <v>0</v>
      </c>
    </row>
    <row r="9330" spans="1:11">
      <c r="A9330" s="4">
        <v>2026</v>
      </c>
      <c r="B9330">
        <v>34</v>
      </c>
      <c r="C9330" t="s">
        <v>54</v>
      </c>
      <c r="D9330" t="s">
        <v>11</v>
      </c>
      <c r="E9330" t="s">
        <v>20</v>
      </c>
      <c r="F9330" t="s">
        <v>114</v>
      </c>
      <c r="G9330" t="str">
        <f t="shared" ref="G9330:G9375" si="394">+E9330&amp;F9330</f>
        <v>007TOPACIO</v>
      </c>
      <c r="H9330" s="5">
        <v>0</v>
      </c>
      <c r="I9330" s="6">
        <v>52.837931032368999</v>
      </c>
      <c r="J9330" s="5">
        <v>440</v>
      </c>
      <c r="K9330" s="6">
        <f t="shared" si="393"/>
        <v>0</v>
      </c>
    </row>
    <row r="9331" spans="1:11">
      <c r="A9331" s="4">
        <v>2026</v>
      </c>
      <c r="B9331">
        <v>34</v>
      </c>
      <c r="C9331" t="s">
        <v>54</v>
      </c>
      <c r="D9331" t="s">
        <v>11</v>
      </c>
      <c r="E9331" t="s">
        <v>20</v>
      </c>
      <c r="F9331" t="s">
        <v>74</v>
      </c>
      <c r="G9331" t="str">
        <f t="shared" si="394"/>
        <v>007VENDELA</v>
      </c>
      <c r="H9331" s="5">
        <v>12090</v>
      </c>
      <c r="I9331" s="6">
        <v>3592.9793102011122</v>
      </c>
      <c r="J9331" s="5">
        <v>27820</v>
      </c>
      <c r="K9331" s="6">
        <f t="shared" si="393"/>
        <v>3.3648955243561587</v>
      </c>
    </row>
    <row r="9332" spans="1:11">
      <c r="A9332" s="4">
        <v>2026</v>
      </c>
      <c r="B9332">
        <v>34</v>
      </c>
      <c r="C9332" t="s">
        <v>54</v>
      </c>
      <c r="D9332" t="s">
        <v>11</v>
      </c>
      <c r="E9332" t="s">
        <v>79</v>
      </c>
      <c r="F9332" t="s">
        <v>67</v>
      </c>
      <c r="G9332" t="str">
        <f t="shared" si="394"/>
        <v>008DEEP PURPLE</v>
      </c>
      <c r="H9332" s="5">
        <v>3330</v>
      </c>
      <c r="I9332" s="6">
        <v>1585.2222221588099</v>
      </c>
      <c r="J9332" s="5">
        <v>11490</v>
      </c>
      <c r="K9332" s="6">
        <f t="shared" si="393"/>
        <v>2.1006518540126771</v>
      </c>
    </row>
    <row r="9333" spans="1:11">
      <c r="A9333" s="4">
        <v>2026</v>
      </c>
      <c r="B9333">
        <v>34</v>
      </c>
      <c r="C9333" t="s">
        <v>54</v>
      </c>
      <c r="D9333" t="s">
        <v>11</v>
      </c>
      <c r="E9333" t="s">
        <v>79</v>
      </c>
      <c r="F9333" t="s">
        <v>81</v>
      </c>
      <c r="G9333" t="str">
        <f t="shared" si="394"/>
        <v>008FREEDOM</v>
      </c>
      <c r="H9333" s="5">
        <v>3900</v>
      </c>
      <c r="I9333" s="6">
        <v>2219.311111022334</v>
      </c>
      <c r="J9333" s="5">
        <v>16800</v>
      </c>
      <c r="K9333" s="6">
        <f t="shared" si="393"/>
        <v>1.7573020657763707</v>
      </c>
    </row>
    <row r="9334" spans="1:11">
      <c r="A9334" s="4">
        <v>2026</v>
      </c>
      <c r="B9334">
        <v>34</v>
      </c>
      <c r="C9334" t="s">
        <v>54</v>
      </c>
      <c r="D9334" t="s">
        <v>11</v>
      </c>
      <c r="E9334" t="s">
        <v>79</v>
      </c>
      <c r="F9334" t="s">
        <v>68</v>
      </c>
      <c r="G9334" t="str">
        <f t="shared" si="394"/>
        <v>008JOCKER</v>
      </c>
      <c r="H9334" s="5">
        <v>4375</v>
      </c>
      <c r="I9334" s="6">
        <v>2959.0814813631118</v>
      </c>
      <c r="J9334" s="5">
        <v>22400</v>
      </c>
      <c r="K9334" s="6">
        <f t="shared" si="393"/>
        <v>1.4784993341868504</v>
      </c>
    </row>
    <row r="9335" spans="1:11">
      <c r="A9335" s="4">
        <v>2026</v>
      </c>
      <c r="B9335">
        <v>34</v>
      </c>
      <c r="C9335" t="s">
        <v>54</v>
      </c>
      <c r="D9335" t="s">
        <v>11</v>
      </c>
      <c r="E9335" t="s">
        <v>82</v>
      </c>
      <c r="F9335" t="s">
        <v>83</v>
      </c>
      <c r="G9335" t="str">
        <f t="shared" si="394"/>
        <v>010COOLDOWN</v>
      </c>
      <c r="H9335" s="5">
        <v>2425</v>
      </c>
      <c r="I9335" s="6">
        <v>1912.3542857142861</v>
      </c>
      <c r="J9335" s="5">
        <v>16320</v>
      </c>
      <c r="K9335" s="6">
        <f t="shared" si="393"/>
        <v>1.2680704711021864</v>
      </c>
    </row>
    <row r="9336" spans="1:11">
      <c r="A9336" s="4">
        <v>2026</v>
      </c>
      <c r="B9336">
        <v>34</v>
      </c>
      <c r="C9336" t="s">
        <v>54</v>
      </c>
      <c r="D9336" t="s">
        <v>11</v>
      </c>
      <c r="E9336" t="s">
        <v>82</v>
      </c>
      <c r="F9336" t="s">
        <v>84</v>
      </c>
      <c r="G9336" t="str">
        <f t="shared" si="394"/>
        <v>010VIOLET HILL</v>
      </c>
      <c r="H9336" s="5">
        <v>3030</v>
      </c>
      <c r="I9336" s="6">
        <v>2812.2857142428579</v>
      </c>
      <c r="J9336" s="5">
        <v>20000</v>
      </c>
      <c r="K9336" s="6">
        <f t="shared" si="393"/>
        <v>1.0774154221438188</v>
      </c>
    </row>
    <row r="9337" spans="1:11">
      <c r="A9337" s="4">
        <v>2026</v>
      </c>
      <c r="B9337">
        <v>34</v>
      </c>
      <c r="C9337" t="s">
        <v>54</v>
      </c>
      <c r="D9337" t="s">
        <v>11</v>
      </c>
      <c r="E9337" t="s">
        <v>85</v>
      </c>
      <c r="F9337" t="s">
        <v>86</v>
      </c>
      <c r="G9337" t="str">
        <f t="shared" si="394"/>
        <v>011BRIGHTON</v>
      </c>
      <c r="H9337" s="5">
        <v>3250</v>
      </c>
      <c r="I9337" s="6">
        <v>1768.8376470588223</v>
      </c>
      <c r="J9337" s="5">
        <v>12800</v>
      </c>
      <c r="K9337" s="6">
        <f t="shared" si="393"/>
        <v>1.8373647832541422</v>
      </c>
    </row>
    <row r="9338" spans="1:11">
      <c r="A9338" s="4">
        <v>2026</v>
      </c>
      <c r="B9338">
        <v>34</v>
      </c>
      <c r="C9338" t="s">
        <v>54</v>
      </c>
      <c r="D9338" t="s">
        <v>11</v>
      </c>
      <c r="E9338" t="s">
        <v>85</v>
      </c>
      <c r="F9338" t="s">
        <v>87</v>
      </c>
      <c r="G9338" t="str">
        <f t="shared" si="394"/>
        <v>011CANDLELIGHT</v>
      </c>
      <c r="H9338" s="5">
        <v>4360</v>
      </c>
      <c r="I9338" s="6">
        <v>2263.7999998868127</v>
      </c>
      <c r="J9338" s="5">
        <v>17920</v>
      </c>
      <c r="K9338" s="6">
        <f t="shared" si="393"/>
        <v>1.9259651913676097</v>
      </c>
    </row>
    <row r="9339" spans="1:11">
      <c r="A9339" s="4">
        <v>2026</v>
      </c>
      <c r="B9339">
        <v>34</v>
      </c>
      <c r="C9339" t="s">
        <v>54</v>
      </c>
      <c r="D9339" t="s">
        <v>11</v>
      </c>
      <c r="E9339" t="s">
        <v>85</v>
      </c>
      <c r="F9339" t="s">
        <v>88</v>
      </c>
      <c r="G9339" t="str">
        <f t="shared" si="394"/>
        <v>011CAYENNE</v>
      </c>
      <c r="H9339" s="5">
        <v>1440</v>
      </c>
      <c r="I9339" s="6">
        <v>994.97117647058747</v>
      </c>
      <c r="J9339" s="5">
        <v>7200</v>
      </c>
      <c r="K9339" s="6">
        <f t="shared" si="393"/>
        <v>1.4472781061940321</v>
      </c>
    </row>
    <row r="9340" spans="1:11">
      <c r="A9340" s="4">
        <v>2026</v>
      </c>
      <c r="B9340">
        <v>34</v>
      </c>
      <c r="C9340" t="s">
        <v>54</v>
      </c>
      <c r="D9340" t="s">
        <v>11</v>
      </c>
      <c r="E9340" t="s">
        <v>85</v>
      </c>
      <c r="F9340" t="s">
        <v>89</v>
      </c>
      <c r="G9340" t="str">
        <f t="shared" si="394"/>
        <v>011STARDUST</v>
      </c>
      <c r="H9340" s="5">
        <v>2500</v>
      </c>
      <c r="I9340" s="6">
        <v>2263.7999998868127</v>
      </c>
      <c r="J9340" s="5">
        <v>17920</v>
      </c>
      <c r="K9340" s="6">
        <f t="shared" si="393"/>
        <v>1.1043378390869323</v>
      </c>
    </row>
    <row r="9341" spans="1:11">
      <c r="A9341" s="4">
        <v>2026</v>
      </c>
      <c r="B9341">
        <v>34</v>
      </c>
      <c r="C9341" t="s">
        <v>54</v>
      </c>
      <c r="D9341" t="s">
        <v>11</v>
      </c>
      <c r="E9341" t="s">
        <v>90</v>
      </c>
      <c r="F9341" t="s">
        <v>67</v>
      </c>
      <c r="G9341" t="str">
        <f t="shared" si="394"/>
        <v>012DEEP PURPLE</v>
      </c>
      <c r="H9341" s="5">
        <v>11820</v>
      </c>
      <c r="I9341" s="6">
        <v>6727.0499997982479</v>
      </c>
      <c r="J9341" s="5">
        <v>49210</v>
      </c>
      <c r="K9341" s="6">
        <f t="shared" si="393"/>
        <v>1.7570852008465072</v>
      </c>
    </row>
    <row r="9342" spans="1:11">
      <c r="A9342" s="4">
        <v>2026</v>
      </c>
      <c r="B9342">
        <v>34</v>
      </c>
      <c r="C9342" t="s">
        <v>54</v>
      </c>
      <c r="D9342" t="s">
        <v>11</v>
      </c>
      <c r="E9342" t="s">
        <v>90</v>
      </c>
      <c r="F9342" t="s">
        <v>60</v>
      </c>
      <c r="G9342" t="str">
        <f t="shared" si="394"/>
        <v>012LIGHT HOUSE</v>
      </c>
      <c r="H9342" s="5">
        <v>1140</v>
      </c>
      <c r="I9342" s="6">
        <v>994.95</v>
      </c>
      <c r="J9342" s="5">
        <v>7200</v>
      </c>
      <c r="K9342" s="6">
        <f t="shared" si="393"/>
        <v>1.145786220413086</v>
      </c>
    </row>
    <row r="9343" spans="1:11">
      <c r="A9343" s="4">
        <v>2026</v>
      </c>
      <c r="B9343">
        <v>34</v>
      </c>
      <c r="C9343" t="s">
        <v>54</v>
      </c>
      <c r="D9343" t="s">
        <v>11</v>
      </c>
      <c r="E9343" t="s">
        <v>91</v>
      </c>
      <c r="F9343" t="s">
        <v>92</v>
      </c>
      <c r="G9343" t="str">
        <f t="shared" si="394"/>
        <v>013COUNTRY BLUES</v>
      </c>
      <c r="H9343" s="5">
        <v>1475</v>
      </c>
      <c r="I9343" s="6">
        <v>831.6</v>
      </c>
      <c r="J9343" s="5">
        <v>6300</v>
      </c>
      <c r="K9343" s="6">
        <f t="shared" si="393"/>
        <v>1.7736892736892735</v>
      </c>
    </row>
    <row r="9344" spans="1:11">
      <c r="A9344" s="4">
        <v>2026</v>
      </c>
      <c r="B9344">
        <v>34</v>
      </c>
      <c r="C9344" t="s">
        <v>54</v>
      </c>
      <c r="D9344" t="s">
        <v>11</v>
      </c>
      <c r="E9344" t="s">
        <v>91</v>
      </c>
      <c r="F9344" t="s">
        <v>93</v>
      </c>
      <c r="G9344" t="str">
        <f t="shared" si="394"/>
        <v>013LORRAINE</v>
      </c>
      <c r="H9344" s="5">
        <v>2200</v>
      </c>
      <c r="I9344" s="6">
        <v>1267.2</v>
      </c>
      <c r="J9344" s="5">
        <v>9600</v>
      </c>
      <c r="K9344" s="6">
        <f t="shared" si="393"/>
        <v>1.7361111111111109</v>
      </c>
    </row>
    <row r="9345" spans="1:11">
      <c r="A9345" s="4">
        <v>2026</v>
      </c>
      <c r="B9345">
        <v>34</v>
      </c>
      <c r="C9345" t="s">
        <v>54</v>
      </c>
      <c r="D9345" t="s">
        <v>11</v>
      </c>
      <c r="E9345" t="s">
        <v>91</v>
      </c>
      <c r="F9345" t="s">
        <v>74</v>
      </c>
      <c r="G9345" t="str">
        <f t="shared" si="394"/>
        <v>013VENDELA</v>
      </c>
      <c r="H9345" s="5">
        <v>7320</v>
      </c>
      <c r="I9345" s="6">
        <v>3603.6</v>
      </c>
      <c r="J9345" s="5">
        <v>27296</v>
      </c>
      <c r="K9345" s="6">
        <f t="shared" si="393"/>
        <v>2.0313020313020314</v>
      </c>
    </row>
    <row r="9346" spans="1:11">
      <c r="A9346" s="4">
        <v>2026</v>
      </c>
      <c r="B9346">
        <v>34</v>
      </c>
      <c r="C9346" t="s">
        <v>54</v>
      </c>
      <c r="D9346" t="s">
        <v>11</v>
      </c>
      <c r="E9346" t="s">
        <v>23</v>
      </c>
      <c r="F9346" t="s">
        <v>89</v>
      </c>
      <c r="G9346" t="str">
        <f t="shared" si="394"/>
        <v>014STARDUST</v>
      </c>
      <c r="H9346" s="5">
        <v>3500</v>
      </c>
      <c r="I9346" s="6">
        <v>3682.8</v>
      </c>
      <c r="J9346" s="5">
        <v>27900</v>
      </c>
      <c r="K9346" s="6">
        <f t="shared" si="393"/>
        <v>0.95036385358966002</v>
      </c>
    </row>
    <row r="9347" spans="1:11">
      <c r="A9347" s="4">
        <v>2026</v>
      </c>
      <c r="B9347">
        <v>34</v>
      </c>
      <c r="C9347" t="s">
        <v>54</v>
      </c>
      <c r="D9347" t="s">
        <v>11</v>
      </c>
      <c r="E9347" t="s">
        <v>25</v>
      </c>
      <c r="F9347" t="s">
        <v>68</v>
      </c>
      <c r="G9347" t="str">
        <f t="shared" si="394"/>
        <v>015JOCKER</v>
      </c>
      <c r="H9347" s="5">
        <v>2450</v>
      </c>
      <c r="I9347" s="6">
        <v>2376</v>
      </c>
      <c r="J9347" s="5">
        <v>18000</v>
      </c>
      <c r="K9347" s="6">
        <f t="shared" si="393"/>
        <v>1.0311447811447811</v>
      </c>
    </row>
    <row r="9348" spans="1:11">
      <c r="A9348" s="4">
        <v>2026</v>
      </c>
      <c r="B9348">
        <v>34</v>
      </c>
      <c r="C9348" t="s">
        <v>54</v>
      </c>
      <c r="D9348" t="s">
        <v>11</v>
      </c>
      <c r="E9348" t="s">
        <v>27</v>
      </c>
      <c r="F9348" t="s">
        <v>94</v>
      </c>
      <c r="G9348" t="str">
        <f t="shared" si="394"/>
        <v>016DREAM IN PEACH</v>
      </c>
      <c r="H9348" s="5">
        <v>420</v>
      </c>
      <c r="I9348" s="6">
        <v>950.4</v>
      </c>
      <c r="J9348" s="5">
        <v>7200</v>
      </c>
      <c r="K9348" s="6">
        <f t="shared" si="393"/>
        <v>0.44191919191919193</v>
      </c>
    </row>
    <row r="9349" spans="1:11">
      <c r="A9349" s="4">
        <v>2026</v>
      </c>
      <c r="B9349">
        <v>34</v>
      </c>
      <c r="C9349" t="s">
        <v>54</v>
      </c>
      <c r="D9349" t="s">
        <v>11</v>
      </c>
      <c r="E9349" t="s">
        <v>27</v>
      </c>
      <c r="F9349" t="s">
        <v>95</v>
      </c>
      <c r="G9349" t="str">
        <f t="shared" si="394"/>
        <v>016NINA</v>
      </c>
      <c r="H9349" s="5">
        <v>2825</v>
      </c>
      <c r="I9349" s="6">
        <v>1346.4</v>
      </c>
      <c r="J9349" s="5">
        <v>10200</v>
      </c>
      <c r="K9349" s="6">
        <f t="shared" si="393"/>
        <v>2.0981877599524656</v>
      </c>
    </row>
    <row r="9350" spans="1:11">
      <c r="A9350" s="4">
        <v>2026</v>
      </c>
      <c r="B9350">
        <v>34</v>
      </c>
      <c r="C9350" t="s">
        <v>54</v>
      </c>
      <c r="D9350" t="s">
        <v>11</v>
      </c>
      <c r="E9350" t="s">
        <v>30</v>
      </c>
      <c r="F9350" t="s">
        <v>81</v>
      </c>
      <c r="G9350" t="str">
        <f t="shared" si="394"/>
        <v>017FREEDOM</v>
      </c>
      <c r="H9350" s="5">
        <v>4380</v>
      </c>
      <c r="I9350" s="6">
        <v>2851.2</v>
      </c>
      <c r="J9350" s="5">
        <v>21600</v>
      </c>
      <c r="K9350" s="6">
        <f t="shared" si="393"/>
        <v>1.5361952861952863</v>
      </c>
    </row>
    <row r="9351" spans="1:11">
      <c r="A9351" s="4">
        <v>2026</v>
      </c>
      <c r="B9351">
        <v>34</v>
      </c>
      <c r="C9351" t="s">
        <v>54</v>
      </c>
      <c r="D9351" t="s">
        <v>11</v>
      </c>
      <c r="E9351" t="s">
        <v>30</v>
      </c>
      <c r="F9351" t="s">
        <v>73</v>
      </c>
      <c r="G9351" t="str">
        <f t="shared" si="394"/>
        <v>017GOLDFINCH</v>
      </c>
      <c r="H9351" s="5">
        <v>2025</v>
      </c>
      <c r="I9351" s="6">
        <v>2138.4</v>
      </c>
      <c r="J9351" s="5">
        <v>16200</v>
      </c>
      <c r="K9351" s="6">
        <f t="shared" si="393"/>
        <v>0.94696969696969691</v>
      </c>
    </row>
    <row r="9352" spans="1:11">
      <c r="A9352" s="4">
        <v>2026</v>
      </c>
      <c r="B9352">
        <v>34</v>
      </c>
      <c r="C9352" t="s">
        <v>54</v>
      </c>
      <c r="D9352" t="s">
        <v>11</v>
      </c>
      <c r="E9352" t="s">
        <v>32</v>
      </c>
      <c r="F9352" t="s">
        <v>86</v>
      </c>
      <c r="G9352" t="str">
        <f t="shared" si="394"/>
        <v>018BRIGHTON</v>
      </c>
      <c r="H9352" s="5">
        <v>1500</v>
      </c>
      <c r="I9352" s="6">
        <v>963.6</v>
      </c>
      <c r="J9352" s="5">
        <v>7570</v>
      </c>
      <c r="K9352" s="6">
        <f t="shared" si="393"/>
        <v>1.5566625155666252</v>
      </c>
    </row>
    <row r="9353" spans="1:11">
      <c r="A9353" s="4">
        <v>2026</v>
      </c>
      <c r="B9353">
        <v>34</v>
      </c>
      <c r="C9353" t="s">
        <v>54</v>
      </c>
      <c r="D9353" t="s">
        <v>11</v>
      </c>
      <c r="E9353" t="s">
        <v>35</v>
      </c>
      <c r="F9353" t="s">
        <v>86</v>
      </c>
      <c r="G9353" t="str">
        <f t="shared" si="394"/>
        <v>019BRIGHTON</v>
      </c>
      <c r="H9353" s="5">
        <v>4650</v>
      </c>
      <c r="I9353" s="6">
        <v>3168</v>
      </c>
      <c r="J9353" s="5">
        <v>24000</v>
      </c>
      <c r="K9353" s="6">
        <f t="shared" si="393"/>
        <v>1.4678030303030303</v>
      </c>
    </row>
    <row r="9354" spans="1:11">
      <c r="A9354" s="4">
        <v>2026</v>
      </c>
      <c r="B9354">
        <v>34</v>
      </c>
      <c r="C9354" t="s">
        <v>54</v>
      </c>
      <c r="D9354" t="s">
        <v>11</v>
      </c>
      <c r="E9354" t="s">
        <v>35</v>
      </c>
      <c r="F9354" t="s">
        <v>96</v>
      </c>
      <c r="G9354" t="str">
        <f t="shared" si="394"/>
        <v>019TABATHA</v>
      </c>
      <c r="H9354" s="5">
        <v>1830</v>
      </c>
      <c r="I9354" s="6">
        <v>1188</v>
      </c>
      <c r="J9354" s="5">
        <v>9000</v>
      </c>
      <c r="K9354" s="6">
        <f t="shared" si="393"/>
        <v>1.5404040404040404</v>
      </c>
    </row>
    <row r="9355" spans="1:11">
      <c r="A9355" s="4">
        <v>2026</v>
      </c>
      <c r="B9355">
        <v>34</v>
      </c>
      <c r="C9355" t="s">
        <v>54</v>
      </c>
      <c r="D9355" t="s">
        <v>11</v>
      </c>
      <c r="E9355" t="s">
        <v>36</v>
      </c>
      <c r="F9355" t="s">
        <v>86</v>
      </c>
      <c r="G9355" t="str">
        <f t="shared" si="394"/>
        <v>020BRIGHTON</v>
      </c>
      <c r="H9355" s="5">
        <v>3975</v>
      </c>
      <c r="I9355" s="6">
        <v>2732.4</v>
      </c>
      <c r="J9355" s="5">
        <v>20700</v>
      </c>
      <c r="K9355" s="6">
        <f t="shared" si="393"/>
        <v>1.4547650417215634</v>
      </c>
    </row>
    <row r="9356" spans="1:11">
      <c r="A9356" s="4">
        <v>2026</v>
      </c>
      <c r="B9356">
        <v>34</v>
      </c>
      <c r="C9356" t="s">
        <v>54</v>
      </c>
      <c r="D9356" t="s">
        <v>11</v>
      </c>
      <c r="E9356" t="s">
        <v>36</v>
      </c>
      <c r="F9356" t="s">
        <v>97</v>
      </c>
      <c r="G9356" t="str">
        <f t="shared" si="394"/>
        <v>020TYCOON</v>
      </c>
      <c r="H9356" s="5">
        <v>720</v>
      </c>
      <c r="I9356" s="6">
        <v>673.2</v>
      </c>
      <c r="J9356" s="5">
        <v>5100</v>
      </c>
      <c r="K9356" s="6">
        <f t="shared" si="393"/>
        <v>1.0695187165775399</v>
      </c>
    </row>
    <row r="9357" spans="1:11">
      <c r="A9357" s="4">
        <v>2026</v>
      </c>
      <c r="B9357">
        <v>34</v>
      </c>
      <c r="C9357" t="s">
        <v>54</v>
      </c>
      <c r="D9357" t="s">
        <v>11</v>
      </c>
      <c r="E9357" t="s">
        <v>38</v>
      </c>
      <c r="F9357" t="s">
        <v>98</v>
      </c>
      <c r="G9357" t="str">
        <f t="shared" si="394"/>
        <v>021SHOW GIRL</v>
      </c>
      <c r="H9357" s="5">
        <v>1825</v>
      </c>
      <c r="I9357" s="6">
        <v>1100.4749999999999</v>
      </c>
      <c r="J9357" s="5">
        <v>8000</v>
      </c>
      <c r="K9357" s="6">
        <f t="shared" si="393"/>
        <v>1.6583747927031511</v>
      </c>
    </row>
    <row r="9358" spans="1:11">
      <c r="A9358" s="4">
        <v>2026</v>
      </c>
      <c r="B9358">
        <v>34</v>
      </c>
      <c r="C9358" t="s">
        <v>54</v>
      </c>
      <c r="D9358" t="s">
        <v>11</v>
      </c>
      <c r="E9358" t="s">
        <v>43</v>
      </c>
      <c r="F9358" t="s">
        <v>99</v>
      </c>
      <c r="G9358" t="str">
        <f t="shared" si="394"/>
        <v>022CORAL REEF</v>
      </c>
      <c r="H9358" s="5">
        <v>1325</v>
      </c>
      <c r="I9358" s="6">
        <v>1287</v>
      </c>
      <c r="J9358" s="5">
        <v>9400</v>
      </c>
      <c r="K9358" s="6">
        <f t="shared" si="393"/>
        <v>1.0295260295260296</v>
      </c>
    </row>
    <row r="9359" spans="1:11">
      <c r="A9359" s="4">
        <v>2026</v>
      </c>
      <c r="B9359">
        <v>34</v>
      </c>
      <c r="C9359" t="s">
        <v>54</v>
      </c>
      <c r="D9359" t="s">
        <v>11</v>
      </c>
      <c r="E9359" t="s">
        <v>100</v>
      </c>
      <c r="F9359" t="s">
        <v>70</v>
      </c>
      <c r="G9359" t="str">
        <f t="shared" si="394"/>
        <v>023COTOPAXI</v>
      </c>
      <c r="H9359" s="5">
        <v>6960</v>
      </c>
      <c r="I9359" s="6">
        <v>2641.14</v>
      </c>
      <c r="J9359" s="5">
        <v>19200</v>
      </c>
      <c r="K9359" s="6">
        <f t="shared" si="393"/>
        <v>2.635225697994048</v>
      </c>
    </row>
    <row r="9360" spans="1:11">
      <c r="A9360" s="4">
        <v>2026</v>
      </c>
      <c r="B9360">
        <v>34</v>
      </c>
      <c r="C9360" t="s">
        <v>54</v>
      </c>
      <c r="D9360" t="s">
        <v>11</v>
      </c>
      <c r="E9360" t="s">
        <v>100</v>
      </c>
      <c r="F9360" t="s">
        <v>101</v>
      </c>
      <c r="G9360" t="str">
        <f t="shared" si="394"/>
        <v>023FRUTTETO</v>
      </c>
      <c r="H9360" s="5">
        <v>3780</v>
      </c>
      <c r="I9360" s="6">
        <v>2641.14</v>
      </c>
      <c r="J9360" s="5">
        <v>19200</v>
      </c>
      <c r="K9360" s="6">
        <f t="shared" si="393"/>
        <v>1.431200163565733</v>
      </c>
    </row>
    <row r="9361" spans="1:11">
      <c r="A9361" s="4">
        <v>2026</v>
      </c>
      <c r="B9361">
        <v>34</v>
      </c>
      <c r="C9361" t="s">
        <v>54</v>
      </c>
      <c r="D9361" t="s">
        <v>11</v>
      </c>
      <c r="E9361" t="s">
        <v>102</v>
      </c>
      <c r="F9361" t="s">
        <v>70</v>
      </c>
      <c r="G9361" t="str">
        <f t="shared" si="394"/>
        <v>024COTOPAXI</v>
      </c>
      <c r="H9361" s="5">
        <v>3660</v>
      </c>
      <c r="I9361" s="6">
        <v>1430.6174906250001</v>
      </c>
      <c r="J9361" s="5">
        <v>10400</v>
      </c>
      <c r="K9361" s="6">
        <f t="shared" si="393"/>
        <v>2.5583358402818352</v>
      </c>
    </row>
    <row r="9362" spans="1:11">
      <c r="A9362" s="4">
        <v>2026</v>
      </c>
      <c r="B9362">
        <v>34</v>
      </c>
      <c r="C9362" t="s">
        <v>54</v>
      </c>
      <c r="D9362" t="s">
        <v>11</v>
      </c>
      <c r="E9362" t="s">
        <v>102</v>
      </c>
      <c r="F9362" t="s">
        <v>64</v>
      </c>
      <c r="G9362" t="str">
        <f t="shared" si="394"/>
        <v>024SWEETNESS</v>
      </c>
      <c r="H9362" s="5">
        <v>1890</v>
      </c>
      <c r="I9362" s="6">
        <v>1430.6175000000001</v>
      </c>
      <c r="J9362" s="5">
        <v>10400</v>
      </c>
      <c r="K9362" s="6">
        <f t="shared" si="393"/>
        <v>1.3211078432914458</v>
      </c>
    </row>
    <row r="9363" spans="1:11">
      <c r="A9363" s="4">
        <v>2026</v>
      </c>
      <c r="B9363">
        <v>34</v>
      </c>
      <c r="C9363" t="s">
        <v>54</v>
      </c>
      <c r="D9363" t="s">
        <v>11</v>
      </c>
      <c r="E9363" t="s">
        <v>102</v>
      </c>
      <c r="F9363" t="s">
        <v>97</v>
      </c>
      <c r="G9363" t="str">
        <f t="shared" si="394"/>
        <v>024TYCOON</v>
      </c>
      <c r="H9363" s="5">
        <v>3270</v>
      </c>
      <c r="I9363" s="6">
        <v>2861.2350000000001</v>
      </c>
      <c r="J9363" s="5">
        <v>20800</v>
      </c>
      <c r="K9363" s="6">
        <f t="shared" si="393"/>
        <v>1.1428631342759332</v>
      </c>
    </row>
    <row r="9364" spans="1:11">
      <c r="A9364" s="4">
        <v>2026</v>
      </c>
      <c r="B9364">
        <v>34</v>
      </c>
      <c r="C9364" t="s">
        <v>54</v>
      </c>
      <c r="D9364" t="s">
        <v>11</v>
      </c>
      <c r="E9364" t="s">
        <v>103</v>
      </c>
      <c r="F9364" t="s">
        <v>104</v>
      </c>
      <c r="G9364" t="str">
        <f t="shared" si="394"/>
        <v>025PINK MONDIAL</v>
      </c>
      <c r="H9364" s="5">
        <v>3825</v>
      </c>
      <c r="I9364" s="6">
        <v>3071.9505625000002</v>
      </c>
      <c r="J9364" s="5">
        <v>22400</v>
      </c>
      <c r="K9364" s="6">
        <f t="shared" si="393"/>
        <v>1.2451372254139261</v>
      </c>
    </row>
    <row r="9365" spans="1:11">
      <c r="A9365" s="4">
        <v>2026</v>
      </c>
      <c r="B9365">
        <v>34</v>
      </c>
      <c r="C9365" t="s">
        <v>54</v>
      </c>
      <c r="D9365" t="s">
        <v>11</v>
      </c>
      <c r="E9365" t="s">
        <v>45</v>
      </c>
      <c r="F9365" t="s">
        <v>105</v>
      </c>
      <c r="G9365" t="str">
        <f t="shared" si="394"/>
        <v>026LOLA</v>
      </c>
      <c r="H9365" s="5">
        <v>3300</v>
      </c>
      <c r="I9365" s="6">
        <v>1097.125</v>
      </c>
      <c r="J9365" s="5">
        <v>8000</v>
      </c>
      <c r="K9365" s="6">
        <f t="shared" si="393"/>
        <v>3.0078614560783867</v>
      </c>
    </row>
    <row r="9366" spans="1:11">
      <c r="A9366" s="4">
        <v>2026</v>
      </c>
      <c r="B9366">
        <v>34</v>
      </c>
      <c r="C9366" t="s">
        <v>54</v>
      </c>
      <c r="D9366" t="s">
        <v>11</v>
      </c>
      <c r="E9366" t="s">
        <v>45</v>
      </c>
      <c r="F9366" t="s">
        <v>106</v>
      </c>
      <c r="G9366" t="str">
        <f t="shared" si="394"/>
        <v>026PALOMA</v>
      </c>
      <c r="H9366" s="5">
        <v>4350</v>
      </c>
      <c r="I9366" s="6">
        <v>2852.5250000000001</v>
      </c>
      <c r="J9366" s="5">
        <v>20800</v>
      </c>
      <c r="K9366" s="6">
        <f t="shared" si="393"/>
        <v>1.5249647242355457</v>
      </c>
    </row>
    <row r="9367" spans="1:11">
      <c r="A9367" s="4">
        <v>2026</v>
      </c>
      <c r="B9367">
        <v>34</v>
      </c>
      <c r="C9367" t="s">
        <v>54</v>
      </c>
      <c r="D9367" t="s">
        <v>11</v>
      </c>
      <c r="E9367" t="s">
        <v>107</v>
      </c>
      <c r="F9367" t="s">
        <v>108</v>
      </c>
      <c r="G9367" t="str">
        <f t="shared" si="394"/>
        <v>027SATISFACTION</v>
      </c>
      <c r="H9367" s="5">
        <v>4830</v>
      </c>
      <c r="I9367" s="6">
        <v>2633.1</v>
      </c>
      <c r="J9367" s="5">
        <v>19200</v>
      </c>
      <c r="K9367" s="6">
        <f t="shared" si="393"/>
        <v>1.8343397516235616</v>
      </c>
    </row>
    <row r="9368" spans="1:11">
      <c r="A9368" s="4">
        <v>2026</v>
      </c>
      <c r="B9368">
        <v>34</v>
      </c>
      <c r="C9368" t="s">
        <v>54</v>
      </c>
      <c r="D9368" t="s">
        <v>11</v>
      </c>
      <c r="E9368" t="s">
        <v>107</v>
      </c>
      <c r="F9368" t="s">
        <v>109</v>
      </c>
      <c r="G9368" t="str">
        <f t="shared" si="394"/>
        <v>027TIFFANY</v>
      </c>
      <c r="H9368" s="5">
        <v>4770</v>
      </c>
      <c r="I9368" s="6">
        <v>2633.1</v>
      </c>
      <c r="J9368" s="5">
        <v>19200</v>
      </c>
      <c r="K9368" s="6">
        <f t="shared" si="393"/>
        <v>1.8115529224108466</v>
      </c>
    </row>
    <row r="9369" spans="1:11">
      <c r="A9369" s="4">
        <v>2026</v>
      </c>
      <c r="B9369">
        <v>34</v>
      </c>
      <c r="C9369" t="s">
        <v>54</v>
      </c>
      <c r="D9369" t="s">
        <v>11</v>
      </c>
      <c r="E9369" t="s">
        <v>110</v>
      </c>
      <c r="F9369" t="s">
        <v>70</v>
      </c>
      <c r="G9369" t="str">
        <f t="shared" si="394"/>
        <v>028COTOPAXI</v>
      </c>
      <c r="H9369" s="5">
        <v>5280</v>
      </c>
      <c r="I9369" s="6">
        <v>2852.5250000000001</v>
      </c>
      <c r="J9369" s="5">
        <v>20800</v>
      </c>
      <c r="K9369" s="6">
        <f t="shared" ref="K9369:K9372" si="395">+H9369/I9369</f>
        <v>1.850991665279007</v>
      </c>
    </row>
    <row r="9370" spans="1:11">
      <c r="A9370" s="4">
        <v>2026</v>
      </c>
      <c r="B9370">
        <v>34</v>
      </c>
      <c r="C9370" t="s">
        <v>54</v>
      </c>
      <c r="D9370" t="s">
        <v>11</v>
      </c>
      <c r="E9370" t="s">
        <v>110</v>
      </c>
      <c r="F9370" t="s">
        <v>67</v>
      </c>
      <c r="G9370" t="str">
        <f t="shared" si="394"/>
        <v>028DEEP PURPLE</v>
      </c>
      <c r="H9370" s="5">
        <v>6960</v>
      </c>
      <c r="I9370" s="6">
        <v>2852.5250000000001</v>
      </c>
      <c r="J9370" s="5">
        <v>20800</v>
      </c>
      <c r="K9370" s="6">
        <f t="shared" si="395"/>
        <v>2.4399435587768732</v>
      </c>
    </row>
    <row r="9371" spans="1:11">
      <c r="A9371" s="4">
        <v>2026</v>
      </c>
      <c r="B9371">
        <v>34</v>
      </c>
      <c r="C9371" t="s">
        <v>54</v>
      </c>
      <c r="D9371" t="s">
        <v>11</v>
      </c>
      <c r="E9371" t="s">
        <v>111</v>
      </c>
      <c r="F9371" t="s">
        <v>112</v>
      </c>
      <c r="G9371" t="str">
        <f t="shared" si="394"/>
        <v>029PINK FLOYD</v>
      </c>
      <c r="H9371" s="5">
        <v>3200</v>
      </c>
      <c r="I9371" s="6">
        <v>3071.95</v>
      </c>
      <c r="J9371" s="5">
        <v>22400</v>
      </c>
      <c r="K9371" s="6">
        <f t="shared" si="395"/>
        <v>1.0416836211526881</v>
      </c>
    </row>
    <row r="9372" spans="1:11">
      <c r="A9372" s="4">
        <v>2026</v>
      </c>
      <c r="B9372">
        <v>34</v>
      </c>
      <c r="C9372" t="s">
        <v>54</v>
      </c>
      <c r="D9372" t="s">
        <v>11</v>
      </c>
      <c r="E9372" t="s">
        <v>47</v>
      </c>
      <c r="F9372" t="s">
        <v>57</v>
      </c>
      <c r="G9372" t="str">
        <f t="shared" si="394"/>
        <v>030EXPLORER</v>
      </c>
      <c r="H9372" s="5">
        <v>1200</v>
      </c>
      <c r="I9372" s="6">
        <v>1645.6875</v>
      </c>
      <c r="J9372" s="5">
        <v>12000</v>
      </c>
      <c r="K9372" s="6">
        <f t="shared" si="395"/>
        <v>0.72917853480688166</v>
      </c>
    </row>
    <row r="9373" spans="1:11">
      <c r="A9373" s="4">
        <v>2026</v>
      </c>
      <c r="B9373">
        <v>34</v>
      </c>
      <c r="C9373" t="s">
        <v>54</v>
      </c>
      <c r="D9373" t="s">
        <v>11</v>
      </c>
      <c r="E9373" t="s">
        <v>55</v>
      </c>
      <c r="F9373" t="s">
        <v>61</v>
      </c>
      <c r="G9373" t="str">
        <f t="shared" si="394"/>
        <v>001LUMIA</v>
      </c>
      <c r="H9373" s="5">
        <v>1200</v>
      </c>
      <c r="I9373" s="6">
        <v>1109.596551679753</v>
      </c>
      <c r="J9373" s="5">
        <v>8400</v>
      </c>
      <c r="K9373" s="6">
        <f t="shared" ref="K9373" si="396">IFERROR(H9373/I9373,"")</f>
        <v>1.0814741612015562</v>
      </c>
    </row>
    <row r="9374" spans="1:11">
      <c r="A9374" s="4">
        <v>2026</v>
      </c>
      <c r="B9374">
        <v>34</v>
      </c>
      <c r="C9374" t="s">
        <v>54</v>
      </c>
      <c r="D9374" t="s">
        <v>11</v>
      </c>
      <c r="E9374" t="s">
        <v>85</v>
      </c>
      <c r="F9374" t="s">
        <v>61</v>
      </c>
      <c r="G9374" t="str">
        <f t="shared" si="394"/>
        <v>011LUMIA</v>
      </c>
      <c r="H9374" s="5">
        <v>1560</v>
      </c>
      <c r="I9374" s="6">
        <v>994.97117647058747</v>
      </c>
      <c r="J9374" s="5">
        <v>7920</v>
      </c>
      <c r="K9374" s="6">
        <f t="shared" ref="K9374:K9375" si="397">+H9374/I9374</f>
        <v>1.5678846150435348</v>
      </c>
    </row>
    <row r="9375" spans="1:11">
      <c r="A9375" s="4">
        <v>2026</v>
      </c>
      <c r="B9375">
        <v>34</v>
      </c>
      <c r="C9375" t="s">
        <v>54</v>
      </c>
      <c r="D9375" t="s">
        <v>11</v>
      </c>
      <c r="E9375" t="s">
        <v>91</v>
      </c>
      <c r="F9375" t="s">
        <v>61</v>
      </c>
      <c r="G9375" t="str">
        <f t="shared" si="394"/>
        <v>013LUMIA</v>
      </c>
      <c r="H9375" s="5">
        <v>330</v>
      </c>
      <c r="I9375" s="6">
        <v>316.8</v>
      </c>
      <c r="J9375" s="5">
        <v>2400</v>
      </c>
      <c r="K9375" s="6">
        <f t="shared" si="397"/>
        <v>1.0416666666666665</v>
      </c>
    </row>
    <row r="9376" spans="1:11">
      <c r="A9376" s="4">
        <v>2026</v>
      </c>
      <c r="B9376">
        <v>35</v>
      </c>
      <c r="C9376" t="s">
        <v>10</v>
      </c>
      <c r="D9376" t="s">
        <v>11</v>
      </c>
      <c r="E9376" t="s">
        <v>12</v>
      </c>
      <c r="F9376" t="s">
        <v>13</v>
      </c>
      <c r="G9376" t="s">
        <v>118</v>
      </c>
      <c r="H9376" s="5">
        <v>7540</v>
      </c>
      <c r="I9376" s="6">
        <v>4121.4642855494085</v>
      </c>
      <c r="J9376" s="5">
        <v>31200</v>
      </c>
      <c r="K9376" s="6">
        <v>1.829446885282153</v>
      </c>
    </row>
    <row r="9377" spans="1:11">
      <c r="A9377" s="4">
        <v>2026</v>
      </c>
      <c r="B9377">
        <v>35</v>
      </c>
      <c r="C9377" t="s">
        <v>10</v>
      </c>
      <c r="D9377" t="s">
        <v>11</v>
      </c>
      <c r="E9377" t="s">
        <v>14</v>
      </c>
      <c r="F9377" t="s">
        <v>15</v>
      </c>
      <c r="G9377" t="s">
        <v>119</v>
      </c>
      <c r="H9377" s="5">
        <v>1350</v>
      </c>
      <c r="I9377" s="6">
        <v>1056.7857142434418</v>
      </c>
      <c r="J9377" s="5">
        <v>8000</v>
      </c>
      <c r="K9377" s="6">
        <v>1.2774586009297748</v>
      </c>
    </row>
    <row r="9378" spans="1:11">
      <c r="A9378" s="4">
        <v>2026</v>
      </c>
      <c r="B9378">
        <v>35</v>
      </c>
      <c r="C9378" t="s">
        <v>10</v>
      </c>
      <c r="D9378" t="s">
        <v>11</v>
      </c>
      <c r="E9378" t="s">
        <v>16</v>
      </c>
      <c r="F9378" t="s">
        <v>17</v>
      </c>
      <c r="G9378" t="s">
        <v>120</v>
      </c>
      <c r="H9378" s="5">
        <v>7530</v>
      </c>
      <c r="I9378" s="6">
        <v>2641.9642856076484</v>
      </c>
      <c r="J9378" s="5">
        <v>19996</v>
      </c>
      <c r="K9378" s="6">
        <v>2.850152078519907</v>
      </c>
    </row>
    <row r="9379" spans="1:11">
      <c r="A9379" s="4">
        <v>2026</v>
      </c>
      <c r="B9379">
        <v>35</v>
      </c>
      <c r="C9379" t="s">
        <v>10</v>
      </c>
      <c r="D9379" t="s">
        <v>11</v>
      </c>
      <c r="E9379" t="s">
        <v>16</v>
      </c>
      <c r="F9379" t="s">
        <v>18</v>
      </c>
      <c r="G9379" t="s">
        <v>121</v>
      </c>
      <c r="H9379" s="5">
        <v>1380</v>
      </c>
      <c r="I9379" s="6">
        <v>528.39285712153003</v>
      </c>
      <c r="J9379" s="5">
        <v>4000</v>
      </c>
      <c r="K9379" s="6">
        <v>2.6116931396795944</v>
      </c>
    </row>
    <row r="9380" spans="1:11">
      <c r="A9380" s="4">
        <v>2026</v>
      </c>
      <c r="B9380">
        <v>35</v>
      </c>
      <c r="C9380" t="s">
        <v>10</v>
      </c>
      <c r="D9380" t="s">
        <v>11</v>
      </c>
      <c r="E9380" t="s">
        <v>16</v>
      </c>
      <c r="F9380" t="s">
        <v>19</v>
      </c>
      <c r="G9380" t="s">
        <v>122</v>
      </c>
      <c r="H9380" s="5">
        <v>3750</v>
      </c>
      <c r="I9380" s="6">
        <v>1902.2142856375078</v>
      </c>
      <c r="J9380" s="5">
        <v>14400</v>
      </c>
      <c r="K9380" s="6">
        <v>1.9713867298306118</v>
      </c>
    </row>
    <row r="9381" spans="1:11">
      <c r="A9381" s="4">
        <v>2026</v>
      </c>
      <c r="B9381">
        <v>35</v>
      </c>
      <c r="C9381" t="s">
        <v>10</v>
      </c>
      <c r="D9381" t="s">
        <v>11</v>
      </c>
      <c r="E9381" t="s">
        <v>20</v>
      </c>
      <c r="F9381" t="s">
        <v>21</v>
      </c>
      <c r="G9381" t="s">
        <v>123</v>
      </c>
      <c r="H9381" s="5">
        <v>1340</v>
      </c>
      <c r="I9381" s="6">
        <v>634.05652706821195</v>
      </c>
      <c r="J9381" s="5">
        <v>4800</v>
      </c>
      <c r="K9381" s="6">
        <v>2.113376241383353</v>
      </c>
    </row>
    <row r="9382" spans="1:11">
      <c r="A9382" s="4">
        <v>2026</v>
      </c>
      <c r="B9382">
        <v>35</v>
      </c>
      <c r="C9382" t="s">
        <v>10</v>
      </c>
      <c r="D9382" t="s">
        <v>11</v>
      </c>
      <c r="E9382" t="s">
        <v>22</v>
      </c>
      <c r="F9382" t="s">
        <v>18</v>
      </c>
      <c r="G9382" t="s">
        <v>124</v>
      </c>
      <c r="H9382" s="5">
        <v>13160</v>
      </c>
      <c r="I9382" s="6">
        <v>4487.9999999102474</v>
      </c>
      <c r="J9382" s="5">
        <v>31740</v>
      </c>
      <c r="K9382" s="6">
        <v>2.9322638146753963</v>
      </c>
    </row>
    <row r="9383" spans="1:11">
      <c r="A9383" s="4">
        <v>2026</v>
      </c>
      <c r="B9383">
        <v>35</v>
      </c>
      <c r="C9383" t="s">
        <v>10</v>
      </c>
      <c r="D9383" t="s">
        <v>11</v>
      </c>
      <c r="E9383" t="s">
        <v>23</v>
      </c>
      <c r="F9383" t="s">
        <v>24</v>
      </c>
      <c r="G9383" t="s">
        <v>125</v>
      </c>
      <c r="H9383" s="5">
        <v>2700</v>
      </c>
      <c r="I9383" s="6">
        <v>1702.8</v>
      </c>
      <c r="J9383" s="5">
        <v>12900</v>
      </c>
      <c r="K9383" s="6">
        <v>1.5856236786469344</v>
      </c>
    </row>
    <row r="9384" spans="1:11">
      <c r="A9384" s="4">
        <v>2026</v>
      </c>
      <c r="B9384">
        <v>35</v>
      </c>
      <c r="C9384" t="s">
        <v>10</v>
      </c>
      <c r="D9384" t="s">
        <v>11</v>
      </c>
      <c r="E9384" t="s">
        <v>25</v>
      </c>
      <c r="F9384" t="s">
        <v>26</v>
      </c>
      <c r="G9384" t="s">
        <v>126</v>
      </c>
      <c r="H9384" s="5">
        <v>6420</v>
      </c>
      <c r="I9384" s="6">
        <v>3009.6</v>
      </c>
      <c r="J9384" s="5">
        <v>22800</v>
      </c>
      <c r="K9384" s="6">
        <v>2.1331738437001597</v>
      </c>
    </row>
    <row r="9385" spans="1:11">
      <c r="A9385" s="4">
        <v>2026</v>
      </c>
      <c r="B9385">
        <v>35</v>
      </c>
      <c r="C9385" t="s">
        <v>10</v>
      </c>
      <c r="D9385" t="s">
        <v>11</v>
      </c>
      <c r="E9385" t="s">
        <v>27</v>
      </c>
      <c r="F9385" t="s">
        <v>28</v>
      </c>
      <c r="G9385" t="s">
        <v>127</v>
      </c>
      <c r="H9385" s="5">
        <v>4170</v>
      </c>
      <c r="I9385" s="6">
        <v>1386</v>
      </c>
      <c r="J9385" s="5">
        <v>10500</v>
      </c>
      <c r="K9385" s="6">
        <v>3.0086580086580086</v>
      </c>
    </row>
    <row r="9386" spans="1:11">
      <c r="A9386" s="4">
        <v>2026</v>
      </c>
      <c r="B9386">
        <v>35</v>
      </c>
      <c r="C9386" t="s">
        <v>10</v>
      </c>
      <c r="D9386" t="s">
        <v>11</v>
      </c>
      <c r="E9386" t="s">
        <v>27</v>
      </c>
      <c r="F9386" t="s">
        <v>29</v>
      </c>
      <c r="G9386" t="s">
        <v>128</v>
      </c>
      <c r="H9386" s="5">
        <v>3720</v>
      </c>
      <c r="I9386" s="6">
        <v>1386</v>
      </c>
      <c r="J9386" s="5">
        <v>10500</v>
      </c>
      <c r="K9386" s="6">
        <v>2.6839826839826841</v>
      </c>
    </row>
    <row r="9387" spans="1:11">
      <c r="A9387" s="4">
        <v>2026</v>
      </c>
      <c r="B9387">
        <v>35</v>
      </c>
      <c r="C9387" t="s">
        <v>10</v>
      </c>
      <c r="D9387" t="s">
        <v>11</v>
      </c>
      <c r="E9387" t="s">
        <v>30</v>
      </c>
      <c r="F9387" t="s">
        <v>31</v>
      </c>
      <c r="G9387" t="s">
        <v>129</v>
      </c>
      <c r="H9387" s="5">
        <v>1025</v>
      </c>
      <c r="I9387" s="6">
        <v>1029.5999999999999</v>
      </c>
      <c r="J9387" s="5">
        <v>7800</v>
      </c>
      <c r="K9387" s="6">
        <v>0.99553224553224562</v>
      </c>
    </row>
    <row r="9388" spans="1:11">
      <c r="A9388" s="4">
        <v>2026</v>
      </c>
      <c r="B9388">
        <v>35</v>
      </c>
      <c r="C9388" t="s">
        <v>10</v>
      </c>
      <c r="D9388" t="s">
        <v>11</v>
      </c>
      <c r="E9388" t="s">
        <v>32</v>
      </c>
      <c r="F9388" t="s">
        <v>33</v>
      </c>
      <c r="G9388" t="s">
        <v>130</v>
      </c>
      <c r="H9388" s="5">
        <v>3925</v>
      </c>
      <c r="I9388" s="6">
        <v>2653.2</v>
      </c>
      <c r="J9388" s="5">
        <v>20100</v>
      </c>
      <c r="K9388" s="6">
        <v>1.4793456957636064</v>
      </c>
    </row>
    <row r="9389" spans="1:11">
      <c r="A9389" s="4">
        <v>2026</v>
      </c>
      <c r="B9389">
        <v>35</v>
      </c>
      <c r="C9389" t="s">
        <v>10</v>
      </c>
      <c r="D9389" t="s">
        <v>11</v>
      </c>
      <c r="E9389" t="s">
        <v>32</v>
      </c>
      <c r="F9389" t="s">
        <v>34</v>
      </c>
      <c r="G9389" t="s">
        <v>131</v>
      </c>
      <c r="H9389" s="5">
        <v>5280</v>
      </c>
      <c r="I9389" s="6">
        <v>1768.8</v>
      </c>
      <c r="J9389" s="5">
        <v>13400</v>
      </c>
      <c r="K9389" s="6">
        <v>2.9850746268656718</v>
      </c>
    </row>
    <row r="9390" spans="1:11">
      <c r="A9390" s="4">
        <v>2026</v>
      </c>
      <c r="B9390">
        <v>35</v>
      </c>
      <c r="C9390" t="s">
        <v>10</v>
      </c>
      <c r="D9390" t="s">
        <v>11</v>
      </c>
      <c r="E9390" t="s">
        <v>35</v>
      </c>
      <c r="F9390" t="s">
        <v>15</v>
      </c>
      <c r="G9390" t="s">
        <v>132</v>
      </c>
      <c r="H9390" s="5">
        <v>1935</v>
      </c>
      <c r="I9390" s="6">
        <v>1029.5999999999999</v>
      </c>
      <c r="J9390" s="5">
        <v>7800</v>
      </c>
      <c r="K9390" s="6">
        <v>1.8793706293706296</v>
      </c>
    </row>
    <row r="9391" spans="1:11">
      <c r="A9391" s="4">
        <v>2026</v>
      </c>
      <c r="B9391">
        <v>35</v>
      </c>
      <c r="C9391" t="s">
        <v>10</v>
      </c>
      <c r="D9391" t="s">
        <v>11</v>
      </c>
      <c r="E9391" t="s">
        <v>36</v>
      </c>
      <c r="F9391" t="s">
        <v>37</v>
      </c>
      <c r="G9391" t="s">
        <v>133</v>
      </c>
      <c r="H9391" s="5">
        <v>3150</v>
      </c>
      <c r="I9391" s="6">
        <v>1346.4</v>
      </c>
      <c r="J9391" s="5">
        <v>10200</v>
      </c>
      <c r="K9391" s="6">
        <v>2.3395721925133688</v>
      </c>
    </row>
    <row r="9392" spans="1:11">
      <c r="A9392" s="4">
        <v>2026</v>
      </c>
      <c r="B9392">
        <v>35</v>
      </c>
      <c r="C9392" t="s">
        <v>10</v>
      </c>
      <c r="D9392" t="s">
        <v>11</v>
      </c>
      <c r="E9392" t="s">
        <v>38</v>
      </c>
      <c r="F9392" t="s">
        <v>39</v>
      </c>
      <c r="G9392" t="s">
        <v>134</v>
      </c>
      <c r="H9392" s="5">
        <v>300</v>
      </c>
      <c r="I9392" s="6">
        <v>440.18999062500001</v>
      </c>
      <c r="J9392" s="5">
        <v>3200</v>
      </c>
      <c r="K9392" s="6">
        <v>0.68152390192709189</v>
      </c>
    </row>
    <row r="9393" spans="1:11">
      <c r="A9393" s="4">
        <v>2026</v>
      </c>
      <c r="B9393">
        <v>35</v>
      </c>
      <c r="C9393" t="s">
        <v>10</v>
      </c>
      <c r="D9393" t="s">
        <v>11</v>
      </c>
      <c r="E9393" t="s">
        <v>38</v>
      </c>
      <c r="F9393" t="s">
        <v>40</v>
      </c>
      <c r="G9393" t="s">
        <v>135</v>
      </c>
      <c r="H9393" s="5">
        <v>1625</v>
      </c>
      <c r="I9393" s="6">
        <v>880.38</v>
      </c>
      <c r="J9393" s="5">
        <v>6400</v>
      </c>
      <c r="K9393" s="6">
        <v>1.8457938617415208</v>
      </c>
    </row>
    <row r="9394" spans="1:11">
      <c r="A9394" s="4">
        <v>2026</v>
      </c>
      <c r="B9394">
        <v>35</v>
      </c>
      <c r="C9394" t="s">
        <v>10</v>
      </c>
      <c r="D9394" t="s">
        <v>11</v>
      </c>
      <c r="E9394" t="s">
        <v>38</v>
      </c>
      <c r="F9394" t="s">
        <v>41</v>
      </c>
      <c r="G9394" t="s">
        <v>136</v>
      </c>
      <c r="H9394" s="5">
        <v>600</v>
      </c>
      <c r="I9394" s="6">
        <v>330.14249999999998</v>
      </c>
      <c r="J9394" s="5">
        <v>2400</v>
      </c>
      <c r="K9394" s="6">
        <v>1.8173970330993436</v>
      </c>
    </row>
    <row r="9395" spans="1:11">
      <c r="A9395" s="4">
        <v>2026</v>
      </c>
      <c r="B9395">
        <v>35</v>
      </c>
      <c r="C9395" t="s">
        <v>10</v>
      </c>
      <c r="D9395" t="s">
        <v>11</v>
      </c>
      <c r="E9395" t="s">
        <v>38</v>
      </c>
      <c r="F9395" t="s">
        <v>42</v>
      </c>
      <c r="G9395" t="s">
        <v>137</v>
      </c>
      <c r="H9395" s="5">
        <v>2650</v>
      </c>
      <c r="I9395" s="6">
        <v>1650.7125000000001</v>
      </c>
      <c r="J9395" s="5">
        <v>12000</v>
      </c>
      <c r="K9395" s="6">
        <v>1.6053673792377534</v>
      </c>
    </row>
    <row r="9396" spans="1:11">
      <c r="A9396" s="4">
        <v>2026</v>
      </c>
      <c r="B9396">
        <v>35</v>
      </c>
      <c r="C9396" t="s">
        <v>10</v>
      </c>
      <c r="D9396" t="s">
        <v>11</v>
      </c>
      <c r="E9396" t="s">
        <v>38</v>
      </c>
      <c r="F9396" t="s">
        <v>21</v>
      </c>
      <c r="G9396" t="s">
        <v>138</v>
      </c>
      <c r="H9396" s="5">
        <v>2500</v>
      </c>
      <c r="I9396" s="6">
        <v>1287.0000000000018</v>
      </c>
      <c r="J9396" s="5">
        <v>9400</v>
      </c>
      <c r="K9396" s="6">
        <v>1.9425019425019399</v>
      </c>
    </row>
    <row r="9397" spans="1:11">
      <c r="A9397" s="4">
        <v>2026</v>
      </c>
      <c r="B9397">
        <v>35</v>
      </c>
      <c r="C9397" t="s">
        <v>10</v>
      </c>
      <c r="D9397" t="s">
        <v>11</v>
      </c>
      <c r="E9397" t="s">
        <v>43</v>
      </c>
      <c r="F9397" t="s">
        <v>24</v>
      </c>
      <c r="G9397" t="s">
        <v>139</v>
      </c>
      <c r="H9397" s="5">
        <v>4200</v>
      </c>
      <c r="I9397" s="6">
        <v>2641.14</v>
      </c>
      <c r="J9397" s="5">
        <v>19200</v>
      </c>
      <c r="K9397" s="6">
        <v>1.5902224039619257</v>
      </c>
    </row>
    <row r="9398" spans="1:11">
      <c r="A9398" s="4">
        <v>2026</v>
      </c>
      <c r="B9398">
        <v>35</v>
      </c>
      <c r="C9398" t="s">
        <v>10</v>
      </c>
      <c r="D9398" t="s">
        <v>11</v>
      </c>
      <c r="E9398" t="s">
        <v>43</v>
      </c>
      <c r="F9398" t="s">
        <v>28</v>
      </c>
      <c r="G9398" t="s">
        <v>140</v>
      </c>
      <c r="H9398" s="5">
        <v>2190</v>
      </c>
      <c r="I9398" s="6">
        <v>880.38</v>
      </c>
      <c r="J9398" s="5">
        <v>6400</v>
      </c>
      <c r="K9398" s="6">
        <v>2.4875621890547266</v>
      </c>
    </row>
    <row r="9399" spans="1:11">
      <c r="A9399" s="4">
        <v>2026</v>
      </c>
      <c r="B9399">
        <v>35</v>
      </c>
      <c r="C9399" t="s">
        <v>10</v>
      </c>
      <c r="D9399" t="s">
        <v>11</v>
      </c>
      <c r="E9399" t="s">
        <v>43</v>
      </c>
      <c r="F9399" t="s">
        <v>44</v>
      </c>
      <c r="G9399" t="s">
        <v>141</v>
      </c>
      <c r="H9399" s="5">
        <v>1580</v>
      </c>
      <c r="I9399" s="6">
        <v>880.38</v>
      </c>
      <c r="J9399" s="5">
        <v>6400</v>
      </c>
      <c r="K9399" s="6">
        <v>1.7946795701856018</v>
      </c>
    </row>
    <row r="9400" spans="1:11">
      <c r="A9400" s="4">
        <v>2026</v>
      </c>
      <c r="B9400">
        <v>35</v>
      </c>
      <c r="C9400" t="s">
        <v>10</v>
      </c>
      <c r="D9400" t="s">
        <v>11</v>
      </c>
      <c r="E9400" t="s">
        <v>45</v>
      </c>
      <c r="F9400" t="s">
        <v>46</v>
      </c>
      <c r="G9400" t="s">
        <v>142</v>
      </c>
      <c r="H9400" s="5">
        <v>470</v>
      </c>
      <c r="I9400" s="6">
        <v>1755.4</v>
      </c>
      <c r="J9400" s="5">
        <v>12800</v>
      </c>
      <c r="K9400" s="6">
        <v>0.26774524324940185</v>
      </c>
    </row>
    <row r="9401" spans="1:11">
      <c r="A9401" s="4">
        <v>2026</v>
      </c>
      <c r="B9401">
        <v>35</v>
      </c>
      <c r="C9401" t="s">
        <v>10</v>
      </c>
      <c r="D9401" t="s">
        <v>11</v>
      </c>
      <c r="E9401" t="s">
        <v>47</v>
      </c>
      <c r="F9401" t="s">
        <v>44</v>
      </c>
      <c r="G9401" t="s">
        <v>143</v>
      </c>
      <c r="H9401" s="5">
        <v>4880</v>
      </c>
      <c r="I9401" s="6">
        <v>2413.6749943750001</v>
      </c>
      <c r="J9401" s="5">
        <v>17600</v>
      </c>
      <c r="K9401" s="6">
        <v>2.0218132148581307</v>
      </c>
    </row>
    <row r="9402" spans="1:11">
      <c r="A9402" s="4">
        <v>2026</v>
      </c>
      <c r="B9402">
        <v>35</v>
      </c>
      <c r="C9402" t="s">
        <v>10</v>
      </c>
      <c r="D9402" t="s">
        <v>11</v>
      </c>
      <c r="E9402" t="s">
        <v>47</v>
      </c>
      <c r="F9402" t="s">
        <v>13</v>
      </c>
      <c r="G9402" t="s">
        <v>144</v>
      </c>
      <c r="H9402" s="5">
        <v>2440</v>
      </c>
      <c r="I9402" s="6">
        <v>1645.6875</v>
      </c>
      <c r="J9402" s="5">
        <v>12000</v>
      </c>
      <c r="K9402" s="6">
        <v>1.4826630207739926</v>
      </c>
    </row>
    <row r="9403" spans="1:11">
      <c r="A9403" s="4">
        <v>2026</v>
      </c>
      <c r="B9403">
        <v>35</v>
      </c>
      <c r="C9403" t="s">
        <v>10</v>
      </c>
      <c r="D9403" t="s">
        <v>11</v>
      </c>
      <c r="E9403" t="s">
        <v>48</v>
      </c>
      <c r="F9403" t="s">
        <v>49</v>
      </c>
      <c r="G9403" t="s">
        <v>145</v>
      </c>
      <c r="H9403" s="5">
        <v>2620</v>
      </c>
      <c r="I9403" s="6">
        <v>726.32013058333712</v>
      </c>
      <c r="J9403" s="5">
        <v>5712</v>
      </c>
      <c r="K9403" s="6">
        <v>3.6072248168252914</v>
      </c>
    </row>
    <row r="9404" spans="1:11">
      <c r="A9404" s="4">
        <v>2026</v>
      </c>
      <c r="B9404">
        <v>35</v>
      </c>
      <c r="C9404" t="s">
        <v>10</v>
      </c>
      <c r="D9404" t="s">
        <v>11</v>
      </c>
      <c r="E9404" t="s">
        <v>48</v>
      </c>
      <c r="F9404" t="s">
        <v>34</v>
      </c>
      <c r="G9404" t="s">
        <v>146</v>
      </c>
      <c r="H9404" s="5">
        <v>2310</v>
      </c>
      <c r="I9404" s="6">
        <v>924.39958333667107</v>
      </c>
      <c r="J9404" s="5">
        <v>6720</v>
      </c>
      <c r="K9404" s="6">
        <v>2.4989193435829211</v>
      </c>
    </row>
    <row r="9405" spans="1:11">
      <c r="A9405" s="4">
        <v>2026</v>
      </c>
      <c r="B9405">
        <v>35</v>
      </c>
      <c r="C9405" t="s">
        <v>10</v>
      </c>
      <c r="D9405" t="s">
        <v>11</v>
      </c>
      <c r="E9405" t="s">
        <v>48</v>
      </c>
      <c r="F9405" t="s">
        <v>13</v>
      </c>
      <c r="G9405" t="s">
        <v>147</v>
      </c>
      <c r="H9405" s="5">
        <v>3520</v>
      </c>
      <c r="I9405" s="6">
        <v>1122.485208333339</v>
      </c>
      <c r="J9405" s="5">
        <v>8160</v>
      </c>
      <c r="K9405" s="6">
        <v>3.1358987841153652</v>
      </c>
    </row>
    <row r="9406" spans="1:11">
      <c r="A9406" s="4">
        <v>2026</v>
      </c>
      <c r="B9406">
        <v>35</v>
      </c>
      <c r="C9406" t="s">
        <v>10</v>
      </c>
      <c r="D9406" t="s">
        <v>11</v>
      </c>
      <c r="E9406" t="s">
        <v>48</v>
      </c>
      <c r="F9406" t="s">
        <v>50</v>
      </c>
      <c r="G9406" t="s">
        <v>148</v>
      </c>
      <c r="H9406" s="5">
        <v>680</v>
      </c>
      <c r="I9406" s="6">
        <v>396.17125000000198</v>
      </c>
      <c r="J9406" s="5">
        <v>2880</v>
      </c>
      <c r="K9406" s="6">
        <v>1.716429448123751</v>
      </c>
    </row>
    <row r="9407" spans="1:11">
      <c r="A9407" s="4">
        <v>2026</v>
      </c>
      <c r="B9407">
        <v>35</v>
      </c>
      <c r="C9407" t="s">
        <v>10</v>
      </c>
      <c r="D9407" t="s">
        <v>11</v>
      </c>
      <c r="E9407" t="s">
        <v>51</v>
      </c>
      <c r="F9407" t="s">
        <v>17</v>
      </c>
      <c r="G9407" t="s">
        <v>149</v>
      </c>
      <c r="H9407" s="5">
        <v>3270</v>
      </c>
      <c r="I9407" s="6">
        <v>1535.9749999999999</v>
      </c>
      <c r="J9407" s="5">
        <v>11200</v>
      </c>
      <c r="K9407" s="6">
        <v>2.1289409007308064</v>
      </c>
    </row>
    <row r="9408" spans="1:11">
      <c r="A9408" s="4">
        <v>2026</v>
      </c>
      <c r="B9408">
        <v>35</v>
      </c>
      <c r="C9408" t="s">
        <v>10</v>
      </c>
      <c r="D9408" t="s">
        <v>11</v>
      </c>
      <c r="E9408" t="s">
        <v>51</v>
      </c>
      <c r="F9408" t="s">
        <v>44</v>
      </c>
      <c r="G9408" t="s">
        <v>150</v>
      </c>
      <c r="H9408" s="5">
        <v>1900</v>
      </c>
      <c r="I9408" s="6">
        <v>1535.9749999999999</v>
      </c>
      <c r="J9408" s="5">
        <v>11200</v>
      </c>
      <c r="K9408" s="6">
        <v>1.2369993001188171</v>
      </c>
    </row>
    <row r="9409" spans="1:11">
      <c r="A9409" s="4">
        <v>2026</v>
      </c>
      <c r="B9409">
        <v>35</v>
      </c>
      <c r="C9409" t="s">
        <v>10</v>
      </c>
      <c r="D9409" t="s">
        <v>11</v>
      </c>
      <c r="E9409" t="s">
        <v>52</v>
      </c>
      <c r="F9409" t="s">
        <v>53</v>
      </c>
      <c r="G9409" t="s">
        <v>151</v>
      </c>
      <c r="H9409" s="5">
        <v>1620</v>
      </c>
      <c r="I9409" s="6">
        <v>594.25687500000299</v>
      </c>
      <c r="J9409" s="5">
        <v>4320</v>
      </c>
      <c r="K9409" s="6">
        <v>2.7260938293730161</v>
      </c>
    </row>
    <row r="9410" spans="1:11">
      <c r="A9410" s="4">
        <v>2026</v>
      </c>
      <c r="B9410">
        <v>35</v>
      </c>
      <c r="C9410" t="s">
        <v>10</v>
      </c>
      <c r="D9410" t="s">
        <v>11</v>
      </c>
      <c r="E9410" t="s">
        <v>52</v>
      </c>
      <c r="F9410" t="s">
        <v>18</v>
      </c>
      <c r="G9410" t="s">
        <v>152</v>
      </c>
      <c r="H9410" s="5">
        <v>4200</v>
      </c>
      <c r="I9410" s="6">
        <v>2575.1131250013459</v>
      </c>
      <c r="J9410" s="5">
        <v>18720</v>
      </c>
      <c r="K9410" s="6">
        <v>1.6309963081710459</v>
      </c>
    </row>
    <row r="9411" spans="1:11">
      <c r="A9411" s="4">
        <v>2026</v>
      </c>
      <c r="B9411">
        <v>35</v>
      </c>
      <c r="C9411" t="s">
        <v>54</v>
      </c>
      <c r="D9411" t="s">
        <v>11</v>
      </c>
      <c r="E9411" t="s">
        <v>55</v>
      </c>
      <c r="F9411" t="s">
        <v>56</v>
      </c>
      <c r="G9411" t="s">
        <v>153</v>
      </c>
      <c r="H9411" s="5">
        <v>1530</v>
      </c>
      <c r="I9411" s="6">
        <v>528.37931032368999</v>
      </c>
      <c r="J9411" s="5">
        <v>4000</v>
      </c>
      <c r="K9411" s="6">
        <v>2.895647066617177</v>
      </c>
    </row>
    <row r="9412" spans="1:11">
      <c r="A9412" s="4">
        <v>2026</v>
      </c>
      <c r="B9412">
        <v>35</v>
      </c>
      <c r="C9412" t="s">
        <v>54</v>
      </c>
      <c r="D9412" t="s">
        <v>11</v>
      </c>
      <c r="E9412" t="s">
        <v>55</v>
      </c>
      <c r="F9412" t="s">
        <v>57</v>
      </c>
      <c r="G9412" t="s">
        <v>154</v>
      </c>
      <c r="H9412" s="5">
        <v>2950</v>
      </c>
      <c r="I9412" s="6">
        <v>2272.0310343918732</v>
      </c>
      <c r="J9412" s="5">
        <v>17200</v>
      </c>
      <c r="K9412" s="6">
        <v>1.2983977574890788</v>
      </c>
    </row>
    <row r="9413" spans="1:11">
      <c r="A9413" s="4">
        <v>2026</v>
      </c>
      <c r="B9413">
        <v>35</v>
      </c>
      <c r="C9413" t="s">
        <v>54</v>
      </c>
      <c r="D9413" t="s">
        <v>11</v>
      </c>
      <c r="E9413" t="s">
        <v>55</v>
      </c>
      <c r="F9413" t="s">
        <v>58</v>
      </c>
      <c r="G9413" t="s">
        <v>155</v>
      </c>
      <c r="H9413" s="5">
        <v>1350</v>
      </c>
      <c r="I9413" s="6">
        <v>1162.4344827121224</v>
      </c>
      <c r="J9413" s="5">
        <v>8800</v>
      </c>
      <c r="K9413" s="6">
        <v>1.1613557753812163</v>
      </c>
    </row>
    <row r="9414" spans="1:11">
      <c r="A9414" s="4">
        <v>2026</v>
      </c>
      <c r="B9414">
        <v>35</v>
      </c>
      <c r="C9414" t="s">
        <v>54</v>
      </c>
      <c r="D9414" t="s">
        <v>11</v>
      </c>
      <c r="E9414" t="s">
        <v>55</v>
      </c>
      <c r="F9414" t="s">
        <v>59</v>
      </c>
      <c r="G9414" t="s">
        <v>156</v>
      </c>
      <c r="H9414" s="5">
        <v>1505</v>
      </c>
      <c r="I9414" s="6">
        <v>1162.4344827121181</v>
      </c>
      <c r="J9414" s="5">
        <v>8800</v>
      </c>
      <c r="K9414" s="6">
        <v>1.2946966236657311</v>
      </c>
    </row>
    <row r="9415" spans="1:11">
      <c r="A9415" s="4">
        <v>2026</v>
      </c>
      <c r="B9415">
        <v>35</v>
      </c>
      <c r="C9415" t="s">
        <v>54</v>
      </c>
      <c r="D9415" t="s">
        <v>11</v>
      </c>
      <c r="E9415" t="s">
        <v>55</v>
      </c>
      <c r="F9415" t="s">
        <v>60</v>
      </c>
      <c r="G9415" t="s">
        <v>157</v>
      </c>
      <c r="H9415" s="5">
        <v>1140</v>
      </c>
      <c r="I9415" s="6">
        <v>1056.7586206473827</v>
      </c>
      <c r="J9415" s="5">
        <v>8000</v>
      </c>
      <c r="K9415" s="6">
        <v>1.0787704757985535</v>
      </c>
    </row>
    <row r="9416" spans="1:11">
      <c r="A9416" s="4">
        <v>2026</v>
      </c>
      <c r="B9416">
        <v>35</v>
      </c>
      <c r="C9416" t="s">
        <v>54</v>
      </c>
      <c r="D9416" t="s">
        <v>11</v>
      </c>
      <c r="E9416" t="s">
        <v>55</v>
      </c>
      <c r="F9416" t="s">
        <v>61</v>
      </c>
      <c r="G9416" t="s">
        <v>158</v>
      </c>
      <c r="H9416" s="5">
        <v>1500</v>
      </c>
      <c r="I9416" s="6">
        <v>1109.596551679753</v>
      </c>
      <c r="J9416" s="5">
        <v>8400</v>
      </c>
      <c r="K9416" s="6">
        <v>1.3518427015019452</v>
      </c>
    </row>
    <row r="9417" spans="1:11">
      <c r="A9417" s="4">
        <v>2026</v>
      </c>
      <c r="B9417">
        <v>35</v>
      </c>
      <c r="C9417" t="s">
        <v>54</v>
      </c>
      <c r="D9417" t="s">
        <v>11</v>
      </c>
      <c r="E9417" t="s">
        <v>55</v>
      </c>
      <c r="F9417" t="s">
        <v>62</v>
      </c>
      <c r="G9417" t="s">
        <v>159</v>
      </c>
      <c r="H9417" s="5">
        <v>4775</v>
      </c>
      <c r="I9417" s="6">
        <v>1902.1655171652881</v>
      </c>
      <c r="J9417" s="5">
        <v>14400</v>
      </c>
      <c r="K9417" s="6">
        <v>2.51029679431681</v>
      </c>
    </row>
    <row r="9418" spans="1:11">
      <c r="A9418" s="4">
        <v>2026</v>
      </c>
      <c r="B9418">
        <v>35</v>
      </c>
      <c r="C9418" t="s">
        <v>54</v>
      </c>
      <c r="D9418" t="s">
        <v>11</v>
      </c>
      <c r="E9418" t="s">
        <v>12</v>
      </c>
      <c r="F9418" t="s">
        <v>63</v>
      </c>
      <c r="G9418" t="s">
        <v>160</v>
      </c>
      <c r="H9418" s="5">
        <v>1450</v>
      </c>
      <c r="I9418" s="6">
        <v>951.10714281909407</v>
      </c>
      <c r="J9418" s="5">
        <v>7200</v>
      </c>
      <c r="K9418" s="6">
        <v>1.5245390710684612</v>
      </c>
    </row>
    <row r="9419" spans="1:11">
      <c r="A9419" s="4">
        <v>2026</v>
      </c>
      <c r="B9419">
        <v>35</v>
      </c>
      <c r="C9419" t="s">
        <v>54</v>
      </c>
      <c r="D9419" t="s">
        <v>11</v>
      </c>
      <c r="E9419" t="s">
        <v>12</v>
      </c>
      <c r="F9419" t="s">
        <v>64</v>
      </c>
      <c r="G9419" t="s">
        <v>161</v>
      </c>
      <c r="H9419" s="5">
        <v>6930</v>
      </c>
      <c r="I9419" s="6">
        <v>3804.4285712763772</v>
      </c>
      <c r="J9419" s="5">
        <v>28800</v>
      </c>
      <c r="K9419" s="6">
        <v>1.8215613383628335</v>
      </c>
    </row>
    <row r="9420" spans="1:11">
      <c r="A9420" s="4">
        <v>2026</v>
      </c>
      <c r="B9420">
        <v>35</v>
      </c>
      <c r="C9420" t="s">
        <v>54</v>
      </c>
      <c r="D9420" t="s">
        <v>11</v>
      </c>
      <c r="E9420" t="s">
        <v>65</v>
      </c>
      <c r="F9420" t="s">
        <v>66</v>
      </c>
      <c r="G9420" t="s">
        <v>162</v>
      </c>
      <c r="H9420" s="5">
        <v>4230</v>
      </c>
      <c r="I9420" s="6">
        <v>2641.8965516184649</v>
      </c>
      <c r="J9420" s="5">
        <v>20000</v>
      </c>
      <c r="K9420" s="6">
        <v>1.6011224956589005</v>
      </c>
    </row>
    <row r="9421" spans="1:11">
      <c r="A9421" s="4">
        <v>2026</v>
      </c>
      <c r="B9421">
        <v>35</v>
      </c>
      <c r="C9421" t="s">
        <v>54</v>
      </c>
      <c r="D9421" t="s">
        <v>11</v>
      </c>
      <c r="E9421" t="s">
        <v>65</v>
      </c>
      <c r="F9421" t="s">
        <v>67</v>
      </c>
      <c r="G9421" t="s">
        <v>163</v>
      </c>
      <c r="H9421" s="5">
        <v>6060</v>
      </c>
      <c r="I9421" s="6">
        <v>3592.9793102010913</v>
      </c>
      <c r="J9421" s="5">
        <v>26044</v>
      </c>
      <c r="K9421" s="6">
        <v>1.6866225705209628</v>
      </c>
    </row>
    <row r="9422" spans="1:11">
      <c r="A9422" s="4">
        <v>2026</v>
      </c>
      <c r="B9422">
        <v>35</v>
      </c>
      <c r="C9422" t="s">
        <v>54</v>
      </c>
      <c r="D9422" t="s">
        <v>11</v>
      </c>
      <c r="E9422" t="s">
        <v>65</v>
      </c>
      <c r="F9422" t="s">
        <v>57</v>
      </c>
      <c r="G9422" t="s">
        <v>164</v>
      </c>
      <c r="H9422" s="5">
        <v>1975</v>
      </c>
      <c r="I9422" s="6">
        <v>1268.1103447768633</v>
      </c>
      <c r="J9422" s="5">
        <v>9600</v>
      </c>
      <c r="K9422" s="6">
        <v>1.5574354456886961</v>
      </c>
    </row>
    <row r="9423" spans="1:11">
      <c r="A9423" s="4">
        <v>2026</v>
      </c>
      <c r="B9423">
        <v>35</v>
      </c>
      <c r="C9423" t="s">
        <v>54</v>
      </c>
      <c r="D9423" t="s">
        <v>11</v>
      </c>
      <c r="E9423" t="s">
        <v>65</v>
      </c>
      <c r="F9423" t="s">
        <v>68</v>
      </c>
      <c r="G9423" t="s">
        <v>165</v>
      </c>
      <c r="H9423" s="5">
        <v>550</v>
      </c>
      <c r="I9423" s="6">
        <v>528.37931032368999</v>
      </c>
      <c r="J9423" s="5">
        <v>4000</v>
      </c>
      <c r="K9423" s="6">
        <v>1.0409188801565015</v>
      </c>
    </row>
    <row r="9424" spans="1:11">
      <c r="A9424" s="4">
        <v>2026</v>
      </c>
      <c r="B9424">
        <v>35</v>
      </c>
      <c r="C9424" t="s">
        <v>54</v>
      </c>
      <c r="D9424" t="s">
        <v>11</v>
      </c>
      <c r="E9424" t="s">
        <v>65</v>
      </c>
      <c r="F9424" t="s">
        <v>69</v>
      </c>
      <c r="G9424" t="s">
        <v>166</v>
      </c>
      <c r="H9424" s="5">
        <v>1470</v>
      </c>
      <c r="I9424" s="6">
        <v>1162.4344827121247</v>
      </c>
      <c r="J9424" s="5">
        <v>8800</v>
      </c>
      <c r="K9424" s="6">
        <v>1.2645873998595443</v>
      </c>
    </row>
    <row r="9425" spans="1:11">
      <c r="A9425" s="4">
        <v>2026</v>
      </c>
      <c r="B9425">
        <v>35</v>
      </c>
      <c r="C9425" t="s">
        <v>54</v>
      </c>
      <c r="D9425" t="s">
        <v>11</v>
      </c>
      <c r="E9425" t="s">
        <v>14</v>
      </c>
      <c r="F9425" t="s">
        <v>70</v>
      </c>
      <c r="G9425" t="s">
        <v>167</v>
      </c>
      <c r="H9425" s="5">
        <v>1560</v>
      </c>
      <c r="I9425" s="6">
        <v>528.3915024419166</v>
      </c>
      <c r="J9425" s="5">
        <v>4000</v>
      </c>
      <c r="K9425" s="6">
        <v>2.952356335767309</v>
      </c>
    </row>
    <row r="9426" spans="1:11">
      <c r="A9426" s="4">
        <v>2026</v>
      </c>
      <c r="B9426">
        <v>35</v>
      </c>
      <c r="C9426" t="s">
        <v>54</v>
      </c>
      <c r="D9426" t="s">
        <v>11</v>
      </c>
      <c r="E9426" t="s">
        <v>14</v>
      </c>
      <c r="F9426" t="s">
        <v>67</v>
      </c>
      <c r="G9426" t="s">
        <v>168</v>
      </c>
      <c r="H9426" s="5">
        <v>6210</v>
      </c>
      <c r="I9426" s="6">
        <v>3910.1071427007282</v>
      </c>
      <c r="J9426" s="5">
        <v>29260</v>
      </c>
      <c r="K9426" s="6">
        <v>1.588191774128912</v>
      </c>
    </row>
    <row r="9427" spans="1:11">
      <c r="A9427" s="4">
        <v>2026</v>
      </c>
      <c r="B9427">
        <v>35</v>
      </c>
      <c r="C9427" t="s">
        <v>54</v>
      </c>
      <c r="D9427" t="s">
        <v>11</v>
      </c>
      <c r="E9427" t="s">
        <v>14</v>
      </c>
      <c r="F9427" t="s">
        <v>71</v>
      </c>
      <c r="G9427" t="s">
        <v>169</v>
      </c>
      <c r="H9427" s="5">
        <v>3025</v>
      </c>
      <c r="I9427" s="6">
        <v>1902.2142856381945</v>
      </c>
      <c r="J9427" s="5">
        <v>14400</v>
      </c>
      <c r="K9427" s="6">
        <v>1.5902519620627862</v>
      </c>
    </row>
    <row r="9428" spans="1:11">
      <c r="A9428" s="4">
        <v>2026</v>
      </c>
      <c r="B9428">
        <v>35</v>
      </c>
      <c r="C9428" t="s">
        <v>54</v>
      </c>
      <c r="D9428" t="s">
        <v>11</v>
      </c>
      <c r="E9428" t="s">
        <v>14</v>
      </c>
      <c r="F9428" t="s">
        <v>72</v>
      </c>
      <c r="G9428" t="s">
        <v>170</v>
      </c>
      <c r="H9428" s="5">
        <v>2010</v>
      </c>
      <c r="I9428" s="6">
        <v>1162.4642856677858</v>
      </c>
      <c r="J9428" s="5">
        <v>8800</v>
      </c>
      <c r="K9428" s="6">
        <v>1.7290853790362612</v>
      </c>
    </row>
    <row r="9429" spans="1:11">
      <c r="A9429" s="4">
        <v>2026</v>
      </c>
      <c r="B9429">
        <v>35</v>
      </c>
      <c r="C9429" t="s">
        <v>54</v>
      </c>
      <c r="D9429" t="s">
        <v>11</v>
      </c>
      <c r="E9429" t="s">
        <v>14</v>
      </c>
      <c r="F9429" t="s">
        <v>64</v>
      </c>
      <c r="G9429" t="s">
        <v>171</v>
      </c>
      <c r="H9429" s="5">
        <v>720</v>
      </c>
      <c r="I9429" s="6">
        <v>317.03571427303262</v>
      </c>
      <c r="J9429" s="5">
        <v>2400</v>
      </c>
      <c r="K9429" s="6">
        <v>2.2710375127640434</v>
      </c>
    </row>
    <row r="9430" spans="1:11">
      <c r="A9430" s="4">
        <v>2026</v>
      </c>
      <c r="B9430">
        <v>35</v>
      </c>
      <c r="C9430" t="s">
        <v>54</v>
      </c>
      <c r="D9430" t="s">
        <v>11</v>
      </c>
      <c r="E9430" t="s">
        <v>16</v>
      </c>
      <c r="F9430" t="s">
        <v>57</v>
      </c>
      <c r="G9430" t="s">
        <v>172</v>
      </c>
      <c r="H9430" s="5">
        <v>925</v>
      </c>
      <c r="I9430" s="6">
        <v>951.10714281875391</v>
      </c>
      <c r="J9430" s="5">
        <v>7200</v>
      </c>
      <c r="K9430" s="6">
        <v>0.97255078671643513</v>
      </c>
    </row>
    <row r="9431" spans="1:11">
      <c r="A9431" s="4">
        <v>2026</v>
      </c>
      <c r="B9431">
        <v>35</v>
      </c>
      <c r="C9431" t="s">
        <v>54</v>
      </c>
      <c r="D9431" t="s">
        <v>11</v>
      </c>
      <c r="E9431" t="s">
        <v>16</v>
      </c>
      <c r="F9431" t="s">
        <v>73</v>
      </c>
      <c r="G9431" t="s">
        <v>173</v>
      </c>
      <c r="H9431" s="5">
        <v>750</v>
      </c>
      <c r="I9431" s="6">
        <v>898.26785710660101</v>
      </c>
      <c r="J9431" s="5">
        <v>6800</v>
      </c>
      <c r="K9431" s="6">
        <v>0.8349402620459061</v>
      </c>
    </row>
    <row r="9432" spans="1:11">
      <c r="A9432" s="4">
        <v>2026</v>
      </c>
      <c r="B9432">
        <v>35</v>
      </c>
      <c r="C9432" t="s">
        <v>54</v>
      </c>
      <c r="D9432" t="s">
        <v>11</v>
      </c>
      <c r="E9432" t="s">
        <v>16</v>
      </c>
      <c r="F9432" t="s">
        <v>68</v>
      </c>
      <c r="G9432" t="s">
        <v>174</v>
      </c>
      <c r="H9432" s="5">
        <v>1350</v>
      </c>
      <c r="I9432" s="6">
        <v>1162.4642856673661</v>
      </c>
      <c r="J9432" s="5">
        <v>8800</v>
      </c>
      <c r="K9432" s="6">
        <v>1.1613260008456694</v>
      </c>
    </row>
    <row r="9433" spans="1:11">
      <c r="A9433" s="4">
        <v>2026</v>
      </c>
      <c r="B9433">
        <v>35</v>
      </c>
      <c r="C9433" t="s">
        <v>54</v>
      </c>
      <c r="D9433" t="s">
        <v>11</v>
      </c>
      <c r="E9433" t="s">
        <v>16</v>
      </c>
      <c r="F9433" t="s">
        <v>74</v>
      </c>
      <c r="G9433" t="s">
        <v>175</v>
      </c>
      <c r="H9433" s="5">
        <v>1920</v>
      </c>
      <c r="I9433" s="6">
        <v>686.91071425798896</v>
      </c>
      <c r="J9433" s="5">
        <v>5200</v>
      </c>
      <c r="K9433" s="6">
        <v>2.7951230926336796</v>
      </c>
    </row>
    <row r="9434" spans="1:11">
      <c r="A9434" s="4">
        <v>2026</v>
      </c>
      <c r="B9434">
        <v>35</v>
      </c>
      <c r="C9434" t="s">
        <v>54</v>
      </c>
      <c r="D9434" t="s">
        <v>11</v>
      </c>
      <c r="E9434" t="s">
        <v>75</v>
      </c>
      <c r="F9434" t="s">
        <v>76</v>
      </c>
      <c r="G9434" t="s">
        <v>176</v>
      </c>
      <c r="H9434" s="5">
        <v>650</v>
      </c>
      <c r="I9434" s="6">
        <v>845.428571394752</v>
      </c>
      <c r="J9434" s="5">
        <v>6400</v>
      </c>
      <c r="K9434" s="6">
        <v>0.7688408246336621</v>
      </c>
    </row>
    <row r="9435" spans="1:11">
      <c r="A9435" s="4">
        <v>2026</v>
      </c>
      <c r="B9435">
        <v>35</v>
      </c>
      <c r="C9435" t="s">
        <v>54</v>
      </c>
      <c r="D9435" t="s">
        <v>11</v>
      </c>
      <c r="E9435" t="s">
        <v>75</v>
      </c>
      <c r="F9435" t="s">
        <v>57</v>
      </c>
      <c r="G9435" t="s">
        <v>177</v>
      </c>
      <c r="H9435" s="5">
        <v>5450</v>
      </c>
      <c r="I9435" s="6">
        <v>3910.1071427007355</v>
      </c>
      <c r="J9435" s="5">
        <v>29600</v>
      </c>
      <c r="K9435" s="6">
        <v>1.3938236987121664</v>
      </c>
    </row>
    <row r="9436" spans="1:11">
      <c r="A9436" s="4">
        <v>2026</v>
      </c>
      <c r="B9436">
        <v>35</v>
      </c>
      <c r="C9436" t="s">
        <v>54</v>
      </c>
      <c r="D9436" t="s">
        <v>11</v>
      </c>
      <c r="E9436" t="s">
        <v>75</v>
      </c>
      <c r="F9436" t="s">
        <v>77</v>
      </c>
      <c r="G9436" t="s">
        <v>178</v>
      </c>
      <c r="H9436" s="5">
        <v>4825</v>
      </c>
      <c r="I9436" s="6">
        <v>4015.7857141250793</v>
      </c>
      <c r="J9436" s="5">
        <v>30400</v>
      </c>
      <c r="K9436" s="6">
        <v>1.2015083332331702</v>
      </c>
    </row>
    <row r="9437" spans="1:11">
      <c r="A9437" s="4">
        <v>2026</v>
      </c>
      <c r="B9437">
        <v>35</v>
      </c>
      <c r="C9437" t="s">
        <v>54</v>
      </c>
      <c r="D9437" t="s">
        <v>11</v>
      </c>
      <c r="E9437" t="s">
        <v>20</v>
      </c>
      <c r="F9437" t="s">
        <v>70</v>
      </c>
      <c r="G9437" t="s">
        <v>179</v>
      </c>
      <c r="H9437" s="5">
        <v>8490</v>
      </c>
      <c r="I9437" s="6">
        <v>2747.5751230427709</v>
      </c>
      <c r="J9437" s="5">
        <v>20800</v>
      </c>
      <c r="K9437" s="6">
        <v>3.0899974049109331</v>
      </c>
    </row>
    <row r="9438" spans="1:11">
      <c r="A9438" s="4">
        <v>2026</v>
      </c>
      <c r="B9438">
        <v>35</v>
      </c>
      <c r="C9438" t="s">
        <v>54</v>
      </c>
      <c r="D9438" t="s">
        <v>11</v>
      </c>
      <c r="E9438" t="s">
        <v>20</v>
      </c>
      <c r="F9438" t="s">
        <v>78</v>
      </c>
      <c r="G9438" t="s">
        <v>180</v>
      </c>
      <c r="H9438" s="5">
        <v>1650</v>
      </c>
      <c r="I9438" s="6">
        <v>1056.75862064738</v>
      </c>
      <c r="J9438" s="5">
        <v>9600</v>
      </c>
      <c r="K9438" s="6">
        <v>1.5613783202347522</v>
      </c>
    </row>
    <row r="9439" spans="1:11">
      <c r="A9439" s="4">
        <v>2026</v>
      </c>
      <c r="B9439">
        <v>35</v>
      </c>
      <c r="C9439" t="s">
        <v>54</v>
      </c>
      <c r="D9439" t="s">
        <v>11</v>
      </c>
      <c r="E9439" t="s">
        <v>20</v>
      </c>
      <c r="F9439" t="s">
        <v>63</v>
      </c>
      <c r="G9439" t="s">
        <v>181</v>
      </c>
      <c r="H9439" s="5">
        <v>0</v>
      </c>
      <c r="I9439" s="6">
        <v>369.86551722658481</v>
      </c>
      <c r="J9439" s="5">
        <v>3080</v>
      </c>
      <c r="K9439" s="6">
        <v>0</v>
      </c>
    </row>
    <row r="9440" spans="1:11">
      <c r="A9440" s="4">
        <v>2026</v>
      </c>
      <c r="B9440">
        <v>35</v>
      </c>
      <c r="C9440" t="s">
        <v>54</v>
      </c>
      <c r="D9440" t="s">
        <v>11</v>
      </c>
      <c r="E9440" t="s">
        <v>20</v>
      </c>
      <c r="F9440" t="s">
        <v>74</v>
      </c>
      <c r="G9440" t="s">
        <v>182</v>
      </c>
      <c r="H9440" s="5">
        <v>12090</v>
      </c>
      <c r="I9440" s="6">
        <v>3592.9793102011122</v>
      </c>
      <c r="J9440" s="5">
        <v>27820</v>
      </c>
      <c r="K9440" s="6">
        <v>3.3648955243561587</v>
      </c>
    </row>
    <row r="9441" spans="1:11">
      <c r="A9441" s="4">
        <v>2026</v>
      </c>
      <c r="B9441">
        <v>35</v>
      </c>
      <c r="C9441" t="s">
        <v>54</v>
      </c>
      <c r="D9441" t="s">
        <v>11</v>
      </c>
      <c r="E9441" t="s">
        <v>79</v>
      </c>
      <c r="F9441" t="s">
        <v>67</v>
      </c>
      <c r="G9441" t="s">
        <v>183</v>
      </c>
      <c r="H9441" s="5">
        <v>1920</v>
      </c>
      <c r="I9441" s="6">
        <v>1585.2222221588099</v>
      </c>
      <c r="J9441" s="5">
        <v>11490</v>
      </c>
      <c r="K9441" s="6">
        <v>1.2111866545658678</v>
      </c>
    </row>
    <row r="9442" spans="1:11">
      <c r="A9442" s="4">
        <v>2026</v>
      </c>
      <c r="B9442">
        <v>35</v>
      </c>
      <c r="C9442" t="s">
        <v>54</v>
      </c>
      <c r="D9442" t="s">
        <v>11</v>
      </c>
      <c r="E9442" t="s">
        <v>79</v>
      </c>
      <c r="F9442" t="s">
        <v>81</v>
      </c>
      <c r="G9442" t="s">
        <v>184</v>
      </c>
      <c r="H9442" s="5">
        <v>3060</v>
      </c>
      <c r="I9442" s="6">
        <v>2219.311111022334</v>
      </c>
      <c r="J9442" s="5">
        <v>16800</v>
      </c>
      <c r="K9442" s="6">
        <v>1.378806236224537</v>
      </c>
    </row>
    <row r="9443" spans="1:11">
      <c r="A9443" s="4">
        <v>2026</v>
      </c>
      <c r="B9443">
        <v>35</v>
      </c>
      <c r="C9443" t="s">
        <v>54</v>
      </c>
      <c r="D9443" t="s">
        <v>11</v>
      </c>
      <c r="E9443" t="s">
        <v>79</v>
      </c>
      <c r="F9443" t="s">
        <v>68</v>
      </c>
      <c r="G9443" t="s">
        <v>185</v>
      </c>
      <c r="H9443" s="5">
        <v>4700</v>
      </c>
      <c r="I9443" s="6">
        <v>2959.0814813631118</v>
      </c>
      <c r="J9443" s="5">
        <v>22400</v>
      </c>
      <c r="K9443" s="6">
        <v>1.5883307132978737</v>
      </c>
    </row>
    <row r="9444" spans="1:11">
      <c r="A9444" s="4">
        <v>2026</v>
      </c>
      <c r="B9444">
        <v>35</v>
      </c>
      <c r="C9444" t="s">
        <v>54</v>
      </c>
      <c r="D9444" t="s">
        <v>11</v>
      </c>
      <c r="E9444" t="s">
        <v>79</v>
      </c>
      <c r="F9444" t="s">
        <v>61</v>
      </c>
      <c r="G9444" t="s">
        <v>186</v>
      </c>
      <c r="H9444" s="5">
        <v>0</v>
      </c>
      <c r="I9444" s="6">
        <v>1796.5851851133182</v>
      </c>
      <c r="J9444" s="5">
        <v>13600</v>
      </c>
      <c r="K9444" s="6">
        <v>0</v>
      </c>
    </row>
    <row r="9445" spans="1:11">
      <c r="A9445" s="4">
        <v>2026</v>
      </c>
      <c r="B9445">
        <v>35</v>
      </c>
      <c r="C9445" t="s">
        <v>54</v>
      </c>
      <c r="D9445" t="s">
        <v>11</v>
      </c>
      <c r="E9445" t="s">
        <v>82</v>
      </c>
      <c r="F9445" t="s">
        <v>83</v>
      </c>
      <c r="G9445" t="s">
        <v>187</v>
      </c>
      <c r="H9445" s="5">
        <v>2575</v>
      </c>
      <c r="I9445" s="6">
        <v>1912.3542857142861</v>
      </c>
      <c r="J9445" s="5">
        <v>16320</v>
      </c>
      <c r="K9445" s="6">
        <v>1.3465078198301568</v>
      </c>
    </row>
    <row r="9446" spans="1:11">
      <c r="A9446" s="4">
        <v>2026</v>
      </c>
      <c r="B9446">
        <v>35</v>
      </c>
      <c r="C9446" t="s">
        <v>54</v>
      </c>
      <c r="D9446" t="s">
        <v>11</v>
      </c>
      <c r="E9446" t="s">
        <v>82</v>
      </c>
      <c r="F9446" t="s">
        <v>84</v>
      </c>
      <c r="G9446" t="s">
        <v>188</v>
      </c>
      <c r="H9446" s="5">
        <v>3570</v>
      </c>
      <c r="I9446" s="6">
        <v>2812.2857142428579</v>
      </c>
      <c r="J9446" s="5">
        <v>20000</v>
      </c>
      <c r="K9446" s="6">
        <v>1.2694300518328163</v>
      </c>
    </row>
    <row r="9447" spans="1:11">
      <c r="A9447" s="4">
        <v>2026</v>
      </c>
      <c r="B9447">
        <v>35</v>
      </c>
      <c r="C9447" t="s">
        <v>54</v>
      </c>
      <c r="D9447" t="s">
        <v>11</v>
      </c>
      <c r="E9447" t="s">
        <v>85</v>
      </c>
      <c r="F9447" t="s">
        <v>86</v>
      </c>
      <c r="G9447" t="s">
        <v>189</v>
      </c>
      <c r="H9447" s="5">
        <v>3450</v>
      </c>
      <c r="I9447" s="6">
        <v>1768.8376470588223</v>
      </c>
      <c r="J9447" s="5">
        <v>12800</v>
      </c>
      <c r="K9447" s="6">
        <v>1.9504333853005509</v>
      </c>
    </row>
    <row r="9448" spans="1:11">
      <c r="A9448" s="4">
        <v>2026</v>
      </c>
      <c r="B9448">
        <v>35</v>
      </c>
      <c r="C9448" t="s">
        <v>54</v>
      </c>
      <c r="D9448" t="s">
        <v>11</v>
      </c>
      <c r="E9448" t="s">
        <v>85</v>
      </c>
      <c r="F9448" t="s">
        <v>87</v>
      </c>
      <c r="G9448" t="s">
        <v>190</v>
      </c>
      <c r="H9448" s="5">
        <v>5120</v>
      </c>
      <c r="I9448" s="6">
        <v>2263.7999998868127</v>
      </c>
      <c r="J9448" s="5">
        <v>17920</v>
      </c>
      <c r="K9448" s="6">
        <v>2.2616838944500373</v>
      </c>
    </row>
    <row r="9449" spans="1:11">
      <c r="A9449" s="4">
        <v>2026</v>
      </c>
      <c r="B9449">
        <v>35</v>
      </c>
      <c r="C9449" t="s">
        <v>54</v>
      </c>
      <c r="D9449" t="s">
        <v>11</v>
      </c>
      <c r="E9449" t="s">
        <v>85</v>
      </c>
      <c r="F9449" t="s">
        <v>88</v>
      </c>
      <c r="G9449" t="s">
        <v>191</v>
      </c>
      <c r="H9449" s="5">
        <v>1020</v>
      </c>
      <c r="I9449" s="6">
        <v>994.97117647058747</v>
      </c>
      <c r="J9449" s="5">
        <v>7200</v>
      </c>
      <c r="K9449" s="6">
        <v>1.0251553252207728</v>
      </c>
    </row>
    <row r="9450" spans="1:11">
      <c r="A9450" s="4">
        <v>2026</v>
      </c>
      <c r="B9450">
        <v>35</v>
      </c>
      <c r="C9450" t="s">
        <v>54</v>
      </c>
      <c r="D9450" t="s">
        <v>11</v>
      </c>
      <c r="E9450" t="s">
        <v>85</v>
      </c>
      <c r="F9450" t="s">
        <v>61</v>
      </c>
      <c r="G9450" t="s">
        <v>192</v>
      </c>
      <c r="H9450" s="5">
        <v>1200</v>
      </c>
      <c r="I9450" s="6">
        <v>994.97117647058747</v>
      </c>
      <c r="J9450" s="5">
        <v>7920</v>
      </c>
      <c r="K9450" s="6">
        <v>1.2060650884950268</v>
      </c>
    </row>
    <row r="9451" spans="1:11">
      <c r="A9451" s="4">
        <v>2026</v>
      </c>
      <c r="B9451">
        <v>35</v>
      </c>
      <c r="C9451" t="s">
        <v>54</v>
      </c>
      <c r="D9451" t="s">
        <v>11</v>
      </c>
      <c r="E9451" t="s">
        <v>85</v>
      </c>
      <c r="F9451" t="s">
        <v>89</v>
      </c>
      <c r="G9451" t="s">
        <v>193</v>
      </c>
      <c r="H9451" s="5">
        <v>2775</v>
      </c>
      <c r="I9451" s="6">
        <v>2263.7999998868127</v>
      </c>
      <c r="J9451" s="5">
        <v>17920</v>
      </c>
      <c r="K9451" s="6">
        <v>1.2258150013864948</v>
      </c>
    </row>
    <row r="9452" spans="1:11">
      <c r="A9452" s="4">
        <v>2026</v>
      </c>
      <c r="B9452">
        <v>35</v>
      </c>
      <c r="C9452" t="s">
        <v>54</v>
      </c>
      <c r="D9452" t="s">
        <v>11</v>
      </c>
      <c r="E9452" t="s">
        <v>90</v>
      </c>
      <c r="F9452" t="s">
        <v>67</v>
      </c>
      <c r="G9452" t="s">
        <v>194</v>
      </c>
      <c r="H9452" s="5">
        <v>9570</v>
      </c>
      <c r="I9452" s="6">
        <v>6727.0499997982479</v>
      </c>
      <c r="J9452" s="5">
        <v>49210</v>
      </c>
      <c r="K9452" s="6">
        <v>1.4226146676904461</v>
      </c>
    </row>
    <row r="9453" spans="1:11">
      <c r="A9453" s="4">
        <v>2026</v>
      </c>
      <c r="B9453">
        <v>35</v>
      </c>
      <c r="C9453" t="s">
        <v>54</v>
      </c>
      <c r="D9453" t="s">
        <v>11</v>
      </c>
      <c r="E9453" t="s">
        <v>90</v>
      </c>
      <c r="F9453" t="s">
        <v>60</v>
      </c>
      <c r="G9453" t="s">
        <v>195</v>
      </c>
      <c r="H9453" s="5">
        <v>1080</v>
      </c>
      <c r="I9453" s="6">
        <v>994.95</v>
      </c>
      <c r="J9453" s="5">
        <v>7200</v>
      </c>
      <c r="K9453" s="6">
        <v>1.0854816824966078</v>
      </c>
    </row>
    <row r="9454" spans="1:11">
      <c r="A9454" s="4">
        <v>2026</v>
      </c>
      <c r="B9454">
        <v>35</v>
      </c>
      <c r="C9454" t="s">
        <v>54</v>
      </c>
      <c r="D9454" t="s">
        <v>11</v>
      </c>
      <c r="E9454" t="s">
        <v>91</v>
      </c>
      <c r="F9454" t="s">
        <v>92</v>
      </c>
      <c r="G9454" t="s">
        <v>196</v>
      </c>
      <c r="H9454" s="5">
        <v>1425</v>
      </c>
      <c r="I9454" s="6">
        <v>831.6</v>
      </c>
      <c r="J9454" s="5">
        <v>6300</v>
      </c>
      <c r="K9454" s="6">
        <v>1.7135642135642135</v>
      </c>
    </row>
    <row r="9455" spans="1:11">
      <c r="A9455" s="4">
        <v>2026</v>
      </c>
      <c r="B9455">
        <v>35</v>
      </c>
      <c r="C9455" t="s">
        <v>54</v>
      </c>
      <c r="D9455" t="s">
        <v>11</v>
      </c>
      <c r="E9455" t="s">
        <v>91</v>
      </c>
      <c r="F9455" t="s">
        <v>93</v>
      </c>
      <c r="G9455" t="s">
        <v>197</v>
      </c>
      <c r="H9455" s="5">
        <v>2300</v>
      </c>
      <c r="I9455" s="6">
        <v>1267.2</v>
      </c>
      <c r="J9455" s="5">
        <v>9600</v>
      </c>
      <c r="K9455" s="6">
        <v>1.8150252525252524</v>
      </c>
    </row>
    <row r="9456" spans="1:11">
      <c r="A9456" s="4">
        <v>2026</v>
      </c>
      <c r="B9456">
        <v>35</v>
      </c>
      <c r="C9456" t="s">
        <v>54</v>
      </c>
      <c r="D9456" t="s">
        <v>11</v>
      </c>
      <c r="E9456" t="s">
        <v>91</v>
      </c>
      <c r="F9456" t="s">
        <v>61</v>
      </c>
      <c r="G9456" t="s">
        <v>198</v>
      </c>
      <c r="H9456" s="5">
        <v>270</v>
      </c>
      <c r="I9456" s="6">
        <v>316.8</v>
      </c>
      <c r="J9456" s="5">
        <v>2400</v>
      </c>
      <c r="K9456" s="6">
        <v>0.85227272727272729</v>
      </c>
    </row>
    <row r="9457" spans="1:11">
      <c r="A9457" s="4">
        <v>2026</v>
      </c>
      <c r="B9457">
        <v>35</v>
      </c>
      <c r="C9457" t="s">
        <v>54</v>
      </c>
      <c r="D9457" t="s">
        <v>11</v>
      </c>
      <c r="E9457" t="s">
        <v>91</v>
      </c>
      <c r="F9457" t="s">
        <v>74</v>
      </c>
      <c r="G9457" t="s">
        <v>199</v>
      </c>
      <c r="H9457" s="5">
        <v>8700</v>
      </c>
      <c r="I9457" s="6">
        <v>3603.6</v>
      </c>
      <c r="J9457" s="5">
        <v>27296</v>
      </c>
      <c r="K9457" s="6">
        <v>2.4142524142524144</v>
      </c>
    </row>
    <row r="9458" spans="1:11">
      <c r="A9458" s="4">
        <v>2026</v>
      </c>
      <c r="B9458">
        <v>35</v>
      </c>
      <c r="C9458" t="s">
        <v>54</v>
      </c>
      <c r="D9458" t="s">
        <v>11</v>
      </c>
      <c r="E9458" t="s">
        <v>23</v>
      </c>
      <c r="F9458" t="s">
        <v>89</v>
      </c>
      <c r="G9458" t="s">
        <v>200</v>
      </c>
      <c r="H9458" s="5">
        <v>5300</v>
      </c>
      <c r="I9458" s="6">
        <v>3682.8</v>
      </c>
      <c r="J9458" s="5">
        <v>27900</v>
      </c>
      <c r="K9458" s="6">
        <v>1.4391224068643422</v>
      </c>
    </row>
    <row r="9459" spans="1:11">
      <c r="A9459" s="4">
        <v>2026</v>
      </c>
      <c r="B9459">
        <v>35</v>
      </c>
      <c r="C9459" t="s">
        <v>54</v>
      </c>
      <c r="D9459" t="s">
        <v>11</v>
      </c>
      <c r="E9459" t="s">
        <v>25</v>
      </c>
      <c r="F9459" t="s">
        <v>68</v>
      </c>
      <c r="G9459" t="s">
        <v>201</v>
      </c>
      <c r="H9459" s="5">
        <v>2775</v>
      </c>
      <c r="I9459" s="6">
        <v>2376</v>
      </c>
      <c r="J9459" s="5">
        <v>18000</v>
      </c>
      <c r="K9459" s="6">
        <v>1.167929292929293</v>
      </c>
    </row>
    <row r="9460" spans="1:11">
      <c r="A9460" s="4">
        <v>2026</v>
      </c>
      <c r="B9460">
        <v>35</v>
      </c>
      <c r="C9460" t="s">
        <v>54</v>
      </c>
      <c r="D9460" t="s">
        <v>11</v>
      </c>
      <c r="E9460" t="s">
        <v>27</v>
      </c>
      <c r="F9460" t="s">
        <v>94</v>
      </c>
      <c r="G9460" t="s">
        <v>202</v>
      </c>
      <c r="H9460" s="5">
        <v>660</v>
      </c>
      <c r="I9460" s="6">
        <v>950.4</v>
      </c>
      <c r="J9460" s="5">
        <v>7200</v>
      </c>
      <c r="K9460" s="6">
        <v>0.69444444444444442</v>
      </c>
    </row>
    <row r="9461" spans="1:11">
      <c r="A9461" s="4">
        <v>2026</v>
      </c>
      <c r="B9461">
        <v>35</v>
      </c>
      <c r="C9461" t="s">
        <v>54</v>
      </c>
      <c r="D9461" t="s">
        <v>11</v>
      </c>
      <c r="E9461" t="s">
        <v>27</v>
      </c>
      <c r="F9461" t="s">
        <v>95</v>
      </c>
      <c r="G9461" t="s">
        <v>203</v>
      </c>
      <c r="H9461" s="5">
        <v>2450</v>
      </c>
      <c r="I9461" s="6">
        <v>1346.4</v>
      </c>
      <c r="J9461" s="5">
        <v>10200</v>
      </c>
      <c r="K9461" s="6">
        <v>1.8196672608437312</v>
      </c>
    </row>
    <row r="9462" spans="1:11">
      <c r="A9462" s="4">
        <v>2026</v>
      </c>
      <c r="B9462">
        <v>35</v>
      </c>
      <c r="C9462" t="s">
        <v>54</v>
      </c>
      <c r="D9462" t="s">
        <v>11</v>
      </c>
      <c r="E9462" t="s">
        <v>30</v>
      </c>
      <c r="F9462" t="s">
        <v>81</v>
      </c>
      <c r="G9462" t="s">
        <v>204</v>
      </c>
      <c r="H9462" s="5">
        <v>3360</v>
      </c>
      <c r="I9462" s="6">
        <v>2851.2</v>
      </c>
      <c r="J9462" s="5">
        <v>21600</v>
      </c>
      <c r="K9462" s="6">
        <v>1.1784511784511784</v>
      </c>
    </row>
    <row r="9463" spans="1:11">
      <c r="A9463" s="4">
        <v>2026</v>
      </c>
      <c r="B9463">
        <v>35</v>
      </c>
      <c r="C9463" t="s">
        <v>54</v>
      </c>
      <c r="D9463" t="s">
        <v>11</v>
      </c>
      <c r="E9463" t="s">
        <v>30</v>
      </c>
      <c r="F9463" t="s">
        <v>73</v>
      </c>
      <c r="G9463" t="s">
        <v>205</v>
      </c>
      <c r="H9463" s="5">
        <v>1750</v>
      </c>
      <c r="I9463" s="6">
        <v>2138.4</v>
      </c>
      <c r="J9463" s="5">
        <v>16200</v>
      </c>
      <c r="K9463" s="6">
        <v>0.81836887392442947</v>
      </c>
    </row>
    <row r="9464" spans="1:11">
      <c r="A9464" s="4">
        <v>2026</v>
      </c>
      <c r="B9464">
        <v>35</v>
      </c>
      <c r="C9464" t="s">
        <v>54</v>
      </c>
      <c r="D9464" t="s">
        <v>11</v>
      </c>
      <c r="E9464" t="s">
        <v>32</v>
      </c>
      <c r="F9464" t="s">
        <v>86</v>
      </c>
      <c r="G9464" t="s">
        <v>206</v>
      </c>
      <c r="H9464" s="5">
        <v>1425</v>
      </c>
      <c r="I9464" s="6">
        <v>963.6</v>
      </c>
      <c r="J9464" s="5">
        <v>7570</v>
      </c>
      <c r="K9464" s="6">
        <v>1.4788293897882938</v>
      </c>
    </row>
    <row r="9465" spans="1:11">
      <c r="A9465" s="4">
        <v>2026</v>
      </c>
      <c r="B9465">
        <v>35</v>
      </c>
      <c r="C9465" t="s">
        <v>54</v>
      </c>
      <c r="D9465" t="s">
        <v>11</v>
      </c>
      <c r="E9465" t="s">
        <v>35</v>
      </c>
      <c r="F9465" t="s">
        <v>86</v>
      </c>
      <c r="G9465" t="s">
        <v>207</v>
      </c>
      <c r="H9465" s="5">
        <v>4575</v>
      </c>
      <c r="I9465" s="6">
        <v>3168</v>
      </c>
      <c r="J9465" s="5">
        <v>24000</v>
      </c>
      <c r="K9465" s="6">
        <v>1.4441287878787878</v>
      </c>
    </row>
    <row r="9466" spans="1:11">
      <c r="A9466" s="4">
        <v>2026</v>
      </c>
      <c r="B9466">
        <v>35</v>
      </c>
      <c r="C9466" t="s">
        <v>54</v>
      </c>
      <c r="D9466" t="s">
        <v>11</v>
      </c>
      <c r="E9466" t="s">
        <v>35</v>
      </c>
      <c r="F9466" t="s">
        <v>96</v>
      </c>
      <c r="G9466" t="s">
        <v>208</v>
      </c>
      <c r="H9466" s="5">
        <v>1980</v>
      </c>
      <c r="I9466" s="6">
        <v>1188</v>
      </c>
      <c r="J9466" s="5">
        <v>9000</v>
      </c>
      <c r="K9466" s="6">
        <v>1.6666666666666667</v>
      </c>
    </row>
    <row r="9467" spans="1:11">
      <c r="A9467" s="4">
        <v>2026</v>
      </c>
      <c r="B9467">
        <v>35</v>
      </c>
      <c r="C9467" t="s">
        <v>54</v>
      </c>
      <c r="D9467" t="s">
        <v>11</v>
      </c>
      <c r="E9467" t="s">
        <v>36</v>
      </c>
      <c r="F9467" t="s">
        <v>86</v>
      </c>
      <c r="G9467" t="s">
        <v>209</v>
      </c>
      <c r="H9467" s="5">
        <v>4500</v>
      </c>
      <c r="I9467" s="6">
        <v>2732.4</v>
      </c>
      <c r="J9467" s="5">
        <v>20700</v>
      </c>
      <c r="K9467" s="6">
        <v>1.6469038208168643</v>
      </c>
    </row>
    <row r="9468" spans="1:11">
      <c r="A9468" s="4">
        <v>2026</v>
      </c>
      <c r="B9468">
        <v>35</v>
      </c>
      <c r="C9468" t="s">
        <v>54</v>
      </c>
      <c r="D9468" t="s">
        <v>11</v>
      </c>
      <c r="E9468" t="s">
        <v>36</v>
      </c>
      <c r="F9468" t="s">
        <v>97</v>
      </c>
      <c r="G9468" t="s">
        <v>210</v>
      </c>
      <c r="H9468" s="5">
        <v>540</v>
      </c>
      <c r="I9468" s="6">
        <v>673.2</v>
      </c>
      <c r="J9468" s="5">
        <v>5100</v>
      </c>
      <c r="K9468" s="6">
        <v>0.80213903743315507</v>
      </c>
    </row>
    <row r="9469" spans="1:11">
      <c r="A9469" s="4">
        <v>2026</v>
      </c>
      <c r="B9469">
        <v>35</v>
      </c>
      <c r="C9469" t="s">
        <v>54</v>
      </c>
      <c r="D9469" t="s">
        <v>11</v>
      </c>
      <c r="E9469" t="s">
        <v>38</v>
      </c>
      <c r="F9469" t="s">
        <v>98</v>
      </c>
      <c r="G9469" t="s">
        <v>211</v>
      </c>
      <c r="H9469" s="5">
        <v>2075</v>
      </c>
      <c r="I9469" s="6">
        <v>1100.4749999999999</v>
      </c>
      <c r="J9469" s="5">
        <v>8000</v>
      </c>
      <c r="K9469" s="6">
        <v>1.8855494218405691</v>
      </c>
    </row>
    <row r="9470" spans="1:11">
      <c r="A9470" s="4">
        <v>2026</v>
      </c>
      <c r="B9470">
        <v>35</v>
      </c>
      <c r="C9470" t="s">
        <v>54</v>
      </c>
      <c r="D9470" t="s">
        <v>11</v>
      </c>
      <c r="E9470" t="s">
        <v>43</v>
      </c>
      <c r="F9470" t="s">
        <v>99</v>
      </c>
      <c r="G9470" t="s">
        <v>212</v>
      </c>
      <c r="H9470" s="5">
        <v>1875</v>
      </c>
      <c r="I9470" s="6">
        <v>1287</v>
      </c>
      <c r="J9470" s="5">
        <v>9400</v>
      </c>
      <c r="K9470" s="6">
        <v>1.4568764568764569</v>
      </c>
    </row>
    <row r="9471" spans="1:11">
      <c r="A9471" s="4">
        <v>2026</v>
      </c>
      <c r="B9471">
        <v>35</v>
      </c>
      <c r="C9471" t="s">
        <v>54</v>
      </c>
      <c r="D9471" t="s">
        <v>11</v>
      </c>
      <c r="E9471" t="s">
        <v>100</v>
      </c>
      <c r="F9471" t="s">
        <v>70</v>
      </c>
      <c r="G9471" t="s">
        <v>213</v>
      </c>
      <c r="H9471" s="5">
        <v>8250</v>
      </c>
      <c r="I9471" s="6">
        <v>2641.14</v>
      </c>
      <c r="J9471" s="5">
        <v>19200</v>
      </c>
      <c r="K9471" s="6">
        <v>3.1236511506394966</v>
      </c>
    </row>
    <row r="9472" spans="1:11">
      <c r="A9472" s="4">
        <v>2026</v>
      </c>
      <c r="B9472">
        <v>35</v>
      </c>
      <c r="C9472" t="s">
        <v>54</v>
      </c>
      <c r="D9472" t="s">
        <v>11</v>
      </c>
      <c r="E9472" t="s">
        <v>100</v>
      </c>
      <c r="F9472" t="s">
        <v>101</v>
      </c>
      <c r="G9472" t="s">
        <v>214</v>
      </c>
      <c r="H9472" s="5">
        <v>4410</v>
      </c>
      <c r="I9472" s="6">
        <v>2641.14</v>
      </c>
      <c r="J9472" s="5">
        <v>19200</v>
      </c>
      <c r="K9472" s="6">
        <v>1.669733524160022</v>
      </c>
    </row>
    <row r="9473" spans="1:11">
      <c r="A9473" s="4">
        <v>2026</v>
      </c>
      <c r="B9473">
        <v>35</v>
      </c>
      <c r="C9473" t="s">
        <v>54</v>
      </c>
      <c r="D9473" t="s">
        <v>11</v>
      </c>
      <c r="E9473" t="s">
        <v>102</v>
      </c>
      <c r="F9473" t="s">
        <v>70</v>
      </c>
      <c r="G9473" t="s">
        <v>215</v>
      </c>
      <c r="H9473" s="5">
        <v>4410</v>
      </c>
      <c r="I9473" s="6">
        <v>1430.6174906250001</v>
      </c>
      <c r="J9473" s="5">
        <v>10400</v>
      </c>
      <c r="K9473" s="6">
        <v>3.0825849878805718</v>
      </c>
    </row>
    <row r="9474" spans="1:11">
      <c r="A9474" s="4">
        <v>2026</v>
      </c>
      <c r="B9474">
        <v>35</v>
      </c>
      <c r="C9474" t="s">
        <v>54</v>
      </c>
      <c r="D9474" t="s">
        <v>11</v>
      </c>
      <c r="E9474" t="s">
        <v>102</v>
      </c>
      <c r="F9474" t="s">
        <v>64</v>
      </c>
      <c r="G9474" t="s">
        <v>216</v>
      </c>
      <c r="H9474" s="5">
        <v>2370</v>
      </c>
      <c r="I9474" s="6">
        <v>1430.6175000000001</v>
      </c>
      <c r="J9474" s="5">
        <v>10400</v>
      </c>
      <c r="K9474" s="6">
        <v>1.65662729555594</v>
      </c>
    </row>
    <row r="9475" spans="1:11">
      <c r="A9475" s="4">
        <v>2026</v>
      </c>
      <c r="B9475">
        <v>35</v>
      </c>
      <c r="C9475" t="s">
        <v>54</v>
      </c>
      <c r="D9475" t="s">
        <v>11</v>
      </c>
      <c r="E9475" t="s">
        <v>102</v>
      </c>
      <c r="F9475" t="s">
        <v>97</v>
      </c>
      <c r="G9475" t="s">
        <v>217</v>
      </c>
      <c r="H9475" s="5">
        <v>4590</v>
      </c>
      <c r="I9475" s="6">
        <v>2861.2350000000001</v>
      </c>
      <c r="J9475" s="5">
        <v>20800</v>
      </c>
      <c r="K9475" s="6">
        <v>1.6042023811396127</v>
      </c>
    </row>
    <row r="9476" spans="1:11">
      <c r="A9476" s="4">
        <v>2026</v>
      </c>
      <c r="B9476">
        <v>35</v>
      </c>
      <c r="C9476" t="s">
        <v>54</v>
      </c>
      <c r="D9476" t="s">
        <v>11</v>
      </c>
      <c r="E9476" t="s">
        <v>103</v>
      </c>
      <c r="F9476" t="s">
        <v>104</v>
      </c>
      <c r="G9476" t="s">
        <v>218</v>
      </c>
      <c r="H9476" s="5">
        <v>3300</v>
      </c>
      <c r="I9476" s="6">
        <v>3071.9505625000002</v>
      </c>
      <c r="J9476" s="5">
        <v>22400</v>
      </c>
      <c r="K9476" s="6">
        <v>1.0742360376120148</v>
      </c>
    </row>
    <row r="9477" spans="1:11">
      <c r="A9477" s="4">
        <v>2026</v>
      </c>
      <c r="B9477">
        <v>35</v>
      </c>
      <c r="C9477" t="s">
        <v>54</v>
      </c>
      <c r="D9477" t="s">
        <v>11</v>
      </c>
      <c r="E9477" t="s">
        <v>45</v>
      </c>
      <c r="F9477" t="s">
        <v>105</v>
      </c>
      <c r="G9477" t="s">
        <v>219</v>
      </c>
      <c r="H9477" s="5">
        <v>2700</v>
      </c>
      <c r="I9477" s="6">
        <v>1097.125</v>
      </c>
      <c r="J9477" s="5">
        <v>8000</v>
      </c>
      <c r="K9477" s="6">
        <v>2.4609775549732253</v>
      </c>
    </row>
    <row r="9478" spans="1:11">
      <c r="A9478" s="4">
        <v>2026</v>
      </c>
      <c r="B9478">
        <v>35</v>
      </c>
      <c r="C9478" t="s">
        <v>54</v>
      </c>
      <c r="D9478" t="s">
        <v>11</v>
      </c>
      <c r="E9478" t="s">
        <v>45</v>
      </c>
      <c r="F9478" t="s">
        <v>106</v>
      </c>
      <c r="G9478" t="s">
        <v>220</v>
      </c>
      <c r="H9478" s="5">
        <v>3425</v>
      </c>
      <c r="I9478" s="6">
        <v>2852.5250000000001</v>
      </c>
      <c r="J9478" s="5">
        <v>20800</v>
      </c>
      <c r="K9478" s="6">
        <v>1.200690616208447</v>
      </c>
    </row>
    <row r="9479" spans="1:11">
      <c r="A9479" s="4">
        <v>2026</v>
      </c>
      <c r="B9479">
        <v>35</v>
      </c>
      <c r="C9479" t="s">
        <v>54</v>
      </c>
      <c r="D9479" t="s">
        <v>11</v>
      </c>
      <c r="E9479" t="s">
        <v>107</v>
      </c>
      <c r="F9479" t="s">
        <v>108</v>
      </c>
      <c r="G9479" t="s">
        <v>221</v>
      </c>
      <c r="H9479" s="5">
        <v>5550</v>
      </c>
      <c r="I9479" s="6">
        <v>2633.1</v>
      </c>
      <c r="J9479" s="5">
        <v>19200</v>
      </c>
      <c r="K9479" s="6">
        <v>2.1077817021761422</v>
      </c>
    </row>
    <row r="9480" spans="1:11">
      <c r="A9480" s="4">
        <v>2026</v>
      </c>
      <c r="B9480">
        <v>35</v>
      </c>
      <c r="C9480" t="s">
        <v>54</v>
      </c>
      <c r="D9480" t="s">
        <v>11</v>
      </c>
      <c r="E9480" t="s">
        <v>107</v>
      </c>
      <c r="F9480" t="s">
        <v>109</v>
      </c>
      <c r="G9480" t="s">
        <v>222</v>
      </c>
      <c r="H9480" s="5">
        <v>6360</v>
      </c>
      <c r="I9480" s="6">
        <v>2633.1</v>
      </c>
      <c r="J9480" s="5">
        <v>19200</v>
      </c>
      <c r="K9480" s="6">
        <v>2.4154038965477955</v>
      </c>
    </row>
    <row r="9481" spans="1:11">
      <c r="A9481" s="4">
        <v>2026</v>
      </c>
      <c r="B9481">
        <v>35</v>
      </c>
      <c r="C9481" t="s">
        <v>54</v>
      </c>
      <c r="D9481" t="s">
        <v>11</v>
      </c>
      <c r="E9481" t="s">
        <v>110</v>
      </c>
      <c r="F9481" t="s">
        <v>70</v>
      </c>
      <c r="G9481" t="s">
        <v>223</v>
      </c>
      <c r="H9481" s="5">
        <v>6420</v>
      </c>
      <c r="I9481" s="6">
        <v>2852.5250000000001</v>
      </c>
      <c r="J9481" s="5">
        <v>20800</v>
      </c>
      <c r="K9481" s="6">
        <v>2.250637593009702</v>
      </c>
    </row>
    <row r="9482" spans="1:11">
      <c r="A9482" s="4">
        <v>2026</v>
      </c>
      <c r="B9482">
        <v>35</v>
      </c>
      <c r="C9482" t="s">
        <v>54</v>
      </c>
      <c r="D9482" t="s">
        <v>11</v>
      </c>
      <c r="E9482" t="s">
        <v>110</v>
      </c>
      <c r="F9482" t="s">
        <v>67</v>
      </c>
      <c r="G9482" t="s">
        <v>224</v>
      </c>
      <c r="H9482" s="5">
        <v>6240</v>
      </c>
      <c r="I9482" s="6">
        <v>2852.5250000000001</v>
      </c>
      <c r="J9482" s="5">
        <v>20800</v>
      </c>
      <c r="K9482" s="6">
        <v>2.1875356044206447</v>
      </c>
    </row>
    <row r="9483" spans="1:11">
      <c r="A9483" s="4">
        <v>2026</v>
      </c>
      <c r="B9483">
        <v>35</v>
      </c>
      <c r="C9483" t="s">
        <v>54</v>
      </c>
      <c r="D9483" t="s">
        <v>11</v>
      </c>
      <c r="E9483" t="s">
        <v>111</v>
      </c>
      <c r="F9483" t="s">
        <v>112</v>
      </c>
      <c r="G9483" t="s">
        <v>225</v>
      </c>
      <c r="H9483" s="5">
        <v>2725</v>
      </c>
      <c r="I9483" s="6">
        <v>3071.95</v>
      </c>
      <c r="J9483" s="5">
        <v>22400</v>
      </c>
      <c r="K9483" s="6">
        <v>0.88705870863783598</v>
      </c>
    </row>
    <row r="9484" spans="1:11">
      <c r="A9484" s="4">
        <v>2026</v>
      </c>
      <c r="B9484">
        <v>35</v>
      </c>
      <c r="C9484" t="s">
        <v>54</v>
      </c>
      <c r="D9484" t="s">
        <v>11</v>
      </c>
      <c r="E9484" t="s">
        <v>47</v>
      </c>
      <c r="F9484" t="s">
        <v>57</v>
      </c>
      <c r="G9484" t="s">
        <v>226</v>
      </c>
      <c r="H9484" s="5">
        <v>1525</v>
      </c>
      <c r="I9484" s="6">
        <v>1645.6875</v>
      </c>
      <c r="J9484" s="5">
        <v>12000</v>
      </c>
      <c r="K9484" s="6">
        <v>0.9266643879837454</v>
      </c>
    </row>
    <row r="9485" spans="1:11">
      <c r="A9485" s="4">
        <v>2026</v>
      </c>
      <c r="B9485">
        <v>36</v>
      </c>
      <c r="C9485" t="s">
        <v>10</v>
      </c>
      <c r="D9485" t="s">
        <v>11</v>
      </c>
      <c r="E9485" t="s">
        <v>12</v>
      </c>
      <c r="F9485" t="s">
        <v>13</v>
      </c>
      <c r="G9485" t="str">
        <f t="shared" ref="G9485:G9548" si="398">+E9485&amp;F9485</f>
        <v>002SOMERSET</v>
      </c>
      <c r="H9485" s="5">
        <v>8140</v>
      </c>
      <c r="I9485" s="6">
        <v>4121.4642855494085</v>
      </c>
      <c r="J9485" s="5">
        <v>31200</v>
      </c>
      <c r="K9485" s="6">
        <f t="shared" ref="K9485:K9548" si="399">+H9485/I9485</f>
        <v>1.9750262130234386</v>
      </c>
    </row>
    <row r="9486" spans="1:11">
      <c r="A9486" s="4">
        <v>2026</v>
      </c>
      <c r="B9486">
        <v>36</v>
      </c>
      <c r="C9486" t="s">
        <v>10</v>
      </c>
      <c r="D9486" t="s">
        <v>11</v>
      </c>
      <c r="E9486" t="s">
        <v>14</v>
      </c>
      <c r="F9486" t="s">
        <v>15</v>
      </c>
      <c r="G9486" t="str">
        <f t="shared" si="398"/>
        <v>004BELLINA</v>
      </c>
      <c r="H9486" s="5">
        <v>1605</v>
      </c>
      <c r="I9486" s="6">
        <v>1056.7857142434418</v>
      </c>
      <c r="J9486" s="5">
        <v>8000</v>
      </c>
      <c r="K9486" s="6">
        <f t="shared" si="399"/>
        <v>1.5187563366609544</v>
      </c>
    </row>
    <row r="9487" spans="1:11">
      <c r="A9487" s="4">
        <v>2026</v>
      </c>
      <c r="B9487">
        <v>36</v>
      </c>
      <c r="C9487" t="s">
        <v>10</v>
      </c>
      <c r="D9487" t="s">
        <v>11</v>
      </c>
      <c r="E9487" t="s">
        <v>16</v>
      </c>
      <c r="F9487" t="s">
        <v>17</v>
      </c>
      <c r="G9487" t="str">
        <f t="shared" si="398"/>
        <v>005ELBA</v>
      </c>
      <c r="H9487" s="5">
        <v>7290</v>
      </c>
      <c r="I9487" s="6">
        <v>2641.9642856076484</v>
      </c>
      <c r="J9487" s="5">
        <v>19996</v>
      </c>
      <c r="K9487" s="6">
        <f t="shared" si="399"/>
        <v>2.7593105780093121</v>
      </c>
    </row>
    <row r="9488" spans="1:11">
      <c r="A9488" s="4">
        <v>2026</v>
      </c>
      <c r="B9488">
        <v>36</v>
      </c>
      <c r="C9488" t="s">
        <v>10</v>
      </c>
      <c r="D9488" t="s">
        <v>11</v>
      </c>
      <c r="E9488" t="s">
        <v>16</v>
      </c>
      <c r="F9488" t="s">
        <v>18</v>
      </c>
      <c r="G9488" t="str">
        <f t="shared" si="398"/>
        <v>005HOT BUBBLES</v>
      </c>
      <c r="H9488" s="5">
        <v>1180</v>
      </c>
      <c r="I9488" s="6">
        <v>528.39285712153003</v>
      </c>
      <c r="J9488" s="5">
        <v>4000</v>
      </c>
      <c r="K9488" s="6">
        <f t="shared" si="399"/>
        <v>2.2331868875521166</v>
      </c>
    </row>
    <row r="9489" spans="1:11">
      <c r="A9489" s="4">
        <v>2026</v>
      </c>
      <c r="B9489">
        <v>36</v>
      </c>
      <c r="C9489" t="s">
        <v>10</v>
      </c>
      <c r="D9489" t="s">
        <v>11</v>
      </c>
      <c r="E9489" t="s">
        <v>16</v>
      </c>
      <c r="F9489" t="s">
        <v>19</v>
      </c>
      <c r="G9489" t="str">
        <f t="shared" si="398"/>
        <v>005SUSPIRO</v>
      </c>
      <c r="H9489" s="5">
        <v>3300</v>
      </c>
      <c r="I9489" s="6">
        <v>1902.2142856375078</v>
      </c>
      <c r="J9489" s="5">
        <v>14400</v>
      </c>
      <c r="K9489" s="6">
        <f t="shared" si="399"/>
        <v>1.7348203222509384</v>
      </c>
    </row>
    <row r="9490" spans="1:11">
      <c r="A9490" s="4">
        <v>2026</v>
      </c>
      <c r="B9490">
        <v>36</v>
      </c>
      <c r="C9490" t="s">
        <v>10</v>
      </c>
      <c r="D9490" t="s">
        <v>11</v>
      </c>
      <c r="E9490" t="s">
        <v>20</v>
      </c>
      <c r="F9490" t="s">
        <v>21</v>
      </c>
      <c r="G9490" t="str">
        <f t="shared" si="398"/>
        <v>007SNOW BUBBLES</v>
      </c>
      <c r="H9490" s="5">
        <v>1140</v>
      </c>
      <c r="I9490" s="6">
        <v>634.05652706821195</v>
      </c>
      <c r="J9490" s="5">
        <v>4800</v>
      </c>
      <c r="K9490" s="6">
        <f t="shared" si="399"/>
        <v>1.7979469516246436</v>
      </c>
    </row>
    <row r="9491" spans="1:11">
      <c r="A9491" s="4">
        <v>2026</v>
      </c>
      <c r="B9491">
        <v>36</v>
      </c>
      <c r="C9491" t="s">
        <v>10</v>
      </c>
      <c r="D9491" t="s">
        <v>11</v>
      </c>
      <c r="E9491" t="s">
        <v>22</v>
      </c>
      <c r="F9491" t="s">
        <v>18</v>
      </c>
      <c r="G9491" t="str">
        <f t="shared" si="398"/>
        <v>009HOT BUBBLES</v>
      </c>
      <c r="H9491" s="5">
        <v>10540</v>
      </c>
      <c r="I9491" s="6">
        <v>4487.9999999102474</v>
      </c>
      <c r="J9491" s="5">
        <v>31740</v>
      </c>
      <c r="K9491" s="6">
        <f t="shared" si="399"/>
        <v>2.3484848485318142</v>
      </c>
    </row>
    <row r="9492" spans="1:11">
      <c r="A9492" s="4">
        <v>2026</v>
      </c>
      <c r="B9492">
        <v>36</v>
      </c>
      <c r="C9492" t="s">
        <v>10</v>
      </c>
      <c r="D9492" t="s">
        <v>11</v>
      </c>
      <c r="E9492" t="s">
        <v>23</v>
      </c>
      <c r="F9492" t="s">
        <v>24</v>
      </c>
      <c r="G9492" t="str">
        <f t="shared" si="398"/>
        <v>014FRUITY BUBBLES</v>
      </c>
      <c r="H9492" s="5">
        <v>2775</v>
      </c>
      <c r="I9492" s="6">
        <v>1702.8</v>
      </c>
      <c r="J9492" s="5">
        <v>12900</v>
      </c>
      <c r="K9492" s="6">
        <f t="shared" si="399"/>
        <v>1.6296687808315715</v>
      </c>
    </row>
    <row r="9493" spans="1:11">
      <c r="A9493" s="4">
        <v>2026</v>
      </c>
      <c r="B9493">
        <v>36</v>
      </c>
      <c r="C9493" t="s">
        <v>10</v>
      </c>
      <c r="D9493" t="s">
        <v>11</v>
      </c>
      <c r="E9493" t="s">
        <v>25</v>
      </c>
      <c r="F9493" t="s">
        <v>26</v>
      </c>
      <c r="G9493" t="str">
        <f t="shared" si="398"/>
        <v>015FELLINI</v>
      </c>
      <c r="H9493" s="5">
        <v>5000</v>
      </c>
      <c r="I9493" s="6">
        <v>3009.6</v>
      </c>
      <c r="J9493" s="5">
        <v>22800</v>
      </c>
      <c r="K9493" s="6">
        <f t="shared" si="399"/>
        <v>1.661350345560872</v>
      </c>
    </row>
    <row r="9494" spans="1:11">
      <c r="A9494" s="4">
        <v>2026</v>
      </c>
      <c r="B9494">
        <v>36</v>
      </c>
      <c r="C9494" t="s">
        <v>10</v>
      </c>
      <c r="D9494" t="s">
        <v>11</v>
      </c>
      <c r="E9494" t="s">
        <v>27</v>
      </c>
      <c r="F9494" t="s">
        <v>28</v>
      </c>
      <c r="G9494" t="str">
        <f t="shared" si="398"/>
        <v>016GOOD PEACH</v>
      </c>
      <c r="H9494" s="5">
        <v>3840</v>
      </c>
      <c r="I9494" s="6">
        <v>1386</v>
      </c>
      <c r="J9494" s="5">
        <v>10500</v>
      </c>
      <c r="K9494" s="6">
        <f t="shared" si="399"/>
        <v>2.7705627705627704</v>
      </c>
    </row>
    <row r="9495" spans="1:11">
      <c r="A9495" s="4">
        <v>2026</v>
      </c>
      <c r="B9495">
        <v>36</v>
      </c>
      <c r="C9495" t="s">
        <v>10</v>
      </c>
      <c r="D9495" t="s">
        <v>11</v>
      </c>
      <c r="E9495" t="s">
        <v>27</v>
      </c>
      <c r="F9495" t="s">
        <v>29</v>
      </c>
      <c r="G9495" t="str">
        <f t="shared" si="398"/>
        <v>016GOOD YELLOW</v>
      </c>
      <c r="H9495" s="5">
        <v>3660</v>
      </c>
      <c r="I9495" s="6">
        <v>1386</v>
      </c>
      <c r="J9495" s="5">
        <v>10500</v>
      </c>
      <c r="K9495" s="6">
        <f t="shared" si="399"/>
        <v>2.6406926406926408</v>
      </c>
    </row>
    <row r="9496" spans="1:11">
      <c r="A9496" s="4">
        <v>2026</v>
      </c>
      <c r="B9496">
        <v>36</v>
      </c>
      <c r="C9496" t="s">
        <v>10</v>
      </c>
      <c r="D9496" t="s">
        <v>11</v>
      </c>
      <c r="E9496" t="s">
        <v>30</v>
      </c>
      <c r="F9496" t="s">
        <v>31</v>
      </c>
      <c r="G9496" t="str">
        <f t="shared" si="398"/>
        <v>017ORANGE STAR</v>
      </c>
      <c r="H9496" s="5">
        <v>1075</v>
      </c>
      <c r="I9496" s="6">
        <v>1029.5999999999999</v>
      </c>
      <c r="J9496" s="5">
        <v>7800</v>
      </c>
      <c r="K9496" s="6">
        <f t="shared" si="399"/>
        <v>1.0440947940947942</v>
      </c>
    </row>
    <row r="9497" spans="1:11">
      <c r="A9497" s="4">
        <v>2026</v>
      </c>
      <c r="B9497">
        <v>36</v>
      </c>
      <c r="C9497" t="s">
        <v>10</v>
      </c>
      <c r="D9497" t="s">
        <v>11</v>
      </c>
      <c r="E9497" t="s">
        <v>32</v>
      </c>
      <c r="F9497" t="s">
        <v>33</v>
      </c>
      <c r="G9497" t="str">
        <f t="shared" si="398"/>
        <v>018COSMO</v>
      </c>
      <c r="H9497" s="5">
        <v>3375</v>
      </c>
      <c r="I9497" s="6">
        <v>2653.2</v>
      </c>
      <c r="J9497" s="5">
        <v>20100</v>
      </c>
      <c r="K9497" s="6">
        <f t="shared" si="399"/>
        <v>1.2720488466757125</v>
      </c>
    </row>
    <row r="9498" spans="1:11">
      <c r="A9498" s="4">
        <v>2026</v>
      </c>
      <c r="B9498">
        <v>36</v>
      </c>
      <c r="C9498" t="s">
        <v>10</v>
      </c>
      <c r="D9498" t="s">
        <v>11</v>
      </c>
      <c r="E9498" t="s">
        <v>32</v>
      </c>
      <c r="F9498" t="s">
        <v>34</v>
      </c>
      <c r="G9498" t="str">
        <f t="shared" si="398"/>
        <v>018RUBICON</v>
      </c>
      <c r="H9498" s="5">
        <v>4680</v>
      </c>
      <c r="I9498" s="6">
        <v>1768.8</v>
      </c>
      <c r="J9498" s="5">
        <v>13400</v>
      </c>
      <c r="K9498" s="6">
        <f t="shared" si="399"/>
        <v>2.6458616010854819</v>
      </c>
    </row>
    <row r="9499" spans="1:11">
      <c r="A9499" s="4">
        <v>2026</v>
      </c>
      <c r="B9499">
        <v>36</v>
      </c>
      <c r="C9499" t="s">
        <v>10</v>
      </c>
      <c r="D9499" t="s">
        <v>11</v>
      </c>
      <c r="E9499" t="s">
        <v>35</v>
      </c>
      <c r="F9499" t="s">
        <v>15</v>
      </c>
      <c r="G9499" t="str">
        <f t="shared" si="398"/>
        <v>019BELLINA</v>
      </c>
      <c r="H9499" s="5">
        <v>1125</v>
      </c>
      <c r="I9499" s="6">
        <v>1029.5999999999999</v>
      </c>
      <c r="J9499" s="5">
        <v>7800</v>
      </c>
      <c r="K9499" s="6">
        <f t="shared" si="399"/>
        <v>1.0926573426573427</v>
      </c>
    </row>
    <row r="9500" spans="1:11">
      <c r="A9500" s="4">
        <v>2026</v>
      </c>
      <c r="B9500">
        <v>36</v>
      </c>
      <c r="C9500" t="s">
        <v>10</v>
      </c>
      <c r="D9500" t="s">
        <v>11</v>
      </c>
      <c r="E9500" t="s">
        <v>36</v>
      </c>
      <c r="F9500" t="s">
        <v>37</v>
      </c>
      <c r="G9500" t="str">
        <f t="shared" si="398"/>
        <v>020SUMMER DANCE</v>
      </c>
      <c r="H9500" s="5">
        <v>2475</v>
      </c>
      <c r="I9500" s="6">
        <v>1346.4</v>
      </c>
      <c r="J9500" s="5">
        <v>10200</v>
      </c>
      <c r="K9500" s="6">
        <f t="shared" si="399"/>
        <v>1.838235294117647</v>
      </c>
    </row>
    <row r="9501" spans="1:11">
      <c r="A9501" s="4">
        <v>2026</v>
      </c>
      <c r="B9501">
        <v>36</v>
      </c>
      <c r="C9501" t="s">
        <v>10</v>
      </c>
      <c r="D9501" t="s">
        <v>11</v>
      </c>
      <c r="E9501" t="s">
        <v>38</v>
      </c>
      <c r="F9501" t="s">
        <v>39</v>
      </c>
      <c r="G9501" t="str">
        <f t="shared" si="398"/>
        <v>021ELEGANT ROSEVER</v>
      </c>
      <c r="H9501" s="5">
        <v>420</v>
      </c>
      <c r="I9501" s="6">
        <v>440.18999062500001</v>
      </c>
      <c r="J9501" s="5">
        <v>3200</v>
      </c>
      <c r="K9501" s="6">
        <f t="shared" si="399"/>
        <v>0.95413346269792865</v>
      </c>
    </row>
    <row r="9502" spans="1:11">
      <c r="A9502" s="4">
        <v>2026</v>
      </c>
      <c r="B9502">
        <v>36</v>
      </c>
      <c r="C9502" t="s">
        <v>10</v>
      </c>
      <c r="D9502" t="s">
        <v>11</v>
      </c>
      <c r="E9502" t="s">
        <v>38</v>
      </c>
      <c r="F9502" t="s">
        <v>40</v>
      </c>
      <c r="G9502" t="str">
        <f t="shared" si="398"/>
        <v>021FLAME CLUB</v>
      </c>
      <c r="H9502" s="5">
        <v>1575</v>
      </c>
      <c r="I9502" s="6">
        <v>880.38</v>
      </c>
      <c r="J9502" s="5">
        <v>6400</v>
      </c>
      <c r="K9502" s="6">
        <f t="shared" si="399"/>
        <v>1.7890002044571662</v>
      </c>
    </row>
    <row r="9503" spans="1:11">
      <c r="A9503" s="4">
        <v>2026</v>
      </c>
      <c r="B9503">
        <v>36</v>
      </c>
      <c r="C9503" t="s">
        <v>10</v>
      </c>
      <c r="D9503" t="s">
        <v>11</v>
      </c>
      <c r="E9503" t="s">
        <v>38</v>
      </c>
      <c r="F9503" t="s">
        <v>41</v>
      </c>
      <c r="G9503" t="str">
        <f t="shared" si="398"/>
        <v>021KELLY</v>
      </c>
      <c r="H9503" s="5">
        <v>550</v>
      </c>
      <c r="I9503" s="6">
        <v>330.14249999999998</v>
      </c>
      <c r="J9503" s="5">
        <v>2400</v>
      </c>
      <c r="K9503" s="6">
        <f t="shared" si="399"/>
        <v>1.6659472803410649</v>
      </c>
    </row>
    <row r="9504" spans="1:11">
      <c r="A9504" s="4">
        <v>2026</v>
      </c>
      <c r="B9504">
        <v>36</v>
      </c>
      <c r="C9504" t="s">
        <v>10</v>
      </c>
      <c r="D9504" t="s">
        <v>11</v>
      </c>
      <c r="E9504" t="s">
        <v>38</v>
      </c>
      <c r="F9504" t="s">
        <v>42</v>
      </c>
      <c r="G9504" t="str">
        <f t="shared" si="398"/>
        <v>021LEILA</v>
      </c>
      <c r="H9504" s="5">
        <v>2725</v>
      </c>
      <c r="I9504" s="6">
        <v>1650.7125000000001</v>
      </c>
      <c r="J9504" s="5">
        <v>12000</v>
      </c>
      <c r="K9504" s="6">
        <f t="shared" si="399"/>
        <v>1.650802305065237</v>
      </c>
    </row>
    <row r="9505" spans="1:11">
      <c r="A9505" s="4">
        <v>2026</v>
      </c>
      <c r="B9505">
        <v>36</v>
      </c>
      <c r="C9505" t="s">
        <v>10</v>
      </c>
      <c r="D9505" t="s">
        <v>11</v>
      </c>
      <c r="E9505" t="s">
        <v>38</v>
      </c>
      <c r="F9505" t="s">
        <v>21</v>
      </c>
      <c r="G9505" t="str">
        <f t="shared" si="398"/>
        <v>021SNOW BUBBLES</v>
      </c>
      <c r="H9505" s="5">
        <v>2480</v>
      </c>
      <c r="I9505" s="6">
        <v>1287.0000000000018</v>
      </c>
      <c r="J9505" s="5">
        <v>9400</v>
      </c>
      <c r="K9505" s="6">
        <f t="shared" si="399"/>
        <v>1.9269619269619243</v>
      </c>
    </row>
    <row r="9506" spans="1:11">
      <c r="A9506" s="4">
        <v>2026</v>
      </c>
      <c r="B9506">
        <v>36</v>
      </c>
      <c r="C9506" t="s">
        <v>10</v>
      </c>
      <c r="D9506" t="s">
        <v>11</v>
      </c>
      <c r="E9506" t="s">
        <v>43</v>
      </c>
      <c r="F9506" t="s">
        <v>24</v>
      </c>
      <c r="G9506" t="str">
        <f t="shared" si="398"/>
        <v>022FRUITY BUBBLES</v>
      </c>
      <c r="H9506" s="5">
        <v>3350</v>
      </c>
      <c r="I9506" s="6">
        <v>2641.14</v>
      </c>
      <c r="J9506" s="5">
        <v>19200</v>
      </c>
      <c r="K9506" s="6">
        <f t="shared" si="399"/>
        <v>1.2683916793505836</v>
      </c>
    </row>
    <row r="9507" spans="1:11">
      <c r="A9507" s="4">
        <v>2026</v>
      </c>
      <c r="B9507">
        <v>36</v>
      </c>
      <c r="C9507" t="s">
        <v>10</v>
      </c>
      <c r="D9507" t="s">
        <v>11</v>
      </c>
      <c r="E9507" t="s">
        <v>43</v>
      </c>
      <c r="F9507" t="s">
        <v>28</v>
      </c>
      <c r="G9507" t="str">
        <f t="shared" si="398"/>
        <v>022GOOD PEACH</v>
      </c>
      <c r="H9507" s="5">
        <v>1920</v>
      </c>
      <c r="I9507" s="6">
        <v>880.38</v>
      </c>
      <c r="J9507" s="5">
        <v>6400</v>
      </c>
      <c r="K9507" s="6">
        <f t="shared" si="399"/>
        <v>2.1808764397192122</v>
      </c>
    </row>
    <row r="9508" spans="1:11">
      <c r="A9508" s="4">
        <v>2026</v>
      </c>
      <c r="B9508">
        <v>36</v>
      </c>
      <c r="C9508" t="s">
        <v>10</v>
      </c>
      <c r="D9508" t="s">
        <v>11</v>
      </c>
      <c r="E9508" t="s">
        <v>43</v>
      </c>
      <c r="F9508" t="s">
        <v>44</v>
      </c>
      <c r="G9508" t="str">
        <f t="shared" si="398"/>
        <v>022MIRABEL</v>
      </c>
      <c r="H9508" s="5">
        <v>1500</v>
      </c>
      <c r="I9508" s="6">
        <v>880.38</v>
      </c>
      <c r="J9508" s="5">
        <v>6400</v>
      </c>
      <c r="K9508" s="6">
        <f t="shared" si="399"/>
        <v>1.7038097185306345</v>
      </c>
    </row>
    <row r="9509" spans="1:11">
      <c r="A9509" s="4">
        <v>2026</v>
      </c>
      <c r="B9509">
        <v>36</v>
      </c>
      <c r="C9509" t="s">
        <v>10</v>
      </c>
      <c r="D9509" t="s">
        <v>11</v>
      </c>
      <c r="E9509" t="s">
        <v>45</v>
      </c>
      <c r="F9509" t="s">
        <v>46</v>
      </c>
      <c r="G9509" t="str">
        <f t="shared" si="398"/>
        <v>026PURPLE BUBBLY</v>
      </c>
      <c r="H9509" s="5">
        <v>400</v>
      </c>
      <c r="I9509" s="6">
        <v>1755.4</v>
      </c>
      <c r="J9509" s="5">
        <v>12800</v>
      </c>
      <c r="K9509" s="6">
        <f t="shared" si="399"/>
        <v>0.22786829212715048</v>
      </c>
    </row>
    <row r="9510" spans="1:11">
      <c r="A9510" s="4">
        <v>2026</v>
      </c>
      <c r="B9510">
        <v>36</v>
      </c>
      <c r="C9510" t="s">
        <v>10</v>
      </c>
      <c r="D9510" t="s">
        <v>11</v>
      </c>
      <c r="E9510" t="s">
        <v>47</v>
      </c>
      <c r="F9510" t="s">
        <v>44</v>
      </c>
      <c r="G9510" t="str">
        <f t="shared" si="398"/>
        <v>030MIRABEL</v>
      </c>
      <c r="H9510" s="5">
        <v>5440</v>
      </c>
      <c r="I9510" s="6">
        <v>2413.6749943750001</v>
      </c>
      <c r="J9510" s="5">
        <v>17600</v>
      </c>
      <c r="K9510" s="6">
        <f t="shared" si="399"/>
        <v>2.2538245673828343</v>
      </c>
    </row>
    <row r="9511" spans="1:11">
      <c r="A9511" s="4">
        <v>2026</v>
      </c>
      <c r="B9511">
        <v>36</v>
      </c>
      <c r="C9511" t="s">
        <v>10</v>
      </c>
      <c r="D9511" t="s">
        <v>11</v>
      </c>
      <c r="E9511" t="s">
        <v>47</v>
      </c>
      <c r="F9511" t="s">
        <v>13</v>
      </c>
      <c r="G9511" t="str">
        <f t="shared" si="398"/>
        <v>030SOMERSET</v>
      </c>
      <c r="H9511" s="5">
        <v>3080</v>
      </c>
      <c r="I9511" s="6">
        <v>1645.6875</v>
      </c>
      <c r="J9511" s="5">
        <v>12000</v>
      </c>
      <c r="K9511" s="6">
        <f t="shared" si="399"/>
        <v>1.8715582393376629</v>
      </c>
    </row>
    <row r="9512" spans="1:11">
      <c r="A9512" s="4">
        <v>2026</v>
      </c>
      <c r="B9512">
        <v>36</v>
      </c>
      <c r="C9512" t="s">
        <v>10</v>
      </c>
      <c r="D9512" t="s">
        <v>11</v>
      </c>
      <c r="E9512" t="s">
        <v>48</v>
      </c>
      <c r="F9512" t="s">
        <v>49</v>
      </c>
      <c r="G9512" t="str">
        <f t="shared" si="398"/>
        <v>03182989</v>
      </c>
      <c r="H9512" s="5">
        <v>3000</v>
      </c>
      <c r="I9512" s="6">
        <v>726.32013058333712</v>
      </c>
      <c r="J9512" s="5">
        <v>5712</v>
      </c>
      <c r="K9512" s="6">
        <f t="shared" si="399"/>
        <v>4.1304100956014791</v>
      </c>
    </row>
    <row r="9513" spans="1:11">
      <c r="A9513" s="4">
        <v>2026</v>
      </c>
      <c r="B9513">
        <v>36</v>
      </c>
      <c r="C9513" t="s">
        <v>10</v>
      </c>
      <c r="D9513" t="s">
        <v>11</v>
      </c>
      <c r="E9513" t="s">
        <v>48</v>
      </c>
      <c r="F9513" t="s">
        <v>34</v>
      </c>
      <c r="G9513" t="str">
        <f t="shared" si="398"/>
        <v>031RUBICON</v>
      </c>
      <c r="H9513" s="5">
        <v>2160</v>
      </c>
      <c r="I9513" s="6">
        <v>924.39958333667107</v>
      </c>
      <c r="J9513" s="5">
        <v>6720</v>
      </c>
      <c r="K9513" s="6">
        <f t="shared" si="399"/>
        <v>2.3366518537398746</v>
      </c>
    </row>
    <row r="9514" spans="1:11">
      <c r="A9514" s="4">
        <v>2026</v>
      </c>
      <c r="B9514">
        <v>36</v>
      </c>
      <c r="C9514" t="s">
        <v>10</v>
      </c>
      <c r="D9514" t="s">
        <v>11</v>
      </c>
      <c r="E9514" t="s">
        <v>48</v>
      </c>
      <c r="F9514" t="s">
        <v>13</v>
      </c>
      <c r="G9514" t="str">
        <f t="shared" si="398"/>
        <v>031SOMERSET</v>
      </c>
      <c r="H9514" s="5">
        <v>3560</v>
      </c>
      <c r="I9514" s="6">
        <v>1122.485208333339</v>
      </c>
      <c r="J9514" s="5">
        <v>8160</v>
      </c>
      <c r="K9514" s="6">
        <f t="shared" si="399"/>
        <v>3.1715339975712218</v>
      </c>
    </row>
    <row r="9515" spans="1:11">
      <c r="A9515" s="4">
        <v>2026</v>
      </c>
      <c r="B9515">
        <v>36</v>
      </c>
      <c r="C9515" t="s">
        <v>10</v>
      </c>
      <c r="D9515" t="s">
        <v>11</v>
      </c>
      <c r="E9515" t="s">
        <v>48</v>
      </c>
      <c r="F9515" t="s">
        <v>50</v>
      </c>
      <c r="G9515" t="str">
        <f t="shared" si="398"/>
        <v>031VELVET BLOSSOMS</v>
      </c>
      <c r="H9515" s="5">
        <v>760</v>
      </c>
      <c r="I9515" s="6">
        <v>396.17125000000198</v>
      </c>
      <c r="J9515" s="5">
        <v>2880</v>
      </c>
      <c r="K9515" s="6">
        <f t="shared" si="399"/>
        <v>1.9183623243736041</v>
      </c>
    </row>
    <row r="9516" spans="1:11">
      <c r="A9516" s="4">
        <v>2026</v>
      </c>
      <c r="B9516">
        <v>36</v>
      </c>
      <c r="C9516" t="s">
        <v>10</v>
      </c>
      <c r="D9516" t="s">
        <v>11</v>
      </c>
      <c r="E9516" t="s">
        <v>51</v>
      </c>
      <c r="F9516" t="s">
        <v>17</v>
      </c>
      <c r="G9516" t="str">
        <f t="shared" si="398"/>
        <v>032ELBA</v>
      </c>
      <c r="H9516" s="5">
        <v>4080</v>
      </c>
      <c r="I9516" s="6">
        <v>1535.9749999999999</v>
      </c>
      <c r="J9516" s="5">
        <v>11200</v>
      </c>
      <c r="K9516" s="6">
        <f t="shared" si="399"/>
        <v>2.6562932339393548</v>
      </c>
    </row>
    <row r="9517" spans="1:11">
      <c r="A9517" s="4">
        <v>2026</v>
      </c>
      <c r="B9517">
        <v>36</v>
      </c>
      <c r="C9517" t="s">
        <v>10</v>
      </c>
      <c r="D9517" t="s">
        <v>11</v>
      </c>
      <c r="E9517" t="s">
        <v>51</v>
      </c>
      <c r="F9517" t="s">
        <v>44</v>
      </c>
      <c r="G9517" t="str">
        <f t="shared" si="398"/>
        <v>032MIRABEL</v>
      </c>
      <c r="H9517" s="5">
        <v>2080</v>
      </c>
      <c r="I9517" s="6">
        <v>1535.9749999999999</v>
      </c>
      <c r="J9517" s="5">
        <v>11200</v>
      </c>
      <c r="K9517" s="6">
        <f t="shared" si="399"/>
        <v>1.3541887074984946</v>
      </c>
    </row>
    <row r="9518" spans="1:11">
      <c r="A9518" s="4">
        <v>2026</v>
      </c>
      <c r="B9518">
        <v>36</v>
      </c>
      <c r="C9518" t="s">
        <v>10</v>
      </c>
      <c r="D9518" t="s">
        <v>11</v>
      </c>
      <c r="E9518" t="s">
        <v>52</v>
      </c>
      <c r="F9518" t="s">
        <v>53</v>
      </c>
      <c r="G9518" t="str">
        <f t="shared" si="398"/>
        <v>033CREAMY FOLIES</v>
      </c>
      <c r="H9518" s="5">
        <v>1530</v>
      </c>
      <c r="I9518" s="6">
        <v>594.25687500000299</v>
      </c>
      <c r="J9518" s="5">
        <v>4320</v>
      </c>
      <c r="K9518" s="6">
        <f t="shared" si="399"/>
        <v>2.5746441721856264</v>
      </c>
    </row>
    <row r="9519" spans="1:11">
      <c r="A9519" s="4">
        <v>2026</v>
      </c>
      <c r="B9519">
        <v>36</v>
      </c>
      <c r="C9519" t="s">
        <v>10</v>
      </c>
      <c r="D9519" t="s">
        <v>11</v>
      </c>
      <c r="E9519" t="s">
        <v>52</v>
      </c>
      <c r="F9519" t="s">
        <v>18</v>
      </c>
      <c r="G9519" t="str">
        <f t="shared" si="398"/>
        <v>033HOT BUBBLES</v>
      </c>
      <c r="H9519" s="5">
        <v>4500</v>
      </c>
      <c r="I9519" s="6">
        <v>2575.1131250013459</v>
      </c>
      <c r="J9519" s="5">
        <v>18720</v>
      </c>
      <c r="K9519" s="6">
        <f t="shared" si="399"/>
        <v>1.7474960444689778</v>
      </c>
    </row>
    <row r="9520" spans="1:11">
      <c r="A9520" s="4">
        <v>2026</v>
      </c>
      <c r="B9520">
        <v>36</v>
      </c>
      <c r="C9520" t="s">
        <v>54</v>
      </c>
      <c r="D9520" t="s">
        <v>11</v>
      </c>
      <c r="E9520" t="s">
        <v>55</v>
      </c>
      <c r="F9520" t="s">
        <v>56</v>
      </c>
      <c r="G9520" t="str">
        <f t="shared" si="398"/>
        <v>001BELIEVE IN PINK</v>
      </c>
      <c r="H9520" s="5">
        <v>1380</v>
      </c>
      <c r="I9520" s="6">
        <v>528.37931032368999</v>
      </c>
      <c r="J9520" s="5">
        <v>4000</v>
      </c>
      <c r="K9520" s="6">
        <f t="shared" ref="K9520:K9526" si="400">IFERROR(H9520/I9520,"")</f>
        <v>2.6117600993017676</v>
      </c>
    </row>
    <row r="9521" spans="1:11">
      <c r="A9521" s="4">
        <v>2026</v>
      </c>
      <c r="B9521">
        <v>36</v>
      </c>
      <c r="C9521" t="s">
        <v>54</v>
      </c>
      <c r="D9521" t="s">
        <v>11</v>
      </c>
      <c r="E9521" t="s">
        <v>55</v>
      </c>
      <c r="F9521" t="s">
        <v>57</v>
      </c>
      <c r="G9521" t="str">
        <f t="shared" si="398"/>
        <v>001EXPLORER</v>
      </c>
      <c r="H9521" s="5">
        <v>3000</v>
      </c>
      <c r="I9521" s="6">
        <v>2272.0310343918732</v>
      </c>
      <c r="J9521" s="5">
        <v>17200</v>
      </c>
      <c r="K9521" s="6">
        <f t="shared" si="400"/>
        <v>1.3204044991414361</v>
      </c>
    </row>
    <row r="9522" spans="1:11">
      <c r="A9522" s="4">
        <v>2026</v>
      </c>
      <c r="B9522">
        <v>36</v>
      </c>
      <c r="C9522" t="s">
        <v>54</v>
      </c>
      <c r="D9522" t="s">
        <v>11</v>
      </c>
      <c r="E9522" t="s">
        <v>55</v>
      </c>
      <c r="F9522" t="s">
        <v>58</v>
      </c>
      <c r="G9522" t="str">
        <f t="shared" si="398"/>
        <v>001GRACE KELLY</v>
      </c>
      <c r="H9522" s="5">
        <v>1560</v>
      </c>
      <c r="I9522" s="6">
        <v>1162.4344827121224</v>
      </c>
      <c r="J9522" s="5">
        <v>8800</v>
      </c>
      <c r="K9522" s="6">
        <f t="shared" si="400"/>
        <v>1.3420111182182943</v>
      </c>
    </row>
    <row r="9523" spans="1:11">
      <c r="A9523" s="4">
        <v>2026</v>
      </c>
      <c r="B9523">
        <v>36</v>
      </c>
      <c r="C9523" t="s">
        <v>54</v>
      </c>
      <c r="D9523" t="s">
        <v>11</v>
      </c>
      <c r="E9523" t="s">
        <v>55</v>
      </c>
      <c r="F9523" t="s">
        <v>59</v>
      </c>
      <c r="G9523" t="str">
        <f t="shared" si="398"/>
        <v>001IDOLE</v>
      </c>
      <c r="H9523" s="5">
        <v>735</v>
      </c>
      <c r="I9523" s="6">
        <v>1162.4344827121181</v>
      </c>
      <c r="J9523" s="5">
        <v>8800</v>
      </c>
      <c r="K9523" s="6">
        <f t="shared" si="400"/>
        <v>0.63229369992977569</v>
      </c>
    </row>
    <row r="9524" spans="1:11">
      <c r="A9524" s="4">
        <v>2026</v>
      </c>
      <c r="B9524">
        <v>36</v>
      </c>
      <c r="C9524" t="s">
        <v>54</v>
      </c>
      <c r="D9524" t="s">
        <v>11</v>
      </c>
      <c r="E9524" t="s">
        <v>55</v>
      </c>
      <c r="F9524" t="s">
        <v>60</v>
      </c>
      <c r="G9524" t="str">
        <f t="shared" si="398"/>
        <v>001LIGHT HOUSE</v>
      </c>
      <c r="H9524" s="5">
        <v>930</v>
      </c>
      <c r="I9524" s="6">
        <v>1056.7586206473827</v>
      </c>
      <c r="J9524" s="5">
        <v>8000</v>
      </c>
      <c r="K9524" s="6">
        <f t="shared" si="400"/>
        <v>0.88004959867776722</v>
      </c>
    </row>
    <row r="9525" spans="1:11">
      <c r="A9525" s="4">
        <v>2026</v>
      </c>
      <c r="B9525">
        <v>36</v>
      </c>
      <c r="C9525" t="s">
        <v>54</v>
      </c>
      <c r="D9525" t="s">
        <v>11</v>
      </c>
      <c r="E9525" t="s">
        <v>55</v>
      </c>
      <c r="F9525" t="s">
        <v>61</v>
      </c>
      <c r="G9525" t="str">
        <f t="shared" si="398"/>
        <v>001LUMIA</v>
      </c>
      <c r="H9525" s="5">
        <v>1530</v>
      </c>
      <c r="I9525" s="6">
        <v>1109.596551679753</v>
      </c>
      <c r="J9525" s="5">
        <v>8400</v>
      </c>
      <c r="K9525" s="6">
        <f t="shared" si="400"/>
        <v>1.3788795555319839</v>
      </c>
    </row>
    <row r="9526" spans="1:11">
      <c r="A9526" s="4">
        <v>2026</v>
      </c>
      <c r="B9526">
        <v>36</v>
      </c>
      <c r="C9526" t="s">
        <v>54</v>
      </c>
      <c r="D9526" t="s">
        <v>11</v>
      </c>
      <c r="E9526" t="s">
        <v>55</v>
      </c>
      <c r="F9526" t="s">
        <v>62</v>
      </c>
      <c r="G9526" t="str">
        <f t="shared" si="398"/>
        <v>001MOMENTUM</v>
      </c>
      <c r="H9526" s="5">
        <v>3075</v>
      </c>
      <c r="I9526" s="6">
        <v>1902.1655171652881</v>
      </c>
      <c r="J9526" s="5">
        <v>14400</v>
      </c>
      <c r="K9526" s="6">
        <f t="shared" si="400"/>
        <v>1.6165785638794119</v>
      </c>
    </row>
    <row r="9527" spans="1:11">
      <c r="A9527" s="4">
        <v>2026</v>
      </c>
      <c r="B9527">
        <v>36</v>
      </c>
      <c r="C9527" t="s">
        <v>54</v>
      </c>
      <c r="D9527" t="s">
        <v>11</v>
      </c>
      <c r="E9527" t="s">
        <v>12</v>
      </c>
      <c r="F9527" t="s">
        <v>63</v>
      </c>
      <c r="G9527" t="str">
        <f t="shared" si="398"/>
        <v>002SUMMER ROMANCE</v>
      </c>
      <c r="H9527" s="5">
        <v>1650</v>
      </c>
      <c r="I9527" s="6">
        <v>951.10714281909407</v>
      </c>
      <c r="J9527" s="5">
        <v>7200</v>
      </c>
      <c r="K9527" s="6">
        <f t="shared" ref="K9527:K9590" si="401">+H9527/I9527</f>
        <v>1.734820322250318</v>
      </c>
    </row>
    <row r="9528" spans="1:11">
      <c r="A9528" s="4">
        <v>2026</v>
      </c>
      <c r="B9528">
        <v>36</v>
      </c>
      <c r="C9528" t="s">
        <v>54</v>
      </c>
      <c r="D9528" t="s">
        <v>11</v>
      </c>
      <c r="E9528" t="s">
        <v>12</v>
      </c>
      <c r="F9528" t="s">
        <v>64</v>
      </c>
      <c r="G9528" t="str">
        <f t="shared" si="398"/>
        <v>002SWEETNESS</v>
      </c>
      <c r="H9528" s="5">
        <v>6000</v>
      </c>
      <c r="I9528" s="6">
        <v>3804.4285712763772</v>
      </c>
      <c r="J9528" s="5">
        <v>28800</v>
      </c>
      <c r="K9528" s="6">
        <f t="shared" si="401"/>
        <v>1.5771093838639252</v>
      </c>
    </row>
    <row r="9529" spans="1:11">
      <c r="A9529" s="4">
        <v>2026</v>
      </c>
      <c r="B9529">
        <v>36</v>
      </c>
      <c r="C9529" t="s">
        <v>54</v>
      </c>
      <c r="D9529" t="s">
        <v>11</v>
      </c>
      <c r="E9529" t="s">
        <v>65</v>
      </c>
      <c r="F9529" t="s">
        <v>66</v>
      </c>
      <c r="G9529" t="str">
        <f t="shared" si="398"/>
        <v>003CABARET</v>
      </c>
      <c r="H9529" s="5">
        <v>4830</v>
      </c>
      <c r="I9529" s="6">
        <v>2641.8965516184649</v>
      </c>
      <c r="J9529" s="5">
        <v>20000</v>
      </c>
      <c r="K9529" s="6">
        <f t="shared" si="401"/>
        <v>1.8282320695112269</v>
      </c>
    </row>
    <row r="9530" spans="1:11">
      <c r="A9530" s="4">
        <v>2026</v>
      </c>
      <c r="B9530">
        <v>36</v>
      </c>
      <c r="C9530" t="s">
        <v>54</v>
      </c>
      <c r="D9530" t="s">
        <v>11</v>
      </c>
      <c r="E9530" t="s">
        <v>65</v>
      </c>
      <c r="F9530" t="s">
        <v>67</v>
      </c>
      <c r="G9530" t="str">
        <f t="shared" si="398"/>
        <v>003DEEP PURPLE</v>
      </c>
      <c r="H9530" s="5">
        <v>6450</v>
      </c>
      <c r="I9530" s="6">
        <v>3592.9793102010913</v>
      </c>
      <c r="J9530" s="5">
        <v>26044</v>
      </c>
      <c r="K9530" s="6">
        <f t="shared" si="401"/>
        <v>1.7951675874356781</v>
      </c>
    </row>
    <row r="9531" spans="1:11">
      <c r="A9531" s="4">
        <v>2026</v>
      </c>
      <c r="B9531">
        <v>36</v>
      </c>
      <c r="C9531" t="s">
        <v>54</v>
      </c>
      <c r="D9531" t="s">
        <v>11</v>
      </c>
      <c r="E9531" t="s">
        <v>65</v>
      </c>
      <c r="F9531" t="s">
        <v>57</v>
      </c>
      <c r="G9531" t="str">
        <f t="shared" si="398"/>
        <v>003EXPLORER</v>
      </c>
      <c r="H9531" s="5">
        <v>2100</v>
      </c>
      <c r="I9531" s="6">
        <v>1268.1103447768633</v>
      </c>
      <c r="J9531" s="5">
        <v>9600</v>
      </c>
      <c r="K9531" s="6">
        <f t="shared" si="401"/>
        <v>1.6560073093398793</v>
      </c>
    </row>
    <row r="9532" spans="1:11">
      <c r="A9532" s="4">
        <v>2026</v>
      </c>
      <c r="B9532">
        <v>36</v>
      </c>
      <c r="C9532" t="s">
        <v>54</v>
      </c>
      <c r="D9532" t="s">
        <v>11</v>
      </c>
      <c r="E9532" t="s">
        <v>65</v>
      </c>
      <c r="F9532" t="s">
        <v>68</v>
      </c>
      <c r="G9532" t="str">
        <f t="shared" si="398"/>
        <v>003JOCKER</v>
      </c>
      <c r="H9532" s="5">
        <v>750</v>
      </c>
      <c r="I9532" s="6">
        <v>528.37931032368999</v>
      </c>
      <c r="J9532" s="5">
        <v>4000</v>
      </c>
      <c r="K9532" s="6">
        <f t="shared" si="401"/>
        <v>1.4194348365770475</v>
      </c>
    </row>
    <row r="9533" spans="1:11">
      <c r="A9533" s="4">
        <v>2026</v>
      </c>
      <c r="B9533">
        <v>36</v>
      </c>
      <c r="C9533" t="s">
        <v>54</v>
      </c>
      <c r="D9533" t="s">
        <v>11</v>
      </c>
      <c r="E9533" t="s">
        <v>65</v>
      </c>
      <c r="F9533" t="s">
        <v>69</v>
      </c>
      <c r="G9533" t="str">
        <f t="shared" si="398"/>
        <v>003QUICKSAND</v>
      </c>
      <c r="H9533" s="5">
        <v>1440</v>
      </c>
      <c r="I9533" s="6">
        <v>1162.4344827121247</v>
      </c>
      <c r="J9533" s="5">
        <v>8800</v>
      </c>
      <c r="K9533" s="6">
        <f t="shared" si="401"/>
        <v>1.2387794937399617</v>
      </c>
    </row>
    <row r="9534" spans="1:11">
      <c r="A9534" s="4">
        <v>2026</v>
      </c>
      <c r="B9534">
        <v>36</v>
      </c>
      <c r="C9534" t="s">
        <v>54</v>
      </c>
      <c r="D9534" t="s">
        <v>11</v>
      </c>
      <c r="E9534" t="s">
        <v>14</v>
      </c>
      <c r="F9534" t="s">
        <v>70</v>
      </c>
      <c r="G9534" t="str">
        <f t="shared" si="398"/>
        <v>004COTOPAXI</v>
      </c>
      <c r="H9534" s="5">
        <v>1920</v>
      </c>
      <c r="I9534" s="6">
        <v>528.3915024419166</v>
      </c>
      <c r="J9534" s="5">
        <v>4000</v>
      </c>
      <c r="K9534" s="6">
        <f t="shared" si="401"/>
        <v>3.6336693363289956</v>
      </c>
    </row>
    <row r="9535" spans="1:11">
      <c r="A9535" s="4">
        <v>2026</v>
      </c>
      <c r="B9535">
        <v>36</v>
      </c>
      <c r="C9535" t="s">
        <v>54</v>
      </c>
      <c r="D9535" t="s">
        <v>11</v>
      </c>
      <c r="E9535" t="s">
        <v>14</v>
      </c>
      <c r="F9535" t="s">
        <v>67</v>
      </c>
      <c r="G9535" t="str">
        <f t="shared" si="398"/>
        <v>004DEEP PURPLE</v>
      </c>
      <c r="H9535" s="5">
        <v>6180</v>
      </c>
      <c r="I9535" s="6">
        <v>3910.1071427007282</v>
      </c>
      <c r="J9535" s="5">
        <v>29260</v>
      </c>
      <c r="K9535" s="6">
        <f t="shared" si="401"/>
        <v>1.5805193500993036</v>
      </c>
    </row>
    <row r="9536" spans="1:11">
      <c r="A9536" s="4">
        <v>2026</v>
      </c>
      <c r="B9536">
        <v>36</v>
      </c>
      <c r="C9536" t="s">
        <v>54</v>
      </c>
      <c r="D9536" t="s">
        <v>11</v>
      </c>
      <c r="E9536" t="s">
        <v>14</v>
      </c>
      <c r="F9536" t="s">
        <v>71</v>
      </c>
      <c r="G9536" t="str">
        <f t="shared" si="398"/>
        <v>004HOT EXPLORER</v>
      </c>
      <c r="H9536" s="5">
        <v>3475</v>
      </c>
      <c r="I9536" s="6">
        <v>1902.2142856381945</v>
      </c>
      <c r="J9536" s="5">
        <v>14400</v>
      </c>
      <c r="K9536" s="6">
        <f t="shared" si="401"/>
        <v>1.8268183696423743</v>
      </c>
    </row>
    <row r="9537" spans="1:11">
      <c r="A9537" s="4">
        <v>2026</v>
      </c>
      <c r="B9537">
        <v>36</v>
      </c>
      <c r="C9537" t="s">
        <v>54</v>
      </c>
      <c r="D9537" t="s">
        <v>11</v>
      </c>
      <c r="E9537" t="s">
        <v>14</v>
      </c>
      <c r="F9537" t="s">
        <v>72</v>
      </c>
      <c r="G9537" t="str">
        <f t="shared" si="398"/>
        <v>004HOT MERENGUE</v>
      </c>
      <c r="H9537" s="5">
        <v>2070</v>
      </c>
      <c r="I9537" s="6">
        <v>1162.4642856677858</v>
      </c>
      <c r="J9537" s="5">
        <v>8800</v>
      </c>
      <c r="K9537" s="6">
        <f t="shared" si="401"/>
        <v>1.7806998679627166</v>
      </c>
    </row>
    <row r="9538" spans="1:11">
      <c r="A9538" s="4">
        <v>2026</v>
      </c>
      <c r="B9538">
        <v>36</v>
      </c>
      <c r="C9538" t="s">
        <v>54</v>
      </c>
      <c r="D9538" t="s">
        <v>11</v>
      </c>
      <c r="E9538" t="s">
        <v>14</v>
      </c>
      <c r="F9538" t="s">
        <v>64</v>
      </c>
      <c r="G9538" t="str">
        <f t="shared" si="398"/>
        <v>004SWEETNESS</v>
      </c>
      <c r="H9538" s="5">
        <v>540</v>
      </c>
      <c r="I9538" s="6">
        <v>317.03571427303262</v>
      </c>
      <c r="J9538" s="5">
        <v>2400</v>
      </c>
      <c r="K9538" s="6">
        <f t="shared" si="401"/>
        <v>1.7032781345730328</v>
      </c>
    </row>
    <row r="9539" spans="1:11">
      <c r="A9539" s="4">
        <v>2026</v>
      </c>
      <c r="B9539">
        <v>36</v>
      </c>
      <c r="C9539" t="s">
        <v>54</v>
      </c>
      <c r="D9539" t="s">
        <v>11</v>
      </c>
      <c r="E9539" t="s">
        <v>16</v>
      </c>
      <c r="F9539" t="s">
        <v>57</v>
      </c>
      <c r="G9539" t="str">
        <f t="shared" si="398"/>
        <v>005EXPLORER</v>
      </c>
      <c r="H9539" s="5">
        <v>1250</v>
      </c>
      <c r="I9539" s="6">
        <v>951.10714281875391</v>
      </c>
      <c r="J9539" s="5">
        <v>7200</v>
      </c>
      <c r="K9539" s="6">
        <f t="shared" si="401"/>
        <v>1.3142578198870747</v>
      </c>
    </row>
    <row r="9540" spans="1:11">
      <c r="A9540" s="4">
        <v>2026</v>
      </c>
      <c r="B9540">
        <v>36</v>
      </c>
      <c r="C9540" t="s">
        <v>54</v>
      </c>
      <c r="D9540" t="s">
        <v>11</v>
      </c>
      <c r="E9540" t="s">
        <v>16</v>
      </c>
      <c r="F9540" t="s">
        <v>73</v>
      </c>
      <c r="G9540" t="str">
        <f t="shared" si="398"/>
        <v>005GOLDFINCH</v>
      </c>
      <c r="H9540" s="5">
        <v>725</v>
      </c>
      <c r="I9540" s="6">
        <v>898.26785710660101</v>
      </c>
      <c r="J9540" s="5">
        <v>6800</v>
      </c>
      <c r="K9540" s="6">
        <f t="shared" si="401"/>
        <v>0.80710891997770928</v>
      </c>
    </row>
    <row r="9541" spans="1:11">
      <c r="A9541" s="4">
        <v>2026</v>
      </c>
      <c r="B9541">
        <v>36</v>
      </c>
      <c r="C9541" t="s">
        <v>54</v>
      </c>
      <c r="D9541" t="s">
        <v>11</v>
      </c>
      <c r="E9541" t="s">
        <v>16</v>
      </c>
      <c r="F9541" t="s">
        <v>68</v>
      </c>
      <c r="G9541" t="str">
        <f t="shared" si="398"/>
        <v>005JOCKER</v>
      </c>
      <c r="H9541" s="5">
        <v>1825</v>
      </c>
      <c r="I9541" s="6">
        <v>1162.4642856673661</v>
      </c>
      <c r="J9541" s="5">
        <v>8800</v>
      </c>
      <c r="K9541" s="6">
        <f t="shared" si="401"/>
        <v>1.5699407048469234</v>
      </c>
    </row>
    <row r="9542" spans="1:11">
      <c r="A9542" s="4">
        <v>2026</v>
      </c>
      <c r="B9542">
        <v>36</v>
      </c>
      <c r="C9542" t="s">
        <v>54</v>
      </c>
      <c r="D9542" t="s">
        <v>11</v>
      </c>
      <c r="E9542" t="s">
        <v>16</v>
      </c>
      <c r="F9542" t="s">
        <v>74</v>
      </c>
      <c r="G9542" t="str">
        <f t="shared" si="398"/>
        <v>005VENDELA</v>
      </c>
      <c r="H9542" s="5">
        <v>1680</v>
      </c>
      <c r="I9542" s="6">
        <v>686.91071425798896</v>
      </c>
      <c r="J9542" s="5">
        <v>5200</v>
      </c>
      <c r="K9542" s="6">
        <f t="shared" si="401"/>
        <v>2.4457327060544696</v>
      </c>
    </row>
    <row r="9543" spans="1:11">
      <c r="A9543" s="4">
        <v>2026</v>
      </c>
      <c r="B9543">
        <v>36</v>
      </c>
      <c r="C9543" t="s">
        <v>54</v>
      </c>
      <c r="D9543" t="s">
        <v>11</v>
      </c>
      <c r="E9543" t="s">
        <v>75</v>
      </c>
      <c r="F9543" t="s">
        <v>76</v>
      </c>
      <c r="G9543" t="str">
        <f t="shared" si="398"/>
        <v>006ATOMIC</v>
      </c>
      <c r="H9543" s="5">
        <v>500</v>
      </c>
      <c r="I9543" s="6">
        <v>845.428571394752</v>
      </c>
      <c r="J9543" s="5">
        <v>6400</v>
      </c>
      <c r="K9543" s="6">
        <f t="shared" si="401"/>
        <v>0.59141601894897089</v>
      </c>
    </row>
    <row r="9544" spans="1:11">
      <c r="A9544" s="4">
        <v>2026</v>
      </c>
      <c r="B9544">
        <v>36</v>
      </c>
      <c r="C9544" t="s">
        <v>54</v>
      </c>
      <c r="D9544" t="s">
        <v>11</v>
      </c>
      <c r="E9544" t="s">
        <v>75</v>
      </c>
      <c r="F9544" t="s">
        <v>57</v>
      </c>
      <c r="G9544" t="str">
        <f t="shared" si="398"/>
        <v>006EXPLORER</v>
      </c>
      <c r="H9544" s="5">
        <v>5850</v>
      </c>
      <c r="I9544" s="6">
        <v>3910.1071427007355</v>
      </c>
      <c r="J9544" s="5">
        <v>29600</v>
      </c>
      <c r="K9544" s="6">
        <f t="shared" si="401"/>
        <v>1.4961226857736099</v>
      </c>
    </row>
    <row r="9545" spans="1:11">
      <c r="A9545" s="4">
        <v>2026</v>
      </c>
      <c r="B9545">
        <v>36</v>
      </c>
      <c r="C9545" t="s">
        <v>54</v>
      </c>
      <c r="D9545" t="s">
        <v>11</v>
      </c>
      <c r="E9545" t="s">
        <v>75</v>
      </c>
      <c r="F9545" t="s">
        <v>77</v>
      </c>
      <c r="G9545" t="str">
        <f t="shared" si="398"/>
        <v>006MONDIAL</v>
      </c>
      <c r="H9545" s="5">
        <v>5525</v>
      </c>
      <c r="I9545" s="6">
        <v>4015.7857141250793</v>
      </c>
      <c r="J9545" s="5">
        <v>30400</v>
      </c>
      <c r="K9545" s="6">
        <f t="shared" si="401"/>
        <v>1.3758204230286559</v>
      </c>
    </row>
    <row r="9546" spans="1:11">
      <c r="A9546" s="4">
        <v>2026</v>
      </c>
      <c r="B9546">
        <v>36</v>
      </c>
      <c r="C9546" t="s">
        <v>54</v>
      </c>
      <c r="D9546" t="s">
        <v>11</v>
      </c>
      <c r="E9546" t="s">
        <v>20</v>
      </c>
      <c r="F9546" t="s">
        <v>70</v>
      </c>
      <c r="G9546" t="str">
        <f t="shared" si="398"/>
        <v>007COTOPAXI</v>
      </c>
      <c r="H9546" s="5">
        <v>6270</v>
      </c>
      <c r="I9546" s="6">
        <v>2747.5751230427709</v>
      </c>
      <c r="J9546" s="5">
        <v>20800</v>
      </c>
      <c r="K9546" s="6">
        <f t="shared" si="401"/>
        <v>2.282012217761078</v>
      </c>
    </row>
    <row r="9547" spans="1:11">
      <c r="A9547" s="4">
        <v>2026</v>
      </c>
      <c r="B9547">
        <v>36</v>
      </c>
      <c r="C9547" t="s">
        <v>54</v>
      </c>
      <c r="D9547" t="s">
        <v>11</v>
      </c>
      <c r="E9547" t="s">
        <v>20</v>
      </c>
      <c r="F9547" t="s">
        <v>78</v>
      </c>
      <c r="G9547" t="str">
        <f t="shared" si="398"/>
        <v>007REDIANT</v>
      </c>
      <c r="H9547" s="5">
        <v>1350</v>
      </c>
      <c r="I9547" s="6">
        <v>1056.75862064738</v>
      </c>
      <c r="J9547" s="5">
        <v>9600</v>
      </c>
      <c r="K9547" s="6">
        <f t="shared" si="401"/>
        <v>1.2774913529193428</v>
      </c>
    </row>
    <row r="9548" spans="1:11">
      <c r="A9548" s="4">
        <v>2026</v>
      </c>
      <c r="B9548">
        <v>36</v>
      </c>
      <c r="C9548" t="s">
        <v>54</v>
      </c>
      <c r="D9548" t="s">
        <v>11</v>
      </c>
      <c r="E9548" t="s">
        <v>20</v>
      </c>
      <c r="F9548" t="s">
        <v>63</v>
      </c>
      <c r="G9548" t="str">
        <f t="shared" si="398"/>
        <v>007SUMMER ROMANCE</v>
      </c>
      <c r="H9548" s="5">
        <v>1200</v>
      </c>
      <c r="I9548" s="6">
        <v>369.86551722658481</v>
      </c>
      <c r="J9548" s="5">
        <v>3080</v>
      </c>
      <c r="K9548" s="6">
        <f t="shared" si="401"/>
        <v>3.244422483604664</v>
      </c>
    </row>
    <row r="9549" spans="1:11">
      <c r="A9549" s="4">
        <v>2026</v>
      </c>
      <c r="B9549">
        <v>36</v>
      </c>
      <c r="C9549" t="s">
        <v>54</v>
      </c>
      <c r="D9549" t="s">
        <v>11</v>
      </c>
      <c r="E9549" t="s">
        <v>20</v>
      </c>
      <c r="F9549" t="s">
        <v>74</v>
      </c>
      <c r="G9549" t="str">
        <f t="shared" ref="G9549:G9593" si="402">+E9549&amp;F9549</f>
        <v>007VENDELA</v>
      </c>
      <c r="H9549" s="5">
        <v>9570</v>
      </c>
      <c r="I9549" s="6">
        <v>3592.9793102011122</v>
      </c>
      <c r="J9549" s="5">
        <v>27820</v>
      </c>
      <c r="K9549" s="6">
        <f t="shared" si="401"/>
        <v>2.6635277227533858</v>
      </c>
    </row>
    <row r="9550" spans="1:11">
      <c r="A9550" s="4">
        <v>2026</v>
      </c>
      <c r="B9550">
        <v>36</v>
      </c>
      <c r="C9550" t="s">
        <v>54</v>
      </c>
      <c r="D9550" t="s">
        <v>11</v>
      </c>
      <c r="E9550" t="s">
        <v>79</v>
      </c>
      <c r="F9550" t="s">
        <v>67</v>
      </c>
      <c r="G9550" t="str">
        <f t="shared" si="402"/>
        <v>008DEEP PURPLE</v>
      </c>
      <c r="H9550" s="5">
        <v>2100</v>
      </c>
      <c r="I9550" s="6">
        <v>1585.2222221588099</v>
      </c>
      <c r="J9550" s="5">
        <v>11490</v>
      </c>
      <c r="K9550" s="6">
        <f t="shared" si="401"/>
        <v>1.324735403431418</v>
      </c>
    </row>
    <row r="9551" spans="1:11">
      <c r="A9551" s="4">
        <v>2026</v>
      </c>
      <c r="B9551">
        <v>36</v>
      </c>
      <c r="C9551" t="s">
        <v>54</v>
      </c>
      <c r="D9551" t="s">
        <v>11</v>
      </c>
      <c r="E9551" t="s">
        <v>79</v>
      </c>
      <c r="F9551" t="s">
        <v>81</v>
      </c>
      <c r="G9551" t="str">
        <f t="shared" si="402"/>
        <v>008FREEDOM</v>
      </c>
      <c r="H9551" s="5">
        <v>2430</v>
      </c>
      <c r="I9551" s="6">
        <v>2219.311111022334</v>
      </c>
      <c r="J9551" s="5">
        <v>16800</v>
      </c>
      <c r="K9551" s="6">
        <f t="shared" si="401"/>
        <v>1.0949343640606617</v>
      </c>
    </row>
    <row r="9552" spans="1:11">
      <c r="A9552" s="4">
        <v>2026</v>
      </c>
      <c r="B9552">
        <v>36</v>
      </c>
      <c r="C9552" t="s">
        <v>54</v>
      </c>
      <c r="D9552" t="s">
        <v>11</v>
      </c>
      <c r="E9552" t="s">
        <v>79</v>
      </c>
      <c r="F9552" t="s">
        <v>68</v>
      </c>
      <c r="G9552" t="str">
        <f t="shared" si="402"/>
        <v>008JOCKER</v>
      </c>
      <c r="H9552" s="5">
        <v>4050</v>
      </c>
      <c r="I9552" s="6">
        <v>2959.0814813631118</v>
      </c>
      <c r="J9552" s="5">
        <v>22400</v>
      </c>
      <c r="K9552" s="6">
        <f t="shared" si="401"/>
        <v>1.3686679550758274</v>
      </c>
    </row>
    <row r="9553" spans="1:11">
      <c r="A9553" s="4">
        <v>2026</v>
      </c>
      <c r="B9553">
        <v>36</v>
      </c>
      <c r="C9553" t="s">
        <v>54</v>
      </c>
      <c r="D9553" t="s">
        <v>11</v>
      </c>
      <c r="E9553" t="s">
        <v>79</v>
      </c>
      <c r="F9553" t="s">
        <v>61</v>
      </c>
      <c r="G9553" t="str">
        <f t="shared" si="402"/>
        <v>008LUMIA</v>
      </c>
      <c r="H9553" s="5">
        <v>0</v>
      </c>
      <c r="I9553" s="6">
        <v>1796.5851851133182</v>
      </c>
      <c r="J9553" s="5">
        <v>13600</v>
      </c>
      <c r="K9553" s="6">
        <f t="shared" si="401"/>
        <v>0</v>
      </c>
    </row>
    <row r="9554" spans="1:11">
      <c r="A9554" s="4">
        <v>2026</v>
      </c>
      <c r="B9554">
        <v>36</v>
      </c>
      <c r="C9554" t="s">
        <v>54</v>
      </c>
      <c r="D9554" t="s">
        <v>11</v>
      </c>
      <c r="E9554" t="s">
        <v>82</v>
      </c>
      <c r="F9554" t="s">
        <v>83</v>
      </c>
      <c r="G9554" t="str">
        <f t="shared" si="402"/>
        <v>010COOLDOWN</v>
      </c>
      <c r="H9554" s="5">
        <v>2875</v>
      </c>
      <c r="I9554" s="6">
        <v>1912.3542857142861</v>
      </c>
      <c r="J9554" s="5">
        <v>16320</v>
      </c>
      <c r="K9554" s="6">
        <f t="shared" si="401"/>
        <v>1.5033825172860973</v>
      </c>
    </row>
    <row r="9555" spans="1:11">
      <c r="A9555" s="4">
        <v>2026</v>
      </c>
      <c r="B9555">
        <v>36</v>
      </c>
      <c r="C9555" t="s">
        <v>54</v>
      </c>
      <c r="D9555" t="s">
        <v>11</v>
      </c>
      <c r="E9555" t="s">
        <v>82</v>
      </c>
      <c r="F9555" t="s">
        <v>84</v>
      </c>
      <c r="G9555" t="str">
        <f t="shared" si="402"/>
        <v>010VIOLET HILL</v>
      </c>
      <c r="H9555" s="5">
        <v>5640</v>
      </c>
      <c r="I9555" s="6">
        <v>2812.2857142428579</v>
      </c>
      <c r="J9555" s="5">
        <v>20000</v>
      </c>
      <c r="K9555" s="6">
        <f t="shared" si="401"/>
        <v>2.0054861323073063</v>
      </c>
    </row>
    <row r="9556" spans="1:11">
      <c r="A9556" s="4">
        <v>2026</v>
      </c>
      <c r="B9556">
        <v>36</v>
      </c>
      <c r="C9556" t="s">
        <v>54</v>
      </c>
      <c r="D9556" t="s">
        <v>11</v>
      </c>
      <c r="E9556" t="s">
        <v>85</v>
      </c>
      <c r="F9556" t="s">
        <v>86</v>
      </c>
      <c r="G9556" t="str">
        <f t="shared" si="402"/>
        <v>011BRIGHTON</v>
      </c>
      <c r="H9556" s="5">
        <v>2825</v>
      </c>
      <c r="I9556" s="6">
        <v>1768.8376470588223</v>
      </c>
      <c r="J9556" s="5">
        <v>12800</v>
      </c>
      <c r="K9556" s="6">
        <f t="shared" si="401"/>
        <v>1.5970940039055237</v>
      </c>
    </row>
    <row r="9557" spans="1:11">
      <c r="A9557" s="4">
        <v>2026</v>
      </c>
      <c r="B9557">
        <v>36</v>
      </c>
      <c r="C9557" t="s">
        <v>54</v>
      </c>
      <c r="D9557" t="s">
        <v>11</v>
      </c>
      <c r="E9557" t="s">
        <v>85</v>
      </c>
      <c r="F9557" t="s">
        <v>87</v>
      </c>
      <c r="G9557" t="str">
        <f t="shared" si="402"/>
        <v>011CANDLELIGHT</v>
      </c>
      <c r="H9557" s="5">
        <v>6180</v>
      </c>
      <c r="I9557" s="6">
        <v>2263.7999998868127</v>
      </c>
      <c r="J9557" s="5">
        <v>17920</v>
      </c>
      <c r="K9557" s="6">
        <f t="shared" si="401"/>
        <v>2.7299231382228966</v>
      </c>
    </row>
    <row r="9558" spans="1:11">
      <c r="A9558" s="4">
        <v>2026</v>
      </c>
      <c r="B9558">
        <v>36</v>
      </c>
      <c r="C9558" t="s">
        <v>54</v>
      </c>
      <c r="D9558" t="s">
        <v>11</v>
      </c>
      <c r="E9558" t="s">
        <v>85</v>
      </c>
      <c r="F9558" t="s">
        <v>88</v>
      </c>
      <c r="G9558" t="str">
        <f t="shared" si="402"/>
        <v>011CAYENNE</v>
      </c>
      <c r="H9558" s="5">
        <v>510</v>
      </c>
      <c r="I9558" s="6">
        <v>994.97117647058747</v>
      </c>
      <c r="J9558" s="5">
        <v>7200</v>
      </c>
      <c r="K9558" s="6">
        <f t="shared" si="401"/>
        <v>0.5125776626103864</v>
      </c>
    </row>
    <row r="9559" spans="1:11">
      <c r="A9559" s="4">
        <v>2026</v>
      </c>
      <c r="B9559">
        <v>36</v>
      </c>
      <c r="C9559" t="s">
        <v>54</v>
      </c>
      <c r="D9559" t="s">
        <v>11</v>
      </c>
      <c r="E9559" t="s">
        <v>85</v>
      </c>
      <c r="F9559" t="s">
        <v>61</v>
      </c>
      <c r="G9559" t="str">
        <f t="shared" si="402"/>
        <v>011LUMIA</v>
      </c>
      <c r="H9559" s="5">
        <v>1740</v>
      </c>
      <c r="I9559" s="6">
        <v>994.97117647058747</v>
      </c>
      <c r="J9559" s="5">
        <v>7920</v>
      </c>
      <c r="K9559" s="6">
        <f t="shared" si="401"/>
        <v>1.7487943783177888</v>
      </c>
    </row>
    <row r="9560" spans="1:11">
      <c r="A9560" s="4">
        <v>2026</v>
      </c>
      <c r="B9560">
        <v>36</v>
      </c>
      <c r="C9560" t="s">
        <v>54</v>
      </c>
      <c r="D9560" t="s">
        <v>11</v>
      </c>
      <c r="E9560" t="s">
        <v>85</v>
      </c>
      <c r="F9560" t="s">
        <v>89</v>
      </c>
      <c r="G9560" t="str">
        <f t="shared" si="402"/>
        <v>011STARDUST</v>
      </c>
      <c r="H9560" s="5">
        <v>3175</v>
      </c>
      <c r="I9560" s="6">
        <v>2263.7999998868127</v>
      </c>
      <c r="J9560" s="5">
        <v>17920</v>
      </c>
      <c r="K9560" s="6">
        <f t="shared" si="401"/>
        <v>1.4025090556404038</v>
      </c>
    </row>
    <row r="9561" spans="1:11">
      <c r="A9561" s="4">
        <v>2026</v>
      </c>
      <c r="B9561">
        <v>36</v>
      </c>
      <c r="C9561" t="s">
        <v>54</v>
      </c>
      <c r="D9561" t="s">
        <v>11</v>
      </c>
      <c r="E9561" t="s">
        <v>90</v>
      </c>
      <c r="F9561" t="s">
        <v>67</v>
      </c>
      <c r="G9561" t="str">
        <f t="shared" si="402"/>
        <v>012DEEP PURPLE</v>
      </c>
      <c r="H9561" s="5">
        <v>12150</v>
      </c>
      <c r="I9561" s="6">
        <v>6727.0499997982479</v>
      </c>
      <c r="J9561" s="5">
        <v>49210</v>
      </c>
      <c r="K9561" s="6">
        <f t="shared" si="401"/>
        <v>1.8061408790427294</v>
      </c>
    </row>
    <row r="9562" spans="1:11">
      <c r="A9562" s="4">
        <v>2026</v>
      </c>
      <c r="B9562">
        <v>36</v>
      </c>
      <c r="C9562" t="s">
        <v>54</v>
      </c>
      <c r="D9562" t="s">
        <v>11</v>
      </c>
      <c r="E9562" t="s">
        <v>90</v>
      </c>
      <c r="F9562" t="s">
        <v>60</v>
      </c>
      <c r="G9562" t="str">
        <f t="shared" si="402"/>
        <v>012LIGHT HOUSE</v>
      </c>
      <c r="H9562" s="5">
        <v>870</v>
      </c>
      <c r="I9562" s="6">
        <v>994.95</v>
      </c>
      <c r="J9562" s="5">
        <v>7200</v>
      </c>
      <c r="K9562" s="6">
        <f t="shared" si="401"/>
        <v>0.87441579978893402</v>
      </c>
    </row>
    <row r="9563" spans="1:11">
      <c r="A9563" s="4">
        <v>2026</v>
      </c>
      <c r="B9563">
        <v>36</v>
      </c>
      <c r="C9563" t="s">
        <v>54</v>
      </c>
      <c r="D9563" t="s">
        <v>11</v>
      </c>
      <c r="E9563" t="s">
        <v>91</v>
      </c>
      <c r="F9563" t="s">
        <v>92</v>
      </c>
      <c r="G9563" t="str">
        <f t="shared" si="402"/>
        <v>013COUNTRY BLUES</v>
      </c>
      <c r="H9563" s="5">
        <v>1050</v>
      </c>
      <c r="I9563" s="6">
        <v>831.6</v>
      </c>
      <c r="J9563" s="5">
        <v>6300</v>
      </c>
      <c r="K9563" s="6">
        <f t="shared" si="401"/>
        <v>1.2626262626262625</v>
      </c>
    </row>
    <row r="9564" spans="1:11">
      <c r="A9564" s="4">
        <v>2026</v>
      </c>
      <c r="B9564">
        <v>36</v>
      </c>
      <c r="C9564" t="s">
        <v>54</v>
      </c>
      <c r="D9564" t="s">
        <v>11</v>
      </c>
      <c r="E9564" t="s">
        <v>91</v>
      </c>
      <c r="F9564" t="s">
        <v>93</v>
      </c>
      <c r="G9564" t="str">
        <f t="shared" si="402"/>
        <v>013LORRAINE</v>
      </c>
      <c r="H9564" s="5">
        <v>2900</v>
      </c>
      <c r="I9564" s="6">
        <v>1267.2</v>
      </c>
      <c r="J9564" s="5">
        <v>9600</v>
      </c>
      <c r="K9564" s="6">
        <f t="shared" si="401"/>
        <v>2.2885101010101008</v>
      </c>
    </row>
    <row r="9565" spans="1:11">
      <c r="A9565" s="4">
        <v>2026</v>
      </c>
      <c r="B9565">
        <v>36</v>
      </c>
      <c r="C9565" t="s">
        <v>54</v>
      </c>
      <c r="D9565" t="s">
        <v>11</v>
      </c>
      <c r="E9565" t="s">
        <v>91</v>
      </c>
      <c r="F9565" t="s">
        <v>61</v>
      </c>
      <c r="G9565" t="str">
        <f t="shared" si="402"/>
        <v>013LUMIA</v>
      </c>
      <c r="H9565" s="5">
        <v>360</v>
      </c>
      <c r="I9565" s="6">
        <v>316.8</v>
      </c>
      <c r="J9565" s="5">
        <v>2400</v>
      </c>
      <c r="K9565" s="6">
        <f t="shared" si="401"/>
        <v>1.1363636363636362</v>
      </c>
    </row>
    <row r="9566" spans="1:11">
      <c r="A9566" s="4">
        <v>2026</v>
      </c>
      <c r="B9566">
        <v>36</v>
      </c>
      <c r="C9566" t="s">
        <v>54</v>
      </c>
      <c r="D9566" t="s">
        <v>11</v>
      </c>
      <c r="E9566" t="s">
        <v>91</v>
      </c>
      <c r="F9566" t="s">
        <v>74</v>
      </c>
      <c r="G9566" t="str">
        <f t="shared" si="402"/>
        <v>013VENDELA</v>
      </c>
      <c r="H9566" s="5">
        <v>5220</v>
      </c>
      <c r="I9566" s="6">
        <v>3603.6</v>
      </c>
      <c r="J9566" s="5">
        <v>27296</v>
      </c>
      <c r="K9566" s="6">
        <f t="shared" si="401"/>
        <v>1.4485514485514486</v>
      </c>
    </row>
    <row r="9567" spans="1:11">
      <c r="A9567" s="4">
        <v>2026</v>
      </c>
      <c r="B9567">
        <v>36</v>
      </c>
      <c r="C9567" t="s">
        <v>54</v>
      </c>
      <c r="D9567" t="s">
        <v>11</v>
      </c>
      <c r="E9567" t="s">
        <v>23</v>
      </c>
      <c r="F9567" t="s">
        <v>89</v>
      </c>
      <c r="G9567" t="str">
        <f t="shared" si="402"/>
        <v>014STARDUST</v>
      </c>
      <c r="H9567" s="5">
        <v>4550</v>
      </c>
      <c r="I9567" s="6">
        <v>3682.8</v>
      </c>
      <c r="J9567" s="5">
        <v>27900</v>
      </c>
      <c r="K9567" s="6">
        <f t="shared" si="401"/>
        <v>1.235473009666558</v>
      </c>
    </row>
    <row r="9568" spans="1:11">
      <c r="A9568" s="4">
        <v>2026</v>
      </c>
      <c r="B9568">
        <v>36</v>
      </c>
      <c r="C9568" t="s">
        <v>54</v>
      </c>
      <c r="D9568" t="s">
        <v>11</v>
      </c>
      <c r="E9568" t="s">
        <v>25</v>
      </c>
      <c r="F9568" t="s">
        <v>68</v>
      </c>
      <c r="G9568" t="str">
        <f t="shared" si="402"/>
        <v>015JOCKER</v>
      </c>
      <c r="H9568" s="5">
        <v>4325</v>
      </c>
      <c r="I9568" s="6">
        <v>2376</v>
      </c>
      <c r="J9568" s="5">
        <v>18000</v>
      </c>
      <c r="K9568" s="6">
        <f t="shared" si="401"/>
        <v>1.8202861952861953</v>
      </c>
    </row>
    <row r="9569" spans="1:11">
      <c r="A9569" s="4">
        <v>2026</v>
      </c>
      <c r="B9569">
        <v>36</v>
      </c>
      <c r="C9569" t="s">
        <v>54</v>
      </c>
      <c r="D9569" t="s">
        <v>11</v>
      </c>
      <c r="E9569" t="s">
        <v>27</v>
      </c>
      <c r="F9569" t="s">
        <v>94</v>
      </c>
      <c r="G9569" t="str">
        <f t="shared" si="402"/>
        <v>016DREAM IN PEACH</v>
      </c>
      <c r="H9569" s="5">
        <v>600</v>
      </c>
      <c r="I9569" s="6">
        <v>950.4</v>
      </c>
      <c r="J9569" s="5">
        <v>7200</v>
      </c>
      <c r="K9569" s="6">
        <f t="shared" si="401"/>
        <v>0.63131313131313138</v>
      </c>
    </row>
    <row r="9570" spans="1:11">
      <c r="A9570" s="4">
        <v>2026</v>
      </c>
      <c r="B9570">
        <v>36</v>
      </c>
      <c r="C9570" t="s">
        <v>54</v>
      </c>
      <c r="D9570" t="s">
        <v>11</v>
      </c>
      <c r="E9570" t="s">
        <v>27</v>
      </c>
      <c r="F9570" t="s">
        <v>95</v>
      </c>
      <c r="G9570" t="str">
        <f t="shared" si="402"/>
        <v>016NINA</v>
      </c>
      <c r="H9570" s="5">
        <v>2250</v>
      </c>
      <c r="I9570" s="6">
        <v>1346.4</v>
      </c>
      <c r="J9570" s="5">
        <v>10200</v>
      </c>
      <c r="K9570" s="6">
        <f t="shared" si="401"/>
        <v>1.6711229946524062</v>
      </c>
    </row>
    <row r="9571" spans="1:11">
      <c r="A9571" s="4">
        <v>2026</v>
      </c>
      <c r="B9571">
        <v>36</v>
      </c>
      <c r="C9571" t="s">
        <v>54</v>
      </c>
      <c r="D9571" t="s">
        <v>11</v>
      </c>
      <c r="E9571" t="s">
        <v>30</v>
      </c>
      <c r="F9571" t="s">
        <v>81</v>
      </c>
      <c r="G9571" t="str">
        <f t="shared" si="402"/>
        <v>017FREEDOM</v>
      </c>
      <c r="H9571" s="5">
        <v>4200</v>
      </c>
      <c r="I9571" s="6">
        <v>2851.2</v>
      </c>
      <c r="J9571" s="5">
        <v>21600</v>
      </c>
      <c r="K9571" s="6">
        <f t="shared" si="401"/>
        <v>1.4730639730639732</v>
      </c>
    </row>
    <row r="9572" spans="1:11">
      <c r="A9572" s="4">
        <v>2026</v>
      </c>
      <c r="B9572">
        <v>36</v>
      </c>
      <c r="C9572" t="s">
        <v>54</v>
      </c>
      <c r="D9572" t="s">
        <v>11</v>
      </c>
      <c r="E9572" t="s">
        <v>30</v>
      </c>
      <c r="F9572" t="s">
        <v>73</v>
      </c>
      <c r="G9572" t="str">
        <f t="shared" si="402"/>
        <v>017GOLDFINCH</v>
      </c>
      <c r="H9572" s="5">
        <v>2650</v>
      </c>
      <c r="I9572" s="6">
        <v>2138.4</v>
      </c>
      <c r="J9572" s="5">
        <v>16200</v>
      </c>
      <c r="K9572" s="6">
        <f t="shared" si="401"/>
        <v>1.2392442947998503</v>
      </c>
    </row>
    <row r="9573" spans="1:11">
      <c r="A9573" s="4">
        <v>2026</v>
      </c>
      <c r="B9573">
        <v>36</v>
      </c>
      <c r="C9573" t="s">
        <v>54</v>
      </c>
      <c r="D9573" t="s">
        <v>11</v>
      </c>
      <c r="E9573" t="s">
        <v>32</v>
      </c>
      <c r="F9573" t="s">
        <v>86</v>
      </c>
      <c r="G9573" t="str">
        <f t="shared" si="402"/>
        <v>018BRIGHTON</v>
      </c>
      <c r="H9573" s="5">
        <v>1300</v>
      </c>
      <c r="I9573" s="6">
        <v>963.6</v>
      </c>
      <c r="J9573" s="5">
        <v>7570</v>
      </c>
      <c r="K9573" s="6">
        <f t="shared" si="401"/>
        <v>1.349107513491075</v>
      </c>
    </row>
    <row r="9574" spans="1:11">
      <c r="A9574" s="4">
        <v>2026</v>
      </c>
      <c r="B9574">
        <v>36</v>
      </c>
      <c r="C9574" t="s">
        <v>54</v>
      </c>
      <c r="D9574" t="s">
        <v>11</v>
      </c>
      <c r="E9574" t="s">
        <v>35</v>
      </c>
      <c r="F9574" t="s">
        <v>86</v>
      </c>
      <c r="G9574" t="str">
        <f t="shared" si="402"/>
        <v>019BRIGHTON</v>
      </c>
      <c r="H9574" s="5">
        <v>3850</v>
      </c>
      <c r="I9574" s="6">
        <v>3168</v>
      </c>
      <c r="J9574" s="5">
        <v>24000</v>
      </c>
      <c r="K9574" s="6">
        <f t="shared" si="401"/>
        <v>1.2152777777777777</v>
      </c>
    </row>
    <row r="9575" spans="1:11">
      <c r="A9575" s="4">
        <v>2026</v>
      </c>
      <c r="B9575">
        <v>36</v>
      </c>
      <c r="C9575" t="s">
        <v>54</v>
      </c>
      <c r="D9575" t="s">
        <v>11</v>
      </c>
      <c r="E9575" t="s">
        <v>35</v>
      </c>
      <c r="F9575" t="s">
        <v>96</v>
      </c>
      <c r="G9575" t="str">
        <f t="shared" si="402"/>
        <v>019TABATHA</v>
      </c>
      <c r="H9575" s="5">
        <v>1740</v>
      </c>
      <c r="I9575" s="6">
        <v>1188</v>
      </c>
      <c r="J9575" s="5">
        <v>9000</v>
      </c>
      <c r="K9575" s="6">
        <f t="shared" si="401"/>
        <v>1.4646464646464648</v>
      </c>
    </row>
    <row r="9576" spans="1:11">
      <c r="A9576" s="4">
        <v>2026</v>
      </c>
      <c r="B9576">
        <v>36</v>
      </c>
      <c r="C9576" t="s">
        <v>54</v>
      </c>
      <c r="D9576" t="s">
        <v>11</v>
      </c>
      <c r="E9576" t="s">
        <v>36</v>
      </c>
      <c r="F9576" t="s">
        <v>86</v>
      </c>
      <c r="G9576" t="str">
        <f t="shared" si="402"/>
        <v>020BRIGHTON</v>
      </c>
      <c r="H9576" s="5">
        <v>3650</v>
      </c>
      <c r="I9576" s="6">
        <v>2732.4</v>
      </c>
      <c r="J9576" s="5">
        <v>20700</v>
      </c>
      <c r="K9576" s="6">
        <f t="shared" si="401"/>
        <v>1.335821987995901</v>
      </c>
    </row>
    <row r="9577" spans="1:11">
      <c r="A9577" s="4">
        <v>2026</v>
      </c>
      <c r="B9577">
        <v>36</v>
      </c>
      <c r="C9577" t="s">
        <v>54</v>
      </c>
      <c r="D9577" t="s">
        <v>11</v>
      </c>
      <c r="E9577" t="s">
        <v>36</v>
      </c>
      <c r="F9577" t="s">
        <v>97</v>
      </c>
      <c r="G9577" t="str">
        <f t="shared" si="402"/>
        <v>020TYCOON</v>
      </c>
      <c r="H9577" s="5">
        <v>780</v>
      </c>
      <c r="I9577" s="6">
        <v>673.2</v>
      </c>
      <c r="J9577" s="5">
        <v>5100</v>
      </c>
      <c r="K9577" s="6">
        <f t="shared" si="401"/>
        <v>1.1586452762923349</v>
      </c>
    </row>
    <row r="9578" spans="1:11">
      <c r="A9578" s="4">
        <v>2026</v>
      </c>
      <c r="B9578">
        <v>36</v>
      </c>
      <c r="C9578" t="s">
        <v>54</v>
      </c>
      <c r="D9578" t="s">
        <v>11</v>
      </c>
      <c r="E9578" t="s">
        <v>38</v>
      </c>
      <c r="F9578" t="s">
        <v>98</v>
      </c>
      <c r="G9578" t="str">
        <f t="shared" si="402"/>
        <v>021SHOW GIRL</v>
      </c>
      <c r="H9578" s="5">
        <v>2350</v>
      </c>
      <c r="I9578" s="6">
        <v>1100.4749999999999</v>
      </c>
      <c r="J9578" s="5">
        <v>8000</v>
      </c>
      <c r="K9578" s="6">
        <f t="shared" si="401"/>
        <v>2.1354415138917289</v>
      </c>
    </row>
    <row r="9579" spans="1:11">
      <c r="A9579" s="4">
        <v>2026</v>
      </c>
      <c r="B9579">
        <v>36</v>
      </c>
      <c r="C9579" t="s">
        <v>54</v>
      </c>
      <c r="D9579" t="s">
        <v>11</v>
      </c>
      <c r="E9579" t="s">
        <v>43</v>
      </c>
      <c r="F9579" t="s">
        <v>99</v>
      </c>
      <c r="G9579" t="str">
        <f t="shared" si="402"/>
        <v>022CORAL REEF</v>
      </c>
      <c r="H9579" s="5">
        <v>1400</v>
      </c>
      <c r="I9579" s="6">
        <v>1287</v>
      </c>
      <c r="J9579" s="5">
        <v>9400</v>
      </c>
      <c r="K9579" s="6">
        <f t="shared" si="401"/>
        <v>1.0878010878010878</v>
      </c>
    </row>
    <row r="9580" spans="1:11">
      <c r="A9580" s="4">
        <v>2026</v>
      </c>
      <c r="B9580">
        <v>36</v>
      </c>
      <c r="C9580" t="s">
        <v>54</v>
      </c>
      <c r="D9580" t="s">
        <v>11</v>
      </c>
      <c r="E9580" t="s">
        <v>100</v>
      </c>
      <c r="F9580" t="s">
        <v>70</v>
      </c>
      <c r="G9580" t="str">
        <f t="shared" si="402"/>
        <v>023COTOPAXI</v>
      </c>
      <c r="H9580" s="5">
        <v>8250</v>
      </c>
      <c r="I9580" s="6">
        <v>2641.14</v>
      </c>
      <c r="J9580" s="5">
        <v>19200</v>
      </c>
      <c r="K9580" s="6">
        <f t="shared" si="401"/>
        <v>3.1236511506394966</v>
      </c>
    </row>
    <row r="9581" spans="1:11">
      <c r="A9581" s="4">
        <v>2026</v>
      </c>
      <c r="B9581">
        <v>36</v>
      </c>
      <c r="C9581" t="s">
        <v>54</v>
      </c>
      <c r="D9581" t="s">
        <v>11</v>
      </c>
      <c r="E9581" t="s">
        <v>100</v>
      </c>
      <c r="F9581" t="s">
        <v>101</v>
      </c>
      <c r="G9581" t="str">
        <f t="shared" si="402"/>
        <v>023FRUTTETO</v>
      </c>
      <c r="H9581" s="5">
        <v>3960</v>
      </c>
      <c r="I9581" s="6">
        <v>2641.14</v>
      </c>
      <c r="J9581" s="5">
        <v>19200</v>
      </c>
      <c r="K9581" s="6">
        <f t="shared" si="401"/>
        <v>1.4993525523069584</v>
      </c>
    </row>
    <row r="9582" spans="1:11">
      <c r="A9582" s="4">
        <v>2026</v>
      </c>
      <c r="B9582">
        <v>36</v>
      </c>
      <c r="C9582" t="s">
        <v>54</v>
      </c>
      <c r="D9582" t="s">
        <v>11</v>
      </c>
      <c r="E9582" t="s">
        <v>102</v>
      </c>
      <c r="F9582" t="s">
        <v>70</v>
      </c>
      <c r="G9582" t="str">
        <f t="shared" si="402"/>
        <v>024COTOPAXI</v>
      </c>
      <c r="H9582" s="5">
        <v>4080</v>
      </c>
      <c r="I9582" s="6">
        <v>1430.6174906250001</v>
      </c>
      <c r="J9582" s="5">
        <v>10400</v>
      </c>
      <c r="K9582" s="6">
        <f t="shared" si="401"/>
        <v>2.8519153629371279</v>
      </c>
    </row>
    <row r="9583" spans="1:11">
      <c r="A9583" s="4">
        <v>2026</v>
      </c>
      <c r="B9583">
        <v>36</v>
      </c>
      <c r="C9583" t="s">
        <v>54</v>
      </c>
      <c r="D9583" t="s">
        <v>11</v>
      </c>
      <c r="E9583" t="s">
        <v>102</v>
      </c>
      <c r="F9583" t="s">
        <v>64</v>
      </c>
      <c r="G9583" t="str">
        <f t="shared" si="402"/>
        <v>024SWEETNESS</v>
      </c>
      <c r="H9583" s="5">
        <v>3450</v>
      </c>
      <c r="I9583" s="6">
        <v>1430.6175000000001</v>
      </c>
      <c r="J9583" s="5">
        <v>10400</v>
      </c>
      <c r="K9583" s="6">
        <f t="shared" si="401"/>
        <v>2.4115460631510519</v>
      </c>
    </row>
    <row r="9584" spans="1:11">
      <c r="A9584" s="4">
        <v>2026</v>
      </c>
      <c r="B9584">
        <v>36</v>
      </c>
      <c r="C9584" t="s">
        <v>54</v>
      </c>
      <c r="D9584" t="s">
        <v>11</v>
      </c>
      <c r="E9584" t="s">
        <v>102</v>
      </c>
      <c r="F9584" t="s">
        <v>97</v>
      </c>
      <c r="G9584" t="str">
        <f t="shared" si="402"/>
        <v>024TYCOON</v>
      </c>
      <c r="H9584" s="5">
        <v>5010</v>
      </c>
      <c r="I9584" s="6">
        <v>2861.2350000000001</v>
      </c>
      <c r="J9584" s="5">
        <v>20800</v>
      </c>
      <c r="K9584" s="6">
        <f t="shared" si="401"/>
        <v>1.7509921415053289</v>
      </c>
    </row>
    <row r="9585" spans="1:11">
      <c r="A9585" s="4">
        <v>2026</v>
      </c>
      <c r="B9585">
        <v>36</v>
      </c>
      <c r="C9585" t="s">
        <v>54</v>
      </c>
      <c r="D9585" t="s">
        <v>11</v>
      </c>
      <c r="E9585" t="s">
        <v>103</v>
      </c>
      <c r="F9585" t="s">
        <v>104</v>
      </c>
      <c r="G9585" t="str">
        <f t="shared" si="402"/>
        <v>025PINK MONDIAL</v>
      </c>
      <c r="H9585" s="5">
        <v>4225</v>
      </c>
      <c r="I9585" s="6">
        <v>3071.9505625000002</v>
      </c>
      <c r="J9585" s="5">
        <v>22400</v>
      </c>
      <c r="K9585" s="6">
        <f t="shared" si="401"/>
        <v>1.3753476542153824</v>
      </c>
    </row>
    <row r="9586" spans="1:11">
      <c r="A9586" s="4">
        <v>2026</v>
      </c>
      <c r="B9586">
        <v>36</v>
      </c>
      <c r="C9586" t="s">
        <v>54</v>
      </c>
      <c r="D9586" t="s">
        <v>11</v>
      </c>
      <c r="E9586" t="s">
        <v>45</v>
      </c>
      <c r="F9586" t="s">
        <v>105</v>
      </c>
      <c r="G9586" t="str">
        <f t="shared" si="402"/>
        <v>026LOLA</v>
      </c>
      <c r="H9586" s="5">
        <v>2975</v>
      </c>
      <c r="I9586" s="6">
        <v>1097.125</v>
      </c>
      <c r="J9586" s="5">
        <v>8000</v>
      </c>
      <c r="K9586" s="6">
        <f t="shared" si="401"/>
        <v>2.7116326763130911</v>
      </c>
    </row>
    <row r="9587" spans="1:11">
      <c r="A9587" s="4">
        <v>2026</v>
      </c>
      <c r="B9587">
        <v>36</v>
      </c>
      <c r="C9587" t="s">
        <v>54</v>
      </c>
      <c r="D9587" t="s">
        <v>11</v>
      </c>
      <c r="E9587" t="s">
        <v>45</v>
      </c>
      <c r="F9587" t="s">
        <v>106</v>
      </c>
      <c r="G9587" t="str">
        <f t="shared" si="402"/>
        <v>026PALOMA</v>
      </c>
      <c r="H9587" s="5">
        <v>4425</v>
      </c>
      <c r="I9587" s="6">
        <v>2852.5250000000001</v>
      </c>
      <c r="J9587" s="5">
        <v>20800</v>
      </c>
      <c r="K9587" s="6">
        <f t="shared" si="401"/>
        <v>1.5512572194809862</v>
      </c>
    </row>
    <row r="9588" spans="1:11">
      <c r="A9588" s="4">
        <v>2026</v>
      </c>
      <c r="B9588">
        <v>36</v>
      </c>
      <c r="C9588" t="s">
        <v>54</v>
      </c>
      <c r="D9588" t="s">
        <v>11</v>
      </c>
      <c r="E9588" t="s">
        <v>107</v>
      </c>
      <c r="F9588" t="s">
        <v>108</v>
      </c>
      <c r="G9588" t="str">
        <f t="shared" si="402"/>
        <v>027SATISFACTION</v>
      </c>
      <c r="H9588" s="5">
        <v>4050</v>
      </c>
      <c r="I9588" s="6">
        <v>2633.1</v>
      </c>
      <c r="J9588" s="5">
        <v>19200</v>
      </c>
      <c r="K9588" s="6">
        <f t="shared" si="401"/>
        <v>1.538110971858266</v>
      </c>
    </row>
    <row r="9589" spans="1:11">
      <c r="A9589" s="4">
        <v>2026</v>
      </c>
      <c r="B9589">
        <v>36</v>
      </c>
      <c r="C9589" t="s">
        <v>54</v>
      </c>
      <c r="D9589" t="s">
        <v>11</v>
      </c>
      <c r="E9589" t="s">
        <v>107</v>
      </c>
      <c r="F9589" t="s">
        <v>109</v>
      </c>
      <c r="G9589" t="str">
        <f t="shared" si="402"/>
        <v>027TIFFANY</v>
      </c>
      <c r="H9589" s="5">
        <v>4830</v>
      </c>
      <c r="I9589" s="6">
        <v>2633.1</v>
      </c>
      <c r="J9589" s="5">
        <v>19200</v>
      </c>
      <c r="K9589" s="6">
        <f t="shared" si="401"/>
        <v>1.8343397516235616</v>
      </c>
    </row>
    <row r="9590" spans="1:11">
      <c r="A9590" s="4">
        <v>2026</v>
      </c>
      <c r="B9590">
        <v>36</v>
      </c>
      <c r="C9590" t="s">
        <v>54</v>
      </c>
      <c r="D9590" t="s">
        <v>11</v>
      </c>
      <c r="E9590" t="s">
        <v>110</v>
      </c>
      <c r="F9590" t="s">
        <v>70</v>
      </c>
      <c r="G9590" t="str">
        <f t="shared" si="402"/>
        <v>028COTOPAXI</v>
      </c>
      <c r="H9590" s="5">
        <v>5910</v>
      </c>
      <c r="I9590" s="6">
        <v>2852.5250000000001</v>
      </c>
      <c r="J9590" s="5">
        <v>20800</v>
      </c>
      <c r="K9590" s="6">
        <f t="shared" si="401"/>
        <v>2.0718486253407069</v>
      </c>
    </row>
    <row r="9591" spans="1:11">
      <c r="A9591" s="4">
        <v>2026</v>
      </c>
      <c r="B9591">
        <v>36</v>
      </c>
      <c r="C9591" t="s">
        <v>54</v>
      </c>
      <c r="D9591" t="s">
        <v>11</v>
      </c>
      <c r="E9591" t="s">
        <v>110</v>
      </c>
      <c r="F9591" t="s">
        <v>67</v>
      </c>
      <c r="G9591" t="str">
        <f t="shared" si="402"/>
        <v>028DEEP PURPLE</v>
      </c>
      <c r="H9591" s="5">
        <v>6060</v>
      </c>
      <c r="I9591" s="6">
        <v>2852.5250000000001</v>
      </c>
      <c r="J9591" s="5">
        <v>20800</v>
      </c>
      <c r="K9591" s="6">
        <f t="shared" ref="K9591:K9593" si="403">+H9591/I9591</f>
        <v>2.1244336158315877</v>
      </c>
    </row>
    <row r="9592" spans="1:11">
      <c r="A9592" s="4">
        <v>2026</v>
      </c>
      <c r="B9592">
        <v>36</v>
      </c>
      <c r="C9592" t="s">
        <v>54</v>
      </c>
      <c r="D9592" t="s">
        <v>11</v>
      </c>
      <c r="E9592" t="s">
        <v>111</v>
      </c>
      <c r="F9592" t="s">
        <v>112</v>
      </c>
      <c r="G9592" t="str">
        <f t="shared" si="402"/>
        <v>029PINK FLOYD</v>
      </c>
      <c r="H9592" s="5">
        <v>2800</v>
      </c>
      <c r="I9592" s="6">
        <v>3071.95</v>
      </c>
      <c r="J9592" s="5">
        <v>22400</v>
      </c>
      <c r="K9592" s="6">
        <f t="shared" si="403"/>
        <v>0.91147316850860205</v>
      </c>
    </row>
    <row r="9593" spans="1:11">
      <c r="A9593" s="4">
        <v>2026</v>
      </c>
      <c r="B9593">
        <v>36</v>
      </c>
      <c r="C9593" t="s">
        <v>54</v>
      </c>
      <c r="D9593" t="s">
        <v>11</v>
      </c>
      <c r="E9593" t="s">
        <v>47</v>
      </c>
      <c r="F9593" t="s">
        <v>57</v>
      </c>
      <c r="G9593" t="str">
        <f t="shared" si="402"/>
        <v>030EXPLORER</v>
      </c>
      <c r="H9593" s="5">
        <v>1900</v>
      </c>
      <c r="I9593" s="6">
        <v>1645.6875</v>
      </c>
      <c r="J9593" s="5">
        <v>12000</v>
      </c>
      <c r="K9593" s="6">
        <f t="shared" si="403"/>
        <v>1.1545326801108959</v>
      </c>
    </row>
  </sheetData>
  <autoFilter ref="A1:K9484">
    <filterColumn colId="0">
      <filters>
        <filter val="2026"/>
      </filters>
    </filterColumn>
    <filterColumn colId="1">
      <filters>
        <filter val="33"/>
        <filter val="34"/>
        <filter val="35"/>
        <filter val="36"/>
      </filters>
    </filterColumn>
    <filterColumn colId="6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2026-08-04T22:57:50Z</dcterms:modified>
</cp:coreProperties>
</file>