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 hidePivotFieldList="1"/>
  <bookViews>
    <workbookView xWindow="-120" yWindow="-120" windowWidth="20730" windowHeight="11760"/>
  </bookViews>
  <sheets>
    <sheet name="Astroflores" sheetId="1" r:id="rId1"/>
  </sheets>
  <definedNames>
    <definedName name="_xlnm._FilterDatabase" localSheetId="0" hidden="1">Astroflores!$A$1:$L$578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9" i="1"/>
  <c r="G609"/>
  <c r="M608"/>
  <c r="G608"/>
  <c r="M607"/>
  <c r="G607"/>
  <c r="M606"/>
  <c r="G606"/>
  <c r="M605"/>
  <c r="G605"/>
  <c r="M604"/>
  <c r="G604"/>
  <c r="M603"/>
  <c r="G603"/>
  <c r="M602"/>
  <c r="G602"/>
  <c r="M601"/>
  <c r="G601"/>
  <c r="M600"/>
  <c r="G600"/>
  <c r="M599"/>
  <c r="G599"/>
  <c r="M598"/>
  <c r="G598"/>
  <c r="M597"/>
  <c r="G597"/>
  <c r="M596"/>
  <c r="G596"/>
  <c r="M595"/>
  <c r="G595"/>
  <c r="M594"/>
  <c r="G594"/>
  <c r="M593"/>
  <c r="G593"/>
  <c r="M592"/>
  <c r="G592"/>
  <c r="M591"/>
  <c r="G591"/>
  <c r="M590"/>
  <c r="G590"/>
  <c r="M589"/>
  <c r="G589"/>
  <c r="M588"/>
  <c r="G588"/>
  <c r="M587"/>
  <c r="G587"/>
  <c r="M586"/>
  <c r="G586"/>
  <c r="M585"/>
  <c r="G585"/>
  <c r="M584"/>
  <c r="G584"/>
  <c r="M583"/>
  <c r="G583"/>
  <c r="M582"/>
  <c r="G582"/>
  <c r="M581"/>
  <c r="G581"/>
  <c r="M580"/>
  <c r="G580"/>
  <c r="M579"/>
  <c r="G579"/>
  <c r="M578"/>
  <c r="G578"/>
  <c r="G407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<sst xmlns="http://schemas.openxmlformats.org/spreadsheetml/2006/main" count="2445" uniqueCount="28">
  <si>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</si>
  <si>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</si>
  <si>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</si>
  <si>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</si>
  <si>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</si>
  <si>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</si>
  <si>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</si>
  <si>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</si>
  <si>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</si>
  <si>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</si>
  <si>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</si>
  <si>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</si>
  <si>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</si>
  <si>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</si>
  <si>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</si>
  <si>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</si>
  <si>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</si>
  <si>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</si>
  <si>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</si>
  <si>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</si>
  <si>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</si>
  <si>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</si>
  <si>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Produccion</t>
  </si>
  <si>
    <t>Bloque&amp;Varid</t>
  </si>
  <si>
    <t>Tallos/m2</t>
  </si>
  <si>
    <t>m2Variedad</t>
  </si>
  <si>
    <t xml:space="preserve">   Estimada1</t>
  </si>
  <si>
    <t xml:space="preserve"> Estimada2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</si>
</sst>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0" xfId="1" applyNumberFormat="1" applyFont="1"/>
    <xf numFmtId="0" fontId="2" fillId="0" borderId="1" xfId="1" applyNumberFormat="1" applyFont="1" applyBorder="1"/>
    <xf numFmtId="0" fontId="0" fillId="0" borderId="1" xfId="1" applyNumberFormat="1" applyFont="1" applyBorder="1"/>
    <xf numFmtId="43" fontId="0" fillId="0" borderId="0" xfId="1" applyNumberFormat="1" applyFont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609"/>
  <sheetViews>
    <sheetView tabSelected="1" workbookViewId="0">
      <pane xSplit="1" ySplit="1" topLeftCell="B578" activePane="bottomRight" state="frozen"/>
      <selection pane="topRight" activeCell="E1" sqref="E1"/>
      <selection pane="bottomLeft" activeCell="A3" sqref="A3"/>
      <selection pane="bottomRight" activeCell="K573" sqref="K573"/>
    </sheetView>
  </sheetViews>
  <sheetFormatPr baseColWidth="10" defaultColWidth="11.375" defaultRowHeight="14.25"/>
  <cols>
    <col min="1" max="1" width="9" style="7" bestFit="1" customWidth="1"/>
    <col min="2" max="2" width="10.625" style="2" bestFit="1" customWidth="1"/>
    <col min="3" max="3" width="11.25" style="2" bestFit="1" customWidth="1"/>
    <col min="4" max="4" width="13.125" style="2" bestFit="1" customWidth="1"/>
    <col min="5" max="5" width="9.375" style="2" bestFit="1" customWidth="1"/>
    <col min="6" max="6" width="14.625" style="2" bestFit="1" customWidth="1"/>
    <col min="7" max="7" width="14.625" style="2" customWidth="1"/>
    <col min="8" max="8" width="14.875" style="2" bestFit="1" customWidth="1"/>
    <col min="9" max="9" width="14" style="2" customWidth="1"/>
    <col min="10" max="10" width="13.125" style="2" customWidth="1"/>
    <col min="11" max="11" width="14.625" style="2" bestFit="1" customWidth="1"/>
    <col min="12" max="12" width="10.125" style="2" bestFit="1" customWidth="1"/>
    <col min="13" max="16384" width="11.375" style="2"/>
  </cols>
  <sheetData>
    <row r="1" spans="1:13" ht="1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22</v>
      </c>
      <c r="I1" s="1" t="s">
        <v>26</v>
      </c>
      <c r="J1" s="1" t="s">
        <v>27</v>
      </c>
      <c r="K1" s="1" t="s">
        <v>25</v>
      </c>
      <c r="L1" s="1" t="s">
        <v>6</v>
      </c>
      <c r="M1" s="1" t="s">
        <v>24</v>
      </c>
    </row>
    <row r="2" spans="1:13">
      <c r="A2" s="9">
        <v>2025</v>
      </c>
      <c r="B2" s="3">
        <v>1</v>
      </c>
      <c r="C2" s="3" t="s">
        <v>7</v>
      </c>
      <c r="D2" s="3" t="s">
        <v>8</v>
      </c>
      <c r="E2" s="3" t="s">
        <v>9</v>
      </c>
      <c r="F2" s="3" t="s">
        <v>10</v>
      </c>
      <c r="G2" s="3" t="str">
        <f>+E2&amp;F2</f>
        <v>026PURPLE BUBBLY</v>
      </c>
      <c r="H2" s="3">
        <v>1480</v>
      </c>
      <c r="I2" s="3">
        <v>7983</v>
      </c>
      <c r="J2" s="3">
        <v>9002</v>
      </c>
      <c r="K2" s="3">
        <v>1755.4</v>
      </c>
      <c r="L2" s="3">
        <v>12800</v>
      </c>
      <c r="M2" s="10">
        <f>+H2/K2</f>
        <v>0.84311268087045688</v>
      </c>
    </row>
    <row r="3" spans="1:13">
      <c r="A3" s="9">
        <v>2025</v>
      </c>
      <c r="B3" s="3">
        <v>1</v>
      </c>
      <c r="C3" s="3" t="s">
        <v>11</v>
      </c>
      <c r="D3" s="3" t="s">
        <v>8</v>
      </c>
      <c r="E3" s="3" t="s">
        <v>12</v>
      </c>
      <c r="F3" s="3" t="s">
        <v>13</v>
      </c>
      <c r="G3" s="3" t="str">
        <f t="shared" ref="G3:G66" si="0">+E3&amp;F3</f>
        <v>025PINK MONDIAL</v>
      </c>
      <c r="H3" s="3">
        <v>4575</v>
      </c>
      <c r="I3" s="3">
        <v>7056</v>
      </c>
      <c r="J3" s="3">
        <v>8252</v>
      </c>
      <c r="K3" s="3">
        <v>3071.9505625000002</v>
      </c>
      <c r="L3" s="3">
        <v>22400</v>
      </c>
      <c r="M3" s="11">
        <f>+H3/K3</f>
        <v>1.4892817794166568</v>
      </c>
    </row>
    <row r="4" spans="1:13">
      <c r="A4" s="9">
        <v>2025</v>
      </c>
      <c r="B4" s="3">
        <v>1</v>
      </c>
      <c r="C4" s="3" t="s">
        <v>11</v>
      </c>
      <c r="D4" s="3" t="s">
        <v>8</v>
      </c>
      <c r="E4" s="3" t="s">
        <v>9</v>
      </c>
      <c r="F4" s="3" t="s">
        <v>14</v>
      </c>
      <c r="G4" s="3" t="str">
        <f t="shared" si="0"/>
        <v>026LOLA</v>
      </c>
      <c r="H4" s="3">
        <v>2880</v>
      </c>
      <c r="I4" s="3">
        <v>7782</v>
      </c>
      <c r="J4" s="3">
        <v>7373</v>
      </c>
      <c r="K4" s="3">
        <v>1097.125</v>
      </c>
      <c r="L4" s="3">
        <v>8000</v>
      </c>
      <c r="M4" s="11">
        <f>+H4/K4</f>
        <v>2.6250427253047737</v>
      </c>
    </row>
    <row r="5" spans="1:13">
      <c r="A5" s="9">
        <v>2025</v>
      </c>
      <c r="B5" s="3">
        <v>1</v>
      </c>
      <c r="C5" s="3" t="s">
        <v>11</v>
      </c>
      <c r="D5" s="3" t="s">
        <v>8</v>
      </c>
      <c r="E5" s="3" t="s">
        <v>9</v>
      </c>
      <c r="F5" s="3" t="s">
        <v>15</v>
      </c>
      <c r="G5" s="3" t="str">
        <f t="shared" si="0"/>
        <v>026PALOMA</v>
      </c>
      <c r="H5" s="3">
        <v>4200</v>
      </c>
      <c r="I5" s="3">
        <v>9264</v>
      </c>
      <c r="J5" s="3">
        <v>9254</v>
      </c>
      <c r="K5" s="3">
        <v>2852.5250000000001</v>
      </c>
      <c r="L5" s="3">
        <v>20800</v>
      </c>
      <c r="M5" s="11">
        <f>+H5/K5</f>
        <v>1.4723797337446647</v>
      </c>
    </row>
    <row r="6" spans="1:13">
      <c r="A6" s="9">
        <v>2025</v>
      </c>
      <c r="B6" s="3">
        <v>1</v>
      </c>
      <c r="C6" s="3" t="s">
        <v>11</v>
      </c>
      <c r="D6" s="3" t="s">
        <v>8</v>
      </c>
      <c r="E6" s="3" t="s">
        <v>16</v>
      </c>
      <c r="F6" s="3" t="s">
        <v>17</v>
      </c>
      <c r="G6" s="3" t="str">
        <f t="shared" si="0"/>
        <v>027SATISFACTION</v>
      </c>
      <c r="H6" s="3">
        <v>3630</v>
      </c>
      <c r="I6" s="3">
        <v>14358</v>
      </c>
      <c r="J6" s="3">
        <v>12746</v>
      </c>
      <c r="K6" s="3">
        <v>2633.1</v>
      </c>
      <c r="L6" s="3">
        <v>19200</v>
      </c>
      <c r="M6" s="11">
        <f>+H6/K6</f>
        <v>1.3786031673692607</v>
      </c>
    </row>
    <row r="7" spans="1:13">
      <c r="A7" s="9">
        <v>2025</v>
      </c>
      <c r="B7" s="3">
        <v>1</v>
      </c>
      <c r="C7" s="3" t="s">
        <v>11</v>
      </c>
      <c r="D7" s="3" t="s">
        <v>8</v>
      </c>
      <c r="E7" s="3" t="s">
        <v>16</v>
      </c>
      <c r="F7" s="3" t="s">
        <v>18</v>
      </c>
      <c r="G7" s="3" t="str">
        <f t="shared" si="0"/>
        <v>027TIFFANY!</v>
      </c>
      <c r="H7" s="3">
        <v>3900</v>
      </c>
      <c r="I7" s="3">
        <v>7519</v>
      </c>
      <c r="J7" s="3">
        <v>8354</v>
      </c>
      <c r="K7" s="3">
        <v>2633.1</v>
      </c>
      <c r="L7" s="3">
        <v>19200</v>
      </c>
      <c r="M7" s="11">
        <f>+H7/K7</f>
        <v>1.4811438988264785</v>
      </c>
    </row>
    <row r="8" spans="1:13">
      <c r="A8" s="9">
        <v>2025</v>
      </c>
      <c r="B8" s="3">
        <v>1</v>
      </c>
      <c r="C8" s="3" t="s">
        <v>11</v>
      </c>
      <c r="D8" s="3" t="s">
        <v>8</v>
      </c>
      <c r="E8" s="3" t="s">
        <v>19</v>
      </c>
      <c r="F8" s="3" t="s">
        <v>20</v>
      </c>
      <c r="G8" s="3" t="str">
        <f t="shared" si="0"/>
        <v>028COTOPAXI</v>
      </c>
      <c r="H8" s="3">
        <v>5370</v>
      </c>
      <c r="I8" s="3">
        <v>5242</v>
      </c>
      <c r="J8" s="3">
        <v>4887</v>
      </c>
      <c r="K8" s="3">
        <v>2852.5250000000001</v>
      </c>
      <c r="L8" s="3">
        <v>20800</v>
      </c>
      <c r="M8" s="11">
        <f>+H8/K8</f>
        <v>1.8825426595735357</v>
      </c>
    </row>
    <row r="9" spans="1:13">
      <c r="A9" s="9">
        <v>2025</v>
      </c>
      <c r="B9" s="3">
        <v>1</v>
      </c>
      <c r="C9" s="3" t="s">
        <v>11</v>
      </c>
      <c r="D9" s="3" t="s">
        <v>8</v>
      </c>
      <c r="E9" s="3" t="s">
        <v>19</v>
      </c>
      <c r="F9" s="3" t="s">
        <v>21</v>
      </c>
      <c r="G9" s="3" t="str">
        <f t="shared" si="0"/>
        <v>028DEEP PURPLE</v>
      </c>
      <c r="H9" s="3">
        <v>4920</v>
      </c>
      <c r="I9" s="3">
        <v>5283</v>
      </c>
      <c r="J9" s="3">
        <v>4878</v>
      </c>
      <c r="K9" s="3">
        <v>2852.5250000000001</v>
      </c>
      <c r="L9" s="3">
        <v>20800</v>
      </c>
      <c r="M9" s="11">
        <f>+H9/K9</f>
        <v>1.724787688100893</v>
      </c>
    </row>
    <row r="10" spans="1:13">
      <c r="A10" s="9">
        <v>2025</v>
      </c>
      <c r="B10" s="3">
        <v>2</v>
      </c>
      <c r="C10" s="3" t="s">
        <v>7</v>
      </c>
      <c r="D10" s="3" t="s">
        <v>8</v>
      </c>
      <c r="E10" s="3" t="s">
        <v>9</v>
      </c>
      <c r="F10" s="3" t="s">
        <v>10</v>
      </c>
      <c r="G10" s="3" t="str">
        <f t="shared" si="0"/>
        <v>026PURPLE BUBBLY</v>
      </c>
      <c r="H10" s="3">
        <v>1580</v>
      </c>
      <c r="I10" s="3">
        <v>5401</v>
      </c>
      <c r="J10" s="3">
        <v>5441</v>
      </c>
      <c r="K10" s="3">
        <v>1755.4</v>
      </c>
      <c r="L10" s="3">
        <v>12800</v>
      </c>
      <c r="M10" s="11">
        <f>+H10/K10</f>
        <v>0.90007975390224448</v>
      </c>
    </row>
    <row r="11" spans="1:13">
      <c r="A11" s="9">
        <v>2025</v>
      </c>
      <c r="B11" s="3">
        <v>2</v>
      </c>
      <c r="C11" s="3" t="s">
        <v>11</v>
      </c>
      <c r="D11" s="3" t="s">
        <v>8</v>
      </c>
      <c r="E11" s="3" t="s">
        <v>12</v>
      </c>
      <c r="F11" s="3" t="s">
        <v>13</v>
      </c>
      <c r="G11" s="3" t="str">
        <f t="shared" si="0"/>
        <v>025PINK MONDIAL</v>
      </c>
      <c r="H11" s="3">
        <v>4675</v>
      </c>
      <c r="I11" s="3">
        <v>5190</v>
      </c>
      <c r="J11" s="3">
        <v>5652</v>
      </c>
      <c r="K11" s="3">
        <v>3071.9505625000002</v>
      </c>
      <c r="L11" s="3">
        <v>22400</v>
      </c>
      <c r="M11" s="11">
        <f>+H11/K11</f>
        <v>1.521834386617021</v>
      </c>
    </row>
    <row r="12" spans="1:13">
      <c r="A12" s="9">
        <v>2025</v>
      </c>
      <c r="B12" s="3">
        <v>2</v>
      </c>
      <c r="C12" s="3" t="s">
        <v>11</v>
      </c>
      <c r="D12" s="3" t="s">
        <v>8</v>
      </c>
      <c r="E12" s="3" t="s">
        <v>9</v>
      </c>
      <c r="F12" s="3" t="s">
        <v>14</v>
      </c>
      <c r="G12" s="3" t="str">
        <f t="shared" si="0"/>
        <v>026LOLA</v>
      </c>
      <c r="H12" s="3">
        <v>4620</v>
      </c>
      <c r="I12" s="3">
        <v>6325</v>
      </c>
      <c r="J12" s="3">
        <v>5278</v>
      </c>
      <c r="K12" s="3">
        <v>1097.125</v>
      </c>
      <c r="L12" s="3">
        <v>8000</v>
      </c>
      <c r="M12" s="11">
        <f>+H12/K12</f>
        <v>4.2110060385097414</v>
      </c>
    </row>
    <row r="13" spans="1:13">
      <c r="A13" s="9">
        <v>2025</v>
      </c>
      <c r="B13" s="3">
        <v>2</v>
      </c>
      <c r="C13" s="3" t="s">
        <v>11</v>
      </c>
      <c r="D13" s="3" t="s">
        <v>8</v>
      </c>
      <c r="E13" s="3" t="s">
        <v>9</v>
      </c>
      <c r="F13" s="3" t="s">
        <v>15</v>
      </c>
      <c r="G13" s="3" t="str">
        <f t="shared" si="0"/>
        <v>026PALOMA</v>
      </c>
      <c r="H13" s="3">
        <v>5000</v>
      </c>
      <c r="I13" s="3">
        <v>5123</v>
      </c>
      <c r="J13" s="3">
        <v>6455</v>
      </c>
      <c r="K13" s="3">
        <v>2852.5250000000001</v>
      </c>
      <c r="L13" s="3">
        <v>20800</v>
      </c>
      <c r="M13" s="11">
        <f>+H13/K13</f>
        <v>1.7528330163626962</v>
      </c>
    </row>
    <row r="14" spans="1:13">
      <c r="A14" s="9">
        <v>2025</v>
      </c>
      <c r="B14" s="3">
        <v>2</v>
      </c>
      <c r="C14" s="3" t="s">
        <v>11</v>
      </c>
      <c r="D14" s="3" t="s">
        <v>8</v>
      </c>
      <c r="E14" s="3" t="s">
        <v>16</v>
      </c>
      <c r="F14" s="3" t="s">
        <v>17</v>
      </c>
      <c r="G14" s="3" t="str">
        <f t="shared" si="0"/>
        <v>027SATISFACTION</v>
      </c>
      <c r="H14" s="3">
        <v>3240</v>
      </c>
      <c r="I14" s="3">
        <v>5662</v>
      </c>
      <c r="J14" s="3">
        <v>5760</v>
      </c>
      <c r="K14" s="3">
        <v>2633.1</v>
      </c>
      <c r="L14" s="3">
        <v>19200</v>
      </c>
      <c r="M14" s="11">
        <f>+H14/K14</f>
        <v>1.2304887774866127</v>
      </c>
    </row>
    <row r="15" spans="1:13">
      <c r="A15" s="9">
        <v>2025</v>
      </c>
      <c r="B15" s="3">
        <v>2</v>
      </c>
      <c r="C15" s="3" t="s">
        <v>11</v>
      </c>
      <c r="D15" s="3" t="s">
        <v>8</v>
      </c>
      <c r="E15" s="3" t="s">
        <v>16</v>
      </c>
      <c r="F15" s="3" t="s">
        <v>18</v>
      </c>
      <c r="G15" s="3" t="str">
        <f t="shared" si="0"/>
        <v>027TIFFANY!</v>
      </c>
      <c r="H15" s="3">
        <v>3540</v>
      </c>
      <c r="I15" s="3">
        <v>7437</v>
      </c>
      <c r="J15" s="3">
        <v>6377</v>
      </c>
      <c r="K15" s="3">
        <v>2633.1</v>
      </c>
      <c r="L15" s="3">
        <v>19200</v>
      </c>
      <c r="M15" s="11">
        <f>+H15/K15</f>
        <v>1.3444229235501881</v>
      </c>
    </row>
    <row r="16" spans="1:13">
      <c r="A16" s="9">
        <v>2025</v>
      </c>
      <c r="B16" s="3">
        <v>2</v>
      </c>
      <c r="C16" s="3" t="s">
        <v>11</v>
      </c>
      <c r="D16" s="3" t="s">
        <v>8</v>
      </c>
      <c r="E16" s="3" t="s">
        <v>19</v>
      </c>
      <c r="F16" s="3" t="s">
        <v>20</v>
      </c>
      <c r="G16" s="3" t="str">
        <f t="shared" si="0"/>
        <v>028COTOPAXI</v>
      </c>
      <c r="H16" s="3">
        <v>4200</v>
      </c>
      <c r="I16" s="3">
        <v>7042</v>
      </c>
      <c r="J16" s="3">
        <v>7042</v>
      </c>
      <c r="K16" s="3">
        <v>2852.5250000000001</v>
      </c>
      <c r="L16" s="3">
        <v>20800</v>
      </c>
      <c r="M16" s="11">
        <f>+H16/K16</f>
        <v>1.4723797337446647</v>
      </c>
    </row>
    <row r="17" spans="1:13">
      <c r="A17" s="9">
        <v>2025</v>
      </c>
      <c r="B17" s="3">
        <v>2</v>
      </c>
      <c r="C17" s="3" t="s">
        <v>11</v>
      </c>
      <c r="D17" s="3" t="s">
        <v>8</v>
      </c>
      <c r="E17" s="3" t="s">
        <v>19</v>
      </c>
      <c r="F17" s="3" t="s">
        <v>21</v>
      </c>
      <c r="G17" s="3" t="str">
        <f t="shared" si="0"/>
        <v>028DEEP PURPLE</v>
      </c>
      <c r="H17" s="3">
        <v>5250</v>
      </c>
      <c r="I17" s="3">
        <v>9945</v>
      </c>
      <c r="J17" s="3">
        <v>10469</v>
      </c>
      <c r="K17" s="3">
        <v>2852.5250000000001</v>
      </c>
      <c r="L17" s="3">
        <v>20800</v>
      </c>
      <c r="M17" s="11">
        <f>+H17/K17</f>
        <v>1.840474667180831</v>
      </c>
    </row>
    <row r="18" spans="1:13">
      <c r="A18" s="9">
        <v>2025</v>
      </c>
      <c r="B18" s="3">
        <v>3</v>
      </c>
      <c r="C18" s="3" t="s">
        <v>7</v>
      </c>
      <c r="D18" s="3" t="s">
        <v>8</v>
      </c>
      <c r="E18" s="3" t="s">
        <v>9</v>
      </c>
      <c r="F18" s="3" t="s">
        <v>10</v>
      </c>
      <c r="G18" s="3" t="str">
        <f t="shared" si="0"/>
        <v>026PURPLE BUBBLY</v>
      </c>
      <c r="H18" s="3">
        <v>2250</v>
      </c>
      <c r="I18" s="3">
        <v>13343</v>
      </c>
      <c r="J18" s="3">
        <v>13343</v>
      </c>
      <c r="K18" s="3">
        <v>1755.4</v>
      </c>
      <c r="L18" s="3">
        <v>12800</v>
      </c>
      <c r="M18" s="11">
        <f>+H18/K18</f>
        <v>1.2817591432152216</v>
      </c>
    </row>
    <row r="19" spans="1:13">
      <c r="A19" s="9">
        <v>2025</v>
      </c>
      <c r="B19" s="3">
        <v>3</v>
      </c>
      <c r="C19" s="3" t="s">
        <v>11</v>
      </c>
      <c r="D19" s="3" t="s">
        <v>8</v>
      </c>
      <c r="E19" s="3" t="s">
        <v>12</v>
      </c>
      <c r="F19" s="3" t="s">
        <v>13</v>
      </c>
      <c r="G19" s="3" t="str">
        <f t="shared" si="0"/>
        <v>025PINK MONDIAL</v>
      </c>
      <c r="H19" s="3">
        <v>6525</v>
      </c>
      <c r="I19" s="3">
        <v>11327</v>
      </c>
      <c r="J19" s="3">
        <v>11327</v>
      </c>
      <c r="K19" s="3">
        <v>3071.9505625000002</v>
      </c>
      <c r="L19" s="3">
        <v>22400</v>
      </c>
      <c r="M19" s="11">
        <f>+H19/K19</f>
        <v>2.1240576198237564</v>
      </c>
    </row>
    <row r="20" spans="1:13">
      <c r="A20" s="9">
        <v>2025</v>
      </c>
      <c r="B20" s="3">
        <v>3</v>
      </c>
      <c r="C20" s="3" t="s">
        <v>11</v>
      </c>
      <c r="D20" s="3" t="s">
        <v>8</v>
      </c>
      <c r="E20" s="3" t="s">
        <v>9</v>
      </c>
      <c r="F20" s="3" t="s">
        <v>14</v>
      </c>
      <c r="G20" s="3" t="str">
        <f t="shared" si="0"/>
        <v>026LOLA</v>
      </c>
      <c r="H20" s="3">
        <v>7320</v>
      </c>
      <c r="I20" s="3">
        <v>7476</v>
      </c>
      <c r="J20" s="3">
        <v>6796</v>
      </c>
      <c r="K20" s="3">
        <v>1097.125</v>
      </c>
      <c r="L20" s="3">
        <v>8000</v>
      </c>
      <c r="M20" s="11">
        <f>+H20/K20</f>
        <v>6.6719835934829668</v>
      </c>
    </row>
    <row r="21" spans="1:13">
      <c r="A21" s="9">
        <v>2025</v>
      </c>
      <c r="B21" s="3">
        <v>3</v>
      </c>
      <c r="C21" s="3" t="s">
        <v>11</v>
      </c>
      <c r="D21" s="3" t="s">
        <v>8</v>
      </c>
      <c r="E21" s="3" t="s">
        <v>9</v>
      </c>
      <c r="F21" s="3" t="s">
        <v>15</v>
      </c>
      <c r="G21" s="3" t="str">
        <f t="shared" si="0"/>
        <v>026PALOMA</v>
      </c>
      <c r="H21" s="3">
        <v>5180</v>
      </c>
      <c r="I21" s="3">
        <v>8505</v>
      </c>
      <c r="J21" s="3">
        <v>7027</v>
      </c>
      <c r="K21" s="3">
        <v>2852.5250000000001</v>
      </c>
      <c r="L21" s="3">
        <v>20800</v>
      </c>
      <c r="M21" s="11">
        <f>+H21/K21</f>
        <v>1.8159350049517533</v>
      </c>
    </row>
    <row r="22" spans="1:13">
      <c r="A22" s="9">
        <v>2025</v>
      </c>
      <c r="B22" s="3">
        <v>3</v>
      </c>
      <c r="C22" s="3" t="s">
        <v>11</v>
      </c>
      <c r="D22" s="3" t="s">
        <v>8</v>
      </c>
      <c r="E22" s="3" t="s">
        <v>16</v>
      </c>
      <c r="F22" s="3" t="s">
        <v>17</v>
      </c>
      <c r="G22" s="3" t="str">
        <f t="shared" si="0"/>
        <v>027SATISFACTION</v>
      </c>
      <c r="H22" s="3">
        <v>5670</v>
      </c>
      <c r="I22" s="3">
        <v>8421</v>
      </c>
      <c r="J22" s="3">
        <v>8240</v>
      </c>
      <c r="K22" s="3">
        <v>2633.1</v>
      </c>
      <c r="L22" s="3">
        <v>19200</v>
      </c>
      <c r="M22" s="11">
        <f>+H22/K22</f>
        <v>2.1533553606015725</v>
      </c>
    </row>
    <row r="23" spans="1:13">
      <c r="A23" s="9">
        <v>2025</v>
      </c>
      <c r="B23" s="3">
        <v>3</v>
      </c>
      <c r="C23" s="3" t="s">
        <v>11</v>
      </c>
      <c r="D23" s="3" t="s">
        <v>8</v>
      </c>
      <c r="E23" s="3" t="s">
        <v>16</v>
      </c>
      <c r="F23" s="3" t="s">
        <v>18</v>
      </c>
      <c r="G23" s="3" t="str">
        <f t="shared" si="0"/>
        <v>027TIFFANY!</v>
      </c>
      <c r="H23" s="3">
        <v>5970</v>
      </c>
      <c r="I23" s="3">
        <v>8043</v>
      </c>
      <c r="J23" s="3">
        <v>7526</v>
      </c>
      <c r="K23" s="3">
        <v>2633.1</v>
      </c>
      <c r="L23" s="3">
        <v>19200</v>
      </c>
      <c r="M23" s="11">
        <f>+H23/K23</f>
        <v>2.2672895066651475</v>
      </c>
    </row>
    <row r="24" spans="1:13">
      <c r="A24" s="9">
        <v>2025</v>
      </c>
      <c r="B24" s="3">
        <v>3</v>
      </c>
      <c r="C24" s="3" t="s">
        <v>11</v>
      </c>
      <c r="D24" s="3" t="s">
        <v>8</v>
      </c>
      <c r="E24" s="3" t="s">
        <v>19</v>
      </c>
      <c r="F24" s="3" t="s">
        <v>20</v>
      </c>
      <c r="G24" s="3" t="str">
        <f t="shared" si="0"/>
        <v>028COTOPAXI</v>
      </c>
      <c r="H24" s="3">
        <v>4470</v>
      </c>
      <c r="I24" s="3">
        <v>6983</v>
      </c>
      <c r="J24" s="3">
        <v>6983</v>
      </c>
      <c r="K24" s="3">
        <v>2852.5250000000001</v>
      </c>
      <c r="L24" s="3">
        <v>20800</v>
      </c>
      <c r="M24" s="11">
        <f>+H24/K24</f>
        <v>1.5670327166282503</v>
      </c>
    </row>
    <row r="25" spans="1:13">
      <c r="A25" s="9">
        <v>2025</v>
      </c>
      <c r="B25" s="3">
        <v>3</v>
      </c>
      <c r="C25" s="3" t="s">
        <v>11</v>
      </c>
      <c r="D25" s="3" t="s">
        <v>8</v>
      </c>
      <c r="E25" s="3" t="s">
        <v>19</v>
      </c>
      <c r="F25" s="3" t="s">
        <v>21</v>
      </c>
      <c r="G25" s="3" t="str">
        <f t="shared" si="0"/>
        <v>028DEEP PURPLE</v>
      </c>
      <c r="H25" s="3">
        <v>9390</v>
      </c>
      <c r="I25" s="3">
        <v>5303</v>
      </c>
      <c r="J25" s="3">
        <v>8605</v>
      </c>
      <c r="K25" s="3">
        <v>2852.5250000000001</v>
      </c>
      <c r="L25" s="3">
        <v>20800</v>
      </c>
      <c r="M25" s="11">
        <f>+H25/K25</f>
        <v>3.2918204047291435</v>
      </c>
    </row>
    <row r="26" spans="1:13">
      <c r="A26" s="9">
        <v>2025</v>
      </c>
      <c r="B26" s="3">
        <v>4</v>
      </c>
      <c r="C26" s="3" t="s">
        <v>7</v>
      </c>
      <c r="D26" s="3" t="s">
        <v>8</v>
      </c>
      <c r="E26" s="3" t="s">
        <v>9</v>
      </c>
      <c r="F26" s="3" t="s">
        <v>10</v>
      </c>
      <c r="G26" s="3" t="str">
        <f t="shared" si="0"/>
        <v>026PURPLE BUBBLY</v>
      </c>
      <c r="H26" s="3">
        <v>3290</v>
      </c>
      <c r="I26" s="3">
        <v>5127</v>
      </c>
      <c r="J26" s="3">
        <v>5127</v>
      </c>
      <c r="K26" s="3">
        <v>1755.4</v>
      </c>
      <c r="L26" s="3">
        <v>12800</v>
      </c>
      <c r="M26" s="11">
        <f>+H26/K26</f>
        <v>1.8742167027458128</v>
      </c>
    </row>
    <row r="27" spans="1:13">
      <c r="A27" s="9">
        <v>2025</v>
      </c>
      <c r="B27" s="3">
        <v>4</v>
      </c>
      <c r="C27" s="3" t="s">
        <v>11</v>
      </c>
      <c r="D27" s="3" t="s">
        <v>8</v>
      </c>
      <c r="E27" s="3" t="s">
        <v>12</v>
      </c>
      <c r="F27" s="3" t="s">
        <v>13</v>
      </c>
      <c r="G27" s="3" t="str">
        <f t="shared" si="0"/>
        <v>025PINK MONDIAL</v>
      </c>
      <c r="H27" s="3">
        <v>8375</v>
      </c>
      <c r="I27" s="3">
        <v>5050</v>
      </c>
      <c r="J27" s="3">
        <v>9163</v>
      </c>
      <c r="K27" s="3">
        <v>3071.9505625000002</v>
      </c>
      <c r="L27" s="3">
        <v>22400</v>
      </c>
      <c r="M27" s="11">
        <f>+H27/K27</f>
        <v>2.7262808530304921</v>
      </c>
    </row>
    <row r="28" spans="1:13">
      <c r="A28" s="9">
        <v>2025</v>
      </c>
      <c r="B28" s="3">
        <v>4</v>
      </c>
      <c r="C28" s="3" t="s">
        <v>11</v>
      </c>
      <c r="D28" s="3" t="s">
        <v>8</v>
      </c>
      <c r="E28" s="3" t="s">
        <v>9</v>
      </c>
      <c r="F28" s="3" t="s">
        <v>14</v>
      </c>
      <c r="G28" s="3" t="str">
        <f t="shared" si="0"/>
        <v>026LOLA</v>
      </c>
      <c r="H28" s="3">
        <v>11260</v>
      </c>
      <c r="I28" s="3">
        <v>3150</v>
      </c>
      <c r="J28" s="3">
        <v>4883</v>
      </c>
      <c r="K28" s="3">
        <v>1097.125</v>
      </c>
      <c r="L28" s="3">
        <v>8000</v>
      </c>
      <c r="M28" s="11">
        <f>+H28/K28</f>
        <v>10.263187877406859</v>
      </c>
    </row>
    <row r="29" spans="1:13">
      <c r="A29" s="9">
        <v>2025</v>
      </c>
      <c r="B29" s="3">
        <v>4</v>
      </c>
      <c r="C29" s="3" t="s">
        <v>11</v>
      </c>
      <c r="D29" s="3" t="s">
        <v>8</v>
      </c>
      <c r="E29" s="3" t="s">
        <v>9</v>
      </c>
      <c r="F29" s="3" t="s">
        <v>15</v>
      </c>
      <c r="G29" s="3" t="str">
        <f t="shared" si="0"/>
        <v>026PALOMA</v>
      </c>
      <c r="H29" s="3">
        <v>11200</v>
      </c>
      <c r="I29" s="3">
        <v>4745</v>
      </c>
      <c r="J29" s="3">
        <v>3360</v>
      </c>
      <c r="K29" s="3">
        <v>2852.5250000000001</v>
      </c>
      <c r="L29" s="3">
        <v>20800</v>
      </c>
      <c r="M29" s="11">
        <f>+H29/K29</f>
        <v>3.9263459566524395</v>
      </c>
    </row>
    <row r="30" spans="1:13">
      <c r="A30" s="9">
        <v>2025</v>
      </c>
      <c r="B30" s="3">
        <v>4</v>
      </c>
      <c r="C30" s="3" t="s">
        <v>11</v>
      </c>
      <c r="D30" s="3" t="s">
        <v>8</v>
      </c>
      <c r="E30" s="3" t="s">
        <v>16</v>
      </c>
      <c r="F30" s="3" t="s">
        <v>17</v>
      </c>
      <c r="G30" s="3" t="str">
        <f t="shared" si="0"/>
        <v>027SATISFACTION</v>
      </c>
      <c r="H30" s="3">
        <v>11370</v>
      </c>
      <c r="I30" s="3">
        <v>5471</v>
      </c>
      <c r="J30" s="3">
        <v>5100</v>
      </c>
      <c r="K30" s="3">
        <v>2633.1</v>
      </c>
      <c r="L30" s="3">
        <v>19200</v>
      </c>
      <c r="M30" s="11">
        <f>+H30/K30</f>
        <v>4.3181041358095023</v>
      </c>
    </row>
    <row r="31" spans="1:13">
      <c r="A31" s="9">
        <v>2025</v>
      </c>
      <c r="B31" s="3">
        <v>4</v>
      </c>
      <c r="C31" s="3" t="s">
        <v>11</v>
      </c>
      <c r="D31" s="3" t="s">
        <v>8</v>
      </c>
      <c r="E31" s="3" t="s">
        <v>16</v>
      </c>
      <c r="F31" s="3" t="s">
        <v>18</v>
      </c>
      <c r="G31" s="3" t="str">
        <f t="shared" si="0"/>
        <v>027TIFFANY!</v>
      </c>
      <c r="H31" s="3">
        <v>9570</v>
      </c>
      <c r="I31" s="3">
        <v>4867</v>
      </c>
      <c r="J31" s="3">
        <v>6016</v>
      </c>
      <c r="K31" s="3">
        <v>2633.1</v>
      </c>
      <c r="L31" s="3">
        <v>19200</v>
      </c>
      <c r="M31" s="11">
        <f>+H31/K31</f>
        <v>3.6344992594280505</v>
      </c>
    </row>
    <row r="32" spans="1:13">
      <c r="A32" s="9">
        <v>2025</v>
      </c>
      <c r="B32" s="3">
        <v>4</v>
      </c>
      <c r="C32" s="3" t="s">
        <v>11</v>
      </c>
      <c r="D32" s="3" t="s">
        <v>8</v>
      </c>
      <c r="E32" s="3" t="s">
        <v>19</v>
      </c>
      <c r="F32" s="3" t="s">
        <v>20</v>
      </c>
      <c r="G32" s="3" t="str">
        <f t="shared" si="0"/>
        <v>028COTOPAXI</v>
      </c>
      <c r="H32" s="3">
        <v>9510</v>
      </c>
      <c r="I32" s="3">
        <v>5892</v>
      </c>
      <c r="J32" s="3">
        <v>5616</v>
      </c>
      <c r="K32" s="3">
        <v>2852.5250000000001</v>
      </c>
      <c r="L32" s="3">
        <v>20800</v>
      </c>
      <c r="M32" s="11">
        <f>+H32/K32</f>
        <v>3.3338883971218483</v>
      </c>
    </row>
    <row r="33" spans="1:13">
      <c r="A33" s="9">
        <v>2025</v>
      </c>
      <c r="B33" s="3">
        <v>4</v>
      </c>
      <c r="C33" s="3" t="s">
        <v>11</v>
      </c>
      <c r="D33" s="3" t="s">
        <v>8</v>
      </c>
      <c r="E33" s="3" t="s">
        <v>19</v>
      </c>
      <c r="F33" s="3" t="s">
        <v>21</v>
      </c>
      <c r="G33" s="3" t="str">
        <f t="shared" si="0"/>
        <v>028DEEP PURPLE</v>
      </c>
      <c r="H33" s="3">
        <v>18720</v>
      </c>
      <c r="I33" s="3">
        <v>7044</v>
      </c>
      <c r="J33" s="3">
        <v>6609</v>
      </c>
      <c r="K33" s="3">
        <v>2852.5250000000001</v>
      </c>
      <c r="L33" s="3">
        <v>20800</v>
      </c>
      <c r="M33" s="11">
        <f>+H33/K33</f>
        <v>6.562606813261934</v>
      </c>
    </row>
    <row r="34" spans="1:13">
      <c r="A34" s="9">
        <v>2025</v>
      </c>
      <c r="B34" s="3">
        <v>5</v>
      </c>
      <c r="C34" s="3" t="s">
        <v>7</v>
      </c>
      <c r="D34" s="3" t="s">
        <v>8</v>
      </c>
      <c r="E34" s="3" t="s">
        <v>9</v>
      </c>
      <c r="F34" s="3" t="s">
        <v>10</v>
      </c>
      <c r="G34" s="3" t="str">
        <f t="shared" si="0"/>
        <v>026PURPLE BUBBLY</v>
      </c>
      <c r="H34" s="3">
        <v>2690</v>
      </c>
      <c r="I34" s="3">
        <v>7097</v>
      </c>
      <c r="J34" s="3">
        <v>6836</v>
      </c>
      <c r="K34" s="3">
        <v>1755.4</v>
      </c>
      <c r="L34" s="3">
        <v>12800</v>
      </c>
      <c r="M34" s="11">
        <f>+H34/K34</f>
        <v>1.5324142645550871</v>
      </c>
    </row>
    <row r="35" spans="1:13">
      <c r="A35" s="9">
        <v>2025</v>
      </c>
      <c r="B35" s="3">
        <v>5</v>
      </c>
      <c r="C35" s="3" t="s">
        <v>11</v>
      </c>
      <c r="D35" s="3" t="s">
        <v>8</v>
      </c>
      <c r="E35" s="3" t="s">
        <v>12</v>
      </c>
      <c r="F35" s="3" t="s">
        <v>13</v>
      </c>
      <c r="G35" s="3" t="str">
        <f t="shared" si="0"/>
        <v>025PINK MONDIAL</v>
      </c>
      <c r="H35" s="3">
        <v>12000</v>
      </c>
      <c r="I35" s="3">
        <v>6410</v>
      </c>
      <c r="J35" s="3">
        <v>7507</v>
      </c>
      <c r="K35" s="3">
        <v>3071.9505625000002</v>
      </c>
      <c r="L35" s="3">
        <v>22400</v>
      </c>
      <c r="M35" s="11">
        <f>+H35/K35</f>
        <v>3.9063128640436902</v>
      </c>
    </row>
    <row r="36" spans="1:13">
      <c r="A36" s="9">
        <v>2025</v>
      </c>
      <c r="B36" s="3">
        <v>5</v>
      </c>
      <c r="C36" s="3" t="s">
        <v>11</v>
      </c>
      <c r="D36" s="3" t="s">
        <v>8</v>
      </c>
      <c r="E36" s="3" t="s">
        <v>9</v>
      </c>
      <c r="F36" s="3" t="s">
        <v>14</v>
      </c>
      <c r="G36" s="3" t="str">
        <f t="shared" si="0"/>
        <v>026LOLA</v>
      </c>
      <c r="H36" s="3">
        <v>7980</v>
      </c>
      <c r="I36" s="3">
        <v>7080</v>
      </c>
      <c r="J36" s="3">
        <v>7932</v>
      </c>
      <c r="K36" s="3">
        <v>1097.125</v>
      </c>
      <c r="L36" s="3">
        <v>8000</v>
      </c>
      <c r="M36" s="11">
        <f>+H36/K36</f>
        <v>7.2735558846986441</v>
      </c>
    </row>
    <row r="37" spans="1:13">
      <c r="A37" s="9">
        <v>2025</v>
      </c>
      <c r="B37" s="3">
        <v>5</v>
      </c>
      <c r="C37" s="3" t="s">
        <v>11</v>
      </c>
      <c r="D37" s="3" t="s">
        <v>8</v>
      </c>
      <c r="E37" s="3" t="s">
        <v>9</v>
      </c>
      <c r="F37" s="3" t="s">
        <v>15</v>
      </c>
      <c r="G37" s="3" t="str">
        <f t="shared" si="0"/>
        <v>026PALOMA</v>
      </c>
      <c r="H37" s="3">
        <v>11100</v>
      </c>
      <c r="I37" s="3">
        <v>7149</v>
      </c>
      <c r="J37" s="3">
        <v>7387</v>
      </c>
      <c r="K37" s="3">
        <v>2852.5250000000001</v>
      </c>
      <c r="L37" s="3">
        <v>20800</v>
      </c>
      <c r="M37" s="11">
        <f>+H37/K37</f>
        <v>3.8912892963251853</v>
      </c>
    </row>
    <row r="38" spans="1:13">
      <c r="A38" s="9">
        <v>2025</v>
      </c>
      <c r="B38" s="3">
        <v>5</v>
      </c>
      <c r="C38" s="3" t="s">
        <v>11</v>
      </c>
      <c r="D38" s="3" t="s">
        <v>8</v>
      </c>
      <c r="E38" s="3" t="s">
        <v>16</v>
      </c>
      <c r="F38" s="3" t="s">
        <v>17</v>
      </c>
      <c r="G38" s="3" t="str">
        <f t="shared" si="0"/>
        <v>027SATISFACTION</v>
      </c>
      <c r="H38" s="3">
        <v>16440</v>
      </c>
      <c r="I38" s="3">
        <v>7119</v>
      </c>
      <c r="J38" s="3">
        <v>7316</v>
      </c>
      <c r="K38" s="3">
        <v>2633.1</v>
      </c>
      <c r="L38" s="3">
        <v>19200</v>
      </c>
      <c r="M38" s="11">
        <f>+H38/K38</f>
        <v>6.2435912042839243</v>
      </c>
    </row>
    <row r="39" spans="1:13">
      <c r="A39" s="9">
        <v>2025</v>
      </c>
      <c r="B39" s="3">
        <v>5</v>
      </c>
      <c r="C39" s="3" t="s">
        <v>11</v>
      </c>
      <c r="D39" s="3" t="s">
        <v>8</v>
      </c>
      <c r="E39" s="3" t="s">
        <v>16</v>
      </c>
      <c r="F39" s="3" t="s">
        <v>18</v>
      </c>
      <c r="G39" s="3" t="str">
        <f t="shared" si="0"/>
        <v>027TIFFANY!</v>
      </c>
      <c r="H39" s="3">
        <v>14730</v>
      </c>
      <c r="I39" s="3">
        <v>7475</v>
      </c>
      <c r="J39" s="3">
        <v>7233</v>
      </c>
      <c r="K39" s="3">
        <v>2633.1</v>
      </c>
      <c r="L39" s="3">
        <v>19200</v>
      </c>
      <c r="M39" s="11">
        <f>+H39/K39</f>
        <v>5.5941665717215452</v>
      </c>
    </row>
    <row r="40" spans="1:13">
      <c r="A40" s="9">
        <v>2025</v>
      </c>
      <c r="B40" s="3">
        <v>5</v>
      </c>
      <c r="C40" s="3" t="s">
        <v>11</v>
      </c>
      <c r="D40" s="3" t="s">
        <v>8</v>
      </c>
      <c r="E40" s="3" t="s">
        <v>19</v>
      </c>
      <c r="F40" s="3" t="s">
        <v>20</v>
      </c>
      <c r="G40" s="3" t="str">
        <f t="shared" si="0"/>
        <v>028COTOPAXI</v>
      </c>
      <c r="H40" s="3">
        <v>9720</v>
      </c>
      <c r="I40" s="3">
        <v>8558</v>
      </c>
      <c r="J40" s="3">
        <v>7833</v>
      </c>
      <c r="K40" s="3">
        <v>2852.5250000000001</v>
      </c>
      <c r="L40" s="3">
        <v>20800</v>
      </c>
      <c r="M40" s="11">
        <f>+H40/K40</f>
        <v>3.4075073838090812</v>
      </c>
    </row>
    <row r="41" spans="1:13">
      <c r="A41" s="9">
        <v>2025</v>
      </c>
      <c r="B41" s="3">
        <v>5</v>
      </c>
      <c r="C41" s="3" t="s">
        <v>11</v>
      </c>
      <c r="D41" s="3" t="s">
        <v>8</v>
      </c>
      <c r="E41" s="3" t="s">
        <v>19</v>
      </c>
      <c r="F41" s="3" t="s">
        <v>21</v>
      </c>
      <c r="G41" s="3" t="str">
        <f t="shared" si="0"/>
        <v>028DEEP PURPLE</v>
      </c>
      <c r="H41" s="3">
        <v>25050</v>
      </c>
      <c r="I41" s="3">
        <v>7979</v>
      </c>
      <c r="J41" s="3">
        <v>7585</v>
      </c>
      <c r="K41" s="3">
        <v>2852.5250000000001</v>
      </c>
      <c r="L41" s="3">
        <v>20800</v>
      </c>
      <c r="M41" s="11">
        <f>+H41/K41</f>
        <v>8.7816934119771073</v>
      </c>
    </row>
    <row r="42" spans="1:13">
      <c r="A42" s="9">
        <v>2025</v>
      </c>
      <c r="B42" s="3">
        <v>6</v>
      </c>
      <c r="C42" s="3" t="s">
        <v>7</v>
      </c>
      <c r="D42" s="3" t="s">
        <v>8</v>
      </c>
      <c r="E42" s="3" t="s">
        <v>9</v>
      </c>
      <c r="F42" s="3" t="s">
        <v>10</v>
      </c>
      <c r="G42" s="3" t="str">
        <f t="shared" si="0"/>
        <v>026PURPLE BUBBLY</v>
      </c>
      <c r="H42" s="3">
        <v>890</v>
      </c>
      <c r="I42" s="3">
        <v>6764</v>
      </c>
      <c r="J42" s="3">
        <v>7717</v>
      </c>
      <c r="K42" s="3">
        <v>1755.4</v>
      </c>
      <c r="L42" s="3">
        <v>12800</v>
      </c>
      <c r="M42" s="11">
        <f>+H42/K42</f>
        <v>0.50700694998290985</v>
      </c>
    </row>
    <row r="43" spans="1:13">
      <c r="A43" s="9">
        <v>2025</v>
      </c>
      <c r="B43" s="3">
        <v>6</v>
      </c>
      <c r="C43" s="3" t="s">
        <v>11</v>
      </c>
      <c r="D43" s="3" t="s">
        <v>8</v>
      </c>
      <c r="E43" s="3" t="s">
        <v>12</v>
      </c>
      <c r="F43" s="3" t="s">
        <v>13</v>
      </c>
      <c r="G43" s="3" t="str">
        <f t="shared" si="0"/>
        <v>025PINK MONDIAL</v>
      </c>
      <c r="H43" s="3">
        <v>8400</v>
      </c>
      <c r="I43" s="3">
        <v>6318</v>
      </c>
      <c r="J43" s="3">
        <v>6633</v>
      </c>
      <c r="K43" s="3">
        <v>3071.9505625000002</v>
      </c>
      <c r="L43" s="3">
        <v>22400</v>
      </c>
      <c r="M43" s="11">
        <f>+H43/K43</f>
        <v>2.734419004830583</v>
      </c>
    </row>
    <row r="44" spans="1:13">
      <c r="A44" s="9">
        <v>2025</v>
      </c>
      <c r="B44" s="3">
        <v>6</v>
      </c>
      <c r="C44" s="3" t="s">
        <v>11</v>
      </c>
      <c r="D44" s="3" t="s">
        <v>8</v>
      </c>
      <c r="E44" s="3" t="s">
        <v>9</v>
      </c>
      <c r="F44" s="3" t="s">
        <v>14</v>
      </c>
      <c r="G44" s="3" t="str">
        <f t="shared" si="0"/>
        <v>026LOLA</v>
      </c>
      <c r="H44" s="3">
        <v>4000</v>
      </c>
      <c r="I44" s="3">
        <v>5919</v>
      </c>
      <c r="J44" s="3">
        <v>6710</v>
      </c>
      <c r="K44" s="3">
        <v>1097.125</v>
      </c>
      <c r="L44" s="3">
        <v>8000</v>
      </c>
      <c r="M44" s="11">
        <f>+H44/K44</f>
        <v>3.6458926740344082</v>
      </c>
    </row>
    <row r="45" spans="1:13">
      <c r="A45" s="9">
        <v>2025</v>
      </c>
      <c r="B45" s="3">
        <v>6</v>
      </c>
      <c r="C45" s="3" t="s">
        <v>11</v>
      </c>
      <c r="D45" s="3" t="s">
        <v>8</v>
      </c>
      <c r="E45" s="3" t="s">
        <v>9</v>
      </c>
      <c r="F45" s="3" t="s">
        <v>15</v>
      </c>
      <c r="G45" s="3" t="str">
        <f t="shared" si="0"/>
        <v>026PALOMA</v>
      </c>
      <c r="H45" s="3">
        <v>6200</v>
      </c>
      <c r="I45" s="3">
        <v>6061</v>
      </c>
      <c r="J45" s="3">
        <v>6101</v>
      </c>
      <c r="K45" s="3">
        <v>2852.5250000000001</v>
      </c>
      <c r="L45" s="3">
        <v>20800</v>
      </c>
      <c r="M45" s="11">
        <f>+H45/K45</f>
        <v>2.1735129402897431</v>
      </c>
    </row>
    <row r="46" spans="1:13">
      <c r="A46" s="9">
        <v>2025</v>
      </c>
      <c r="B46" s="3">
        <v>6</v>
      </c>
      <c r="C46" s="3" t="s">
        <v>11</v>
      </c>
      <c r="D46" s="3" t="s">
        <v>8</v>
      </c>
      <c r="E46" s="3" t="s">
        <v>16</v>
      </c>
      <c r="F46" s="3" t="s">
        <v>17</v>
      </c>
      <c r="G46" s="3" t="str">
        <f t="shared" si="0"/>
        <v>027SATISFACTION</v>
      </c>
      <c r="H46" s="3">
        <v>8850</v>
      </c>
      <c r="I46" s="3">
        <v>5964</v>
      </c>
      <c r="J46" s="3">
        <v>5815</v>
      </c>
      <c r="K46" s="3">
        <v>2633.1</v>
      </c>
      <c r="L46" s="3">
        <v>19200</v>
      </c>
      <c r="M46" s="11">
        <f>+H46/K46</f>
        <v>3.3610573088754703</v>
      </c>
    </row>
    <row r="47" spans="1:13">
      <c r="A47" s="9">
        <v>2025</v>
      </c>
      <c r="B47" s="3">
        <v>6</v>
      </c>
      <c r="C47" s="3" t="s">
        <v>11</v>
      </c>
      <c r="D47" s="3" t="s">
        <v>8</v>
      </c>
      <c r="E47" s="3" t="s">
        <v>16</v>
      </c>
      <c r="F47" s="3" t="s">
        <v>18</v>
      </c>
      <c r="G47" s="3" t="str">
        <f t="shared" si="0"/>
        <v>027TIFFANY!</v>
      </c>
      <c r="H47" s="3">
        <v>8250</v>
      </c>
      <c r="I47" s="3">
        <v>5304</v>
      </c>
      <c r="J47" s="3">
        <v>5478</v>
      </c>
      <c r="K47" s="3">
        <v>2633.1</v>
      </c>
      <c r="L47" s="3">
        <v>19200</v>
      </c>
      <c r="M47" s="11">
        <f>+H47/K47</f>
        <v>3.1331890167483194</v>
      </c>
    </row>
    <row r="48" spans="1:13">
      <c r="A48" s="9">
        <v>2025</v>
      </c>
      <c r="B48" s="3">
        <v>6</v>
      </c>
      <c r="C48" s="3" t="s">
        <v>11</v>
      </c>
      <c r="D48" s="3" t="s">
        <v>8</v>
      </c>
      <c r="E48" s="3" t="s">
        <v>19</v>
      </c>
      <c r="F48" s="3" t="s">
        <v>20</v>
      </c>
      <c r="G48" s="3" t="str">
        <f t="shared" si="0"/>
        <v>028COTOPAXI</v>
      </c>
      <c r="H48" s="3">
        <v>7320</v>
      </c>
      <c r="I48" s="3">
        <v>3881</v>
      </c>
      <c r="J48" s="3">
        <v>5272</v>
      </c>
      <c r="K48" s="3">
        <v>2852.5250000000001</v>
      </c>
      <c r="L48" s="3">
        <v>20800</v>
      </c>
      <c r="M48" s="11">
        <f>+H48/K48</f>
        <v>2.566147535954987</v>
      </c>
    </row>
    <row r="49" spans="1:13">
      <c r="A49" s="9">
        <v>2025</v>
      </c>
      <c r="B49" s="3">
        <v>6</v>
      </c>
      <c r="C49" s="3" t="s">
        <v>11</v>
      </c>
      <c r="D49" s="3" t="s">
        <v>8</v>
      </c>
      <c r="E49" s="3" t="s">
        <v>19</v>
      </c>
      <c r="F49" s="3" t="s">
        <v>21</v>
      </c>
      <c r="G49" s="3" t="str">
        <f t="shared" si="0"/>
        <v>028DEEP PURPLE</v>
      </c>
      <c r="H49" s="3">
        <v>13560</v>
      </c>
      <c r="I49" s="3">
        <v>4710</v>
      </c>
      <c r="J49" s="3">
        <v>4758</v>
      </c>
      <c r="K49" s="3">
        <v>2852.5250000000001</v>
      </c>
      <c r="L49" s="3">
        <v>20800</v>
      </c>
      <c r="M49" s="11">
        <f>+H49/K49</f>
        <v>4.7536831403756317</v>
      </c>
    </row>
    <row r="50" spans="1:13">
      <c r="A50" s="9">
        <v>2025</v>
      </c>
      <c r="B50" s="3">
        <v>7</v>
      </c>
      <c r="C50" s="3" t="s">
        <v>7</v>
      </c>
      <c r="D50" s="3" t="s">
        <v>8</v>
      </c>
      <c r="E50" s="3" t="s">
        <v>9</v>
      </c>
      <c r="F50" s="3" t="s">
        <v>10</v>
      </c>
      <c r="G50" s="3" t="str">
        <f t="shared" si="0"/>
        <v>026PURPLE BUBBLY</v>
      </c>
      <c r="H50" s="3">
        <v>980</v>
      </c>
      <c r="I50" s="3">
        <v>6213</v>
      </c>
      <c r="J50" s="3">
        <v>4988</v>
      </c>
      <c r="K50" s="3">
        <v>1755.4</v>
      </c>
      <c r="L50" s="3">
        <v>12800</v>
      </c>
      <c r="M50" s="11">
        <f>+H50/K50</f>
        <v>0.55827731571151873</v>
      </c>
    </row>
    <row r="51" spans="1:13">
      <c r="A51" s="9">
        <v>2025</v>
      </c>
      <c r="B51" s="3">
        <v>7</v>
      </c>
      <c r="C51" s="3" t="s">
        <v>11</v>
      </c>
      <c r="D51" s="3" t="s">
        <v>8</v>
      </c>
      <c r="E51" s="3" t="s">
        <v>12</v>
      </c>
      <c r="F51" s="3" t="s">
        <v>13</v>
      </c>
      <c r="G51" s="3" t="str">
        <f t="shared" si="0"/>
        <v>025PINK MONDIAL</v>
      </c>
      <c r="H51" s="3">
        <v>5875</v>
      </c>
      <c r="I51" s="3">
        <v>6181</v>
      </c>
      <c r="J51" s="3">
        <v>7505</v>
      </c>
      <c r="K51" s="3">
        <v>3071.9505625000002</v>
      </c>
      <c r="L51" s="3">
        <v>22400</v>
      </c>
      <c r="M51" s="11">
        <f>+H51/K51</f>
        <v>1.9124656730213898</v>
      </c>
    </row>
    <row r="52" spans="1:13">
      <c r="A52" s="9">
        <v>2025</v>
      </c>
      <c r="B52" s="3">
        <v>7</v>
      </c>
      <c r="C52" s="3" t="s">
        <v>11</v>
      </c>
      <c r="D52" s="3" t="s">
        <v>8</v>
      </c>
      <c r="E52" s="3" t="s">
        <v>9</v>
      </c>
      <c r="F52" s="3" t="s">
        <v>14</v>
      </c>
      <c r="G52" s="3" t="str">
        <f t="shared" si="0"/>
        <v>026LOLA</v>
      </c>
      <c r="H52" s="3">
        <v>3740</v>
      </c>
      <c r="I52" s="3">
        <v>6225</v>
      </c>
      <c r="J52" s="3">
        <v>5878</v>
      </c>
      <c r="K52" s="3">
        <v>1097.125</v>
      </c>
      <c r="L52" s="3">
        <v>8000</v>
      </c>
      <c r="M52" s="11">
        <f>+H52/K52</f>
        <v>3.4089096502221716</v>
      </c>
    </row>
    <row r="53" spans="1:13">
      <c r="A53" s="9">
        <v>2025</v>
      </c>
      <c r="B53" s="3">
        <v>7</v>
      </c>
      <c r="C53" s="3" t="s">
        <v>11</v>
      </c>
      <c r="D53" s="3" t="s">
        <v>8</v>
      </c>
      <c r="E53" s="3" t="s">
        <v>9</v>
      </c>
      <c r="F53" s="3" t="s">
        <v>15</v>
      </c>
      <c r="G53" s="3" t="str">
        <f t="shared" si="0"/>
        <v>026PALOMA</v>
      </c>
      <c r="H53" s="3">
        <v>6180</v>
      </c>
      <c r="I53" s="3">
        <v>8024</v>
      </c>
      <c r="J53" s="3">
        <v>6422</v>
      </c>
      <c r="K53" s="3">
        <v>2852.5250000000001</v>
      </c>
      <c r="L53" s="3">
        <v>20800</v>
      </c>
      <c r="M53" s="11">
        <f>+H53/K53</f>
        <v>2.1665016082242925</v>
      </c>
    </row>
    <row r="54" spans="1:13">
      <c r="A54" s="9">
        <v>2025</v>
      </c>
      <c r="B54" s="3">
        <v>7</v>
      </c>
      <c r="C54" s="3" t="s">
        <v>11</v>
      </c>
      <c r="D54" s="3" t="s">
        <v>8</v>
      </c>
      <c r="E54" s="3" t="s">
        <v>16</v>
      </c>
      <c r="F54" s="3" t="s">
        <v>17</v>
      </c>
      <c r="G54" s="3" t="str">
        <f t="shared" si="0"/>
        <v>027SATISFACTION</v>
      </c>
      <c r="H54" s="3">
        <v>5490</v>
      </c>
      <c r="I54" s="3">
        <v>6677</v>
      </c>
      <c r="J54" s="3">
        <v>8692</v>
      </c>
      <c r="K54" s="3">
        <v>2633.1</v>
      </c>
      <c r="L54" s="3">
        <v>19200</v>
      </c>
      <c r="M54" s="11">
        <f>+H54/K54</f>
        <v>2.0849948729634273</v>
      </c>
    </row>
    <row r="55" spans="1:13">
      <c r="A55" s="9">
        <v>2025</v>
      </c>
      <c r="B55" s="3">
        <v>7</v>
      </c>
      <c r="C55" s="3" t="s">
        <v>11</v>
      </c>
      <c r="D55" s="3" t="s">
        <v>8</v>
      </c>
      <c r="E55" s="3" t="s">
        <v>16</v>
      </c>
      <c r="F55" s="3" t="s">
        <v>18</v>
      </c>
      <c r="G55" s="3" t="str">
        <f t="shared" si="0"/>
        <v>027TIFFANY!</v>
      </c>
      <c r="H55" s="3">
        <v>5400</v>
      </c>
      <c r="I55" s="3">
        <v>10588</v>
      </c>
      <c r="J55" s="3">
        <v>10588</v>
      </c>
      <c r="K55" s="3">
        <v>2633.1</v>
      </c>
      <c r="L55" s="3">
        <v>19200</v>
      </c>
      <c r="M55" s="11">
        <f>+H55/K55</f>
        <v>2.0508146291443548</v>
      </c>
    </row>
    <row r="56" spans="1:13">
      <c r="A56" s="9">
        <v>2025</v>
      </c>
      <c r="B56" s="3">
        <v>7</v>
      </c>
      <c r="C56" s="3" t="s">
        <v>11</v>
      </c>
      <c r="D56" s="3" t="s">
        <v>8</v>
      </c>
      <c r="E56" s="3" t="s">
        <v>19</v>
      </c>
      <c r="F56" s="3" t="s">
        <v>20</v>
      </c>
      <c r="G56" s="3" t="str">
        <f t="shared" si="0"/>
        <v>028COTOPAXI</v>
      </c>
      <c r="H56" s="3">
        <v>3900</v>
      </c>
      <c r="I56" s="3">
        <v>8449</v>
      </c>
      <c r="J56" s="3">
        <v>8449</v>
      </c>
      <c r="K56" s="3">
        <v>2852.5250000000001</v>
      </c>
      <c r="L56" s="3">
        <v>20800</v>
      </c>
      <c r="M56" s="11">
        <f>+H56/K56</f>
        <v>1.367209752762903</v>
      </c>
    </row>
    <row r="57" spans="1:13">
      <c r="A57" s="9">
        <v>2025</v>
      </c>
      <c r="B57" s="3">
        <v>7</v>
      </c>
      <c r="C57" s="3" t="s">
        <v>11</v>
      </c>
      <c r="D57" s="3" t="s">
        <v>8</v>
      </c>
      <c r="E57" s="3" t="s">
        <v>19</v>
      </c>
      <c r="F57" s="3" t="s">
        <v>21</v>
      </c>
      <c r="G57" s="3" t="str">
        <f t="shared" si="0"/>
        <v>028DEEP PURPLE</v>
      </c>
      <c r="H57" s="3">
        <v>8940</v>
      </c>
      <c r="I57" s="3">
        <v>10589</v>
      </c>
      <c r="J57" s="3">
        <v>10589</v>
      </c>
      <c r="K57" s="3">
        <v>2852.5250000000001</v>
      </c>
      <c r="L57" s="3">
        <v>20800</v>
      </c>
      <c r="M57" s="11">
        <f>+H57/K57</f>
        <v>3.1340654332565006</v>
      </c>
    </row>
    <row r="58" spans="1:13">
      <c r="A58" s="9">
        <v>2025</v>
      </c>
      <c r="B58" s="3">
        <v>8</v>
      </c>
      <c r="C58" s="3" t="s">
        <v>7</v>
      </c>
      <c r="D58" s="3" t="s">
        <v>8</v>
      </c>
      <c r="E58" s="3" t="s">
        <v>9</v>
      </c>
      <c r="F58" s="3" t="s">
        <v>10</v>
      </c>
      <c r="G58" s="3" t="str">
        <f t="shared" si="0"/>
        <v>026PURPLE BUBBLY</v>
      </c>
      <c r="H58" s="3">
        <v>440</v>
      </c>
      <c r="I58" s="3">
        <v>11764</v>
      </c>
      <c r="J58" s="3">
        <v>11764</v>
      </c>
      <c r="K58" s="3">
        <v>1755.4</v>
      </c>
      <c r="L58" s="3">
        <v>12800</v>
      </c>
      <c r="M58" s="11">
        <f>+H58/K58</f>
        <v>0.25065512133986556</v>
      </c>
    </row>
    <row r="59" spans="1:13">
      <c r="A59" s="9">
        <v>2025</v>
      </c>
      <c r="B59" s="3">
        <v>8</v>
      </c>
      <c r="C59" s="3" t="s">
        <v>11</v>
      </c>
      <c r="D59" s="3" t="s">
        <v>8</v>
      </c>
      <c r="E59" s="3" t="s">
        <v>12</v>
      </c>
      <c r="F59" s="3" t="s">
        <v>13</v>
      </c>
      <c r="G59" s="3" t="str">
        <f t="shared" si="0"/>
        <v>025PINK MONDIAL</v>
      </c>
      <c r="H59" s="3">
        <v>3350</v>
      </c>
      <c r="I59" s="3">
        <v>10249</v>
      </c>
      <c r="J59" s="3">
        <v>10249</v>
      </c>
      <c r="K59" s="3">
        <v>3071.9505625000002</v>
      </c>
      <c r="L59" s="3">
        <v>22400</v>
      </c>
      <c r="M59" s="11">
        <f>+H59/K59</f>
        <v>1.0905123412121969</v>
      </c>
    </row>
    <row r="60" spans="1:13">
      <c r="A60" s="9">
        <v>2025</v>
      </c>
      <c r="B60" s="3">
        <v>8</v>
      </c>
      <c r="C60" s="3" t="s">
        <v>11</v>
      </c>
      <c r="D60" s="3" t="s">
        <v>8</v>
      </c>
      <c r="E60" s="3" t="s">
        <v>9</v>
      </c>
      <c r="F60" s="3" t="s">
        <v>14</v>
      </c>
      <c r="G60" s="3" t="str">
        <f t="shared" si="0"/>
        <v>026LOLA</v>
      </c>
      <c r="H60" s="3">
        <v>2180</v>
      </c>
      <c r="I60" s="3">
        <v>5422</v>
      </c>
      <c r="J60" s="3">
        <v>5422</v>
      </c>
      <c r="K60" s="3">
        <v>1097.125</v>
      </c>
      <c r="L60" s="3">
        <v>8000</v>
      </c>
      <c r="M60" s="11">
        <f>+H60/K60</f>
        <v>1.9870115073487524</v>
      </c>
    </row>
    <row r="61" spans="1:13">
      <c r="A61" s="9">
        <v>2025</v>
      </c>
      <c r="B61" s="3">
        <v>8</v>
      </c>
      <c r="C61" s="3" t="s">
        <v>11</v>
      </c>
      <c r="D61" s="3" t="s">
        <v>8</v>
      </c>
      <c r="E61" s="3" t="s">
        <v>9</v>
      </c>
      <c r="F61" s="3" t="s">
        <v>15</v>
      </c>
      <c r="G61" s="3" t="str">
        <f t="shared" si="0"/>
        <v>026PALOMA</v>
      </c>
      <c r="H61" s="3">
        <v>4260</v>
      </c>
      <c r="I61" s="3">
        <v>5103</v>
      </c>
      <c r="J61" s="3">
        <v>5454</v>
      </c>
      <c r="K61" s="3">
        <v>2852.5250000000001</v>
      </c>
      <c r="L61" s="3">
        <v>20800</v>
      </c>
      <c r="M61" s="11">
        <f>+H61/K61</f>
        <v>1.4934137299410171</v>
      </c>
    </row>
    <row r="62" spans="1:13">
      <c r="A62" s="9">
        <v>2025</v>
      </c>
      <c r="B62" s="3">
        <v>8</v>
      </c>
      <c r="C62" s="3" t="s">
        <v>11</v>
      </c>
      <c r="D62" s="3" t="s">
        <v>8</v>
      </c>
      <c r="E62" s="3" t="s">
        <v>16</v>
      </c>
      <c r="F62" s="3" t="s">
        <v>17</v>
      </c>
      <c r="G62" s="3" t="str">
        <f t="shared" si="0"/>
        <v>027SATISFACTION</v>
      </c>
      <c r="H62" s="3">
        <v>3390</v>
      </c>
      <c r="I62" s="3">
        <v>5008</v>
      </c>
      <c r="J62" s="3">
        <v>4820</v>
      </c>
      <c r="K62" s="3">
        <v>2633.1</v>
      </c>
      <c r="L62" s="3">
        <v>19200</v>
      </c>
      <c r="M62" s="11">
        <f>+H62/K62</f>
        <v>1.2874558505184004</v>
      </c>
    </row>
    <row r="63" spans="1:13">
      <c r="A63" s="9">
        <v>2025</v>
      </c>
      <c r="B63" s="3">
        <v>8</v>
      </c>
      <c r="C63" s="3" t="s">
        <v>11</v>
      </c>
      <c r="D63" s="3" t="s">
        <v>8</v>
      </c>
      <c r="E63" s="3" t="s">
        <v>16</v>
      </c>
      <c r="F63" s="3" t="s">
        <v>18</v>
      </c>
      <c r="G63" s="3" t="str">
        <f t="shared" si="0"/>
        <v>027TIFFANY!</v>
      </c>
      <c r="H63" s="3">
        <v>3720</v>
      </c>
      <c r="I63" s="6">
        <v>5259</v>
      </c>
      <c r="J63" s="6">
        <v>4705</v>
      </c>
      <c r="K63" s="3">
        <v>2633.1</v>
      </c>
      <c r="L63" s="3">
        <v>19200</v>
      </c>
      <c r="M63" s="11">
        <f>+H63/K63</f>
        <v>1.4127834111883333</v>
      </c>
    </row>
    <row r="64" spans="1:13">
      <c r="A64" s="9">
        <v>2025</v>
      </c>
      <c r="B64" s="3">
        <v>8</v>
      </c>
      <c r="C64" s="3" t="s">
        <v>11</v>
      </c>
      <c r="D64" s="3" t="s">
        <v>8</v>
      </c>
      <c r="E64" s="3" t="s">
        <v>19</v>
      </c>
      <c r="F64" s="3" t="s">
        <v>20</v>
      </c>
      <c r="G64" s="3" t="str">
        <f t="shared" si="0"/>
        <v>028COTOPAXI</v>
      </c>
      <c r="H64" s="3">
        <v>2850</v>
      </c>
      <c r="I64" s="6">
        <v>5005</v>
      </c>
      <c r="J64" s="6">
        <v>5473</v>
      </c>
      <c r="K64" s="3">
        <v>2852.5250000000001</v>
      </c>
      <c r="L64" s="3">
        <v>20800</v>
      </c>
      <c r="M64" s="11">
        <f>+H64/K64</f>
        <v>0.99911481932673685</v>
      </c>
    </row>
    <row r="65" spans="1:13">
      <c r="A65" s="9">
        <v>2025</v>
      </c>
      <c r="B65" s="3">
        <v>8</v>
      </c>
      <c r="C65" s="3" t="s">
        <v>11</v>
      </c>
      <c r="D65" s="3" t="s">
        <v>8</v>
      </c>
      <c r="E65" s="3" t="s">
        <v>19</v>
      </c>
      <c r="F65" s="3" t="s">
        <v>21</v>
      </c>
      <c r="G65" s="3" t="str">
        <f t="shared" si="0"/>
        <v>028DEEP PURPLE</v>
      </c>
      <c r="H65" s="3">
        <v>4950</v>
      </c>
      <c r="I65" s="6">
        <v>5325</v>
      </c>
      <c r="J65" s="6">
        <v>5325</v>
      </c>
      <c r="K65" s="3">
        <v>2852.5250000000001</v>
      </c>
      <c r="L65" s="3">
        <v>20800</v>
      </c>
      <c r="M65" s="11">
        <f>+H65/K65</f>
        <v>1.7353046861990691</v>
      </c>
    </row>
    <row r="66" spans="1:13">
      <c r="A66" s="9">
        <v>2025</v>
      </c>
      <c r="B66" s="3">
        <v>9</v>
      </c>
      <c r="C66" s="3" t="s">
        <v>7</v>
      </c>
      <c r="D66" s="3" t="s">
        <v>8</v>
      </c>
      <c r="E66" s="3" t="s">
        <v>9</v>
      </c>
      <c r="F66" s="3" t="s">
        <v>10</v>
      </c>
      <c r="G66" s="3" t="str">
        <f t="shared" si="0"/>
        <v>026PURPLE BUBBLY</v>
      </c>
      <c r="H66" s="3">
        <v>490</v>
      </c>
      <c r="I66" s="6">
        <v>6249</v>
      </c>
      <c r="J66" s="6">
        <v>6249</v>
      </c>
      <c r="K66" s="3">
        <v>1755.4</v>
      </c>
      <c r="L66" s="3">
        <v>12800</v>
      </c>
      <c r="M66" s="11">
        <f>+H66/K66</f>
        <v>0.27913865785575936</v>
      </c>
    </row>
    <row r="67" spans="1:13">
      <c r="A67" s="9">
        <v>2025</v>
      </c>
      <c r="B67" s="3">
        <v>9</v>
      </c>
      <c r="C67" s="3" t="s">
        <v>11</v>
      </c>
      <c r="D67" s="3" t="s">
        <v>8</v>
      </c>
      <c r="E67" s="3" t="s">
        <v>12</v>
      </c>
      <c r="F67" s="3" t="s">
        <v>13</v>
      </c>
      <c r="G67" s="3" t="str">
        <f t="shared" ref="G67:G130" si="1">+E67&amp;F67</f>
        <v>025PINK MONDIAL</v>
      </c>
      <c r="H67" s="3">
        <v>3550</v>
      </c>
      <c r="I67" s="6">
        <v>8392</v>
      </c>
      <c r="J67" s="6">
        <v>7618</v>
      </c>
      <c r="K67" s="3">
        <v>3071.9505625000002</v>
      </c>
      <c r="L67" s="3">
        <v>22400</v>
      </c>
      <c r="M67" s="11">
        <f>+H67/K67</f>
        <v>1.1556175556129249</v>
      </c>
    </row>
    <row r="68" spans="1:13">
      <c r="A68" s="9">
        <v>2025</v>
      </c>
      <c r="B68" s="3">
        <v>9</v>
      </c>
      <c r="C68" s="3" t="s">
        <v>11</v>
      </c>
      <c r="D68" s="3" t="s">
        <v>8</v>
      </c>
      <c r="E68" s="3" t="s">
        <v>9</v>
      </c>
      <c r="F68" s="3" t="s">
        <v>14</v>
      </c>
      <c r="G68" s="3" t="str">
        <f t="shared" si="1"/>
        <v>026LOLA</v>
      </c>
      <c r="H68" s="3">
        <v>3220</v>
      </c>
      <c r="I68" s="6">
        <v>8297</v>
      </c>
      <c r="J68" s="6">
        <v>9166</v>
      </c>
      <c r="K68" s="3">
        <v>1097.125</v>
      </c>
      <c r="L68" s="3">
        <v>8000</v>
      </c>
      <c r="M68" s="11">
        <f>+H68/K68</f>
        <v>2.9349436025976985</v>
      </c>
    </row>
    <row r="69" spans="1:13">
      <c r="A69" s="9">
        <v>2025</v>
      </c>
      <c r="B69" s="3">
        <v>9</v>
      </c>
      <c r="C69" s="3" t="s">
        <v>11</v>
      </c>
      <c r="D69" s="3" t="s">
        <v>8</v>
      </c>
      <c r="E69" s="3" t="s">
        <v>9</v>
      </c>
      <c r="F69" s="3" t="s">
        <v>15</v>
      </c>
      <c r="G69" s="3" t="str">
        <f t="shared" si="1"/>
        <v>026PALOMA</v>
      </c>
      <c r="H69" s="3">
        <v>4820</v>
      </c>
      <c r="I69" s="6">
        <v>9145</v>
      </c>
      <c r="J69" s="6">
        <v>9145</v>
      </c>
      <c r="K69" s="3">
        <v>2852.5250000000001</v>
      </c>
      <c r="L69" s="3">
        <v>20800</v>
      </c>
      <c r="M69" s="11">
        <f>+H69/K69</f>
        <v>1.689731027773639</v>
      </c>
    </row>
    <row r="70" spans="1:13">
      <c r="A70" s="9">
        <v>2025</v>
      </c>
      <c r="B70" s="3">
        <v>9</v>
      </c>
      <c r="C70" s="3" t="s">
        <v>11</v>
      </c>
      <c r="D70" s="3" t="s">
        <v>8</v>
      </c>
      <c r="E70" s="3" t="s">
        <v>16</v>
      </c>
      <c r="F70" s="3" t="s">
        <v>17</v>
      </c>
      <c r="G70" s="3" t="str">
        <f t="shared" si="1"/>
        <v>027SATISFACTION</v>
      </c>
      <c r="H70" s="3">
        <v>3360</v>
      </c>
      <c r="I70" s="6">
        <v>10347</v>
      </c>
      <c r="J70" s="6">
        <v>10347</v>
      </c>
      <c r="K70" s="3">
        <v>2633.1</v>
      </c>
      <c r="L70" s="3">
        <v>19200</v>
      </c>
      <c r="M70" s="11">
        <f>+H70/K70</f>
        <v>1.2760624359120429</v>
      </c>
    </row>
    <row r="71" spans="1:13">
      <c r="A71" s="9">
        <v>2025</v>
      </c>
      <c r="B71" s="3">
        <v>9</v>
      </c>
      <c r="C71" s="3" t="s">
        <v>11</v>
      </c>
      <c r="D71" s="3" t="s">
        <v>8</v>
      </c>
      <c r="E71" s="3" t="s">
        <v>16</v>
      </c>
      <c r="F71" s="3" t="s">
        <v>18</v>
      </c>
      <c r="G71" s="3" t="str">
        <f t="shared" si="1"/>
        <v>027TIFFANY!</v>
      </c>
      <c r="H71" s="3">
        <v>3750</v>
      </c>
      <c r="I71" s="6">
        <v>8413</v>
      </c>
      <c r="J71" s="6">
        <v>9684</v>
      </c>
      <c r="K71" s="3">
        <v>2633.1</v>
      </c>
      <c r="L71" s="3">
        <v>19200</v>
      </c>
      <c r="M71" s="11">
        <f>+H71/K71</f>
        <v>1.4241768257946907</v>
      </c>
    </row>
    <row r="72" spans="1:13">
      <c r="A72" s="9">
        <v>2025</v>
      </c>
      <c r="B72" s="3">
        <v>9</v>
      </c>
      <c r="C72" s="3" t="s">
        <v>11</v>
      </c>
      <c r="D72" s="3" t="s">
        <v>8</v>
      </c>
      <c r="E72" s="3" t="s">
        <v>19</v>
      </c>
      <c r="F72" s="3" t="s">
        <v>20</v>
      </c>
      <c r="G72" s="3" t="str">
        <f t="shared" si="1"/>
        <v>028COTOPAXI</v>
      </c>
      <c r="H72" s="3">
        <v>5130</v>
      </c>
      <c r="I72" s="3">
        <v>7476</v>
      </c>
      <c r="J72" s="3">
        <v>6796</v>
      </c>
      <c r="K72" s="3">
        <v>2852.5250000000001</v>
      </c>
      <c r="L72" s="3">
        <v>20800</v>
      </c>
      <c r="M72" s="11">
        <f>+H72/K72</f>
        <v>1.7984066747881262</v>
      </c>
    </row>
    <row r="73" spans="1:13">
      <c r="A73" s="9">
        <v>2025</v>
      </c>
      <c r="B73" s="3">
        <v>9</v>
      </c>
      <c r="C73" s="3" t="s">
        <v>11</v>
      </c>
      <c r="D73" s="3" t="s">
        <v>8</v>
      </c>
      <c r="E73" s="3" t="s">
        <v>19</v>
      </c>
      <c r="F73" s="3" t="s">
        <v>21</v>
      </c>
      <c r="G73" s="3" t="str">
        <f t="shared" si="1"/>
        <v>028DEEP PURPLE</v>
      </c>
      <c r="H73" s="3">
        <v>4620</v>
      </c>
      <c r="I73" s="3">
        <v>8505</v>
      </c>
      <c r="J73" s="3">
        <v>7027</v>
      </c>
      <c r="K73" s="3">
        <v>2852.5250000000001</v>
      </c>
      <c r="L73" s="3">
        <v>20800</v>
      </c>
      <c r="M73" s="11">
        <f>+H73/K73</f>
        <v>1.6196177071191313</v>
      </c>
    </row>
    <row r="74" spans="1:13">
      <c r="A74" s="9">
        <v>2025</v>
      </c>
      <c r="B74" s="3">
        <v>10</v>
      </c>
      <c r="C74" s="3" t="s">
        <v>7</v>
      </c>
      <c r="D74" s="3" t="s">
        <v>8</v>
      </c>
      <c r="E74" s="3" t="s">
        <v>9</v>
      </c>
      <c r="F74" s="3" t="s">
        <v>10</v>
      </c>
      <c r="G74" s="3" t="str">
        <f t="shared" si="1"/>
        <v>026PURPLE BUBBLY</v>
      </c>
      <c r="H74" s="3">
        <v>410</v>
      </c>
      <c r="I74" s="3">
        <v>8421</v>
      </c>
      <c r="J74" s="3">
        <v>8240</v>
      </c>
      <c r="K74" s="3">
        <v>1755.4</v>
      </c>
      <c r="L74" s="3">
        <v>12800</v>
      </c>
      <c r="M74" s="11">
        <f>+H74/K74</f>
        <v>0.23356499943032927</v>
      </c>
    </row>
    <row r="75" spans="1:13">
      <c r="A75" s="9">
        <v>2025</v>
      </c>
      <c r="B75" s="3">
        <v>10</v>
      </c>
      <c r="C75" s="3" t="s">
        <v>11</v>
      </c>
      <c r="D75" s="3" t="s">
        <v>8</v>
      </c>
      <c r="E75" s="3" t="s">
        <v>12</v>
      </c>
      <c r="F75" s="3" t="s">
        <v>13</v>
      </c>
      <c r="G75" s="3" t="str">
        <f t="shared" si="1"/>
        <v>025PINK MONDIAL</v>
      </c>
      <c r="H75" s="3">
        <v>3700</v>
      </c>
      <c r="I75" s="3">
        <v>8043</v>
      </c>
      <c r="J75" s="3">
        <v>7526</v>
      </c>
      <c r="K75" s="3">
        <v>3071.9505625000002</v>
      </c>
      <c r="L75" s="3">
        <v>22400</v>
      </c>
      <c r="M75" s="11">
        <f>+H75/K75</f>
        <v>1.2044464664134711</v>
      </c>
    </row>
    <row r="76" spans="1:13">
      <c r="A76" s="9">
        <v>2025</v>
      </c>
      <c r="B76" s="3">
        <v>10</v>
      </c>
      <c r="C76" s="3" t="s">
        <v>11</v>
      </c>
      <c r="D76" s="3" t="s">
        <v>8</v>
      </c>
      <c r="E76" s="3" t="s">
        <v>9</v>
      </c>
      <c r="F76" s="3" t="s">
        <v>14</v>
      </c>
      <c r="G76" s="3" t="str">
        <f t="shared" si="1"/>
        <v>026LOLA</v>
      </c>
      <c r="H76" s="3">
        <v>2320</v>
      </c>
      <c r="I76" s="3">
        <v>5452</v>
      </c>
      <c r="J76" s="3">
        <v>5914</v>
      </c>
      <c r="K76" s="3">
        <v>1097.125</v>
      </c>
      <c r="L76" s="3">
        <v>8000</v>
      </c>
      <c r="M76" s="11">
        <f>+H76/K76</f>
        <v>2.1146177509399569</v>
      </c>
    </row>
    <row r="77" spans="1:13">
      <c r="A77" s="9">
        <v>2025</v>
      </c>
      <c r="B77" s="3">
        <v>10</v>
      </c>
      <c r="C77" s="3" t="s">
        <v>11</v>
      </c>
      <c r="D77" s="3" t="s">
        <v>8</v>
      </c>
      <c r="E77" s="3" t="s">
        <v>9</v>
      </c>
      <c r="F77" s="3" t="s">
        <v>15</v>
      </c>
      <c r="G77" s="3" t="str">
        <f t="shared" si="1"/>
        <v>026PALOMA</v>
      </c>
      <c r="H77" s="3">
        <v>3660</v>
      </c>
      <c r="I77" s="3">
        <v>5538</v>
      </c>
      <c r="J77" s="3">
        <v>6477</v>
      </c>
      <c r="K77" s="3">
        <v>2852.5250000000001</v>
      </c>
      <c r="L77" s="3">
        <v>20800</v>
      </c>
      <c r="M77" s="11">
        <f>+H77/K77</f>
        <v>1.2830737679774935</v>
      </c>
    </row>
    <row r="78" spans="1:13">
      <c r="A78" s="9">
        <v>2025</v>
      </c>
      <c r="B78" s="3">
        <v>10</v>
      </c>
      <c r="C78" s="3" t="s">
        <v>11</v>
      </c>
      <c r="D78" s="3" t="s">
        <v>8</v>
      </c>
      <c r="E78" s="3" t="s">
        <v>16</v>
      </c>
      <c r="F78" s="3" t="s">
        <v>17</v>
      </c>
      <c r="G78" s="3" t="str">
        <f t="shared" si="1"/>
        <v>027SATISFACTION</v>
      </c>
      <c r="H78" s="3">
        <v>3570</v>
      </c>
      <c r="I78" s="3">
        <v>9483</v>
      </c>
      <c r="J78" s="3">
        <v>8984</v>
      </c>
      <c r="K78" s="3">
        <v>2633.1</v>
      </c>
      <c r="L78" s="3">
        <v>19200</v>
      </c>
      <c r="M78" s="11">
        <f>+H78/K78</f>
        <v>1.3558163381565456</v>
      </c>
    </row>
    <row r="79" spans="1:13">
      <c r="A79" s="9">
        <v>2025</v>
      </c>
      <c r="B79" s="3">
        <v>10</v>
      </c>
      <c r="C79" s="3" t="s">
        <v>11</v>
      </c>
      <c r="D79" s="3" t="s">
        <v>8</v>
      </c>
      <c r="E79" s="3" t="s">
        <v>16</v>
      </c>
      <c r="F79" s="3" t="s">
        <v>18</v>
      </c>
      <c r="G79" s="3" t="str">
        <f t="shared" si="1"/>
        <v>027TIFFANY!</v>
      </c>
      <c r="H79" s="3">
        <v>3840</v>
      </c>
      <c r="I79" s="3">
        <v>15441</v>
      </c>
      <c r="J79" s="3">
        <v>15431</v>
      </c>
      <c r="K79" s="3">
        <v>2633.1</v>
      </c>
      <c r="L79" s="3">
        <v>19200</v>
      </c>
      <c r="M79" s="11">
        <f>+H79/K79</f>
        <v>1.4583570696137633</v>
      </c>
    </row>
    <row r="80" spans="1:13">
      <c r="A80" s="9">
        <v>2025</v>
      </c>
      <c r="B80" s="3">
        <v>10</v>
      </c>
      <c r="C80" s="3" t="s">
        <v>11</v>
      </c>
      <c r="D80" s="3" t="s">
        <v>8</v>
      </c>
      <c r="E80" s="3" t="s">
        <v>19</v>
      </c>
      <c r="F80" s="3" t="s">
        <v>20</v>
      </c>
      <c r="G80" s="3" t="str">
        <f t="shared" si="1"/>
        <v>028COTOPAXI</v>
      </c>
      <c r="H80" s="3">
        <v>4980</v>
      </c>
      <c r="I80" s="3">
        <v>17775</v>
      </c>
      <c r="J80" s="3">
        <v>15777</v>
      </c>
      <c r="K80" s="3">
        <v>2852.5250000000001</v>
      </c>
      <c r="L80" s="3">
        <v>20800</v>
      </c>
      <c r="M80" s="11">
        <f>+H80/K80</f>
        <v>1.7458216842972454</v>
      </c>
    </row>
    <row r="81" spans="1:13">
      <c r="A81" s="9">
        <v>2025</v>
      </c>
      <c r="B81" s="3">
        <v>10</v>
      </c>
      <c r="C81" s="3" t="s">
        <v>11</v>
      </c>
      <c r="D81" s="3" t="s">
        <v>8</v>
      </c>
      <c r="E81" s="3" t="s">
        <v>19</v>
      </c>
      <c r="F81" s="3" t="s">
        <v>21</v>
      </c>
      <c r="G81" s="3" t="str">
        <f t="shared" si="1"/>
        <v>028DEEP PURPLE</v>
      </c>
      <c r="H81" s="3">
        <v>3840</v>
      </c>
      <c r="I81" s="3">
        <v>6725</v>
      </c>
      <c r="J81" s="3">
        <v>7472</v>
      </c>
      <c r="K81" s="3">
        <v>2852.5250000000001</v>
      </c>
      <c r="L81" s="3">
        <v>20800</v>
      </c>
      <c r="M81" s="11">
        <f>+H81/K81</f>
        <v>1.3461757565665506</v>
      </c>
    </row>
    <row r="82" spans="1:13">
      <c r="A82" s="9">
        <v>2025</v>
      </c>
      <c r="B82" s="3">
        <v>11</v>
      </c>
      <c r="C82" s="3" t="s">
        <v>7</v>
      </c>
      <c r="D82" s="3" t="s">
        <v>8</v>
      </c>
      <c r="E82" s="3" t="s">
        <v>9</v>
      </c>
      <c r="F82" s="3" t="s">
        <v>10</v>
      </c>
      <c r="G82" s="3" t="str">
        <f t="shared" si="1"/>
        <v>026PURPLE BUBBLY</v>
      </c>
      <c r="H82" s="3">
        <v>420</v>
      </c>
      <c r="I82" s="3">
        <v>7896</v>
      </c>
      <c r="J82" s="3">
        <v>4371</v>
      </c>
      <c r="K82" s="3">
        <v>1755.4</v>
      </c>
      <c r="L82" s="3">
        <v>12800</v>
      </c>
      <c r="M82" s="11">
        <f>+H82/K82</f>
        <v>0.23926170673350802</v>
      </c>
    </row>
    <row r="83" spans="1:13">
      <c r="A83" s="9">
        <v>2025</v>
      </c>
      <c r="B83" s="3">
        <v>11</v>
      </c>
      <c r="C83" s="3" t="s">
        <v>11</v>
      </c>
      <c r="D83" s="3" t="s">
        <v>8</v>
      </c>
      <c r="E83" s="3" t="s">
        <v>12</v>
      </c>
      <c r="F83" s="3" t="s">
        <v>13</v>
      </c>
      <c r="G83" s="3" t="str">
        <f t="shared" si="1"/>
        <v>025PINK MONDIAL</v>
      </c>
      <c r="H83" s="3">
        <v>5150</v>
      </c>
      <c r="I83" s="3">
        <v>7433</v>
      </c>
      <c r="J83" s="3">
        <v>6855</v>
      </c>
      <c r="K83" s="3">
        <v>3071.9505625000002</v>
      </c>
      <c r="L83" s="3">
        <v>22400</v>
      </c>
      <c r="M83" s="11">
        <f>+H83/K83</f>
        <v>1.6764592708187502</v>
      </c>
    </row>
    <row r="84" spans="1:13">
      <c r="A84" s="9">
        <v>2025</v>
      </c>
      <c r="B84" s="3">
        <v>11</v>
      </c>
      <c r="C84" s="3" t="s">
        <v>11</v>
      </c>
      <c r="D84" s="3" t="s">
        <v>8</v>
      </c>
      <c r="E84" s="3" t="s">
        <v>9</v>
      </c>
      <c r="F84" s="3" t="s">
        <v>14</v>
      </c>
      <c r="G84" s="3" t="str">
        <f t="shared" si="1"/>
        <v>026LOLA</v>
      </c>
      <c r="H84" s="3">
        <v>2820</v>
      </c>
      <c r="I84" s="3">
        <v>6026</v>
      </c>
      <c r="J84" s="3">
        <v>7079</v>
      </c>
      <c r="K84" s="3">
        <v>1097.125</v>
      </c>
      <c r="L84" s="3">
        <v>8000</v>
      </c>
      <c r="M84" s="11">
        <f>+H84/K84</f>
        <v>2.5703543351942577</v>
      </c>
    </row>
    <row r="85" spans="1:13">
      <c r="A85" s="9">
        <v>2025</v>
      </c>
      <c r="B85" s="3">
        <v>11</v>
      </c>
      <c r="C85" s="3" t="s">
        <v>11</v>
      </c>
      <c r="D85" s="3" t="s">
        <v>8</v>
      </c>
      <c r="E85" s="3" t="s">
        <v>9</v>
      </c>
      <c r="F85" s="3" t="s">
        <v>15</v>
      </c>
      <c r="G85" s="3" t="str">
        <f t="shared" si="1"/>
        <v>026PALOMA</v>
      </c>
      <c r="H85" s="3">
        <v>4220</v>
      </c>
      <c r="I85" s="3">
        <v>5684</v>
      </c>
      <c r="J85" s="3">
        <v>5657</v>
      </c>
      <c r="K85" s="3">
        <v>2852.5250000000001</v>
      </c>
      <c r="L85" s="3">
        <v>20800</v>
      </c>
      <c r="M85" s="11">
        <f>+H85/K85</f>
        <v>1.4793910658101155</v>
      </c>
    </row>
    <row r="86" spans="1:13">
      <c r="A86" s="9">
        <v>2025</v>
      </c>
      <c r="B86" s="3">
        <v>11</v>
      </c>
      <c r="C86" s="3" t="s">
        <v>11</v>
      </c>
      <c r="D86" s="3" t="s">
        <v>8</v>
      </c>
      <c r="E86" s="3" t="s">
        <v>16</v>
      </c>
      <c r="F86" s="3" t="s">
        <v>17</v>
      </c>
      <c r="G86" s="3" t="str">
        <f t="shared" si="1"/>
        <v>027SATISFACTION</v>
      </c>
      <c r="H86" s="3">
        <v>3510</v>
      </c>
      <c r="I86" s="3">
        <v>4780</v>
      </c>
      <c r="J86" s="3">
        <v>5755</v>
      </c>
      <c r="K86" s="3">
        <v>2633.1</v>
      </c>
      <c r="L86" s="3">
        <v>19200</v>
      </c>
      <c r="M86" s="11">
        <f>+H86/K86</f>
        <v>1.3330295089438304</v>
      </c>
    </row>
    <row r="87" spans="1:13">
      <c r="A87" s="9">
        <v>2025</v>
      </c>
      <c r="B87" s="3">
        <v>11</v>
      </c>
      <c r="C87" s="3" t="s">
        <v>11</v>
      </c>
      <c r="D87" s="3" t="s">
        <v>8</v>
      </c>
      <c r="E87" s="3" t="s">
        <v>16</v>
      </c>
      <c r="F87" s="3" t="s">
        <v>18</v>
      </c>
      <c r="G87" s="3" t="str">
        <f t="shared" si="1"/>
        <v>027TIFFANY!</v>
      </c>
      <c r="H87" s="3">
        <v>3960</v>
      </c>
      <c r="I87" s="3">
        <v>4435</v>
      </c>
      <c r="J87" s="3">
        <v>4992</v>
      </c>
      <c r="K87" s="3">
        <v>2633.1</v>
      </c>
      <c r="L87" s="3">
        <v>19200</v>
      </c>
      <c r="M87" s="11">
        <f>+H87/K87</f>
        <v>1.5039307280391934</v>
      </c>
    </row>
    <row r="88" spans="1:13">
      <c r="A88" s="9">
        <v>2025</v>
      </c>
      <c r="B88" s="3">
        <v>11</v>
      </c>
      <c r="C88" s="3" t="s">
        <v>11</v>
      </c>
      <c r="D88" s="3" t="s">
        <v>8</v>
      </c>
      <c r="E88" s="3" t="s">
        <v>19</v>
      </c>
      <c r="F88" s="3" t="s">
        <v>20</v>
      </c>
      <c r="G88" s="3" t="str">
        <f t="shared" si="1"/>
        <v>028COTOPAXI</v>
      </c>
      <c r="H88" s="3">
        <v>4440</v>
      </c>
      <c r="I88" s="3">
        <v>5305</v>
      </c>
      <c r="J88" s="3">
        <v>4942</v>
      </c>
      <c r="K88" s="3">
        <v>2852.5250000000001</v>
      </c>
      <c r="L88" s="3">
        <v>20800</v>
      </c>
      <c r="M88" s="11">
        <f>+H88/K88</f>
        <v>1.5565157185300742</v>
      </c>
    </row>
    <row r="89" spans="1:13">
      <c r="A89" s="9">
        <v>2025</v>
      </c>
      <c r="B89" s="3">
        <v>11</v>
      </c>
      <c r="C89" s="3" t="s">
        <v>11</v>
      </c>
      <c r="D89" s="3" t="s">
        <v>8</v>
      </c>
      <c r="E89" s="3" t="s">
        <v>19</v>
      </c>
      <c r="F89" s="3" t="s">
        <v>21</v>
      </c>
      <c r="G89" s="3" t="str">
        <f t="shared" si="1"/>
        <v>028DEEP PURPLE</v>
      </c>
      <c r="H89" s="3">
        <v>3690</v>
      </c>
      <c r="I89" s="3">
        <v>5253</v>
      </c>
      <c r="J89" s="3">
        <v>7455</v>
      </c>
      <c r="K89" s="3">
        <v>2852.5250000000001</v>
      </c>
      <c r="L89" s="3">
        <v>20800</v>
      </c>
      <c r="M89" s="11">
        <f>+H89/K89</f>
        <v>1.2935907660756698</v>
      </c>
    </row>
    <row r="90" spans="1:13">
      <c r="A90" s="9">
        <v>2025</v>
      </c>
      <c r="B90" s="3">
        <v>12</v>
      </c>
      <c r="C90" s="3" t="s">
        <v>7</v>
      </c>
      <c r="D90" s="3" t="s">
        <v>8</v>
      </c>
      <c r="E90" s="3" t="s">
        <v>9</v>
      </c>
      <c r="F90" s="3" t="s">
        <v>10</v>
      </c>
      <c r="G90" s="3" t="str">
        <f t="shared" si="1"/>
        <v>026PURPLE BUBBLY</v>
      </c>
      <c r="H90" s="3">
        <v>540</v>
      </c>
      <c r="I90" s="3">
        <v>6049</v>
      </c>
      <c r="J90" s="3">
        <v>6049</v>
      </c>
      <c r="K90" s="3">
        <v>1755.4</v>
      </c>
      <c r="L90" s="3">
        <v>12800</v>
      </c>
      <c r="M90" s="11">
        <f>+H90/K90</f>
        <v>0.30762219437165317</v>
      </c>
    </row>
    <row r="91" spans="1:13">
      <c r="A91" s="9">
        <v>2025</v>
      </c>
      <c r="B91" s="3">
        <v>12</v>
      </c>
      <c r="C91" s="3" t="s">
        <v>11</v>
      </c>
      <c r="D91" s="3" t="s">
        <v>8</v>
      </c>
      <c r="E91" s="3" t="s">
        <v>12</v>
      </c>
      <c r="F91" s="3" t="s">
        <v>13</v>
      </c>
      <c r="G91" s="3" t="str">
        <f t="shared" si="1"/>
        <v>025PINK MONDIAL</v>
      </c>
      <c r="H91" s="3">
        <v>4750</v>
      </c>
      <c r="I91" s="3">
        <v>14454</v>
      </c>
      <c r="J91" s="3">
        <v>15215</v>
      </c>
      <c r="K91" s="3">
        <v>3071.9505625000002</v>
      </c>
      <c r="L91" s="3">
        <v>22400</v>
      </c>
      <c r="M91" s="11">
        <f>+H91/K91</f>
        <v>1.546248842017294</v>
      </c>
    </row>
    <row r="92" spans="1:13">
      <c r="A92" s="9">
        <v>2025</v>
      </c>
      <c r="B92" s="3">
        <v>12</v>
      </c>
      <c r="C92" s="3" t="s">
        <v>11</v>
      </c>
      <c r="D92" s="3" t="s">
        <v>8</v>
      </c>
      <c r="E92" s="3" t="s">
        <v>9</v>
      </c>
      <c r="F92" s="3" t="s">
        <v>14</v>
      </c>
      <c r="G92" s="3" t="str">
        <f t="shared" si="1"/>
        <v>026LOLA</v>
      </c>
      <c r="H92" s="3">
        <v>3180</v>
      </c>
      <c r="I92" s="3">
        <v>21672</v>
      </c>
      <c r="J92" s="3">
        <v>21672</v>
      </c>
      <c r="K92" s="3">
        <v>1097.125</v>
      </c>
      <c r="L92" s="3">
        <v>8000</v>
      </c>
      <c r="M92" s="11">
        <f>+H92/K92</f>
        <v>2.8984846758573544</v>
      </c>
    </row>
    <row r="93" spans="1:13">
      <c r="A93" s="9">
        <v>2025</v>
      </c>
      <c r="B93" s="3">
        <v>12</v>
      </c>
      <c r="C93" s="3" t="s">
        <v>11</v>
      </c>
      <c r="D93" s="3" t="s">
        <v>8</v>
      </c>
      <c r="E93" s="3" t="s">
        <v>9</v>
      </c>
      <c r="F93" s="3" t="s">
        <v>15</v>
      </c>
      <c r="G93" s="3" t="str">
        <f t="shared" si="1"/>
        <v>026PALOMA</v>
      </c>
      <c r="H93" s="3">
        <v>4360</v>
      </c>
      <c r="I93" s="3">
        <v>17480</v>
      </c>
      <c r="J93" s="3">
        <v>17480</v>
      </c>
      <c r="K93" s="3">
        <v>2852.5250000000001</v>
      </c>
      <c r="L93" s="3">
        <v>20800</v>
      </c>
      <c r="M93" s="11">
        <f>+H93/K93</f>
        <v>1.528470390268271</v>
      </c>
    </row>
    <row r="94" spans="1:13">
      <c r="A94" s="9">
        <v>2025</v>
      </c>
      <c r="B94" s="3">
        <v>12</v>
      </c>
      <c r="C94" s="3" t="s">
        <v>11</v>
      </c>
      <c r="D94" s="3" t="s">
        <v>8</v>
      </c>
      <c r="E94" s="3" t="s">
        <v>16</v>
      </c>
      <c r="F94" s="3" t="s">
        <v>17</v>
      </c>
      <c r="G94" s="3" t="str">
        <f t="shared" si="1"/>
        <v>027SATISFACTION</v>
      </c>
      <c r="H94" s="3">
        <v>3030</v>
      </c>
      <c r="I94" s="3">
        <v>11537</v>
      </c>
      <c r="J94" s="3">
        <v>10488</v>
      </c>
      <c r="K94" s="3">
        <v>2633.1</v>
      </c>
      <c r="L94" s="3">
        <v>19200</v>
      </c>
      <c r="M94" s="11">
        <f>+H94/K94</f>
        <v>1.15073487524211</v>
      </c>
    </row>
    <row r="95" spans="1:13">
      <c r="A95" s="9">
        <v>2025</v>
      </c>
      <c r="B95" s="3">
        <v>12</v>
      </c>
      <c r="C95" s="3" t="s">
        <v>11</v>
      </c>
      <c r="D95" s="3" t="s">
        <v>8</v>
      </c>
      <c r="E95" s="3" t="s">
        <v>16</v>
      </c>
      <c r="F95" s="3" t="s">
        <v>18</v>
      </c>
      <c r="G95" s="3" t="str">
        <f t="shared" si="1"/>
        <v>027TIFFANY!</v>
      </c>
      <c r="H95" s="3">
        <v>3510</v>
      </c>
      <c r="I95" s="3">
        <v>7586</v>
      </c>
      <c r="J95" s="3">
        <v>10845</v>
      </c>
      <c r="K95" s="3">
        <v>2633.1</v>
      </c>
      <c r="L95" s="3">
        <v>19200</v>
      </c>
      <c r="M95" s="11">
        <f>+H95/K95</f>
        <v>1.3330295089438304</v>
      </c>
    </row>
    <row r="96" spans="1:13">
      <c r="A96" s="9">
        <v>2025</v>
      </c>
      <c r="B96" s="3">
        <v>12</v>
      </c>
      <c r="C96" s="3" t="s">
        <v>11</v>
      </c>
      <c r="D96" s="3" t="s">
        <v>8</v>
      </c>
      <c r="E96" s="3" t="s">
        <v>19</v>
      </c>
      <c r="F96" s="3" t="s">
        <v>20</v>
      </c>
      <c r="G96" s="3" t="str">
        <f t="shared" si="1"/>
        <v>028COTOPAXI</v>
      </c>
      <c r="H96" s="3">
        <v>5880</v>
      </c>
      <c r="I96" s="3">
        <v>6393</v>
      </c>
      <c r="J96" s="3">
        <v>6628</v>
      </c>
      <c r="K96" s="3">
        <v>2852.5250000000001</v>
      </c>
      <c r="L96" s="3">
        <v>20800</v>
      </c>
      <c r="M96" s="11">
        <f>+H96/K96</f>
        <v>2.0613316272425308</v>
      </c>
    </row>
    <row r="97" spans="1:13">
      <c r="A97" s="9">
        <v>2025</v>
      </c>
      <c r="B97" s="3">
        <v>12</v>
      </c>
      <c r="C97" s="3" t="s">
        <v>11</v>
      </c>
      <c r="D97" s="3" t="s">
        <v>8</v>
      </c>
      <c r="E97" s="3" t="s">
        <v>19</v>
      </c>
      <c r="F97" s="3" t="s">
        <v>21</v>
      </c>
      <c r="G97" s="3" t="str">
        <f t="shared" si="1"/>
        <v>028DEEP PURPLE</v>
      </c>
      <c r="H97" s="3">
        <v>2970</v>
      </c>
      <c r="I97" s="3">
        <v>6127</v>
      </c>
      <c r="J97" s="3">
        <v>5760</v>
      </c>
      <c r="K97" s="3">
        <v>2852.5250000000001</v>
      </c>
      <c r="L97" s="3">
        <v>20800</v>
      </c>
      <c r="M97" s="11">
        <f>+H97/K97</f>
        <v>1.0411828117194415</v>
      </c>
    </row>
    <row r="98" spans="1:13">
      <c r="A98" s="9">
        <v>2025</v>
      </c>
      <c r="B98" s="3">
        <v>13</v>
      </c>
      <c r="C98" s="3" t="s">
        <v>7</v>
      </c>
      <c r="D98" s="3" t="s">
        <v>8</v>
      </c>
      <c r="E98" s="3" t="s">
        <v>9</v>
      </c>
      <c r="F98" s="3" t="s">
        <v>10</v>
      </c>
      <c r="G98" s="3" t="str">
        <f t="shared" si="1"/>
        <v>026PURPLE BUBBLY</v>
      </c>
      <c r="H98" s="3">
        <v>560</v>
      </c>
      <c r="I98" s="3">
        <v>6360</v>
      </c>
      <c r="J98" s="3">
        <v>6360</v>
      </c>
      <c r="K98" s="3">
        <v>1755.4</v>
      </c>
      <c r="L98" s="3">
        <v>12800</v>
      </c>
      <c r="M98" s="11">
        <f>+H98/K98</f>
        <v>0.31901560897801068</v>
      </c>
    </row>
    <row r="99" spans="1:13">
      <c r="A99" s="9">
        <v>2025</v>
      </c>
      <c r="B99" s="3">
        <v>13</v>
      </c>
      <c r="C99" s="3" t="s">
        <v>11</v>
      </c>
      <c r="D99" s="3" t="s">
        <v>8</v>
      </c>
      <c r="E99" s="3" t="s">
        <v>12</v>
      </c>
      <c r="F99" s="3" t="s">
        <v>13</v>
      </c>
      <c r="G99" s="3" t="str">
        <f t="shared" si="1"/>
        <v>025PINK MONDIAL</v>
      </c>
      <c r="H99" s="3">
        <v>4775</v>
      </c>
      <c r="I99" s="3">
        <v>3901</v>
      </c>
      <c r="J99" s="3">
        <v>7392</v>
      </c>
      <c r="K99" s="3">
        <v>3071.9505625000002</v>
      </c>
      <c r="L99" s="3">
        <v>22400</v>
      </c>
      <c r="M99" s="11">
        <f>+H99/K99</f>
        <v>1.5543869938173849</v>
      </c>
    </row>
    <row r="100" spans="1:13">
      <c r="A100" s="9">
        <v>2025</v>
      </c>
      <c r="B100" s="3">
        <v>13</v>
      </c>
      <c r="C100" s="3" t="s">
        <v>11</v>
      </c>
      <c r="D100" s="3" t="s">
        <v>8</v>
      </c>
      <c r="E100" s="3" t="s">
        <v>9</v>
      </c>
      <c r="F100" s="3" t="s">
        <v>14</v>
      </c>
      <c r="G100" s="3" t="str">
        <f t="shared" si="1"/>
        <v>026LOLA</v>
      </c>
      <c r="H100" s="3">
        <v>3240</v>
      </c>
      <c r="I100" s="3">
        <v>4410</v>
      </c>
      <c r="J100" s="3">
        <v>4410</v>
      </c>
      <c r="K100" s="3">
        <v>1097.125</v>
      </c>
      <c r="L100" s="3">
        <v>8000</v>
      </c>
      <c r="M100" s="11">
        <f>+H100/K100</f>
        <v>2.9531730659678708</v>
      </c>
    </row>
    <row r="101" spans="1:13">
      <c r="A101" s="9">
        <v>2025</v>
      </c>
      <c r="B101" s="3">
        <v>13</v>
      </c>
      <c r="C101" s="3" t="s">
        <v>11</v>
      </c>
      <c r="D101" s="3" t="s">
        <v>8</v>
      </c>
      <c r="E101" s="3" t="s">
        <v>9</v>
      </c>
      <c r="F101" s="3" t="s">
        <v>15</v>
      </c>
      <c r="G101" s="3" t="str">
        <f t="shared" si="1"/>
        <v>026PALOMA</v>
      </c>
      <c r="H101" s="3">
        <v>4080</v>
      </c>
      <c r="I101" s="3">
        <v>3715</v>
      </c>
      <c r="J101" s="3">
        <v>7871</v>
      </c>
      <c r="K101" s="3">
        <v>2852.5250000000001</v>
      </c>
      <c r="L101" s="3">
        <v>20800</v>
      </c>
      <c r="M101" s="11">
        <f>+H101/K101</f>
        <v>1.4303117413519602</v>
      </c>
    </row>
    <row r="102" spans="1:13">
      <c r="A102" s="9">
        <v>2025</v>
      </c>
      <c r="B102" s="3">
        <v>13</v>
      </c>
      <c r="C102" s="3" t="s">
        <v>11</v>
      </c>
      <c r="D102" s="3" t="s">
        <v>8</v>
      </c>
      <c r="E102" s="3" t="s">
        <v>16</v>
      </c>
      <c r="F102" s="3" t="s">
        <v>17</v>
      </c>
      <c r="G102" s="3" t="str">
        <f t="shared" si="1"/>
        <v>027SATISFACTION</v>
      </c>
      <c r="H102" s="3">
        <v>3240</v>
      </c>
      <c r="I102" s="3">
        <v>3990</v>
      </c>
      <c r="J102" s="3">
        <v>4200</v>
      </c>
      <c r="K102" s="3">
        <v>2633.1</v>
      </c>
      <c r="L102" s="3">
        <v>19200</v>
      </c>
      <c r="M102" s="11">
        <f>+H102/K102</f>
        <v>1.2304887774866127</v>
      </c>
    </row>
    <row r="103" spans="1:13">
      <c r="A103" s="9">
        <v>2025</v>
      </c>
      <c r="B103" s="3">
        <v>13</v>
      </c>
      <c r="C103" s="3" t="s">
        <v>11</v>
      </c>
      <c r="D103" s="3" t="s">
        <v>8</v>
      </c>
      <c r="E103" s="3" t="s">
        <v>16</v>
      </c>
      <c r="F103" s="3" t="s">
        <v>18</v>
      </c>
      <c r="G103" s="3" t="str">
        <f t="shared" si="1"/>
        <v>027TIFFANY!</v>
      </c>
      <c r="H103" s="3">
        <v>3720</v>
      </c>
      <c r="I103" s="3">
        <v>4800</v>
      </c>
      <c r="J103" s="3">
        <v>3780</v>
      </c>
      <c r="K103" s="3">
        <v>2633.1</v>
      </c>
      <c r="L103" s="3">
        <v>19200</v>
      </c>
      <c r="M103" s="11">
        <f>+H103/K103</f>
        <v>1.4127834111883333</v>
      </c>
    </row>
    <row r="104" spans="1:13">
      <c r="A104" s="9">
        <v>2025</v>
      </c>
      <c r="B104" s="3">
        <v>13</v>
      </c>
      <c r="C104" s="3" t="s">
        <v>11</v>
      </c>
      <c r="D104" s="3" t="s">
        <v>8</v>
      </c>
      <c r="E104" s="3" t="s">
        <v>19</v>
      </c>
      <c r="F104" s="3" t="s">
        <v>20</v>
      </c>
      <c r="G104" s="3" t="str">
        <f t="shared" si="1"/>
        <v>028COTOPAXI</v>
      </c>
      <c r="H104" s="3">
        <v>6390</v>
      </c>
      <c r="I104" s="3">
        <v>7273</v>
      </c>
      <c r="J104" s="3">
        <v>5915</v>
      </c>
      <c r="K104" s="3">
        <v>2852.5250000000001</v>
      </c>
      <c r="L104" s="3">
        <v>20800</v>
      </c>
      <c r="M104" s="11">
        <f>+H104/K104</f>
        <v>2.2401205949115255</v>
      </c>
    </row>
    <row r="105" spans="1:13">
      <c r="A105" s="9">
        <v>2025</v>
      </c>
      <c r="B105" s="3">
        <v>13</v>
      </c>
      <c r="C105" s="3" t="s">
        <v>11</v>
      </c>
      <c r="D105" s="3" t="s">
        <v>8</v>
      </c>
      <c r="E105" s="3" t="s">
        <v>19</v>
      </c>
      <c r="F105" s="3" t="s">
        <v>21</v>
      </c>
      <c r="G105" s="3" t="str">
        <f t="shared" si="1"/>
        <v>028DEEP PURPLE</v>
      </c>
      <c r="H105" s="3">
        <v>2940</v>
      </c>
      <c r="I105" s="3">
        <v>10380</v>
      </c>
      <c r="J105" s="3">
        <v>9158</v>
      </c>
      <c r="K105" s="3">
        <v>2852.5250000000001</v>
      </c>
      <c r="L105" s="3">
        <v>20800</v>
      </c>
      <c r="M105" s="11">
        <f>+H105/K105</f>
        <v>1.0306658136212654</v>
      </c>
    </row>
    <row r="106" spans="1:13">
      <c r="A106" s="9">
        <v>2025</v>
      </c>
      <c r="B106" s="3">
        <v>14</v>
      </c>
      <c r="C106" s="3" t="s">
        <v>7</v>
      </c>
      <c r="D106" s="3" t="s">
        <v>8</v>
      </c>
      <c r="E106" s="3" t="s">
        <v>9</v>
      </c>
      <c r="F106" s="3" t="s">
        <v>10</v>
      </c>
      <c r="G106" s="3" t="str">
        <f t="shared" si="1"/>
        <v>026PURPLE BUBBLY</v>
      </c>
      <c r="H106" s="3">
        <v>480</v>
      </c>
      <c r="I106" s="3">
        <v>12441</v>
      </c>
      <c r="J106" s="3">
        <v>10712</v>
      </c>
      <c r="K106" s="3">
        <v>1755.4</v>
      </c>
      <c r="L106" s="3">
        <v>12800</v>
      </c>
      <c r="M106" s="11">
        <f>+H106/K106</f>
        <v>0.27344195055258058</v>
      </c>
    </row>
    <row r="107" spans="1:13">
      <c r="A107" s="9">
        <v>2025</v>
      </c>
      <c r="B107" s="3">
        <v>14</v>
      </c>
      <c r="C107" s="3" t="s">
        <v>11</v>
      </c>
      <c r="D107" s="3" t="s">
        <v>8</v>
      </c>
      <c r="E107" s="3" t="s">
        <v>12</v>
      </c>
      <c r="F107" s="3" t="s">
        <v>13</v>
      </c>
      <c r="G107" s="3" t="str">
        <f t="shared" si="1"/>
        <v>025PINK MONDIAL</v>
      </c>
      <c r="H107" s="3">
        <v>3825</v>
      </c>
      <c r="I107" s="3">
        <v>13170</v>
      </c>
      <c r="J107" s="3">
        <v>12813</v>
      </c>
      <c r="K107" s="3">
        <v>3071.9505625000002</v>
      </c>
      <c r="L107" s="3">
        <v>22400</v>
      </c>
      <c r="M107" s="11">
        <f>+H107/K107</f>
        <v>1.2451372254139261</v>
      </c>
    </row>
    <row r="108" spans="1:13">
      <c r="A108" s="9">
        <v>2025</v>
      </c>
      <c r="B108" s="3">
        <v>14</v>
      </c>
      <c r="C108" s="3" t="s">
        <v>11</v>
      </c>
      <c r="D108" s="3" t="s">
        <v>8</v>
      </c>
      <c r="E108" s="3" t="s">
        <v>9</v>
      </c>
      <c r="F108" s="3" t="s">
        <v>14</v>
      </c>
      <c r="G108" s="3" t="str">
        <f t="shared" si="1"/>
        <v>026LOLA</v>
      </c>
      <c r="H108" s="3">
        <v>3140</v>
      </c>
      <c r="I108" s="3">
        <v>10537</v>
      </c>
      <c r="J108" s="3">
        <v>11515</v>
      </c>
      <c r="K108" s="3">
        <v>1097.125</v>
      </c>
      <c r="L108" s="3">
        <v>8000</v>
      </c>
      <c r="M108" s="11">
        <f>+H108/K108</f>
        <v>2.8620257491170102</v>
      </c>
    </row>
    <row r="109" spans="1:13">
      <c r="A109" s="9">
        <v>2025</v>
      </c>
      <c r="B109" s="3">
        <v>14</v>
      </c>
      <c r="C109" s="3" t="s">
        <v>11</v>
      </c>
      <c r="D109" s="3" t="s">
        <v>8</v>
      </c>
      <c r="E109" s="3" t="s">
        <v>9</v>
      </c>
      <c r="F109" s="3" t="s">
        <v>15</v>
      </c>
      <c r="G109" s="3" t="str">
        <f t="shared" si="1"/>
        <v>026PALOMA</v>
      </c>
      <c r="H109" s="3">
        <v>3040</v>
      </c>
      <c r="I109" s="3">
        <v>9070</v>
      </c>
      <c r="J109" s="3">
        <v>10403</v>
      </c>
      <c r="K109" s="3">
        <v>2852.5250000000001</v>
      </c>
      <c r="L109" s="3">
        <v>20800</v>
      </c>
      <c r="M109" s="11">
        <f>+H109/K109</f>
        <v>1.0657224739485192</v>
      </c>
    </row>
    <row r="110" spans="1:13">
      <c r="A110" s="9">
        <v>2025</v>
      </c>
      <c r="B110" s="3">
        <v>14</v>
      </c>
      <c r="C110" s="3" t="s">
        <v>11</v>
      </c>
      <c r="D110" s="3" t="s">
        <v>8</v>
      </c>
      <c r="E110" s="3" t="s">
        <v>16</v>
      </c>
      <c r="F110" s="3" t="s">
        <v>17</v>
      </c>
      <c r="G110" s="3" t="str">
        <f t="shared" si="1"/>
        <v>027SATISFACTION</v>
      </c>
      <c r="H110" s="3">
        <v>3660</v>
      </c>
      <c r="I110" s="3">
        <v>9018</v>
      </c>
      <c r="J110" s="3">
        <v>8885</v>
      </c>
      <c r="K110" s="3">
        <v>2633.1</v>
      </c>
      <c r="L110" s="3">
        <v>19200</v>
      </c>
      <c r="M110" s="11">
        <f>+H110/K110</f>
        <v>1.3899965819756182</v>
      </c>
    </row>
    <row r="111" spans="1:13">
      <c r="A111" s="9">
        <v>2025</v>
      </c>
      <c r="B111" s="3">
        <v>14</v>
      </c>
      <c r="C111" s="3" t="s">
        <v>11</v>
      </c>
      <c r="D111" s="3" t="s">
        <v>8</v>
      </c>
      <c r="E111" s="3" t="s">
        <v>16</v>
      </c>
      <c r="F111" s="3" t="s">
        <v>18</v>
      </c>
      <c r="G111" s="3" t="str">
        <f t="shared" si="1"/>
        <v>027TIFFANY!</v>
      </c>
      <c r="H111" s="3">
        <v>3900</v>
      </c>
      <c r="I111" s="3">
        <v>9105</v>
      </c>
      <c r="J111" s="3">
        <v>8172</v>
      </c>
      <c r="K111" s="3">
        <v>2633.1</v>
      </c>
      <c r="L111" s="3">
        <v>19200</v>
      </c>
      <c r="M111" s="11">
        <f>+H111/K111</f>
        <v>1.4811438988264785</v>
      </c>
    </row>
    <row r="112" spans="1:13">
      <c r="A112" s="9">
        <v>2025</v>
      </c>
      <c r="B112" s="3">
        <v>14</v>
      </c>
      <c r="C112" s="3" t="s">
        <v>11</v>
      </c>
      <c r="D112" s="3" t="s">
        <v>8</v>
      </c>
      <c r="E112" s="3" t="s">
        <v>19</v>
      </c>
      <c r="F112" s="3" t="s">
        <v>20</v>
      </c>
      <c r="G112" s="3" t="str">
        <f t="shared" si="1"/>
        <v>028COTOPAXI</v>
      </c>
      <c r="H112" s="3">
        <v>5160</v>
      </c>
      <c r="I112" s="3">
        <v>6560</v>
      </c>
      <c r="J112" s="3">
        <v>8094</v>
      </c>
      <c r="K112" s="3">
        <v>2852.5250000000001</v>
      </c>
      <c r="L112" s="3">
        <v>20800</v>
      </c>
      <c r="M112" s="11">
        <f>+H112/K112</f>
        <v>1.8089236728863025</v>
      </c>
    </row>
    <row r="113" spans="1:13">
      <c r="A113" s="9">
        <v>2025</v>
      </c>
      <c r="B113" s="3">
        <v>14</v>
      </c>
      <c r="C113" s="3" t="s">
        <v>11</v>
      </c>
      <c r="D113" s="3" t="s">
        <v>8</v>
      </c>
      <c r="E113" s="3" t="s">
        <v>19</v>
      </c>
      <c r="F113" s="3" t="s">
        <v>21</v>
      </c>
      <c r="G113" s="3" t="str">
        <f t="shared" si="1"/>
        <v>028DEEP PURPLE</v>
      </c>
      <c r="H113" s="3">
        <v>2820</v>
      </c>
      <c r="I113" s="3">
        <v>6138</v>
      </c>
      <c r="J113" s="3">
        <v>6448</v>
      </c>
      <c r="K113" s="3">
        <v>2852.5250000000001</v>
      </c>
      <c r="L113" s="3">
        <v>20800</v>
      </c>
      <c r="M113" s="11">
        <f>+H113/K113</f>
        <v>0.98859782122856066</v>
      </c>
    </row>
    <row r="114" spans="1:13">
      <c r="A114" s="9">
        <v>2025</v>
      </c>
      <c r="B114" s="3">
        <v>15</v>
      </c>
      <c r="C114" s="3" t="s">
        <v>7</v>
      </c>
      <c r="D114" s="3" t="s">
        <v>8</v>
      </c>
      <c r="E114" s="3" t="s">
        <v>9</v>
      </c>
      <c r="F114" s="3" t="s">
        <v>10</v>
      </c>
      <c r="G114" s="3" t="str">
        <f t="shared" si="1"/>
        <v>026PURPLE BUBBLY</v>
      </c>
      <c r="H114" s="3">
        <v>510</v>
      </c>
      <c r="I114" s="3">
        <v>8349</v>
      </c>
      <c r="J114" s="3">
        <v>6334</v>
      </c>
      <c r="K114" s="3">
        <v>1755.4</v>
      </c>
      <c r="L114" s="3">
        <v>12800</v>
      </c>
      <c r="M114" s="11">
        <f>+H114/K114</f>
        <v>0.29053207246211687</v>
      </c>
    </row>
    <row r="115" spans="1:13">
      <c r="A115" s="9">
        <v>2025</v>
      </c>
      <c r="B115" s="3">
        <v>15</v>
      </c>
      <c r="C115" s="3" t="s">
        <v>11</v>
      </c>
      <c r="D115" s="3" t="s">
        <v>8</v>
      </c>
      <c r="E115" s="3" t="s">
        <v>12</v>
      </c>
      <c r="F115" s="3" t="s">
        <v>13</v>
      </c>
      <c r="G115" s="3" t="str">
        <f t="shared" si="1"/>
        <v>025PINK MONDIAL</v>
      </c>
      <c r="H115" s="3">
        <v>3625</v>
      </c>
      <c r="I115" s="3">
        <v>8965</v>
      </c>
      <c r="J115" s="3">
        <v>8671</v>
      </c>
      <c r="K115" s="3">
        <v>3071.9505625000002</v>
      </c>
      <c r="L115" s="3">
        <v>22400</v>
      </c>
      <c r="M115" s="11">
        <f>+H115/K115</f>
        <v>1.1800320110131981</v>
      </c>
    </row>
    <row r="116" spans="1:13">
      <c r="A116" s="9">
        <v>2025</v>
      </c>
      <c r="B116" s="3">
        <v>15</v>
      </c>
      <c r="C116" s="3" t="s">
        <v>11</v>
      </c>
      <c r="D116" s="3" t="s">
        <v>8</v>
      </c>
      <c r="E116" s="3" t="s">
        <v>9</v>
      </c>
      <c r="F116" s="3" t="s">
        <v>14</v>
      </c>
      <c r="G116" s="3" t="str">
        <f t="shared" si="1"/>
        <v>026LOLA</v>
      </c>
      <c r="H116" s="3">
        <v>4440</v>
      </c>
      <c r="I116" s="3">
        <v>9665</v>
      </c>
      <c r="J116" s="3">
        <v>10289</v>
      </c>
      <c r="K116" s="3">
        <v>1097.125</v>
      </c>
      <c r="L116" s="3">
        <v>8000</v>
      </c>
      <c r="M116" s="11">
        <f>+H116/K116</f>
        <v>4.0469408681781927</v>
      </c>
    </row>
    <row r="117" spans="1:13">
      <c r="A117" s="9">
        <v>2025</v>
      </c>
      <c r="B117" s="3">
        <v>15</v>
      </c>
      <c r="C117" s="3" t="s">
        <v>11</v>
      </c>
      <c r="D117" s="3" t="s">
        <v>8</v>
      </c>
      <c r="E117" s="3" t="s">
        <v>9</v>
      </c>
      <c r="F117" s="3" t="s">
        <v>15</v>
      </c>
      <c r="G117" s="3" t="str">
        <f t="shared" si="1"/>
        <v>026PALOMA</v>
      </c>
      <c r="H117" s="3">
        <v>4320</v>
      </c>
      <c r="I117" s="3">
        <v>9787</v>
      </c>
      <c r="J117" s="3">
        <v>10678</v>
      </c>
      <c r="K117" s="3">
        <v>2852.5250000000001</v>
      </c>
      <c r="L117" s="3">
        <v>20800</v>
      </c>
      <c r="M117" s="11">
        <f>+H117/K117</f>
        <v>1.5144477261373694</v>
      </c>
    </row>
    <row r="118" spans="1:13">
      <c r="A118" s="9">
        <v>2025</v>
      </c>
      <c r="B118" s="3">
        <v>15</v>
      </c>
      <c r="C118" s="3" t="s">
        <v>11</v>
      </c>
      <c r="D118" s="3" t="s">
        <v>8</v>
      </c>
      <c r="E118" s="3" t="s">
        <v>16</v>
      </c>
      <c r="F118" s="3" t="s">
        <v>17</v>
      </c>
      <c r="G118" s="3" t="str">
        <f t="shared" si="1"/>
        <v>027SATISFACTION</v>
      </c>
      <c r="H118" s="3">
        <v>3030</v>
      </c>
      <c r="I118" s="3">
        <v>10303</v>
      </c>
      <c r="J118" s="3">
        <v>11188</v>
      </c>
      <c r="K118" s="3">
        <v>2633.1</v>
      </c>
      <c r="L118" s="3">
        <v>19200</v>
      </c>
      <c r="M118" s="11">
        <f>+H118/K118</f>
        <v>1.15073487524211</v>
      </c>
    </row>
    <row r="119" spans="1:13">
      <c r="A119" s="9">
        <v>2025</v>
      </c>
      <c r="B119" s="3">
        <v>15</v>
      </c>
      <c r="C119" s="3" t="s">
        <v>11</v>
      </c>
      <c r="D119" s="3" t="s">
        <v>8</v>
      </c>
      <c r="E119" s="3" t="s">
        <v>16</v>
      </c>
      <c r="F119" s="3" t="s">
        <v>18</v>
      </c>
      <c r="G119" s="3" t="str">
        <f t="shared" si="1"/>
        <v>027TIFFANY!</v>
      </c>
      <c r="H119" s="3">
        <v>3210</v>
      </c>
      <c r="I119" s="3">
        <v>10637</v>
      </c>
      <c r="J119" s="3">
        <v>10621</v>
      </c>
      <c r="K119" s="3">
        <v>2633.1</v>
      </c>
      <c r="L119" s="3">
        <v>19200</v>
      </c>
      <c r="M119" s="11">
        <f>+H119/K119</f>
        <v>1.2190953628802552</v>
      </c>
    </row>
    <row r="120" spans="1:13">
      <c r="A120" s="9">
        <v>2025</v>
      </c>
      <c r="B120" s="3">
        <v>15</v>
      </c>
      <c r="C120" s="3" t="s">
        <v>11</v>
      </c>
      <c r="D120" s="3" t="s">
        <v>8</v>
      </c>
      <c r="E120" s="3" t="s">
        <v>19</v>
      </c>
      <c r="F120" s="3" t="s">
        <v>20</v>
      </c>
      <c r="G120" s="3" t="str">
        <f t="shared" si="1"/>
        <v>028COTOPAXI</v>
      </c>
      <c r="H120" s="3">
        <v>5370</v>
      </c>
      <c r="I120" s="3">
        <v>8214</v>
      </c>
      <c r="J120" s="3">
        <v>9173</v>
      </c>
      <c r="K120" s="3">
        <v>2852.5250000000001</v>
      </c>
      <c r="L120" s="3">
        <v>20800</v>
      </c>
      <c r="M120" s="11">
        <f>+H120/K120</f>
        <v>1.8825426595735357</v>
      </c>
    </row>
    <row r="121" spans="1:13">
      <c r="A121" s="9">
        <v>2025</v>
      </c>
      <c r="B121" s="3">
        <v>15</v>
      </c>
      <c r="C121" s="3" t="s">
        <v>11</v>
      </c>
      <c r="D121" s="3" t="s">
        <v>8</v>
      </c>
      <c r="E121" s="3" t="s">
        <v>19</v>
      </c>
      <c r="F121" s="3" t="s">
        <v>21</v>
      </c>
      <c r="G121" s="3" t="str">
        <f t="shared" si="1"/>
        <v>028DEEP PURPLE</v>
      </c>
      <c r="H121" s="3">
        <v>4980</v>
      </c>
      <c r="I121" s="3">
        <v>7565</v>
      </c>
      <c r="J121" s="3">
        <v>7117</v>
      </c>
      <c r="K121" s="3">
        <v>2852.5250000000001</v>
      </c>
      <c r="L121" s="3">
        <v>20800</v>
      </c>
      <c r="M121" s="11">
        <f>+H121/K121</f>
        <v>1.7458216842972454</v>
      </c>
    </row>
    <row r="122" spans="1:13">
      <c r="A122" s="9">
        <v>2025</v>
      </c>
      <c r="B122" s="3">
        <v>16</v>
      </c>
      <c r="C122" s="3" t="s">
        <v>7</v>
      </c>
      <c r="D122" s="3" t="s">
        <v>8</v>
      </c>
      <c r="E122" s="3" t="s">
        <v>9</v>
      </c>
      <c r="F122" s="3" t="s">
        <v>10</v>
      </c>
      <c r="G122" s="3" t="str">
        <f t="shared" si="1"/>
        <v>026PURPLE BUBBLY</v>
      </c>
      <c r="H122" s="3">
        <v>1000</v>
      </c>
      <c r="I122" s="3">
        <v>7039</v>
      </c>
      <c r="J122" s="3">
        <v>7135</v>
      </c>
      <c r="K122" s="3">
        <v>1755.4</v>
      </c>
      <c r="L122" s="3">
        <v>12800</v>
      </c>
      <c r="M122" s="11">
        <f>+H122/K122</f>
        <v>0.56967073031787618</v>
      </c>
    </row>
    <row r="123" spans="1:13">
      <c r="A123" s="9">
        <v>2025</v>
      </c>
      <c r="B123" s="3">
        <v>16</v>
      </c>
      <c r="C123" s="3" t="s">
        <v>11</v>
      </c>
      <c r="D123" s="3" t="s">
        <v>8</v>
      </c>
      <c r="E123" s="3" t="s">
        <v>12</v>
      </c>
      <c r="F123" s="3" t="s">
        <v>13</v>
      </c>
      <c r="G123" s="3" t="str">
        <f t="shared" si="1"/>
        <v>025PINK MONDIAL</v>
      </c>
      <c r="H123" s="3">
        <v>5275</v>
      </c>
      <c r="I123" s="3">
        <v>7312</v>
      </c>
      <c r="J123" s="3">
        <v>7384</v>
      </c>
      <c r="K123" s="3">
        <v>3071.9505625000002</v>
      </c>
      <c r="L123" s="3">
        <v>22400</v>
      </c>
      <c r="M123" s="11">
        <f>+H123/K123</f>
        <v>1.7171500298192053</v>
      </c>
    </row>
    <row r="124" spans="1:13">
      <c r="A124" s="9">
        <v>2025</v>
      </c>
      <c r="B124" s="3">
        <v>16</v>
      </c>
      <c r="C124" s="3" t="s">
        <v>11</v>
      </c>
      <c r="D124" s="3" t="s">
        <v>8</v>
      </c>
      <c r="E124" s="3" t="s">
        <v>9</v>
      </c>
      <c r="F124" s="3" t="s">
        <v>14</v>
      </c>
      <c r="G124" s="3" t="str">
        <f t="shared" si="1"/>
        <v>026LOLA</v>
      </c>
      <c r="H124" s="3">
        <v>9120</v>
      </c>
      <c r="I124" s="3">
        <v>8551</v>
      </c>
      <c r="J124" s="3">
        <v>7226</v>
      </c>
      <c r="K124" s="3">
        <v>1097.125</v>
      </c>
      <c r="L124" s="3">
        <v>8000</v>
      </c>
      <c r="M124" s="11">
        <f>+H124/K124</f>
        <v>8.3126352967984509</v>
      </c>
    </row>
    <row r="125" spans="1:13">
      <c r="A125" s="9">
        <v>2025</v>
      </c>
      <c r="B125" s="3">
        <v>16</v>
      </c>
      <c r="C125" s="3" t="s">
        <v>11</v>
      </c>
      <c r="D125" s="3" t="s">
        <v>8</v>
      </c>
      <c r="E125" s="3" t="s">
        <v>9</v>
      </c>
      <c r="F125" s="3" t="s">
        <v>15</v>
      </c>
      <c r="G125" s="3" t="str">
        <f t="shared" si="1"/>
        <v>026PALOMA</v>
      </c>
      <c r="H125" s="3">
        <v>6880</v>
      </c>
      <c r="I125" s="3">
        <v>7834</v>
      </c>
      <c r="J125" s="3">
        <v>7870</v>
      </c>
      <c r="K125" s="3">
        <v>2852.5250000000001</v>
      </c>
      <c r="L125" s="3">
        <v>20800</v>
      </c>
      <c r="M125" s="11">
        <f>+H125/K125</f>
        <v>2.41189823051507</v>
      </c>
    </row>
    <row r="126" spans="1:13">
      <c r="A126" s="9">
        <v>2025</v>
      </c>
      <c r="B126" s="3">
        <v>16</v>
      </c>
      <c r="C126" s="3" t="s">
        <v>11</v>
      </c>
      <c r="D126" s="3" t="s">
        <v>8</v>
      </c>
      <c r="E126" s="3" t="s">
        <v>16</v>
      </c>
      <c r="F126" s="3" t="s">
        <v>17</v>
      </c>
      <c r="G126" s="3" t="str">
        <f t="shared" si="1"/>
        <v>027SATISFACTION</v>
      </c>
      <c r="H126" s="3">
        <v>4590</v>
      </c>
      <c r="I126" s="3">
        <v>4638</v>
      </c>
      <c r="J126" s="3">
        <v>7450</v>
      </c>
      <c r="K126" s="3">
        <v>2633.1</v>
      </c>
      <c r="L126" s="3">
        <v>19200</v>
      </c>
      <c r="M126" s="11">
        <f>+H126/K126</f>
        <v>1.7431924347727015</v>
      </c>
    </row>
    <row r="127" spans="1:13">
      <c r="A127" s="9">
        <v>2025</v>
      </c>
      <c r="B127" s="3">
        <v>16</v>
      </c>
      <c r="C127" s="3" t="s">
        <v>11</v>
      </c>
      <c r="D127" s="3" t="s">
        <v>8</v>
      </c>
      <c r="E127" s="3" t="s">
        <v>16</v>
      </c>
      <c r="F127" s="3" t="s">
        <v>18</v>
      </c>
      <c r="G127" s="3" t="str">
        <f t="shared" si="1"/>
        <v>027TIFFANY!</v>
      </c>
      <c r="H127" s="3">
        <v>4530</v>
      </c>
      <c r="I127" s="3">
        <v>8125</v>
      </c>
      <c r="J127" s="3">
        <v>4785</v>
      </c>
      <c r="K127" s="3">
        <v>2633.1</v>
      </c>
      <c r="L127" s="3">
        <v>19200</v>
      </c>
      <c r="M127" s="11">
        <f>+H127/K127</f>
        <v>1.7204056055599863</v>
      </c>
    </row>
    <row r="128" spans="1:13">
      <c r="A128" s="9">
        <v>2025</v>
      </c>
      <c r="B128" s="3">
        <v>16</v>
      </c>
      <c r="C128" s="3" t="s">
        <v>11</v>
      </c>
      <c r="D128" s="3" t="s">
        <v>8</v>
      </c>
      <c r="E128" s="3" t="s">
        <v>19</v>
      </c>
      <c r="F128" s="3" t="s">
        <v>20</v>
      </c>
      <c r="G128" s="3" t="str">
        <f t="shared" si="1"/>
        <v>028COTOPAXI</v>
      </c>
      <c r="H128" s="3">
        <v>4800</v>
      </c>
      <c r="I128" s="3">
        <v>8630</v>
      </c>
      <c r="J128" s="3">
        <v>7751</v>
      </c>
      <c r="K128" s="3">
        <v>2852.5250000000001</v>
      </c>
      <c r="L128" s="3">
        <v>20800</v>
      </c>
      <c r="M128" s="11">
        <f>+H128/K128</f>
        <v>1.6827196957081882</v>
      </c>
    </row>
    <row r="129" spans="1:13">
      <c r="A129" s="9">
        <v>2025</v>
      </c>
      <c r="B129" s="3">
        <v>16</v>
      </c>
      <c r="C129" s="3" t="s">
        <v>11</v>
      </c>
      <c r="D129" s="3" t="s">
        <v>8</v>
      </c>
      <c r="E129" s="3" t="s">
        <v>19</v>
      </c>
      <c r="F129" s="3" t="s">
        <v>21</v>
      </c>
      <c r="G129" s="3" t="str">
        <f t="shared" si="1"/>
        <v>028DEEP PURPLE</v>
      </c>
      <c r="H129" s="3">
        <v>10800</v>
      </c>
      <c r="I129" s="3">
        <v>10858</v>
      </c>
      <c r="J129" s="3">
        <v>10858</v>
      </c>
      <c r="K129" s="3">
        <v>2852.5250000000001</v>
      </c>
      <c r="L129" s="3">
        <v>20800</v>
      </c>
      <c r="M129" s="11">
        <f>+H129/K129</f>
        <v>3.7861193153434236</v>
      </c>
    </row>
    <row r="130" spans="1:13">
      <c r="A130" s="9">
        <v>2025</v>
      </c>
      <c r="B130" s="3">
        <v>17</v>
      </c>
      <c r="C130" s="3" t="s">
        <v>7</v>
      </c>
      <c r="D130" s="3" t="s">
        <v>8</v>
      </c>
      <c r="E130" s="3" t="s">
        <v>9</v>
      </c>
      <c r="F130" s="3" t="s">
        <v>10</v>
      </c>
      <c r="G130" s="3" t="str">
        <f t="shared" si="1"/>
        <v>026PURPLE BUBBLY</v>
      </c>
      <c r="H130" s="3">
        <v>1520</v>
      </c>
      <c r="I130" s="3">
        <v>8367</v>
      </c>
      <c r="J130" s="3">
        <v>8367</v>
      </c>
      <c r="K130" s="3">
        <v>1755.4</v>
      </c>
      <c r="L130" s="3">
        <v>12800</v>
      </c>
      <c r="M130" s="11">
        <f>+H130/K130</f>
        <v>0.8658995100831719</v>
      </c>
    </row>
    <row r="131" spans="1:13">
      <c r="A131" s="9">
        <v>2025</v>
      </c>
      <c r="B131" s="3">
        <v>17</v>
      </c>
      <c r="C131" s="3" t="s">
        <v>11</v>
      </c>
      <c r="D131" s="3" t="s">
        <v>8</v>
      </c>
      <c r="E131" s="3" t="s">
        <v>12</v>
      </c>
      <c r="F131" s="3" t="s">
        <v>13</v>
      </c>
      <c r="G131" s="3" t="str">
        <f t="shared" ref="G131:G194" si="2">+E131&amp;F131</f>
        <v>025PINK MONDIAL</v>
      </c>
      <c r="H131" s="3">
        <v>10625</v>
      </c>
      <c r="I131" s="3">
        <v>16426</v>
      </c>
      <c r="J131" s="3">
        <v>16426</v>
      </c>
      <c r="K131" s="3">
        <v>3071.9505625000002</v>
      </c>
      <c r="L131" s="3">
        <v>22400</v>
      </c>
      <c r="M131" s="11">
        <f>+H131/K131</f>
        <v>3.4587145150386838</v>
      </c>
    </row>
    <row r="132" spans="1:13">
      <c r="A132" s="9">
        <v>2025</v>
      </c>
      <c r="B132" s="3">
        <v>17</v>
      </c>
      <c r="C132" s="3" t="s">
        <v>11</v>
      </c>
      <c r="D132" s="3" t="s">
        <v>8</v>
      </c>
      <c r="E132" s="3" t="s">
        <v>9</v>
      </c>
      <c r="F132" s="3" t="s">
        <v>14</v>
      </c>
      <c r="G132" s="3" t="str">
        <f t="shared" si="2"/>
        <v>026LOLA</v>
      </c>
      <c r="H132" s="3">
        <v>9380</v>
      </c>
      <c r="I132" s="3">
        <v>18372</v>
      </c>
      <c r="J132" s="3">
        <v>18372</v>
      </c>
      <c r="K132" s="3">
        <v>1097.125</v>
      </c>
      <c r="L132" s="3">
        <v>8000</v>
      </c>
      <c r="M132" s="11">
        <f>+H132/K132</f>
        <v>8.5496183206106871</v>
      </c>
    </row>
    <row r="133" spans="1:13">
      <c r="A133" s="9">
        <v>2025</v>
      </c>
      <c r="B133" s="3">
        <v>17</v>
      </c>
      <c r="C133" s="3" t="s">
        <v>11</v>
      </c>
      <c r="D133" s="3" t="s">
        <v>8</v>
      </c>
      <c r="E133" s="3" t="s">
        <v>9</v>
      </c>
      <c r="F133" s="3" t="s">
        <v>15</v>
      </c>
      <c r="G133" s="3" t="str">
        <f t="shared" si="2"/>
        <v>026PALOMA</v>
      </c>
      <c r="H133" s="3">
        <v>11060</v>
      </c>
      <c r="I133" s="3">
        <v>16517</v>
      </c>
      <c r="J133" s="3">
        <v>16517</v>
      </c>
      <c r="K133" s="3">
        <v>2852.5250000000001</v>
      </c>
      <c r="L133" s="3">
        <v>20800</v>
      </c>
      <c r="M133" s="11">
        <f>+H133/K133</f>
        <v>3.8772666321942837</v>
      </c>
    </row>
    <row r="134" spans="1:13">
      <c r="A134" s="9">
        <v>2025</v>
      </c>
      <c r="B134" s="3">
        <v>17</v>
      </c>
      <c r="C134" s="3" t="s">
        <v>11</v>
      </c>
      <c r="D134" s="3" t="s">
        <v>8</v>
      </c>
      <c r="E134" s="3" t="s">
        <v>16</v>
      </c>
      <c r="F134" s="3" t="s">
        <v>17</v>
      </c>
      <c r="G134" s="3" t="str">
        <f t="shared" si="2"/>
        <v>027SATISFACTION</v>
      </c>
      <c r="H134" s="3">
        <v>9510</v>
      </c>
      <c r="I134" s="3">
        <v>10938</v>
      </c>
      <c r="J134" s="3">
        <v>10938</v>
      </c>
      <c r="K134" s="3">
        <v>2633.1</v>
      </c>
      <c r="L134" s="3">
        <v>19200</v>
      </c>
      <c r="M134" s="11">
        <f>+H134/K134</f>
        <v>3.6117124302153356</v>
      </c>
    </row>
    <row r="135" spans="1:13">
      <c r="A135" s="9">
        <v>2025</v>
      </c>
      <c r="B135" s="3">
        <v>17</v>
      </c>
      <c r="C135" s="3" t="s">
        <v>11</v>
      </c>
      <c r="D135" s="3" t="s">
        <v>8</v>
      </c>
      <c r="E135" s="3" t="s">
        <v>16</v>
      </c>
      <c r="F135" s="3" t="s">
        <v>18</v>
      </c>
      <c r="G135" s="3" t="str">
        <f t="shared" si="2"/>
        <v>027TIFFANY!</v>
      </c>
      <c r="H135" s="3">
        <v>9180</v>
      </c>
      <c r="I135" s="3">
        <v>7425</v>
      </c>
      <c r="J135" s="3">
        <v>6912</v>
      </c>
      <c r="K135" s="3">
        <v>2633.1</v>
      </c>
      <c r="L135" s="3">
        <v>19200</v>
      </c>
      <c r="M135" s="11">
        <f>+H135/K135</f>
        <v>3.4863848695454029</v>
      </c>
    </row>
    <row r="136" spans="1:13">
      <c r="A136" s="9">
        <v>2025</v>
      </c>
      <c r="B136" s="3">
        <v>17</v>
      </c>
      <c r="C136" s="3" t="s">
        <v>11</v>
      </c>
      <c r="D136" s="3" t="s">
        <v>8</v>
      </c>
      <c r="E136" s="3" t="s">
        <v>19</v>
      </c>
      <c r="F136" s="3" t="s">
        <v>20</v>
      </c>
      <c r="G136" s="3" t="str">
        <f t="shared" si="2"/>
        <v>028COTOPAXI</v>
      </c>
      <c r="H136" s="3">
        <v>3660</v>
      </c>
      <c r="I136" s="3">
        <v>8540</v>
      </c>
      <c r="J136" s="3">
        <v>7013</v>
      </c>
      <c r="K136" s="3">
        <v>2852.5250000000001</v>
      </c>
      <c r="L136" s="3">
        <v>20800</v>
      </c>
      <c r="M136" s="11">
        <f>+H136/K136</f>
        <v>1.2830737679774935</v>
      </c>
    </row>
    <row r="137" spans="1:13">
      <c r="A137" s="9">
        <v>2025</v>
      </c>
      <c r="B137" s="3">
        <v>17</v>
      </c>
      <c r="C137" s="3" t="s">
        <v>11</v>
      </c>
      <c r="D137" s="3" t="s">
        <v>8</v>
      </c>
      <c r="E137" s="3" t="s">
        <v>19</v>
      </c>
      <c r="F137" s="3" t="s">
        <v>21</v>
      </c>
      <c r="G137" s="3" t="str">
        <f t="shared" si="2"/>
        <v>028DEEP PURPLE</v>
      </c>
      <c r="H137" s="3">
        <v>21510</v>
      </c>
      <c r="I137" s="6">
        <v>7741</v>
      </c>
      <c r="J137" s="6">
        <v>6589</v>
      </c>
      <c r="K137" s="3">
        <v>2852.5250000000001</v>
      </c>
      <c r="L137" s="3">
        <v>20800</v>
      </c>
      <c r="M137" s="11">
        <f>+H137/K137</f>
        <v>7.5406876363923185</v>
      </c>
    </row>
    <row r="138" spans="1:13">
      <c r="A138" s="9">
        <v>2025</v>
      </c>
      <c r="B138" s="3">
        <v>18</v>
      </c>
      <c r="C138" s="3" t="s">
        <v>7</v>
      </c>
      <c r="D138" s="3" t="s">
        <v>8</v>
      </c>
      <c r="E138" s="3" t="s">
        <v>9</v>
      </c>
      <c r="F138" s="3" t="s">
        <v>10</v>
      </c>
      <c r="G138" s="3" t="str">
        <f t="shared" si="2"/>
        <v>026PURPLE BUBBLY</v>
      </c>
      <c r="H138" s="3">
        <v>1610</v>
      </c>
      <c r="I138" s="6">
        <v>5454</v>
      </c>
      <c r="J138" s="6">
        <v>6668</v>
      </c>
      <c r="K138" s="3">
        <v>1755.4</v>
      </c>
      <c r="L138" s="3">
        <v>12800</v>
      </c>
      <c r="M138" s="11">
        <f>+H138/K138</f>
        <v>0.91716987581178078</v>
      </c>
    </row>
    <row r="139" spans="1:13">
      <c r="A139" s="9">
        <v>2025</v>
      </c>
      <c r="B139" s="3">
        <v>18</v>
      </c>
      <c r="C139" s="3" t="s">
        <v>11</v>
      </c>
      <c r="D139" s="3" t="s">
        <v>8</v>
      </c>
      <c r="E139" s="3" t="s">
        <v>12</v>
      </c>
      <c r="F139" s="3" t="s">
        <v>13</v>
      </c>
      <c r="G139" s="3" t="str">
        <f t="shared" si="2"/>
        <v>025PINK MONDIAL</v>
      </c>
      <c r="H139" s="3">
        <v>9150</v>
      </c>
      <c r="I139" s="6">
        <v>6110</v>
      </c>
      <c r="J139" s="6">
        <v>6110</v>
      </c>
      <c r="K139" s="3">
        <v>3071.9505625000002</v>
      </c>
      <c r="L139" s="3">
        <v>22400</v>
      </c>
      <c r="M139" s="11">
        <f>+H139/K139</f>
        <v>2.9785635588333137</v>
      </c>
    </row>
    <row r="140" spans="1:13">
      <c r="A140" s="9">
        <v>2025</v>
      </c>
      <c r="B140" s="3">
        <v>18</v>
      </c>
      <c r="C140" s="3" t="s">
        <v>11</v>
      </c>
      <c r="D140" s="3" t="s">
        <v>8</v>
      </c>
      <c r="E140" s="3" t="s">
        <v>9</v>
      </c>
      <c r="F140" s="3" t="s">
        <v>14</v>
      </c>
      <c r="G140" s="3" t="str">
        <f t="shared" si="2"/>
        <v>026LOLA</v>
      </c>
      <c r="H140" s="3">
        <v>7240</v>
      </c>
      <c r="I140" s="6">
        <v>8487</v>
      </c>
      <c r="J140" s="6">
        <v>8487</v>
      </c>
      <c r="K140" s="3">
        <v>1097.125</v>
      </c>
      <c r="L140" s="3">
        <v>8000</v>
      </c>
      <c r="M140" s="11">
        <f>+H140/K140</f>
        <v>6.5990657400022785</v>
      </c>
    </row>
    <row r="141" spans="1:13">
      <c r="A141" s="9">
        <v>2025</v>
      </c>
      <c r="B141" s="3">
        <v>18</v>
      </c>
      <c r="C141" s="3" t="s">
        <v>11</v>
      </c>
      <c r="D141" s="3" t="s">
        <v>8</v>
      </c>
      <c r="E141" s="3" t="s">
        <v>9</v>
      </c>
      <c r="F141" s="3" t="s">
        <v>15</v>
      </c>
      <c r="G141" s="3" t="str">
        <f t="shared" si="2"/>
        <v>026PALOMA</v>
      </c>
      <c r="H141" s="3">
        <v>9960</v>
      </c>
      <c r="I141" s="6">
        <v>8702</v>
      </c>
      <c r="J141" s="6">
        <v>7106</v>
      </c>
      <c r="K141" s="3">
        <v>2852.5250000000001</v>
      </c>
      <c r="L141" s="3">
        <v>20800</v>
      </c>
      <c r="M141" s="11">
        <f>+H141/K141</f>
        <v>3.4916433685944908</v>
      </c>
    </row>
    <row r="142" spans="1:13">
      <c r="A142" s="9">
        <v>2025</v>
      </c>
      <c r="B142" s="3">
        <v>18</v>
      </c>
      <c r="C142" s="3" t="s">
        <v>11</v>
      </c>
      <c r="D142" s="3" t="s">
        <v>8</v>
      </c>
      <c r="E142" s="3" t="s">
        <v>16</v>
      </c>
      <c r="F142" s="3" t="s">
        <v>17</v>
      </c>
      <c r="G142" s="3" t="str">
        <f t="shared" si="2"/>
        <v>027SATISFACTION</v>
      </c>
      <c r="H142" s="3">
        <v>12660</v>
      </c>
      <c r="I142" s="6">
        <v>8696</v>
      </c>
      <c r="J142" s="6">
        <v>9606</v>
      </c>
      <c r="K142" s="3">
        <v>2633.1</v>
      </c>
      <c r="L142" s="3">
        <v>19200</v>
      </c>
      <c r="M142" s="11">
        <f>+H142/K142</f>
        <v>4.8080209638828757</v>
      </c>
    </row>
    <row r="143" spans="1:13">
      <c r="A143" s="9">
        <v>2025</v>
      </c>
      <c r="B143" s="3">
        <v>18</v>
      </c>
      <c r="C143" s="3" t="s">
        <v>11</v>
      </c>
      <c r="D143" s="3" t="s">
        <v>8</v>
      </c>
      <c r="E143" s="3" t="s">
        <v>16</v>
      </c>
      <c r="F143" s="3" t="s">
        <v>18</v>
      </c>
      <c r="G143" s="3" t="str">
        <f t="shared" si="2"/>
        <v>027TIFFANY!</v>
      </c>
      <c r="H143" s="3">
        <v>12030</v>
      </c>
      <c r="I143" s="6">
        <v>15766</v>
      </c>
      <c r="J143" s="6">
        <v>15766</v>
      </c>
      <c r="K143" s="3">
        <v>2633.1</v>
      </c>
      <c r="L143" s="3">
        <v>19200</v>
      </c>
      <c r="M143" s="11">
        <f>+H143/K143</f>
        <v>4.5687592571493676</v>
      </c>
    </row>
    <row r="144" spans="1:13">
      <c r="A144" s="9">
        <v>2025</v>
      </c>
      <c r="B144" s="3">
        <v>18</v>
      </c>
      <c r="C144" s="3" t="s">
        <v>11</v>
      </c>
      <c r="D144" s="3" t="s">
        <v>8</v>
      </c>
      <c r="E144" s="3" t="s">
        <v>19</v>
      </c>
      <c r="F144" s="3" t="s">
        <v>20</v>
      </c>
      <c r="G144" s="3" t="str">
        <f t="shared" si="2"/>
        <v>028COTOPAXI</v>
      </c>
      <c r="H144" s="3">
        <v>7500</v>
      </c>
      <c r="I144" s="6">
        <v>18627</v>
      </c>
      <c r="J144" s="6">
        <v>18627</v>
      </c>
      <c r="K144" s="3">
        <v>2852.5250000000001</v>
      </c>
      <c r="L144" s="3">
        <v>20800</v>
      </c>
      <c r="M144" s="11">
        <f>+H144/K144</f>
        <v>2.6292495245440444</v>
      </c>
    </row>
    <row r="145" spans="1:13">
      <c r="A145" s="9">
        <v>2025</v>
      </c>
      <c r="B145" s="3">
        <v>18</v>
      </c>
      <c r="C145" s="3" t="s">
        <v>11</v>
      </c>
      <c r="D145" s="3" t="s">
        <v>8</v>
      </c>
      <c r="E145" s="3" t="s">
        <v>19</v>
      </c>
      <c r="F145" s="3" t="s">
        <v>21</v>
      </c>
      <c r="G145" s="3" t="str">
        <f t="shared" si="2"/>
        <v>028DEEP PURPLE</v>
      </c>
      <c r="H145" s="3">
        <v>18870</v>
      </c>
      <c r="I145" s="6">
        <v>14445</v>
      </c>
      <c r="J145" s="6">
        <v>16628</v>
      </c>
      <c r="K145" s="3">
        <v>2852.5250000000001</v>
      </c>
      <c r="L145" s="3">
        <v>20800</v>
      </c>
      <c r="M145" s="11">
        <f>+H145/K145</f>
        <v>6.6151918037528157</v>
      </c>
    </row>
    <row r="146" spans="1:13">
      <c r="A146" s="9">
        <v>2025</v>
      </c>
      <c r="B146" s="3">
        <v>19</v>
      </c>
      <c r="C146" s="3" t="s">
        <v>7</v>
      </c>
      <c r="D146" s="3" t="s">
        <v>8</v>
      </c>
      <c r="E146" s="3" t="s">
        <v>9</v>
      </c>
      <c r="F146" s="3" t="s">
        <v>10</v>
      </c>
      <c r="G146" s="3" t="str">
        <f t="shared" si="2"/>
        <v>026PURPLE BUBBLY</v>
      </c>
      <c r="H146" s="3">
        <v>670</v>
      </c>
      <c r="I146" s="3">
        <v>11537</v>
      </c>
      <c r="J146" s="3">
        <v>10488</v>
      </c>
      <c r="K146" s="3">
        <v>1755.4</v>
      </c>
      <c r="L146" s="3">
        <v>12800</v>
      </c>
      <c r="M146" s="11">
        <f>+H146/K146</f>
        <v>0.38167938931297707</v>
      </c>
    </row>
    <row r="147" spans="1:13">
      <c r="A147" s="9">
        <v>2025</v>
      </c>
      <c r="B147" s="3">
        <v>19</v>
      </c>
      <c r="C147" s="3" t="s">
        <v>11</v>
      </c>
      <c r="D147" s="3" t="s">
        <v>8</v>
      </c>
      <c r="E147" s="3" t="s">
        <v>12</v>
      </c>
      <c r="F147" s="3" t="s">
        <v>13</v>
      </c>
      <c r="G147" s="3" t="str">
        <f t="shared" si="2"/>
        <v>025PINK MONDIAL</v>
      </c>
      <c r="H147" s="3">
        <v>5800</v>
      </c>
      <c r="I147" s="3">
        <v>7586</v>
      </c>
      <c r="J147" s="3">
        <v>10845</v>
      </c>
      <c r="K147" s="3">
        <v>3071.9505625000002</v>
      </c>
      <c r="L147" s="3">
        <v>22400</v>
      </c>
      <c r="M147" s="11">
        <f>+H147/K147</f>
        <v>1.8880512176211168</v>
      </c>
    </row>
    <row r="148" spans="1:13">
      <c r="A148" s="9">
        <v>2025</v>
      </c>
      <c r="B148" s="3">
        <v>19</v>
      </c>
      <c r="C148" s="3" t="s">
        <v>11</v>
      </c>
      <c r="D148" s="3" t="s">
        <v>8</v>
      </c>
      <c r="E148" s="3" t="s">
        <v>9</v>
      </c>
      <c r="F148" s="3" t="s">
        <v>14</v>
      </c>
      <c r="G148" s="3" t="str">
        <f t="shared" si="2"/>
        <v>026LOLA</v>
      </c>
      <c r="H148" s="3">
        <v>3760</v>
      </c>
      <c r="I148" s="3">
        <v>6393</v>
      </c>
      <c r="J148" s="3">
        <v>6628</v>
      </c>
      <c r="K148" s="3">
        <v>1097.125</v>
      </c>
      <c r="L148" s="3">
        <v>8000</v>
      </c>
      <c r="M148" s="11">
        <f>+H148/K148</f>
        <v>3.4271391135923435</v>
      </c>
    </row>
    <row r="149" spans="1:13">
      <c r="A149" s="9">
        <v>2025</v>
      </c>
      <c r="B149" s="3">
        <v>19</v>
      </c>
      <c r="C149" s="3" t="s">
        <v>11</v>
      </c>
      <c r="D149" s="3" t="s">
        <v>8</v>
      </c>
      <c r="E149" s="3" t="s">
        <v>9</v>
      </c>
      <c r="F149" s="3" t="s">
        <v>15</v>
      </c>
      <c r="G149" s="3" t="str">
        <f t="shared" si="2"/>
        <v>026PALOMA</v>
      </c>
      <c r="H149" s="3">
        <v>5300</v>
      </c>
      <c r="I149" s="3">
        <v>6127</v>
      </c>
      <c r="J149" s="3">
        <v>5760</v>
      </c>
      <c r="K149" s="3">
        <v>2852.5250000000001</v>
      </c>
      <c r="L149" s="3">
        <v>20800</v>
      </c>
      <c r="M149" s="11">
        <f>+H149/K149</f>
        <v>1.8580029973444578</v>
      </c>
    </row>
    <row r="150" spans="1:13">
      <c r="A150" s="9">
        <v>2025</v>
      </c>
      <c r="B150" s="3">
        <v>19</v>
      </c>
      <c r="C150" s="3" t="s">
        <v>11</v>
      </c>
      <c r="D150" s="3" t="s">
        <v>8</v>
      </c>
      <c r="E150" s="3" t="s">
        <v>16</v>
      </c>
      <c r="F150" s="3" t="s">
        <v>17</v>
      </c>
      <c r="G150" s="3" t="str">
        <f t="shared" si="2"/>
        <v>027SATISFACTION</v>
      </c>
      <c r="H150" s="3">
        <v>5460</v>
      </c>
      <c r="I150" s="3">
        <v>3436</v>
      </c>
      <c r="J150" s="3">
        <v>3040</v>
      </c>
      <c r="K150" s="3">
        <v>2633.1</v>
      </c>
      <c r="L150" s="3">
        <v>19200</v>
      </c>
      <c r="M150" s="11">
        <f>+H150/K150</f>
        <v>2.0736014583570697</v>
      </c>
    </row>
    <row r="151" spans="1:13">
      <c r="A151" s="9">
        <v>2025</v>
      </c>
      <c r="B151" s="3">
        <v>19</v>
      </c>
      <c r="C151" s="3" t="s">
        <v>11</v>
      </c>
      <c r="D151" s="3" t="s">
        <v>8</v>
      </c>
      <c r="E151" s="3" t="s">
        <v>16</v>
      </c>
      <c r="F151" s="3" t="s">
        <v>18</v>
      </c>
      <c r="G151" s="3" t="str">
        <f t="shared" si="2"/>
        <v>027TIFFANY!</v>
      </c>
      <c r="H151" s="3">
        <v>5700</v>
      </c>
      <c r="I151" s="3">
        <v>3046</v>
      </c>
      <c r="J151" s="3">
        <v>3562</v>
      </c>
      <c r="K151" s="3">
        <v>2633.1</v>
      </c>
      <c r="L151" s="3">
        <v>19200</v>
      </c>
      <c r="M151" s="11">
        <f>+H151/K151</f>
        <v>2.1647487752079297</v>
      </c>
    </row>
    <row r="152" spans="1:13">
      <c r="A152" s="9">
        <v>2025</v>
      </c>
      <c r="B152" s="3">
        <v>19</v>
      </c>
      <c r="C152" s="3" t="s">
        <v>11</v>
      </c>
      <c r="D152" s="3" t="s">
        <v>8</v>
      </c>
      <c r="E152" s="3" t="s">
        <v>19</v>
      </c>
      <c r="F152" s="3" t="s">
        <v>20</v>
      </c>
      <c r="G152" s="3" t="str">
        <f t="shared" si="2"/>
        <v>028COTOPAXI</v>
      </c>
      <c r="H152" s="3">
        <v>9540</v>
      </c>
      <c r="I152" s="3">
        <v>4441</v>
      </c>
      <c r="J152" s="3">
        <v>3665</v>
      </c>
      <c r="K152" s="3">
        <v>2852.5250000000001</v>
      </c>
      <c r="L152" s="3">
        <v>20800</v>
      </c>
      <c r="M152" s="11">
        <f>+H152/K152</f>
        <v>3.3444053952200243</v>
      </c>
    </row>
    <row r="153" spans="1:13">
      <c r="A153" s="9">
        <v>2025</v>
      </c>
      <c r="B153" s="3">
        <v>19</v>
      </c>
      <c r="C153" s="3" t="s">
        <v>11</v>
      </c>
      <c r="D153" s="3" t="s">
        <v>8</v>
      </c>
      <c r="E153" s="3" t="s">
        <v>19</v>
      </c>
      <c r="F153" s="3" t="s">
        <v>21</v>
      </c>
      <c r="G153" s="3" t="str">
        <f t="shared" si="2"/>
        <v>028DEEP PURPLE</v>
      </c>
      <c r="H153" s="3">
        <v>11490</v>
      </c>
      <c r="I153" s="3">
        <v>4743</v>
      </c>
      <c r="J153" s="3">
        <v>4733</v>
      </c>
      <c r="K153" s="3">
        <v>2852.5250000000001</v>
      </c>
      <c r="L153" s="3">
        <v>20800</v>
      </c>
      <c r="M153" s="11">
        <f>+H153/K153</f>
        <v>4.0280102716014756</v>
      </c>
    </row>
    <row r="154" spans="1:13">
      <c r="A154" s="9">
        <v>2025</v>
      </c>
      <c r="B154" s="3">
        <v>20</v>
      </c>
      <c r="C154" s="3" t="s">
        <v>7</v>
      </c>
      <c r="D154" s="3" t="s">
        <v>8</v>
      </c>
      <c r="E154" s="3" t="s">
        <v>9</v>
      </c>
      <c r="F154" s="3" t="s">
        <v>10</v>
      </c>
      <c r="G154" s="3" t="str">
        <f t="shared" si="2"/>
        <v>026PURPLE BUBBLY</v>
      </c>
      <c r="H154" s="3">
        <v>840</v>
      </c>
      <c r="I154" s="3">
        <v>4062</v>
      </c>
      <c r="J154" s="3">
        <v>3613</v>
      </c>
      <c r="K154" s="3">
        <v>1755.4</v>
      </c>
      <c r="L154" s="3">
        <v>12800</v>
      </c>
      <c r="M154" s="11">
        <f>+H154/K154</f>
        <v>0.47852341346701605</v>
      </c>
    </row>
    <row r="155" spans="1:13">
      <c r="A155" s="9">
        <v>2025</v>
      </c>
      <c r="B155" s="3">
        <v>20</v>
      </c>
      <c r="C155" s="3" t="s">
        <v>11</v>
      </c>
      <c r="D155" s="3" t="s">
        <v>8</v>
      </c>
      <c r="E155" s="3" t="s">
        <v>12</v>
      </c>
      <c r="F155" s="3" t="s">
        <v>13</v>
      </c>
      <c r="G155" s="3" t="str">
        <f t="shared" si="2"/>
        <v>025PINK MONDIAL</v>
      </c>
      <c r="H155" s="3">
        <v>7575</v>
      </c>
      <c r="I155" s="3">
        <v>1873</v>
      </c>
      <c r="J155" s="3">
        <v>2081</v>
      </c>
      <c r="K155" s="3">
        <v>3071.9505625000002</v>
      </c>
      <c r="L155" s="3">
        <v>22400</v>
      </c>
      <c r="M155" s="11">
        <f>+H155/K155</f>
        <v>2.4658599954275795</v>
      </c>
    </row>
    <row r="156" spans="1:13">
      <c r="A156" s="9">
        <v>2025</v>
      </c>
      <c r="B156" s="3">
        <v>20</v>
      </c>
      <c r="C156" s="3" t="s">
        <v>11</v>
      </c>
      <c r="D156" s="3" t="s">
        <v>8</v>
      </c>
      <c r="E156" s="3" t="s">
        <v>9</v>
      </c>
      <c r="F156" s="3" t="s">
        <v>14</v>
      </c>
      <c r="G156" s="3" t="str">
        <f t="shared" si="2"/>
        <v>026LOLA</v>
      </c>
      <c r="H156" s="3">
        <v>4280</v>
      </c>
      <c r="I156" s="3">
        <v>4100</v>
      </c>
      <c r="J156" s="3">
        <v>1218</v>
      </c>
      <c r="K156" s="3">
        <v>1097.125</v>
      </c>
      <c r="L156" s="3">
        <v>8000</v>
      </c>
      <c r="M156" s="11">
        <f>+H156/K156</f>
        <v>3.9011051612168166</v>
      </c>
    </row>
    <row r="157" spans="1:13">
      <c r="A157" s="9">
        <v>2025</v>
      </c>
      <c r="B157" s="3">
        <v>20</v>
      </c>
      <c r="C157" s="3" t="s">
        <v>11</v>
      </c>
      <c r="D157" s="3" t="s">
        <v>8</v>
      </c>
      <c r="E157" s="3" t="s">
        <v>9</v>
      </c>
      <c r="F157" s="3" t="s">
        <v>15</v>
      </c>
      <c r="G157" s="3" t="str">
        <f t="shared" si="2"/>
        <v>026PALOMA</v>
      </c>
      <c r="H157" s="3">
        <v>6800</v>
      </c>
      <c r="I157" s="3">
        <v>3992</v>
      </c>
      <c r="J157" s="3">
        <v>3515</v>
      </c>
      <c r="K157" s="3">
        <v>2852.5250000000001</v>
      </c>
      <c r="L157" s="3">
        <v>20800</v>
      </c>
      <c r="M157" s="11">
        <f>+H157/K157</f>
        <v>2.3838529022532668</v>
      </c>
    </row>
    <row r="158" spans="1:13">
      <c r="A158" s="9">
        <v>2025</v>
      </c>
      <c r="B158" s="3">
        <v>20</v>
      </c>
      <c r="C158" s="3" t="s">
        <v>11</v>
      </c>
      <c r="D158" s="3" t="s">
        <v>8</v>
      </c>
      <c r="E158" s="3" t="s">
        <v>16</v>
      </c>
      <c r="F158" s="3" t="s">
        <v>17</v>
      </c>
      <c r="G158" s="3" t="str">
        <f t="shared" si="2"/>
        <v>027SATISFACTION</v>
      </c>
      <c r="H158" s="3">
        <v>5790</v>
      </c>
      <c r="I158" s="3">
        <v>3585</v>
      </c>
      <c r="J158" s="3">
        <v>3937</v>
      </c>
      <c r="K158" s="3">
        <v>2633.1</v>
      </c>
      <c r="L158" s="3">
        <v>19200</v>
      </c>
      <c r="M158" s="11">
        <f>+H158/K158</f>
        <v>2.1989290190270023</v>
      </c>
    </row>
    <row r="159" spans="1:13">
      <c r="A159" s="9">
        <v>2025</v>
      </c>
      <c r="B159" s="3">
        <v>20</v>
      </c>
      <c r="C159" s="3" t="s">
        <v>11</v>
      </c>
      <c r="D159" s="3" t="s">
        <v>8</v>
      </c>
      <c r="E159" s="3" t="s">
        <v>16</v>
      </c>
      <c r="F159" s="3" t="s">
        <v>18</v>
      </c>
      <c r="G159" s="3" t="str">
        <f t="shared" si="2"/>
        <v>027TIFFANY!</v>
      </c>
      <c r="H159" s="3">
        <v>5520</v>
      </c>
      <c r="I159" s="3">
        <v>3200</v>
      </c>
      <c r="J159" s="3">
        <v>3353</v>
      </c>
      <c r="K159" s="3">
        <v>2633.1</v>
      </c>
      <c r="L159" s="3">
        <v>19200</v>
      </c>
      <c r="M159" s="11">
        <f>+H159/K159</f>
        <v>2.0963882875697846</v>
      </c>
    </row>
    <row r="160" spans="1:13">
      <c r="A160" s="9">
        <v>2025</v>
      </c>
      <c r="B160" s="3">
        <v>20</v>
      </c>
      <c r="C160" s="3" t="s">
        <v>11</v>
      </c>
      <c r="D160" s="3" t="s">
        <v>8</v>
      </c>
      <c r="E160" s="3" t="s">
        <v>19</v>
      </c>
      <c r="F160" s="3" t="s">
        <v>20</v>
      </c>
      <c r="G160" s="3" t="str">
        <f t="shared" si="2"/>
        <v>028COTOPAXI</v>
      </c>
      <c r="H160" s="3">
        <v>9000</v>
      </c>
      <c r="I160" s="3">
        <v>4100</v>
      </c>
      <c r="J160" s="3">
        <v>3380</v>
      </c>
      <c r="K160" s="3">
        <v>2852.5250000000001</v>
      </c>
      <c r="L160" s="3">
        <v>20800</v>
      </c>
      <c r="M160" s="11">
        <f>+H160/K160</f>
        <v>3.1550994294528532</v>
      </c>
    </row>
    <row r="161" spans="1:13">
      <c r="A161" s="9">
        <v>2025</v>
      </c>
      <c r="B161" s="3">
        <v>20</v>
      </c>
      <c r="C161" s="3" t="s">
        <v>11</v>
      </c>
      <c r="D161" s="3" t="s">
        <v>8</v>
      </c>
      <c r="E161" s="3" t="s">
        <v>19</v>
      </c>
      <c r="F161" s="3" t="s">
        <v>21</v>
      </c>
      <c r="G161" s="3" t="str">
        <f t="shared" si="2"/>
        <v>028DEEP PURPLE</v>
      </c>
      <c r="H161" s="3">
        <v>11700</v>
      </c>
      <c r="I161" s="3">
        <v>3193</v>
      </c>
      <c r="J161" s="3">
        <v>4276</v>
      </c>
      <c r="K161" s="3">
        <v>2852.5250000000001</v>
      </c>
      <c r="L161" s="3">
        <v>20800</v>
      </c>
      <c r="M161" s="11">
        <f>+H161/K161</f>
        <v>4.1016292582887086</v>
      </c>
    </row>
    <row r="162" spans="1:13">
      <c r="A162" s="9">
        <v>2025</v>
      </c>
      <c r="B162" s="3">
        <v>21</v>
      </c>
      <c r="C162" s="3" t="s">
        <v>7</v>
      </c>
      <c r="D162" s="3" t="s">
        <v>8</v>
      </c>
      <c r="E162" s="3" t="s">
        <v>9</v>
      </c>
      <c r="F162" s="3" t="s">
        <v>10</v>
      </c>
      <c r="G162" s="3" t="str">
        <f t="shared" si="2"/>
        <v>026PURPLE BUBBLY</v>
      </c>
      <c r="H162" s="3">
        <v>600</v>
      </c>
      <c r="I162" s="3">
        <v>3773</v>
      </c>
      <c r="J162" s="3">
        <v>3267</v>
      </c>
      <c r="K162" s="3">
        <v>1755.4</v>
      </c>
      <c r="L162" s="3">
        <v>12800</v>
      </c>
      <c r="M162" s="11">
        <f>+H162/K162</f>
        <v>0.34180243819072575</v>
      </c>
    </row>
    <row r="163" spans="1:13">
      <c r="A163" s="9">
        <v>2025</v>
      </c>
      <c r="B163" s="3">
        <v>21</v>
      </c>
      <c r="C163" s="3" t="s">
        <v>11</v>
      </c>
      <c r="D163" s="3" t="s">
        <v>8</v>
      </c>
      <c r="E163" s="3" t="s">
        <v>12</v>
      </c>
      <c r="F163" s="3" t="s">
        <v>13</v>
      </c>
      <c r="G163" s="3" t="str">
        <f t="shared" si="2"/>
        <v>025PINK MONDIAL</v>
      </c>
      <c r="H163" s="3">
        <v>4350</v>
      </c>
      <c r="I163" s="3">
        <v>3957</v>
      </c>
      <c r="J163" s="3">
        <v>4631</v>
      </c>
      <c r="K163" s="3">
        <v>3071.9505625000002</v>
      </c>
      <c r="L163" s="3">
        <v>22400</v>
      </c>
      <c r="M163" s="11">
        <f>+H163/K163</f>
        <v>1.4160384132158377</v>
      </c>
    </row>
    <row r="164" spans="1:13">
      <c r="A164" s="9">
        <v>2025</v>
      </c>
      <c r="B164" s="3">
        <v>21</v>
      </c>
      <c r="C164" s="3" t="s">
        <v>11</v>
      </c>
      <c r="D164" s="3" t="s">
        <v>8</v>
      </c>
      <c r="E164" s="3" t="s">
        <v>9</v>
      </c>
      <c r="F164" s="3" t="s">
        <v>14</v>
      </c>
      <c r="G164" s="3" t="str">
        <f t="shared" si="2"/>
        <v>026LOLA</v>
      </c>
      <c r="H164" s="3">
        <v>3420</v>
      </c>
      <c r="I164" s="3">
        <v>3937</v>
      </c>
      <c r="J164" s="3">
        <v>3937</v>
      </c>
      <c r="K164" s="3">
        <v>1097.125</v>
      </c>
      <c r="L164" s="3">
        <v>8000</v>
      </c>
      <c r="M164" s="11">
        <f>+H164/K164</f>
        <v>3.1172382362994191</v>
      </c>
    </row>
    <row r="165" spans="1:13">
      <c r="A165" s="9">
        <v>2025</v>
      </c>
      <c r="B165" s="3">
        <v>21</v>
      </c>
      <c r="C165" s="3" t="s">
        <v>11</v>
      </c>
      <c r="D165" s="3" t="s">
        <v>8</v>
      </c>
      <c r="E165" s="3" t="s">
        <v>9</v>
      </c>
      <c r="F165" s="3" t="s">
        <v>15</v>
      </c>
      <c r="G165" s="3" t="str">
        <f t="shared" si="2"/>
        <v>026PALOMA</v>
      </c>
      <c r="H165" s="3">
        <v>4940</v>
      </c>
      <c r="I165" s="3">
        <v>7679</v>
      </c>
      <c r="J165" s="3">
        <v>8083</v>
      </c>
      <c r="K165" s="3">
        <v>2852.5250000000001</v>
      </c>
      <c r="L165" s="3">
        <v>20800</v>
      </c>
      <c r="M165" s="11">
        <f>+H165/K165</f>
        <v>1.7317990201663438</v>
      </c>
    </row>
    <row r="166" spans="1:13">
      <c r="A166" s="9">
        <v>2025</v>
      </c>
      <c r="B166" s="3">
        <v>21</v>
      </c>
      <c r="C166" s="3" t="s">
        <v>11</v>
      </c>
      <c r="D166" s="3" t="s">
        <v>8</v>
      </c>
      <c r="E166" s="3" t="s">
        <v>16</v>
      </c>
      <c r="F166" s="3" t="s">
        <v>17</v>
      </c>
      <c r="G166" s="3" t="str">
        <f t="shared" si="2"/>
        <v>027SATISFACTION</v>
      </c>
      <c r="H166" s="3">
        <v>4230</v>
      </c>
      <c r="I166" s="3">
        <v>9298</v>
      </c>
      <c r="J166" s="3">
        <v>9298</v>
      </c>
      <c r="K166" s="3">
        <v>2633.1</v>
      </c>
      <c r="L166" s="3">
        <v>19200</v>
      </c>
      <c r="M166" s="11">
        <f>+H166/K166</f>
        <v>1.6064714594964111</v>
      </c>
    </row>
    <row r="167" spans="1:13">
      <c r="A167" s="9">
        <v>2025</v>
      </c>
      <c r="B167" s="3">
        <v>21</v>
      </c>
      <c r="C167" s="3" t="s">
        <v>11</v>
      </c>
      <c r="D167" s="3" t="s">
        <v>8</v>
      </c>
      <c r="E167" s="3" t="s">
        <v>16</v>
      </c>
      <c r="F167" s="3" t="s">
        <v>18</v>
      </c>
      <c r="G167" s="3" t="str">
        <f t="shared" si="2"/>
        <v>027TIFFANY!</v>
      </c>
      <c r="H167" s="3">
        <v>4770</v>
      </c>
      <c r="I167" s="3">
        <v>8087</v>
      </c>
      <c r="J167" s="3">
        <v>8087</v>
      </c>
      <c r="K167" s="3">
        <v>2633.1</v>
      </c>
      <c r="L167" s="3">
        <v>19200</v>
      </c>
      <c r="M167" s="11">
        <f>+H167/K167</f>
        <v>1.8115529224108466</v>
      </c>
    </row>
    <row r="168" spans="1:13">
      <c r="A168" s="9">
        <v>2025</v>
      </c>
      <c r="B168" s="3">
        <v>21</v>
      </c>
      <c r="C168" s="3" t="s">
        <v>11</v>
      </c>
      <c r="D168" s="3" t="s">
        <v>8</v>
      </c>
      <c r="E168" s="3" t="s">
        <v>19</v>
      </c>
      <c r="F168" s="3" t="s">
        <v>20</v>
      </c>
      <c r="G168" s="3" t="str">
        <f t="shared" si="2"/>
        <v>028COTOPAXI</v>
      </c>
      <c r="H168" s="3">
        <v>8250</v>
      </c>
      <c r="I168" s="3">
        <v>5337</v>
      </c>
      <c r="J168" s="3">
        <v>4852</v>
      </c>
      <c r="K168" s="3">
        <v>2852.5250000000001</v>
      </c>
      <c r="L168" s="3">
        <v>20800</v>
      </c>
      <c r="M168" s="11">
        <f>+H168/K168</f>
        <v>2.8921744769984485</v>
      </c>
    </row>
    <row r="169" spans="1:13">
      <c r="A169" s="9">
        <v>2025</v>
      </c>
      <c r="B169" s="3">
        <v>21</v>
      </c>
      <c r="C169" s="3" t="s">
        <v>11</v>
      </c>
      <c r="D169" s="3" t="s">
        <v>8</v>
      </c>
      <c r="E169" s="3" t="s">
        <v>19</v>
      </c>
      <c r="F169" s="3" t="s">
        <v>21</v>
      </c>
      <c r="G169" s="3" t="str">
        <f t="shared" si="2"/>
        <v>028DEEP PURPLE</v>
      </c>
      <c r="H169" s="3">
        <v>5580</v>
      </c>
      <c r="I169" s="3">
        <v>4263</v>
      </c>
      <c r="J169" s="3">
        <v>5017</v>
      </c>
      <c r="K169" s="3">
        <v>2852.5250000000001</v>
      </c>
      <c r="L169" s="3">
        <v>20800</v>
      </c>
      <c r="M169" s="11">
        <f>+H169/K169</f>
        <v>1.9561616462607689</v>
      </c>
    </row>
    <row r="170" spans="1:13">
      <c r="A170" s="9">
        <v>2025</v>
      </c>
      <c r="B170" s="3">
        <v>22</v>
      </c>
      <c r="C170" s="3" t="s">
        <v>7</v>
      </c>
      <c r="D170" s="3" t="s">
        <v>8</v>
      </c>
      <c r="E170" s="3" t="s">
        <v>9</v>
      </c>
      <c r="F170" s="3" t="s">
        <v>10</v>
      </c>
      <c r="G170" s="3" t="str">
        <f t="shared" si="2"/>
        <v>026PURPLE BUBBLY</v>
      </c>
      <c r="H170" s="3">
        <v>770</v>
      </c>
      <c r="I170" s="3">
        <v>4590</v>
      </c>
      <c r="J170" s="3">
        <v>4153</v>
      </c>
      <c r="K170" s="3">
        <v>1755.4</v>
      </c>
      <c r="L170" s="3">
        <v>12800</v>
      </c>
      <c r="M170" s="11">
        <f>+H170/K170</f>
        <v>0.43864646234476468</v>
      </c>
    </row>
    <row r="171" spans="1:13">
      <c r="A171" s="9">
        <v>2025</v>
      </c>
      <c r="B171" s="3">
        <v>22</v>
      </c>
      <c r="C171" s="3" t="s">
        <v>11</v>
      </c>
      <c r="D171" s="3" t="s">
        <v>8</v>
      </c>
      <c r="E171" s="3" t="s">
        <v>12</v>
      </c>
      <c r="F171" s="3" t="s">
        <v>13</v>
      </c>
      <c r="G171" s="3" t="str">
        <f t="shared" si="2"/>
        <v>025PINK MONDIAL</v>
      </c>
      <c r="H171" s="3">
        <v>5275</v>
      </c>
      <c r="I171" s="3">
        <v>4312</v>
      </c>
      <c r="J171" s="3">
        <v>4227</v>
      </c>
      <c r="K171" s="3">
        <v>3071.9505625000002</v>
      </c>
      <c r="L171" s="3">
        <v>22400</v>
      </c>
      <c r="M171" s="11">
        <f>+H171/K171</f>
        <v>1.7171500298192053</v>
      </c>
    </row>
    <row r="172" spans="1:13">
      <c r="A172" s="9">
        <v>2025</v>
      </c>
      <c r="B172" s="3">
        <v>22</v>
      </c>
      <c r="C172" s="3" t="s">
        <v>11</v>
      </c>
      <c r="D172" s="3" t="s">
        <v>8</v>
      </c>
      <c r="E172" s="3" t="s">
        <v>9</v>
      </c>
      <c r="F172" s="3" t="s">
        <v>14</v>
      </c>
      <c r="G172" s="3" t="str">
        <f t="shared" si="2"/>
        <v>026LOLA</v>
      </c>
      <c r="H172" s="3">
        <v>4860</v>
      </c>
      <c r="I172" s="3">
        <v>4637</v>
      </c>
      <c r="J172" s="3">
        <v>4637</v>
      </c>
      <c r="K172" s="3">
        <v>1097.125</v>
      </c>
      <c r="L172" s="3">
        <v>8000</v>
      </c>
      <c r="M172" s="11">
        <f>+H172/K172</f>
        <v>4.4297595989518062</v>
      </c>
    </row>
    <row r="173" spans="1:13">
      <c r="A173" s="9">
        <v>2025</v>
      </c>
      <c r="B173" s="3">
        <v>22</v>
      </c>
      <c r="C173" s="3" t="s">
        <v>11</v>
      </c>
      <c r="D173" s="3" t="s">
        <v>8</v>
      </c>
      <c r="E173" s="3" t="s">
        <v>9</v>
      </c>
      <c r="F173" s="3" t="s">
        <v>15</v>
      </c>
      <c r="G173" s="3" t="str">
        <f t="shared" si="2"/>
        <v>026PALOMA</v>
      </c>
      <c r="H173" s="3">
        <v>5520</v>
      </c>
      <c r="I173" s="3">
        <v>4538</v>
      </c>
      <c r="J173" s="3">
        <v>4811</v>
      </c>
      <c r="K173" s="3">
        <v>2852.5250000000001</v>
      </c>
      <c r="L173" s="3">
        <v>20800</v>
      </c>
      <c r="M173" s="11">
        <f>+H173/K173</f>
        <v>1.9351276500644166</v>
      </c>
    </row>
    <row r="174" spans="1:13">
      <c r="A174" s="9">
        <v>2025</v>
      </c>
      <c r="B174" s="3">
        <v>22</v>
      </c>
      <c r="C174" s="3" t="s">
        <v>11</v>
      </c>
      <c r="D174" s="3" t="s">
        <v>8</v>
      </c>
      <c r="E174" s="3" t="s">
        <v>16</v>
      </c>
      <c r="F174" s="3" t="s">
        <v>17</v>
      </c>
      <c r="G174" s="3" t="str">
        <f t="shared" si="2"/>
        <v>027SATISFACTION</v>
      </c>
      <c r="H174" s="3">
        <v>3720</v>
      </c>
      <c r="I174" s="3">
        <v>4395</v>
      </c>
      <c r="J174" s="3">
        <v>4395</v>
      </c>
      <c r="K174" s="3">
        <v>2633.1</v>
      </c>
      <c r="L174" s="3">
        <v>19200</v>
      </c>
      <c r="M174" s="11">
        <f>+H174/K174</f>
        <v>1.4127834111883333</v>
      </c>
    </row>
    <row r="175" spans="1:13">
      <c r="A175" s="9">
        <v>2025</v>
      </c>
      <c r="B175" s="3">
        <v>22</v>
      </c>
      <c r="C175" s="3" t="s">
        <v>11</v>
      </c>
      <c r="D175" s="3" t="s">
        <v>8</v>
      </c>
      <c r="E175" s="3" t="s">
        <v>16</v>
      </c>
      <c r="F175" s="3" t="s">
        <v>18</v>
      </c>
      <c r="G175" s="3" t="str">
        <f t="shared" si="2"/>
        <v>027TIFFANY!</v>
      </c>
      <c r="H175" s="3">
        <v>4260</v>
      </c>
      <c r="I175" s="3">
        <v>4322</v>
      </c>
      <c r="J175" s="3">
        <v>5122</v>
      </c>
      <c r="K175" s="3">
        <v>2633.1</v>
      </c>
      <c r="L175" s="3">
        <v>19200</v>
      </c>
      <c r="M175" s="11">
        <f>+H175/K175</f>
        <v>1.6178648741027686</v>
      </c>
    </row>
    <row r="176" spans="1:13">
      <c r="A176" s="9">
        <v>2025</v>
      </c>
      <c r="B176" s="3">
        <v>22</v>
      </c>
      <c r="C176" s="3" t="s">
        <v>11</v>
      </c>
      <c r="D176" s="3" t="s">
        <v>8</v>
      </c>
      <c r="E176" s="3" t="s">
        <v>19</v>
      </c>
      <c r="F176" s="3" t="s">
        <v>20</v>
      </c>
      <c r="G176" s="3" t="str">
        <f t="shared" si="2"/>
        <v>028COTOPAXI</v>
      </c>
      <c r="H176" s="3">
        <v>7050</v>
      </c>
      <c r="I176" s="3">
        <v>4200</v>
      </c>
      <c r="J176" s="3">
        <v>4186</v>
      </c>
      <c r="K176" s="3">
        <v>2852.5250000000001</v>
      </c>
      <c r="L176" s="3">
        <v>20800</v>
      </c>
      <c r="M176" s="11">
        <f>+H176/K176</f>
        <v>2.4714945530714014</v>
      </c>
    </row>
    <row r="177" spans="1:13">
      <c r="A177" s="9">
        <v>2025</v>
      </c>
      <c r="B177" s="3">
        <v>22</v>
      </c>
      <c r="C177" s="3" t="s">
        <v>11</v>
      </c>
      <c r="D177" s="3" t="s">
        <v>8</v>
      </c>
      <c r="E177" s="3" t="s">
        <v>19</v>
      </c>
      <c r="F177" s="3" t="s">
        <v>21</v>
      </c>
      <c r="G177" s="3" t="str">
        <f t="shared" si="2"/>
        <v>028DEEP PURPLE</v>
      </c>
      <c r="H177" s="3">
        <v>4590</v>
      </c>
      <c r="I177" s="3">
        <v>4535</v>
      </c>
      <c r="J177" s="3">
        <v>4305</v>
      </c>
      <c r="K177" s="3">
        <v>2852.5250000000001</v>
      </c>
      <c r="L177" s="3">
        <v>20800</v>
      </c>
      <c r="M177" s="11">
        <f>+H177/K177</f>
        <v>1.609100709020955</v>
      </c>
    </row>
    <row r="178" spans="1:13">
      <c r="A178" s="9">
        <v>2025</v>
      </c>
      <c r="B178" s="3">
        <v>23</v>
      </c>
      <c r="C178" s="3" t="s">
        <v>7</v>
      </c>
      <c r="D178" s="3" t="s">
        <v>8</v>
      </c>
      <c r="E178" s="3" t="s">
        <v>9</v>
      </c>
      <c r="F178" s="3" t="s">
        <v>10</v>
      </c>
      <c r="G178" s="3" t="str">
        <f t="shared" si="2"/>
        <v>026PURPLE BUBBLY</v>
      </c>
      <c r="H178" s="3">
        <v>770</v>
      </c>
      <c r="I178" s="3">
        <v>4389</v>
      </c>
      <c r="J178" s="3">
        <v>4675</v>
      </c>
      <c r="K178" s="3">
        <v>1755.4</v>
      </c>
      <c r="L178" s="3">
        <v>12800</v>
      </c>
      <c r="M178" s="11">
        <f>+H178/K178</f>
        <v>0.43864646234476468</v>
      </c>
    </row>
    <row r="179" spans="1:13">
      <c r="A179" s="9">
        <v>2025</v>
      </c>
      <c r="B179" s="3">
        <v>23</v>
      </c>
      <c r="C179" s="3" t="s">
        <v>11</v>
      </c>
      <c r="D179" s="3" t="s">
        <v>8</v>
      </c>
      <c r="E179" s="3" t="s">
        <v>12</v>
      </c>
      <c r="F179" s="3" t="s">
        <v>13</v>
      </c>
      <c r="G179" s="3" t="str">
        <f t="shared" si="2"/>
        <v>025PINK MONDIAL</v>
      </c>
      <c r="H179" s="3">
        <v>5625</v>
      </c>
      <c r="I179" s="3">
        <v>4800</v>
      </c>
      <c r="J179" s="3">
        <v>4881</v>
      </c>
      <c r="K179" s="3">
        <v>3071.9505625000002</v>
      </c>
      <c r="L179" s="3">
        <v>22400</v>
      </c>
      <c r="M179" s="11">
        <f>+H179/K179</f>
        <v>1.8310841550204797</v>
      </c>
    </row>
    <row r="180" spans="1:13">
      <c r="A180" s="9">
        <v>2025</v>
      </c>
      <c r="B180" s="3">
        <v>23</v>
      </c>
      <c r="C180" s="3" t="s">
        <v>11</v>
      </c>
      <c r="D180" s="3" t="s">
        <v>8</v>
      </c>
      <c r="E180" s="3" t="s">
        <v>9</v>
      </c>
      <c r="F180" s="3" t="s">
        <v>14</v>
      </c>
      <c r="G180" s="3" t="str">
        <f t="shared" si="2"/>
        <v>026LOLA</v>
      </c>
      <c r="H180" s="3">
        <v>4780</v>
      </c>
      <c r="I180" s="3">
        <v>5777</v>
      </c>
      <c r="J180" s="3">
        <v>5042</v>
      </c>
      <c r="K180" s="3">
        <v>1097.125</v>
      </c>
      <c r="L180" s="3">
        <v>8000</v>
      </c>
      <c r="M180" s="11">
        <f>+H180/K180</f>
        <v>4.3568417454711179</v>
      </c>
    </row>
    <row r="181" spans="1:13">
      <c r="A181" s="9">
        <v>2025</v>
      </c>
      <c r="B181" s="3">
        <v>23</v>
      </c>
      <c r="C181" s="3" t="s">
        <v>11</v>
      </c>
      <c r="D181" s="3" t="s">
        <v>8</v>
      </c>
      <c r="E181" s="3" t="s">
        <v>9</v>
      </c>
      <c r="F181" s="3" t="s">
        <v>15</v>
      </c>
      <c r="G181" s="3" t="str">
        <f t="shared" si="2"/>
        <v>026PALOMA</v>
      </c>
      <c r="H181" s="3">
        <v>5220</v>
      </c>
      <c r="I181" s="3">
        <v>6138</v>
      </c>
      <c r="J181" s="3">
        <v>5569</v>
      </c>
      <c r="K181" s="3">
        <v>2852.5250000000001</v>
      </c>
      <c r="L181" s="3">
        <v>20800</v>
      </c>
      <c r="M181" s="11">
        <f>+H181/K181</f>
        <v>1.8299576690826549</v>
      </c>
    </row>
    <row r="182" spans="1:13">
      <c r="A182" s="9">
        <v>2025</v>
      </c>
      <c r="B182" s="3">
        <v>23</v>
      </c>
      <c r="C182" s="3" t="s">
        <v>11</v>
      </c>
      <c r="D182" s="3" t="s">
        <v>8</v>
      </c>
      <c r="E182" s="3" t="s">
        <v>16</v>
      </c>
      <c r="F182" s="3" t="s">
        <v>17</v>
      </c>
      <c r="G182" s="3" t="str">
        <f t="shared" si="2"/>
        <v>027SATISFACTION</v>
      </c>
      <c r="H182" s="3">
        <v>3420</v>
      </c>
      <c r="I182" s="3">
        <v>3940</v>
      </c>
      <c r="J182" s="3">
        <v>5469</v>
      </c>
      <c r="K182" s="3">
        <v>2633.1</v>
      </c>
      <c r="L182" s="3">
        <v>19200</v>
      </c>
      <c r="M182" s="11">
        <f>+H182/K182</f>
        <v>1.2988492651247578</v>
      </c>
    </row>
    <row r="183" spans="1:13">
      <c r="A183" s="9">
        <v>2025</v>
      </c>
      <c r="B183" s="3">
        <v>23</v>
      </c>
      <c r="C183" s="3" t="s">
        <v>11</v>
      </c>
      <c r="D183" s="3" t="s">
        <v>8</v>
      </c>
      <c r="E183" s="3" t="s">
        <v>16</v>
      </c>
      <c r="F183" s="3" t="s">
        <v>18</v>
      </c>
      <c r="G183" s="3" t="str">
        <f t="shared" si="2"/>
        <v>027TIFFANY!</v>
      </c>
      <c r="H183" s="3">
        <v>4350</v>
      </c>
      <c r="I183" s="3">
        <v>3050</v>
      </c>
      <c r="J183" s="3">
        <v>4091</v>
      </c>
      <c r="K183" s="3">
        <v>2633.1</v>
      </c>
      <c r="L183" s="3">
        <v>19200</v>
      </c>
      <c r="M183" s="11">
        <f>+H183/K183</f>
        <v>1.6520451179218412</v>
      </c>
    </row>
    <row r="184" spans="1:13">
      <c r="A184" s="9">
        <v>2025</v>
      </c>
      <c r="B184" s="3">
        <v>23</v>
      </c>
      <c r="C184" s="3" t="s">
        <v>11</v>
      </c>
      <c r="D184" s="3" t="s">
        <v>8</v>
      </c>
      <c r="E184" s="3" t="s">
        <v>19</v>
      </c>
      <c r="F184" s="3" t="s">
        <v>20</v>
      </c>
      <c r="G184" s="3" t="str">
        <f t="shared" si="2"/>
        <v>028COTOPAXI</v>
      </c>
      <c r="H184" s="3">
        <v>3630</v>
      </c>
      <c r="I184" s="3">
        <v>3394</v>
      </c>
      <c r="J184" s="3">
        <v>2883</v>
      </c>
      <c r="K184" s="3">
        <v>2852.5250000000001</v>
      </c>
      <c r="L184" s="3">
        <v>20800</v>
      </c>
      <c r="M184" s="11">
        <f>+H184/K184</f>
        <v>1.2725567698793174</v>
      </c>
    </row>
    <row r="185" spans="1:13">
      <c r="A185" s="9">
        <v>2025</v>
      </c>
      <c r="B185" s="3">
        <v>23</v>
      </c>
      <c r="C185" s="3" t="s">
        <v>11</v>
      </c>
      <c r="D185" s="3" t="s">
        <v>8</v>
      </c>
      <c r="E185" s="3" t="s">
        <v>19</v>
      </c>
      <c r="F185" s="3" t="s">
        <v>21</v>
      </c>
      <c r="G185" s="3" t="str">
        <f t="shared" si="2"/>
        <v>028DEEP PURPLE</v>
      </c>
      <c r="H185" s="3">
        <v>3750</v>
      </c>
      <c r="I185" s="3">
        <v>3427</v>
      </c>
      <c r="J185" s="3">
        <v>3614</v>
      </c>
      <c r="K185" s="3">
        <v>2852.5250000000001</v>
      </c>
      <c r="L185" s="3">
        <v>20800</v>
      </c>
      <c r="M185" s="11">
        <f>+H185/K185</f>
        <v>1.3146247622720222</v>
      </c>
    </row>
    <row r="186" spans="1:13">
      <c r="A186" s="9">
        <v>2025</v>
      </c>
      <c r="B186" s="3">
        <v>24</v>
      </c>
      <c r="C186" s="3" t="s">
        <v>7</v>
      </c>
      <c r="D186" s="3" t="s">
        <v>8</v>
      </c>
      <c r="E186" s="3" t="s">
        <v>9</v>
      </c>
      <c r="F186" s="3" t="s">
        <v>10</v>
      </c>
      <c r="G186" s="3" t="str">
        <f t="shared" si="2"/>
        <v>026PURPLE BUBBLY</v>
      </c>
      <c r="H186" s="3">
        <v>550</v>
      </c>
      <c r="I186" s="3">
        <v>2990</v>
      </c>
      <c r="J186" s="3">
        <v>3580</v>
      </c>
      <c r="K186" s="3">
        <v>1755.4</v>
      </c>
      <c r="L186" s="3">
        <v>12800</v>
      </c>
      <c r="M186" s="11">
        <f>+H186/K186</f>
        <v>0.31331890167483195</v>
      </c>
    </row>
    <row r="187" spans="1:13">
      <c r="A187" s="9">
        <v>2025</v>
      </c>
      <c r="B187" s="3">
        <v>24</v>
      </c>
      <c r="C187" s="3" t="s">
        <v>11</v>
      </c>
      <c r="D187" s="3" t="s">
        <v>8</v>
      </c>
      <c r="E187" s="3" t="s">
        <v>12</v>
      </c>
      <c r="F187" s="3" t="s">
        <v>13</v>
      </c>
      <c r="G187" s="3" t="str">
        <f t="shared" si="2"/>
        <v>025PINK MONDIAL</v>
      </c>
      <c r="H187" s="3">
        <v>4450</v>
      </c>
      <c r="I187" s="3">
        <v>3452</v>
      </c>
      <c r="J187" s="3">
        <v>3053</v>
      </c>
      <c r="K187" s="3">
        <v>3071.9505625000002</v>
      </c>
      <c r="L187" s="3">
        <v>22400</v>
      </c>
      <c r="M187" s="11">
        <f>+H187/K187</f>
        <v>1.4485910204162016</v>
      </c>
    </row>
    <row r="188" spans="1:13">
      <c r="A188" s="9">
        <v>2025</v>
      </c>
      <c r="B188" s="3">
        <v>24</v>
      </c>
      <c r="C188" s="3" t="s">
        <v>11</v>
      </c>
      <c r="D188" s="3" t="s">
        <v>8</v>
      </c>
      <c r="E188" s="3" t="s">
        <v>9</v>
      </c>
      <c r="F188" s="3" t="s">
        <v>14</v>
      </c>
      <c r="G188" s="3" t="str">
        <f t="shared" si="2"/>
        <v>026LOLA</v>
      </c>
      <c r="H188" s="3">
        <v>3180</v>
      </c>
      <c r="I188" s="3">
        <v>5484</v>
      </c>
      <c r="J188" s="3">
        <v>3868</v>
      </c>
      <c r="K188" s="3">
        <v>1097.125</v>
      </c>
      <c r="L188" s="3">
        <v>8000</v>
      </c>
      <c r="M188" s="11">
        <f>+H188/K188</f>
        <v>2.8984846758573544</v>
      </c>
    </row>
    <row r="189" spans="1:13">
      <c r="A189" s="9">
        <v>2025</v>
      </c>
      <c r="B189" s="3">
        <v>24</v>
      </c>
      <c r="C189" s="3" t="s">
        <v>11</v>
      </c>
      <c r="D189" s="3" t="s">
        <v>8</v>
      </c>
      <c r="E189" s="3" t="s">
        <v>9</v>
      </c>
      <c r="F189" s="3" t="s">
        <v>15</v>
      </c>
      <c r="G189" s="3" t="str">
        <f t="shared" si="2"/>
        <v>026PALOMA</v>
      </c>
      <c r="H189" s="3">
        <v>3700</v>
      </c>
      <c r="I189" s="3">
        <v>6257</v>
      </c>
      <c r="J189" s="3">
        <v>6128</v>
      </c>
      <c r="K189" s="3">
        <v>2852.5250000000001</v>
      </c>
      <c r="L189" s="3">
        <v>20800</v>
      </c>
      <c r="M189" s="11">
        <f>+H189/K189</f>
        <v>1.2970964321083951</v>
      </c>
    </row>
    <row r="190" spans="1:13">
      <c r="A190" s="9">
        <v>2025</v>
      </c>
      <c r="B190" s="3">
        <v>24</v>
      </c>
      <c r="C190" s="3" t="s">
        <v>11</v>
      </c>
      <c r="D190" s="3" t="s">
        <v>8</v>
      </c>
      <c r="E190" s="3" t="s">
        <v>16</v>
      </c>
      <c r="F190" s="3" t="s">
        <v>17</v>
      </c>
      <c r="G190" s="3" t="str">
        <f t="shared" si="2"/>
        <v>027SATISFACTION</v>
      </c>
      <c r="H190" s="3">
        <v>2400</v>
      </c>
      <c r="I190" s="3">
        <v>5449</v>
      </c>
      <c r="J190" s="3">
        <v>6285</v>
      </c>
      <c r="K190" s="3">
        <v>2633.1</v>
      </c>
      <c r="L190" s="3">
        <v>19200</v>
      </c>
      <c r="M190" s="11">
        <f>+H190/K190</f>
        <v>0.91147316850860205</v>
      </c>
    </row>
    <row r="191" spans="1:13">
      <c r="A191" s="9">
        <v>2025</v>
      </c>
      <c r="B191" s="3">
        <v>24</v>
      </c>
      <c r="C191" s="3" t="s">
        <v>11</v>
      </c>
      <c r="D191" s="3" t="s">
        <v>8</v>
      </c>
      <c r="E191" s="3" t="s">
        <v>16</v>
      </c>
      <c r="F191" s="3" t="s">
        <v>18</v>
      </c>
      <c r="G191" s="3" t="str">
        <f t="shared" si="2"/>
        <v>027TIFFANY!</v>
      </c>
      <c r="H191" s="3">
        <v>3270</v>
      </c>
      <c r="I191" s="3">
        <v>4681</v>
      </c>
      <c r="J191" s="3">
        <v>5549</v>
      </c>
      <c r="K191" s="3">
        <v>2633.1</v>
      </c>
      <c r="L191" s="3">
        <v>19200</v>
      </c>
      <c r="M191" s="11">
        <f>+H191/K191</f>
        <v>1.2418821920929703</v>
      </c>
    </row>
    <row r="192" spans="1:13">
      <c r="A192" s="9">
        <v>2025</v>
      </c>
      <c r="B192" s="3">
        <v>24</v>
      </c>
      <c r="C192" s="3" t="s">
        <v>11</v>
      </c>
      <c r="D192" s="3" t="s">
        <v>8</v>
      </c>
      <c r="E192" s="3" t="s">
        <v>19</v>
      </c>
      <c r="F192" s="3" t="s">
        <v>20</v>
      </c>
      <c r="G192" s="3" t="str">
        <f t="shared" si="2"/>
        <v>028COTOPAXI</v>
      </c>
      <c r="H192" s="3">
        <v>3540</v>
      </c>
      <c r="I192" s="3">
        <v>3924</v>
      </c>
      <c r="J192" s="3">
        <v>4616</v>
      </c>
      <c r="K192" s="3">
        <v>2852.5250000000001</v>
      </c>
      <c r="L192" s="3">
        <v>20800</v>
      </c>
      <c r="M192" s="11">
        <f>+H192/K192</f>
        <v>1.241005775584789</v>
      </c>
    </row>
    <row r="193" spans="1:13">
      <c r="A193" s="9">
        <v>2025</v>
      </c>
      <c r="B193" s="3">
        <v>24</v>
      </c>
      <c r="C193" s="3" t="s">
        <v>11</v>
      </c>
      <c r="D193" s="3" t="s">
        <v>8</v>
      </c>
      <c r="E193" s="3" t="s">
        <v>19</v>
      </c>
      <c r="F193" s="3" t="s">
        <v>21</v>
      </c>
      <c r="G193" s="3" t="str">
        <f t="shared" si="2"/>
        <v>028DEEP PURPLE</v>
      </c>
      <c r="H193" s="3">
        <v>3480</v>
      </c>
      <c r="I193" s="3">
        <v>3943</v>
      </c>
      <c r="J193" s="3">
        <v>3763</v>
      </c>
      <c r="K193" s="3">
        <v>2852.5250000000001</v>
      </c>
      <c r="L193" s="3">
        <v>20800</v>
      </c>
      <c r="M193" s="11">
        <f>+H193/K193</f>
        <v>1.2199717793884366</v>
      </c>
    </row>
    <row r="194" spans="1:13">
      <c r="A194" s="9">
        <v>2025</v>
      </c>
      <c r="B194" s="3">
        <v>25</v>
      </c>
      <c r="C194" s="3" t="s">
        <v>7</v>
      </c>
      <c r="D194" s="3" t="s">
        <v>8</v>
      </c>
      <c r="E194" s="3" t="s">
        <v>9</v>
      </c>
      <c r="F194" s="3" t="s">
        <v>10</v>
      </c>
      <c r="G194" s="3" t="str">
        <f t="shared" si="2"/>
        <v>026PURPLE BUBBLY</v>
      </c>
      <c r="H194" s="3">
        <v>700</v>
      </c>
      <c r="I194" s="3">
        <v>4316</v>
      </c>
      <c r="J194" s="3">
        <v>3823</v>
      </c>
      <c r="K194" s="3">
        <v>1755.4</v>
      </c>
      <c r="L194" s="3">
        <v>12800</v>
      </c>
      <c r="M194" s="11">
        <f>+H194/K194</f>
        <v>0.39876951122251336</v>
      </c>
    </row>
    <row r="195" spans="1:13">
      <c r="A195" s="9">
        <v>2025</v>
      </c>
      <c r="B195" s="3">
        <v>25</v>
      </c>
      <c r="C195" s="3" t="s">
        <v>11</v>
      </c>
      <c r="D195" s="3" t="s">
        <v>8</v>
      </c>
      <c r="E195" s="3" t="s">
        <v>12</v>
      </c>
      <c r="F195" s="3" t="s">
        <v>13</v>
      </c>
      <c r="G195" s="3" t="str">
        <f t="shared" ref="G195:G258" si="3">+E195&amp;F195</f>
        <v>025PINK MONDIAL</v>
      </c>
      <c r="H195" s="3">
        <v>4775</v>
      </c>
      <c r="I195" s="3">
        <v>4596</v>
      </c>
      <c r="J195" s="3">
        <v>4425</v>
      </c>
      <c r="K195" s="3">
        <v>3071.9505625000002</v>
      </c>
      <c r="L195" s="3">
        <v>22400</v>
      </c>
      <c r="M195" s="11">
        <f>+H195/K195</f>
        <v>1.5543869938173849</v>
      </c>
    </row>
    <row r="196" spans="1:13">
      <c r="A196" s="9">
        <v>2025</v>
      </c>
      <c r="B196" s="3">
        <v>25</v>
      </c>
      <c r="C196" s="3" t="s">
        <v>11</v>
      </c>
      <c r="D196" s="3" t="s">
        <v>8</v>
      </c>
      <c r="E196" s="3" t="s">
        <v>9</v>
      </c>
      <c r="F196" s="3" t="s">
        <v>14</v>
      </c>
      <c r="G196" s="3" t="str">
        <f t="shared" si="3"/>
        <v>026LOLA</v>
      </c>
      <c r="H196" s="3">
        <v>3040</v>
      </c>
      <c r="I196" s="3">
        <v>3260</v>
      </c>
      <c r="J196" s="3">
        <v>4143</v>
      </c>
      <c r="K196" s="3">
        <v>1097.125</v>
      </c>
      <c r="L196" s="3">
        <v>8000</v>
      </c>
      <c r="M196" s="11">
        <f>+H196/K196</f>
        <v>2.7708784322661502</v>
      </c>
    </row>
    <row r="197" spans="1:13">
      <c r="A197" s="9">
        <v>2025</v>
      </c>
      <c r="B197" s="3">
        <v>25</v>
      </c>
      <c r="C197" s="3" t="s">
        <v>11</v>
      </c>
      <c r="D197" s="3" t="s">
        <v>8</v>
      </c>
      <c r="E197" s="3" t="s">
        <v>9</v>
      </c>
      <c r="F197" s="3" t="s">
        <v>15</v>
      </c>
      <c r="G197" s="3" t="str">
        <f t="shared" si="3"/>
        <v>026PALOMA</v>
      </c>
      <c r="H197" s="3">
        <v>3220</v>
      </c>
      <c r="I197" s="3">
        <v>3752</v>
      </c>
      <c r="J197" s="3">
        <v>2889</v>
      </c>
      <c r="K197" s="3">
        <v>2852.5250000000001</v>
      </c>
      <c r="L197" s="3">
        <v>20800</v>
      </c>
      <c r="M197" s="11">
        <f>+H197/K197</f>
        <v>1.1288244625375763</v>
      </c>
    </row>
    <row r="198" spans="1:13">
      <c r="A198" s="9">
        <v>2025</v>
      </c>
      <c r="B198" s="3">
        <v>25</v>
      </c>
      <c r="C198" s="3" t="s">
        <v>11</v>
      </c>
      <c r="D198" s="3" t="s">
        <v>8</v>
      </c>
      <c r="E198" s="3" t="s">
        <v>16</v>
      </c>
      <c r="F198" s="3" t="s">
        <v>17</v>
      </c>
      <c r="G198" s="3" t="str">
        <f t="shared" si="3"/>
        <v>027SATISFACTION</v>
      </c>
      <c r="H198" s="3">
        <v>2430</v>
      </c>
      <c r="I198" s="3">
        <v>5055</v>
      </c>
      <c r="J198" s="3">
        <v>4310</v>
      </c>
      <c r="K198" s="3">
        <v>2633.1</v>
      </c>
      <c r="L198" s="3">
        <v>19200</v>
      </c>
      <c r="M198" s="11">
        <f>+H198/K198</f>
        <v>0.92286658311495962</v>
      </c>
    </row>
    <row r="199" spans="1:13">
      <c r="A199" s="9">
        <v>2025</v>
      </c>
      <c r="B199" s="3">
        <v>25</v>
      </c>
      <c r="C199" s="3" t="s">
        <v>11</v>
      </c>
      <c r="D199" s="3" t="s">
        <v>8</v>
      </c>
      <c r="E199" s="3" t="s">
        <v>16</v>
      </c>
      <c r="F199" s="3" t="s">
        <v>18</v>
      </c>
      <c r="G199" s="3" t="str">
        <f t="shared" si="3"/>
        <v>027TIFFANY!</v>
      </c>
      <c r="H199" s="3">
        <v>2880</v>
      </c>
      <c r="I199" s="3">
        <v>3774</v>
      </c>
      <c r="J199" s="3">
        <v>5559</v>
      </c>
      <c r="K199" s="3">
        <v>2633.1</v>
      </c>
      <c r="L199" s="3">
        <v>19200</v>
      </c>
      <c r="M199" s="11">
        <f>+H199/K199</f>
        <v>1.0937678022103225</v>
      </c>
    </row>
    <row r="200" spans="1:13">
      <c r="A200" s="9">
        <v>2025</v>
      </c>
      <c r="B200" s="3">
        <v>25</v>
      </c>
      <c r="C200" s="3" t="s">
        <v>11</v>
      </c>
      <c r="D200" s="3" t="s">
        <v>8</v>
      </c>
      <c r="E200" s="3" t="s">
        <v>19</v>
      </c>
      <c r="F200" s="3" t="s">
        <v>20</v>
      </c>
      <c r="G200" s="3" t="str">
        <f t="shared" si="3"/>
        <v>028COTOPAXI</v>
      </c>
      <c r="H200" s="3">
        <v>2910</v>
      </c>
      <c r="I200" s="3">
        <v>3534</v>
      </c>
      <c r="J200" s="3">
        <v>3589</v>
      </c>
      <c r="K200" s="3">
        <v>2852.5250000000001</v>
      </c>
      <c r="L200" s="3">
        <v>20800</v>
      </c>
      <c r="M200" s="11">
        <f>+H200/K200</f>
        <v>1.0201488155230891</v>
      </c>
    </row>
    <row r="201" spans="1:13">
      <c r="A201" s="9">
        <v>2025</v>
      </c>
      <c r="B201" s="3">
        <v>25</v>
      </c>
      <c r="C201" s="3" t="s">
        <v>11</v>
      </c>
      <c r="D201" s="3" t="s">
        <v>8</v>
      </c>
      <c r="E201" s="3" t="s">
        <v>19</v>
      </c>
      <c r="F201" s="3" t="s">
        <v>21</v>
      </c>
      <c r="G201" s="3" t="str">
        <f t="shared" si="3"/>
        <v>028DEEP PURPLE</v>
      </c>
      <c r="H201" s="3">
        <v>2340</v>
      </c>
      <c r="I201" s="3">
        <v>6122</v>
      </c>
      <c r="J201" s="3">
        <v>3647</v>
      </c>
      <c r="K201" s="3">
        <v>2852.5250000000001</v>
      </c>
      <c r="L201" s="3">
        <v>20800</v>
      </c>
      <c r="M201" s="11">
        <f>+H201/K201</f>
        <v>0.82032585165774174</v>
      </c>
    </row>
    <row r="202" spans="1:13">
      <c r="A202" s="9">
        <v>2025</v>
      </c>
      <c r="B202" s="3">
        <v>26</v>
      </c>
      <c r="C202" s="3" t="s">
        <v>7</v>
      </c>
      <c r="D202" s="3" t="s">
        <v>8</v>
      </c>
      <c r="E202" s="3" t="s">
        <v>9</v>
      </c>
      <c r="F202" s="3" t="s">
        <v>10</v>
      </c>
      <c r="G202" s="3" t="str">
        <f t="shared" si="3"/>
        <v>026PURPLE BUBBLY</v>
      </c>
      <c r="H202" s="3">
        <v>740</v>
      </c>
      <c r="I202" s="3">
        <v>5300</v>
      </c>
      <c r="J202" s="3">
        <v>6871</v>
      </c>
      <c r="K202" s="3">
        <v>1755.4</v>
      </c>
      <c r="L202" s="3">
        <v>12800</v>
      </c>
      <c r="M202" s="11">
        <f>+H202/K202</f>
        <v>0.42155634043522844</v>
      </c>
    </row>
    <row r="203" spans="1:13">
      <c r="A203" s="9">
        <v>2025</v>
      </c>
      <c r="B203" s="3">
        <v>26</v>
      </c>
      <c r="C203" s="3" t="s">
        <v>11</v>
      </c>
      <c r="D203" s="3" t="s">
        <v>8</v>
      </c>
      <c r="E203" s="3" t="s">
        <v>12</v>
      </c>
      <c r="F203" s="3" t="s">
        <v>13</v>
      </c>
      <c r="G203" s="3" t="str">
        <f t="shared" si="3"/>
        <v>025PINK MONDIAL</v>
      </c>
      <c r="H203" s="3">
        <v>4425</v>
      </c>
      <c r="I203" s="3">
        <v>7495</v>
      </c>
      <c r="J203" s="3">
        <v>7495</v>
      </c>
      <c r="K203" s="3">
        <v>3071.9505625000002</v>
      </c>
      <c r="L203" s="3">
        <v>22400</v>
      </c>
      <c r="M203" s="11">
        <f>+H203/K203</f>
        <v>1.4404528686161107</v>
      </c>
    </row>
    <row r="204" spans="1:13">
      <c r="A204" s="9">
        <v>2025</v>
      </c>
      <c r="B204" s="3">
        <v>26</v>
      </c>
      <c r="C204" s="3" t="s">
        <v>11</v>
      </c>
      <c r="D204" s="3" t="s">
        <v>8</v>
      </c>
      <c r="E204" s="3" t="s">
        <v>9</v>
      </c>
      <c r="F204" s="3" t="s">
        <v>14</v>
      </c>
      <c r="G204" s="3" t="str">
        <f t="shared" si="3"/>
        <v>026LOLA</v>
      </c>
      <c r="H204" s="3">
        <v>4325</v>
      </c>
      <c r="I204" s="3">
        <v>7029</v>
      </c>
      <c r="J204" s="3">
        <v>7029</v>
      </c>
      <c r="K204" s="3">
        <v>1097.125</v>
      </c>
      <c r="L204" s="3">
        <v>8000</v>
      </c>
      <c r="M204" s="11">
        <f>+H204/K204</f>
        <v>3.9421214537997038</v>
      </c>
    </row>
    <row r="205" spans="1:13">
      <c r="A205" s="9">
        <v>2025</v>
      </c>
      <c r="B205" s="3">
        <v>26</v>
      </c>
      <c r="C205" s="3" t="s">
        <v>11</v>
      </c>
      <c r="D205" s="3" t="s">
        <v>8</v>
      </c>
      <c r="E205" s="3" t="s">
        <v>9</v>
      </c>
      <c r="F205" s="3" t="s">
        <v>15</v>
      </c>
      <c r="G205" s="3" t="str">
        <f t="shared" si="3"/>
        <v>026PALOMA</v>
      </c>
      <c r="H205" s="3">
        <v>4800</v>
      </c>
      <c r="I205" s="3">
        <v>8540</v>
      </c>
      <c r="J205" s="3">
        <v>8540</v>
      </c>
      <c r="K205" s="3">
        <v>2852.5250000000001</v>
      </c>
      <c r="L205" s="3">
        <v>20800</v>
      </c>
      <c r="M205" s="11">
        <f>+H205/K205</f>
        <v>1.6827196957081882</v>
      </c>
    </row>
    <row r="206" spans="1:13">
      <c r="A206" s="9">
        <v>2025</v>
      </c>
      <c r="B206" s="3">
        <v>26</v>
      </c>
      <c r="C206" s="3" t="s">
        <v>11</v>
      </c>
      <c r="D206" s="3" t="s">
        <v>8</v>
      </c>
      <c r="E206" s="3" t="s">
        <v>16</v>
      </c>
      <c r="F206" s="3" t="s">
        <v>17</v>
      </c>
      <c r="G206" s="3" t="str">
        <f t="shared" si="3"/>
        <v>027SATISFACTION</v>
      </c>
      <c r="H206" s="3">
        <v>2250</v>
      </c>
      <c r="I206" s="3">
        <v>8188</v>
      </c>
      <c r="J206" s="3">
        <v>8188</v>
      </c>
      <c r="K206" s="3">
        <v>2633.1</v>
      </c>
      <c r="L206" s="3">
        <v>19200</v>
      </c>
      <c r="M206" s="11">
        <f>+H206/K206</f>
        <v>0.85450609547681444</v>
      </c>
    </row>
    <row r="207" spans="1:13">
      <c r="A207" s="9">
        <v>2025</v>
      </c>
      <c r="B207" s="3">
        <v>26</v>
      </c>
      <c r="C207" s="3" t="s">
        <v>11</v>
      </c>
      <c r="D207" s="3" t="s">
        <v>8</v>
      </c>
      <c r="E207" s="3" t="s">
        <v>16</v>
      </c>
      <c r="F207" s="3" t="s">
        <v>18</v>
      </c>
      <c r="G207" s="3" t="str">
        <f t="shared" si="3"/>
        <v>027TIFFANY!</v>
      </c>
      <c r="H207" s="3">
        <v>2700</v>
      </c>
      <c r="I207" s="3">
        <v>5916</v>
      </c>
      <c r="J207" s="3">
        <v>5916</v>
      </c>
      <c r="K207" s="3">
        <v>2633.1</v>
      </c>
      <c r="L207" s="3">
        <v>19200</v>
      </c>
      <c r="M207" s="11">
        <f>+H207/K207</f>
        <v>1.0254073145721774</v>
      </c>
    </row>
    <row r="208" spans="1:13">
      <c r="A208" s="9">
        <v>2025</v>
      </c>
      <c r="B208" s="3">
        <v>26</v>
      </c>
      <c r="C208" s="3" t="s">
        <v>11</v>
      </c>
      <c r="D208" s="3" t="s">
        <v>8</v>
      </c>
      <c r="E208" s="3" t="s">
        <v>19</v>
      </c>
      <c r="F208" s="3" t="s">
        <v>20</v>
      </c>
      <c r="G208" s="3" t="str">
        <f t="shared" si="3"/>
        <v>028COTOPAXI</v>
      </c>
      <c r="H208" s="3">
        <v>2670</v>
      </c>
      <c r="I208" s="3">
        <v>4260</v>
      </c>
      <c r="J208" s="3">
        <v>4260</v>
      </c>
      <c r="K208" s="3">
        <v>2852.5250000000001</v>
      </c>
      <c r="L208" s="3">
        <v>20800</v>
      </c>
      <c r="M208" s="11">
        <f>+H208/K208</f>
        <v>0.93601283073767971</v>
      </c>
    </row>
    <row r="209" spans="1:13">
      <c r="A209" s="9">
        <v>2025</v>
      </c>
      <c r="B209" s="3">
        <v>26</v>
      </c>
      <c r="C209" s="3" t="s">
        <v>11</v>
      </c>
      <c r="D209" s="3" t="s">
        <v>8</v>
      </c>
      <c r="E209" s="3" t="s">
        <v>19</v>
      </c>
      <c r="F209" s="3" t="s">
        <v>21</v>
      </c>
      <c r="G209" s="3" t="str">
        <f t="shared" si="3"/>
        <v>028DEEP PURPLE</v>
      </c>
      <c r="H209" s="3">
        <v>3420</v>
      </c>
      <c r="I209" s="3">
        <v>2768</v>
      </c>
      <c r="J209" s="3">
        <v>3330</v>
      </c>
      <c r="K209" s="3">
        <v>2852.5250000000001</v>
      </c>
      <c r="L209" s="3">
        <v>20800</v>
      </c>
      <c r="M209" s="11">
        <f>+H209/K209</f>
        <v>1.1989377831920842</v>
      </c>
    </row>
    <row r="210" spans="1:13">
      <c r="A210" s="9">
        <v>2025</v>
      </c>
      <c r="B210" s="3">
        <v>27</v>
      </c>
      <c r="C210" s="3" t="s">
        <v>7</v>
      </c>
      <c r="D210" s="3" t="s">
        <v>8</v>
      </c>
      <c r="E210" s="3" t="s">
        <v>9</v>
      </c>
      <c r="F210" s="3" t="s">
        <v>10</v>
      </c>
      <c r="G210" s="3" t="str">
        <f t="shared" si="3"/>
        <v>026PURPLE BUBBLY</v>
      </c>
      <c r="H210" s="3">
        <v>550</v>
      </c>
      <c r="I210" s="3">
        <v>4032</v>
      </c>
      <c r="J210" s="3">
        <v>2614</v>
      </c>
      <c r="K210" s="3">
        <v>1755.4</v>
      </c>
      <c r="L210" s="3">
        <v>12800</v>
      </c>
      <c r="M210" s="11">
        <f>+H210/K210</f>
        <v>0.31331890167483195</v>
      </c>
    </row>
    <row r="211" spans="1:13">
      <c r="A211" s="9">
        <v>2025</v>
      </c>
      <c r="B211" s="3">
        <v>27</v>
      </c>
      <c r="C211" s="3" t="s">
        <v>11</v>
      </c>
      <c r="D211" s="3" t="s">
        <v>8</v>
      </c>
      <c r="E211" s="3" t="s">
        <v>12</v>
      </c>
      <c r="F211" s="3" t="s">
        <v>13</v>
      </c>
      <c r="G211" s="3" t="str">
        <f t="shared" si="3"/>
        <v>025PINK MONDIAL</v>
      </c>
      <c r="H211" s="3">
        <v>3525</v>
      </c>
      <c r="I211" s="6">
        <v>4352</v>
      </c>
      <c r="J211" s="6">
        <v>4307</v>
      </c>
      <c r="K211" s="3">
        <v>3071.9505625000002</v>
      </c>
      <c r="L211" s="3">
        <v>22400</v>
      </c>
      <c r="M211" s="11">
        <f>+H211/K211</f>
        <v>1.147479403812834</v>
      </c>
    </row>
    <row r="212" spans="1:13">
      <c r="A212" s="9">
        <v>2025</v>
      </c>
      <c r="B212" s="3">
        <v>27</v>
      </c>
      <c r="C212" s="3" t="s">
        <v>11</v>
      </c>
      <c r="D212" s="3" t="s">
        <v>8</v>
      </c>
      <c r="E212" s="3" t="s">
        <v>9</v>
      </c>
      <c r="F212" s="3" t="s">
        <v>14</v>
      </c>
      <c r="G212" s="3" t="str">
        <f t="shared" si="3"/>
        <v>026LOLA</v>
      </c>
      <c r="H212" s="3">
        <v>3900</v>
      </c>
      <c r="I212" s="6">
        <v>5189</v>
      </c>
      <c r="J212" s="6">
        <v>5095</v>
      </c>
      <c r="K212" s="3">
        <v>1097.125</v>
      </c>
      <c r="L212" s="3">
        <v>8000</v>
      </c>
      <c r="M212" s="11">
        <f>+H212/K212</f>
        <v>3.5547453571835481</v>
      </c>
    </row>
    <row r="213" spans="1:13">
      <c r="A213" s="9">
        <v>2025</v>
      </c>
      <c r="B213" s="3">
        <v>27</v>
      </c>
      <c r="C213" s="3" t="s">
        <v>11</v>
      </c>
      <c r="D213" s="3" t="s">
        <v>8</v>
      </c>
      <c r="E213" s="3" t="s">
        <v>9</v>
      </c>
      <c r="F213" s="3" t="s">
        <v>15</v>
      </c>
      <c r="G213" s="3" t="str">
        <f t="shared" si="3"/>
        <v>026PALOMA</v>
      </c>
      <c r="H213" s="3">
        <v>4425</v>
      </c>
      <c r="I213" s="6">
        <v>5564</v>
      </c>
      <c r="J213" s="6">
        <v>5564</v>
      </c>
      <c r="K213" s="3">
        <v>2852.5250000000001</v>
      </c>
      <c r="L213" s="3">
        <v>20800</v>
      </c>
      <c r="M213" s="11">
        <f>+H213/K213</f>
        <v>1.5512572194809862</v>
      </c>
    </row>
    <row r="214" spans="1:13">
      <c r="A214" s="9">
        <v>2025</v>
      </c>
      <c r="B214" s="3">
        <v>27</v>
      </c>
      <c r="C214" s="3" t="s">
        <v>11</v>
      </c>
      <c r="D214" s="3" t="s">
        <v>8</v>
      </c>
      <c r="E214" s="3" t="s">
        <v>16</v>
      </c>
      <c r="F214" s="3" t="s">
        <v>17</v>
      </c>
      <c r="G214" s="3" t="str">
        <f t="shared" si="3"/>
        <v>027SATISFACTION</v>
      </c>
      <c r="H214" s="3">
        <v>1860</v>
      </c>
      <c r="I214" s="6">
        <v>5696</v>
      </c>
      <c r="J214" s="6">
        <v>5696</v>
      </c>
      <c r="K214" s="3">
        <v>2633.1</v>
      </c>
      <c r="L214" s="3">
        <v>19200</v>
      </c>
      <c r="M214" s="11">
        <f>+H214/K214</f>
        <v>0.70639170559416664</v>
      </c>
    </row>
    <row r="215" spans="1:13">
      <c r="A215" s="9">
        <v>2025</v>
      </c>
      <c r="B215" s="3">
        <v>27</v>
      </c>
      <c r="C215" s="3" t="s">
        <v>11</v>
      </c>
      <c r="D215" s="3" t="s">
        <v>8</v>
      </c>
      <c r="E215" s="3" t="s">
        <v>16</v>
      </c>
      <c r="F215" s="3" t="s">
        <v>18</v>
      </c>
      <c r="G215" s="3" t="str">
        <f t="shared" si="3"/>
        <v>027TIFFANY!</v>
      </c>
      <c r="H215" s="3">
        <v>1830</v>
      </c>
      <c r="I215" s="6">
        <v>7743</v>
      </c>
      <c r="J215" s="6">
        <v>6628</v>
      </c>
      <c r="K215" s="3">
        <v>2633.1</v>
      </c>
      <c r="L215" s="3">
        <v>19200</v>
      </c>
      <c r="M215" s="11">
        <f>+H215/K215</f>
        <v>0.69499829098780908</v>
      </c>
    </row>
    <row r="216" spans="1:13">
      <c r="A216" s="9">
        <v>2025</v>
      </c>
      <c r="B216" s="3">
        <v>27</v>
      </c>
      <c r="C216" s="3" t="s">
        <v>11</v>
      </c>
      <c r="D216" s="3" t="s">
        <v>8</v>
      </c>
      <c r="E216" s="3" t="s">
        <v>19</v>
      </c>
      <c r="F216" s="3" t="s">
        <v>20</v>
      </c>
      <c r="G216" s="3" t="str">
        <f t="shared" si="3"/>
        <v>028COTOPAXI</v>
      </c>
      <c r="H216" s="3">
        <v>4800</v>
      </c>
      <c r="I216" s="6">
        <v>7518</v>
      </c>
      <c r="J216" s="6">
        <v>8305</v>
      </c>
      <c r="K216" s="3">
        <v>2852.5250000000001</v>
      </c>
      <c r="L216" s="3">
        <v>20800</v>
      </c>
      <c r="M216" s="11">
        <f>+H216/K216</f>
        <v>1.6827196957081882</v>
      </c>
    </row>
    <row r="217" spans="1:13">
      <c r="A217" s="9">
        <v>2025</v>
      </c>
      <c r="B217" s="3">
        <v>27</v>
      </c>
      <c r="C217" s="3" t="s">
        <v>11</v>
      </c>
      <c r="D217" s="3" t="s">
        <v>8</v>
      </c>
      <c r="E217" s="3" t="s">
        <v>19</v>
      </c>
      <c r="F217" s="3" t="s">
        <v>21</v>
      </c>
      <c r="G217" s="3" t="str">
        <f t="shared" si="3"/>
        <v>028DEEP PURPLE</v>
      </c>
      <c r="H217" s="3">
        <v>4140</v>
      </c>
      <c r="I217" s="6">
        <v>8875</v>
      </c>
      <c r="J217" s="6">
        <v>8875</v>
      </c>
      <c r="K217" s="3">
        <v>2852.5250000000001</v>
      </c>
      <c r="L217" s="3">
        <v>20800</v>
      </c>
      <c r="M217" s="11">
        <f>+H217/K217</f>
        <v>1.4513457375483123</v>
      </c>
    </row>
    <row r="218" spans="1:13">
      <c r="A218" s="9">
        <v>2025</v>
      </c>
      <c r="B218" s="3">
        <v>28</v>
      </c>
      <c r="C218" s="3" t="s">
        <v>7</v>
      </c>
      <c r="D218" s="3" t="s">
        <v>8</v>
      </c>
      <c r="E218" s="3" t="s">
        <v>9</v>
      </c>
      <c r="F218" s="3" t="s">
        <v>10</v>
      </c>
      <c r="G218" s="3" t="str">
        <f t="shared" si="3"/>
        <v>026PURPLE BUBBLY</v>
      </c>
      <c r="H218" s="3">
        <v>620</v>
      </c>
      <c r="I218" s="6">
        <v>9664</v>
      </c>
      <c r="J218" s="6">
        <v>9664</v>
      </c>
      <c r="K218" s="3">
        <v>1755.4</v>
      </c>
      <c r="L218" s="3">
        <v>12800</v>
      </c>
      <c r="M218" s="11">
        <f>+H218/K218</f>
        <v>0.35319585279708327</v>
      </c>
    </row>
    <row r="219" spans="1:13">
      <c r="A219" s="9">
        <v>2025</v>
      </c>
      <c r="B219" s="3">
        <v>28</v>
      </c>
      <c r="C219" s="3" t="s">
        <v>11</v>
      </c>
      <c r="D219" s="3" t="s">
        <v>8</v>
      </c>
      <c r="E219" s="3" t="s">
        <v>12</v>
      </c>
      <c r="F219" s="3" t="s">
        <v>13</v>
      </c>
      <c r="G219" s="3" t="str">
        <f t="shared" si="3"/>
        <v>025PINK MONDIAL</v>
      </c>
      <c r="H219" s="3">
        <v>4050</v>
      </c>
      <c r="I219" s="6">
        <v>6877</v>
      </c>
      <c r="J219" s="6">
        <v>7917</v>
      </c>
      <c r="K219" s="3">
        <v>3071.9505625000002</v>
      </c>
      <c r="L219" s="3">
        <v>22400</v>
      </c>
      <c r="M219" s="11">
        <f>+H219/K219</f>
        <v>1.3183805916147453</v>
      </c>
    </row>
    <row r="220" spans="1:13">
      <c r="A220" s="9">
        <v>2025</v>
      </c>
      <c r="B220" s="3">
        <v>28</v>
      </c>
      <c r="C220" s="3" t="s">
        <v>11</v>
      </c>
      <c r="D220" s="3" t="s">
        <v>8</v>
      </c>
      <c r="E220" s="3" t="s">
        <v>9</v>
      </c>
      <c r="F220" s="3" t="s">
        <v>14</v>
      </c>
      <c r="G220" s="3" t="str">
        <f t="shared" si="3"/>
        <v>026LOLA</v>
      </c>
      <c r="H220" s="3">
        <v>4975</v>
      </c>
      <c r="I220" s="3">
        <v>5337</v>
      </c>
      <c r="J220" s="3">
        <v>4852</v>
      </c>
      <c r="K220" s="3">
        <v>1097.125</v>
      </c>
      <c r="L220" s="3">
        <v>8000</v>
      </c>
      <c r="M220" s="11">
        <f>+H220/K220</f>
        <v>4.534579013330295</v>
      </c>
    </row>
    <row r="221" spans="1:13">
      <c r="A221" s="9">
        <v>2025</v>
      </c>
      <c r="B221" s="3">
        <v>28</v>
      </c>
      <c r="C221" s="3" t="s">
        <v>11</v>
      </c>
      <c r="D221" s="3" t="s">
        <v>8</v>
      </c>
      <c r="E221" s="3" t="s">
        <v>9</v>
      </c>
      <c r="F221" s="3" t="s">
        <v>15</v>
      </c>
      <c r="G221" s="3" t="str">
        <f t="shared" si="3"/>
        <v>026PALOMA</v>
      </c>
      <c r="H221" s="3">
        <v>5875</v>
      </c>
      <c r="I221" s="3">
        <v>4263</v>
      </c>
      <c r="J221" s="3">
        <v>5017</v>
      </c>
      <c r="K221" s="3">
        <v>2852.5250000000001</v>
      </c>
      <c r="L221" s="3">
        <v>20800</v>
      </c>
      <c r="M221" s="11">
        <f>+H221/K221</f>
        <v>2.0595787942261681</v>
      </c>
    </row>
    <row r="222" spans="1:13">
      <c r="A222" s="9">
        <v>2025</v>
      </c>
      <c r="B222" s="3">
        <v>28</v>
      </c>
      <c r="C222" s="3" t="s">
        <v>11</v>
      </c>
      <c r="D222" s="3" t="s">
        <v>8</v>
      </c>
      <c r="E222" s="3" t="s">
        <v>16</v>
      </c>
      <c r="F222" s="3" t="s">
        <v>17</v>
      </c>
      <c r="G222" s="3" t="str">
        <f t="shared" si="3"/>
        <v>027SATISFACTION</v>
      </c>
      <c r="H222" s="3">
        <v>2430</v>
      </c>
      <c r="I222" s="3">
        <v>4590</v>
      </c>
      <c r="J222" s="3">
        <v>4153</v>
      </c>
      <c r="K222" s="3">
        <v>2633.1</v>
      </c>
      <c r="L222" s="3">
        <v>19200</v>
      </c>
      <c r="M222" s="11">
        <f>+H222/K222</f>
        <v>0.92286658311495962</v>
      </c>
    </row>
    <row r="223" spans="1:13">
      <c r="A223" s="9">
        <v>2025</v>
      </c>
      <c r="B223" s="3">
        <v>28</v>
      </c>
      <c r="C223" s="3" t="s">
        <v>11</v>
      </c>
      <c r="D223" s="3" t="s">
        <v>8</v>
      </c>
      <c r="E223" s="3" t="s">
        <v>16</v>
      </c>
      <c r="F223" s="3" t="s">
        <v>18</v>
      </c>
      <c r="G223" s="3" t="str">
        <f t="shared" si="3"/>
        <v>027TIFFANY!</v>
      </c>
      <c r="H223" s="3">
        <v>1890</v>
      </c>
      <c r="I223" s="3">
        <v>4312</v>
      </c>
      <c r="J223" s="3">
        <v>4227</v>
      </c>
      <c r="K223" s="3">
        <v>2633.1</v>
      </c>
      <c r="L223" s="3">
        <v>19200</v>
      </c>
      <c r="M223" s="11">
        <f>+H223/K223</f>
        <v>0.7177851202005241</v>
      </c>
    </row>
    <row r="224" spans="1:13">
      <c r="A224" s="9">
        <v>2025</v>
      </c>
      <c r="B224" s="3">
        <v>28</v>
      </c>
      <c r="C224" s="3" t="s">
        <v>11</v>
      </c>
      <c r="D224" s="3" t="s">
        <v>8</v>
      </c>
      <c r="E224" s="3" t="s">
        <v>19</v>
      </c>
      <c r="F224" s="3" t="s">
        <v>20</v>
      </c>
      <c r="G224" s="3" t="str">
        <f t="shared" si="3"/>
        <v>028COTOPAXI</v>
      </c>
      <c r="H224" s="3">
        <v>3750</v>
      </c>
      <c r="I224" s="3">
        <v>5649</v>
      </c>
      <c r="J224" s="3">
        <v>5556</v>
      </c>
      <c r="K224" s="3">
        <v>2852.5250000000001</v>
      </c>
      <c r="L224" s="3">
        <v>20800</v>
      </c>
      <c r="M224" s="11">
        <f>+H224/K224</f>
        <v>1.3146247622720222</v>
      </c>
    </row>
    <row r="225" spans="1:13">
      <c r="A225" s="9">
        <v>2025</v>
      </c>
      <c r="B225" s="3">
        <v>28</v>
      </c>
      <c r="C225" s="3" t="s">
        <v>11</v>
      </c>
      <c r="D225" s="3" t="s">
        <v>8</v>
      </c>
      <c r="E225" s="3" t="s">
        <v>19</v>
      </c>
      <c r="F225" s="3" t="s">
        <v>21</v>
      </c>
      <c r="G225" s="3" t="str">
        <f t="shared" si="3"/>
        <v>028DEEP PURPLE</v>
      </c>
      <c r="H225" s="3">
        <v>7260</v>
      </c>
      <c r="I225" s="3">
        <v>5274</v>
      </c>
      <c r="J225" s="3">
        <v>6169</v>
      </c>
      <c r="K225" s="3">
        <v>2852.5250000000001</v>
      </c>
      <c r="L225" s="3">
        <v>20800</v>
      </c>
      <c r="M225" s="11">
        <f>+H225/K225</f>
        <v>2.5451135397586349</v>
      </c>
    </row>
    <row r="226" spans="1:13">
      <c r="A226" s="9">
        <v>2025</v>
      </c>
      <c r="B226" s="3">
        <v>29</v>
      </c>
      <c r="C226" s="3" t="s">
        <v>7</v>
      </c>
      <c r="D226" s="3" t="s">
        <v>8</v>
      </c>
      <c r="E226" s="3" t="s">
        <v>9</v>
      </c>
      <c r="F226" s="3" t="s">
        <v>10</v>
      </c>
      <c r="G226" s="3" t="str">
        <f t="shared" si="3"/>
        <v>026PURPLE BUBBLY</v>
      </c>
      <c r="H226" s="3">
        <v>770</v>
      </c>
      <c r="I226" s="3">
        <v>7311</v>
      </c>
      <c r="J226" s="3">
        <v>6926</v>
      </c>
      <c r="K226" s="3">
        <v>1755.4</v>
      </c>
      <c r="L226" s="3">
        <v>12800</v>
      </c>
      <c r="M226" s="11">
        <f>+H226/K226</f>
        <v>0.43864646234476468</v>
      </c>
    </row>
    <row r="227" spans="1:13">
      <c r="A227" s="9">
        <v>2025</v>
      </c>
      <c r="B227" s="3">
        <v>29</v>
      </c>
      <c r="C227" s="3" t="s">
        <v>11</v>
      </c>
      <c r="D227" s="3" t="s">
        <v>8</v>
      </c>
      <c r="E227" s="3" t="s">
        <v>12</v>
      </c>
      <c r="F227" s="3" t="s">
        <v>13</v>
      </c>
      <c r="G227" s="3" t="str">
        <f t="shared" si="3"/>
        <v>025PINK MONDIAL</v>
      </c>
      <c r="H227" s="3">
        <v>4675</v>
      </c>
      <c r="I227" s="3">
        <v>9284</v>
      </c>
      <c r="J227" s="3">
        <v>9274</v>
      </c>
      <c r="K227" s="3">
        <v>3071.9505625000002</v>
      </c>
      <c r="L227" s="3">
        <v>22400</v>
      </c>
      <c r="M227" s="11">
        <f>+H227/K227</f>
        <v>1.521834386617021</v>
      </c>
    </row>
    <row r="228" spans="1:13">
      <c r="A228" s="9">
        <v>2025</v>
      </c>
      <c r="B228" s="3">
        <v>29</v>
      </c>
      <c r="C228" s="3" t="s">
        <v>11</v>
      </c>
      <c r="D228" s="3" t="s">
        <v>8</v>
      </c>
      <c r="E228" s="3" t="s">
        <v>9</v>
      </c>
      <c r="F228" s="3" t="s">
        <v>14</v>
      </c>
      <c r="G228" s="3" t="str">
        <f t="shared" si="3"/>
        <v>026LOLA</v>
      </c>
      <c r="H228" s="3">
        <v>5225</v>
      </c>
      <c r="I228" s="3">
        <v>10569</v>
      </c>
      <c r="J228" s="3">
        <v>9385</v>
      </c>
      <c r="K228" s="3">
        <v>1097.125</v>
      </c>
      <c r="L228" s="3">
        <v>8000</v>
      </c>
      <c r="M228" s="11">
        <f>+H228/K228</f>
        <v>4.7624473054574459</v>
      </c>
    </row>
    <row r="229" spans="1:13">
      <c r="A229" s="9">
        <v>2025</v>
      </c>
      <c r="B229" s="3">
        <v>29</v>
      </c>
      <c r="C229" s="3" t="s">
        <v>11</v>
      </c>
      <c r="D229" s="3" t="s">
        <v>8</v>
      </c>
      <c r="E229" s="3" t="s">
        <v>9</v>
      </c>
      <c r="F229" s="3" t="s">
        <v>15</v>
      </c>
      <c r="G229" s="3" t="str">
        <f t="shared" si="3"/>
        <v>026PALOMA</v>
      </c>
      <c r="H229" s="3">
        <v>6325</v>
      </c>
      <c r="I229" s="3">
        <v>5310</v>
      </c>
      <c r="J229" s="3">
        <v>5900</v>
      </c>
      <c r="K229" s="3">
        <v>2852.5250000000001</v>
      </c>
      <c r="L229" s="3">
        <v>20800</v>
      </c>
      <c r="M229" s="11">
        <f>+H229/K229</f>
        <v>2.2173337656988106</v>
      </c>
    </row>
    <row r="230" spans="1:13">
      <c r="A230" s="9">
        <v>2025</v>
      </c>
      <c r="B230" s="3">
        <v>29</v>
      </c>
      <c r="C230" s="3" t="s">
        <v>11</v>
      </c>
      <c r="D230" s="3" t="s">
        <v>8</v>
      </c>
      <c r="E230" s="3" t="s">
        <v>16</v>
      </c>
      <c r="F230" s="3" t="s">
        <v>17</v>
      </c>
      <c r="G230" s="3" t="str">
        <f t="shared" si="3"/>
        <v>027SATISFACTION</v>
      </c>
      <c r="H230" s="3">
        <v>2610</v>
      </c>
      <c r="I230" s="3">
        <v>5965</v>
      </c>
      <c r="J230" s="3">
        <v>3451</v>
      </c>
      <c r="K230" s="3">
        <v>2633.1</v>
      </c>
      <c r="L230" s="3">
        <v>19200</v>
      </c>
      <c r="M230" s="11">
        <f>+H230/K230</f>
        <v>0.99122707075310479</v>
      </c>
    </row>
    <row r="231" spans="1:13">
      <c r="A231" s="9">
        <v>2025</v>
      </c>
      <c r="B231" s="3">
        <v>29</v>
      </c>
      <c r="C231" s="3" t="s">
        <v>11</v>
      </c>
      <c r="D231" s="3" t="s">
        <v>8</v>
      </c>
      <c r="E231" s="3" t="s">
        <v>16</v>
      </c>
      <c r="F231" s="3" t="s">
        <v>18</v>
      </c>
      <c r="G231" s="3" t="str">
        <f t="shared" si="3"/>
        <v>027TIFFANY!</v>
      </c>
      <c r="H231" s="3">
        <v>2040</v>
      </c>
      <c r="I231" s="3">
        <v>5542</v>
      </c>
      <c r="J231" s="3">
        <v>5261</v>
      </c>
      <c r="K231" s="3">
        <v>2633.1</v>
      </c>
      <c r="L231" s="3">
        <v>19200</v>
      </c>
      <c r="M231" s="11">
        <f>+H231/K231</f>
        <v>0.7747521932323117</v>
      </c>
    </row>
    <row r="232" spans="1:13">
      <c r="A232" s="9">
        <v>2025</v>
      </c>
      <c r="B232" s="3">
        <v>29</v>
      </c>
      <c r="C232" s="3" t="s">
        <v>11</v>
      </c>
      <c r="D232" s="3" t="s">
        <v>8</v>
      </c>
      <c r="E232" s="3" t="s">
        <v>19</v>
      </c>
      <c r="F232" s="3" t="s">
        <v>20</v>
      </c>
      <c r="G232" s="3" t="str">
        <f t="shared" si="3"/>
        <v>028COTOPAXI</v>
      </c>
      <c r="H232" s="3">
        <v>3210</v>
      </c>
      <c r="I232" s="3">
        <v>5799</v>
      </c>
      <c r="J232" s="3">
        <v>5155</v>
      </c>
      <c r="K232" s="3">
        <v>2852.5250000000001</v>
      </c>
      <c r="L232" s="3">
        <v>20800</v>
      </c>
      <c r="M232" s="11">
        <f>+H232/K232</f>
        <v>1.125318796504851</v>
      </c>
    </row>
    <row r="233" spans="1:13">
      <c r="A233" s="9">
        <v>2025</v>
      </c>
      <c r="B233" s="3">
        <v>29</v>
      </c>
      <c r="C233" s="3" t="s">
        <v>11</v>
      </c>
      <c r="D233" s="3" t="s">
        <v>8</v>
      </c>
      <c r="E233" s="3" t="s">
        <v>19</v>
      </c>
      <c r="F233" s="3" t="s">
        <v>21</v>
      </c>
      <c r="G233" s="3" t="str">
        <f t="shared" si="3"/>
        <v>028DEEP PURPLE</v>
      </c>
      <c r="H233" s="3">
        <v>7440</v>
      </c>
      <c r="I233" s="3">
        <v>4877</v>
      </c>
      <c r="J233" s="3">
        <v>5544</v>
      </c>
      <c r="K233" s="3">
        <v>2852.5250000000001</v>
      </c>
      <c r="L233" s="3">
        <v>20800</v>
      </c>
      <c r="M233" s="11">
        <f>+H233/K233</f>
        <v>2.6082155283476918</v>
      </c>
    </row>
    <row r="234" spans="1:13">
      <c r="A234" s="9">
        <v>2025</v>
      </c>
      <c r="B234" s="3">
        <v>30</v>
      </c>
      <c r="C234" s="3" t="s">
        <v>7</v>
      </c>
      <c r="D234" s="3" t="s">
        <v>8</v>
      </c>
      <c r="E234" s="3" t="s">
        <v>9</v>
      </c>
      <c r="F234" s="3" t="s">
        <v>10</v>
      </c>
      <c r="G234" s="3" t="str">
        <f t="shared" si="3"/>
        <v>026PURPLE BUBBLY</v>
      </c>
      <c r="H234" s="3">
        <v>910</v>
      </c>
      <c r="I234" s="3">
        <v>4963</v>
      </c>
      <c r="J234" s="3">
        <v>4922</v>
      </c>
      <c r="K234" s="3">
        <v>1755.4</v>
      </c>
      <c r="L234" s="3">
        <v>12800</v>
      </c>
      <c r="M234" s="11">
        <f>+H234/K234</f>
        <v>0.51840036458926742</v>
      </c>
    </row>
    <row r="235" spans="1:13">
      <c r="A235" s="9">
        <v>2025</v>
      </c>
      <c r="B235" s="3">
        <v>30</v>
      </c>
      <c r="C235" s="3" t="s">
        <v>11</v>
      </c>
      <c r="D235" s="3" t="s">
        <v>8</v>
      </c>
      <c r="E235" s="3" t="s">
        <v>12</v>
      </c>
      <c r="F235" s="3" t="s">
        <v>13</v>
      </c>
      <c r="G235" s="3" t="str">
        <f t="shared" si="3"/>
        <v>025PINK MONDIAL</v>
      </c>
      <c r="H235" s="3">
        <v>5825</v>
      </c>
      <c r="I235" s="3">
        <v>4932</v>
      </c>
      <c r="J235" s="3">
        <v>5100</v>
      </c>
      <c r="K235" s="3">
        <v>3071.9505625000002</v>
      </c>
      <c r="L235" s="3">
        <v>22400</v>
      </c>
      <c r="M235" s="11">
        <f>+H235/K235</f>
        <v>1.8961893694212077</v>
      </c>
    </row>
    <row r="236" spans="1:13">
      <c r="A236" s="9">
        <v>2025</v>
      </c>
      <c r="B236" s="3">
        <v>30</v>
      </c>
      <c r="C236" s="3" t="s">
        <v>11</v>
      </c>
      <c r="D236" s="3" t="s">
        <v>8</v>
      </c>
      <c r="E236" s="3" t="s">
        <v>9</v>
      </c>
      <c r="F236" s="3" t="s">
        <v>14</v>
      </c>
      <c r="G236" s="3" t="str">
        <f t="shared" si="3"/>
        <v>026LOLA</v>
      </c>
      <c r="H236" s="3">
        <v>6750</v>
      </c>
      <c r="I236" s="3">
        <v>5356</v>
      </c>
      <c r="J236" s="3">
        <v>5049</v>
      </c>
      <c r="K236" s="3">
        <v>1097.125</v>
      </c>
      <c r="L236" s="3">
        <v>8000</v>
      </c>
      <c r="M236" s="11">
        <f>+H236/K236</f>
        <v>6.1524438874330638</v>
      </c>
    </row>
    <row r="237" spans="1:13">
      <c r="A237" s="9">
        <v>2025</v>
      </c>
      <c r="B237" s="3">
        <v>30</v>
      </c>
      <c r="C237" s="3" t="s">
        <v>11</v>
      </c>
      <c r="D237" s="3" t="s">
        <v>8</v>
      </c>
      <c r="E237" s="3" t="s">
        <v>9</v>
      </c>
      <c r="F237" s="3" t="s">
        <v>15</v>
      </c>
      <c r="G237" s="3" t="str">
        <f t="shared" si="3"/>
        <v>026PALOMA</v>
      </c>
      <c r="H237" s="3">
        <v>7350</v>
      </c>
      <c r="I237" s="3">
        <v>5528</v>
      </c>
      <c r="J237" s="3">
        <v>6268</v>
      </c>
      <c r="K237" s="3">
        <v>2852.5250000000001</v>
      </c>
      <c r="L237" s="3">
        <v>20800</v>
      </c>
      <c r="M237" s="11">
        <f>+H237/K237</f>
        <v>2.5766645340531635</v>
      </c>
    </row>
    <row r="238" spans="1:13">
      <c r="A238" s="9">
        <v>2025</v>
      </c>
      <c r="B238" s="3">
        <v>30</v>
      </c>
      <c r="C238" s="3" t="s">
        <v>11</v>
      </c>
      <c r="D238" s="3" t="s">
        <v>8</v>
      </c>
      <c r="E238" s="3" t="s">
        <v>16</v>
      </c>
      <c r="F238" s="3" t="s">
        <v>17</v>
      </c>
      <c r="G238" s="3" t="str">
        <f t="shared" si="3"/>
        <v>027SATISFACTION</v>
      </c>
      <c r="H238" s="3">
        <v>4200</v>
      </c>
      <c r="I238" s="3">
        <v>5753</v>
      </c>
      <c r="J238" s="3">
        <v>5753</v>
      </c>
      <c r="K238" s="3">
        <v>2633.1</v>
      </c>
      <c r="L238" s="3">
        <v>19200</v>
      </c>
      <c r="M238" s="11">
        <f>+H238/K238</f>
        <v>1.5950780448900537</v>
      </c>
    </row>
    <row r="239" spans="1:13">
      <c r="A239" s="9">
        <v>2025</v>
      </c>
      <c r="B239" s="3">
        <v>30</v>
      </c>
      <c r="C239" s="3" t="s">
        <v>11</v>
      </c>
      <c r="D239" s="3" t="s">
        <v>8</v>
      </c>
      <c r="E239" s="3" t="s">
        <v>16</v>
      </c>
      <c r="F239" s="3" t="s">
        <v>18</v>
      </c>
      <c r="G239" s="3" t="str">
        <f t="shared" si="3"/>
        <v>027TIFFANY!</v>
      </c>
      <c r="H239" s="3">
        <v>3330</v>
      </c>
      <c r="I239" s="3">
        <v>9617</v>
      </c>
      <c r="J239" s="3">
        <v>10123</v>
      </c>
      <c r="K239" s="3">
        <v>2633.1</v>
      </c>
      <c r="L239" s="3">
        <v>19200</v>
      </c>
      <c r="M239" s="11">
        <f>+H239/K239</f>
        <v>1.2646690213056853</v>
      </c>
    </row>
    <row r="240" spans="1:13">
      <c r="A240" s="9">
        <v>2025</v>
      </c>
      <c r="B240" s="3">
        <v>30</v>
      </c>
      <c r="C240" s="3" t="s">
        <v>11</v>
      </c>
      <c r="D240" s="3" t="s">
        <v>8</v>
      </c>
      <c r="E240" s="3" t="s">
        <v>19</v>
      </c>
      <c r="F240" s="3" t="s">
        <v>20</v>
      </c>
      <c r="G240" s="3" t="str">
        <f t="shared" si="3"/>
        <v>028COTOPAXI</v>
      </c>
      <c r="H240" s="3">
        <v>2460</v>
      </c>
      <c r="I240" s="3">
        <v>11477</v>
      </c>
      <c r="J240" s="3">
        <v>11477</v>
      </c>
      <c r="K240" s="3">
        <v>2852.5250000000001</v>
      </c>
      <c r="L240" s="3">
        <v>20800</v>
      </c>
      <c r="M240" s="11">
        <f>+H240/K240</f>
        <v>0.8623938440504465</v>
      </c>
    </row>
    <row r="241" spans="1:13">
      <c r="A241" s="9">
        <v>2025</v>
      </c>
      <c r="B241" s="3">
        <v>30</v>
      </c>
      <c r="C241" s="3" t="s">
        <v>11</v>
      </c>
      <c r="D241" s="3" t="s">
        <v>8</v>
      </c>
      <c r="E241" s="3" t="s">
        <v>19</v>
      </c>
      <c r="F241" s="3" t="s">
        <v>21</v>
      </c>
      <c r="G241" s="3" t="str">
        <f t="shared" si="3"/>
        <v>028DEEP PURPLE</v>
      </c>
      <c r="H241" s="3">
        <v>9150</v>
      </c>
      <c r="I241" s="3">
        <v>9396</v>
      </c>
      <c r="J241" s="3">
        <v>9396</v>
      </c>
      <c r="K241" s="3">
        <v>2852.5250000000001</v>
      </c>
      <c r="L241" s="3">
        <v>20800</v>
      </c>
      <c r="M241" s="11">
        <f>+H241/K241</f>
        <v>3.207684419943734</v>
      </c>
    </row>
    <row r="242" spans="1:13">
      <c r="A242" s="9">
        <v>2025</v>
      </c>
      <c r="B242" s="3">
        <v>31</v>
      </c>
      <c r="C242" s="3" t="s">
        <v>7</v>
      </c>
      <c r="D242" s="3" t="s">
        <v>8</v>
      </c>
      <c r="E242" s="3" t="s">
        <v>9</v>
      </c>
      <c r="F242" s="3" t="s">
        <v>10</v>
      </c>
      <c r="G242" s="3" t="str">
        <f t="shared" si="3"/>
        <v>026PURPLE BUBBLY</v>
      </c>
      <c r="H242" s="3">
        <v>1110</v>
      </c>
      <c r="I242" s="3">
        <v>6201</v>
      </c>
      <c r="J242" s="3">
        <v>5637</v>
      </c>
      <c r="K242" s="3">
        <v>1755.4</v>
      </c>
      <c r="L242" s="3">
        <v>12800</v>
      </c>
      <c r="M242" s="11">
        <f>+H242/K242</f>
        <v>0.63233451065284263</v>
      </c>
    </row>
    <row r="243" spans="1:13">
      <c r="A243" s="9">
        <v>2025</v>
      </c>
      <c r="B243" s="3">
        <v>31</v>
      </c>
      <c r="C243" s="3" t="s">
        <v>11</v>
      </c>
      <c r="D243" s="3" t="s">
        <v>8</v>
      </c>
      <c r="E243" s="3" t="s">
        <v>12</v>
      </c>
      <c r="F243" s="3" t="s">
        <v>13</v>
      </c>
      <c r="G243" s="3" t="str">
        <f t="shared" si="3"/>
        <v>025PINK MONDIAL</v>
      </c>
      <c r="H243" s="3">
        <v>5725</v>
      </c>
      <c r="I243" s="3">
        <v>6489</v>
      </c>
      <c r="J243" s="3">
        <v>5829</v>
      </c>
      <c r="K243" s="3">
        <v>3071.9505625000002</v>
      </c>
      <c r="L243" s="3">
        <v>22400</v>
      </c>
      <c r="M243" s="11">
        <f>+H243/K243</f>
        <v>1.8636367622208438</v>
      </c>
    </row>
    <row r="244" spans="1:13">
      <c r="A244" s="9">
        <v>2025</v>
      </c>
      <c r="B244" s="3">
        <v>31</v>
      </c>
      <c r="C244" s="3" t="s">
        <v>11</v>
      </c>
      <c r="D244" s="3" t="s">
        <v>8</v>
      </c>
      <c r="E244" s="3" t="s">
        <v>9</v>
      </c>
      <c r="F244" s="3" t="s">
        <v>14</v>
      </c>
      <c r="G244" s="3" t="str">
        <f t="shared" si="3"/>
        <v>026LOLA</v>
      </c>
      <c r="H244" s="3">
        <v>5250</v>
      </c>
      <c r="I244" s="3">
        <v>6173</v>
      </c>
      <c r="J244" s="3">
        <v>5751</v>
      </c>
      <c r="K244" s="3">
        <v>1097.125</v>
      </c>
      <c r="L244" s="3">
        <v>8000</v>
      </c>
      <c r="M244" s="11">
        <f>+H244/K244</f>
        <v>4.7852341346701603</v>
      </c>
    </row>
    <row r="245" spans="1:13">
      <c r="A245" s="9">
        <v>2025</v>
      </c>
      <c r="B245" s="3">
        <v>31</v>
      </c>
      <c r="C245" s="3" t="s">
        <v>11</v>
      </c>
      <c r="D245" s="3" t="s">
        <v>8</v>
      </c>
      <c r="E245" s="3" t="s">
        <v>9</v>
      </c>
      <c r="F245" s="3" t="s">
        <v>15</v>
      </c>
      <c r="G245" s="3" t="str">
        <f t="shared" si="3"/>
        <v>026PALOMA</v>
      </c>
      <c r="H245" s="3">
        <v>7075</v>
      </c>
      <c r="I245" s="3">
        <v>6251</v>
      </c>
      <c r="J245" s="3">
        <v>5720</v>
      </c>
      <c r="K245" s="3">
        <v>2852.5250000000001</v>
      </c>
      <c r="L245" s="3">
        <v>20800</v>
      </c>
      <c r="M245" s="11">
        <f>+H245/K245</f>
        <v>2.4802587181532152</v>
      </c>
    </row>
    <row r="246" spans="1:13">
      <c r="A246" s="9">
        <v>2025</v>
      </c>
      <c r="B246" s="3">
        <v>31</v>
      </c>
      <c r="C246" s="3" t="s">
        <v>11</v>
      </c>
      <c r="D246" s="3" t="s">
        <v>8</v>
      </c>
      <c r="E246" s="3" t="s">
        <v>16</v>
      </c>
      <c r="F246" s="3" t="s">
        <v>17</v>
      </c>
      <c r="G246" s="3" t="str">
        <f t="shared" si="3"/>
        <v>027SATISFACTION</v>
      </c>
      <c r="H246" s="3">
        <v>7440</v>
      </c>
      <c r="I246" s="3">
        <v>6486</v>
      </c>
      <c r="J246" s="3">
        <v>6486</v>
      </c>
      <c r="K246" s="3">
        <v>2633.1</v>
      </c>
      <c r="L246" s="3">
        <v>19200</v>
      </c>
      <c r="M246" s="11">
        <f>+H246/K246</f>
        <v>2.8255668223766666</v>
      </c>
    </row>
    <row r="247" spans="1:13">
      <c r="A247" s="9">
        <v>2025</v>
      </c>
      <c r="B247" s="3">
        <v>31</v>
      </c>
      <c r="C247" s="3" t="s">
        <v>11</v>
      </c>
      <c r="D247" s="3" t="s">
        <v>8</v>
      </c>
      <c r="E247" s="3" t="s">
        <v>16</v>
      </c>
      <c r="F247" s="3" t="s">
        <v>18</v>
      </c>
      <c r="G247" s="3" t="str">
        <f t="shared" si="3"/>
        <v>027TIFFANY!</v>
      </c>
      <c r="H247" s="3">
        <v>6270</v>
      </c>
      <c r="I247" s="3">
        <v>5985</v>
      </c>
      <c r="J247" s="3">
        <v>7031</v>
      </c>
      <c r="K247" s="3">
        <v>2633.1</v>
      </c>
      <c r="L247" s="3">
        <v>19200</v>
      </c>
      <c r="M247" s="11">
        <f>+H247/K247</f>
        <v>2.3812236527287229</v>
      </c>
    </row>
    <row r="248" spans="1:13">
      <c r="A248" s="9">
        <v>2025</v>
      </c>
      <c r="B248" s="3">
        <v>31</v>
      </c>
      <c r="C248" s="3" t="s">
        <v>11</v>
      </c>
      <c r="D248" s="3" t="s">
        <v>8</v>
      </c>
      <c r="E248" s="3" t="s">
        <v>19</v>
      </c>
      <c r="F248" s="3" t="s">
        <v>20</v>
      </c>
      <c r="G248" s="3" t="str">
        <f t="shared" si="3"/>
        <v>028COTOPAXI</v>
      </c>
      <c r="H248" s="3">
        <v>3480</v>
      </c>
      <c r="I248" s="3">
        <v>6344</v>
      </c>
      <c r="J248" s="3">
        <v>6344</v>
      </c>
      <c r="K248" s="3">
        <v>2852.5250000000001</v>
      </c>
      <c r="L248" s="3">
        <v>20800</v>
      </c>
      <c r="M248" s="11">
        <f>+H248/K248</f>
        <v>1.2199717793884366</v>
      </c>
    </row>
    <row r="249" spans="1:13">
      <c r="A249" s="9">
        <v>2025</v>
      </c>
      <c r="B249" s="3">
        <v>31</v>
      </c>
      <c r="C249" s="3" t="s">
        <v>11</v>
      </c>
      <c r="D249" s="3" t="s">
        <v>8</v>
      </c>
      <c r="E249" s="3" t="s">
        <v>19</v>
      </c>
      <c r="F249" s="3" t="s">
        <v>21</v>
      </c>
      <c r="G249" s="3" t="str">
        <f t="shared" si="3"/>
        <v>028DEEP PURPLE</v>
      </c>
      <c r="H249" s="3">
        <v>11430</v>
      </c>
      <c r="I249" s="3">
        <v>5700</v>
      </c>
      <c r="J249" s="3">
        <v>7486</v>
      </c>
      <c r="K249" s="3">
        <v>2852.5250000000001</v>
      </c>
      <c r="L249" s="3">
        <v>20800</v>
      </c>
      <c r="M249" s="11">
        <f>+H249/K249</f>
        <v>4.0069762754051235</v>
      </c>
    </row>
    <row r="250" spans="1:13">
      <c r="A250" s="9">
        <v>2025</v>
      </c>
      <c r="B250" s="3">
        <v>32</v>
      </c>
      <c r="C250" s="3" t="s">
        <v>7</v>
      </c>
      <c r="D250" s="3" t="s">
        <v>8</v>
      </c>
      <c r="E250" s="3" t="s">
        <v>9</v>
      </c>
      <c r="F250" s="3" t="s">
        <v>10</v>
      </c>
      <c r="G250" s="3" t="str">
        <f t="shared" si="3"/>
        <v>026PURPLE BUBBLY</v>
      </c>
      <c r="H250" s="3">
        <v>510</v>
      </c>
      <c r="I250" s="3">
        <v>5775</v>
      </c>
      <c r="J250" s="3">
        <v>6042</v>
      </c>
      <c r="K250" s="3">
        <v>1755.4</v>
      </c>
      <c r="L250" s="3">
        <v>12800</v>
      </c>
      <c r="M250" s="11">
        <f>+H250/K250</f>
        <v>0.29053207246211687</v>
      </c>
    </row>
    <row r="251" spans="1:13">
      <c r="A251" s="9">
        <v>2025</v>
      </c>
      <c r="B251" s="3">
        <v>32</v>
      </c>
      <c r="C251" s="3" t="s">
        <v>11</v>
      </c>
      <c r="D251" s="3" t="s">
        <v>8</v>
      </c>
      <c r="E251" s="3" t="s">
        <v>12</v>
      </c>
      <c r="F251" s="3" t="s">
        <v>13</v>
      </c>
      <c r="G251" s="3" t="str">
        <f t="shared" si="3"/>
        <v>025PINK MONDIAL</v>
      </c>
      <c r="H251" s="3">
        <v>4625</v>
      </c>
      <c r="I251" s="3">
        <v>4615</v>
      </c>
      <c r="J251" s="3">
        <v>6090</v>
      </c>
      <c r="K251" s="3">
        <v>3071.9505625000002</v>
      </c>
      <c r="L251" s="3">
        <v>22400</v>
      </c>
      <c r="M251" s="11">
        <f>+H251/K251</f>
        <v>1.5055580830168389</v>
      </c>
    </row>
    <row r="252" spans="1:13">
      <c r="A252" s="9">
        <v>2025</v>
      </c>
      <c r="B252" s="3">
        <v>32</v>
      </c>
      <c r="C252" s="3" t="s">
        <v>11</v>
      </c>
      <c r="D252" s="3" t="s">
        <v>8</v>
      </c>
      <c r="E252" s="3" t="s">
        <v>9</v>
      </c>
      <c r="F252" s="3" t="s">
        <v>14</v>
      </c>
      <c r="G252" s="3" t="str">
        <f t="shared" si="3"/>
        <v>026LOLA</v>
      </c>
      <c r="H252" s="3">
        <v>2775</v>
      </c>
      <c r="I252" s="3">
        <v>5716</v>
      </c>
      <c r="J252" s="3">
        <v>5382</v>
      </c>
      <c r="K252" s="3">
        <v>1097.125</v>
      </c>
      <c r="L252" s="3">
        <v>8000</v>
      </c>
      <c r="M252" s="11">
        <f>+H252/K252</f>
        <v>2.5293380426113705</v>
      </c>
    </row>
    <row r="253" spans="1:13">
      <c r="A253" s="9">
        <v>2025</v>
      </c>
      <c r="B253" s="3">
        <v>32</v>
      </c>
      <c r="C253" s="3" t="s">
        <v>11</v>
      </c>
      <c r="D253" s="3" t="s">
        <v>8</v>
      </c>
      <c r="E253" s="3" t="s">
        <v>9</v>
      </c>
      <c r="F253" s="3" t="s">
        <v>15</v>
      </c>
      <c r="G253" s="3" t="str">
        <f t="shared" si="3"/>
        <v>026PALOMA</v>
      </c>
      <c r="H253" s="3">
        <v>4775</v>
      </c>
      <c r="I253" s="3">
        <v>6664</v>
      </c>
      <c r="J253" s="3">
        <v>6571</v>
      </c>
      <c r="K253" s="3">
        <v>2852.5250000000001</v>
      </c>
      <c r="L253" s="3">
        <v>20800</v>
      </c>
      <c r="M253" s="11">
        <f>+H253/K253</f>
        <v>1.6739555306263749</v>
      </c>
    </row>
    <row r="254" spans="1:13">
      <c r="A254" s="9">
        <v>2025</v>
      </c>
      <c r="B254" s="3">
        <v>32</v>
      </c>
      <c r="C254" s="3" t="s">
        <v>11</v>
      </c>
      <c r="D254" s="3" t="s">
        <v>8</v>
      </c>
      <c r="E254" s="3" t="s">
        <v>16</v>
      </c>
      <c r="F254" s="3" t="s">
        <v>17</v>
      </c>
      <c r="G254" s="3" t="str">
        <f t="shared" si="3"/>
        <v>027SATISFACTION</v>
      </c>
      <c r="H254" s="3">
        <v>4680</v>
      </c>
      <c r="I254" s="3">
        <v>8142</v>
      </c>
      <c r="J254" s="3">
        <v>6534</v>
      </c>
      <c r="K254" s="3">
        <v>2633.1</v>
      </c>
      <c r="L254" s="3">
        <v>19200</v>
      </c>
      <c r="M254" s="11">
        <f>+H254/K254</f>
        <v>1.7773726785917741</v>
      </c>
    </row>
    <row r="255" spans="1:13">
      <c r="A255" s="9">
        <v>2025</v>
      </c>
      <c r="B255" s="3">
        <v>32</v>
      </c>
      <c r="C255" s="3" t="s">
        <v>11</v>
      </c>
      <c r="D255" s="3" t="s">
        <v>8</v>
      </c>
      <c r="E255" s="3" t="s">
        <v>16</v>
      </c>
      <c r="F255" s="3" t="s">
        <v>18</v>
      </c>
      <c r="G255" s="3" t="str">
        <f t="shared" si="3"/>
        <v>027TIFFANY!</v>
      </c>
      <c r="H255" s="3">
        <v>4350</v>
      </c>
      <c r="I255" s="3">
        <v>8340</v>
      </c>
      <c r="J255" s="3">
        <v>7842</v>
      </c>
      <c r="K255" s="3">
        <v>2633.1</v>
      </c>
      <c r="L255" s="3">
        <v>19200</v>
      </c>
      <c r="M255" s="11">
        <f>+H255/K255</f>
        <v>1.6520451179218412</v>
      </c>
    </row>
    <row r="256" spans="1:13">
      <c r="A256" s="9">
        <v>2025</v>
      </c>
      <c r="B256" s="3">
        <v>32</v>
      </c>
      <c r="C256" s="3" t="s">
        <v>11</v>
      </c>
      <c r="D256" s="3" t="s">
        <v>8</v>
      </c>
      <c r="E256" s="3" t="s">
        <v>19</v>
      </c>
      <c r="F256" s="3" t="s">
        <v>20</v>
      </c>
      <c r="G256" s="3" t="str">
        <f t="shared" si="3"/>
        <v>028COTOPAXI</v>
      </c>
      <c r="H256" s="3">
        <v>4650</v>
      </c>
      <c r="I256" s="3">
        <v>6335</v>
      </c>
      <c r="J256" s="3">
        <v>7103</v>
      </c>
      <c r="K256" s="3">
        <v>2852.5250000000001</v>
      </c>
      <c r="L256" s="3">
        <v>20800</v>
      </c>
      <c r="M256" s="11">
        <f>+H256/K256</f>
        <v>1.6301347052173074</v>
      </c>
    </row>
    <row r="257" spans="1:13">
      <c r="A257" s="9">
        <v>2025</v>
      </c>
      <c r="B257" s="3">
        <v>32</v>
      </c>
      <c r="C257" s="3" t="s">
        <v>11</v>
      </c>
      <c r="D257" s="3" t="s">
        <v>8</v>
      </c>
      <c r="E257" s="3" t="s">
        <v>19</v>
      </c>
      <c r="F257" s="3" t="s">
        <v>21</v>
      </c>
      <c r="G257" s="3" t="str">
        <f t="shared" si="3"/>
        <v>028DEEP PURPLE</v>
      </c>
      <c r="H257" s="3">
        <v>8490</v>
      </c>
      <c r="I257" s="3">
        <v>4857</v>
      </c>
      <c r="J257" s="3">
        <v>6126</v>
      </c>
      <c r="K257" s="3">
        <v>2852.5250000000001</v>
      </c>
      <c r="L257" s="3">
        <v>20800</v>
      </c>
      <c r="M257" s="11">
        <f>+H257/K257</f>
        <v>2.9763104617838581</v>
      </c>
    </row>
    <row r="258" spans="1:13">
      <c r="A258" s="9">
        <v>2025</v>
      </c>
      <c r="B258" s="3">
        <v>33</v>
      </c>
      <c r="C258" s="3" t="s">
        <v>7</v>
      </c>
      <c r="D258" s="3" t="s">
        <v>8</v>
      </c>
      <c r="E258" s="3" t="s">
        <v>9</v>
      </c>
      <c r="F258" s="3" t="s">
        <v>10</v>
      </c>
      <c r="G258" s="3" t="str">
        <f t="shared" si="3"/>
        <v>026PURPLE BUBBLY</v>
      </c>
      <c r="H258" s="3">
        <v>430</v>
      </c>
      <c r="I258" s="3">
        <v>5330</v>
      </c>
      <c r="J258" s="3">
        <v>5218</v>
      </c>
      <c r="K258" s="3">
        <v>1755.4</v>
      </c>
      <c r="L258" s="3">
        <v>12800</v>
      </c>
      <c r="M258" s="11">
        <f>+H258/K258</f>
        <v>0.24495841403668678</v>
      </c>
    </row>
    <row r="259" spans="1:13">
      <c r="A259" s="9">
        <v>2025</v>
      </c>
      <c r="B259" s="3">
        <v>33</v>
      </c>
      <c r="C259" s="3" t="s">
        <v>11</v>
      </c>
      <c r="D259" s="3" t="s">
        <v>8</v>
      </c>
      <c r="E259" s="3" t="s">
        <v>12</v>
      </c>
      <c r="F259" s="3" t="s">
        <v>13</v>
      </c>
      <c r="G259" s="3" t="str">
        <f t="shared" ref="G259:G322" si="4">+E259&amp;F259</f>
        <v>025PINK MONDIAL</v>
      </c>
      <c r="H259" s="3">
        <v>4600</v>
      </c>
      <c r="I259" s="3">
        <v>5382</v>
      </c>
      <c r="J259" s="3">
        <v>5237</v>
      </c>
      <c r="K259" s="3">
        <v>3071.9505625000002</v>
      </c>
      <c r="L259" s="3">
        <v>22400</v>
      </c>
      <c r="M259" s="11">
        <f>+H259/K259</f>
        <v>1.4974199312167478</v>
      </c>
    </row>
    <row r="260" spans="1:13">
      <c r="A260" s="9">
        <v>2025</v>
      </c>
      <c r="B260" s="3">
        <v>33</v>
      </c>
      <c r="C260" s="3" t="s">
        <v>11</v>
      </c>
      <c r="D260" s="3" t="s">
        <v>8</v>
      </c>
      <c r="E260" s="3" t="s">
        <v>9</v>
      </c>
      <c r="F260" s="3" t="s">
        <v>14</v>
      </c>
      <c r="G260" s="3" t="str">
        <f t="shared" si="4"/>
        <v>026LOLA</v>
      </c>
      <c r="H260" s="3">
        <v>3000</v>
      </c>
      <c r="I260" s="3">
        <v>4550</v>
      </c>
      <c r="J260" s="3">
        <v>5188</v>
      </c>
      <c r="K260" s="3">
        <v>1097.125</v>
      </c>
      <c r="L260" s="3">
        <v>8000</v>
      </c>
      <c r="M260" s="11">
        <f>+H260/K260</f>
        <v>2.734419505525806</v>
      </c>
    </row>
    <row r="261" spans="1:13">
      <c r="A261" s="9">
        <v>2025</v>
      </c>
      <c r="B261" s="3">
        <v>33</v>
      </c>
      <c r="C261" s="3" t="s">
        <v>11</v>
      </c>
      <c r="D261" s="3" t="s">
        <v>8</v>
      </c>
      <c r="E261" s="3" t="s">
        <v>9</v>
      </c>
      <c r="F261" s="3" t="s">
        <v>15</v>
      </c>
      <c r="G261" s="3" t="str">
        <f t="shared" si="4"/>
        <v>026PALOMA</v>
      </c>
      <c r="H261" s="3">
        <v>4225</v>
      </c>
      <c r="I261" s="3">
        <v>4850</v>
      </c>
      <c r="J261" s="3">
        <v>5287</v>
      </c>
      <c r="K261" s="3">
        <v>2852.5250000000001</v>
      </c>
      <c r="L261" s="3">
        <v>20800</v>
      </c>
      <c r="M261" s="11">
        <f>+H261/K261</f>
        <v>1.4811438988264782</v>
      </c>
    </row>
    <row r="262" spans="1:13">
      <c r="A262" s="9">
        <v>2025</v>
      </c>
      <c r="B262" s="3">
        <v>33</v>
      </c>
      <c r="C262" s="3" t="s">
        <v>11</v>
      </c>
      <c r="D262" s="3" t="s">
        <v>8</v>
      </c>
      <c r="E262" s="3" t="s">
        <v>16</v>
      </c>
      <c r="F262" s="3" t="s">
        <v>17</v>
      </c>
      <c r="G262" s="3" t="str">
        <f t="shared" si="4"/>
        <v>027SATISFACTION</v>
      </c>
      <c r="H262" s="3">
        <v>3900</v>
      </c>
      <c r="I262" s="3">
        <v>6805</v>
      </c>
      <c r="J262" s="3">
        <v>5173</v>
      </c>
      <c r="K262" s="3">
        <v>2633.1</v>
      </c>
      <c r="L262" s="3">
        <v>19200</v>
      </c>
      <c r="M262" s="11">
        <f>+H262/K262</f>
        <v>1.4811438988264785</v>
      </c>
    </row>
    <row r="263" spans="1:13">
      <c r="A263" s="9">
        <v>2025</v>
      </c>
      <c r="B263" s="3">
        <v>33</v>
      </c>
      <c r="C263" s="3" t="s">
        <v>11</v>
      </c>
      <c r="D263" s="3" t="s">
        <v>8</v>
      </c>
      <c r="E263" s="3" t="s">
        <v>16</v>
      </c>
      <c r="F263" s="3" t="s">
        <v>18</v>
      </c>
      <c r="G263" s="3" t="str">
        <f t="shared" si="4"/>
        <v>027TIFFANY!</v>
      </c>
      <c r="H263" s="3">
        <v>3750</v>
      </c>
      <c r="I263" s="3">
        <v>7233</v>
      </c>
      <c r="J263" s="3">
        <v>7383</v>
      </c>
      <c r="K263" s="3">
        <v>2633.1</v>
      </c>
      <c r="L263" s="3">
        <v>19200</v>
      </c>
      <c r="M263" s="11">
        <f>+H263/K263</f>
        <v>1.4241768257946907</v>
      </c>
    </row>
    <row r="264" spans="1:13">
      <c r="A264" s="9">
        <v>2025</v>
      </c>
      <c r="B264" s="3">
        <v>33</v>
      </c>
      <c r="C264" s="3" t="s">
        <v>11</v>
      </c>
      <c r="D264" s="3" t="s">
        <v>8</v>
      </c>
      <c r="E264" s="3" t="s">
        <v>19</v>
      </c>
      <c r="F264" s="3" t="s">
        <v>20</v>
      </c>
      <c r="G264" s="3" t="str">
        <f t="shared" si="4"/>
        <v>028COTOPAXI</v>
      </c>
      <c r="H264" s="3">
        <v>3840</v>
      </c>
      <c r="I264" s="3">
        <v>6642</v>
      </c>
      <c r="J264" s="3">
        <v>7887</v>
      </c>
      <c r="K264" s="3">
        <v>2852.5250000000001</v>
      </c>
      <c r="L264" s="3">
        <v>20800</v>
      </c>
      <c r="M264" s="11">
        <f>+H264/K264</f>
        <v>1.3461757565665506</v>
      </c>
    </row>
    <row r="265" spans="1:13">
      <c r="A265" s="9">
        <v>2025</v>
      </c>
      <c r="B265" s="3">
        <v>33</v>
      </c>
      <c r="C265" s="3" t="s">
        <v>11</v>
      </c>
      <c r="D265" s="3" t="s">
        <v>8</v>
      </c>
      <c r="E265" s="3" t="s">
        <v>19</v>
      </c>
      <c r="F265" s="3" t="s">
        <v>21</v>
      </c>
      <c r="G265" s="3" t="str">
        <f t="shared" si="4"/>
        <v>028DEEP PURPLE</v>
      </c>
      <c r="H265" s="3">
        <v>7950</v>
      </c>
      <c r="I265" s="3">
        <v>5843</v>
      </c>
      <c r="J265" s="3">
        <v>6763</v>
      </c>
      <c r="K265" s="3">
        <v>2852.5250000000001</v>
      </c>
      <c r="L265" s="3">
        <v>20800</v>
      </c>
      <c r="M265" s="11">
        <f>+H265/K265</f>
        <v>2.7870044960166869</v>
      </c>
    </row>
    <row r="266" spans="1:13">
      <c r="A266" s="9">
        <v>2025</v>
      </c>
      <c r="B266" s="3">
        <v>34</v>
      </c>
      <c r="C266" s="3" t="s">
        <v>7</v>
      </c>
      <c r="D266" s="3" t="s">
        <v>8</v>
      </c>
      <c r="E266" s="3" t="s">
        <v>9</v>
      </c>
      <c r="F266" s="3" t="s">
        <v>10</v>
      </c>
      <c r="G266" s="3" t="str">
        <f t="shared" si="4"/>
        <v>026PURPLE BUBBLY</v>
      </c>
      <c r="H266" s="3">
        <v>480</v>
      </c>
      <c r="I266" s="3">
        <v>4403</v>
      </c>
      <c r="J266" s="3">
        <v>6361</v>
      </c>
      <c r="K266" s="3">
        <v>1755.4</v>
      </c>
      <c r="L266" s="3">
        <v>12800</v>
      </c>
      <c r="M266" s="11">
        <f>+H266/K266</f>
        <v>0.27344195055258058</v>
      </c>
    </row>
    <row r="267" spans="1:13">
      <c r="A267" s="9">
        <v>2025</v>
      </c>
      <c r="B267" s="3">
        <v>34</v>
      </c>
      <c r="C267" s="3" t="s">
        <v>11</v>
      </c>
      <c r="D267" s="3" t="s">
        <v>8</v>
      </c>
      <c r="E267" s="3" t="s">
        <v>12</v>
      </c>
      <c r="F267" s="3" t="s">
        <v>13</v>
      </c>
      <c r="G267" s="3" t="str">
        <f t="shared" si="4"/>
        <v>025PINK MONDIAL</v>
      </c>
      <c r="H267" s="3">
        <v>3825</v>
      </c>
      <c r="I267" s="3">
        <v>4594</v>
      </c>
      <c r="J267" s="3">
        <v>4636</v>
      </c>
      <c r="K267" s="3">
        <v>3071.9505625000002</v>
      </c>
      <c r="L267" s="3">
        <v>22400</v>
      </c>
      <c r="M267" s="11">
        <f>+H267/K267</f>
        <v>1.2451372254139261</v>
      </c>
    </row>
    <row r="268" spans="1:13">
      <c r="A268" s="9">
        <v>2025</v>
      </c>
      <c r="B268" s="3">
        <v>34</v>
      </c>
      <c r="C268" s="3" t="s">
        <v>11</v>
      </c>
      <c r="D268" s="3" t="s">
        <v>8</v>
      </c>
      <c r="E268" s="3" t="s">
        <v>9</v>
      </c>
      <c r="F268" s="3" t="s">
        <v>14</v>
      </c>
      <c r="G268" s="3" t="str">
        <f t="shared" si="4"/>
        <v>026LOLA</v>
      </c>
      <c r="H268" s="3">
        <v>3300</v>
      </c>
      <c r="I268" s="3">
        <v>5542</v>
      </c>
      <c r="J268" s="3">
        <v>4450</v>
      </c>
      <c r="K268" s="3">
        <v>1097.125</v>
      </c>
      <c r="L268" s="3">
        <v>8000</v>
      </c>
      <c r="M268" s="11">
        <f>+H268/K268</f>
        <v>3.0078614560783867</v>
      </c>
    </row>
    <row r="269" spans="1:13">
      <c r="A269" s="9">
        <v>2025</v>
      </c>
      <c r="B269" s="3">
        <v>34</v>
      </c>
      <c r="C269" s="3" t="s">
        <v>11</v>
      </c>
      <c r="D269" s="3" t="s">
        <v>8</v>
      </c>
      <c r="E269" s="3" t="s">
        <v>9</v>
      </c>
      <c r="F269" s="3" t="s">
        <v>15</v>
      </c>
      <c r="G269" s="3" t="str">
        <f t="shared" si="4"/>
        <v>026PALOMA</v>
      </c>
      <c r="H269" s="3">
        <v>4350</v>
      </c>
      <c r="I269" s="3">
        <v>6023</v>
      </c>
      <c r="J269" s="3">
        <v>4931</v>
      </c>
      <c r="K269" s="3">
        <v>2852.5250000000001</v>
      </c>
      <c r="L269" s="3">
        <v>20800</v>
      </c>
      <c r="M269" s="11">
        <f>+H269/K269</f>
        <v>1.5249647242355457</v>
      </c>
    </row>
    <row r="270" spans="1:13">
      <c r="A270" s="9">
        <v>2025</v>
      </c>
      <c r="B270" s="3">
        <v>34</v>
      </c>
      <c r="C270" s="3" t="s">
        <v>11</v>
      </c>
      <c r="D270" s="3" t="s">
        <v>8</v>
      </c>
      <c r="E270" s="3" t="s">
        <v>16</v>
      </c>
      <c r="F270" s="3" t="s">
        <v>17</v>
      </c>
      <c r="G270" s="3" t="str">
        <f t="shared" si="4"/>
        <v>027SATISFACTION</v>
      </c>
      <c r="H270" s="3">
        <v>4830</v>
      </c>
      <c r="I270" s="3">
        <v>4970</v>
      </c>
      <c r="J270" s="3">
        <v>5245</v>
      </c>
      <c r="K270" s="3">
        <v>2633.1</v>
      </c>
      <c r="L270" s="3">
        <v>19200</v>
      </c>
      <c r="M270" s="11">
        <f>+H270/K270</f>
        <v>1.8343397516235616</v>
      </c>
    </row>
    <row r="271" spans="1:13">
      <c r="A271" s="9">
        <v>2025</v>
      </c>
      <c r="B271" s="3">
        <v>34</v>
      </c>
      <c r="C271" s="3" t="s">
        <v>11</v>
      </c>
      <c r="D271" s="3" t="s">
        <v>8</v>
      </c>
      <c r="E271" s="3" t="s">
        <v>16</v>
      </c>
      <c r="F271" s="3" t="s">
        <v>18</v>
      </c>
      <c r="G271" s="3" t="str">
        <f t="shared" si="4"/>
        <v>027TIFFANY!</v>
      </c>
      <c r="H271" s="3">
        <v>4770</v>
      </c>
      <c r="I271" s="3">
        <v>4530</v>
      </c>
      <c r="J271" s="3">
        <v>4463</v>
      </c>
      <c r="K271" s="3">
        <v>2633.1</v>
      </c>
      <c r="L271" s="3">
        <v>19200</v>
      </c>
      <c r="M271" s="11">
        <f>+H271/K271</f>
        <v>1.8115529224108466</v>
      </c>
    </row>
    <row r="272" spans="1:13">
      <c r="A272" s="9">
        <v>2025</v>
      </c>
      <c r="B272" s="3">
        <v>34</v>
      </c>
      <c r="C272" s="3" t="s">
        <v>11</v>
      </c>
      <c r="D272" s="3" t="s">
        <v>8</v>
      </c>
      <c r="E272" s="3" t="s">
        <v>19</v>
      </c>
      <c r="F272" s="3" t="s">
        <v>20</v>
      </c>
      <c r="G272" s="3" t="str">
        <f t="shared" si="4"/>
        <v>028COTOPAXI</v>
      </c>
      <c r="H272" s="3">
        <v>5280</v>
      </c>
      <c r="I272" s="3">
        <v>5586</v>
      </c>
      <c r="J272" s="3">
        <v>5074</v>
      </c>
      <c r="K272" s="3">
        <v>2852.5250000000001</v>
      </c>
      <c r="L272" s="3">
        <v>20800</v>
      </c>
      <c r="M272" s="11">
        <f>+H272/K272</f>
        <v>1.850991665279007</v>
      </c>
    </row>
    <row r="273" spans="1:13">
      <c r="A273" s="9">
        <v>2025</v>
      </c>
      <c r="B273" s="3">
        <v>34</v>
      </c>
      <c r="C273" s="3" t="s">
        <v>11</v>
      </c>
      <c r="D273" s="3" t="s">
        <v>8</v>
      </c>
      <c r="E273" s="3" t="s">
        <v>19</v>
      </c>
      <c r="F273" s="3" t="s">
        <v>21</v>
      </c>
      <c r="G273" s="3" t="str">
        <f t="shared" si="4"/>
        <v>028DEEP PURPLE</v>
      </c>
      <c r="H273" s="3">
        <v>6960</v>
      </c>
      <c r="I273" s="3">
        <v>5406</v>
      </c>
      <c r="J273" s="3">
        <v>6008</v>
      </c>
      <c r="K273" s="3">
        <v>2852.5250000000001</v>
      </c>
      <c r="L273" s="3">
        <v>20800</v>
      </c>
      <c r="M273" s="11">
        <f>+H273/K273</f>
        <v>2.4399435587768732</v>
      </c>
    </row>
    <row r="274" spans="1:13">
      <c r="A274" s="9">
        <v>2025</v>
      </c>
      <c r="B274" s="3">
        <v>35</v>
      </c>
      <c r="C274" s="3" t="s">
        <v>7</v>
      </c>
      <c r="D274" s="3" t="s">
        <v>8</v>
      </c>
      <c r="E274" s="3" t="s">
        <v>9</v>
      </c>
      <c r="F274" s="3" t="s">
        <v>10</v>
      </c>
      <c r="G274" s="3" t="str">
        <f t="shared" si="4"/>
        <v>026PURPLE BUBBLY</v>
      </c>
      <c r="H274" s="3">
        <v>470</v>
      </c>
      <c r="I274" s="3">
        <v>4857</v>
      </c>
      <c r="J274" s="3">
        <v>5141</v>
      </c>
      <c r="K274" s="3">
        <v>1755.4</v>
      </c>
      <c r="L274" s="3">
        <v>12800</v>
      </c>
      <c r="M274" s="11">
        <f>+H274/K274</f>
        <v>0.26774524324940185</v>
      </c>
    </row>
    <row r="275" spans="1:13">
      <c r="A275" s="9">
        <v>2025</v>
      </c>
      <c r="B275" s="3">
        <v>35</v>
      </c>
      <c r="C275" s="3" t="s">
        <v>11</v>
      </c>
      <c r="D275" s="3" t="s">
        <v>8</v>
      </c>
      <c r="E275" s="3" t="s">
        <v>12</v>
      </c>
      <c r="F275" s="3" t="s">
        <v>13</v>
      </c>
      <c r="G275" s="3" t="str">
        <f t="shared" si="4"/>
        <v>025PINK MONDIAL</v>
      </c>
      <c r="H275" s="3">
        <v>3300</v>
      </c>
      <c r="I275" s="3">
        <v>6074</v>
      </c>
      <c r="J275" s="3">
        <v>5011</v>
      </c>
      <c r="K275" s="3">
        <v>3071.9505625000002</v>
      </c>
      <c r="L275" s="3">
        <v>22400</v>
      </c>
      <c r="M275" s="11">
        <f>+H275/K275</f>
        <v>1.0742360376120148</v>
      </c>
    </row>
    <row r="276" spans="1:13">
      <c r="A276" s="9">
        <v>2025</v>
      </c>
      <c r="B276" s="3">
        <v>35</v>
      </c>
      <c r="C276" s="3" t="s">
        <v>11</v>
      </c>
      <c r="D276" s="3" t="s">
        <v>8</v>
      </c>
      <c r="E276" s="3" t="s">
        <v>9</v>
      </c>
      <c r="F276" s="3" t="s">
        <v>14</v>
      </c>
      <c r="G276" s="3" t="str">
        <f t="shared" si="4"/>
        <v>026LOLA</v>
      </c>
      <c r="H276" s="3">
        <v>2700</v>
      </c>
      <c r="I276" s="3">
        <v>5629</v>
      </c>
      <c r="J276" s="3">
        <v>6473</v>
      </c>
      <c r="K276" s="3">
        <v>1097.125</v>
      </c>
      <c r="L276" s="3">
        <v>8000</v>
      </c>
      <c r="M276" s="11">
        <f>+H276/K276</f>
        <v>2.4609775549732253</v>
      </c>
    </row>
    <row r="277" spans="1:13">
      <c r="A277" s="9">
        <v>2025</v>
      </c>
      <c r="B277" s="3">
        <v>35</v>
      </c>
      <c r="C277" s="3" t="s">
        <v>11</v>
      </c>
      <c r="D277" s="3" t="s">
        <v>8</v>
      </c>
      <c r="E277" s="3" t="s">
        <v>9</v>
      </c>
      <c r="F277" s="3" t="s">
        <v>15</v>
      </c>
      <c r="G277" s="3" t="str">
        <f t="shared" si="4"/>
        <v>026PALOMA</v>
      </c>
      <c r="H277" s="3">
        <v>3425</v>
      </c>
      <c r="I277" s="3">
        <v>7372</v>
      </c>
      <c r="J277" s="3">
        <v>7372</v>
      </c>
      <c r="K277" s="3">
        <v>2852.5250000000001</v>
      </c>
      <c r="L277" s="3">
        <v>20800</v>
      </c>
      <c r="M277" s="11">
        <f>+H277/K277</f>
        <v>1.200690616208447</v>
      </c>
    </row>
    <row r="278" spans="1:13">
      <c r="A278" s="9">
        <v>2025</v>
      </c>
      <c r="B278" s="3">
        <v>35</v>
      </c>
      <c r="C278" s="3" t="s">
        <v>11</v>
      </c>
      <c r="D278" s="3" t="s">
        <v>8</v>
      </c>
      <c r="E278" s="3" t="s">
        <v>16</v>
      </c>
      <c r="F278" s="3" t="s">
        <v>17</v>
      </c>
      <c r="G278" s="3" t="str">
        <f t="shared" si="4"/>
        <v>027SATISFACTION</v>
      </c>
      <c r="H278" s="3">
        <v>5550</v>
      </c>
      <c r="I278" s="3">
        <v>6909</v>
      </c>
      <c r="J278" s="3">
        <v>6909</v>
      </c>
      <c r="K278" s="3">
        <v>2633.1</v>
      </c>
      <c r="L278" s="3">
        <v>19200</v>
      </c>
      <c r="M278" s="11">
        <f>+H278/K278</f>
        <v>2.1077817021761422</v>
      </c>
    </row>
    <row r="279" spans="1:13">
      <c r="A279" s="9">
        <v>2025</v>
      </c>
      <c r="B279" s="3">
        <v>35</v>
      </c>
      <c r="C279" s="3" t="s">
        <v>11</v>
      </c>
      <c r="D279" s="3" t="s">
        <v>8</v>
      </c>
      <c r="E279" s="3" t="s">
        <v>16</v>
      </c>
      <c r="F279" s="3" t="s">
        <v>18</v>
      </c>
      <c r="G279" s="3" t="str">
        <f t="shared" si="4"/>
        <v>027TIFFANY!</v>
      </c>
      <c r="H279" s="3">
        <v>6360</v>
      </c>
      <c r="I279" s="3">
        <v>8726</v>
      </c>
      <c r="J279" s="3">
        <v>8726</v>
      </c>
      <c r="K279" s="3">
        <v>2633.1</v>
      </c>
      <c r="L279" s="3">
        <v>19200</v>
      </c>
      <c r="M279" s="11">
        <f>+H279/K279</f>
        <v>2.4154038965477955</v>
      </c>
    </row>
    <row r="280" spans="1:13">
      <c r="A280" s="9">
        <v>2025</v>
      </c>
      <c r="B280" s="3">
        <v>35</v>
      </c>
      <c r="C280" s="3" t="s">
        <v>11</v>
      </c>
      <c r="D280" s="3" t="s">
        <v>8</v>
      </c>
      <c r="E280" s="3" t="s">
        <v>19</v>
      </c>
      <c r="F280" s="3" t="s">
        <v>20</v>
      </c>
      <c r="G280" s="3" t="str">
        <f t="shared" si="4"/>
        <v>028COTOPAXI</v>
      </c>
      <c r="H280" s="3">
        <v>6420</v>
      </c>
      <c r="I280" s="3">
        <v>9612</v>
      </c>
      <c r="J280" s="3">
        <v>9612</v>
      </c>
      <c r="K280" s="3">
        <v>2852.5250000000001</v>
      </c>
      <c r="L280" s="3">
        <v>20800</v>
      </c>
      <c r="M280" s="11">
        <f>+H280/K280</f>
        <v>2.250637593009702</v>
      </c>
    </row>
    <row r="281" spans="1:13">
      <c r="A281" s="9">
        <v>2025</v>
      </c>
      <c r="B281" s="3">
        <v>35</v>
      </c>
      <c r="C281" s="3" t="s">
        <v>11</v>
      </c>
      <c r="D281" s="3" t="s">
        <v>8</v>
      </c>
      <c r="E281" s="3" t="s">
        <v>19</v>
      </c>
      <c r="F281" s="3" t="s">
        <v>21</v>
      </c>
      <c r="G281" s="3" t="str">
        <f t="shared" si="4"/>
        <v>028DEEP PURPLE</v>
      </c>
      <c r="H281" s="3">
        <v>6240</v>
      </c>
      <c r="I281" s="3">
        <v>8911</v>
      </c>
      <c r="J281" s="3">
        <v>8911</v>
      </c>
      <c r="K281" s="3">
        <v>2852.5250000000001</v>
      </c>
      <c r="L281" s="3">
        <v>20800</v>
      </c>
      <c r="M281" s="11">
        <f>+H281/K281</f>
        <v>2.1875356044206447</v>
      </c>
    </row>
    <row r="282" spans="1:13">
      <c r="A282" s="9">
        <v>2025</v>
      </c>
      <c r="B282" s="3">
        <v>36</v>
      </c>
      <c r="C282" s="3" t="s">
        <v>7</v>
      </c>
      <c r="D282" s="3" t="s">
        <v>8</v>
      </c>
      <c r="E282" s="3" t="s">
        <v>9</v>
      </c>
      <c r="F282" s="3" t="s">
        <v>10</v>
      </c>
      <c r="G282" s="3" t="str">
        <f t="shared" si="4"/>
        <v>026PURPLE BUBBLY</v>
      </c>
      <c r="H282" s="3">
        <v>400</v>
      </c>
      <c r="I282" s="3">
        <v>6553</v>
      </c>
      <c r="J282" s="3">
        <v>6553</v>
      </c>
      <c r="K282" s="3">
        <v>1755.4</v>
      </c>
      <c r="L282" s="3">
        <v>12800</v>
      </c>
      <c r="M282" s="11">
        <f>+H282/K282</f>
        <v>0.22786829212715048</v>
      </c>
    </row>
    <row r="283" spans="1:13">
      <c r="A283" s="9">
        <v>2025</v>
      </c>
      <c r="B283" s="3">
        <v>36</v>
      </c>
      <c r="C283" s="3" t="s">
        <v>11</v>
      </c>
      <c r="D283" s="3" t="s">
        <v>8</v>
      </c>
      <c r="E283" s="3" t="s">
        <v>12</v>
      </c>
      <c r="F283" s="3" t="s">
        <v>13</v>
      </c>
      <c r="G283" s="3" t="str">
        <f t="shared" si="4"/>
        <v>025PINK MONDIAL</v>
      </c>
      <c r="H283" s="3">
        <v>4225</v>
      </c>
      <c r="I283" s="3">
        <v>2610</v>
      </c>
      <c r="J283" s="3">
        <v>4770</v>
      </c>
      <c r="K283" s="3">
        <v>3071.9505625000002</v>
      </c>
      <c r="L283" s="3">
        <v>22400</v>
      </c>
      <c r="M283" s="11">
        <f>+H283/K283</f>
        <v>1.3753476542153824</v>
      </c>
    </row>
    <row r="284" spans="1:13">
      <c r="A284" s="9">
        <v>2025</v>
      </c>
      <c r="B284" s="3">
        <v>36</v>
      </c>
      <c r="C284" s="3" t="s">
        <v>11</v>
      </c>
      <c r="D284" s="3" t="s">
        <v>8</v>
      </c>
      <c r="E284" s="3" t="s">
        <v>9</v>
      </c>
      <c r="F284" s="3" t="s">
        <v>14</v>
      </c>
      <c r="G284" s="3" t="str">
        <f t="shared" si="4"/>
        <v>026LOLA</v>
      </c>
      <c r="H284" s="3">
        <v>2975</v>
      </c>
      <c r="I284" s="3">
        <v>4667</v>
      </c>
      <c r="J284" s="3">
        <v>2465</v>
      </c>
      <c r="K284" s="3">
        <v>1097.125</v>
      </c>
      <c r="L284" s="3">
        <v>8000</v>
      </c>
      <c r="M284" s="11">
        <f>+H284/K284</f>
        <v>2.7116326763130911</v>
      </c>
    </row>
    <row r="285" spans="1:13">
      <c r="A285" s="9">
        <v>2025</v>
      </c>
      <c r="B285" s="3">
        <v>36</v>
      </c>
      <c r="C285" s="3" t="s">
        <v>11</v>
      </c>
      <c r="D285" s="3" t="s">
        <v>8</v>
      </c>
      <c r="E285" s="3" t="s">
        <v>9</v>
      </c>
      <c r="F285" s="3" t="s">
        <v>15</v>
      </c>
      <c r="G285" s="3" t="str">
        <f t="shared" si="4"/>
        <v>026PALOMA</v>
      </c>
      <c r="H285" s="3">
        <v>4425</v>
      </c>
      <c r="I285" s="6">
        <v>5042</v>
      </c>
      <c r="J285" s="6">
        <v>4968</v>
      </c>
      <c r="K285" s="3">
        <v>2852.5250000000001</v>
      </c>
      <c r="L285" s="3">
        <v>20800</v>
      </c>
      <c r="M285" s="11">
        <f>+H285/K285</f>
        <v>1.5512572194809862</v>
      </c>
    </row>
    <row r="286" spans="1:13">
      <c r="A286" s="9">
        <v>2025</v>
      </c>
      <c r="B286" s="3">
        <v>36</v>
      </c>
      <c r="C286" s="3" t="s">
        <v>11</v>
      </c>
      <c r="D286" s="3" t="s">
        <v>8</v>
      </c>
      <c r="E286" s="3" t="s">
        <v>16</v>
      </c>
      <c r="F286" s="3" t="s">
        <v>17</v>
      </c>
      <c r="G286" s="3" t="str">
        <f t="shared" si="4"/>
        <v>027SATISFACTION</v>
      </c>
      <c r="H286" s="3">
        <v>4050</v>
      </c>
      <c r="I286" s="6">
        <v>5517</v>
      </c>
      <c r="J286" s="6">
        <v>5331</v>
      </c>
      <c r="K286" s="3">
        <v>2633.1</v>
      </c>
      <c r="L286" s="3">
        <v>19200</v>
      </c>
      <c r="M286" s="11">
        <f>+H286/K286</f>
        <v>1.538110971858266</v>
      </c>
    </row>
    <row r="287" spans="1:13">
      <c r="A287" s="9">
        <v>2025</v>
      </c>
      <c r="B287" s="3">
        <v>36</v>
      </c>
      <c r="C287" s="3" t="s">
        <v>11</v>
      </c>
      <c r="D287" s="3" t="s">
        <v>8</v>
      </c>
      <c r="E287" s="3" t="s">
        <v>16</v>
      </c>
      <c r="F287" s="3" t="s">
        <v>18</v>
      </c>
      <c r="G287" s="3" t="str">
        <f t="shared" si="4"/>
        <v>027TIFFANY!</v>
      </c>
      <c r="H287" s="3">
        <v>4830</v>
      </c>
      <c r="I287" s="6">
        <v>5240</v>
      </c>
      <c r="J287" s="6">
        <v>5240</v>
      </c>
      <c r="K287" s="3">
        <v>2633.1</v>
      </c>
      <c r="L287" s="3">
        <v>19200</v>
      </c>
      <c r="M287" s="11">
        <f>+H287/K287</f>
        <v>1.8343397516235616</v>
      </c>
    </row>
    <row r="288" spans="1:13">
      <c r="A288" s="9">
        <v>2025</v>
      </c>
      <c r="B288" s="3">
        <v>36</v>
      </c>
      <c r="C288" s="3" t="s">
        <v>11</v>
      </c>
      <c r="D288" s="3" t="s">
        <v>8</v>
      </c>
      <c r="E288" s="3" t="s">
        <v>19</v>
      </c>
      <c r="F288" s="3" t="s">
        <v>20</v>
      </c>
      <c r="G288" s="3" t="str">
        <f t="shared" si="4"/>
        <v>028COTOPAXI</v>
      </c>
      <c r="H288" s="3">
        <v>5910</v>
      </c>
      <c r="I288" s="6">
        <v>5754</v>
      </c>
      <c r="J288" s="6">
        <v>5754</v>
      </c>
      <c r="K288" s="3">
        <v>2852.5250000000001</v>
      </c>
      <c r="L288" s="3">
        <v>20800</v>
      </c>
      <c r="M288" s="11">
        <f>+H288/K288</f>
        <v>2.0718486253407069</v>
      </c>
    </row>
    <row r="289" spans="1:13">
      <c r="A289" s="9">
        <v>2025</v>
      </c>
      <c r="B289" s="3">
        <v>36</v>
      </c>
      <c r="C289" s="3" t="s">
        <v>11</v>
      </c>
      <c r="D289" s="3" t="s">
        <v>8</v>
      </c>
      <c r="E289" s="3" t="s">
        <v>19</v>
      </c>
      <c r="F289" s="3" t="s">
        <v>21</v>
      </c>
      <c r="G289" s="3" t="str">
        <f t="shared" si="4"/>
        <v>028DEEP PURPLE</v>
      </c>
      <c r="H289" s="3">
        <v>6060</v>
      </c>
      <c r="I289" s="6">
        <v>7462</v>
      </c>
      <c r="J289" s="6">
        <v>6598</v>
      </c>
      <c r="K289" s="3">
        <v>2852.5250000000001</v>
      </c>
      <c r="L289" s="3">
        <v>20800</v>
      </c>
      <c r="M289" s="11">
        <f>+H289/K289</f>
        <v>2.1244336158315877</v>
      </c>
    </row>
    <row r="290" spans="1:13">
      <c r="A290" s="9">
        <v>2025</v>
      </c>
      <c r="B290" s="3">
        <v>37</v>
      </c>
      <c r="C290" s="3" t="s">
        <v>7</v>
      </c>
      <c r="D290" s="3" t="s">
        <v>8</v>
      </c>
      <c r="E290" s="3" t="s">
        <v>9</v>
      </c>
      <c r="F290" s="3" t="s">
        <v>10</v>
      </c>
      <c r="G290" s="3" t="str">
        <f t="shared" si="4"/>
        <v>026PURPLE BUBBLY</v>
      </c>
      <c r="H290" s="3">
        <v>340</v>
      </c>
      <c r="I290" s="6">
        <v>6973</v>
      </c>
      <c r="J290" s="6">
        <v>7703</v>
      </c>
      <c r="K290" s="3">
        <v>1755.4</v>
      </c>
      <c r="L290" s="3">
        <v>12800</v>
      </c>
      <c r="M290" s="11">
        <f>+H290/K290</f>
        <v>0.19368804830807793</v>
      </c>
    </row>
    <row r="291" spans="1:13">
      <c r="A291" s="9">
        <v>2025</v>
      </c>
      <c r="B291" s="3">
        <v>37</v>
      </c>
      <c r="C291" s="3" t="s">
        <v>11</v>
      </c>
      <c r="D291" s="3" t="s">
        <v>8</v>
      </c>
      <c r="E291" s="3" t="s">
        <v>12</v>
      </c>
      <c r="F291" s="3" t="s">
        <v>13</v>
      </c>
      <c r="G291" s="3" t="str">
        <f t="shared" si="4"/>
        <v>025PINK MONDIAL</v>
      </c>
      <c r="H291" s="3">
        <v>5850</v>
      </c>
      <c r="I291" s="6">
        <v>7111</v>
      </c>
      <c r="J291" s="6">
        <v>7111</v>
      </c>
      <c r="K291" s="3">
        <v>3071.9505625000002</v>
      </c>
      <c r="L291" s="3">
        <v>22400</v>
      </c>
      <c r="M291" s="11">
        <f>+H291/K291</f>
        <v>1.9043275212212989</v>
      </c>
    </row>
    <row r="292" spans="1:13">
      <c r="A292" s="9">
        <v>2025</v>
      </c>
      <c r="B292" s="3">
        <v>37</v>
      </c>
      <c r="C292" s="3" t="s">
        <v>11</v>
      </c>
      <c r="D292" s="3" t="s">
        <v>8</v>
      </c>
      <c r="E292" s="3" t="s">
        <v>9</v>
      </c>
      <c r="F292" s="3" t="s">
        <v>14</v>
      </c>
      <c r="G292" s="3" t="str">
        <f t="shared" si="4"/>
        <v>026LOLA</v>
      </c>
      <c r="H292" s="3">
        <v>3750</v>
      </c>
      <c r="I292" s="6">
        <v>9598</v>
      </c>
      <c r="J292" s="6">
        <v>9598</v>
      </c>
      <c r="K292" s="3">
        <v>1097.125</v>
      </c>
      <c r="L292" s="3">
        <v>8000</v>
      </c>
      <c r="M292" s="11">
        <f>+H292/K292</f>
        <v>3.4180243819072578</v>
      </c>
    </row>
    <row r="293" spans="1:13">
      <c r="A293" s="9">
        <v>2025</v>
      </c>
      <c r="B293" s="3">
        <v>37</v>
      </c>
      <c r="C293" s="3" t="s">
        <v>11</v>
      </c>
      <c r="D293" s="3" t="s">
        <v>8</v>
      </c>
      <c r="E293" s="3" t="s">
        <v>9</v>
      </c>
      <c r="F293" s="3" t="s">
        <v>15</v>
      </c>
      <c r="G293" s="3" t="str">
        <f t="shared" si="4"/>
        <v>026PALOMA</v>
      </c>
      <c r="H293" s="3">
        <v>4450</v>
      </c>
      <c r="I293" s="6">
        <v>7630</v>
      </c>
      <c r="J293" s="6">
        <v>8783</v>
      </c>
      <c r="K293" s="3">
        <v>2852.5250000000001</v>
      </c>
      <c r="L293" s="3">
        <v>20800</v>
      </c>
      <c r="M293" s="11">
        <f>+H293/K293</f>
        <v>1.5600213845627995</v>
      </c>
    </row>
    <row r="294" spans="1:13">
      <c r="A294" s="9">
        <v>2025</v>
      </c>
      <c r="B294" s="3">
        <v>37</v>
      </c>
      <c r="C294" s="3" t="s">
        <v>11</v>
      </c>
      <c r="D294" s="3" t="s">
        <v>8</v>
      </c>
      <c r="E294" s="3" t="s">
        <v>16</v>
      </c>
      <c r="F294" s="3" t="s">
        <v>17</v>
      </c>
      <c r="G294" s="3" t="str">
        <f t="shared" si="4"/>
        <v>027SATISFACTION</v>
      </c>
      <c r="H294" s="3">
        <v>3570</v>
      </c>
      <c r="I294" s="3">
        <v>9396</v>
      </c>
      <c r="J294" s="3">
        <v>9396</v>
      </c>
      <c r="K294" s="3">
        <v>2633.1</v>
      </c>
      <c r="L294" s="3">
        <v>19200</v>
      </c>
      <c r="M294" s="11">
        <f>+H294/K294</f>
        <v>1.3558163381565456</v>
      </c>
    </row>
    <row r="295" spans="1:13">
      <c r="A295" s="9">
        <v>2025</v>
      </c>
      <c r="B295" s="3">
        <v>37</v>
      </c>
      <c r="C295" s="3" t="s">
        <v>11</v>
      </c>
      <c r="D295" s="3" t="s">
        <v>8</v>
      </c>
      <c r="E295" s="3" t="s">
        <v>16</v>
      </c>
      <c r="F295" s="3" t="s">
        <v>18</v>
      </c>
      <c r="G295" s="3" t="str">
        <f t="shared" si="4"/>
        <v>027TIFFANY!</v>
      </c>
      <c r="H295" s="3">
        <v>3720</v>
      </c>
      <c r="I295" s="3">
        <v>6201</v>
      </c>
      <c r="J295" s="3">
        <v>5637</v>
      </c>
      <c r="K295" s="3">
        <v>2633.1</v>
      </c>
      <c r="L295" s="3">
        <v>19200</v>
      </c>
      <c r="M295" s="11">
        <f>+H295/K295</f>
        <v>1.4127834111883333</v>
      </c>
    </row>
    <row r="296" spans="1:13">
      <c r="A296" s="9">
        <v>2025</v>
      </c>
      <c r="B296" s="3">
        <v>37</v>
      </c>
      <c r="C296" s="3" t="s">
        <v>11</v>
      </c>
      <c r="D296" s="3" t="s">
        <v>8</v>
      </c>
      <c r="E296" s="3" t="s">
        <v>19</v>
      </c>
      <c r="F296" s="3" t="s">
        <v>20</v>
      </c>
      <c r="G296" s="3" t="str">
        <f t="shared" si="4"/>
        <v>028COTOPAXI</v>
      </c>
      <c r="H296" s="3">
        <v>7380</v>
      </c>
      <c r="I296" s="3">
        <v>6489</v>
      </c>
      <c r="J296" s="3">
        <v>5829</v>
      </c>
      <c r="K296" s="3">
        <v>2852.5250000000001</v>
      </c>
      <c r="L296" s="3">
        <v>20800</v>
      </c>
      <c r="M296" s="11">
        <f>+H296/K296</f>
        <v>2.5871815321513396</v>
      </c>
    </row>
    <row r="297" spans="1:13">
      <c r="A297" s="9">
        <v>2025</v>
      </c>
      <c r="B297" s="3">
        <v>37</v>
      </c>
      <c r="C297" s="3" t="s">
        <v>11</v>
      </c>
      <c r="D297" s="3" t="s">
        <v>8</v>
      </c>
      <c r="E297" s="3" t="s">
        <v>19</v>
      </c>
      <c r="F297" s="3" t="s">
        <v>21</v>
      </c>
      <c r="G297" s="3" t="str">
        <f t="shared" si="4"/>
        <v>028DEEP PURPLE</v>
      </c>
      <c r="H297" s="3">
        <v>5310</v>
      </c>
      <c r="I297" s="3">
        <v>6173</v>
      </c>
      <c r="J297" s="3">
        <v>5751</v>
      </c>
      <c r="K297" s="3">
        <v>2852.5250000000001</v>
      </c>
      <c r="L297" s="3">
        <v>20800</v>
      </c>
      <c r="M297" s="11">
        <f>+H297/K297</f>
        <v>1.8615086633771833</v>
      </c>
    </row>
    <row r="298" spans="1:13">
      <c r="A298" s="9">
        <v>2025</v>
      </c>
      <c r="B298" s="3">
        <v>38</v>
      </c>
      <c r="C298" s="3" t="s">
        <v>7</v>
      </c>
      <c r="D298" s="3" t="s">
        <v>8</v>
      </c>
      <c r="E298" s="3" t="s">
        <v>9</v>
      </c>
      <c r="F298" s="3" t="s">
        <v>10</v>
      </c>
      <c r="G298" s="3" t="str">
        <f t="shared" si="4"/>
        <v>026PURPLE BUBBLY</v>
      </c>
      <c r="H298" s="3">
        <v>690</v>
      </c>
      <c r="I298" s="3">
        <v>5969</v>
      </c>
      <c r="J298" s="3">
        <v>6479</v>
      </c>
      <c r="K298" s="3">
        <v>1755.4</v>
      </c>
      <c r="L298" s="3">
        <v>12800</v>
      </c>
      <c r="M298" s="11">
        <f>+H298/K298</f>
        <v>0.39307280391933458</v>
      </c>
    </row>
    <row r="299" spans="1:13">
      <c r="A299" s="9">
        <v>2025</v>
      </c>
      <c r="B299" s="3">
        <v>38</v>
      </c>
      <c r="C299" s="3" t="s">
        <v>11</v>
      </c>
      <c r="D299" s="3" t="s">
        <v>8</v>
      </c>
      <c r="E299" s="3" t="s">
        <v>12</v>
      </c>
      <c r="F299" s="3" t="s">
        <v>13</v>
      </c>
      <c r="G299" s="3" t="str">
        <f t="shared" si="4"/>
        <v>025PINK MONDIAL</v>
      </c>
      <c r="H299" s="3">
        <v>6575</v>
      </c>
      <c r="I299" s="3">
        <v>5298</v>
      </c>
      <c r="J299" s="3">
        <v>6197</v>
      </c>
      <c r="K299" s="3">
        <v>3071.9505625000002</v>
      </c>
      <c r="L299" s="3">
        <v>22400</v>
      </c>
      <c r="M299" s="11">
        <f>+H299/K299</f>
        <v>2.1403339234239382</v>
      </c>
    </row>
    <row r="300" spans="1:13">
      <c r="A300" s="9">
        <v>2025</v>
      </c>
      <c r="B300" s="3">
        <v>38</v>
      </c>
      <c r="C300" s="3" t="s">
        <v>11</v>
      </c>
      <c r="D300" s="3" t="s">
        <v>8</v>
      </c>
      <c r="E300" s="3" t="s">
        <v>9</v>
      </c>
      <c r="F300" s="3" t="s">
        <v>14</v>
      </c>
      <c r="G300" s="3" t="str">
        <f t="shared" si="4"/>
        <v>026LOLA</v>
      </c>
      <c r="H300" s="3">
        <v>5050</v>
      </c>
      <c r="I300" s="3">
        <v>6456</v>
      </c>
      <c r="J300" s="3">
        <v>5839</v>
      </c>
      <c r="K300" s="3">
        <v>1097.125</v>
      </c>
      <c r="L300" s="3">
        <v>8000</v>
      </c>
      <c r="M300" s="11">
        <f>+H300/K300</f>
        <v>4.6029395009684402</v>
      </c>
    </row>
    <row r="301" spans="1:13">
      <c r="A301" s="9">
        <v>2025</v>
      </c>
      <c r="B301" s="3">
        <v>38</v>
      </c>
      <c r="C301" s="3" t="s">
        <v>11</v>
      </c>
      <c r="D301" s="3" t="s">
        <v>8</v>
      </c>
      <c r="E301" s="3" t="s">
        <v>9</v>
      </c>
      <c r="F301" s="3" t="s">
        <v>15</v>
      </c>
      <c r="G301" s="3" t="str">
        <f t="shared" si="4"/>
        <v>026PALOMA</v>
      </c>
      <c r="H301" s="3">
        <v>5975</v>
      </c>
      <c r="I301" s="3">
        <v>8416</v>
      </c>
      <c r="J301" s="3">
        <v>8406</v>
      </c>
      <c r="K301" s="3">
        <v>2852.5250000000001</v>
      </c>
      <c r="L301" s="3">
        <v>20800</v>
      </c>
      <c r="M301" s="11">
        <f>+H301/K301</f>
        <v>2.0946354545534218</v>
      </c>
    </row>
    <row r="302" spans="1:13">
      <c r="A302" s="9">
        <v>2025</v>
      </c>
      <c r="B302" s="3">
        <v>38</v>
      </c>
      <c r="C302" s="3" t="s">
        <v>11</v>
      </c>
      <c r="D302" s="3" t="s">
        <v>8</v>
      </c>
      <c r="E302" s="3" t="s">
        <v>16</v>
      </c>
      <c r="F302" s="3" t="s">
        <v>17</v>
      </c>
      <c r="G302" s="3" t="str">
        <f t="shared" si="4"/>
        <v>027SATISFACTION</v>
      </c>
      <c r="H302" s="3">
        <v>4200</v>
      </c>
      <c r="I302" s="3">
        <v>11732</v>
      </c>
      <c r="J302" s="3">
        <v>10416</v>
      </c>
      <c r="K302" s="3">
        <v>2633.1</v>
      </c>
      <c r="L302" s="3">
        <v>19200</v>
      </c>
      <c r="M302" s="11">
        <f>+H302/K302</f>
        <v>1.5950780448900537</v>
      </c>
    </row>
    <row r="303" spans="1:13">
      <c r="A303" s="9">
        <v>2025</v>
      </c>
      <c r="B303" s="3">
        <v>38</v>
      </c>
      <c r="C303" s="3" t="s">
        <v>11</v>
      </c>
      <c r="D303" s="3" t="s">
        <v>8</v>
      </c>
      <c r="E303" s="3" t="s">
        <v>16</v>
      </c>
      <c r="F303" s="3" t="s">
        <v>18</v>
      </c>
      <c r="G303" s="3" t="str">
        <f t="shared" si="4"/>
        <v>027TIFFANY!</v>
      </c>
      <c r="H303" s="3">
        <v>4920</v>
      </c>
      <c r="I303" s="3">
        <v>5709</v>
      </c>
      <c r="J303" s="3">
        <v>6343</v>
      </c>
      <c r="K303" s="3">
        <v>2633.1</v>
      </c>
      <c r="L303" s="3">
        <v>19200</v>
      </c>
      <c r="M303" s="11">
        <f>+H303/K303</f>
        <v>1.8685199954426341</v>
      </c>
    </row>
    <row r="304" spans="1:13">
      <c r="A304" s="9">
        <v>2025</v>
      </c>
      <c r="B304" s="3">
        <v>38</v>
      </c>
      <c r="C304" s="3" t="s">
        <v>11</v>
      </c>
      <c r="D304" s="3" t="s">
        <v>8</v>
      </c>
      <c r="E304" s="3" t="s">
        <v>19</v>
      </c>
      <c r="F304" s="3" t="s">
        <v>20</v>
      </c>
      <c r="G304" s="3" t="str">
        <f t="shared" si="4"/>
        <v>028COTOPAXI</v>
      </c>
      <c r="H304" s="3">
        <v>7620</v>
      </c>
      <c r="I304" s="3">
        <v>5200</v>
      </c>
      <c r="J304" s="3">
        <v>3711</v>
      </c>
      <c r="K304" s="3">
        <v>2852.5250000000001</v>
      </c>
      <c r="L304" s="3">
        <v>20800</v>
      </c>
      <c r="M304" s="11">
        <f>+H304/K304</f>
        <v>2.6713175169367491</v>
      </c>
    </row>
    <row r="305" spans="1:13">
      <c r="A305" s="9">
        <v>2025</v>
      </c>
      <c r="B305" s="3">
        <v>38</v>
      </c>
      <c r="C305" s="3" t="s">
        <v>11</v>
      </c>
      <c r="D305" s="3" t="s">
        <v>8</v>
      </c>
      <c r="E305" s="3" t="s">
        <v>19</v>
      </c>
      <c r="F305" s="3" t="s">
        <v>21</v>
      </c>
      <c r="G305" s="3" t="str">
        <f t="shared" si="4"/>
        <v>028DEEP PURPLE</v>
      </c>
      <c r="H305" s="3">
        <v>6210</v>
      </c>
      <c r="I305" s="3">
        <v>4353</v>
      </c>
      <c r="J305" s="3">
        <v>4310</v>
      </c>
      <c r="K305" s="3">
        <v>2852.5250000000001</v>
      </c>
      <c r="L305" s="3">
        <v>20800</v>
      </c>
      <c r="M305" s="11">
        <f>+H305/K305</f>
        <v>2.1770186063224686</v>
      </c>
    </row>
    <row r="306" spans="1:13">
      <c r="A306" s="9">
        <v>2025</v>
      </c>
      <c r="B306" s="3">
        <v>39</v>
      </c>
      <c r="C306" s="3" t="s">
        <v>7</v>
      </c>
      <c r="D306" s="3" t="s">
        <v>8</v>
      </c>
      <c r="E306" s="3" t="s">
        <v>9</v>
      </c>
      <c r="F306" s="3" t="s">
        <v>10</v>
      </c>
      <c r="G306" s="3" t="str">
        <f t="shared" si="4"/>
        <v>026PURPLE BUBBLY</v>
      </c>
      <c r="H306" s="3">
        <v>620</v>
      </c>
      <c r="I306" s="3">
        <v>4671</v>
      </c>
      <c r="J306" s="3">
        <v>4066</v>
      </c>
      <c r="K306" s="3">
        <v>1755.4</v>
      </c>
      <c r="L306" s="3">
        <v>12800</v>
      </c>
      <c r="M306" s="11">
        <f>+H306/K306</f>
        <v>0.35319585279708327</v>
      </c>
    </row>
    <row r="307" spans="1:13">
      <c r="A307" s="9">
        <v>2025</v>
      </c>
      <c r="B307" s="3">
        <v>39</v>
      </c>
      <c r="C307" s="3" t="s">
        <v>11</v>
      </c>
      <c r="D307" s="3" t="s">
        <v>8</v>
      </c>
      <c r="E307" s="3" t="s">
        <v>12</v>
      </c>
      <c r="F307" s="3" t="s">
        <v>13</v>
      </c>
      <c r="G307" s="3" t="str">
        <f t="shared" si="4"/>
        <v>025PINK MONDIAL</v>
      </c>
      <c r="H307" s="3">
        <v>5975</v>
      </c>
      <c r="I307" s="3">
        <v>4050</v>
      </c>
      <c r="J307" s="3">
        <v>4415</v>
      </c>
      <c r="K307" s="3">
        <v>3071.9505625000002</v>
      </c>
      <c r="L307" s="3">
        <v>22400</v>
      </c>
      <c r="M307" s="11">
        <f>+H307/K307</f>
        <v>1.9450182802217539</v>
      </c>
    </row>
    <row r="308" spans="1:13">
      <c r="A308" s="9">
        <v>2025</v>
      </c>
      <c r="B308" s="3">
        <v>39</v>
      </c>
      <c r="C308" s="3" t="s">
        <v>11</v>
      </c>
      <c r="D308" s="3" t="s">
        <v>8</v>
      </c>
      <c r="E308" s="3" t="s">
        <v>9</v>
      </c>
      <c r="F308" s="3" t="s">
        <v>14</v>
      </c>
      <c r="G308" s="3" t="str">
        <f t="shared" si="4"/>
        <v>026LOLA</v>
      </c>
      <c r="H308" s="3">
        <v>4125</v>
      </c>
      <c r="I308" s="3">
        <v>4100</v>
      </c>
      <c r="J308" s="3">
        <v>4218</v>
      </c>
      <c r="K308" s="3">
        <v>1097.125</v>
      </c>
      <c r="L308" s="3">
        <v>8000</v>
      </c>
      <c r="M308" s="11">
        <f>+H308/K308</f>
        <v>3.7598268200979832</v>
      </c>
    </row>
    <row r="309" spans="1:13">
      <c r="A309" s="9">
        <v>2025</v>
      </c>
      <c r="B309" s="3">
        <v>39</v>
      </c>
      <c r="C309" s="3" t="s">
        <v>11</v>
      </c>
      <c r="D309" s="3" t="s">
        <v>8</v>
      </c>
      <c r="E309" s="3" t="s">
        <v>9</v>
      </c>
      <c r="F309" s="3" t="s">
        <v>15</v>
      </c>
      <c r="G309" s="3" t="str">
        <f t="shared" si="4"/>
        <v>026PALOMA</v>
      </c>
      <c r="H309" s="3">
        <v>5150</v>
      </c>
      <c r="I309" s="3">
        <v>4307</v>
      </c>
      <c r="J309" s="3">
        <v>4588</v>
      </c>
      <c r="K309" s="3">
        <v>2852.5250000000001</v>
      </c>
      <c r="L309" s="3">
        <v>20800</v>
      </c>
      <c r="M309" s="11">
        <f>+H309/K309</f>
        <v>1.805418006853577</v>
      </c>
    </row>
    <row r="310" spans="1:13">
      <c r="A310" s="9">
        <v>2025</v>
      </c>
      <c r="B310" s="3">
        <v>39</v>
      </c>
      <c r="C310" s="3" t="s">
        <v>11</v>
      </c>
      <c r="D310" s="3" t="s">
        <v>8</v>
      </c>
      <c r="E310" s="3" t="s">
        <v>16</v>
      </c>
      <c r="F310" s="3" t="s">
        <v>17</v>
      </c>
      <c r="G310" s="3" t="str">
        <f t="shared" si="4"/>
        <v>027SATISFACTION</v>
      </c>
      <c r="H310" s="3">
        <v>5970</v>
      </c>
      <c r="I310" s="3">
        <v>5297</v>
      </c>
      <c r="J310" s="3">
        <v>5162</v>
      </c>
      <c r="K310" s="3">
        <v>2633.1</v>
      </c>
      <c r="L310" s="3">
        <v>19200</v>
      </c>
      <c r="M310" s="11">
        <f>+H310/K310</f>
        <v>2.2672895066651475</v>
      </c>
    </row>
    <row r="311" spans="1:13">
      <c r="A311" s="9">
        <v>2025</v>
      </c>
      <c r="B311" s="3">
        <v>39</v>
      </c>
      <c r="C311" s="3" t="s">
        <v>11</v>
      </c>
      <c r="D311" s="3" t="s">
        <v>8</v>
      </c>
      <c r="E311" s="3" t="s">
        <v>16</v>
      </c>
      <c r="F311" s="3" t="s">
        <v>18</v>
      </c>
      <c r="G311" s="3" t="str">
        <f t="shared" si="4"/>
        <v>027TIFFANY!</v>
      </c>
      <c r="H311" s="3">
        <v>6210</v>
      </c>
      <c r="I311" s="3">
        <v>5820</v>
      </c>
      <c r="J311" s="3">
        <v>5860</v>
      </c>
      <c r="K311" s="3">
        <v>2633.1</v>
      </c>
      <c r="L311" s="3">
        <v>19200</v>
      </c>
      <c r="M311" s="11">
        <f>+H311/K311</f>
        <v>2.358436823516008</v>
      </c>
    </row>
    <row r="312" spans="1:13">
      <c r="A312" s="9">
        <v>2025</v>
      </c>
      <c r="B312" s="3">
        <v>39</v>
      </c>
      <c r="C312" s="3" t="s">
        <v>11</v>
      </c>
      <c r="D312" s="3" t="s">
        <v>8</v>
      </c>
      <c r="E312" s="3" t="s">
        <v>19</v>
      </c>
      <c r="F312" s="3" t="s">
        <v>20</v>
      </c>
      <c r="G312" s="3" t="str">
        <f t="shared" si="4"/>
        <v>028COTOPAXI</v>
      </c>
      <c r="H312" s="3">
        <v>7050</v>
      </c>
      <c r="I312" s="3">
        <v>5599</v>
      </c>
      <c r="J312" s="3">
        <v>5599</v>
      </c>
      <c r="K312" s="3">
        <v>2852.5250000000001</v>
      </c>
      <c r="L312" s="3">
        <v>20800</v>
      </c>
      <c r="M312" s="11">
        <f>+H312/K312</f>
        <v>2.4714945530714014</v>
      </c>
    </row>
    <row r="313" spans="1:13">
      <c r="A313" s="9">
        <v>2025</v>
      </c>
      <c r="B313" s="3">
        <v>39</v>
      </c>
      <c r="C313" s="3" t="s">
        <v>11</v>
      </c>
      <c r="D313" s="3" t="s">
        <v>8</v>
      </c>
      <c r="E313" s="3" t="s">
        <v>19</v>
      </c>
      <c r="F313" s="3" t="s">
        <v>21</v>
      </c>
      <c r="G313" s="3" t="str">
        <f t="shared" si="4"/>
        <v>028DEEP PURPLE</v>
      </c>
      <c r="H313" s="3">
        <v>6330</v>
      </c>
      <c r="I313" s="3">
        <v>7921</v>
      </c>
      <c r="J313" s="3">
        <v>8338</v>
      </c>
      <c r="K313" s="3">
        <v>2852.5250000000001</v>
      </c>
      <c r="L313" s="3">
        <v>20800</v>
      </c>
      <c r="M313" s="11">
        <f>+H313/K313</f>
        <v>2.2190865987151733</v>
      </c>
    </row>
    <row r="314" spans="1:13">
      <c r="A314" s="9">
        <v>2025</v>
      </c>
      <c r="B314" s="3">
        <v>40</v>
      </c>
      <c r="C314" s="3" t="s">
        <v>7</v>
      </c>
      <c r="D314" s="3" t="s">
        <v>8</v>
      </c>
      <c r="E314" s="3" t="s">
        <v>9</v>
      </c>
      <c r="F314" s="3" t="s">
        <v>10</v>
      </c>
      <c r="G314" s="3" t="str">
        <f t="shared" si="4"/>
        <v>026PURPLE BUBBLY</v>
      </c>
      <c r="H314" s="3">
        <v>520</v>
      </c>
      <c r="I314" s="3">
        <v>8337</v>
      </c>
      <c r="J314" s="3">
        <v>8337</v>
      </c>
      <c r="K314" s="3">
        <v>1755.4</v>
      </c>
      <c r="L314" s="3">
        <v>12800</v>
      </c>
      <c r="M314" s="11">
        <f>+H314/K314</f>
        <v>0.29622877976529566</v>
      </c>
    </row>
    <row r="315" spans="1:13">
      <c r="A315" s="9">
        <v>2025</v>
      </c>
      <c r="B315" s="3">
        <v>40</v>
      </c>
      <c r="C315" s="3" t="s">
        <v>11</v>
      </c>
      <c r="D315" s="3" t="s">
        <v>8</v>
      </c>
      <c r="E315" s="3" t="s">
        <v>12</v>
      </c>
      <c r="F315" s="3" t="s">
        <v>13</v>
      </c>
      <c r="G315" s="3" t="str">
        <f t="shared" si="4"/>
        <v>025PINK MONDIAL</v>
      </c>
      <c r="H315" s="3">
        <v>6675</v>
      </c>
      <c r="I315" s="3">
        <v>10056</v>
      </c>
      <c r="J315" s="3">
        <v>10056</v>
      </c>
      <c r="K315" s="3">
        <v>3071.9505625000002</v>
      </c>
      <c r="L315" s="3">
        <v>22400</v>
      </c>
      <c r="M315" s="11">
        <f>+H315/K315</f>
        <v>2.1728865306243024</v>
      </c>
    </row>
    <row r="316" spans="1:13">
      <c r="A316" s="9">
        <v>2025</v>
      </c>
      <c r="B316" s="3">
        <v>40</v>
      </c>
      <c r="C316" s="3" t="s">
        <v>11</v>
      </c>
      <c r="D316" s="3" t="s">
        <v>8</v>
      </c>
      <c r="E316" s="3" t="s">
        <v>9</v>
      </c>
      <c r="F316" s="3" t="s">
        <v>14</v>
      </c>
      <c r="G316" s="3" t="str">
        <f t="shared" si="4"/>
        <v>026LOLA</v>
      </c>
      <c r="H316" s="3">
        <v>4925</v>
      </c>
      <c r="I316" s="3">
        <v>6637</v>
      </c>
      <c r="J316" s="3">
        <v>6034</v>
      </c>
      <c r="K316" s="3">
        <v>1097.125</v>
      </c>
      <c r="L316" s="3">
        <v>8000</v>
      </c>
      <c r="M316" s="11">
        <f>+H316/K316</f>
        <v>4.4890053549048652</v>
      </c>
    </row>
    <row r="317" spans="1:13">
      <c r="A317" s="9">
        <v>2025</v>
      </c>
      <c r="B317" s="3">
        <v>40</v>
      </c>
      <c r="C317" s="3" t="s">
        <v>11</v>
      </c>
      <c r="D317" s="3" t="s">
        <v>8</v>
      </c>
      <c r="E317" s="3" t="s">
        <v>9</v>
      </c>
      <c r="F317" s="3" t="s">
        <v>15</v>
      </c>
      <c r="G317" s="3" t="str">
        <f t="shared" si="4"/>
        <v>026PALOMA</v>
      </c>
      <c r="H317" s="3">
        <v>6200</v>
      </c>
      <c r="I317" s="3">
        <v>7114</v>
      </c>
      <c r="J317" s="3">
        <v>6239</v>
      </c>
      <c r="K317" s="3">
        <v>2852.5250000000001</v>
      </c>
      <c r="L317" s="3">
        <v>20800</v>
      </c>
      <c r="M317" s="11">
        <f>+H317/K317</f>
        <v>2.1735129402897431</v>
      </c>
    </row>
    <row r="318" spans="1:13">
      <c r="A318" s="9">
        <v>2025</v>
      </c>
      <c r="B318" s="3">
        <v>40</v>
      </c>
      <c r="C318" s="3" t="s">
        <v>11</v>
      </c>
      <c r="D318" s="3" t="s">
        <v>8</v>
      </c>
      <c r="E318" s="3" t="s">
        <v>16</v>
      </c>
      <c r="F318" s="3" t="s">
        <v>17</v>
      </c>
      <c r="G318" s="3" t="str">
        <f t="shared" si="4"/>
        <v>027SATISFACTION</v>
      </c>
      <c r="H318" s="3">
        <v>5280</v>
      </c>
      <c r="I318" s="3">
        <v>7150</v>
      </c>
      <c r="J318" s="3">
        <v>6731</v>
      </c>
      <c r="K318" s="3">
        <v>2633.1</v>
      </c>
      <c r="L318" s="3">
        <v>19200</v>
      </c>
      <c r="M318" s="11">
        <f>+H318/K318</f>
        <v>2.0052409707189245</v>
      </c>
    </row>
    <row r="319" spans="1:13">
      <c r="A319" s="9">
        <v>2025</v>
      </c>
      <c r="B319" s="3">
        <v>40</v>
      </c>
      <c r="C319" s="3" t="s">
        <v>11</v>
      </c>
      <c r="D319" s="3" t="s">
        <v>8</v>
      </c>
      <c r="E319" s="3" t="s">
        <v>16</v>
      </c>
      <c r="F319" s="3" t="s">
        <v>18</v>
      </c>
      <c r="G319" s="3" t="str">
        <f t="shared" si="4"/>
        <v>027TIFFANY!</v>
      </c>
      <c r="H319" s="3">
        <v>5220</v>
      </c>
      <c r="I319" s="3">
        <v>5693</v>
      </c>
      <c r="J319" s="3">
        <v>6482</v>
      </c>
      <c r="K319" s="3">
        <v>2633.1</v>
      </c>
      <c r="L319" s="3">
        <v>19200</v>
      </c>
      <c r="M319" s="11">
        <f>+H319/K319</f>
        <v>1.9824541415062096</v>
      </c>
    </row>
    <row r="320" spans="1:13">
      <c r="A320" s="9">
        <v>2025</v>
      </c>
      <c r="B320" s="3">
        <v>40</v>
      </c>
      <c r="C320" s="3" t="s">
        <v>11</v>
      </c>
      <c r="D320" s="3" t="s">
        <v>8</v>
      </c>
      <c r="E320" s="3" t="s">
        <v>19</v>
      </c>
      <c r="F320" s="3" t="s">
        <v>20</v>
      </c>
      <c r="G320" s="3" t="str">
        <f t="shared" si="4"/>
        <v>028COTOPAXI</v>
      </c>
      <c r="H320" s="3">
        <v>5580</v>
      </c>
      <c r="I320" s="3">
        <v>6393</v>
      </c>
      <c r="J320" s="3">
        <v>6393</v>
      </c>
      <c r="K320" s="3">
        <v>2852.5250000000001</v>
      </c>
      <c r="L320" s="3">
        <v>20800</v>
      </c>
      <c r="M320" s="11">
        <f>+H320/K320</f>
        <v>1.9561616462607689</v>
      </c>
    </row>
    <row r="321" spans="1:13">
      <c r="A321" s="9">
        <v>2025</v>
      </c>
      <c r="B321" s="3">
        <v>40</v>
      </c>
      <c r="C321" s="3" t="s">
        <v>11</v>
      </c>
      <c r="D321" s="3" t="s">
        <v>8</v>
      </c>
      <c r="E321" s="3" t="s">
        <v>19</v>
      </c>
      <c r="F321" s="3" t="s">
        <v>21</v>
      </c>
      <c r="G321" s="3" t="str">
        <f t="shared" si="4"/>
        <v>028DEEP PURPLE</v>
      </c>
      <c r="H321" s="3">
        <v>7050</v>
      </c>
      <c r="I321" s="3">
        <v>5723</v>
      </c>
      <c r="J321" s="3">
        <v>6843</v>
      </c>
      <c r="K321" s="3">
        <v>2852.5250000000001</v>
      </c>
      <c r="L321" s="3">
        <v>20800</v>
      </c>
      <c r="M321" s="11">
        <f>+H321/K321</f>
        <v>2.4714945530714014</v>
      </c>
    </row>
    <row r="322" spans="1:13">
      <c r="A322" s="9">
        <v>2025</v>
      </c>
      <c r="B322" s="3">
        <v>41</v>
      </c>
      <c r="C322" s="3" t="s">
        <v>7</v>
      </c>
      <c r="D322" s="3" t="s">
        <v>8</v>
      </c>
      <c r="E322" s="3" t="s">
        <v>9</v>
      </c>
      <c r="F322" s="3" t="s">
        <v>10</v>
      </c>
      <c r="G322" s="3" t="str">
        <f t="shared" si="4"/>
        <v>026PURPLE BUBBLY</v>
      </c>
      <c r="H322" s="3">
        <v>380</v>
      </c>
      <c r="I322" s="3">
        <v>5066</v>
      </c>
      <c r="J322" s="3">
        <v>5066</v>
      </c>
      <c r="K322" s="3">
        <v>1755.4</v>
      </c>
      <c r="L322" s="3">
        <v>12800</v>
      </c>
      <c r="M322" s="11">
        <f>+H322/K322</f>
        <v>0.21647487752079297</v>
      </c>
    </row>
    <row r="323" spans="1:13">
      <c r="A323" s="9">
        <v>2025</v>
      </c>
      <c r="B323" s="3">
        <v>41</v>
      </c>
      <c r="C323" s="3" t="s">
        <v>11</v>
      </c>
      <c r="D323" s="3" t="s">
        <v>8</v>
      </c>
      <c r="E323" s="3" t="s">
        <v>12</v>
      </c>
      <c r="F323" s="3" t="s">
        <v>13</v>
      </c>
      <c r="G323" s="3" t="str">
        <f t="shared" ref="G323:G386" si="5">+E323&amp;F323</f>
        <v>025PINK MONDIAL</v>
      </c>
      <c r="H323" s="3">
        <v>5375</v>
      </c>
      <c r="I323" s="3">
        <v>5450</v>
      </c>
      <c r="J323" s="3">
        <v>7286</v>
      </c>
      <c r="K323" s="3">
        <v>3071.9505625000002</v>
      </c>
      <c r="L323" s="3">
        <v>22400</v>
      </c>
      <c r="M323" s="11">
        <f>+H323/K323</f>
        <v>1.7497026370195694</v>
      </c>
    </row>
    <row r="324" spans="1:13">
      <c r="A324" s="9">
        <v>2025</v>
      </c>
      <c r="B324" s="3">
        <v>41</v>
      </c>
      <c r="C324" s="3" t="s">
        <v>11</v>
      </c>
      <c r="D324" s="3" t="s">
        <v>8</v>
      </c>
      <c r="E324" s="3" t="s">
        <v>9</v>
      </c>
      <c r="F324" s="3" t="s">
        <v>14</v>
      </c>
      <c r="G324" s="3" t="str">
        <f t="shared" si="5"/>
        <v>026LOLA</v>
      </c>
      <c r="H324" s="3">
        <v>3350</v>
      </c>
      <c r="I324" s="3">
        <v>5250</v>
      </c>
      <c r="J324" s="3">
        <v>4825</v>
      </c>
      <c r="K324" s="3">
        <v>1097.125</v>
      </c>
      <c r="L324" s="3">
        <v>8000</v>
      </c>
      <c r="M324" s="11">
        <f>+H324/K324</f>
        <v>3.053435114503817</v>
      </c>
    </row>
    <row r="325" spans="1:13">
      <c r="A325" s="9">
        <v>2025</v>
      </c>
      <c r="B325" s="3">
        <v>41</v>
      </c>
      <c r="C325" s="3" t="s">
        <v>11</v>
      </c>
      <c r="D325" s="3" t="s">
        <v>8</v>
      </c>
      <c r="E325" s="3" t="s">
        <v>9</v>
      </c>
      <c r="F325" s="3" t="s">
        <v>15</v>
      </c>
      <c r="G325" s="3" t="str">
        <f t="shared" si="5"/>
        <v>026PALOMA</v>
      </c>
      <c r="H325" s="3">
        <v>4250</v>
      </c>
      <c r="I325" s="3">
        <v>4175</v>
      </c>
      <c r="J325" s="3">
        <v>5355</v>
      </c>
      <c r="K325" s="3">
        <v>2852.5250000000001</v>
      </c>
      <c r="L325" s="3">
        <v>20800</v>
      </c>
      <c r="M325" s="11">
        <f>+H325/K325</f>
        <v>1.4899080639082918</v>
      </c>
    </row>
    <row r="326" spans="1:13">
      <c r="A326" s="9">
        <v>2025</v>
      </c>
      <c r="B326" s="3">
        <v>41</v>
      </c>
      <c r="C326" s="3" t="s">
        <v>11</v>
      </c>
      <c r="D326" s="3" t="s">
        <v>8</v>
      </c>
      <c r="E326" s="3" t="s">
        <v>16</v>
      </c>
      <c r="F326" s="3" t="s">
        <v>17</v>
      </c>
      <c r="G326" s="3" t="str">
        <f t="shared" si="5"/>
        <v>027SATISFACTION</v>
      </c>
      <c r="H326" s="3">
        <v>3540</v>
      </c>
      <c r="I326" s="3">
        <v>4446</v>
      </c>
      <c r="J326" s="3">
        <v>4088</v>
      </c>
      <c r="K326" s="3">
        <v>2633.1</v>
      </c>
      <c r="L326" s="3">
        <v>19200</v>
      </c>
      <c r="M326" s="11">
        <f>+H326/K326</f>
        <v>1.3444229235501881</v>
      </c>
    </row>
    <row r="327" spans="1:13">
      <c r="A327" s="9">
        <v>2025</v>
      </c>
      <c r="B327" s="3">
        <v>41</v>
      </c>
      <c r="C327" s="3" t="s">
        <v>11</v>
      </c>
      <c r="D327" s="3" t="s">
        <v>8</v>
      </c>
      <c r="E327" s="3" t="s">
        <v>16</v>
      </c>
      <c r="F327" s="3" t="s">
        <v>18</v>
      </c>
      <c r="G327" s="3" t="str">
        <f t="shared" si="5"/>
        <v>027TIFFANY!</v>
      </c>
      <c r="H327" s="3">
        <v>3810</v>
      </c>
      <c r="I327" s="3">
        <v>5590</v>
      </c>
      <c r="J327" s="3">
        <v>5940</v>
      </c>
      <c r="K327" s="3">
        <v>2633.1</v>
      </c>
      <c r="L327" s="3">
        <v>19200</v>
      </c>
      <c r="M327" s="11">
        <f>+H327/K327</f>
        <v>1.4469636550074059</v>
      </c>
    </row>
    <row r="328" spans="1:13">
      <c r="A328" s="9">
        <v>2025</v>
      </c>
      <c r="B328" s="3">
        <v>41</v>
      </c>
      <c r="C328" s="3" t="s">
        <v>11</v>
      </c>
      <c r="D328" s="3" t="s">
        <v>8</v>
      </c>
      <c r="E328" s="3" t="s">
        <v>19</v>
      </c>
      <c r="F328" s="3" t="s">
        <v>20</v>
      </c>
      <c r="G328" s="3" t="str">
        <f t="shared" si="5"/>
        <v>028COTOPAXI</v>
      </c>
      <c r="H328" s="3">
        <v>6060</v>
      </c>
      <c r="I328" s="3">
        <v>6435</v>
      </c>
      <c r="J328" s="3">
        <v>6065</v>
      </c>
      <c r="K328" s="3">
        <v>2852.5250000000001</v>
      </c>
      <c r="L328" s="3">
        <v>20800</v>
      </c>
      <c r="M328" s="11">
        <f>+H328/K328</f>
        <v>2.1244336158315877</v>
      </c>
    </row>
    <row r="329" spans="1:13">
      <c r="A329" s="9">
        <v>2025</v>
      </c>
      <c r="B329" s="3">
        <v>41</v>
      </c>
      <c r="C329" s="3" t="s">
        <v>11</v>
      </c>
      <c r="D329" s="3" t="s">
        <v>8</v>
      </c>
      <c r="E329" s="3" t="s">
        <v>19</v>
      </c>
      <c r="F329" s="3" t="s">
        <v>21</v>
      </c>
      <c r="G329" s="3" t="str">
        <f t="shared" si="5"/>
        <v>028DEEP PURPLE</v>
      </c>
      <c r="H329" s="3">
        <v>6570</v>
      </c>
      <c r="I329" s="3">
        <v>7566</v>
      </c>
      <c r="J329" s="3">
        <v>6978</v>
      </c>
      <c r="K329" s="3">
        <v>2852.5250000000001</v>
      </c>
      <c r="L329" s="3">
        <v>20800</v>
      </c>
      <c r="M329" s="11">
        <f>+H329/K329</f>
        <v>2.3032225835005828</v>
      </c>
    </row>
    <row r="330" spans="1:13">
      <c r="A330" s="9">
        <v>2025</v>
      </c>
      <c r="B330" s="3">
        <v>42</v>
      </c>
      <c r="C330" s="3" t="s">
        <v>7</v>
      </c>
      <c r="D330" s="3" t="s">
        <v>8</v>
      </c>
      <c r="E330" s="3" t="s">
        <v>9</v>
      </c>
      <c r="F330" s="3" t="s">
        <v>10</v>
      </c>
      <c r="G330" s="3" t="str">
        <f t="shared" si="5"/>
        <v>026PURPLE BUBBLY</v>
      </c>
      <c r="H330" s="3">
        <v>360</v>
      </c>
      <c r="I330" s="3">
        <v>6975</v>
      </c>
      <c r="J330" s="3">
        <v>7353</v>
      </c>
      <c r="K330" s="3">
        <v>1755.4</v>
      </c>
      <c r="L330" s="3">
        <v>12800</v>
      </c>
      <c r="M330" s="11">
        <f>+H330/K330</f>
        <v>0.20508146291443544</v>
      </c>
    </row>
    <row r="331" spans="1:13">
      <c r="A331" s="9">
        <v>2025</v>
      </c>
      <c r="B331" s="3">
        <v>42</v>
      </c>
      <c r="C331" s="3" t="s">
        <v>11</v>
      </c>
      <c r="D331" s="3" t="s">
        <v>8</v>
      </c>
      <c r="E331" s="3" t="s">
        <v>12</v>
      </c>
      <c r="F331" s="3" t="s">
        <v>13</v>
      </c>
      <c r="G331" s="3" t="str">
        <f t="shared" si="5"/>
        <v>025PINK MONDIAL</v>
      </c>
      <c r="H331" s="3">
        <v>3925</v>
      </c>
      <c r="I331" s="3">
        <v>5925</v>
      </c>
      <c r="J331" s="3">
        <v>6031</v>
      </c>
      <c r="K331" s="3">
        <v>3071.9505625000002</v>
      </c>
      <c r="L331" s="3">
        <v>22400</v>
      </c>
      <c r="M331" s="11">
        <f>+H331/K331</f>
        <v>1.2776898326142903</v>
      </c>
    </row>
    <row r="332" spans="1:13">
      <c r="A332" s="9">
        <v>2025</v>
      </c>
      <c r="B332" s="3">
        <v>42</v>
      </c>
      <c r="C332" s="3" t="s">
        <v>11</v>
      </c>
      <c r="D332" s="3" t="s">
        <v>8</v>
      </c>
      <c r="E332" s="3" t="s">
        <v>9</v>
      </c>
      <c r="F332" s="3" t="s">
        <v>14</v>
      </c>
      <c r="G332" s="3" t="str">
        <f t="shared" si="5"/>
        <v>026LOLA</v>
      </c>
      <c r="H332" s="3">
        <v>3275</v>
      </c>
      <c r="I332" s="3">
        <v>5312</v>
      </c>
      <c r="J332" s="3">
        <v>6381</v>
      </c>
      <c r="K332" s="3">
        <v>1097.125</v>
      </c>
      <c r="L332" s="3">
        <v>8000</v>
      </c>
      <c r="M332" s="11">
        <f>+H332/K332</f>
        <v>2.9850746268656718</v>
      </c>
    </row>
    <row r="333" spans="1:13">
      <c r="A333" s="9">
        <v>2025</v>
      </c>
      <c r="B333" s="3">
        <v>42</v>
      </c>
      <c r="C333" s="3" t="s">
        <v>11</v>
      </c>
      <c r="D333" s="3" t="s">
        <v>8</v>
      </c>
      <c r="E333" s="3" t="s">
        <v>9</v>
      </c>
      <c r="F333" s="3" t="s">
        <v>15</v>
      </c>
      <c r="G333" s="3" t="str">
        <f t="shared" si="5"/>
        <v>026PALOMA</v>
      </c>
      <c r="H333" s="3">
        <v>4925</v>
      </c>
      <c r="I333" s="3">
        <v>5363</v>
      </c>
      <c r="J333" s="3">
        <v>5852</v>
      </c>
      <c r="K333" s="3">
        <v>2852.5250000000001</v>
      </c>
      <c r="L333" s="3">
        <v>20800</v>
      </c>
      <c r="M333" s="11">
        <f>+H333/K333</f>
        <v>1.7265405211172558</v>
      </c>
    </row>
    <row r="334" spans="1:13">
      <c r="A334" s="9">
        <v>2025</v>
      </c>
      <c r="B334" s="3">
        <v>42</v>
      </c>
      <c r="C334" s="3" t="s">
        <v>11</v>
      </c>
      <c r="D334" s="3" t="s">
        <v>8</v>
      </c>
      <c r="E334" s="3" t="s">
        <v>16</v>
      </c>
      <c r="F334" s="3" t="s">
        <v>17</v>
      </c>
      <c r="G334" s="3" t="str">
        <f t="shared" si="5"/>
        <v>027SATISFACTION</v>
      </c>
      <c r="H334" s="3">
        <v>2400</v>
      </c>
      <c r="I334" s="3">
        <v>4290</v>
      </c>
      <c r="J334" s="3">
        <v>5796</v>
      </c>
      <c r="K334" s="3">
        <v>2633.1</v>
      </c>
      <c r="L334" s="3">
        <v>19200</v>
      </c>
      <c r="M334" s="11">
        <f>+H334/K334</f>
        <v>0.91147316850860205</v>
      </c>
    </row>
    <row r="335" spans="1:13">
      <c r="A335" s="9">
        <v>2025</v>
      </c>
      <c r="B335" s="3">
        <v>42</v>
      </c>
      <c r="C335" s="3" t="s">
        <v>11</v>
      </c>
      <c r="D335" s="3" t="s">
        <v>8</v>
      </c>
      <c r="E335" s="3" t="s">
        <v>16</v>
      </c>
      <c r="F335" s="3" t="s">
        <v>18</v>
      </c>
      <c r="G335" s="3" t="str">
        <f t="shared" si="5"/>
        <v>027TIFFANY!</v>
      </c>
      <c r="H335" s="3">
        <v>2220</v>
      </c>
      <c r="I335" s="3">
        <v>5150</v>
      </c>
      <c r="J335" s="3">
        <v>5316</v>
      </c>
      <c r="K335" s="3">
        <v>2633.1</v>
      </c>
      <c r="L335" s="3">
        <v>19200</v>
      </c>
      <c r="M335" s="11">
        <f>+H335/K335</f>
        <v>0.84311268087045688</v>
      </c>
    </row>
    <row r="336" spans="1:13">
      <c r="A336" s="9">
        <v>2025</v>
      </c>
      <c r="B336" s="3">
        <v>42</v>
      </c>
      <c r="C336" s="3" t="s">
        <v>11</v>
      </c>
      <c r="D336" s="3" t="s">
        <v>8</v>
      </c>
      <c r="E336" s="3" t="s">
        <v>19</v>
      </c>
      <c r="F336" s="3" t="s">
        <v>20</v>
      </c>
      <c r="G336" s="3" t="str">
        <f t="shared" si="5"/>
        <v>028COTOPAXI</v>
      </c>
      <c r="H336" s="3">
        <v>5520</v>
      </c>
      <c r="I336" s="3">
        <v>7057</v>
      </c>
      <c r="J336" s="3">
        <v>6435</v>
      </c>
      <c r="K336" s="3">
        <v>2852.5250000000001</v>
      </c>
      <c r="L336" s="3">
        <v>20800</v>
      </c>
      <c r="M336" s="11">
        <f>+H336/K336</f>
        <v>1.9351276500644166</v>
      </c>
    </row>
    <row r="337" spans="1:13">
      <c r="A337" s="9">
        <v>2025</v>
      </c>
      <c r="B337" s="3">
        <v>42</v>
      </c>
      <c r="C337" s="3" t="s">
        <v>11</v>
      </c>
      <c r="D337" s="3" t="s">
        <v>8</v>
      </c>
      <c r="E337" s="3" t="s">
        <v>19</v>
      </c>
      <c r="F337" s="3" t="s">
        <v>21</v>
      </c>
      <c r="G337" s="3" t="str">
        <f t="shared" si="5"/>
        <v>028DEEP PURPLE</v>
      </c>
      <c r="H337" s="3">
        <v>8070</v>
      </c>
      <c r="I337" s="3">
        <v>6871</v>
      </c>
      <c r="J337" s="3">
        <v>6900</v>
      </c>
      <c r="K337" s="3">
        <v>2852.5250000000001</v>
      </c>
      <c r="L337" s="3">
        <v>20800</v>
      </c>
      <c r="M337" s="11">
        <f>+H337/K337</f>
        <v>2.8290724884093916</v>
      </c>
    </row>
    <row r="338" spans="1:13">
      <c r="A338" s="9">
        <v>2025</v>
      </c>
      <c r="B338" s="3">
        <v>43</v>
      </c>
      <c r="C338" s="3" t="s">
        <v>7</v>
      </c>
      <c r="D338" s="3" t="s">
        <v>8</v>
      </c>
      <c r="E338" s="3" t="s">
        <v>9</v>
      </c>
      <c r="F338" s="3" t="s">
        <v>10</v>
      </c>
      <c r="G338" s="3" t="str">
        <f t="shared" si="5"/>
        <v>026PURPLE BUBBLY</v>
      </c>
      <c r="H338" s="3">
        <v>610</v>
      </c>
      <c r="I338" s="3">
        <v>5902</v>
      </c>
      <c r="J338" s="3">
        <v>6870</v>
      </c>
      <c r="K338" s="3">
        <v>1755.4</v>
      </c>
      <c r="L338" s="3">
        <v>12800</v>
      </c>
      <c r="M338" s="11">
        <f>+H338/K338</f>
        <v>0.34749914549390448</v>
      </c>
    </row>
    <row r="339" spans="1:13">
      <c r="A339" s="9">
        <v>2025</v>
      </c>
      <c r="B339" s="3">
        <v>43</v>
      </c>
      <c r="C339" s="3" t="s">
        <v>11</v>
      </c>
      <c r="D339" s="3" t="s">
        <v>8</v>
      </c>
      <c r="E339" s="3" t="s">
        <v>12</v>
      </c>
      <c r="F339" s="3" t="s">
        <v>13</v>
      </c>
      <c r="G339" s="3" t="str">
        <f t="shared" si="5"/>
        <v>025PINK MONDIAL</v>
      </c>
      <c r="H339" s="3">
        <v>4150</v>
      </c>
      <c r="I339" s="3">
        <v>5286</v>
      </c>
      <c r="J339" s="3">
        <v>5687</v>
      </c>
      <c r="K339" s="3">
        <v>3071.9505625000002</v>
      </c>
      <c r="L339" s="3">
        <v>22400</v>
      </c>
      <c r="M339" s="11">
        <f>+H339/K339</f>
        <v>1.3509331988151094</v>
      </c>
    </row>
    <row r="340" spans="1:13">
      <c r="A340" s="9">
        <v>2025</v>
      </c>
      <c r="B340" s="3">
        <v>43</v>
      </c>
      <c r="C340" s="3" t="s">
        <v>11</v>
      </c>
      <c r="D340" s="3" t="s">
        <v>8</v>
      </c>
      <c r="E340" s="3" t="s">
        <v>9</v>
      </c>
      <c r="F340" s="3" t="s">
        <v>14</v>
      </c>
      <c r="G340" s="3" t="str">
        <f t="shared" si="5"/>
        <v>026LOLA</v>
      </c>
      <c r="H340" s="3">
        <v>3675</v>
      </c>
      <c r="I340" s="3">
        <v>4489</v>
      </c>
      <c r="J340" s="3">
        <v>4963</v>
      </c>
      <c r="K340" s="3">
        <v>1097.125</v>
      </c>
      <c r="L340" s="3">
        <v>8000</v>
      </c>
      <c r="M340" s="11">
        <f>+H340/K340</f>
        <v>3.3496638942691126</v>
      </c>
    </row>
    <row r="341" spans="1:13">
      <c r="A341" s="9">
        <v>2025</v>
      </c>
      <c r="B341" s="3">
        <v>43</v>
      </c>
      <c r="C341" s="3" t="s">
        <v>11</v>
      </c>
      <c r="D341" s="3" t="s">
        <v>8</v>
      </c>
      <c r="E341" s="3" t="s">
        <v>9</v>
      </c>
      <c r="F341" s="3" t="s">
        <v>15</v>
      </c>
      <c r="G341" s="3" t="str">
        <f t="shared" si="5"/>
        <v>026PALOMA</v>
      </c>
      <c r="H341" s="3">
        <v>4100</v>
      </c>
      <c r="I341" s="3">
        <v>3964</v>
      </c>
      <c r="J341" s="3">
        <v>4123</v>
      </c>
      <c r="K341" s="3">
        <v>2852.5250000000001</v>
      </c>
      <c r="L341" s="3">
        <v>20800</v>
      </c>
      <c r="M341" s="11">
        <f>+H341/K341</f>
        <v>1.4373230734174109</v>
      </c>
    </row>
    <row r="342" spans="1:13">
      <c r="A342" s="9">
        <v>2025</v>
      </c>
      <c r="B342" s="3">
        <v>43</v>
      </c>
      <c r="C342" s="3" t="s">
        <v>11</v>
      </c>
      <c r="D342" s="3" t="s">
        <v>8</v>
      </c>
      <c r="E342" s="3" t="s">
        <v>16</v>
      </c>
      <c r="F342" s="3" t="s">
        <v>17</v>
      </c>
      <c r="G342" s="3" t="str">
        <f t="shared" si="5"/>
        <v>027SATISFACTION</v>
      </c>
      <c r="H342" s="3">
        <v>2610</v>
      </c>
      <c r="I342" s="3">
        <v>4515</v>
      </c>
      <c r="J342" s="3">
        <v>4576</v>
      </c>
      <c r="K342" s="3">
        <v>2633.1</v>
      </c>
      <c r="L342" s="3">
        <v>19200</v>
      </c>
      <c r="M342" s="11">
        <f>+H342/K342</f>
        <v>0.99122707075310479</v>
      </c>
    </row>
    <row r="343" spans="1:13">
      <c r="A343" s="9">
        <v>2025</v>
      </c>
      <c r="B343" s="3">
        <v>43</v>
      </c>
      <c r="C343" s="3" t="s">
        <v>11</v>
      </c>
      <c r="D343" s="3" t="s">
        <v>8</v>
      </c>
      <c r="E343" s="3" t="s">
        <v>16</v>
      </c>
      <c r="F343" s="3" t="s">
        <v>18</v>
      </c>
      <c r="G343" s="3" t="str">
        <f t="shared" si="5"/>
        <v>027TIFFANY!</v>
      </c>
      <c r="H343" s="3">
        <v>2430</v>
      </c>
      <c r="I343" s="3">
        <v>4681</v>
      </c>
      <c r="J343" s="3">
        <v>5021</v>
      </c>
      <c r="K343" s="3">
        <v>2633.1</v>
      </c>
      <c r="L343" s="3">
        <v>19200</v>
      </c>
      <c r="M343" s="11">
        <f>+H343/K343</f>
        <v>0.92286658311495962</v>
      </c>
    </row>
    <row r="344" spans="1:13">
      <c r="A344" s="9">
        <v>2025</v>
      </c>
      <c r="B344" s="3">
        <v>43</v>
      </c>
      <c r="C344" s="3" t="s">
        <v>11</v>
      </c>
      <c r="D344" s="3" t="s">
        <v>8</v>
      </c>
      <c r="E344" s="3" t="s">
        <v>19</v>
      </c>
      <c r="F344" s="3" t="s">
        <v>20</v>
      </c>
      <c r="G344" s="3" t="str">
        <f t="shared" si="5"/>
        <v>028COTOPAXI</v>
      </c>
      <c r="H344" s="3">
        <v>5040</v>
      </c>
      <c r="I344" s="3">
        <v>4609</v>
      </c>
      <c r="J344" s="3">
        <v>4270</v>
      </c>
      <c r="K344" s="3">
        <v>2852.5250000000001</v>
      </c>
      <c r="L344" s="3">
        <v>20800</v>
      </c>
      <c r="M344" s="11">
        <f>+H344/K344</f>
        <v>1.7668556804935978</v>
      </c>
    </row>
    <row r="345" spans="1:13">
      <c r="A345" s="9">
        <v>2025</v>
      </c>
      <c r="B345" s="3">
        <v>43</v>
      </c>
      <c r="C345" s="3" t="s">
        <v>11</v>
      </c>
      <c r="D345" s="3" t="s">
        <v>8</v>
      </c>
      <c r="E345" s="3" t="s">
        <v>19</v>
      </c>
      <c r="F345" s="3" t="s">
        <v>21</v>
      </c>
      <c r="G345" s="3" t="str">
        <f t="shared" si="5"/>
        <v>028DEEP PURPLE</v>
      </c>
      <c r="H345" s="3">
        <v>8460</v>
      </c>
      <c r="I345" s="3">
        <v>4618</v>
      </c>
      <c r="J345" s="3">
        <v>4328</v>
      </c>
      <c r="K345" s="3">
        <v>2852.5250000000001</v>
      </c>
      <c r="L345" s="3">
        <v>20800</v>
      </c>
      <c r="M345" s="11">
        <f>+H345/K345</f>
        <v>2.965793463685682</v>
      </c>
    </row>
    <row r="346" spans="1:13">
      <c r="A346" s="9">
        <v>2025</v>
      </c>
      <c r="B346" s="3">
        <v>44</v>
      </c>
      <c r="C346" s="3" t="s">
        <v>7</v>
      </c>
      <c r="D346" s="3" t="s">
        <v>8</v>
      </c>
      <c r="E346" s="3" t="s">
        <v>9</v>
      </c>
      <c r="F346" s="3" t="s">
        <v>10</v>
      </c>
      <c r="G346" s="3" t="str">
        <f t="shared" si="5"/>
        <v>026PURPLE BUBBLY</v>
      </c>
      <c r="H346" s="3">
        <v>680</v>
      </c>
      <c r="I346" s="3">
        <v>5352</v>
      </c>
      <c r="J346" s="3">
        <v>4711</v>
      </c>
      <c r="K346" s="3">
        <v>1755.4</v>
      </c>
      <c r="L346" s="3">
        <v>12800</v>
      </c>
      <c r="M346" s="11">
        <f>+H346/K346</f>
        <v>0.38737609661615585</v>
      </c>
    </row>
    <row r="347" spans="1:13">
      <c r="A347" s="9">
        <v>2025</v>
      </c>
      <c r="B347" s="3">
        <v>44</v>
      </c>
      <c r="C347" s="3" t="s">
        <v>11</v>
      </c>
      <c r="D347" s="3" t="s">
        <v>8</v>
      </c>
      <c r="E347" s="3" t="s">
        <v>12</v>
      </c>
      <c r="F347" s="3" t="s">
        <v>13</v>
      </c>
      <c r="G347" s="3" t="str">
        <f t="shared" si="5"/>
        <v>025PINK MONDIAL</v>
      </c>
      <c r="H347" s="3">
        <v>4525</v>
      </c>
      <c r="I347" s="3">
        <v>4794</v>
      </c>
      <c r="J347" s="3">
        <v>5666</v>
      </c>
      <c r="K347" s="3">
        <v>3071.9505625000002</v>
      </c>
      <c r="L347" s="3">
        <v>22400</v>
      </c>
      <c r="M347" s="11">
        <f>+H347/K347</f>
        <v>1.4730054758164748</v>
      </c>
    </row>
    <row r="348" spans="1:13">
      <c r="A348" s="9">
        <v>2025</v>
      </c>
      <c r="B348" s="3">
        <v>44</v>
      </c>
      <c r="C348" s="3" t="s">
        <v>11</v>
      </c>
      <c r="D348" s="3" t="s">
        <v>8</v>
      </c>
      <c r="E348" s="3" t="s">
        <v>9</v>
      </c>
      <c r="F348" s="3" t="s">
        <v>14</v>
      </c>
      <c r="G348" s="3" t="str">
        <f t="shared" si="5"/>
        <v>026LOLA</v>
      </c>
      <c r="H348" s="3">
        <v>4600</v>
      </c>
      <c r="I348" s="3">
        <v>5772</v>
      </c>
      <c r="J348" s="3">
        <v>4559</v>
      </c>
      <c r="K348" s="3">
        <v>1097.125</v>
      </c>
      <c r="L348" s="3">
        <v>8000</v>
      </c>
      <c r="M348" s="11">
        <f>+H348/K348</f>
        <v>4.1927765751395691</v>
      </c>
    </row>
    <row r="349" spans="1:13">
      <c r="A349" s="9">
        <v>2025</v>
      </c>
      <c r="B349" s="3">
        <v>44</v>
      </c>
      <c r="C349" s="3" t="s">
        <v>11</v>
      </c>
      <c r="D349" s="3" t="s">
        <v>8</v>
      </c>
      <c r="E349" s="3" t="s">
        <v>9</v>
      </c>
      <c r="F349" s="3" t="s">
        <v>15</v>
      </c>
      <c r="G349" s="3" t="str">
        <f t="shared" si="5"/>
        <v>026PALOMA</v>
      </c>
      <c r="H349" s="3">
        <v>6325</v>
      </c>
      <c r="I349" s="3">
        <v>5634</v>
      </c>
      <c r="J349" s="3">
        <v>5955</v>
      </c>
      <c r="K349" s="3">
        <v>2852.5250000000001</v>
      </c>
      <c r="L349" s="3">
        <v>20800</v>
      </c>
      <c r="M349" s="11">
        <f>+H349/K349</f>
        <v>2.2173337656988106</v>
      </c>
    </row>
    <row r="350" spans="1:13">
      <c r="A350" s="9">
        <v>2025</v>
      </c>
      <c r="B350" s="3">
        <v>44</v>
      </c>
      <c r="C350" s="3" t="s">
        <v>11</v>
      </c>
      <c r="D350" s="3" t="s">
        <v>8</v>
      </c>
      <c r="E350" s="3" t="s">
        <v>16</v>
      </c>
      <c r="F350" s="3" t="s">
        <v>17</v>
      </c>
      <c r="G350" s="3" t="str">
        <f t="shared" si="5"/>
        <v>027SATISFACTION</v>
      </c>
      <c r="H350" s="3">
        <v>3930</v>
      </c>
      <c r="I350" s="3">
        <v>6518</v>
      </c>
      <c r="J350" s="3">
        <v>6144</v>
      </c>
      <c r="K350" s="3">
        <v>2633.1</v>
      </c>
      <c r="L350" s="3">
        <v>19200</v>
      </c>
      <c r="M350" s="11">
        <f>+H350/K350</f>
        <v>1.4925373134328359</v>
      </c>
    </row>
    <row r="351" spans="1:13">
      <c r="A351" s="9">
        <v>2025</v>
      </c>
      <c r="B351" s="3">
        <v>44</v>
      </c>
      <c r="C351" s="3" t="s">
        <v>11</v>
      </c>
      <c r="D351" s="3" t="s">
        <v>8</v>
      </c>
      <c r="E351" s="3" t="s">
        <v>16</v>
      </c>
      <c r="F351" s="3" t="s">
        <v>18</v>
      </c>
      <c r="G351" s="3" t="str">
        <f t="shared" si="5"/>
        <v>027TIFFANY!</v>
      </c>
      <c r="H351" s="3">
        <v>4440</v>
      </c>
      <c r="I351" s="3">
        <v>7560</v>
      </c>
      <c r="J351" s="3">
        <v>7560</v>
      </c>
      <c r="K351" s="3">
        <v>2633.1</v>
      </c>
      <c r="L351" s="3">
        <v>19200</v>
      </c>
      <c r="M351" s="11">
        <f>+H351/K351</f>
        <v>1.6862253617409138</v>
      </c>
    </row>
    <row r="352" spans="1:13">
      <c r="A352" s="9">
        <v>2025</v>
      </c>
      <c r="B352" s="3">
        <v>44</v>
      </c>
      <c r="C352" s="3" t="s">
        <v>11</v>
      </c>
      <c r="D352" s="3" t="s">
        <v>8</v>
      </c>
      <c r="E352" s="3" t="s">
        <v>19</v>
      </c>
      <c r="F352" s="3" t="s">
        <v>20</v>
      </c>
      <c r="G352" s="3" t="str">
        <f t="shared" si="5"/>
        <v>028COTOPAXI</v>
      </c>
      <c r="H352" s="3">
        <v>3900</v>
      </c>
      <c r="I352" s="3">
        <v>6919</v>
      </c>
      <c r="J352" s="3">
        <v>6919</v>
      </c>
      <c r="K352" s="3">
        <v>2852.5250000000001</v>
      </c>
      <c r="L352" s="3">
        <v>20800</v>
      </c>
      <c r="M352" s="11">
        <f>+H352/K352</f>
        <v>1.367209752762903</v>
      </c>
    </row>
    <row r="353" spans="1:13">
      <c r="A353" s="9">
        <v>2025</v>
      </c>
      <c r="B353" s="3">
        <v>44</v>
      </c>
      <c r="C353" s="3" t="s">
        <v>11</v>
      </c>
      <c r="D353" s="3" t="s">
        <v>8</v>
      </c>
      <c r="E353" s="3" t="s">
        <v>19</v>
      </c>
      <c r="F353" s="3" t="s">
        <v>21</v>
      </c>
      <c r="G353" s="3" t="str">
        <f t="shared" si="5"/>
        <v>028DEEP PURPLE</v>
      </c>
      <c r="H353" s="3">
        <v>9000</v>
      </c>
      <c r="I353" s="3">
        <v>7087</v>
      </c>
      <c r="J353" s="3">
        <v>7087</v>
      </c>
      <c r="K353" s="3">
        <v>2852.5250000000001</v>
      </c>
      <c r="L353" s="3">
        <v>20800</v>
      </c>
      <c r="M353" s="11">
        <f>+H353/K353</f>
        <v>3.1550994294528532</v>
      </c>
    </row>
    <row r="354" spans="1:13">
      <c r="A354" s="9">
        <v>2025</v>
      </c>
      <c r="B354" s="3">
        <v>45</v>
      </c>
      <c r="C354" s="3" t="s">
        <v>7</v>
      </c>
      <c r="D354" s="3" t="s">
        <v>8</v>
      </c>
      <c r="E354" s="3" t="s">
        <v>9</v>
      </c>
      <c r="F354" s="3" t="s">
        <v>10</v>
      </c>
      <c r="G354" s="3" t="str">
        <f t="shared" si="5"/>
        <v>026PURPLE BUBBLY</v>
      </c>
      <c r="H354" s="3">
        <v>700</v>
      </c>
      <c r="I354" s="3">
        <v>10353</v>
      </c>
      <c r="J354" s="3">
        <v>10353</v>
      </c>
      <c r="K354" s="3">
        <v>1755.4</v>
      </c>
      <c r="L354" s="3">
        <v>12800</v>
      </c>
      <c r="M354" s="11">
        <f>+H354/K354</f>
        <v>0.39876951122251336</v>
      </c>
    </row>
    <row r="355" spans="1:13">
      <c r="A355" s="9">
        <v>2025</v>
      </c>
      <c r="B355" s="3">
        <v>45</v>
      </c>
      <c r="C355" s="3" t="s">
        <v>11</v>
      </c>
      <c r="D355" s="3" t="s">
        <v>8</v>
      </c>
      <c r="E355" s="3" t="s">
        <v>12</v>
      </c>
      <c r="F355" s="3" t="s">
        <v>13</v>
      </c>
      <c r="G355" s="3" t="str">
        <f t="shared" si="5"/>
        <v>025PINK MONDIAL</v>
      </c>
      <c r="H355" s="3">
        <v>4150</v>
      </c>
      <c r="I355" s="3">
        <v>11381</v>
      </c>
      <c r="J355" s="3">
        <v>11381</v>
      </c>
      <c r="K355" s="3">
        <v>3071.9505625000002</v>
      </c>
      <c r="L355" s="3">
        <v>22400</v>
      </c>
      <c r="M355" s="11">
        <f>+H355/K355</f>
        <v>1.3509331988151094</v>
      </c>
    </row>
    <row r="356" spans="1:13">
      <c r="A356" s="9">
        <v>2025</v>
      </c>
      <c r="B356" s="3">
        <v>45</v>
      </c>
      <c r="C356" s="3" t="s">
        <v>11</v>
      </c>
      <c r="D356" s="3" t="s">
        <v>8</v>
      </c>
      <c r="E356" s="3" t="s">
        <v>9</v>
      </c>
      <c r="F356" s="3" t="s">
        <v>14</v>
      </c>
      <c r="G356" s="3" t="str">
        <f t="shared" si="5"/>
        <v>026LOLA</v>
      </c>
      <c r="H356" s="3">
        <v>3000</v>
      </c>
      <c r="I356" s="3">
        <v>6820</v>
      </c>
      <c r="J356" s="3">
        <v>6820</v>
      </c>
      <c r="K356" s="3">
        <v>1097.125</v>
      </c>
      <c r="L356" s="3">
        <v>8000</v>
      </c>
      <c r="M356" s="11">
        <f>+H356/K356</f>
        <v>2.734419505525806</v>
      </c>
    </row>
    <row r="357" spans="1:13">
      <c r="A357" s="9">
        <v>2025</v>
      </c>
      <c r="B357" s="3">
        <v>45</v>
      </c>
      <c r="C357" s="3" t="s">
        <v>11</v>
      </c>
      <c r="D357" s="3" t="s">
        <v>8</v>
      </c>
      <c r="E357" s="3" t="s">
        <v>9</v>
      </c>
      <c r="F357" s="3" t="s">
        <v>15</v>
      </c>
      <c r="G357" s="3" t="str">
        <f t="shared" si="5"/>
        <v>026PALOMA</v>
      </c>
      <c r="H357" s="3">
        <v>4475</v>
      </c>
      <c r="I357" s="3">
        <v>7110</v>
      </c>
      <c r="J357" s="3">
        <v>4230</v>
      </c>
      <c r="K357" s="3">
        <v>2852.5250000000001</v>
      </c>
      <c r="L357" s="3">
        <v>20800</v>
      </c>
      <c r="M357" s="11">
        <f>+H357/K357</f>
        <v>1.568785549644613</v>
      </c>
    </row>
    <row r="358" spans="1:13">
      <c r="A358" s="9">
        <v>2025</v>
      </c>
      <c r="B358" s="3">
        <v>45</v>
      </c>
      <c r="C358" s="3" t="s">
        <v>11</v>
      </c>
      <c r="D358" s="3" t="s">
        <v>8</v>
      </c>
      <c r="E358" s="3" t="s">
        <v>16</v>
      </c>
      <c r="F358" s="3" t="s">
        <v>17</v>
      </c>
      <c r="G358" s="3" t="str">
        <f t="shared" si="5"/>
        <v>027SATISFACTION</v>
      </c>
      <c r="H358" s="3">
        <v>4440</v>
      </c>
      <c r="I358" s="3">
        <v>5073</v>
      </c>
      <c r="J358" s="3">
        <v>6715</v>
      </c>
      <c r="K358" s="3">
        <v>2633.1</v>
      </c>
      <c r="L358" s="3">
        <v>19200</v>
      </c>
      <c r="M358" s="11">
        <f>+H358/K358</f>
        <v>1.6862253617409138</v>
      </c>
    </row>
    <row r="359" spans="1:13">
      <c r="A359" s="9">
        <v>2025</v>
      </c>
      <c r="B359" s="3">
        <v>45</v>
      </c>
      <c r="C359" s="3" t="s">
        <v>11</v>
      </c>
      <c r="D359" s="3" t="s">
        <v>8</v>
      </c>
      <c r="E359" s="3" t="s">
        <v>16</v>
      </c>
      <c r="F359" s="3" t="s">
        <v>18</v>
      </c>
      <c r="G359" s="3" t="str">
        <f t="shared" si="5"/>
        <v>027TIFFANY!</v>
      </c>
      <c r="H359" s="3">
        <v>3750</v>
      </c>
      <c r="I359" s="6">
        <v>4734</v>
      </c>
      <c r="J359" s="6">
        <v>4320</v>
      </c>
      <c r="K359" s="3">
        <v>2633.1</v>
      </c>
      <c r="L359" s="3">
        <v>19200</v>
      </c>
      <c r="M359" s="11">
        <f>+H359/K359</f>
        <v>1.4241768257946907</v>
      </c>
    </row>
    <row r="360" spans="1:13">
      <c r="A360" s="9">
        <v>2025</v>
      </c>
      <c r="B360" s="3">
        <v>45</v>
      </c>
      <c r="C360" s="3" t="s">
        <v>11</v>
      </c>
      <c r="D360" s="3" t="s">
        <v>8</v>
      </c>
      <c r="E360" s="3" t="s">
        <v>19</v>
      </c>
      <c r="F360" s="3" t="s">
        <v>20</v>
      </c>
      <c r="G360" s="3" t="str">
        <f t="shared" si="5"/>
        <v>028COTOPAXI</v>
      </c>
      <c r="H360" s="3">
        <v>3570</v>
      </c>
      <c r="I360" s="6">
        <v>5276</v>
      </c>
      <c r="J360" s="6">
        <v>5180</v>
      </c>
      <c r="K360" s="3">
        <v>2852.5250000000001</v>
      </c>
      <c r="L360" s="3">
        <v>20800</v>
      </c>
      <c r="M360" s="11">
        <f>+H360/K360</f>
        <v>1.2515227736829651</v>
      </c>
    </row>
    <row r="361" spans="1:13">
      <c r="A361" s="9">
        <v>2025</v>
      </c>
      <c r="B361" s="3">
        <v>45</v>
      </c>
      <c r="C361" s="3" t="s">
        <v>11</v>
      </c>
      <c r="D361" s="3" t="s">
        <v>8</v>
      </c>
      <c r="E361" s="3" t="s">
        <v>19</v>
      </c>
      <c r="F361" s="3" t="s">
        <v>21</v>
      </c>
      <c r="G361" s="3" t="str">
        <f t="shared" si="5"/>
        <v>028DEEP PURPLE</v>
      </c>
      <c r="H361" s="3">
        <v>7590</v>
      </c>
      <c r="I361" s="6">
        <v>5023</v>
      </c>
      <c r="J361" s="6">
        <v>5023</v>
      </c>
      <c r="K361" s="3">
        <v>2852.5250000000001</v>
      </c>
      <c r="L361" s="3">
        <v>20800</v>
      </c>
      <c r="M361" s="11">
        <f>+H361/K361</f>
        <v>2.6608005188385726</v>
      </c>
    </row>
    <row r="362" spans="1:13">
      <c r="A362" s="9">
        <v>2025</v>
      </c>
      <c r="B362" s="3">
        <v>46</v>
      </c>
      <c r="C362" s="3" t="s">
        <v>7</v>
      </c>
      <c r="D362" s="3" t="s">
        <v>8</v>
      </c>
      <c r="E362" s="3" t="s">
        <v>9</v>
      </c>
      <c r="F362" s="3" t="s">
        <v>10</v>
      </c>
      <c r="G362" s="3" t="str">
        <f t="shared" si="5"/>
        <v>026PURPLE BUBBLY</v>
      </c>
      <c r="H362" s="3">
        <v>530</v>
      </c>
      <c r="I362" s="6">
        <v>5625</v>
      </c>
      <c r="J362" s="6">
        <v>5625</v>
      </c>
      <c r="K362" s="3">
        <v>1755.4</v>
      </c>
      <c r="L362" s="3">
        <v>12800</v>
      </c>
      <c r="M362" s="11">
        <f>+H362/K362</f>
        <v>0.30192548706847439</v>
      </c>
    </row>
    <row r="363" spans="1:13">
      <c r="A363" s="9">
        <v>2025</v>
      </c>
      <c r="B363" s="3">
        <v>46</v>
      </c>
      <c r="C363" s="3" t="s">
        <v>11</v>
      </c>
      <c r="D363" s="3" t="s">
        <v>8</v>
      </c>
      <c r="E363" s="3" t="s">
        <v>12</v>
      </c>
      <c r="F363" s="3" t="s">
        <v>13</v>
      </c>
      <c r="G363" s="3" t="str">
        <f t="shared" si="5"/>
        <v>025PINK MONDIAL</v>
      </c>
      <c r="H363" s="3">
        <v>4200</v>
      </c>
      <c r="I363" s="6">
        <v>5130</v>
      </c>
      <c r="J363" s="6">
        <v>5425</v>
      </c>
      <c r="K363" s="3">
        <v>3071.9505625000002</v>
      </c>
      <c r="L363" s="3">
        <v>22400</v>
      </c>
      <c r="M363" s="11">
        <f>+H363/K363</f>
        <v>1.3672095024152915</v>
      </c>
    </row>
    <row r="364" spans="1:13">
      <c r="A364" s="9">
        <v>2025</v>
      </c>
      <c r="B364" s="3">
        <v>46</v>
      </c>
      <c r="C364" s="3" t="s">
        <v>11</v>
      </c>
      <c r="D364" s="3" t="s">
        <v>8</v>
      </c>
      <c r="E364" s="3" t="s">
        <v>9</v>
      </c>
      <c r="F364" s="3" t="s">
        <v>14</v>
      </c>
      <c r="G364" s="3" t="str">
        <f t="shared" si="5"/>
        <v>026LOLA</v>
      </c>
      <c r="H364" s="3">
        <v>2075</v>
      </c>
      <c r="I364" s="6">
        <v>4912</v>
      </c>
      <c r="J364" s="6">
        <v>5426</v>
      </c>
      <c r="K364" s="3">
        <v>1097.125</v>
      </c>
      <c r="L364" s="3">
        <v>8000</v>
      </c>
      <c r="M364" s="11">
        <f>+H364/K364</f>
        <v>1.8913068246553493</v>
      </c>
    </row>
    <row r="365" spans="1:13">
      <c r="A365" s="9">
        <v>2025</v>
      </c>
      <c r="B365" s="3">
        <v>46</v>
      </c>
      <c r="C365" s="3" t="s">
        <v>11</v>
      </c>
      <c r="D365" s="3" t="s">
        <v>8</v>
      </c>
      <c r="E365" s="3" t="s">
        <v>9</v>
      </c>
      <c r="F365" s="3" t="s">
        <v>15</v>
      </c>
      <c r="G365" s="3" t="str">
        <f t="shared" si="5"/>
        <v>026PALOMA</v>
      </c>
      <c r="H365" s="3">
        <v>3575</v>
      </c>
      <c r="I365" s="6">
        <v>5099</v>
      </c>
      <c r="J365" s="6">
        <v>5099</v>
      </c>
      <c r="K365" s="3">
        <v>2852.5250000000001</v>
      </c>
      <c r="L365" s="3">
        <v>20800</v>
      </c>
      <c r="M365" s="11">
        <f>+H365/K365</f>
        <v>1.2532756066993278</v>
      </c>
    </row>
    <row r="366" spans="1:13">
      <c r="A366" s="9">
        <v>2025</v>
      </c>
      <c r="B366" s="3">
        <v>46</v>
      </c>
      <c r="C366" s="3" t="s">
        <v>11</v>
      </c>
      <c r="D366" s="3" t="s">
        <v>8</v>
      </c>
      <c r="E366" s="3" t="s">
        <v>16</v>
      </c>
      <c r="F366" s="3" t="s">
        <v>17</v>
      </c>
      <c r="G366" s="3" t="str">
        <f t="shared" si="5"/>
        <v>027SATISFACTION</v>
      </c>
      <c r="H366" s="3">
        <v>4350</v>
      </c>
      <c r="I366" s="6">
        <v>7617</v>
      </c>
      <c r="J366" s="6">
        <v>7617</v>
      </c>
      <c r="K366" s="3">
        <v>2633.1</v>
      </c>
      <c r="L366" s="3">
        <v>19200</v>
      </c>
      <c r="M366" s="11">
        <f>+H366/K366</f>
        <v>1.6520451179218412</v>
      </c>
    </row>
    <row r="367" spans="1:13">
      <c r="A367" s="9">
        <v>2025</v>
      </c>
      <c r="B367" s="3">
        <v>46</v>
      </c>
      <c r="C367" s="3" t="s">
        <v>11</v>
      </c>
      <c r="D367" s="3" t="s">
        <v>8</v>
      </c>
      <c r="E367" s="3" t="s">
        <v>16</v>
      </c>
      <c r="F367" s="3" t="s">
        <v>18</v>
      </c>
      <c r="G367" s="3" t="str">
        <f t="shared" si="5"/>
        <v>027TIFFANY!</v>
      </c>
      <c r="H367" s="3">
        <v>4290</v>
      </c>
      <c r="I367" s="6">
        <v>8830</v>
      </c>
      <c r="J367" s="6">
        <v>10165</v>
      </c>
      <c r="K367" s="3">
        <v>2633.1</v>
      </c>
      <c r="L367" s="3">
        <v>19200</v>
      </c>
      <c r="M367" s="11">
        <f>+H367/K367</f>
        <v>1.6292582887091263</v>
      </c>
    </row>
    <row r="368" spans="1:13">
      <c r="A368" s="9">
        <v>2025</v>
      </c>
      <c r="B368" s="3">
        <v>46</v>
      </c>
      <c r="C368" s="3" t="s">
        <v>11</v>
      </c>
      <c r="D368" s="3" t="s">
        <v>8</v>
      </c>
      <c r="E368" s="3" t="s">
        <v>19</v>
      </c>
      <c r="F368" s="3" t="s">
        <v>20</v>
      </c>
      <c r="G368" s="3" t="str">
        <f t="shared" si="5"/>
        <v>028COTOPAXI</v>
      </c>
      <c r="H368" s="3">
        <v>2340</v>
      </c>
      <c r="I368" s="3">
        <v>6637</v>
      </c>
      <c r="J368" s="3">
        <v>6034</v>
      </c>
      <c r="K368" s="3">
        <v>2852.5250000000001</v>
      </c>
      <c r="L368" s="3">
        <v>20800</v>
      </c>
      <c r="M368" s="11">
        <f>+H368/K368</f>
        <v>0.82032585165774174</v>
      </c>
    </row>
    <row r="369" spans="1:13">
      <c r="A369" s="9">
        <v>2025</v>
      </c>
      <c r="B369" s="3">
        <v>46</v>
      </c>
      <c r="C369" s="3" t="s">
        <v>11</v>
      </c>
      <c r="D369" s="3" t="s">
        <v>8</v>
      </c>
      <c r="E369" s="3" t="s">
        <v>19</v>
      </c>
      <c r="F369" s="3" t="s">
        <v>21</v>
      </c>
      <c r="G369" s="3" t="str">
        <f t="shared" si="5"/>
        <v>028DEEP PURPLE</v>
      </c>
      <c r="H369" s="3">
        <v>6450</v>
      </c>
      <c r="I369" s="3">
        <v>7114</v>
      </c>
      <c r="J369" s="3">
        <v>6239</v>
      </c>
      <c r="K369" s="3">
        <v>2852.5250000000001</v>
      </c>
      <c r="L369" s="3">
        <v>20800</v>
      </c>
      <c r="M369" s="11">
        <f>+H369/K369</f>
        <v>2.2611545911078781</v>
      </c>
    </row>
    <row r="370" spans="1:13">
      <c r="A370" s="9">
        <v>2025</v>
      </c>
      <c r="B370" s="3">
        <v>47</v>
      </c>
      <c r="C370" s="3" t="s">
        <v>7</v>
      </c>
      <c r="D370" s="3" t="s">
        <v>8</v>
      </c>
      <c r="E370" s="3" t="s">
        <v>9</v>
      </c>
      <c r="F370" s="3" t="s">
        <v>10</v>
      </c>
      <c r="G370" s="3" t="str">
        <f t="shared" si="5"/>
        <v>026PURPLE BUBBLY</v>
      </c>
      <c r="H370" s="3">
        <v>850</v>
      </c>
      <c r="I370" s="3">
        <v>7150</v>
      </c>
      <c r="J370" s="3">
        <v>6731</v>
      </c>
      <c r="K370" s="3">
        <v>1755.4</v>
      </c>
      <c r="L370" s="3">
        <v>12800</v>
      </c>
      <c r="M370" s="11">
        <f>+H370/K370</f>
        <v>0.48422012077019483</v>
      </c>
    </row>
    <row r="371" spans="1:13">
      <c r="A371" s="9">
        <v>2025</v>
      </c>
      <c r="B371" s="3">
        <v>47</v>
      </c>
      <c r="C371" s="3" t="s">
        <v>11</v>
      </c>
      <c r="D371" s="3" t="s">
        <v>8</v>
      </c>
      <c r="E371" s="3" t="s">
        <v>12</v>
      </c>
      <c r="F371" s="3" t="s">
        <v>13</v>
      </c>
      <c r="G371" s="3" t="str">
        <f t="shared" si="5"/>
        <v>025PINK MONDIAL</v>
      </c>
      <c r="H371" s="3">
        <v>4075</v>
      </c>
      <c r="I371" s="3">
        <v>5693</v>
      </c>
      <c r="J371" s="3">
        <v>6482</v>
      </c>
      <c r="K371" s="3">
        <v>3071.9505625000002</v>
      </c>
      <c r="L371" s="3">
        <v>22400</v>
      </c>
      <c r="M371" s="11">
        <f>+H371/K371</f>
        <v>1.3265187434148364</v>
      </c>
    </row>
    <row r="372" spans="1:13">
      <c r="A372" s="9">
        <v>2025</v>
      </c>
      <c r="B372" s="3">
        <v>47</v>
      </c>
      <c r="C372" s="3" t="s">
        <v>11</v>
      </c>
      <c r="D372" s="3" t="s">
        <v>8</v>
      </c>
      <c r="E372" s="3" t="s">
        <v>9</v>
      </c>
      <c r="F372" s="3" t="s">
        <v>14</v>
      </c>
      <c r="G372" s="3" t="str">
        <f t="shared" si="5"/>
        <v>026LOLA</v>
      </c>
      <c r="H372" s="3">
        <v>3225</v>
      </c>
      <c r="I372" s="3">
        <v>1709</v>
      </c>
      <c r="J372" s="3">
        <v>2133</v>
      </c>
      <c r="K372" s="3">
        <v>1097.125</v>
      </c>
      <c r="L372" s="3">
        <v>8000</v>
      </c>
      <c r="M372" s="11">
        <f>+H372/K372</f>
        <v>2.9395009684402416</v>
      </c>
    </row>
    <row r="373" spans="1:13">
      <c r="A373" s="9">
        <v>2025</v>
      </c>
      <c r="B373" s="3">
        <v>47</v>
      </c>
      <c r="C373" s="3" t="s">
        <v>11</v>
      </c>
      <c r="D373" s="3" t="s">
        <v>8</v>
      </c>
      <c r="E373" s="3" t="s">
        <v>9</v>
      </c>
      <c r="F373" s="3" t="s">
        <v>15</v>
      </c>
      <c r="G373" s="3" t="str">
        <f t="shared" si="5"/>
        <v>026PALOMA</v>
      </c>
      <c r="H373" s="3">
        <v>5050</v>
      </c>
      <c r="I373" s="3">
        <v>1635</v>
      </c>
      <c r="J373" s="3">
        <v>1721</v>
      </c>
      <c r="K373" s="3">
        <v>2852.5250000000001</v>
      </c>
      <c r="L373" s="3">
        <v>20800</v>
      </c>
      <c r="M373" s="11">
        <f>+H373/K373</f>
        <v>1.770361346526323</v>
      </c>
    </row>
    <row r="374" spans="1:13">
      <c r="A374" s="9">
        <v>2025</v>
      </c>
      <c r="B374" s="3">
        <v>47</v>
      </c>
      <c r="C374" s="3" t="s">
        <v>11</v>
      </c>
      <c r="D374" s="3" t="s">
        <v>8</v>
      </c>
      <c r="E374" s="3" t="s">
        <v>16</v>
      </c>
      <c r="F374" s="3" t="s">
        <v>17</v>
      </c>
      <c r="G374" s="3" t="str">
        <f t="shared" si="5"/>
        <v>027SATISFACTION</v>
      </c>
      <c r="H374" s="3">
        <v>5010</v>
      </c>
      <c r="I374" s="3">
        <v>2594</v>
      </c>
      <c r="J374" s="3">
        <v>2457</v>
      </c>
      <c r="K374" s="3">
        <v>2633.1</v>
      </c>
      <c r="L374" s="3">
        <v>19200</v>
      </c>
      <c r="M374" s="11">
        <f>+H374/K374</f>
        <v>1.9027002392617067</v>
      </c>
    </row>
    <row r="375" spans="1:13">
      <c r="A375" s="9">
        <v>2025</v>
      </c>
      <c r="B375" s="3">
        <v>47</v>
      </c>
      <c r="C375" s="3" t="s">
        <v>11</v>
      </c>
      <c r="D375" s="3" t="s">
        <v>8</v>
      </c>
      <c r="E375" s="3" t="s">
        <v>16</v>
      </c>
      <c r="F375" s="3" t="s">
        <v>18</v>
      </c>
      <c r="G375" s="3" t="str">
        <f t="shared" si="5"/>
        <v>027TIFFANY!</v>
      </c>
      <c r="H375" s="3">
        <v>4980</v>
      </c>
      <c r="I375" s="3">
        <v>2735</v>
      </c>
      <c r="J375" s="3">
        <v>2725</v>
      </c>
      <c r="K375" s="3">
        <v>2633.1</v>
      </c>
      <c r="L375" s="3">
        <v>19200</v>
      </c>
      <c r="M375" s="11">
        <f>+H375/K375</f>
        <v>1.8913068246553493</v>
      </c>
    </row>
    <row r="376" spans="1:13">
      <c r="A376" s="9">
        <v>2025</v>
      </c>
      <c r="B376" s="3">
        <v>47</v>
      </c>
      <c r="C376" s="3" t="s">
        <v>11</v>
      </c>
      <c r="D376" s="3" t="s">
        <v>8</v>
      </c>
      <c r="E376" s="3" t="s">
        <v>19</v>
      </c>
      <c r="F376" s="3" t="s">
        <v>20</v>
      </c>
      <c r="G376" s="3" t="str">
        <f t="shared" si="5"/>
        <v>028COTOPAXI</v>
      </c>
      <c r="H376" s="3">
        <v>3600</v>
      </c>
      <c r="I376" s="3">
        <v>2852</v>
      </c>
      <c r="J376" s="3">
        <v>2540</v>
      </c>
      <c r="K376" s="3">
        <v>2852.5250000000001</v>
      </c>
      <c r="L376" s="3">
        <v>20800</v>
      </c>
      <c r="M376" s="11">
        <f>+H376/K376</f>
        <v>1.2620397717811411</v>
      </c>
    </row>
    <row r="377" spans="1:13">
      <c r="A377" s="9">
        <v>2025</v>
      </c>
      <c r="B377" s="3">
        <v>47</v>
      </c>
      <c r="C377" s="3" t="s">
        <v>11</v>
      </c>
      <c r="D377" s="3" t="s">
        <v>8</v>
      </c>
      <c r="E377" s="3" t="s">
        <v>19</v>
      </c>
      <c r="F377" s="3" t="s">
        <v>21</v>
      </c>
      <c r="G377" s="3" t="str">
        <f t="shared" si="5"/>
        <v>028DEEP PURPLE</v>
      </c>
      <c r="H377" s="3">
        <v>6900</v>
      </c>
      <c r="I377" s="3">
        <v>1112</v>
      </c>
      <c r="J377" s="3">
        <v>1235</v>
      </c>
      <c r="K377" s="3">
        <v>2852.5250000000001</v>
      </c>
      <c r="L377" s="3">
        <v>20800</v>
      </c>
      <c r="M377" s="11">
        <f>+H377/K377</f>
        <v>2.4189095625805206</v>
      </c>
    </row>
    <row r="378" spans="1:13">
      <c r="A378" s="9">
        <v>2025</v>
      </c>
      <c r="B378" s="3">
        <v>48</v>
      </c>
      <c r="C378" s="3" t="s">
        <v>7</v>
      </c>
      <c r="D378" s="3" t="s">
        <v>8</v>
      </c>
      <c r="E378" s="3" t="s">
        <v>9</v>
      </c>
      <c r="F378" s="3" t="s">
        <v>10</v>
      </c>
      <c r="G378" s="3" t="str">
        <f t="shared" si="5"/>
        <v>026PURPLE BUBBLY</v>
      </c>
      <c r="H378" s="3">
        <v>810</v>
      </c>
      <c r="I378" s="3">
        <v>915</v>
      </c>
      <c r="J378" s="3">
        <v>722</v>
      </c>
      <c r="K378" s="3">
        <v>1755.4</v>
      </c>
      <c r="L378" s="3">
        <v>12800</v>
      </c>
      <c r="M378" s="11">
        <f>+H378/K378</f>
        <v>0.46143329155747975</v>
      </c>
    </row>
    <row r="379" spans="1:13">
      <c r="A379" s="9">
        <v>2025</v>
      </c>
      <c r="B379" s="3">
        <v>48</v>
      </c>
      <c r="C379" s="3" t="s">
        <v>11</v>
      </c>
      <c r="D379" s="3" t="s">
        <v>8</v>
      </c>
      <c r="E379" s="3" t="s">
        <v>12</v>
      </c>
      <c r="F379" s="3" t="s">
        <v>13</v>
      </c>
      <c r="G379" s="3" t="str">
        <f t="shared" si="5"/>
        <v>025PINK MONDIAL</v>
      </c>
      <c r="H379" s="3">
        <v>4700</v>
      </c>
      <c r="I379" s="3">
        <v>692</v>
      </c>
      <c r="J379" s="3">
        <v>610</v>
      </c>
      <c r="K379" s="3">
        <v>3071.9505625000002</v>
      </c>
      <c r="L379" s="3">
        <v>22400</v>
      </c>
      <c r="M379" s="11">
        <f>+H379/K379</f>
        <v>1.5299725384171119</v>
      </c>
    </row>
    <row r="380" spans="1:13">
      <c r="A380" s="9">
        <v>2025</v>
      </c>
      <c r="B380" s="3">
        <v>48</v>
      </c>
      <c r="C380" s="3" t="s">
        <v>11</v>
      </c>
      <c r="D380" s="3" t="s">
        <v>8</v>
      </c>
      <c r="E380" s="3" t="s">
        <v>9</v>
      </c>
      <c r="F380" s="3" t="s">
        <v>14</v>
      </c>
      <c r="G380" s="3" t="str">
        <f t="shared" si="5"/>
        <v>026LOLA</v>
      </c>
      <c r="H380" s="3">
        <v>3700</v>
      </c>
      <c r="I380" s="3">
        <v>630</v>
      </c>
      <c r="J380" s="3">
        <v>631</v>
      </c>
      <c r="K380" s="3">
        <v>1097.125</v>
      </c>
      <c r="L380" s="3">
        <v>8000</v>
      </c>
      <c r="M380" s="11">
        <f>+H380/K380</f>
        <v>3.3724507234818275</v>
      </c>
    </row>
    <row r="381" spans="1:13">
      <c r="A381" s="9">
        <v>2025</v>
      </c>
      <c r="B381" s="3">
        <v>48</v>
      </c>
      <c r="C381" s="3" t="s">
        <v>11</v>
      </c>
      <c r="D381" s="3" t="s">
        <v>8</v>
      </c>
      <c r="E381" s="3" t="s">
        <v>9</v>
      </c>
      <c r="F381" s="3" t="s">
        <v>15</v>
      </c>
      <c r="G381" s="3" t="str">
        <f t="shared" si="5"/>
        <v>026PALOMA</v>
      </c>
      <c r="H381" s="3">
        <v>5300</v>
      </c>
      <c r="I381" s="3">
        <v>540</v>
      </c>
      <c r="J381" s="3">
        <v>694</v>
      </c>
      <c r="K381" s="3">
        <v>2852.5250000000001</v>
      </c>
      <c r="L381" s="3">
        <v>20800</v>
      </c>
      <c r="M381" s="11">
        <f>+H381/K381</f>
        <v>1.8580029973444578</v>
      </c>
    </row>
    <row r="382" spans="1:13">
      <c r="A382" s="9">
        <v>2025</v>
      </c>
      <c r="B382" s="3">
        <v>48</v>
      </c>
      <c r="C382" s="3" t="s">
        <v>11</v>
      </c>
      <c r="D382" s="3" t="s">
        <v>8</v>
      </c>
      <c r="E382" s="3" t="s">
        <v>16</v>
      </c>
      <c r="F382" s="3" t="s">
        <v>17</v>
      </c>
      <c r="G382" s="3" t="str">
        <f t="shared" si="5"/>
        <v>027SATISFACTION</v>
      </c>
      <c r="H382" s="3">
        <v>4320</v>
      </c>
      <c r="I382" s="3">
        <v>510</v>
      </c>
      <c r="J382" s="3">
        <v>525</v>
      </c>
      <c r="K382" s="3">
        <v>2633.1</v>
      </c>
      <c r="L382" s="3">
        <v>19200</v>
      </c>
      <c r="M382" s="11">
        <f>+H382/K382</f>
        <v>1.6406517033154837</v>
      </c>
    </row>
    <row r="383" spans="1:13">
      <c r="A383" s="9">
        <v>2025</v>
      </c>
      <c r="B383" s="3">
        <v>48</v>
      </c>
      <c r="C383" s="3" t="s">
        <v>11</v>
      </c>
      <c r="D383" s="3" t="s">
        <v>8</v>
      </c>
      <c r="E383" s="3" t="s">
        <v>16</v>
      </c>
      <c r="F383" s="3" t="s">
        <v>18</v>
      </c>
      <c r="G383" s="3" t="str">
        <f t="shared" si="5"/>
        <v>027TIFFANY!</v>
      </c>
      <c r="H383" s="3">
        <v>3990</v>
      </c>
      <c r="I383" s="3">
        <v>515</v>
      </c>
      <c r="J383" s="3">
        <v>515</v>
      </c>
      <c r="K383" s="3">
        <v>2633.1</v>
      </c>
      <c r="L383" s="3">
        <v>19200</v>
      </c>
      <c r="M383" s="11">
        <f>+H383/K383</f>
        <v>1.5153241426455508</v>
      </c>
    </row>
    <row r="384" spans="1:13">
      <c r="A384" s="9">
        <v>2025</v>
      </c>
      <c r="B384" s="3">
        <v>48</v>
      </c>
      <c r="C384" s="3" t="s">
        <v>11</v>
      </c>
      <c r="D384" s="3" t="s">
        <v>8</v>
      </c>
      <c r="E384" s="3" t="s">
        <v>19</v>
      </c>
      <c r="F384" s="3" t="s">
        <v>20</v>
      </c>
      <c r="G384" s="3" t="str">
        <f t="shared" si="5"/>
        <v>028COTOPAXI</v>
      </c>
      <c r="H384" s="3">
        <v>6060</v>
      </c>
      <c r="I384" s="3">
        <v>591</v>
      </c>
      <c r="J384" s="3">
        <v>530</v>
      </c>
      <c r="K384" s="3">
        <v>2852.5250000000001</v>
      </c>
      <c r="L384" s="3">
        <v>20800</v>
      </c>
      <c r="M384" s="11">
        <f>+H384/K384</f>
        <v>2.1244336158315877</v>
      </c>
    </row>
    <row r="385" spans="1:13">
      <c r="A385" s="9">
        <v>2025</v>
      </c>
      <c r="B385" s="3">
        <v>48</v>
      </c>
      <c r="C385" s="3" t="s">
        <v>11</v>
      </c>
      <c r="D385" s="3" t="s">
        <v>8</v>
      </c>
      <c r="E385" s="3" t="s">
        <v>19</v>
      </c>
      <c r="F385" s="3" t="s">
        <v>21</v>
      </c>
      <c r="G385" s="3" t="str">
        <f t="shared" si="5"/>
        <v>028DEEP PURPLE</v>
      </c>
      <c r="H385" s="3">
        <v>7680</v>
      </c>
      <c r="I385" s="3">
        <v>793</v>
      </c>
      <c r="J385" s="3">
        <v>687</v>
      </c>
      <c r="K385" s="3">
        <v>2852.5250000000001</v>
      </c>
      <c r="L385" s="3">
        <v>20800</v>
      </c>
      <c r="M385" s="11">
        <f>+H385/K385</f>
        <v>2.6923515131331013</v>
      </c>
    </row>
    <row r="386" spans="1:13">
      <c r="A386" s="9">
        <v>2025</v>
      </c>
      <c r="B386" s="3">
        <v>49</v>
      </c>
      <c r="C386" s="3" t="s">
        <v>7</v>
      </c>
      <c r="D386" s="3" t="s">
        <v>8</v>
      </c>
      <c r="E386" s="3" t="s">
        <v>9</v>
      </c>
      <c r="F386" s="3" t="s">
        <v>10</v>
      </c>
      <c r="G386" s="3" t="str">
        <f t="shared" si="5"/>
        <v>026PURPLE BUBBLY</v>
      </c>
      <c r="H386" s="3">
        <v>700</v>
      </c>
      <c r="I386" s="3">
        <v>726</v>
      </c>
      <c r="J386" s="3">
        <v>726</v>
      </c>
      <c r="K386" s="3">
        <v>1755.4</v>
      </c>
      <c r="L386" s="3">
        <v>12800</v>
      </c>
      <c r="M386" s="11">
        <f>+H386/K386</f>
        <v>0.39876951122251336</v>
      </c>
    </row>
    <row r="387" spans="1:13">
      <c r="A387" s="9">
        <v>2025</v>
      </c>
      <c r="B387" s="3">
        <v>49</v>
      </c>
      <c r="C387" s="3" t="s">
        <v>11</v>
      </c>
      <c r="D387" s="3" t="s">
        <v>8</v>
      </c>
      <c r="E387" s="3" t="s">
        <v>12</v>
      </c>
      <c r="F387" s="3" t="s">
        <v>13</v>
      </c>
      <c r="G387" s="3" t="str">
        <f t="shared" ref="G387:G450" si="6">+E387&amp;F387</f>
        <v>025PINK MONDIAL</v>
      </c>
      <c r="H387" s="3">
        <v>5675</v>
      </c>
      <c r="I387" s="3">
        <v>1162</v>
      </c>
      <c r="J387" s="3">
        <v>1224</v>
      </c>
      <c r="K387" s="3">
        <v>3071.9505625000002</v>
      </c>
      <c r="L387" s="3">
        <v>22400</v>
      </c>
      <c r="M387" s="11">
        <f>+H387/K387</f>
        <v>1.8473604586206618</v>
      </c>
    </row>
    <row r="388" spans="1:13">
      <c r="A388" s="9">
        <v>2025</v>
      </c>
      <c r="B388" s="3">
        <v>49</v>
      </c>
      <c r="C388" s="3" t="s">
        <v>11</v>
      </c>
      <c r="D388" s="3" t="s">
        <v>8</v>
      </c>
      <c r="E388" s="3" t="s">
        <v>9</v>
      </c>
      <c r="F388" s="3" t="s">
        <v>14</v>
      </c>
      <c r="G388" s="3" t="str">
        <f t="shared" si="6"/>
        <v>026LOLA</v>
      </c>
      <c r="H388" s="3">
        <v>3475</v>
      </c>
      <c r="I388" s="3">
        <v>1522</v>
      </c>
      <c r="J388" s="3">
        <v>1522</v>
      </c>
      <c r="K388" s="3">
        <v>1097.125</v>
      </c>
      <c r="L388" s="3">
        <v>8000</v>
      </c>
      <c r="M388" s="11">
        <f>+H388/K388</f>
        <v>3.167369260567392</v>
      </c>
    </row>
    <row r="389" spans="1:13">
      <c r="A389" s="9">
        <v>2025</v>
      </c>
      <c r="B389" s="3">
        <v>49</v>
      </c>
      <c r="C389" s="3" t="s">
        <v>11</v>
      </c>
      <c r="D389" s="3" t="s">
        <v>8</v>
      </c>
      <c r="E389" s="3" t="s">
        <v>9</v>
      </c>
      <c r="F389" s="3" t="s">
        <v>15</v>
      </c>
      <c r="G389" s="3" t="str">
        <f t="shared" si="6"/>
        <v>026PALOMA</v>
      </c>
      <c r="H389" s="3">
        <v>4775</v>
      </c>
      <c r="I389" s="3">
        <v>1547</v>
      </c>
      <c r="J389" s="3">
        <v>1821</v>
      </c>
      <c r="K389" s="3">
        <v>2852.5250000000001</v>
      </c>
      <c r="L389" s="3">
        <v>20800</v>
      </c>
      <c r="M389" s="11">
        <f>+H389/K389</f>
        <v>1.6739555306263749</v>
      </c>
    </row>
    <row r="390" spans="1:13">
      <c r="A390" s="9">
        <v>2025</v>
      </c>
      <c r="B390" s="3">
        <v>49</v>
      </c>
      <c r="C390" s="3" t="s">
        <v>11</v>
      </c>
      <c r="D390" s="3" t="s">
        <v>8</v>
      </c>
      <c r="E390" s="3" t="s">
        <v>16</v>
      </c>
      <c r="F390" s="3" t="s">
        <v>17</v>
      </c>
      <c r="G390" s="3" t="str">
        <f t="shared" si="6"/>
        <v>027SATISFACTION</v>
      </c>
      <c r="H390" s="3">
        <v>3960</v>
      </c>
      <c r="I390" s="3">
        <v>1331</v>
      </c>
      <c r="J390" s="3">
        <v>1232</v>
      </c>
      <c r="K390" s="3">
        <v>2633.1</v>
      </c>
      <c r="L390" s="3">
        <v>19200</v>
      </c>
      <c r="M390" s="11">
        <f>+H390/K390</f>
        <v>1.5039307280391934</v>
      </c>
    </row>
    <row r="391" spans="1:13">
      <c r="A391" s="9">
        <v>2025</v>
      </c>
      <c r="B391" s="3">
        <v>49</v>
      </c>
      <c r="C391" s="3" t="s">
        <v>11</v>
      </c>
      <c r="D391" s="3" t="s">
        <v>8</v>
      </c>
      <c r="E391" s="3" t="s">
        <v>16</v>
      </c>
      <c r="F391" s="3" t="s">
        <v>18</v>
      </c>
      <c r="G391" s="3" t="str">
        <f t="shared" si="6"/>
        <v>027TIFFANY!</v>
      </c>
      <c r="H391" s="3">
        <v>3930</v>
      </c>
      <c r="I391" s="3">
        <v>716</v>
      </c>
      <c r="J391" s="3">
        <v>1064</v>
      </c>
      <c r="K391" s="3">
        <v>2633.1</v>
      </c>
      <c r="L391" s="3">
        <v>19200</v>
      </c>
      <c r="M391" s="11">
        <f>+H391/K391</f>
        <v>1.4925373134328359</v>
      </c>
    </row>
    <row r="392" spans="1:13">
      <c r="A392" s="9">
        <v>2025</v>
      </c>
      <c r="B392" s="3">
        <v>49</v>
      </c>
      <c r="C392" s="3" t="s">
        <v>11</v>
      </c>
      <c r="D392" s="3" t="s">
        <v>8</v>
      </c>
      <c r="E392" s="3" t="s">
        <v>19</v>
      </c>
      <c r="F392" s="3" t="s">
        <v>20</v>
      </c>
      <c r="G392" s="3" t="str">
        <f t="shared" si="6"/>
        <v>028COTOPAXI</v>
      </c>
      <c r="H392" s="3">
        <v>6120</v>
      </c>
      <c r="I392" s="3">
        <v>671</v>
      </c>
      <c r="J392" s="3">
        <v>656</v>
      </c>
      <c r="K392" s="3">
        <v>2852.5250000000001</v>
      </c>
      <c r="L392" s="3">
        <v>20800</v>
      </c>
      <c r="M392" s="11">
        <f>+H392/K392</f>
        <v>2.1454676120279399</v>
      </c>
    </row>
    <row r="393" spans="1:13">
      <c r="A393" s="9">
        <v>2025</v>
      </c>
      <c r="B393" s="3">
        <v>49</v>
      </c>
      <c r="C393" s="3" t="s">
        <v>11</v>
      </c>
      <c r="D393" s="3" t="s">
        <v>8</v>
      </c>
      <c r="E393" s="3" t="s">
        <v>19</v>
      </c>
      <c r="F393" s="3" t="s">
        <v>21</v>
      </c>
      <c r="G393" s="3" t="str">
        <f t="shared" si="6"/>
        <v>028DEEP PURPLE</v>
      </c>
      <c r="H393" s="3">
        <v>4560</v>
      </c>
      <c r="I393" s="3">
        <v>645</v>
      </c>
      <c r="J393" s="3">
        <v>633</v>
      </c>
      <c r="K393" s="3">
        <v>2852.5250000000001</v>
      </c>
      <c r="L393" s="3">
        <v>20800</v>
      </c>
      <c r="M393" s="11">
        <f>+H393/K393</f>
        <v>1.598583710922779</v>
      </c>
    </row>
    <row r="394" spans="1:13">
      <c r="A394" s="9">
        <v>2025</v>
      </c>
      <c r="B394" s="3">
        <v>50</v>
      </c>
      <c r="C394" s="3" t="s">
        <v>7</v>
      </c>
      <c r="D394" s="3" t="s">
        <v>8</v>
      </c>
      <c r="E394" s="3" t="s">
        <v>9</v>
      </c>
      <c r="F394" s="3" t="s">
        <v>10</v>
      </c>
      <c r="G394" s="3" t="str">
        <f t="shared" si="6"/>
        <v>026PURPLE BUBBLY</v>
      </c>
      <c r="H394" s="3">
        <v>460</v>
      </c>
      <c r="I394" s="3">
        <v>673</v>
      </c>
      <c r="J394" s="3">
        <v>673</v>
      </c>
      <c r="K394" s="3">
        <v>1755.4</v>
      </c>
      <c r="L394" s="3">
        <v>12800</v>
      </c>
      <c r="M394" s="11">
        <f>+H394/K394</f>
        <v>0.26204853594622307</v>
      </c>
    </row>
    <row r="395" spans="1:13">
      <c r="A395" s="9">
        <v>2025</v>
      </c>
      <c r="B395" s="3">
        <v>50</v>
      </c>
      <c r="C395" s="3" t="s">
        <v>11</v>
      </c>
      <c r="D395" s="3" t="s">
        <v>8</v>
      </c>
      <c r="E395" s="3" t="s">
        <v>12</v>
      </c>
      <c r="F395" s="3" t="s">
        <v>13</v>
      </c>
      <c r="G395" s="3" t="str">
        <f t="shared" si="6"/>
        <v>025PINK MONDIAL</v>
      </c>
      <c r="H395" s="3">
        <v>5250</v>
      </c>
      <c r="I395" s="3">
        <v>612</v>
      </c>
      <c r="J395" s="3">
        <v>887</v>
      </c>
      <c r="K395" s="3">
        <v>3071.9505625000002</v>
      </c>
      <c r="L395" s="3">
        <v>22400</v>
      </c>
      <c r="M395" s="11">
        <f>+H395/K395</f>
        <v>1.7090118780191144</v>
      </c>
    </row>
    <row r="396" spans="1:13">
      <c r="A396" s="9">
        <v>2025</v>
      </c>
      <c r="B396" s="3">
        <v>50</v>
      </c>
      <c r="C396" s="3" t="s">
        <v>11</v>
      </c>
      <c r="D396" s="3" t="s">
        <v>8</v>
      </c>
      <c r="E396" s="3" t="s">
        <v>9</v>
      </c>
      <c r="F396" s="3" t="s">
        <v>14</v>
      </c>
      <c r="G396" s="3" t="str">
        <f t="shared" si="6"/>
        <v>026LOLA</v>
      </c>
      <c r="H396" s="3">
        <v>4625</v>
      </c>
      <c r="I396" s="3">
        <v>641</v>
      </c>
      <c r="J396" s="3">
        <v>641</v>
      </c>
      <c r="K396" s="3">
        <v>1097.125</v>
      </c>
      <c r="L396" s="3">
        <v>8000</v>
      </c>
      <c r="M396" s="11">
        <f>+H396/K396</f>
        <v>4.2155634043522845</v>
      </c>
    </row>
    <row r="397" spans="1:13">
      <c r="A397" s="9">
        <v>2025</v>
      </c>
      <c r="B397" s="3">
        <v>50</v>
      </c>
      <c r="C397" s="3" t="s">
        <v>11</v>
      </c>
      <c r="D397" s="3" t="s">
        <v>8</v>
      </c>
      <c r="E397" s="3" t="s">
        <v>9</v>
      </c>
      <c r="F397" s="3" t="s">
        <v>15</v>
      </c>
      <c r="G397" s="3" t="str">
        <f t="shared" si="6"/>
        <v>026PALOMA</v>
      </c>
      <c r="H397" s="3">
        <v>6800</v>
      </c>
      <c r="I397" s="3">
        <v>583</v>
      </c>
      <c r="J397" s="3">
        <v>945</v>
      </c>
      <c r="K397" s="3">
        <v>2852.5250000000001</v>
      </c>
      <c r="L397" s="3">
        <v>20800</v>
      </c>
      <c r="M397" s="11">
        <f>+H397/K397</f>
        <v>2.3838529022532668</v>
      </c>
    </row>
    <row r="398" spans="1:13">
      <c r="A398" s="9">
        <v>2025</v>
      </c>
      <c r="B398" s="3">
        <v>50</v>
      </c>
      <c r="C398" s="3" t="s">
        <v>11</v>
      </c>
      <c r="D398" s="3" t="s">
        <v>8</v>
      </c>
      <c r="E398" s="3" t="s">
        <v>16</v>
      </c>
      <c r="F398" s="3" t="s">
        <v>17</v>
      </c>
      <c r="G398" s="3" t="str">
        <f t="shared" si="6"/>
        <v>027SATISFACTION</v>
      </c>
      <c r="H398" s="3">
        <v>4920</v>
      </c>
      <c r="I398" s="3">
        <v>642</v>
      </c>
      <c r="J398" s="3">
        <v>610</v>
      </c>
      <c r="K398" s="3">
        <v>2633.1</v>
      </c>
      <c r="L398" s="3">
        <v>19200</v>
      </c>
      <c r="M398" s="11">
        <f>+H398/K398</f>
        <v>1.8685199954426341</v>
      </c>
    </row>
    <row r="399" spans="1:13">
      <c r="A399" s="9">
        <v>2025</v>
      </c>
      <c r="B399" s="3">
        <v>50</v>
      </c>
      <c r="C399" s="3" t="s">
        <v>11</v>
      </c>
      <c r="D399" s="3" t="s">
        <v>8</v>
      </c>
      <c r="E399" s="3" t="s">
        <v>16</v>
      </c>
      <c r="F399" s="3" t="s">
        <v>18</v>
      </c>
      <c r="G399" s="3" t="str">
        <f t="shared" si="6"/>
        <v>027TIFFANY!</v>
      </c>
      <c r="H399" s="3">
        <v>5340</v>
      </c>
      <c r="I399" s="3">
        <v>682</v>
      </c>
      <c r="J399" s="3">
        <v>642</v>
      </c>
      <c r="K399" s="3">
        <v>2633.1</v>
      </c>
      <c r="L399" s="3">
        <v>19200</v>
      </c>
      <c r="M399" s="11">
        <f>+H399/K399</f>
        <v>2.0280277999316394</v>
      </c>
    </row>
    <row r="400" spans="1:13">
      <c r="A400" s="9">
        <v>2025</v>
      </c>
      <c r="B400" s="3">
        <v>50</v>
      </c>
      <c r="C400" s="3" t="s">
        <v>11</v>
      </c>
      <c r="D400" s="3" t="s">
        <v>8</v>
      </c>
      <c r="E400" s="3" t="s">
        <v>19</v>
      </c>
      <c r="F400" s="3" t="s">
        <v>20</v>
      </c>
      <c r="G400" s="3" t="str">
        <f t="shared" si="6"/>
        <v>028COTOPAXI</v>
      </c>
      <c r="H400" s="3">
        <v>10920</v>
      </c>
      <c r="I400" s="3">
        <v>587</v>
      </c>
      <c r="J400" s="3">
        <v>712</v>
      </c>
      <c r="K400" s="3">
        <v>2852.5250000000001</v>
      </c>
      <c r="L400" s="3">
        <v>20800</v>
      </c>
      <c r="M400" s="11">
        <f>+H400/K400</f>
        <v>3.8281873077361284</v>
      </c>
    </row>
    <row r="401" spans="1:13">
      <c r="A401" s="9">
        <v>2025</v>
      </c>
      <c r="B401" s="3">
        <v>50</v>
      </c>
      <c r="C401" s="3" t="s">
        <v>11</v>
      </c>
      <c r="D401" s="3" t="s">
        <v>8</v>
      </c>
      <c r="E401" s="3" t="s">
        <v>19</v>
      </c>
      <c r="F401" s="3" t="s">
        <v>21</v>
      </c>
      <c r="G401" s="3" t="str">
        <f t="shared" si="6"/>
        <v>028DEEP PURPLE</v>
      </c>
      <c r="H401" s="3">
        <v>5940</v>
      </c>
      <c r="I401" s="3">
        <v>668</v>
      </c>
      <c r="J401" s="3">
        <v>600</v>
      </c>
      <c r="K401" s="3">
        <v>2852.5250000000001</v>
      </c>
      <c r="L401" s="3">
        <v>20800</v>
      </c>
      <c r="M401" s="11">
        <f>+H401/K401</f>
        <v>2.082365623438883</v>
      </c>
    </row>
    <row r="402" spans="1:13">
      <c r="A402" s="9">
        <v>2025</v>
      </c>
      <c r="B402" s="3">
        <v>51</v>
      </c>
      <c r="C402" s="3" t="s">
        <v>7</v>
      </c>
      <c r="D402" s="3" t="s">
        <v>8</v>
      </c>
      <c r="E402" s="3" t="s">
        <v>9</v>
      </c>
      <c r="F402" s="3" t="s">
        <v>10</v>
      </c>
      <c r="G402" s="3" t="str">
        <f t="shared" si="6"/>
        <v>026PURPLE BUBBLY</v>
      </c>
      <c r="H402" s="3">
        <v>30</v>
      </c>
      <c r="I402" s="3">
        <v>712</v>
      </c>
      <c r="J402" s="3">
        <v>606</v>
      </c>
      <c r="K402" s="3">
        <v>1755.4</v>
      </c>
      <c r="L402" s="3">
        <v>12800</v>
      </c>
      <c r="M402" s="11">
        <f>+H402/K402</f>
        <v>1.7090121909536286E-2</v>
      </c>
    </row>
    <row r="403" spans="1:13">
      <c r="A403" s="9">
        <v>2025</v>
      </c>
      <c r="B403" s="3">
        <v>51</v>
      </c>
      <c r="C403" s="3" t="s">
        <v>11</v>
      </c>
      <c r="D403" s="3" t="s">
        <v>8</v>
      </c>
      <c r="E403" s="3" t="s">
        <v>12</v>
      </c>
      <c r="F403" s="3" t="s">
        <v>13</v>
      </c>
      <c r="G403" s="3" t="str">
        <f t="shared" si="6"/>
        <v>025PINK MONDIAL</v>
      </c>
      <c r="H403" s="3">
        <v>5325</v>
      </c>
      <c r="I403" s="3">
        <v>852</v>
      </c>
      <c r="J403" s="3">
        <v>720</v>
      </c>
      <c r="K403" s="3">
        <v>3071.9505625000002</v>
      </c>
      <c r="L403" s="3">
        <v>22400</v>
      </c>
      <c r="M403" s="11">
        <f>+H403/K403</f>
        <v>1.7334263334193873</v>
      </c>
    </row>
    <row r="404" spans="1:13">
      <c r="A404" s="9">
        <v>2025</v>
      </c>
      <c r="B404" s="3">
        <v>51</v>
      </c>
      <c r="C404" s="3" t="s">
        <v>11</v>
      </c>
      <c r="D404" s="3" t="s">
        <v>8</v>
      </c>
      <c r="E404" s="3" t="s">
        <v>9</v>
      </c>
      <c r="F404" s="3" t="s">
        <v>14</v>
      </c>
      <c r="G404" s="3" t="str">
        <f t="shared" si="6"/>
        <v>026LOLA</v>
      </c>
      <c r="H404" s="3">
        <v>3775</v>
      </c>
      <c r="I404" s="3">
        <v>577</v>
      </c>
      <c r="J404" s="3">
        <v>678</v>
      </c>
      <c r="K404" s="3">
        <v>1097.125</v>
      </c>
      <c r="L404" s="3">
        <v>8000</v>
      </c>
      <c r="M404" s="11">
        <f>+H404/K404</f>
        <v>3.4408112111199727</v>
      </c>
    </row>
    <row r="405" spans="1:13">
      <c r="A405" s="9">
        <v>2025</v>
      </c>
      <c r="B405" s="3">
        <v>51</v>
      </c>
      <c r="C405" s="3" t="s">
        <v>11</v>
      </c>
      <c r="D405" s="3" t="s">
        <v>8</v>
      </c>
      <c r="E405" s="3" t="s">
        <v>9</v>
      </c>
      <c r="F405" s="3" t="s">
        <v>15</v>
      </c>
      <c r="G405" s="3" t="str">
        <f t="shared" si="6"/>
        <v>026PALOMA</v>
      </c>
      <c r="H405" s="3">
        <v>3825</v>
      </c>
      <c r="I405" s="3">
        <v>575</v>
      </c>
      <c r="J405" s="3">
        <v>530</v>
      </c>
      <c r="K405" s="3">
        <v>2852.5250000000001</v>
      </c>
      <c r="L405" s="3">
        <v>20800</v>
      </c>
      <c r="M405" s="11">
        <f>+H405/K405</f>
        <v>1.3409172575174626</v>
      </c>
    </row>
    <row r="406" spans="1:13">
      <c r="A406" s="9">
        <v>2025</v>
      </c>
      <c r="B406" s="3">
        <v>51</v>
      </c>
      <c r="C406" s="3" t="s">
        <v>11</v>
      </c>
      <c r="D406" s="3" t="s">
        <v>8</v>
      </c>
      <c r="E406" s="3" t="s">
        <v>16</v>
      </c>
      <c r="F406" s="3" t="s">
        <v>17</v>
      </c>
      <c r="G406" s="3" t="str">
        <f t="shared" si="6"/>
        <v>027SATISFACTION</v>
      </c>
      <c r="H406" s="3">
        <v>5010</v>
      </c>
      <c r="I406" s="3">
        <v>523</v>
      </c>
      <c r="J406" s="3">
        <v>584</v>
      </c>
      <c r="K406" s="3">
        <v>2633.1</v>
      </c>
      <c r="L406" s="3">
        <v>19200</v>
      </c>
      <c r="M406" s="11">
        <f>+H406/K406</f>
        <v>1.9027002392617067</v>
      </c>
    </row>
    <row r="407" spans="1:13">
      <c r="A407" s="9">
        <v>2025</v>
      </c>
      <c r="B407" s="3">
        <v>51</v>
      </c>
      <c r="C407" s="3" t="s">
        <v>11</v>
      </c>
      <c r="D407" s="3" t="s">
        <v>8</v>
      </c>
      <c r="E407" s="3" t="s">
        <v>16</v>
      </c>
      <c r="F407" s="3" t="s">
        <v>18</v>
      </c>
      <c r="G407" s="3" t="str">
        <f t="shared" si="6"/>
        <v>027TIFFANY!</v>
      </c>
      <c r="H407" s="3">
        <v>4380</v>
      </c>
      <c r="I407" s="3">
        <v>528</v>
      </c>
      <c r="J407" s="3">
        <v>608</v>
      </c>
      <c r="K407" s="3">
        <v>2633.1</v>
      </c>
      <c r="L407" s="3">
        <v>19200</v>
      </c>
      <c r="M407" s="11">
        <f>+H407/K407</f>
        <v>1.6634385325281988</v>
      </c>
    </row>
    <row r="408" spans="1:13">
      <c r="A408" s="9">
        <v>2025</v>
      </c>
      <c r="B408" s="3">
        <v>51</v>
      </c>
      <c r="C408" s="3" t="s">
        <v>11</v>
      </c>
      <c r="D408" s="3" t="s">
        <v>8</v>
      </c>
      <c r="E408" s="3" t="s">
        <v>19</v>
      </c>
      <c r="F408" s="3" t="s">
        <v>20</v>
      </c>
      <c r="G408" s="3" t="str">
        <f t="shared" si="6"/>
        <v>028COTOPAXI</v>
      </c>
      <c r="H408" s="3">
        <v>5820</v>
      </c>
      <c r="I408" s="3">
        <v>489</v>
      </c>
      <c r="J408" s="3">
        <v>602</v>
      </c>
      <c r="K408" s="3">
        <v>2852.5250000000001</v>
      </c>
      <c r="L408" s="3">
        <v>20800</v>
      </c>
      <c r="M408" s="11">
        <f>+H408/K408</f>
        <v>2.0402976310461782</v>
      </c>
    </row>
    <row r="409" spans="1:13">
      <c r="A409" s="9">
        <v>2025</v>
      </c>
      <c r="B409" s="3">
        <v>51</v>
      </c>
      <c r="C409" s="3" t="s">
        <v>11</v>
      </c>
      <c r="D409" s="3" t="s">
        <v>8</v>
      </c>
      <c r="E409" s="3" t="s">
        <v>19</v>
      </c>
      <c r="F409" s="3" t="s">
        <v>21</v>
      </c>
      <c r="G409" s="3" t="str">
        <f t="shared" si="6"/>
        <v>028DEEP PURPLE</v>
      </c>
      <c r="H409" s="3">
        <v>6330</v>
      </c>
      <c r="I409" s="3">
        <v>576</v>
      </c>
      <c r="J409" s="3">
        <v>515</v>
      </c>
      <c r="K409" s="3">
        <v>2852.5250000000001</v>
      </c>
      <c r="L409" s="3">
        <v>20800</v>
      </c>
      <c r="M409" s="11">
        <f>+H409/K409</f>
        <v>2.2190865987151733</v>
      </c>
    </row>
    <row r="410" spans="1:13">
      <c r="A410" s="9">
        <v>2025</v>
      </c>
      <c r="B410" s="3">
        <v>52</v>
      </c>
      <c r="C410" s="3" t="s">
        <v>7</v>
      </c>
      <c r="D410" s="3" t="s">
        <v>8</v>
      </c>
      <c r="E410" s="3" t="s">
        <v>9</v>
      </c>
      <c r="F410" s="3" t="s">
        <v>10</v>
      </c>
      <c r="G410" s="3" t="str">
        <f t="shared" si="6"/>
        <v>026PURPLE BUBBLY</v>
      </c>
      <c r="H410" s="3">
        <v>0</v>
      </c>
      <c r="I410" s="3">
        <v>861</v>
      </c>
      <c r="J410" s="3">
        <v>589</v>
      </c>
      <c r="K410" s="3">
        <v>1755.4</v>
      </c>
      <c r="L410" s="3">
        <v>12800</v>
      </c>
      <c r="M410" s="11">
        <f>+H410/K410</f>
        <v>0</v>
      </c>
    </row>
    <row r="411" spans="1:13">
      <c r="A411" s="9">
        <v>2025</v>
      </c>
      <c r="B411" s="3">
        <v>52</v>
      </c>
      <c r="C411" s="3" t="s">
        <v>11</v>
      </c>
      <c r="D411" s="3" t="s">
        <v>8</v>
      </c>
      <c r="E411" s="3" t="s">
        <v>12</v>
      </c>
      <c r="F411" s="3" t="s">
        <v>13</v>
      </c>
      <c r="G411" s="3" t="str">
        <f t="shared" si="6"/>
        <v>025PINK MONDIAL</v>
      </c>
      <c r="H411" s="3">
        <v>5975</v>
      </c>
      <c r="I411" s="3">
        <v>1018</v>
      </c>
      <c r="J411" s="3">
        <v>938</v>
      </c>
      <c r="K411" s="3">
        <v>3071.9505625000002</v>
      </c>
      <c r="L411" s="3">
        <v>22400</v>
      </c>
      <c r="M411" s="11">
        <f>+H411/K411</f>
        <v>1.9450182802217539</v>
      </c>
    </row>
    <row r="412" spans="1:13">
      <c r="A412" s="9">
        <v>2025</v>
      </c>
      <c r="B412" s="3">
        <v>52</v>
      </c>
      <c r="C412" s="3" t="s">
        <v>11</v>
      </c>
      <c r="D412" s="3" t="s">
        <v>8</v>
      </c>
      <c r="E412" s="3" t="s">
        <v>9</v>
      </c>
      <c r="F412" s="3" t="s">
        <v>14</v>
      </c>
      <c r="G412" s="3" t="str">
        <f t="shared" si="6"/>
        <v>026LOLA</v>
      </c>
      <c r="H412" s="3">
        <v>4575</v>
      </c>
      <c r="I412" s="3">
        <v>707</v>
      </c>
      <c r="J412" s="3">
        <v>1210</v>
      </c>
      <c r="K412" s="3">
        <v>1097.125</v>
      </c>
      <c r="L412" s="3">
        <v>8000</v>
      </c>
      <c r="M412" s="11">
        <f>+H412/K412</f>
        <v>4.1699897459268547</v>
      </c>
    </row>
    <row r="413" spans="1:13">
      <c r="A413" s="9">
        <v>2025</v>
      </c>
      <c r="B413" s="3">
        <v>52</v>
      </c>
      <c r="C413" s="3" t="s">
        <v>11</v>
      </c>
      <c r="D413" s="3" t="s">
        <v>8</v>
      </c>
      <c r="E413" s="3" t="s">
        <v>9</v>
      </c>
      <c r="F413" s="3" t="s">
        <v>15</v>
      </c>
      <c r="G413" s="3" t="str">
        <f t="shared" si="6"/>
        <v>026PALOMA</v>
      </c>
      <c r="H413" s="3">
        <v>5950</v>
      </c>
      <c r="I413" s="3">
        <v>600</v>
      </c>
      <c r="J413" s="3">
        <v>721</v>
      </c>
      <c r="K413" s="3">
        <v>2852.5250000000001</v>
      </c>
      <c r="L413" s="3">
        <v>20800</v>
      </c>
      <c r="M413" s="11">
        <f>+H413/K413</f>
        <v>2.0858712894716085</v>
      </c>
    </row>
    <row r="414" spans="1:13">
      <c r="A414" s="9">
        <v>2025</v>
      </c>
      <c r="B414" s="3">
        <v>52</v>
      </c>
      <c r="C414" s="3" t="s">
        <v>11</v>
      </c>
      <c r="D414" s="3" t="s">
        <v>8</v>
      </c>
      <c r="E414" s="3" t="s">
        <v>16</v>
      </c>
      <c r="F414" s="3" t="s">
        <v>17</v>
      </c>
      <c r="G414" s="3" t="str">
        <f t="shared" si="6"/>
        <v>027SATISFACTION</v>
      </c>
      <c r="H414" s="3">
        <v>5610</v>
      </c>
      <c r="I414" s="3">
        <v>520</v>
      </c>
      <c r="J414" s="3">
        <v>642</v>
      </c>
      <c r="K414" s="3">
        <v>2633.1</v>
      </c>
      <c r="L414" s="3">
        <v>19200</v>
      </c>
      <c r="M414" s="11">
        <f>+H414/K414</f>
        <v>2.1305685313888572</v>
      </c>
    </row>
    <row r="415" spans="1:13">
      <c r="A415" s="9">
        <v>2025</v>
      </c>
      <c r="B415" s="3">
        <v>52</v>
      </c>
      <c r="C415" s="3" t="s">
        <v>11</v>
      </c>
      <c r="D415" s="3" t="s">
        <v>8</v>
      </c>
      <c r="E415" s="3" t="s">
        <v>16</v>
      </c>
      <c r="F415" s="3" t="s">
        <v>18</v>
      </c>
      <c r="G415" s="3" t="str">
        <f t="shared" si="6"/>
        <v>027TIFFANY!</v>
      </c>
      <c r="H415" s="3">
        <v>4950</v>
      </c>
      <c r="I415" s="3">
        <v>585</v>
      </c>
      <c r="J415" s="3">
        <v>617</v>
      </c>
      <c r="K415" s="3">
        <v>2633.1</v>
      </c>
      <c r="L415" s="3">
        <v>19200</v>
      </c>
      <c r="M415" s="11">
        <f>+H415/K415</f>
        <v>1.8799134100489918</v>
      </c>
    </row>
    <row r="416" spans="1:13">
      <c r="A416" s="9">
        <v>2025</v>
      </c>
      <c r="B416" s="3">
        <v>52</v>
      </c>
      <c r="C416" s="3" t="s">
        <v>11</v>
      </c>
      <c r="D416" s="3" t="s">
        <v>8</v>
      </c>
      <c r="E416" s="3" t="s">
        <v>19</v>
      </c>
      <c r="F416" s="3" t="s">
        <v>20</v>
      </c>
      <c r="G416" s="3" t="str">
        <f t="shared" si="6"/>
        <v>028COTOPAXI</v>
      </c>
      <c r="H416" s="3">
        <v>6000</v>
      </c>
      <c r="I416" s="3">
        <v>728</v>
      </c>
      <c r="J416" s="3">
        <v>612</v>
      </c>
      <c r="K416" s="3">
        <v>2852.5250000000001</v>
      </c>
      <c r="L416" s="3">
        <v>20800</v>
      </c>
      <c r="M416" s="11">
        <f>+H416/K416</f>
        <v>2.1033996196352356</v>
      </c>
    </row>
    <row r="417" spans="1:13">
      <c r="A417" s="9">
        <v>2025</v>
      </c>
      <c r="B417" s="3">
        <v>52</v>
      </c>
      <c r="C417" s="3" t="s">
        <v>11</v>
      </c>
      <c r="D417" s="3" t="s">
        <v>8</v>
      </c>
      <c r="E417" s="3" t="s">
        <v>19</v>
      </c>
      <c r="F417" s="3" t="s">
        <v>21</v>
      </c>
      <c r="G417" s="3" t="str">
        <f t="shared" si="6"/>
        <v>028DEEP PURPLE</v>
      </c>
      <c r="H417" s="3">
        <v>7410</v>
      </c>
      <c r="I417" s="3">
        <v>597</v>
      </c>
      <c r="J417" s="3">
        <v>675</v>
      </c>
      <c r="K417" s="3">
        <v>2852.5250000000001</v>
      </c>
      <c r="L417" s="3">
        <v>20800</v>
      </c>
      <c r="M417" s="11">
        <f>+H417/K417</f>
        <v>2.5976985302495157</v>
      </c>
    </row>
    <row r="418" spans="1:13">
      <c r="A418" s="9">
        <v>2026</v>
      </c>
      <c r="B418" s="3">
        <v>1</v>
      </c>
      <c r="C418" s="3" t="s">
        <v>7</v>
      </c>
      <c r="D418" s="3" t="s">
        <v>8</v>
      </c>
      <c r="E418" s="3" t="s">
        <v>9</v>
      </c>
      <c r="F418" s="3" t="s">
        <v>10</v>
      </c>
      <c r="G418" s="3" t="str">
        <f t="shared" si="6"/>
        <v>026PURPLE BUBBLY</v>
      </c>
      <c r="H418" s="3">
        <v>0</v>
      </c>
      <c r="I418" s="3">
        <v>470</v>
      </c>
      <c r="J418" s="3">
        <v>461</v>
      </c>
      <c r="K418" s="3">
        <v>1755.4</v>
      </c>
      <c r="L418" s="3">
        <v>12800</v>
      </c>
      <c r="M418" s="11">
        <f>+H418/K418</f>
        <v>0</v>
      </c>
    </row>
    <row r="419" spans="1:13">
      <c r="A419" s="9">
        <v>2026</v>
      </c>
      <c r="B419" s="3">
        <v>1</v>
      </c>
      <c r="C419" s="3" t="s">
        <v>11</v>
      </c>
      <c r="D419" s="3" t="s">
        <v>8</v>
      </c>
      <c r="E419" s="3" t="s">
        <v>12</v>
      </c>
      <c r="F419" s="3" t="s">
        <v>13</v>
      </c>
      <c r="G419" s="3" t="str">
        <f t="shared" si="6"/>
        <v>025PINK MONDIAL</v>
      </c>
      <c r="H419" s="3">
        <v>4700</v>
      </c>
      <c r="I419" s="3">
        <v>505</v>
      </c>
      <c r="J419" s="3">
        <v>423</v>
      </c>
      <c r="K419" s="3">
        <v>3071.9505625000002</v>
      </c>
      <c r="L419" s="3">
        <v>22400</v>
      </c>
      <c r="M419" s="11">
        <f>+H419/K419</f>
        <v>1.5299725384171119</v>
      </c>
    </row>
    <row r="420" spans="1:13">
      <c r="A420" s="9">
        <v>2026</v>
      </c>
      <c r="B420" s="3">
        <v>1</v>
      </c>
      <c r="C420" s="3" t="s">
        <v>11</v>
      </c>
      <c r="D420" s="3" t="s">
        <v>8</v>
      </c>
      <c r="E420" s="3" t="s">
        <v>9</v>
      </c>
      <c r="F420" s="3" t="s">
        <v>14</v>
      </c>
      <c r="G420" s="3" t="str">
        <f t="shared" si="6"/>
        <v>026LOLA</v>
      </c>
      <c r="H420" s="3">
        <v>6775</v>
      </c>
      <c r="I420" s="3">
        <v>714</v>
      </c>
      <c r="J420" s="3">
        <v>618</v>
      </c>
      <c r="K420" s="3">
        <v>1097.125</v>
      </c>
      <c r="L420" s="3">
        <v>8000</v>
      </c>
      <c r="M420" s="11">
        <f>+H420/K420</f>
        <v>6.1752307166457792</v>
      </c>
    </row>
    <row r="421" spans="1:13">
      <c r="A421" s="9">
        <v>2026</v>
      </c>
      <c r="B421" s="3">
        <v>1</v>
      </c>
      <c r="C421" s="3" t="s">
        <v>11</v>
      </c>
      <c r="D421" s="3" t="s">
        <v>8</v>
      </c>
      <c r="E421" s="3" t="s">
        <v>9</v>
      </c>
      <c r="F421" s="3" t="s">
        <v>15</v>
      </c>
      <c r="G421" s="3" t="str">
        <f t="shared" si="6"/>
        <v>026PALOMA</v>
      </c>
      <c r="H421" s="3">
        <v>7325</v>
      </c>
      <c r="I421" s="3">
        <v>300</v>
      </c>
      <c r="J421" s="3">
        <v>423</v>
      </c>
      <c r="K421" s="3">
        <v>2852.5250000000001</v>
      </c>
      <c r="L421" s="3">
        <v>20800</v>
      </c>
      <c r="M421" s="11">
        <f>+H421/K421</f>
        <v>2.5679003689713498</v>
      </c>
    </row>
    <row r="422" spans="1:13">
      <c r="A422" s="9">
        <v>2026</v>
      </c>
      <c r="B422" s="3">
        <v>1</v>
      </c>
      <c r="C422" s="3" t="s">
        <v>11</v>
      </c>
      <c r="D422" s="3" t="s">
        <v>8</v>
      </c>
      <c r="E422" s="3" t="s">
        <v>16</v>
      </c>
      <c r="F422" s="3" t="s">
        <v>17</v>
      </c>
      <c r="G422" s="3" t="str">
        <f t="shared" si="6"/>
        <v>027SATISFACTION</v>
      </c>
      <c r="H422" s="3">
        <v>4950</v>
      </c>
      <c r="I422" s="3">
        <v>0</v>
      </c>
      <c r="J422" s="3">
        <v>0</v>
      </c>
      <c r="K422" s="3">
        <v>2633.1</v>
      </c>
      <c r="L422" s="3">
        <v>19200</v>
      </c>
      <c r="M422" s="11">
        <f>+H422/K422</f>
        <v>1.8799134100489918</v>
      </c>
    </row>
    <row r="423" spans="1:13">
      <c r="A423" s="9">
        <v>2026</v>
      </c>
      <c r="B423" s="3">
        <v>1</v>
      </c>
      <c r="C423" s="3" t="s">
        <v>11</v>
      </c>
      <c r="D423" s="3" t="s">
        <v>8</v>
      </c>
      <c r="E423" s="3" t="s">
        <v>16</v>
      </c>
      <c r="F423" s="3" t="s">
        <v>18</v>
      </c>
      <c r="G423" s="3" t="str">
        <f t="shared" si="6"/>
        <v>027TIFFANY!</v>
      </c>
      <c r="H423" s="3">
        <v>4470</v>
      </c>
      <c r="I423" s="3">
        <v>0</v>
      </c>
      <c r="J423" s="3">
        <v>0</v>
      </c>
      <c r="K423" s="3">
        <v>2633.1</v>
      </c>
      <c r="L423" s="3">
        <v>19200</v>
      </c>
      <c r="M423" s="11">
        <f>+H423/K423</f>
        <v>1.6976187763472714</v>
      </c>
    </row>
    <row r="424" spans="1:13">
      <c r="A424" s="9">
        <v>2026</v>
      </c>
      <c r="B424" s="3">
        <v>1</v>
      </c>
      <c r="C424" s="3" t="s">
        <v>11</v>
      </c>
      <c r="D424" s="3" t="s">
        <v>8</v>
      </c>
      <c r="E424" s="3" t="s">
        <v>19</v>
      </c>
      <c r="F424" s="3" t="s">
        <v>20</v>
      </c>
      <c r="G424" s="3" t="str">
        <f t="shared" si="6"/>
        <v>028COTOPAXI</v>
      </c>
      <c r="H424" s="3">
        <v>10110</v>
      </c>
      <c r="I424" s="3">
        <v>0</v>
      </c>
      <c r="J424" s="3">
        <v>0</v>
      </c>
      <c r="K424" s="3">
        <v>2852.5250000000001</v>
      </c>
      <c r="L424" s="3">
        <v>20800</v>
      </c>
      <c r="M424" s="11">
        <f>+H424/K424</f>
        <v>3.5442283590853716</v>
      </c>
    </row>
    <row r="425" spans="1:13">
      <c r="A425" s="9">
        <v>2026</v>
      </c>
      <c r="B425" s="3">
        <v>1</v>
      </c>
      <c r="C425" s="3" t="s">
        <v>11</v>
      </c>
      <c r="D425" s="3" t="s">
        <v>8</v>
      </c>
      <c r="E425" s="3" t="s">
        <v>19</v>
      </c>
      <c r="F425" s="3" t="s">
        <v>21</v>
      </c>
      <c r="G425" s="3" t="str">
        <f t="shared" si="6"/>
        <v>028DEEP PURPLE</v>
      </c>
      <c r="H425" s="3">
        <v>5970</v>
      </c>
      <c r="I425" s="3">
        <v>0</v>
      </c>
      <c r="J425" s="3">
        <v>0</v>
      </c>
      <c r="K425" s="3">
        <v>2852.5250000000001</v>
      </c>
      <c r="L425" s="3">
        <v>20800</v>
      </c>
      <c r="M425" s="11">
        <f>+H425/K425</f>
        <v>2.0928826215370591</v>
      </c>
    </row>
    <row r="426" spans="1:13">
      <c r="A426" s="9">
        <v>2026</v>
      </c>
      <c r="B426" s="3">
        <v>2</v>
      </c>
      <c r="C426" s="3" t="s">
        <v>7</v>
      </c>
      <c r="D426" s="3" t="s">
        <v>8</v>
      </c>
      <c r="E426" s="3" t="s">
        <v>9</v>
      </c>
      <c r="F426" s="3" t="s">
        <v>10</v>
      </c>
      <c r="G426" s="3" t="str">
        <f t="shared" si="6"/>
        <v>026PURPLE BUBBLY</v>
      </c>
      <c r="H426" s="3">
        <v>0</v>
      </c>
      <c r="I426" s="3">
        <v>0</v>
      </c>
      <c r="J426" s="3">
        <v>0</v>
      </c>
      <c r="K426" s="3">
        <v>1755.4</v>
      </c>
      <c r="L426" s="3">
        <v>12800</v>
      </c>
      <c r="M426" s="11">
        <f>+H426/K426</f>
        <v>0</v>
      </c>
    </row>
    <row r="427" spans="1:13">
      <c r="A427" s="9">
        <v>2026</v>
      </c>
      <c r="B427" s="3">
        <v>2</v>
      </c>
      <c r="C427" s="3" t="s">
        <v>11</v>
      </c>
      <c r="D427" s="3" t="s">
        <v>8</v>
      </c>
      <c r="E427" s="3" t="s">
        <v>12</v>
      </c>
      <c r="F427" s="3" t="s">
        <v>13</v>
      </c>
      <c r="G427" s="3" t="str">
        <f t="shared" si="6"/>
        <v>025PINK MONDIAL</v>
      </c>
      <c r="H427" s="3">
        <v>4125</v>
      </c>
      <c r="I427" s="3">
        <v>0</v>
      </c>
      <c r="J427" s="3">
        <v>0</v>
      </c>
      <c r="K427" s="3">
        <v>3071.9505625000002</v>
      </c>
      <c r="L427" s="3">
        <v>22400</v>
      </c>
      <c r="M427" s="11">
        <f>+H427/K427</f>
        <v>1.3427950470150185</v>
      </c>
    </row>
    <row r="428" spans="1:13">
      <c r="A428" s="9">
        <v>2026</v>
      </c>
      <c r="B428" s="3">
        <v>2</v>
      </c>
      <c r="C428" s="3" t="s">
        <v>11</v>
      </c>
      <c r="D428" s="3" t="s">
        <v>8</v>
      </c>
      <c r="E428" s="3" t="s">
        <v>9</v>
      </c>
      <c r="F428" s="3" t="s">
        <v>14</v>
      </c>
      <c r="G428" s="3" t="str">
        <f t="shared" si="6"/>
        <v>026LOLA</v>
      </c>
      <c r="H428" s="3">
        <v>5075</v>
      </c>
      <c r="I428" s="3">
        <v>0</v>
      </c>
      <c r="J428" s="3">
        <v>0</v>
      </c>
      <c r="K428" s="3">
        <v>1097.125</v>
      </c>
      <c r="L428" s="3">
        <v>8000</v>
      </c>
      <c r="M428" s="11">
        <f>+H428/K428</f>
        <v>4.6257263301811555</v>
      </c>
    </row>
    <row r="429" spans="1:13">
      <c r="A429" s="9">
        <v>2026</v>
      </c>
      <c r="B429" s="3">
        <v>2</v>
      </c>
      <c r="C429" s="3" t="s">
        <v>11</v>
      </c>
      <c r="D429" s="3" t="s">
        <v>8</v>
      </c>
      <c r="E429" s="3" t="s">
        <v>9</v>
      </c>
      <c r="F429" s="3" t="s">
        <v>15</v>
      </c>
      <c r="G429" s="3" t="str">
        <f t="shared" si="6"/>
        <v>026PALOMA</v>
      </c>
      <c r="H429" s="3">
        <v>4675</v>
      </c>
      <c r="I429" s="3">
        <v>0</v>
      </c>
      <c r="J429" s="3">
        <v>0</v>
      </c>
      <c r="K429" s="3">
        <v>2852.5250000000001</v>
      </c>
      <c r="L429" s="3">
        <v>20800</v>
      </c>
      <c r="M429" s="11">
        <f>+H429/K429</f>
        <v>1.638898870299121</v>
      </c>
    </row>
    <row r="430" spans="1:13">
      <c r="A430" s="9">
        <v>2026</v>
      </c>
      <c r="B430" s="3">
        <v>2</v>
      </c>
      <c r="C430" s="3" t="s">
        <v>11</v>
      </c>
      <c r="D430" s="3" t="s">
        <v>8</v>
      </c>
      <c r="E430" s="3" t="s">
        <v>16</v>
      </c>
      <c r="F430" s="3" t="s">
        <v>17</v>
      </c>
      <c r="G430" s="3" t="str">
        <f t="shared" si="6"/>
        <v>027SATISFACTION</v>
      </c>
      <c r="H430" s="3">
        <v>5100</v>
      </c>
      <c r="I430" s="3">
        <v>0</v>
      </c>
      <c r="J430" s="3">
        <v>0</v>
      </c>
      <c r="K430" s="3">
        <v>2633.1</v>
      </c>
      <c r="L430" s="3">
        <v>19200</v>
      </c>
      <c r="M430" s="11">
        <f>+H430/K430</f>
        <v>1.9368804830807793</v>
      </c>
    </row>
    <row r="431" spans="1:13">
      <c r="A431" s="9">
        <v>2026</v>
      </c>
      <c r="B431" s="3">
        <v>2</v>
      </c>
      <c r="C431" s="3" t="s">
        <v>11</v>
      </c>
      <c r="D431" s="3" t="s">
        <v>8</v>
      </c>
      <c r="E431" s="3" t="s">
        <v>16</v>
      </c>
      <c r="F431" s="3" t="s">
        <v>18</v>
      </c>
      <c r="G431" s="3" t="str">
        <f t="shared" si="6"/>
        <v>027TIFFANY!</v>
      </c>
      <c r="H431" s="3">
        <v>5100</v>
      </c>
      <c r="I431" s="3">
        <v>0</v>
      </c>
      <c r="J431" s="3">
        <v>0</v>
      </c>
      <c r="K431" s="3">
        <v>2633.1</v>
      </c>
      <c r="L431" s="3">
        <v>19200</v>
      </c>
      <c r="M431" s="11">
        <f>+H431/K431</f>
        <v>1.9368804830807793</v>
      </c>
    </row>
    <row r="432" spans="1:13">
      <c r="A432" s="9">
        <v>2026</v>
      </c>
      <c r="B432" s="3">
        <v>2</v>
      </c>
      <c r="C432" s="3" t="s">
        <v>11</v>
      </c>
      <c r="D432" s="3" t="s">
        <v>8</v>
      </c>
      <c r="E432" s="3" t="s">
        <v>19</v>
      </c>
      <c r="F432" s="3" t="s">
        <v>20</v>
      </c>
      <c r="G432" s="3" t="str">
        <f t="shared" si="6"/>
        <v>028COTOPAXI</v>
      </c>
      <c r="H432" s="3">
        <v>6090</v>
      </c>
      <c r="I432" s="3">
        <v>0</v>
      </c>
      <c r="J432" s="3">
        <v>0</v>
      </c>
      <c r="K432" s="3">
        <v>2852.5250000000001</v>
      </c>
      <c r="L432" s="3">
        <v>20800</v>
      </c>
      <c r="M432" s="11">
        <f>+H432/K432</f>
        <v>2.1349506139297638</v>
      </c>
    </row>
    <row r="433" spans="1:13">
      <c r="A433" s="9">
        <v>2026</v>
      </c>
      <c r="B433" s="3">
        <v>2</v>
      </c>
      <c r="C433" s="3" t="s">
        <v>11</v>
      </c>
      <c r="D433" s="3" t="s">
        <v>8</v>
      </c>
      <c r="E433" s="3" t="s">
        <v>19</v>
      </c>
      <c r="F433" s="3" t="s">
        <v>21</v>
      </c>
      <c r="G433" s="3" t="str">
        <f t="shared" si="6"/>
        <v>028DEEP PURPLE</v>
      </c>
      <c r="H433" s="3">
        <v>7440</v>
      </c>
      <c r="I433" s="6">
        <v>0</v>
      </c>
      <c r="J433" s="6">
        <v>0</v>
      </c>
      <c r="K433" s="3">
        <v>2852.5250000000001</v>
      </c>
      <c r="L433" s="3">
        <v>20800</v>
      </c>
      <c r="M433" s="11">
        <f>+H433/K433</f>
        <v>2.6082155283476918</v>
      </c>
    </row>
    <row r="434" spans="1:13">
      <c r="A434" s="9">
        <v>2026</v>
      </c>
      <c r="B434" s="3">
        <v>3</v>
      </c>
      <c r="C434" s="3" t="s">
        <v>7</v>
      </c>
      <c r="D434" s="3" t="s">
        <v>8</v>
      </c>
      <c r="E434" s="3" t="s">
        <v>9</v>
      </c>
      <c r="F434" s="3" t="s">
        <v>10</v>
      </c>
      <c r="G434" s="3" t="str">
        <f t="shared" si="6"/>
        <v>026PURPLE BUBBLY</v>
      </c>
      <c r="H434" s="3">
        <v>0</v>
      </c>
      <c r="I434" s="6">
        <v>0</v>
      </c>
      <c r="J434" s="6">
        <v>0</v>
      </c>
      <c r="K434" s="3">
        <v>1755.4</v>
      </c>
      <c r="L434" s="3">
        <v>12800</v>
      </c>
      <c r="M434" s="11">
        <f>+H434/K434</f>
        <v>0</v>
      </c>
    </row>
    <row r="435" spans="1:13">
      <c r="A435" s="9">
        <v>2026</v>
      </c>
      <c r="B435" s="3">
        <v>3</v>
      </c>
      <c r="C435" s="3" t="s">
        <v>11</v>
      </c>
      <c r="D435" s="3" t="s">
        <v>8</v>
      </c>
      <c r="E435" s="3" t="s">
        <v>12</v>
      </c>
      <c r="F435" s="3" t="s">
        <v>13</v>
      </c>
      <c r="G435" s="3" t="str">
        <f t="shared" si="6"/>
        <v>025PINK MONDIAL</v>
      </c>
      <c r="H435" s="3">
        <v>4400</v>
      </c>
      <c r="I435" s="6">
        <v>0</v>
      </c>
      <c r="J435" s="6">
        <v>0</v>
      </c>
      <c r="K435" s="3">
        <v>3071.9505625000002</v>
      </c>
      <c r="L435" s="3">
        <v>22400</v>
      </c>
      <c r="M435" s="11">
        <f>+H435/K435</f>
        <v>1.4323147168160197</v>
      </c>
    </row>
    <row r="436" spans="1:13">
      <c r="A436" s="9">
        <v>2026</v>
      </c>
      <c r="B436" s="3">
        <v>3</v>
      </c>
      <c r="C436" s="3" t="s">
        <v>11</v>
      </c>
      <c r="D436" s="3" t="s">
        <v>8</v>
      </c>
      <c r="E436" s="3" t="s">
        <v>9</v>
      </c>
      <c r="F436" s="3" t="s">
        <v>14</v>
      </c>
      <c r="G436" s="3" t="str">
        <f t="shared" si="6"/>
        <v>026LOLA</v>
      </c>
      <c r="H436" s="3">
        <v>6450</v>
      </c>
      <c r="I436" s="6">
        <v>0</v>
      </c>
      <c r="J436" s="6">
        <v>0</v>
      </c>
      <c r="K436" s="3">
        <v>1097.125</v>
      </c>
      <c r="L436" s="3">
        <v>8000</v>
      </c>
      <c r="M436" s="11">
        <f>+H436/K436</f>
        <v>5.8790019368804831</v>
      </c>
    </row>
    <row r="437" spans="1:13">
      <c r="A437" s="9">
        <v>2026</v>
      </c>
      <c r="B437" s="3">
        <v>3</v>
      </c>
      <c r="C437" s="3" t="s">
        <v>11</v>
      </c>
      <c r="D437" s="3" t="s">
        <v>8</v>
      </c>
      <c r="E437" s="3" t="s">
        <v>9</v>
      </c>
      <c r="F437" s="3" t="s">
        <v>15</v>
      </c>
      <c r="G437" s="3" t="str">
        <f t="shared" si="6"/>
        <v>026PALOMA</v>
      </c>
      <c r="H437" s="3">
        <v>7425</v>
      </c>
      <c r="I437" s="3">
        <v>4329</v>
      </c>
      <c r="J437" s="3">
        <v>4068</v>
      </c>
      <c r="K437" s="3">
        <v>2852.5250000000001</v>
      </c>
      <c r="L437" s="3">
        <v>20800</v>
      </c>
      <c r="M437" s="11">
        <f>+H437/K437</f>
        <v>2.602957029298604</v>
      </c>
    </row>
    <row r="438" spans="1:13">
      <c r="A438" s="9">
        <v>2026</v>
      </c>
      <c r="B438" s="3">
        <v>3</v>
      </c>
      <c r="C438" s="3" t="s">
        <v>11</v>
      </c>
      <c r="D438" s="3" t="s">
        <v>8</v>
      </c>
      <c r="E438" s="3" t="s">
        <v>16</v>
      </c>
      <c r="F438" s="3" t="s">
        <v>17</v>
      </c>
      <c r="G438" s="3" t="str">
        <f t="shared" si="6"/>
        <v>027SATISFACTION</v>
      </c>
      <c r="H438" s="3">
        <v>3690</v>
      </c>
      <c r="I438" s="3">
        <v>3966</v>
      </c>
      <c r="J438" s="3">
        <v>4639</v>
      </c>
      <c r="K438" s="3">
        <v>2633.1</v>
      </c>
      <c r="L438" s="3">
        <v>19200</v>
      </c>
      <c r="M438" s="11">
        <f>+H438/K438</f>
        <v>1.4013899965819756</v>
      </c>
    </row>
    <row r="439" spans="1:13">
      <c r="A439" s="9">
        <v>2026</v>
      </c>
      <c r="B439" s="3">
        <v>3</v>
      </c>
      <c r="C439" s="3" t="s">
        <v>11</v>
      </c>
      <c r="D439" s="3" t="s">
        <v>8</v>
      </c>
      <c r="E439" s="3" t="s">
        <v>16</v>
      </c>
      <c r="F439" s="3" t="s">
        <v>18</v>
      </c>
      <c r="G439" s="3" t="str">
        <f t="shared" si="6"/>
        <v>027TIFFANY!</v>
      </c>
      <c r="H439" s="3">
        <v>3420</v>
      </c>
      <c r="I439" s="3">
        <v>5618</v>
      </c>
      <c r="J439" s="3">
        <v>5238</v>
      </c>
      <c r="K439" s="3">
        <v>2633.1</v>
      </c>
      <c r="L439" s="3">
        <v>19200</v>
      </c>
      <c r="M439" s="11">
        <f>+H439/K439</f>
        <v>1.2988492651247578</v>
      </c>
    </row>
    <row r="440" spans="1:13">
      <c r="A440" s="9">
        <v>2026</v>
      </c>
      <c r="B440" s="3">
        <v>3</v>
      </c>
      <c r="C440" s="3" t="s">
        <v>11</v>
      </c>
      <c r="D440" s="3" t="s">
        <v>8</v>
      </c>
      <c r="E440" s="3" t="s">
        <v>19</v>
      </c>
      <c r="F440" s="3" t="s">
        <v>20</v>
      </c>
      <c r="G440" s="3" t="str">
        <f t="shared" si="6"/>
        <v>028COTOPAXI</v>
      </c>
      <c r="H440" s="3">
        <v>3660</v>
      </c>
      <c r="I440" s="3">
        <v>9198</v>
      </c>
      <c r="J440" s="3">
        <v>9198</v>
      </c>
      <c r="K440" s="3">
        <v>2852.5250000000001</v>
      </c>
      <c r="L440" s="3">
        <v>20800</v>
      </c>
      <c r="M440" s="11">
        <f>+H440/K440</f>
        <v>1.2830737679774935</v>
      </c>
    </row>
    <row r="441" spans="1:13">
      <c r="A441" s="9">
        <v>2026</v>
      </c>
      <c r="B441" s="3">
        <v>3</v>
      </c>
      <c r="C441" s="3" t="s">
        <v>11</v>
      </c>
      <c r="D441" s="3" t="s">
        <v>8</v>
      </c>
      <c r="E441" s="3" t="s">
        <v>19</v>
      </c>
      <c r="F441" s="3" t="s">
        <v>21</v>
      </c>
      <c r="G441" s="3" t="str">
        <f t="shared" si="6"/>
        <v>028DEEP PURPLE</v>
      </c>
      <c r="H441" s="3">
        <v>8130</v>
      </c>
      <c r="I441" s="3">
        <v>13578</v>
      </c>
      <c r="J441" s="3">
        <v>12054</v>
      </c>
      <c r="K441" s="3">
        <v>2852.5250000000001</v>
      </c>
      <c r="L441" s="3">
        <v>20800</v>
      </c>
      <c r="M441" s="11">
        <f>+H441/K441</f>
        <v>2.8501064846057438</v>
      </c>
    </row>
    <row r="442" spans="1:13">
      <c r="A442" s="9">
        <v>2026</v>
      </c>
      <c r="B442" s="3">
        <v>4</v>
      </c>
      <c r="C442" s="3" t="s">
        <v>7</v>
      </c>
      <c r="D442" s="3" t="s">
        <v>8</v>
      </c>
      <c r="E442" s="3" t="s">
        <v>9</v>
      </c>
      <c r="F442" s="3" t="s">
        <v>10</v>
      </c>
      <c r="G442" s="3" t="str">
        <f t="shared" si="6"/>
        <v>026PURPLE BUBBLY</v>
      </c>
      <c r="H442" s="3">
        <v>0</v>
      </c>
      <c r="I442" s="3">
        <v>5858</v>
      </c>
      <c r="J442" s="3">
        <v>6509</v>
      </c>
      <c r="K442" s="3">
        <v>1755.4</v>
      </c>
      <c r="L442" s="3">
        <v>12800</v>
      </c>
      <c r="M442" s="11">
        <f>+H442/K442</f>
        <v>0</v>
      </c>
    </row>
    <row r="443" spans="1:13">
      <c r="A443" s="9">
        <v>2026</v>
      </c>
      <c r="B443" s="3">
        <v>4</v>
      </c>
      <c r="C443" s="3" t="s">
        <v>11</v>
      </c>
      <c r="D443" s="3" t="s">
        <v>8</v>
      </c>
      <c r="E443" s="3" t="s">
        <v>12</v>
      </c>
      <c r="F443" s="3" t="s">
        <v>13</v>
      </c>
      <c r="G443" s="3" t="str">
        <f t="shared" si="6"/>
        <v>025PINK MONDIAL</v>
      </c>
      <c r="H443" s="3">
        <v>6125</v>
      </c>
      <c r="I443" s="3">
        <v>4070</v>
      </c>
      <c r="J443" s="3">
        <v>3808</v>
      </c>
      <c r="K443" s="3">
        <v>3071.9505625000002</v>
      </c>
      <c r="L443" s="3">
        <v>22400</v>
      </c>
      <c r="M443" s="11">
        <f>+H443/K443</f>
        <v>1.9938471910223001</v>
      </c>
    </row>
    <row r="444" spans="1:13">
      <c r="A444" s="9">
        <v>2026</v>
      </c>
      <c r="B444" s="3">
        <v>4</v>
      </c>
      <c r="C444" s="3" t="s">
        <v>11</v>
      </c>
      <c r="D444" s="3" t="s">
        <v>8</v>
      </c>
      <c r="E444" s="3" t="s">
        <v>9</v>
      </c>
      <c r="F444" s="3" t="s">
        <v>14</v>
      </c>
      <c r="G444" s="3" t="str">
        <f t="shared" si="6"/>
        <v>026LOLA</v>
      </c>
      <c r="H444" s="3">
        <v>10900</v>
      </c>
      <c r="I444" s="3">
        <v>4212</v>
      </c>
      <c r="J444" s="3">
        <v>3882</v>
      </c>
      <c r="K444" s="3">
        <v>1097.125</v>
      </c>
      <c r="L444" s="3">
        <v>8000</v>
      </c>
      <c r="M444" s="11">
        <f>+H444/K444</f>
        <v>9.9350575367437628</v>
      </c>
    </row>
    <row r="445" spans="1:13">
      <c r="A445" s="9">
        <v>2026</v>
      </c>
      <c r="B445" s="3">
        <v>4</v>
      </c>
      <c r="C445" s="3" t="s">
        <v>11</v>
      </c>
      <c r="D445" s="3" t="s">
        <v>8</v>
      </c>
      <c r="E445" s="3" t="s">
        <v>9</v>
      </c>
      <c r="F445" s="3" t="s">
        <v>15</v>
      </c>
      <c r="G445" s="3" t="str">
        <f t="shared" si="6"/>
        <v>026PALOMA</v>
      </c>
      <c r="H445" s="3">
        <v>8275</v>
      </c>
      <c r="I445" s="3">
        <v>4481</v>
      </c>
      <c r="J445" s="3">
        <v>3904</v>
      </c>
      <c r="K445" s="3">
        <v>2852.5250000000001</v>
      </c>
      <c r="L445" s="3">
        <v>20800</v>
      </c>
      <c r="M445" s="11">
        <f>+H445/K445</f>
        <v>2.9009386420802623</v>
      </c>
    </row>
    <row r="446" spans="1:13">
      <c r="A446" s="9">
        <v>2026</v>
      </c>
      <c r="B446" s="3">
        <v>4</v>
      </c>
      <c r="C446" s="3" t="s">
        <v>11</v>
      </c>
      <c r="D446" s="3" t="s">
        <v>8</v>
      </c>
      <c r="E446" s="3" t="s">
        <v>16</v>
      </c>
      <c r="F446" s="3" t="s">
        <v>17</v>
      </c>
      <c r="G446" s="3" t="str">
        <f t="shared" si="6"/>
        <v>027SATISFACTION</v>
      </c>
      <c r="H446" s="3">
        <v>8820</v>
      </c>
      <c r="I446" s="3">
        <v>3780</v>
      </c>
      <c r="J446" s="3">
        <v>4277</v>
      </c>
      <c r="K446" s="3">
        <v>2633.1</v>
      </c>
      <c r="L446" s="3">
        <v>19200</v>
      </c>
      <c r="M446" s="11">
        <f>+H446/K446</f>
        <v>3.3496638942691126</v>
      </c>
    </row>
    <row r="447" spans="1:13">
      <c r="A447" s="9">
        <v>2026</v>
      </c>
      <c r="B447" s="3">
        <v>4</v>
      </c>
      <c r="C447" s="3" t="s">
        <v>11</v>
      </c>
      <c r="D447" s="3" t="s">
        <v>8</v>
      </c>
      <c r="E447" s="3" t="s">
        <v>16</v>
      </c>
      <c r="F447" s="3" t="s">
        <v>18</v>
      </c>
      <c r="G447" s="3" t="str">
        <f t="shared" si="6"/>
        <v>027TIFFANY!</v>
      </c>
      <c r="H447" s="3">
        <v>8040</v>
      </c>
      <c r="I447" s="3">
        <v>4080</v>
      </c>
      <c r="J447" s="3">
        <v>3930</v>
      </c>
      <c r="K447" s="3">
        <v>2633.1</v>
      </c>
      <c r="L447" s="3">
        <v>19200</v>
      </c>
      <c r="M447" s="11">
        <f>+H447/K447</f>
        <v>3.053435114503817</v>
      </c>
    </row>
    <row r="448" spans="1:13">
      <c r="A448" s="9">
        <v>2026</v>
      </c>
      <c r="B448" s="3">
        <v>4</v>
      </c>
      <c r="C448" s="3" t="s">
        <v>11</v>
      </c>
      <c r="D448" s="3" t="s">
        <v>8</v>
      </c>
      <c r="E448" s="3" t="s">
        <v>19</v>
      </c>
      <c r="F448" s="3" t="s">
        <v>20</v>
      </c>
      <c r="G448" s="3" t="str">
        <f t="shared" si="6"/>
        <v>028COTOPAXI</v>
      </c>
      <c r="H448" s="3">
        <v>11580</v>
      </c>
      <c r="I448" s="3">
        <v>4212</v>
      </c>
      <c r="J448" s="3">
        <v>4212</v>
      </c>
      <c r="K448" s="3">
        <v>2852.5250000000001</v>
      </c>
      <c r="L448" s="3">
        <v>20800</v>
      </c>
      <c r="M448" s="11">
        <f>+H448/K448</f>
        <v>4.0595612658960043</v>
      </c>
    </row>
    <row r="449" spans="1:13">
      <c r="A449" s="9">
        <v>2026</v>
      </c>
      <c r="B449" s="3">
        <v>4</v>
      </c>
      <c r="C449" s="3" t="s">
        <v>11</v>
      </c>
      <c r="D449" s="3" t="s">
        <v>8</v>
      </c>
      <c r="E449" s="3" t="s">
        <v>19</v>
      </c>
      <c r="F449" s="3" t="s">
        <v>21</v>
      </c>
      <c r="G449" s="3" t="str">
        <f t="shared" si="6"/>
        <v>028DEEP PURPLE</v>
      </c>
      <c r="H449" s="3">
        <v>16020</v>
      </c>
      <c r="I449" s="3">
        <v>4705</v>
      </c>
      <c r="J449" s="3">
        <v>4366</v>
      </c>
      <c r="K449" s="3">
        <v>2852.5250000000001</v>
      </c>
      <c r="L449" s="3">
        <v>20800</v>
      </c>
      <c r="M449" s="11">
        <f>+H449/K449</f>
        <v>5.6160769844260781</v>
      </c>
    </row>
    <row r="450" spans="1:13">
      <c r="A450" s="9">
        <v>2026</v>
      </c>
      <c r="B450" s="3">
        <v>5</v>
      </c>
      <c r="C450" s="3" t="s">
        <v>7</v>
      </c>
      <c r="D450" s="3" t="s">
        <v>8</v>
      </c>
      <c r="E450" s="3" t="s">
        <v>9</v>
      </c>
      <c r="F450" s="3" t="s">
        <v>10</v>
      </c>
      <c r="G450" s="3" t="str">
        <f t="shared" si="6"/>
        <v>026PURPLE BUBBLY</v>
      </c>
      <c r="H450" s="3">
        <v>0</v>
      </c>
      <c r="I450" s="3">
        <v>5238</v>
      </c>
      <c r="J450" s="3">
        <v>5594</v>
      </c>
      <c r="K450" s="3">
        <v>1755.4</v>
      </c>
      <c r="L450" s="4">
        <v>12800</v>
      </c>
      <c r="M450" s="11">
        <f>+H450/K450</f>
        <v>0</v>
      </c>
    </row>
    <row r="451" spans="1:13">
      <c r="A451" s="9">
        <v>2026</v>
      </c>
      <c r="B451" s="3">
        <v>5</v>
      </c>
      <c r="C451" s="3" t="s">
        <v>11</v>
      </c>
      <c r="D451" s="3" t="s">
        <v>8</v>
      </c>
      <c r="E451" s="3" t="s">
        <v>12</v>
      </c>
      <c r="F451" s="3" t="s">
        <v>13</v>
      </c>
      <c r="G451" s="3" t="str">
        <f t="shared" ref="G451:G514" si="7">+E451&amp;F451</f>
        <v>025PINK MONDIAL</v>
      </c>
      <c r="H451" s="3">
        <v>10400</v>
      </c>
      <c r="I451" s="3">
        <v>5676</v>
      </c>
      <c r="J451" s="3">
        <v>5676</v>
      </c>
      <c r="K451" s="3">
        <v>3071.9505625000002</v>
      </c>
      <c r="L451" s="4">
        <v>22400</v>
      </c>
      <c r="M451" s="11">
        <f>+H451/K451</f>
        <v>3.3854711488378646</v>
      </c>
    </row>
    <row r="452" spans="1:13">
      <c r="A452" s="9">
        <v>2026</v>
      </c>
      <c r="B452" s="3">
        <v>5</v>
      </c>
      <c r="C452" s="3" t="s">
        <v>11</v>
      </c>
      <c r="D452" s="3" t="s">
        <v>8</v>
      </c>
      <c r="E452" s="3" t="s">
        <v>9</v>
      </c>
      <c r="F452" s="3" t="s">
        <v>14</v>
      </c>
      <c r="G452" s="3" t="str">
        <f t="shared" si="7"/>
        <v>026LOLA</v>
      </c>
      <c r="H452" s="3">
        <v>7550</v>
      </c>
      <c r="I452" s="3">
        <v>9758</v>
      </c>
      <c r="J452" s="3">
        <v>10271</v>
      </c>
      <c r="K452" s="3">
        <v>1097.125</v>
      </c>
      <c r="L452" s="4">
        <v>8000</v>
      </c>
      <c r="M452" s="11">
        <f>+H452/K452</f>
        <v>6.8816224222399454</v>
      </c>
    </row>
    <row r="453" spans="1:13">
      <c r="A453" s="9">
        <v>2026</v>
      </c>
      <c r="B453" s="3">
        <v>5</v>
      </c>
      <c r="C453" s="3" t="s">
        <v>11</v>
      </c>
      <c r="D453" s="3" t="s">
        <v>8</v>
      </c>
      <c r="E453" s="3" t="s">
        <v>9</v>
      </c>
      <c r="F453" s="3" t="s">
        <v>15</v>
      </c>
      <c r="G453" s="3" t="str">
        <f t="shared" si="7"/>
        <v>026PALOMA</v>
      </c>
      <c r="H453" s="3">
        <v>11325</v>
      </c>
      <c r="I453" s="3">
        <v>13211</v>
      </c>
      <c r="J453" s="3">
        <v>13211</v>
      </c>
      <c r="K453" s="3">
        <v>2852.5250000000001</v>
      </c>
      <c r="L453" s="4">
        <v>20800</v>
      </c>
      <c r="M453" s="11">
        <f>+H453/K453</f>
        <v>3.970166782061507</v>
      </c>
    </row>
    <row r="454" spans="1:13">
      <c r="A454" s="9">
        <v>2026</v>
      </c>
      <c r="B454" s="3">
        <v>5</v>
      </c>
      <c r="C454" s="3" t="s">
        <v>11</v>
      </c>
      <c r="D454" s="3" t="s">
        <v>8</v>
      </c>
      <c r="E454" s="3" t="s">
        <v>16</v>
      </c>
      <c r="F454" s="3" t="s">
        <v>17</v>
      </c>
      <c r="G454" s="3" t="str">
        <f t="shared" si="7"/>
        <v>027SATISFACTION</v>
      </c>
      <c r="H454" s="3">
        <v>15390</v>
      </c>
      <c r="I454" s="3">
        <v>11414</v>
      </c>
      <c r="J454" s="3">
        <v>11414</v>
      </c>
      <c r="K454" s="3">
        <v>2633.1</v>
      </c>
      <c r="L454" s="4">
        <v>19200</v>
      </c>
      <c r="M454" s="11">
        <f>+H454/K454</f>
        <v>5.8448216930614105</v>
      </c>
    </row>
    <row r="455" spans="1:13">
      <c r="A455" s="9">
        <v>2026</v>
      </c>
      <c r="B455" s="3">
        <v>5</v>
      </c>
      <c r="C455" s="3" t="s">
        <v>11</v>
      </c>
      <c r="D455" s="3" t="s">
        <v>8</v>
      </c>
      <c r="E455" s="3" t="s">
        <v>16</v>
      </c>
      <c r="F455" s="3" t="s">
        <v>18</v>
      </c>
      <c r="G455" s="3" t="str">
        <f t="shared" si="7"/>
        <v>027TIFFANY!</v>
      </c>
      <c r="H455" s="3">
        <v>13200</v>
      </c>
      <c r="I455" s="3">
        <v>7533</v>
      </c>
      <c r="J455" s="3">
        <v>6848</v>
      </c>
      <c r="K455" s="3">
        <v>2633.1</v>
      </c>
      <c r="L455" s="4">
        <v>19200</v>
      </c>
      <c r="M455" s="11">
        <f>+H455/K455</f>
        <v>5.0131024267973112</v>
      </c>
    </row>
    <row r="456" spans="1:13">
      <c r="A456" s="9">
        <v>2026</v>
      </c>
      <c r="B456" s="3">
        <v>5</v>
      </c>
      <c r="C456" s="3" t="s">
        <v>11</v>
      </c>
      <c r="D456" s="3" t="s">
        <v>8</v>
      </c>
      <c r="E456" s="3" t="s">
        <v>19</v>
      </c>
      <c r="F456" s="3" t="s">
        <v>20</v>
      </c>
      <c r="G456" s="3" t="str">
        <f t="shared" si="7"/>
        <v>028COTOPAXI</v>
      </c>
      <c r="H456" s="3">
        <v>9120</v>
      </c>
      <c r="I456" s="3">
        <v>4410</v>
      </c>
      <c r="J456" s="3">
        <v>7081</v>
      </c>
      <c r="K456" s="3">
        <v>2852.5250000000001</v>
      </c>
      <c r="L456" s="4">
        <v>20800</v>
      </c>
      <c r="M456" s="11">
        <f>+H456/K456</f>
        <v>3.1971674218455579</v>
      </c>
    </row>
    <row r="457" spans="1:13">
      <c r="A457" s="9">
        <v>2026</v>
      </c>
      <c r="B457" s="3">
        <v>5</v>
      </c>
      <c r="C457" s="3" t="s">
        <v>11</v>
      </c>
      <c r="D457" s="3" t="s">
        <v>8</v>
      </c>
      <c r="E457" s="3" t="s">
        <v>19</v>
      </c>
      <c r="F457" s="3" t="s">
        <v>21</v>
      </c>
      <c r="G457" s="3" t="str">
        <f t="shared" si="7"/>
        <v>028DEEP PURPLE</v>
      </c>
      <c r="H457" s="3">
        <v>18480</v>
      </c>
      <c r="I457" s="3">
        <v>4527</v>
      </c>
      <c r="J457" s="3">
        <v>4316</v>
      </c>
      <c r="K457" s="3">
        <v>2852.5250000000001</v>
      </c>
      <c r="L457" s="4">
        <v>20800</v>
      </c>
      <c r="M457" s="11">
        <f>+H457/K457</f>
        <v>6.4784708284765253</v>
      </c>
    </row>
    <row r="458" spans="1:13">
      <c r="A458" s="9">
        <v>2026</v>
      </c>
      <c r="B458" s="3">
        <v>6</v>
      </c>
      <c r="C458" s="3" t="s">
        <v>7</v>
      </c>
      <c r="D458" s="3" t="s">
        <v>8</v>
      </c>
      <c r="E458" s="3" t="s">
        <v>9</v>
      </c>
      <c r="F458" s="3" t="s">
        <v>10</v>
      </c>
      <c r="G458" s="3" t="str">
        <f t="shared" si="7"/>
        <v>026PURPLE BUBBLY</v>
      </c>
      <c r="H458" s="3">
        <v>0</v>
      </c>
      <c r="I458" s="3">
        <v>4345</v>
      </c>
      <c r="J458" s="3">
        <v>4516</v>
      </c>
      <c r="K458" s="3">
        <v>1755.4</v>
      </c>
      <c r="L458" s="3">
        <v>12800</v>
      </c>
      <c r="M458" s="11">
        <f>+H458/K458</f>
        <v>0</v>
      </c>
    </row>
    <row r="459" spans="1:13">
      <c r="A459" s="9">
        <v>2026</v>
      </c>
      <c r="B459" s="3">
        <v>6</v>
      </c>
      <c r="C459" s="3" t="s">
        <v>11</v>
      </c>
      <c r="D459" s="3" t="s">
        <v>8</v>
      </c>
      <c r="E459" s="3" t="s">
        <v>12</v>
      </c>
      <c r="F459" s="3" t="s">
        <v>13</v>
      </c>
      <c r="G459" s="3" t="str">
        <f t="shared" si="7"/>
        <v>025PINK MONDIAL</v>
      </c>
      <c r="H459" s="3">
        <v>7900</v>
      </c>
      <c r="I459" s="3">
        <v>4639</v>
      </c>
      <c r="J459" s="3">
        <v>4639</v>
      </c>
      <c r="K459" s="3">
        <v>3071.9505625000002</v>
      </c>
      <c r="L459" s="3">
        <v>22400</v>
      </c>
      <c r="M459" s="11">
        <f>+H459/K459</f>
        <v>2.5716559688287624</v>
      </c>
    </row>
    <row r="460" spans="1:13">
      <c r="A460" s="9">
        <v>2026</v>
      </c>
      <c r="B460" s="3">
        <v>6</v>
      </c>
      <c r="C460" s="3" t="s">
        <v>11</v>
      </c>
      <c r="D460" s="3" t="s">
        <v>8</v>
      </c>
      <c r="E460" s="3" t="s">
        <v>9</v>
      </c>
      <c r="F460" s="3" t="s">
        <v>14</v>
      </c>
      <c r="G460" s="3" t="str">
        <f t="shared" si="7"/>
        <v>026LOLA</v>
      </c>
      <c r="H460" s="3">
        <v>3075</v>
      </c>
      <c r="I460" s="3">
        <v>2846</v>
      </c>
      <c r="J460" s="3">
        <v>6937</v>
      </c>
      <c r="K460" s="3">
        <v>1097.125</v>
      </c>
      <c r="L460" s="3">
        <v>8000</v>
      </c>
      <c r="M460" s="11">
        <f>+H460/K460</f>
        <v>2.8027799931639512</v>
      </c>
    </row>
    <row r="461" spans="1:13">
      <c r="A461" s="9">
        <v>2026</v>
      </c>
      <c r="B461" s="3">
        <v>6</v>
      </c>
      <c r="C461" s="3" t="s">
        <v>11</v>
      </c>
      <c r="D461" s="3" t="s">
        <v>8</v>
      </c>
      <c r="E461" s="3" t="s">
        <v>9</v>
      </c>
      <c r="F461" s="3" t="s">
        <v>15</v>
      </c>
      <c r="G461" s="3" t="str">
        <f t="shared" si="7"/>
        <v>026PALOMA</v>
      </c>
      <c r="H461" s="3">
        <v>2900</v>
      </c>
      <c r="I461" s="3">
        <v>2449</v>
      </c>
      <c r="J461" s="3">
        <v>2449</v>
      </c>
      <c r="K461" s="3">
        <v>2852.5250000000001</v>
      </c>
      <c r="L461" s="3">
        <v>20800</v>
      </c>
      <c r="M461" s="11">
        <f>+H461/K461</f>
        <v>1.0166431494903638</v>
      </c>
    </row>
    <row r="462" spans="1:13">
      <c r="A462" s="9">
        <v>2026</v>
      </c>
      <c r="B462" s="3">
        <v>6</v>
      </c>
      <c r="C462" s="3" t="s">
        <v>11</v>
      </c>
      <c r="D462" s="3" t="s">
        <v>8</v>
      </c>
      <c r="E462" s="3" t="s">
        <v>16</v>
      </c>
      <c r="F462" s="3" t="s">
        <v>17</v>
      </c>
      <c r="G462" s="3" t="str">
        <f t="shared" si="7"/>
        <v>027SATISFACTION</v>
      </c>
      <c r="H462" s="3">
        <v>7110</v>
      </c>
      <c r="I462" s="3">
        <v>2710</v>
      </c>
      <c r="J462" s="3">
        <v>7387</v>
      </c>
      <c r="K462" s="3">
        <v>2633.1</v>
      </c>
      <c r="L462" s="3">
        <v>19200</v>
      </c>
      <c r="M462" s="11">
        <f>+H462/K462</f>
        <v>2.7002392617067335</v>
      </c>
    </row>
    <row r="463" spans="1:13">
      <c r="A463" s="9">
        <v>2026</v>
      </c>
      <c r="B463" s="3">
        <v>6</v>
      </c>
      <c r="C463" s="3" t="s">
        <v>11</v>
      </c>
      <c r="D463" s="3" t="s">
        <v>8</v>
      </c>
      <c r="E463" s="3" t="s">
        <v>16</v>
      </c>
      <c r="F463" s="3" t="s">
        <v>18</v>
      </c>
      <c r="G463" s="3" t="str">
        <f t="shared" si="7"/>
        <v>027TIFFANY!</v>
      </c>
      <c r="H463" s="3">
        <v>6270</v>
      </c>
      <c r="I463" s="3">
        <v>1890</v>
      </c>
      <c r="J463" s="3">
        <v>2352</v>
      </c>
      <c r="K463" s="3">
        <v>2633.1</v>
      </c>
      <c r="L463" s="3">
        <v>19200</v>
      </c>
      <c r="M463" s="11">
        <f>+H463/K463</f>
        <v>2.3812236527287229</v>
      </c>
    </row>
    <row r="464" spans="1:13">
      <c r="A464" s="9">
        <v>2026</v>
      </c>
      <c r="B464" s="3">
        <v>6</v>
      </c>
      <c r="C464" s="3" t="s">
        <v>11</v>
      </c>
      <c r="D464" s="3" t="s">
        <v>8</v>
      </c>
      <c r="E464" s="3" t="s">
        <v>19</v>
      </c>
      <c r="F464" s="3" t="s">
        <v>20</v>
      </c>
      <c r="G464" s="3" t="str">
        <f t="shared" si="7"/>
        <v>028COTOPAXI</v>
      </c>
      <c r="H464" s="3">
        <v>5670</v>
      </c>
      <c r="I464" s="3">
        <v>1715</v>
      </c>
      <c r="J464" s="3">
        <v>2310</v>
      </c>
      <c r="K464" s="3">
        <v>2852.5250000000001</v>
      </c>
      <c r="L464" s="3">
        <v>20800</v>
      </c>
      <c r="M464" s="11">
        <f>+H464/K464</f>
        <v>1.9877126405552974</v>
      </c>
    </row>
    <row r="465" spans="1:13">
      <c r="A465" s="9">
        <v>2026</v>
      </c>
      <c r="B465" s="3">
        <v>6</v>
      </c>
      <c r="C465" s="3" t="s">
        <v>11</v>
      </c>
      <c r="D465" s="3" t="s">
        <v>8</v>
      </c>
      <c r="E465" s="3" t="s">
        <v>19</v>
      </c>
      <c r="F465" s="3" t="s">
        <v>21</v>
      </c>
      <c r="G465" s="3" t="str">
        <f t="shared" si="7"/>
        <v>028DEEP PURPLE</v>
      </c>
      <c r="H465" s="3">
        <v>8250</v>
      </c>
      <c r="I465" s="3">
        <v>2402</v>
      </c>
      <c r="J465" s="3">
        <v>1982</v>
      </c>
      <c r="K465" s="3">
        <v>2852.5250000000001</v>
      </c>
      <c r="L465" s="3">
        <v>20800</v>
      </c>
      <c r="M465" s="11">
        <f>+H465/K465</f>
        <v>2.8921744769984485</v>
      </c>
    </row>
    <row r="466" spans="1:13">
      <c r="A466" s="9">
        <v>2026</v>
      </c>
      <c r="B466" s="3">
        <v>7</v>
      </c>
      <c r="C466" s="3" t="s">
        <v>7</v>
      </c>
      <c r="D466" s="3" t="s">
        <v>8</v>
      </c>
      <c r="E466" s="3" t="s">
        <v>9</v>
      </c>
      <c r="F466" s="3" t="s">
        <v>10</v>
      </c>
      <c r="G466" s="3" t="str">
        <f t="shared" si="7"/>
        <v>026PURPLE BUBBLY</v>
      </c>
      <c r="H466" s="3">
        <v>0</v>
      </c>
      <c r="I466" s="3">
        <v>3276</v>
      </c>
      <c r="J466" s="3">
        <v>2867</v>
      </c>
      <c r="K466" s="3">
        <v>1755.4</v>
      </c>
      <c r="L466" s="3">
        <v>12800</v>
      </c>
      <c r="M466" s="11">
        <f>+H466/K466</f>
        <v>0</v>
      </c>
    </row>
    <row r="467" spans="1:13">
      <c r="A467" s="9">
        <v>2026</v>
      </c>
      <c r="B467" s="3">
        <v>7</v>
      </c>
      <c r="C467" s="3" t="s">
        <v>11</v>
      </c>
      <c r="D467" s="3" t="s">
        <v>8</v>
      </c>
      <c r="E467" s="3" t="s">
        <v>12</v>
      </c>
      <c r="F467" s="3" t="s">
        <v>13</v>
      </c>
      <c r="G467" s="3" t="str">
        <f t="shared" si="7"/>
        <v>025PINK MONDIAL</v>
      </c>
      <c r="H467" s="3">
        <v>6325</v>
      </c>
      <c r="I467" s="3">
        <v>4865</v>
      </c>
      <c r="J467" s="3">
        <v>3824</v>
      </c>
      <c r="K467" s="3">
        <v>3071.9505625000002</v>
      </c>
      <c r="L467" s="3">
        <v>22400</v>
      </c>
      <c r="M467" s="11">
        <f>+H467/K467</f>
        <v>2.0589524054230282</v>
      </c>
    </row>
    <row r="468" spans="1:13">
      <c r="A468" s="9">
        <v>2026</v>
      </c>
      <c r="B468" s="3">
        <v>7</v>
      </c>
      <c r="C468" s="3" t="s">
        <v>11</v>
      </c>
      <c r="D468" s="3" t="s">
        <v>8</v>
      </c>
      <c r="E468" s="3" t="s">
        <v>9</v>
      </c>
      <c r="F468" s="3" t="s">
        <v>14</v>
      </c>
      <c r="G468" s="3" t="str">
        <f t="shared" si="7"/>
        <v>026LOLA</v>
      </c>
      <c r="H468" s="3">
        <v>2375</v>
      </c>
      <c r="I468" s="3">
        <v>8346</v>
      </c>
      <c r="J468" s="3">
        <v>5325</v>
      </c>
      <c r="K468" s="3">
        <v>1097.125</v>
      </c>
      <c r="L468" s="3">
        <v>8000</v>
      </c>
      <c r="M468" s="11">
        <f>+H468/K468</f>
        <v>2.1647487752079297</v>
      </c>
    </row>
    <row r="469" spans="1:13">
      <c r="A469" s="9">
        <v>2026</v>
      </c>
      <c r="B469" s="3">
        <v>7</v>
      </c>
      <c r="C469" s="3" t="s">
        <v>11</v>
      </c>
      <c r="D469" s="3" t="s">
        <v>8</v>
      </c>
      <c r="E469" s="3" t="s">
        <v>9</v>
      </c>
      <c r="F469" s="3" t="s">
        <v>15</v>
      </c>
      <c r="G469" s="3" t="str">
        <f t="shared" si="7"/>
        <v>026PALOMA</v>
      </c>
      <c r="H469" s="3">
        <v>4475</v>
      </c>
      <c r="I469" s="3">
        <v>7397</v>
      </c>
      <c r="J469" s="3">
        <v>7686</v>
      </c>
      <c r="K469" s="3">
        <v>2852.5250000000001</v>
      </c>
      <c r="L469" s="3">
        <v>20800</v>
      </c>
      <c r="M469" s="11">
        <f>+H469/K469</f>
        <v>1.568785549644613</v>
      </c>
    </row>
    <row r="470" spans="1:13">
      <c r="A470" s="9">
        <v>2026</v>
      </c>
      <c r="B470" s="3">
        <v>7</v>
      </c>
      <c r="C470" s="3" t="s">
        <v>11</v>
      </c>
      <c r="D470" s="3" t="s">
        <v>8</v>
      </c>
      <c r="E470" s="3" t="s">
        <v>16</v>
      </c>
      <c r="F470" s="3" t="s">
        <v>17</v>
      </c>
      <c r="G470" s="3" t="str">
        <f t="shared" si="7"/>
        <v>027SATISFACTION</v>
      </c>
      <c r="H470" s="3">
        <v>6990</v>
      </c>
      <c r="I470" s="3">
        <v>5176</v>
      </c>
      <c r="J470" s="3">
        <v>7074</v>
      </c>
      <c r="K470" s="3">
        <v>2633.1</v>
      </c>
      <c r="L470" s="3">
        <v>19200</v>
      </c>
      <c r="M470" s="11">
        <f>+H470/K470</f>
        <v>2.6546656032813036</v>
      </c>
    </row>
    <row r="471" spans="1:13">
      <c r="A471" s="9">
        <v>2026</v>
      </c>
      <c r="B471" s="3">
        <v>7</v>
      </c>
      <c r="C471" s="3" t="s">
        <v>11</v>
      </c>
      <c r="D471" s="3" t="s">
        <v>8</v>
      </c>
      <c r="E471" s="3" t="s">
        <v>16</v>
      </c>
      <c r="F471" s="3" t="s">
        <v>18</v>
      </c>
      <c r="G471" s="3" t="str">
        <f t="shared" si="7"/>
        <v>027TIFFANY!</v>
      </c>
      <c r="H471" s="3">
        <v>7470</v>
      </c>
      <c r="I471" s="3">
        <v>5181</v>
      </c>
      <c r="J471" s="3">
        <v>4982</v>
      </c>
      <c r="K471" s="3">
        <v>2633.1</v>
      </c>
      <c r="L471" s="3">
        <v>19200</v>
      </c>
      <c r="M471" s="11">
        <f>+H471/K471</f>
        <v>2.8369602369830238</v>
      </c>
    </row>
    <row r="472" spans="1:13">
      <c r="A472" s="9">
        <v>2026</v>
      </c>
      <c r="B472" s="3">
        <v>7</v>
      </c>
      <c r="C472" s="3" t="s">
        <v>11</v>
      </c>
      <c r="D472" s="3" t="s">
        <v>8</v>
      </c>
      <c r="E472" s="3" t="s">
        <v>19</v>
      </c>
      <c r="F472" s="3" t="s">
        <v>20</v>
      </c>
      <c r="G472" s="3" t="str">
        <f t="shared" si="7"/>
        <v>028COTOPAXI</v>
      </c>
      <c r="H472" s="3">
        <v>5280</v>
      </c>
      <c r="I472" s="3">
        <v>5231</v>
      </c>
      <c r="J472" s="3">
        <v>5445</v>
      </c>
      <c r="K472" s="3">
        <v>2852.5250000000001</v>
      </c>
      <c r="L472" s="3">
        <v>20800</v>
      </c>
      <c r="M472" s="11">
        <f>+H472/K472</f>
        <v>1.850991665279007</v>
      </c>
    </row>
    <row r="473" spans="1:13">
      <c r="A473" s="9">
        <v>2026</v>
      </c>
      <c r="B473" s="3">
        <v>7</v>
      </c>
      <c r="C473" s="3" t="s">
        <v>11</v>
      </c>
      <c r="D473" s="3" t="s">
        <v>8</v>
      </c>
      <c r="E473" s="3" t="s">
        <v>19</v>
      </c>
      <c r="F473" s="3" t="s">
        <v>21</v>
      </c>
      <c r="G473" s="3" t="str">
        <f t="shared" si="7"/>
        <v>028DEEP PURPLE</v>
      </c>
      <c r="H473" s="3">
        <v>9480</v>
      </c>
      <c r="I473" s="3">
        <v>5398</v>
      </c>
      <c r="J473" s="3">
        <v>5393</v>
      </c>
      <c r="K473" s="3">
        <v>2852.5250000000001</v>
      </c>
      <c r="L473" s="3">
        <v>20800</v>
      </c>
      <c r="M473" s="11">
        <f>+H473/K473</f>
        <v>3.3233713990236717</v>
      </c>
    </row>
    <row r="474" spans="1:13">
      <c r="A474" s="9">
        <v>2026</v>
      </c>
      <c r="B474" s="3">
        <v>8</v>
      </c>
      <c r="C474" s="3" t="s">
        <v>7</v>
      </c>
      <c r="D474" s="3" t="s">
        <v>8</v>
      </c>
      <c r="E474" s="3" t="s">
        <v>9</v>
      </c>
      <c r="F474" s="3" t="s">
        <v>10</v>
      </c>
      <c r="G474" s="3" t="str">
        <f t="shared" si="7"/>
        <v>026PURPLE BUBBLY</v>
      </c>
      <c r="H474" s="3">
        <v>0</v>
      </c>
      <c r="I474" s="3">
        <v>4326</v>
      </c>
      <c r="J474" s="3">
        <v>5390</v>
      </c>
      <c r="K474" s="3">
        <v>1755.4</v>
      </c>
      <c r="L474" s="3">
        <v>12800</v>
      </c>
      <c r="M474" s="11">
        <f>+H474/K474</f>
        <v>0</v>
      </c>
    </row>
    <row r="475" spans="1:13">
      <c r="A475" s="9">
        <v>2026</v>
      </c>
      <c r="B475" s="3">
        <v>8</v>
      </c>
      <c r="C475" s="3" t="s">
        <v>11</v>
      </c>
      <c r="D475" s="3" t="s">
        <v>8</v>
      </c>
      <c r="E475" s="3" t="s">
        <v>12</v>
      </c>
      <c r="F475" s="3" t="s">
        <v>13</v>
      </c>
      <c r="G475" s="3" t="str">
        <f t="shared" si="7"/>
        <v>025PINK MONDIAL</v>
      </c>
      <c r="H475" s="3">
        <v>4550</v>
      </c>
      <c r="I475" s="3">
        <v>4301</v>
      </c>
      <c r="J475" s="3">
        <v>4863</v>
      </c>
      <c r="K475" s="3">
        <v>3071.9505625000002</v>
      </c>
      <c r="L475" s="3">
        <v>22400</v>
      </c>
      <c r="M475" s="11">
        <f>+H475/K475</f>
        <v>1.4811436276165657</v>
      </c>
    </row>
    <row r="476" spans="1:13">
      <c r="A476" s="9">
        <v>2026</v>
      </c>
      <c r="B476" s="3">
        <v>8</v>
      </c>
      <c r="C476" s="3" t="s">
        <v>11</v>
      </c>
      <c r="D476" s="3" t="s">
        <v>8</v>
      </c>
      <c r="E476" s="3" t="s">
        <v>9</v>
      </c>
      <c r="F476" s="3" t="s">
        <v>14</v>
      </c>
      <c r="G476" s="3" t="str">
        <f t="shared" si="7"/>
        <v>026LOLA</v>
      </c>
      <c r="H476" s="3">
        <v>3325</v>
      </c>
      <c r="I476" s="3">
        <v>4785</v>
      </c>
      <c r="J476" s="3">
        <v>4216</v>
      </c>
      <c r="K476" s="3">
        <v>1097.125</v>
      </c>
      <c r="L476" s="3">
        <v>8000</v>
      </c>
      <c r="M476" s="11">
        <f>+H476/K476</f>
        <v>3.0306482852911016</v>
      </c>
    </row>
    <row r="477" spans="1:13">
      <c r="A477" s="9">
        <v>2026</v>
      </c>
      <c r="B477" s="3">
        <v>8</v>
      </c>
      <c r="C477" s="3" t="s">
        <v>11</v>
      </c>
      <c r="D477" s="3" t="s">
        <v>8</v>
      </c>
      <c r="E477" s="3" t="s">
        <v>9</v>
      </c>
      <c r="F477" s="3" t="s">
        <v>15</v>
      </c>
      <c r="G477" s="3" t="str">
        <f t="shared" si="7"/>
        <v>026PALOMA</v>
      </c>
      <c r="H477" s="3">
        <v>4200</v>
      </c>
      <c r="I477" s="3">
        <v>4695</v>
      </c>
      <c r="J477" s="3">
        <v>4740</v>
      </c>
      <c r="K477" s="3">
        <v>2852.5250000000001</v>
      </c>
      <c r="L477" s="3">
        <v>20800</v>
      </c>
      <c r="M477" s="11">
        <f>+H477/K477</f>
        <v>1.4723797337446647</v>
      </c>
    </row>
    <row r="478" spans="1:13">
      <c r="A478" s="9">
        <v>2026</v>
      </c>
      <c r="B478" s="3">
        <v>8</v>
      </c>
      <c r="C478" s="3" t="s">
        <v>11</v>
      </c>
      <c r="D478" s="3" t="s">
        <v>8</v>
      </c>
      <c r="E478" s="3" t="s">
        <v>16</v>
      </c>
      <c r="F478" s="3" t="s">
        <v>17</v>
      </c>
      <c r="G478" s="3" t="str">
        <f t="shared" si="7"/>
        <v>027SATISFACTION</v>
      </c>
      <c r="H478" s="3">
        <v>5640</v>
      </c>
      <c r="I478" s="3">
        <v>4598</v>
      </c>
      <c r="J478" s="3">
        <v>4499</v>
      </c>
      <c r="K478" s="3">
        <v>2633.1</v>
      </c>
      <c r="L478" s="3">
        <v>19200</v>
      </c>
      <c r="M478" s="11">
        <f>+H478/K478</f>
        <v>2.1419619459952148</v>
      </c>
    </row>
    <row r="479" spans="1:13">
      <c r="A479" s="9">
        <v>2026</v>
      </c>
      <c r="B479" s="3">
        <v>8</v>
      </c>
      <c r="C479" s="3" t="s">
        <v>11</v>
      </c>
      <c r="D479" s="3" t="s">
        <v>8</v>
      </c>
      <c r="E479" s="3" t="s">
        <v>16</v>
      </c>
      <c r="F479" s="3" t="s">
        <v>18</v>
      </c>
      <c r="G479" s="3" t="str">
        <f t="shared" si="7"/>
        <v>027TIFFANY!</v>
      </c>
      <c r="H479" s="3">
        <v>5760</v>
      </c>
      <c r="I479" s="3">
        <v>2711</v>
      </c>
      <c r="J479" s="3">
        <v>4375</v>
      </c>
      <c r="K479" s="3">
        <v>2633.1</v>
      </c>
      <c r="L479" s="3">
        <v>19200</v>
      </c>
      <c r="M479" s="11">
        <f>+H479/K479</f>
        <v>2.1875356044206451</v>
      </c>
    </row>
    <row r="480" spans="1:13">
      <c r="A480" s="9">
        <v>2026</v>
      </c>
      <c r="B480" s="3">
        <v>8</v>
      </c>
      <c r="C480" s="3" t="s">
        <v>11</v>
      </c>
      <c r="D480" s="3" t="s">
        <v>8</v>
      </c>
      <c r="E480" s="3" t="s">
        <v>19</v>
      </c>
      <c r="F480" s="3" t="s">
        <v>20</v>
      </c>
      <c r="G480" s="3" t="str">
        <f t="shared" si="7"/>
        <v>028COTOPAXI</v>
      </c>
      <c r="H480" s="3">
        <v>4560</v>
      </c>
      <c r="I480" s="3">
        <v>3008</v>
      </c>
      <c r="J480" s="3">
        <v>2867</v>
      </c>
      <c r="K480" s="3">
        <v>2852.5250000000001</v>
      </c>
      <c r="L480" s="3">
        <v>20800</v>
      </c>
      <c r="M480" s="11">
        <f>+H480/K480</f>
        <v>1.598583710922779</v>
      </c>
    </row>
    <row r="481" spans="1:13">
      <c r="A481" s="9">
        <v>2026</v>
      </c>
      <c r="B481" s="3">
        <v>8</v>
      </c>
      <c r="C481" s="3" t="s">
        <v>11</v>
      </c>
      <c r="D481" s="3" t="s">
        <v>8</v>
      </c>
      <c r="E481" s="3" t="s">
        <v>19</v>
      </c>
      <c r="F481" s="3" t="s">
        <v>21</v>
      </c>
      <c r="G481" s="3" t="str">
        <f t="shared" si="7"/>
        <v>028DEEP PURPLE</v>
      </c>
      <c r="H481" s="3">
        <v>10110</v>
      </c>
      <c r="I481" s="3">
        <v>3203</v>
      </c>
      <c r="J481" s="3">
        <v>2788</v>
      </c>
      <c r="K481" s="3">
        <v>2852.5250000000001</v>
      </c>
      <c r="L481" s="3">
        <v>20800</v>
      </c>
      <c r="M481" s="11">
        <f>+H481/K481</f>
        <v>3.5442283590853716</v>
      </c>
    </row>
    <row r="482" spans="1:13">
      <c r="A482" s="9">
        <v>2026</v>
      </c>
      <c r="B482" s="3">
        <v>9</v>
      </c>
      <c r="C482" s="3" t="s">
        <v>7</v>
      </c>
      <c r="D482" s="3" t="s">
        <v>8</v>
      </c>
      <c r="E482" s="3" t="s">
        <v>9</v>
      </c>
      <c r="F482" s="3" t="s">
        <v>10</v>
      </c>
      <c r="G482" s="3" t="str">
        <f t="shared" si="7"/>
        <v>026PURPLE BUBBLY</v>
      </c>
      <c r="H482" s="3">
        <v>0</v>
      </c>
      <c r="I482" s="3">
        <v>4901</v>
      </c>
      <c r="J482" s="3">
        <v>3022</v>
      </c>
      <c r="K482" s="3">
        <v>1755.4</v>
      </c>
      <c r="L482" s="3">
        <v>12800</v>
      </c>
      <c r="M482" s="11">
        <f>+H482/K482</f>
        <v>0</v>
      </c>
    </row>
    <row r="483" spans="1:13">
      <c r="A483" s="9">
        <v>2026</v>
      </c>
      <c r="B483" s="3">
        <v>9</v>
      </c>
      <c r="C483" s="3" t="s">
        <v>11</v>
      </c>
      <c r="D483" s="3" t="s">
        <v>8</v>
      </c>
      <c r="E483" s="3" t="s">
        <v>12</v>
      </c>
      <c r="F483" s="3" t="s">
        <v>13</v>
      </c>
      <c r="G483" s="3" t="str">
        <f t="shared" si="7"/>
        <v>025PINK MONDIAL</v>
      </c>
      <c r="H483" s="3">
        <v>4950</v>
      </c>
      <c r="I483" s="3">
        <v>4351</v>
      </c>
      <c r="J483" s="3">
        <v>4160</v>
      </c>
      <c r="K483" s="3">
        <v>3071.9505625000002</v>
      </c>
      <c r="L483" s="3">
        <v>22400</v>
      </c>
      <c r="M483" s="11">
        <f>+H483/K483</f>
        <v>1.6113540564180222</v>
      </c>
    </row>
    <row r="484" spans="1:13">
      <c r="A484" s="9">
        <v>2026</v>
      </c>
      <c r="B484" s="3">
        <v>9</v>
      </c>
      <c r="C484" s="3" t="s">
        <v>11</v>
      </c>
      <c r="D484" s="3" t="s">
        <v>8</v>
      </c>
      <c r="E484" s="3" t="s">
        <v>9</v>
      </c>
      <c r="F484" s="3" t="s">
        <v>14</v>
      </c>
      <c r="G484" s="3" t="str">
        <f t="shared" si="7"/>
        <v>026LOLA</v>
      </c>
      <c r="H484" s="3">
        <v>3350</v>
      </c>
      <c r="I484" s="3">
        <v>4625</v>
      </c>
      <c r="J484" s="3">
        <v>3814</v>
      </c>
      <c r="K484" s="3">
        <v>1097.125</v>
      </c>
      <c r="L484" s="3">
        <v>8000</v>
      </c>
      <c r="M484" s="11">
        <f>+H484/K484</f>
        <v>3.053435114503817</v>
      </c>
    </row>
    <row r="485" spans="1:13">
      <c r="A485" s="9">
        <v>2026</v>
      </c>
      <c r="B485" s="3">
        <v>9</v>
      </c>
      <c r="C485" s="3" t="s">
        <v>11</v>
      </c>
      <c r="D485" s="3" t="s">
        <v>8</v>
      </c>
      <c r="E485" s="3" t="s">
        <v>9</v>
      </c>
      <c r="F485" s="3" t="s">
        <v>15</v>
      </c>
      <c r="G485" s="3" t="str">
        <f t="shared" si="7"/>
        <v>026PALOMA</v>
      </c>
      <c r="H485" s="3">
        <v>4075</v>
      </c>
      <c r="I485" s="3">
        <v>5888</v>
      </c>
      <c r="J485" s="3">
        <v>5174</v>
      </c>
      <c r="K485" s="3">
        <v>2852.5250000000001</v>
      </c>
      <c r="L485" s="3">
        <v>20800</v>
      </c>
      <c r="M485" s="11">
        <f>+H485/K485</f>
        <v>1.4285589083355974</v>
      </c>
    </row>
    <row r="486" spans="1:13">
      <c r="A486" s="9">
        <v>2026</v>
      </c>
      <c r="B486" s="3">
        <v>9</v>
      </c>
      <c r="C486" s="3" t="s">
        <v>11</v>
      </c>
      <c r="D486" s="3" t="s">
        <v>8</v>
      </c>
      <c r="E486" s="3" t="s">
        <v>16</v>
      </c>
      <c r="F486" s="3" t="s">
        <v>17</v>
      </c>
      <c r="G486" s="3" t="str">
        <f t="shared" si="7"/>
        <v>027SATISFACTION</v>
      </c>
      <c r="H486" s="3">
        <v>2730</v>
      </c>
      <c r="I486" s="3">
        <v>4406</v>
      </c>
      <c r="J486" s="3">
        <v>6287</v>
      </c>
      <c r="K486" s="3">
        <v>2633.1</v>
      </c>
      <c r="L486" s="3">
        <v>19200</v>
      </c>
      <c r="M486" s="11">
        <f>+H486/K486</f>
        <v>1.0368007291785348</v>
      </c>
    </row>
    <row r="487" spans="1:13">
      <c r="A487" s="9">
        <v>2026</v>
      </c>
      <c r="B487" s="3">
        <v>9</v>
      </c>
      <c r="C487" s="3" t="s">
        <v>11</v>
      </c>
      <c r="D487" s="3" t="s">
        <v>8</v>
      </c>
      <c r="E487" s="3" t="s">
        <v>16</v>
      </c>
      <c r="F487" s="3" t="s">
        <v>18</v>
      </c>
      <c r="G487" s="3" t="str">
        <f t="shared" si="7"/>
        <v>027TIFFANY!</v>
      </c>
      <c r="H487" s="3">
        <v>2700</v>
      </c>
      <c r="I487" s="3">
        <v>4028</v>
      </c>
      <c r="J487" s="3">
        <v>4190</v>
      </c>
      <c r="K487" s="3">
        <v>2633.1</v>
      </c>
      <c r="L487" s="3">
        <v>19200</v>
      </c>
      <c r="M487" s="11">
        <f>+H487/K487</f>
        <v>1.0254073145721774</v>
      </c>
    </row>
    <row r="488" spans="1:13">
      <c r="A488" s="9">
        <v>2026</v>
      </c>
      <c r="B488" s="3">
        <v>9</v>
      </c>
      <c r="C488" s="3" t="s">
        <v>11</v>
      </c>
      <c r="D488" s="3" t="s">
        <v>8</v>
      </c>
      <c r="E488" s="3" t="s">
        <v>19</v>
      </c>
      <c r="F488" s="3" t="s">
        <v>20</v>
      </c>
      <c r="G488" s="3" t="str">
        <f t="shared" si="7"/>
        <v>028COTOPAXI</v>
      </c>
      <c r="H488" s="3">
        <v>4650</v>
      </c>
      <c r="I488" s="3">
        <v>5275</v>
      </c>
      <c r="J488" s="3">
        <v>4156</v>
      </c>
      <c r="K488" s="3">
        <v>2852.5250000000001</v>
      </c>
      <c r="L488" s="3">
        <v>20800</v>
      </c>
      <c r="M488" s="11">
        <f>+H488/K488</f>
        <v>1.6301347052173074</v>
      </c>
    </row>
    <row r="489" spans="1:13">
      <c r="A489" s="9">
        <v>2026</v>
      </c>
      <c r="B489" s="3">
        <v>9</v>
      </c>
      <c r="C489" s="3" t="s">
        <v>11</v>
      </c>
      <c r="D489" s="3" t="s">
        <v>8</v>
      </c>
      <c r="E489" s="3" t="s">
        <v>19</v>
      </c>
      <c r="F489" s="3" t="s">
        <v>21</v>
      </c>
      <c r="G489" s="3" t="str">
        <f t="shared" si="7"/>
        <v>028DEEP PURPLE</v>
      </c>
      <c r="H489" s="3">
        <v>7230</v>
      </c>
      <c r="I489" s="3">
        <v>5819</v>
      </c>
      <c r="J489" s="3">
        <v>5527</v>
      </c>
      <c r="K489" s="3">
        <v>2852.5250000000001</v>
      </c>
      <c r="L489" s="3">
        <v>20800</v>
      </c>
      <c r="M489" s="11">
        <f>+H489/K489</f>
        <v>2.5345965416604588</v>
      </c>
    </row>
    <row r="490" spans="1:13">
      <c r="A490" s="9">
        <v>2026</v>
      </c>
      <c r="B490" s="5">
        <v>10</v>
      </c>
      <c r="C490" s="5" t="s">
        <v>7</v>
      </c>
      <c r="D490" s="5" t="s">
        <v>8</v>
      </c>
      <c r="E490" s="5" t="s">
        <v>9</v>
      </c>
      <c r="F490" s="5" t="s">
        <v>10</v>
      </c>
      <c r="G490" s="3" t="str">
        <f t="shared" si="7"/>
        <v>026PURPLE BUBBLY</v>
      </c>
      <c r="H490" s="6">
        <v>0</v>
      </c>
      <c r="I490" s="3">
        <v>7491</v>
      </c>
      <c r="J490" s="3">
        <v>7491</v>
      </c>
      <c r="K490" s="3">
        <v>1755.4</v>
      </c>
      <c r="L490" s="3">
        <v>12800</v>
      </c>
      <c r="M490" s="11">
        <f>+H490/K490</f>
        <v>0</v>
      </c>
    </row>
    <row r="491" spans="1:13">
      <c r="A491" s="9">
        <v>2026</v>
      </c>
      <c r="B491" s="5">
        <v>10</v>
      </c>
      <c r="C491" s="5" t="s">
        <v>11</v>
      </c>
      <c r="D491" s="5" t="s">
        <v>8</v>
      </c>
      <c r="E491" s="5" t="s">
        <v>12</v>
      </c>
      <c r="F491" s="5" t="s">
        <v>13</v>
      </c>
      <c r="G491" s="3" t="str">
        <f t="shared" si="7"/>
        <v>025PINK MONDIAL</v>
      </c>
      <c r="H491" s="6">
        <v>7525</v>
      </c>
      <c r="I491" s="3">
        <v>6030</v>
      </c>
      <c r="J491" s="3">
        <v>6030</v>
      </c>
      <c r="K491" s="3">
        <v>3071.9505625000002</v>
      </c>
      <c r="L491" s="3">
        <v>22400</v>
      </c>
      <c r="M491" s="11">
        <f>+H491/K491</f>
        <v>2.4495836918273972</v>
      </c>
    </row>
    <row r="492" spans="1:13">
      <c r="A492" s="9">
        <v>2026</v>
      </c>
      <c r="B492" s="5">
        <v>10</v>
      </c>
      <c r="C492" s="5" t="s">
        <v>11</v>
      </c>
      <c r="D492" s="5" t="s">
        <v>8</v>
      </c>
      <c r="E492" s="5" t="s">
        <v>9</v>
      </c>
      <c r="F492" s="5" t="s">
        <v>14</v>
      </c>
      <c r="G492" s="3" t="str">
        <f t="shared" si="7"/>
        <v>026LOLA</v>
      </c>
      <c r="H492" s="6">
        <v>6825</v>
      </c>
      <c r="I492" s="3">
        <v>9502</v>
      </c>
      <c r="J492" s="3">
        <v>9502</v>
      </c>
      <c r="K492" s="3">
        <v>1097.125</v>
      </c>
      <c r="L492" s="3">
        <v>8000</v>
      </c>
      <c r="M492" s="11">
        <f>+H492/K492</f>
        <v>6.220804375071209</v>
      </c>
    </row>
    <row r="493" spans="1:13">
      <c r="A493" s="9">
        <v>2026</v>
      </c>
      <c r="B493" s="5">
        <v>10</v>
      </c>
      <c r="C493" s="5" t="s">
        <v>11</v>
      </c>
      <c r="D493" s="5" t="s">
        <v>8</v>
      </c>
      <c r="E493" s="5" t="s">
        <v>9</v>
      </c>
      <c r="F493" s="5" t="s">
        <v>15</v>
      </c>
      <c r="G493" s="3" t="str">
        <f t="shared" si="7"/>
        <v>026PALOMA</v>
      </c>
      <c r="H493" s="6">
        <v>7875</v>
      </c>
      <c r="I493" s="3">
        <v>12374</v>
      </c>
      <c r="J493" s="3">
        <v>12374</v>
      </c>
      <c r="K493" s="3">
        <v>2852.5250000000001</v>
      </c>
      <c r="L493" s="3">
        <v>20800</v>
      </c>
      <c r="M493" s="11">
        <f>+H493/K493</f>
        <v>2.7607120007712465</v>
      </c>
    </row>
    <row r="494" spans="1:13">
      <c r="A494" s="9">
        <v>2026</v>
      </c>
      <c r="B494" s="5">
        <v>10</v>
      </c>
      <c r="C494" s="5" t="s">
        <v>11</v>
      </c>
      <c r="D494" s="5" t="s">
        <v>8</v>
      </c>
      <c r="E494" s="5" t="s">
        <v>16</v>
      </c>
      <c r="F494" s="5" t="s">
        <v>17</v>
      </c>
      <c r="G494" s="3" t="str">
        <f t="shared" si="7"/>
        <v>027SATISFACTION</v>
      </c>
      <c r="H494" s="6">
        <v>6300</v>
      </c>
      <c r="I494" s="3">
        <v>12773</v>
      </c>
      <c r="J494" s="3">
        <v>12773</v>
      </c>
      <c r="K494" s="3">
        <v>2633.1</v>
      </c>
      <c r="L494" s="3">
        <v>19200</v>
      </c>
      <c r="M494" s="11">
        <f>+H494/K494</f>
        <v>2.3926170673350806</v>
      </c>
    </row>
    <row r="495" spans="1:13">
      <c r="A495" s="9">
        <v>2026</v>
      </c>
      <c r="B495" s="5">
        <v>10</v>
      </c>
      <c r="C495" s="5" t="s">
        <v>11</v>
      </c>
      <c r="D495" s="5" t="s">
        <v>8</v>
      </c>
      <c r="E495" s="5" t="s">
        <v>16</v>
      </c>
      <c r="F495" s="3" t="s">
        <v>18</v>
      </c>
      <c r="G495" s="3" t="str">
        <f t="shared" si="7"/>
        <v>027TIFFANY!</v>
      </c>
      <c r="H495" s="6">
        <v>6600</v>
      </c>
      <c r="I495" s="3">
        <v>6943</v>
      </c>
      <c r="J495" s="3">
        <v>6943</v>
      </c>
      <c r="K495" s="3">
        <v>2633.1</v>
      </c>
      <c r="L495" s="3">
        <v>19200</v>
      </c>
      <c r="M495" s="11">
        <f>+H495/K495</f>
        <v>2.5065512133986556</v>
      </c>
    </row>
    <row r="496" spans="1:13">
      <c r="A496" s="9">
        <v>2026</v>
      </c>
      <c r="B496" s="5">
        <v>10</v>
      </c>
      <c r="C496" s="5" t="s">
        <v>11</v>
      </c>
      <c r="D496" s="5" t="s">
        <v>8</v>
      </c>
      <c r="E496" s="5" t="s">
        <v>19</v>
      </c>
      <c r="F496" s="5" t="s">
        <v>20</v>
      </c>
      <c r="G496" s="3" t="str">
        <f t="shared" si="7"/>
        <v>028COTOPAXI</v>
      </c>
      <c r="H496" s="6">
        <v>3300</v>
      </c>
      <c r="I496" s="3">
        <v>6399</v>
      </c>
      <c r="J496" s="3">
        <v>3888</v>
      </c>
      <c r="K496" s="3">
        <v>2852.5250000000001</v>
      </c>
      <c r="L496" s="3">
        <v>20800</v>
      </c>
      <c r="M496" s="11">
        <f>+H496/K496</f>
        <v>1.1568697907993795</v>
      </c>
    </row>
    <row r="497" spans="1:13">
      <c r="A497" s="9">
        <v>2026</v>
      </c>
      <c r="B497" s="5">
        <v>10</v>
      </c>
      <c r="C497" s="5" t="s">
        <v>11</v>
      </c>
      <c r="D497" s="5" t="s">
        <v>8</v>
      </c>
      <c r="E497" s="5" t="s">
        <v>19</v>
      </c>
      <c r="F497" s="5" t="s">
        <v>21</v>
      </c>
      <c r="G497" s="3" t="str">
        <f t="shared" si="7"/>
        <v>028DEEP PURPLE</v>
      </c>
      <c r="H497" s="6">
        <v>7980</v>
      </c>
      <c r="I497" s="3">
        <v>3893</v>
      </c>
      <c r="J497" s="3">
        <v>6044</v>
      </c>
      <c r="K497" s="3">
        <v>2852.5250000000001</v>
      </c>
      <c r="L497" s="3">
        <v>20800</v>
      </c>
      <c r="M497" s="11">
        <f>+H497/K497</f>
        <v>2.7975214941148629</v>
      </c>
    </row>
    <row r="498" spans="1:13">
      <c r="A498" s="9">
        <v>2026</v>
      </c>
      <c r="B498" s="5">
        <v>11</v>
      </c>
      <c r="C498" s="5" t="s">
        <v>7</v>
      </c>
      <c r="D498" s="5" t="s">
        <v>8</v>
      </c>
      <c r="E498" s="5" t="s">
        <v>9</v>
      </c>
      <c r="F498" s="5" t="s">
        <v>10</v>
      </c>
      <c r="G498" s="3" t="str">
        <f t="shared" si="7"/>
        <v>026PURPLE BUBBLY</v>
      </c>
      <c r="H498" s="6">
        <v>0</v>
      </c>
      <c r="I498" s="6">
        <v>3190</v>
      </c>
      <c r="J498" s="6">
        <v>3870</v>
      </c>
      <c r="K498" s="3">
        <v>1755.4</v>
      </c>
      <c r="L498" s="3">
        <v>12800</v>
      </c>
      <c r="M498" s="11">
        <f>+H498/K498</f>
        <v>0</v>
      </c>
    </row>
    <row r="499" spans="1:13">
      <c r="A499" s="9">
        <v>2026</v>
      </c>
      <c r="B499" s="5">
        <v>11</v>
      </c>
      <c r="C499" s="5" t="s">
        <v>11</v>
      </c>
      <c r="D499" s="5" t="s">
        <v>8</v>
      </c>
      <c r="E499" s="5" t="s">
        <v>12</v>
      </c>
      <c r="F499" s="5" t="s">
        <v>13</v>
      </c>
      <c r="G499" s="3" t="str">
        <f t="shared" si="7"/>
        <v>025PINK MONDIAL</v>
      </c>
      <c r="H499" s="6">
        <v>4425</v>
      </c>
      <c r="I499" s="6">
        <v>3537</v>
      </c>
      <c r="J499" s="6">
        <v>3624</v>
      </c>
      <c r="K499" s="3">
        <v>3071.9505625000002</v>
      </c>
      <c r="L499" s="3">
        <v>22400</v>
      </c>
      <c r="M499" s="11">
        <f>+H499/K499</f>
        <v>1.4404528686161107</v>
      </c>
    </row>
    <row r="500" spans="1:13">
      <c r="A500" s="9">
        <v>2026</v>
      </c>
      <c r="B500" s="5">
        <v>11</v>
      </c>
      <c r="C500" s="5" t="s">
        <v>11</v>
      </c>
      <c r="D500" s="5" t="s">
        <v>8</v>
      </c>
      <c r="E500" s="5" t="s">
        <v>9</v>
      </c>
      <c r="F500" s="5" t="s">
        <v>14</v>
      </c>
      <c r="G500" s="3" t="str">
        <f t="shared" si="7"/>
        <v>026LOLA</v>
      </c>
      <c r="H500" s="6">
        <v>4250</v>
      </c>
      <c r="I500" s="6">
        <v>4246</v>
      </c>
      <c r="J500" s="6">
        <v>4246</v>
      </c>
      <c r="K500" s="3">
        <v>1097.125</v>
      </c>
      <c r="L500" s="3">
        <v>8000</v>
      </c>
      <c r="M500" s="11">
        <f>+H500/K500</f>
        <v>3.8737609661615586</v>
      </c>
    </row>
    <row r="501" spans="1:13">
      <c r="A501" s="9">
        <v>2026</v>
      </c>
      <c r="B501" s="5">
        <v>11</v>
      </c>
      <c r="C501" s="5" t="s">
        <v>11</v>
      </c>
      <c r="D501" s="5" t="s">
        <v>8</v>
      </c>
      <c r="E501" s="5" t="s">
        <v>9</v>
      </c>
      <c r="F501" s="5" t="s">
        <v>15</v>
      </c>
      <c r="G501" s="3" t="str">
        <f t="shared" si="7"/>
        <v>026PALOMA</v>
      </c>
      <c r="H501" s="6">
        <v>4425</v>
      </c>
      <c r="I501" s="6">
        <v>4248</v>
      </c>
      <c r="J501" s="6">
        <v>4248</v>
      </c>
      <c r="K501" s="3">
        <v>2852.5250000000001</v>
      </c>
      <c r="L501" s="3">
        <v>20800</v>
      </c>
      <c r="M501" s="11">
        <f>+H501/K501</f>
        <v>1.5512572194809862</v>
      </c>
    </row>
    <row r="502" spans="1:13">
      <c r="A502" s="9">
        <v>2026</v>
      </c>
      <c r="B502" s="5">
        <v>11</v>
      </c>
      <c r="C502" s="5" t="s">
        <v>11</v>
      </c>
      <c r="D502" s="5" t="s">
        <v>8</v>
      </c>
      <c r="E502" s="5" t="s">
        <v>16</v>
      </c>
      <c r="F502" s="5" t="s">
        <v>17</v>
      </c>
      <c r="G502" s="3" t="str">
        <f t="shared" si="7"/>
        <v>027SATISFACTION</v>
      </c>
      <c r="H502" s="6">
        <v>4980</v>
      </c>
      <c r="I502" s="6">
        <v>4619</v>
      </c>
      <c r="J502" s="6">
        <v>4092</v>
      </c>
      <c r="K502" s="3">
        <v>2633.1</v>
      </c>
      <c r="L502" s="3">
        <v>19200</v>
      </c>
      <c r="M502" s="11">
        <f>+H502/K502</f>
        <v>1.8913068246553493</v>
      </c>
    </row>
    <row r="503" spans="1:13">
      <c r="A503" s="9">
        <v>2026</v>
      </c>
      <c r="B503" s="5">
        <v>11</v>
      </c>
      <c r="C503" s="5" t="s">
        <v>11</v>
      </c>
      <c r="D503" s="5" t="s">
        <v>8</v>
      </c>
      <c r="E503" s="5" t="s">
        <v>16</v>
      </c>
      <c r="F503" s="3" t="s">
        <v>18</v>
      </c>
      <c r="G503" s="3" t="str">
        <f t="shared" si="7"/>
        <v>027TIFFANY!</v>
      </c>
      <c r="H503" s="6">
        <v>4770</v>
      </c>
      <c r="I503" s="6">
        <v>4605</v>
      </c>
      <c r="J503" s="6">
        <v>5087</v>
      </c>
      <c r="K503" s="3">
        <v>2633.1</v>
      </c>
      <c r="L503" s="3">
        <v>19200</v>
      </c>
      <c r="M503" s="11">
        <f>+H503/K503</f>
        <v>1.8115529224108466</v>
      </c>
    </row>
    <row r="504" spans="1:13">
      <c r="A504" s="9">
        <v>2026</v>
      </c>
      <c r="B504" s="5">
        <v>11</v>
      </c>
      <c r="C504" s="5" t="s">
        <v>11</v>
      </c>
      <c r="D504" s="5" t="s">
        <v>8</v>
      </c>
      <c r="E504" s="5" t="s">
        <v>19</v>
      </c>
      <c r="F504" s="5" t="s">
        <v>20</v>
      </c>
      <c r="G504" s="3" t="str">
        <f t="shared" si="7"/>
        <v>028COTOPAXI</v>
      </c>
      <c r="H504" s="6">
        <v>6900</v>
      </c>
      <c r="I504" s="6">
        <v>9113</v>
      </c>
      <c r="J504" s="6">
        <v>9113</v>
      </c>
      <c r="K504" s="3">
        <v>2852.5250000000001</v>
      </c>
      <c r="L504" s="3">
        <v>20800</v>
      </c>
      <c r="M504" s="11">
        <f>+H504/K504</f>
        <v>2.4189095625805206</v>
      </c>
    </row>
    <row r="505" spans="1:13">
      <c r="A505" s="9">
        <v>2026</v>
      </c>
      <c r="B505" s="5">
        <v>11</v>
      </c>
      <c r="C505" s="5" t="s">
        <v>11</v>
      </c>
      <c r="D505" s="5" t="s">
        <v>8</v>
      </c>
      <c r="E505" s="5" t="s">
        <v>19</v>
      </c>
      <c r="F505" s="5" t="s">
        <v>21</v>
      </c>
      <c r="G505" s="3" t="str">
        <f t="shared" si="7"/>
        <v>028DEEP PURPLE</v>
      </c>
      <c r="H505" s="6">
        <v>5670</v>
      </c>
      <c r="I505" s="6">
        <v>12288</v>
      </c>
      <c r="J505" s="6">
        <v>12288</v>
      </c>
      <c r="K505" s="3">
        <v>2852.5250000000001</v>
      </c>
      <c r="L505" s="3">
        <v>20800</v>
      </c>
      <c r="M505" s="11">
        <f>+H505/K505</f>
        <v>1.9877126405552974</v>
      </c>
    </row>
    <row r="506" spans="1:13">
      <c r="A506" s="9">
        <v>2026</v>
      </c>
      <c r="B506" s="5">
        <v>12</v>
      </c>
      <c r="C506" s="5" t="s">
        <v>7</v>
      </c>
      <c r="D506" s="5" t="s">
        <v>8</v>
      </c>
      <c r="E506" s="5" t="s">
        <v>9</v>
      </c>
      <c r="F506" s="5" t="s">
        <v>10</v>
      </c>
      <c r="G506" s="3" t="str">
        <f t="shared" si="7"/>
        <v>026PURPLE BUBBLY</v>
      </c>
      <c r="H506" s="6">
        <v>0</v>
      </c>
      <c r="I506" s="6">
        <v>9450</v>
      </c>
      <c r="J506" s="6">
        <v>10878</v>
      </c>
      <c r="K506" s="3">
        <v>1755.4</v>
      </c>
      <c r="L506" s="3">
        <v>12800</v>
      </c>
      <c r="M506" s="11">
        <f>+H506/K506</f>
        <v>0</v>
      </c>
    </row>
    <row r="507" spans="1:13">
      <c r="A507" s="9">
        <v>2026</v>
      </c>
      <c r="B507" s="5">
        <v>12</v>
      </c>
      <c r="C507" s="5" t="s">
        <v>11</v>
      </c>
      <c r="D507" s="5" t="s">
        <v>8</v>
      </c>
      <c r="E507" s="5" t="s">
        <v>12</v>
      </c>
      <c r="F507" s="5" t="s">
        <v>13</v>
      </c>
      <c r="G507" s="3" t="str">
        <f t="shared" si="7"/>
        <v>025PINK MONDIAL</v>
      </c>
      <c r="H507" s="6">
        <v>4625</v>
      </c>
      <c r="I507" s="3">
        <v>7533</v>
      </c>
      <c r="J507" s="3">
        <v>6848</v>
      </c>
      <c r="K507" s="3">
        <v>3071.9505625000002</v>
      </c>
      <c r="L507" s="3">
        <v>22400</v>
      </c>
      <c r="M507" s="11">
        <f>+H507/K507</f>
        <v>1.5055580830168389</v>
      </c>
    </row>
    <row r="508" spans="1:13">
      <c r="A508" s="9">
        <v>2026</v>
      </c>
      <c r="B508" s="5">
        <v>12</v>
      </c>
      <c r="C508" s="5" t="s">
        <v>11</v>
      </c>
      <c r="D508" s="5" t="s">
        <v>8</v>
      </c>
      <c r="E508" s="5" t="s">
        <v>9</v>
      </c>
      <c r="F508" s="5" t="s">
        <v>14</v>
      </c>
      <c r="G508" s="3" t="str">
        <f t="shared" si="7"/>
        <v>026LOLA</v>
      </c>
      <c r="H508" s="6">
        <v>5525</v>
      </c>
      <c r="I508" s="3">
        <v>4410</v>
      </c>
      <c r="J508" s="3">
        <v>7081</v>
      </c>
      <c r="K508" s="3">
        <v>1097.125</v>
      </c>
      <c r="L508" s="3">
        <v>8000</v>
      </c>
      <c r="M508" s="11">
        <f>+H508/K508</f>
        <v>5.0358892560100266</v>
      </c>
    </row>
    <row r="509" spans="1:13">
      <c r="A509" s="9">
        <v>2026</v>
      </c>
      <c r="B509" s="5">
        <v>12</v>
      </c>
      <c r="C509" s="5" t="s">
        <v>11</v>
      </c>
      <c r="D509" s="5" t="s">
        <v>8</v>
      </c>
      <c r="E509" s="5" t="s">
        <v>9</v>
      </c>
      <c r="F509" s="5" t="s">
        <v>15</v>
      </c>
      <c r="G509" s="3" t="str">
        <f t="shared" si="7"/>
        <v>026PALOMA</v>
      </c>
      <c r="H509" s="6">
        <v>4750</v>
      </c>
      <c r="I509" s="3">
        <v>4527</v>
      </c>
      <c r="J509" s="3">
        <v>4316</v>
      </c>
      <c r="K509" s="3">
        <v>2852.5250000000001</v>
      </c>
      <c r="L509" s="3">
        <v>20800</v>
      </c>
      <c r="M509" s="11">
        <f>+H509/K509</f>
        <v>1.6651913655445614</v>
      </c>
    </row>
    <row r="510" spans="1:13">
      <c r="A510" s="9">
        <v>2026</v>
      </c>
      <c r="B510" s="5">
        <v>12</v>
      </c>
      <c r="C510" s="5" t="s">
        <v>11</v>
      </c>
      <c r="D510" s="5" t="s">
        <v>8</v>
      </c>
      <c r="E510" s="5" t="s">
        <v>16</v>
      </c>
      <c r="F510" s="5" t="s">
        <v>17</v>
      </c>
      <c r="G510" s="3" t="str">
        <f t="shared" si="7"/>
        <v>027SATISFACTION</v>
      </c>
      <c r="H510" s="6">
        <v>3720</v>
      </c>
      <c r="I510" s="3">
        <v>4345</v>
      </c>
      <c r="J510" s="3">
        <v>4516</v>
      </c>
      <c r="K510" s="3">
        <v>2633.1</v>
      </c>
      <c r="L510" s="3">
        <v>19200</v>
      </c>
      <c r="M510" s="11">
        <f>+H510/K510</f>
        <v>1.4127834111883333</v>
      </c>
    </row>
    <row r="511" spans="1:13">
      <c r="A511" s="9">
        <v>2026</v>
      </c>
      <c r="B511" s="5">
        <v>12</v>
      </c>
      <c r="C511" s="5" t="s">
        <v>11</v>
      </c>
      <c r="D511" s="5" t="s">
        <v>8</v>
      </c>
      <c r="E511" s="5" t="s">
        <v>16</v>
      </c>
      <c r="F511" s="3" t="s">
        <v>18</v>
      </c>
      <c r="G511" s="3" t="str">
        <f t="shared" si="7"/>
        <v>027TIFFANY!</v>
      </c>
      <c r="H511" s="6">
        <v>3420</v>
      </c>
      <c r="I511" s="3">
        <v>4865</v>
      </c>
      <c r="J511" s="3">
        <v>4698</v>
      </c>
      <c r="K511" s="3">
        <v>2633.1</v>
      </c>
      <c r="L511" s="3">
        <v>19200</v>
      </c>
      <c r="M511" s="11">
        <f>+H511/K511</f>
        <v>1.2988492651247578</v>
      </c>
    </row>
    <row r="512" spans="1:13">
      <c r="A512" s="9">
        <v>2026</v>
      </c>
      <c r="B512" s="5">
        <v>12</v>
      </c>
      <c r="C512" s="5" t="s">
        <v>11</v>
      </c>
      <c r="D512" s="5" t="s">
        <v>8</v>
      </c>
      <c r="E512" s="5" t="s">
        <v>19</v>
      </c>
      <c r="F512" s="5" t="s">
        <v>20</v>
      </c>
      <c r="G512" s="3" t="str">
        <f t="shared" si="7"/>
        <v>028COTOPAXI</v>
      </c>
      <c r="H512" s="6">
        <v>7500</v>
      </c>
      <c r="I512" s="3">
        <v>4348</v>
      </c>
      <c r="J512" s="3">
        <v>5086</v>
      </c>
      <c r="K512" s="3">
        <v>2852.5250000000001</v>
      </c>
      <c r="L512" s="3">
        <v>20800</v>
      </c>
      <c r="M512" s="11">
        <f>+H512/K512</f>
        <v>2.6292495245440444</v>
      </c>
    </row>
    <row r="513" spans="1:13">
      <c r="A513" s="9">
        <v>2026</v>
      </c>
      <c r="B513" s="5">
        <v>12</v>
      </c>
      <c r="C513" s="5" t="s">
        <v>11</v>
      </c>
      <c r="D513" s="5" t="s">
        <v>8</v>
      </c>
      <c r="E513" s="5" t="s">
        <v>19</v>
      </c>
      <c r="F513" s="5" t="s">
        <v>21</v>
      </c>
      <c r="G513" s="3" t="str">
        <f t="shared" si="7"/>
        <v>028DEEP PURPLE</v>
      </c>
      <c r="H513" s="6">
        <v>5670</v>
      </c>
      <c r="I513" s="3">
        <v>5970</v>
      </c>
      <c r="J513" s="3">
        <v>5285</v>
      </c>
      <c r="K513" s="3">
        <v>2852.5250000000001</v>
      </c>
      <c r="L513" s="3">
        <v>20800</v>
      </c>
      <c r="M513" s="11">
        <f>+H513/K513</f>
        <v>1.9877126405552974</v>
      </c>
    </row>
    <row r="514" spans="1:13">
      <c r="A514" s="9">
        <v>2026</v>
      </c>
      <c r="B514" s="5">
        <v>13</v>
      </c>
      <c r="C514" s="5" t="s">
        <v>7</v>
      </c>
      <c r="D514" s="5" t="s">
        <v>8</v>
      </c>
      <c r="E514" s="5" t="s">
        <v>9</v>
      </c>
      <c r="F514" s="5" t="s">
        <v>10</v>
      </c>
      <c r="G514" s="3" t="str">
        <f t="shared" si="7"/>
        <v>026PURPLE BUBBLY</v>
      </c>
      <c r="H514" s="6">
        <v>0</v>
      </c>
      <c r="I514" s="3">
        <v>9465</v>
      </c>
      <c r="J514" s="3">
        <v>9455</v>
      </c>
      <c r="K514" s="3">
        <v>1755.4</v>
      </c>
      <c r="L514" s="3">
        <v>12800</v>
      </c>
      <c r="M514" s="11">
        <f>+H514/K514</f>
        <v>0</v>
      </c>
    </row>
    <row r="515" spans="1:13">
      <c r="A515" s="9">
        <v>2026</v>
      </c>
      <c r="B515" s="5">
        <v>13</v>
      </c>
      <c r="C515" s="5" t="s">
        <v>11</v>
      </c>
      <c r="D515" s="5" t="s">
        <v>8</v>
      </c>
      <c r="E515" s="5" t="s">
        <v>12</v>
      </c>
      <c r="F515" s="5" t="s">
        <v>13</v>
      </c>
      <c r="G515" s="3" t="str">
        <f t="shared" ref="G515:G578" si="8">+E515&amp;F515</f>
        <v>025PINK MONDIAL</v>
      </c>
      <c r="H515" s="6">
        <v>5575</v>
      </c>
      <c r="I515" s="3">
        <v>13208</v>
      </c>
      <c r="J515" s="3">
        <v>11725</v>
      </c>
      <c r="K515" s="3">
        <v>3071.9505625000002</v>
      </c>
      <c r="L515" s="3">
        <v>22400</v>
      </c>
      <c r="M515" s="11">
        <f>+H515/K515</f>
        <v>1.8148078514202977</v>
      </c>
    </row>
    <row r="516" spans="1:13">
      <c r="A516" s="9">
        <v>2026</v>
      </c>
      <c r="B516" s="5">
        <v>13</v>
      </c>
      <c r="C516" s="5" t="s">
        <v>11</v>
      </c>
      <c r="D516" s="5" t="s">
        <v>8</v>
      </c>
      <c r="E516" s="5" t="s">
        <v>9</v>
      </c>
      <c r="F516" s="5" t="s">
        <v>14</v>
      </c>
      <c r="G516" s="3" t="str">
        <f t="shared" si="8"/>
        <v>026LOLA</v>
      </c>
      <c r="H516" s="6">
        <v>8750</v>
      </c>
      <c r="I516" s="3">
        <v>6342</v>
      </c>
      <c r="J516" s="3">
        <v>7046</v>
      </c>
      <c r="K516" s="3">
        <v>1097.125</v>
      </c>
      <c r="L516" s="3">
        <v>8000</v>
      </c>
      <c r="M516" s="11">
        <f>+H516/K516</f>
        <v>7.9753902244502681</v>
      </c>
    </row>
    <row r="517" spans="1:13">
      <c r="A517" s="9">
        <v>2026</v>
      </c>
      <c r="B517" s="5">
        <v>13</v>
      </c>
      <c r="C517" s="5" t="s">
        <v>11</v>
      </c>
      <c r="D517" s="5" t="s">
        <v>8</v>
      </c>
      <c r="E517" s="5" t="s">
        <v>9</v>
      </c>
      <c r="F517" s="5" t="s">
        <v>15</v>
      </c>
      <c r="G517" s="3" t="str">
        <f t="shared" si="8"/>
        <v>026PALOMA</v>
      </c>
      <c r="H517" s="6">
        <v>8550</v>
      </c>
      <c r="I517" s="3">
        <v>4150</v>
      </c>
      <c r="J517" s="3">
        <v>4122</v>
      </c>
      <c r="K517" s="3">
        <v>2852.5250000000001</v>
      </c>
      <c r="L517" s="3">
        <v>20800</v>
      </c>
      <c r="M517" s="11">
        <f>+H517/K517</f>
        <v>2.9973444579802102</v>
      </c>
    </row>
    <row r="518" spans="1:13">
      <c r="A518" s="9">
        <v>2026</v>
      </c>
      <c r="B518" s="5">
        <v>13</v>
      </c>
      <c r="C518" s="5" t="s">
        <v>11</v>
      </c>
      <c r="D518" s="5" t="s">
        <v>8</v>
      </c>
      <c r="E518" s="5" t="s">
        <v>16</v>
      </c>
      <c r="F518" s="5" t="s">
        <v>17</v>
      </c>
      <c r="G518" s="3" t="str">
        <f t="shared" si="8"/>
        <v>027SATISFACTION</v>
      </c>
      <c r="H518" s="6">
        <v>6570</v>
      </c>
      <c r="I518" s="3">
        <v>4388</v>
      </c>
      <c r="J518" s="3">
        <v>3968</v>
      </c>
      <c r="K518" s="3">
        <v>2633.1</v>
      </c>
      <c r="L518" s="3">
        <v>19200</v>
      </c>
      <c r="M518" s="11">
        <f>+H518/K518</f>
        <v>2.4951577987922979</v>
      </c>
    </row>
    <row r="519" spans="1:13">
      <c r="A519" s="9">
        <v>2026</v>
      </c>
      <c r="B519" s="5">
        <v>13</v>
      </c>
      <c r="C519" s="5" t="s">
        <v>11</v>
      </c>
      <c r="D519" s="5" t="s">
        <v>8</v>
      </c>
      <c r="E519" s="5" t="s">
        <v>16</v>
      </c>
      <c r="F519" s="3" t="s">
        <v>18</v>
      </c>
      <c r="G519" s="3" t="str">
        <f t="shared" si="8"/>
        <v>027TIFFANY!</v>
      </c>
      <c r="H519" s="6">
        <v>5790</v>
      </c>
      <c r="I519" s="3">
        <v>4511</v>
      </c>
      <c r="J519" s="3">
        <v>4126</v>
      </c>
      <c r="K519" s="3">
        <v>2633.1</v>
      </c>
      <c r="L519" s="3">
        <v>19200</v>
      </c>
      <c r="M519" s="11">
        <f>+H519/K519</f>
        <v>2.1989290190270023</v>
      </c>
    </row>
    <row r="520" spans="1:13">
      <c r="A520" s="9">
        <v>2026</v>
      </c>
      <c r="B520" s="5">
        <v>13</v>
      </c>
      <c r="C520" s="5" t="s">
        <v>11</v>
      </c>
      <c r="D520" s="5" t="s">
        <v>8</v>
      </c>
      <c r="E520" s="5" t="s">
        <v>19</v>
      </c>
      <c r="F520" s="5" t="s">
        <v>20</v>
      </c>
      <c r="G520" s="3" t="str">
        <f t="shared" si="8"/>
        <v>028COTOPAXI</v>
      </c>
      <c r="H520" s="6">
        <v>8700</v>
      </c>
      <c r="I520" s="3">
        <v>3882</v>
      </c>
      <c r="J520" s="3">
        <v>4308</v>
      </c>
      <c r="K520" s="3">
        <v>2852.5250000000001</v>
      </c>
      <c r="L520" s="3">
        <v>20800</v>
      </c>
      <c r="M520" s="11">
        <f>+H520/K520</f>
        <v>3.0499294484710915</v>
      </c>
    </row>
    <row r="521" spans="1:13">
      <c r="A521" s="9">
        <v>2026</v>
      </c>
      <c r="B521" s="5">
        <v>13</v>
      </c>
      <c r="C521" s="5" t="s">
        <v>11</v>
      </c>
      <c r="D521" s="5" t="s">
        <v>8</v>
      </c>
      <c r="E521" s="5" t="s">
        <v>19</v>
      </c>
      <c r="F521" s="5" t="s">
        <v>21</v>
      </c>
      <c r="G521" s="3" t="str">
        <f t="shared" si="8"/>
        <v>028DEEP PURPLE</v>
      </c>
      <c r="H521" s="6">
        <v>9570</v>
      </c>
      <c r="I521" s="3">
        <v>4120</v>
      </c>
      <c r="J521" s="3">
        <v>4112</v>
      </c>
      <c r="K521" s="3">
        <v>2852.5250000000001</v>
      </c>
      <c r="L521" s="3">
        <v>20800</v>
      </c>
      <c r="M521" s="11">
        <f>+H521/K521</f>
        <v>3.3549223933182004</v>
      </c>
    </row>
    <row r="522" spans="1:13">
      <c r="A522" s="9">
        <v>2026</v>
      </c>
      <c r="B522" s="5">
        <v>14</v>
      </c>
      <c r="C522" s="5" t="s">
        <v>11</v>
      </c>
      <c r="D522" s="5" t="s">
        <v>8</v>
      </c>
      <c r="E522" s="5" t="s">
        <v>12</v>
      </c>
      <c r="F522" s="5" t="s">
        <v>13</v>
      </c>
      <c r="G522" s="3" t="str">
        <f t="shared" si="8"/>
        <v>025PINK MONDIAL</v>
      </c>
      <c r="H522" s="6">
        <v>4075</v>
      </c>
      <c r="I522" s="3">
        <v>4455</v>
      </c>
      <c r="J522" s="3">
        <v>4300</v>
      </c>
      <c r="K522" s="3">
        <v>3071.9505624999979</v>
      </c>
      <c r="L522" s="3">
        <v>22400</v>
      </c>
      <c r="M522" s="11">
        <f>+H522/K522</f>
        <v>1.3265187434148373</v>
      </c>
    </row>
    <row r="523" spans="1:13">
      <c r="A523" s="9">
        <v>2026</v>
      </c>
      <c r="B523" s="5">
        <v>14</v>
      </c>
      <c r="C523" s="5" t="s">
        <v>11</v>
      </c>
      <c r="D523" s="5" t="s">
        <v>8</v>
      </c>
      <c r="E523" s="5" t="s">
        <v>9</v>
      </c>
      <c r="F523" s="5" t="s">
        <v>14</v>
      </c>
      <c r="G523" s="3" t="str">
        <f t="shared" si="8"/>
        <v>026LOLA</v>
      </c>
      <c r="H523" s="6">
        <v>6125</v>
      </c>
      <c r="I523" s="3">
        <v>4875</v>
      </c>
      <c r="J523" s="3">
        <v>4764</v>
      </c>
      <c r="K523" s="3">
        <v>2852.5249999999992</v>
      </c>
      <c r="L523" s="3">
        <v>20800</v>
      </c>
      <c r="M523" s="11">
        <f>+H523/K523</f>
        <v>2.1472204450443035</v>
      </c>
    </row>
    <row r="524" spans="1:13">
      <c r="A524" s="9">
        <v>2026</v>
      </c>
      <c r="B524" s="5">
        <v>14</v>
      </c>
      <c r="C524" s="5" t="s">
        <v>11</v>
      </c>
      <c r="D524" s="5" t="s">
        <v>8</v>
      </c>
      <c r="E524" s="5" t="s">
        <v>9</v>
      </c>
      <c r="F524" s="5" t="s">
        <v>15</v>
      </c>
      <c r="G524" s="3" t="str">
        <f t="shared" si="8"/>
        <v>026PALOMA</v>
      </c>
      <c r="H524" s="6">
        <v>4950</v>
      </c>
      <c r="I524" s="3">
        <v>5284</v>
      </c>
      <c r="J524" s="3">
        <v>5719</v>
      </c>
      <c r="K524" s="3">
        <v>2852.5249999999992</v>
      </c>
      <c r="L524" s="3">
        <v>20800</v>
      </c>
      <c r="M524" s="11">
        <f>+H524/K524</f>
        <v>1.7353046861990697</v>
      </c>
    </row>
    <row r="525" spans="1:13">
      <c r="A525" s="9">
        <v>2026</v>
      </c>
      <c r="B525" s="5">
        <v>14</v>
      </c>
      <c r="C525" s="5" t="s">
        <v>11</v>
      </c>
      <c r="D525" s="5" t="s">
        <v>8</v>
      </c>
      <c r="E525" s="5" t="s">
        <v>16</v>
      </c>
      <c r="F525" s="5" t="s">
        <v>17</v>
      </c>
      <c r="G525" s="3" t="str">
        <f t="shared" si="8"/>
        <v>027SATISFACTION</v>
      </c>
      <c r="H525" s="6">
        <v>4830</v>
      </c>
      <c r="I525" s="3">
        <v>6046</v>
      </c>
      <c r="J525" s="3">
        <v>6046</v>
      </c>
      <c r="K525" s="3">
        <v>2633.0999999999995</v>
      </c>
      <c r="L525" s="3">
        <v>19200</v>
      </c>
      <c r="M525" s="11">
        <f>+H525/K525</f>
        <v>1.834339751623562</v>
      </c>
    </row>
    <row r="526" spans="1:13">
      <c r="A526" s="9">
        <v>2026</v>
      </c>
      <c r="B526" s="5">
        <v>14</v>
      </c>
      <c r="C526" s="5" t="s">
        <v>11</v>
      </c>
      <c r="D526" s="5" t="s">
        <v>8</v>
      </c>
      <c r="E526" s="5" t="s">
        <v>16</v>
      </c>
      <c r="F526" s="3" t="s">
        <v>18</v>
      </c>
      <c r="G526" s="3" t="str">
        <f t="shared" si="8"/>
        <v>027TIFFANY!</v>
      </c>
      <c r="H526" s="6">
        <v>4350</v>
      </c>
      <c r="I526" s="3">
        <v>9714</v>
      </c>
      <c r="J526" s="3">
        <v>10225</v>
      </c>
      <c r="K526" s="3">
        <v>2633.0999999999995</v>
      </c>
      <c r="L526" s="3">
        <v>19200</v>
      </c>
      <c r="M526" s="11">
        <f>+H526/K526</f>
        <v>1.6520451179218416</v>
      </c>
    </row>
    <row r="527" spans="1:13">
      <c r="A527" s="9">
        <v>2026</v>
      </c>
      <c r="B527" s="5">
        <v>14</v>
      </c>
      <c r="C527" s="5" t="s">
        <v>11</v>
      </c>
      <c r="D527" s="5" t="s">
        <v>8</v>
      </c>
      <c r="E527" s="5" t="s">
        <v>19</v>
      </c>
      <c r="F527" s="5" t="s">
        <v>20</v>
      </c>
      <c r="G527" s="3" t="str">
        <f t="shared" si="8"/>
        <v>028COTOPAXI</v>
      </c>
      <c r="H527" s="6">
        <v>5340</v>
      </c>
      <c r="I527" s="3">
        <v>13423</v>
      </c>
      <c r="J527" s="3">
        <v>13423</v>
      </c>
      <c r="K527" s="3">
        <v>2852.5249999999987</v>
      </c>
      <c r="L527" s="3">
        <v>20800</v>
      </c>
      <c r="M527" s="11">
        <f>+H527/K527</f>
        <v>1.8720256614753603</v>
      </c>
    </row>
    <row r="528" spans="1:13">
      <c r="A528" s="9">
        <v>2026</v>
      </c>
      <c r="B528" s="5">
        <v>14</v>
      </c>
      <c r="C528" s="5" t="s">
        <v>11</v>
      </c>
      <c r="D528" s="5" t="s">
        <v>8</v>
      </c>
      <c r="E528" s="5" t="s">
        <v>19</v>
      </c>
      <c r="F528" s="5" t="s">
        <v>21</v>
      </c>
      <c r="G528" s="3" t="str">
        <f t="shared" si="8"/>
        <v>028DEEP PURPLE</v>
      </c>
      <c r="H528" s="6">
        <v>7080</v>
      </c>
      <c r="I528" s="3">
        <v>11304</v>
      </c>
      <c r="J528" s="3">
        <v>11304</v>
      </c>
      <c r="K528" s="3">
        <v>2852.5249999999987</v>
      </c>
      <c r="L528" s="3">
        <v>20800</v>
      </c>
      <c r="M528" s="11">
        <f>+H528/K528</f>
        <v>2.4820115511695788</v>
      </c>
    </row>
    <row r="529" spans="1:13">
      <c r="A529" s="9">
        <v>2026</v>
      </c>
      <c r="B529" s="5">
        <v>15</v>
      </c>
      <c r="C529" s="5" t="s">
        <v>11</v>
      </c>
      <c r="D529" s="5" t="s">
        <v>8</v>
      </c>
      <c r="E529" s="5" t="s">
        <v>12</v>
      </c>
      <c r="F529" s="5" t="s">
        <v>13</v>
      </c>
      <c r="G529" s="3" t="str">
        <f t="shared" si="8"/>
        <v>025PINK MONDIAL</v>
      </c>
      <c r="H529" s="6">
        <v>6525</v>
      </c>
      <c r="I529" s="3">
        <v>7461</v>
      </c>
      <c r="J529" s="3">
        <v>6783</v>
      </c>
      <c r="K529" s="3">
        <v>3071.9505624999979</v>
      </c>
      <c r="L529" s="3">
        <v>22400</v>
      </c>
      <c r="M529" s="11">
        <f>+H529/K529</f>
        <v>2.1240576198237582</v>
      </c>
    </row>
    <row r="530" spans="1:13">
      <c r="A530" s="9">
        <v>2026</v>
      </c>
      <c r="B530" s="5">
        <v>15</v>
      </c>
      <c r="C530" s="5" t="s">
        <v>11</v>
      </c>
      <c r="D530" s="5" t="s">
        <v>8</v>
      </c>
      <c r="E530" s="5" t="s">
        <v>9</v>
      </c>
      <c r="F530" s="5" t="s">
        <v>14</v>
      </c>
      <c r="G530" s="3" t="str">
        <f t="shared" si="8"/>
        <v>026LOLA</v>
      </c>
      <c r="H530" s="6">
        <v>9550</v>
      </c>
      <c r="I530" s="3">
        <v>4371</v>
      </c>
      <c r="J530" s="3">
        <v>7014</v>
      </c>
      <c r="K530" s="3">
        <v>2852.5249999999992</v>
      </c>
      <c r="L530" s="3">
        <v>20800</v>
      </c>
      <c r="M530" s="11">
        <f>+H530/K530</f>
        <v>3.3479110612527507</v>
      </c>
    </row>
    <row r="531" spans="1:13">
      <c r="A531" s="9">
        <v>2026</v>
      </c>
      <c r="B531" s="5">
        <v>15</v>
      </c>
      <c r="C531" s="5" t="s">
        <v>11</v>
      </c>
      <c r="D531" s="5" t="s">
        <v>8</v>
      </c>
      <c r="E531" s="5" t="s">
        <v>9</v>
      </c>
      <c r="F531" s="5" t="s">
        <v>15</v>
      </c>
      <c r="G531" s="3" t="str">
        <f t="shared" si="8"/>
        <v>026PALOMA</v>
      </c>
      <c r="H531" s="6">
        <v>11675</v>
      </c>
      <c r="I531" s="3">
        <v>4623</v>
      </c>
      <c r="J531" s="3">
        <v>4280</v>
      </c>
      <c r="K531" s="3">
        <v>2852.5249999999992</v>
      </c>
      <c r="L531" s="3">
        <v>20800</v>
      </c>
      <c r="M531" s="11">
        <f>+H531/K531</f>
        <v>4.0928650932068971</v>
      </c>
    </row>
    <row r="532" spans="1:13">
      <c r="A532" s="9">
        <v>2026</v>
      </c>
      <c r="B532" s="5">
        <v>15</v>
      </c>
      <c r="C532" s="5" t="s">
        <v>11</v>
      </c>
      <c r="D532" s="5" t="s">
        <v>8</v>
      </c>
      <c r="E532" s="5" t="s">
        <v>16</v>
      </c>
      <c r="F532" s="5" t="s">
        <v>17</v>
      </c>
      <c r="G532" s="3" t="str">
        <f t="shared" si="8"/>
        <v>027SATISFACTION</v>
      </c>
      <c r="H532" s="6">
        <v>6510</v>
      </c>
      <c r="I532" s="3">
        <v>4446</v>
      </c>
      <c r="J532" s="3">
        <v>4523</v>
      </c>
      <c r="K532" s="3">
        <v>2633.0999999999995</v>
      </c>
      <c r="L532" s="3">
        <v>19200</v>
      </c>
      <c r="M532" s="11">
        <f>+H532/K532</f>
        <v>2.4723709695795835</v>
      </c>
    </row>
    <row r="533" spans="1:13">
      <c r="A533" s="9">
        <v>2026</v>
      </c>
      <c r="B533" s="5">
        <v>15</v>
      </c>
      <c r="C533" s="5" t="s">
        <v>11</v>
      </c>
      <c r="D533" s="5" t="s">
        <v>8</v>
      </c>
      <c r="E533" s="5" t="s">
        <v>16</v>
      </c>
      <c r="F533" s="3" t="s">
        <v>18</v>
      </c>
      <c r="G533" s="3" t="str">
        <f t="shared" si="8"/>
        <v>027TIFFANY!</v>
      </c>
      <c r="H533" s="6">
        <v>5610</v>
      </c>
      <c r="I533" s="3">
        <v>4901</v>
      </c>
      <c r="J533" s="3">
        <v>4901</v>
      </c>
      <c r="K533" s="3">
        <v>2633.0999999999995</v>
      </c>
      <c r="L533" s="3">
        <v>19200</v>
      </c>
      <c r="M533" s="11">
        <f>+H533/K533</f>
        <v>2.1305685313888576</v>
      </c>
    </row>
    <row r="534" spans="1:13">
      <c r="A534" s="9">
        <v>2026</v>
      </c>
      <c r="B534" s="5">
        <v>15</v>
      </c>
      <c r="C534" s="5" t="s">
        <v>11</v>
      </c>
      <c r="D534" s="5" t="s">
        <v>8</v>
      </c>
      <c r="E534" s="5" t="s">
        <v>19</v>
      </c>
      <c r="F534" s="5" t="s">
        <v>20</v>
      </c>
      <c r="G534" s="3" t="str">
        <f t="shared" si="8"/>
        <v>028COTOPAXI</v>
      </c>
      <c r="H534" s="6">
        <v>6360</v>
      </c>
      <c r="I534" s="3">
        <v>3323</v>
      </c>
      <c r="J534" s="3">
        <v>7389</v>
      </c>
      <c r="K534" s="3">
        <v>2852.5249999999987</v>
      </c>
      <c r="L534" s="3">
        <v>20800</v>
      </c>
      <c r="M534" s="11">
        <f>+H534/K534</f>
        <v>2.2296035968133507</v>
      </c>
    </row>
    <row r="535" spans="1:13">
      <c r="A535" s="9">
        <v>2026</v>
      </c>
      <c r="B535" s="5">
        <v>15</v>
      </c>
      <c r="C535" s="5" t="s">
        <v>11</v>
      </c>
      <c r="D535" s="5" t="s">
        <v>8</v>
      </c>
      <c r="E535" s="5" t="s">
        <v>19</v>
      </c>
      <c r="F535" s="5" t="s">
        <v>21</v>
      </c>
      <c r="G535" s="3" t="str">
        <f t="shared" si="8"/>
        <v>028DEEP PURPLE</v>
      </c>
      <c r="H535" s="6">
        <v>11670</v>
      </c>
      <c r="I535" s="3">
        <v>3095</v>
      </c>
      <c r="J535" s="3">
        <v>3095</v>
      </c>
      <c r="K535" s="3">
        <v>2852.5249999999987</v>
      </c>
      <c r="L535" s="3">
        <v>20800</v>
      </c>
      <c r="M535" s="11">
        <f>+H535/K535</f>
        <v>4.0911122601905348</v>
      </c>
    </row>
    <row r="536" spans="1:13">
      <c r="A536" s="9">
        <v>2026</v>
      </c>
      <c r="B536" s="5">
        <v>16</v>
      </c>
      <c r="C536" s="5" t="s">
        <v>11</v>
      </c>
      <c r="D536" s="5" t="s">
        <v>8</v>
      </c>
      <c r="E536" s="5" t="s">
        <v>12</v>
      </c>
      <c r="F536" s="5" t="s">
        <v>13</v>
      </c>
      <c r="G536" s="3" t="str">
        <f t="shared" si="8"/>
        <v>025PINK MONDIAL</v>
      </c>
      <c r="H536" s="6">
        <v>8550</v>
      </c>
      <c r="I536" s="3">
        <v>3165</v>
      </c>
      <c r="J536" s="3">
        <v>7868</v>
      </c>
      <c r="K536" s="3">
        <v>3071.9505624999979</v>
      </c>
      <c r="L536" s="3">
        <v>22400</v>
      </c>
      <c r="M536" s="11">
        <f>+H536/K536</f>
        <v>2.7832479156311312</v>
      </c>
    </row>
    <row r="537" spans="1:13">
      <c r="A537" s="9">
        <v>2026</v>
      </c>
      <c r="B537" s="5">
        <v>16</v>
      </c>
      <c r="C537" s="5" t="s">
        <v>11</v>
      </c>
      <c r="D537" s="5" t="s">
        <v>8</v>
      </c>
      <c r="E537" s="5" t="s">
        <v>9</v>
      </c>
      <c r="F537" s="5" t="s">
        <v>14</v>
      </c>
      <c r="G537" s="3" t="str">
        <f t="shared" si="8"/>
        <v>026LOLA</v>
      </c>
      <c r="H537" s="6">
        <v>9425</v>
      </c>
      <c r="I537" s="3">
        <v>3150</v>
      </c>
      <c r="J537" s="3">
        <v>2948</v>
      </c>
      <c r="K537" s="3">
        <v>2852.5249999999992</v>
      </c>
      <c r="L537" s="3">
        <v>20800</v>
      </c>
      <c r="M537" s="11">
        <f>+H537/K537</f>
        <v>3.3040902358436832</v>
      </c>
    </row>
    <row r="538" spans="1:13">
      <c r="A538" s="9">
        <v>2026</v>
      </c>
      <c r="B538" s="5">
        <v>16</v>
      </c>
      <c r="C538" s="5" t="s">
        <v>11</v>
      </c>
      <c r="D538" s="5" t="s">
        <v>8</v>
      </c>
      <c r="E538" s="5" t="s">
        <v>9</v>
      </c>
      <c r="F538" s="5" t="s">
        <v>15</v>
      </c>
      <c r="G538" s="3" t="str">
        <f t="shared" si="8"/>
        <v>026PALOMA</v>
      </c>
      <c r="H538" s="6">
        <v>10775</v>
      </c>
      <c r="I538" s="3">
        <v>1886</v>
      </c>
      <c r="J538" s="3">
        <v>2940</v>
      </c>
      <c r="K538" s="3">
        <v>2852.5249999999992</v>
      </c>
      <c r="L538" s="3">
        <v>20800</v>
      </c>
      <c r="M538" s="11">
        <f>+H538/K538</f>
        <v>3.7773551502616116</v>
      </c>
    </row>
    <row r="539" spans="1:13">
      <c r="A539" s="9">
        <v>2026</v>
      </c>
      <c r="B539" s="5">
        <v>16</v>
      </c>
      <c r="C539" s="5" t="s">
        <v>11</v>
      </c>
      <c r="D539" s="5" t="s">
        <v>8</v>
      </c>
      <c r="E539" s="5" t="s">
        <v>16</v>
      </c>
      <c r="F539" s="5" t="s">
        <v>17</v>
      </c>
      <c r="G539" s="3" t="str">
        <f t="shared" si="8"/>
        <v>027SATISFACTION</v>
      </c>
      <c r="H539" s="6">
        <v>11070</v>
      </c>
      <c r="I539" s="3">
        <v>2314</v>
      </c>
      <c r="J539" s="3">
        <v>2100</v>
      </c>
      <c r="K539" s="3">
        <v>2633.0999999999995</v>
      </c>
      <c r="L539" s="3">
        <v>19200</v>
      </c>
      <c r="M539" s="11">
        <f>+H539/K539</f>
        <v>4.2041699897459281</v>
      </c>
    </row>
    <row r="540" spans="1:13">
      <c r="A540" s="9">
        <v>2026</v>
      </c>
      <c r="B540" s="5">
        <v>16</v>
      </c>
      <c r="C540" s="5" t="s">
        <v>11</v>
      </c>
      <c r="D540" s="5" t="s">
        <v>8</v>
      </c>
      <c r="E540" s="5" t="s">
        <v>16</v>
      </c>
      <c r="F540" s="3" t="s">
        <v>18</v>
      </c>
      <c r="G540" s="3" t="str">
        <f t="shared" si="8"/>
        <v>027TIFFANY!</v>
      </c>
      <c r="H540" s="6">
        <v>9330</v>
      </c>
      <c r="I540" s="3">
        <v>2954</v>
      </c>
      <c r="J540" s="3">
        <v>2793</v>
      </c>
      <c r="K540" s="3">
        <v>2633.0999999999995</v>
      </c>
      <c r="L540" s="3">
        <v>19200</v>
      </c>
      <c r="M540" s="11">
        <f>+H540/K540</f>
        <v>3.5433519425771913</v>
      </c>
    </row>
    <row r="541" spans="1:13">
      <c r="A541" s="9">
        <v>2026</v>
      </c>
      <c r="B541" s="5">
        <v>16</v>
      </c>
      <c r="C541" s="5" t="s">
        <v>11</v>
      </c>
      <c r="D541" s="5" t="s">
        <v>8</v>
      </c>
      <c r="E541" s="5" t="s">
        <v>19</v>
      </c>
      <c r="F541" s="5" t="s">
        <v>20</v>
      </c>
      <c r="G541" s="3" t="str">
        <f t="shared" si="8"/>
        <v>028COTOPAXI</v>
      </c>
      <c r="H541" s="6">
        <v>9840</v>
      </c>
      <c r="I541" s="3">
        <v>4427</v>
      </c>
      <c r="J541" s="3">
        <v>3637</v>
      </c>
      <c r="K541" s="3">
        <v>2852.5249999999987</v>
      </c>
      <c r="L541" s="3">
        <v>20800</v>
      </c>
      <c r="M541" s="11">
        <f>+H541/K541</f>
        <v>3.4495753762017878</v>
      </c>
    </row>
    <row r="542" spans="1:13">
      <c r="A542" s="9">
        <v>2026</v>
      </c>
      <c r="B542" s="5">
        <v>16</v>
      </c>
      <c r="C542" s="5" t="s">
        <v>11</v>
      </c>
      <c r="D542" s="5" t="s">
        <v>8</v>
      </c>
      <c r="E542" s="5" t="s">
        <v>19</v>
      </c>
      <c r="F542" s="5" t="s">
        <v>21</v>
      </c>
      <c r="G542" s="3" t="str">
        <f t="shared" si="8"/>
        <v>028DEEP PURPLE</v>
      </c>
      <c r="H542" s="6">
        <v>17640</v>
      </c>
      <c r="I542" s="3">
        <v>6870</v>
      </c>
      <c r="J542" s="3">
        <v>4706</v>
      </c>
      <c r="K542" s="3">
        <v>2852.5249999999987</v>
      </c>
      <c r="L542" s="3">
        <v>20800</v>
      </c>
      <c r="M542" s="11">
        <f>+H542/K542</f>
        <v>6.1839948817275951</v>
      </c>
    </row>
    <row r="543" spans="1:13">
      <c r="A543" s="9">
        <v>2026</v>
      </c>
      <c r="B543" s="5">
        <v>17</v>
      </c>
      <c r="C543" s="5" t="s">
        <v>11</v>
      </c>
      <c r="D543" s="5" t="s">
        <v>8</v>
      </c>
      <c r="E543" s="5" t="s">
        <v>12</v>
      </c>
      <c r="F543" s="5" t="s">
        <v>13</v>
      </c>
      <c r="G543" s="3" t="str">
        <f t="shared" si="8"/>
        <v>025PINK MONDIAL</v>
      </c>
      <c r="H543" s="6">
        <v>12150</v>
      </c>
      <c r="I543" s="3">
        <v>7200</v>
      </c>
      <c r="J543" s="3">
        <v>7357</v>
      </c>
      <c r="K543" s="3">
        <v>3071.9505624999979</v>
      </c>
      <c r="L543" s="3">
        <v>22400</v>
      </c>
      <c r="M543" s="11">
        <f>+H543/K543</f>
        <v>3.9551417748442388</v>
      </c>
    </row>
    <row r="544" spans="1:13">
      <c r="A544" s="9">
        <v>2026</v>
      </c>
      <c r="B544" s="5">
        <v>17</v>
      </c>
      <c r="C544" s="5" t="s">
        <v>11</v>
      </c>
      <c r="D544" s="5" t="s">
        <v>8</v>
      </c>
      <c r="E544" s="5" t="s">
        <v>9</v>
      </c>
      <c r="F544" s="5" t="s">
        <v>14</v>
      </c>
      <c r="G544" s="3" t="str">
        <f t="shared" si="8"/>
        <v>026LOLA</v>
      </c>
      <c r="H544" s="6">
        <v>5800</v>
      </c>
      <c r="I544" s="3">
        <v>5233</v>
      </c>
      <c r="J544" s="3">
        <v>6841</v>
      </c>
      <c r="K544" s="3">
        <v>2852.5249999999992</v>
      </c>
      <c r="L544" s="3">
        <v>20800</v>
      </c>
      <c r="M544" s="11">
        <f>+H544/K544</f>
        <v>2.0332862989807281</v>
      </c>
    </row>
    <row r="545" spans="1:13">
      <c r="A545" s="9">
        <v>2026</v>
      </c>
      <c r="B545" s="5">
        <v>17</v>
      </c>
      <c r="C545" s="5" t="s">
        <v>11</v>
      </c>
      <c r="D545" s="5" t="s">
        <v>8</v>
      </c>
      <c r="E545" s="5" t="s">
        <v>9</v>
      </c>
      <c r="F545" s="5" t="s">
        <v>15</v>
      </c>
      <c r="G545" s="3" t="str">
        <f t="shared" si="8"/>
        <v>026PALOMA</v>
      </c>
      <c r="H545" s="6">
        <v>7875</v>
      </c>
      <c r="I545" s="3">
        <v>5336</v>
      </c>
      <c r="J545" s="3">
        <v>5747</v>
      </c>
      <c r="K545" s="3">
        <v>2852.5249999999992</v>
      </c>
      <c r="L545" s="3">
        <v>20800</v>
      </c>
      <c r="M545" s="11">
        <f>+H545/K545</f>
        <v>2.7607120007712473</v>
      </c>
    </row>
    <row r="546" spans="1:13">
      <c r="A546" s="9">
        <v>2026</v>
      </c>
      <c r="B546" s="5">
        <v>17</v>
      </c>
      <c r="C546" s="5" t="s">
        <v>11</v>
      </c>
      <c r="D546" s="5" t="s">
        <v>8</v>
      </c>
      <c r="E546" s="5" t="s">
        <v>16</v>
      </c>
      <c r="F546" s="5" t="s">
        <v>17</v>
      </c>
      <c r="G546" s="3" t="str">
        <f t="shared" si="8"/>
        <v>027SATISFACTION</v>
      </c>
      <c r="H546" s="6">
        <v>13590</v>
      </c>
      <c r="I546" s="3">
        <v>5388</v>
      </c>
      <c r="J546" s="3">
        <v>5539</v>
      </c>
      <c r="K546" s="3">
        <v>2633.0999999999995</v>
      </c>
      <c r="L546" s="3">
        <v>19200</v>
      </c>
      <c r="M546" s="11">
        <f>+H546/K546</f>
        <v>5.1612168166799597</v>
      </c>
    </row>
    <row r="547" spans="1:13">
      <c r="A547" s="9">
        <v>2026</v>
      </c>
      <c r="B547" s="5">
        <v>17</v>
      </c>
      <c r="C547" s="5" t="s">
        <v>11</v>
      </c>
      <c r="D547" s="5" t="s">
        <v>8</v>
      </c>
      <c r="E547" s="5" t="s">
        <v>16</v>
      </c>
      <c r="F547" s="3" t="s">
        <v>18</v>
      </c>
      <c r="G547" s="3" t="str">
        <f t="shared" si="8"/>
        <v>027TIFFANY!</v>
      </c>
      <c r="H547" s="6">
        <v>11760</v>
      </c>
      <c r="I547" s="3">
        <v>5325</v>
      </c>
      <c r="J547" s="3">
        <v>5486</v>
      </c>
      <c r="K547" s="3">
        <v>2633.0999999999995</v>
      </c>
      <c r="L547" s="3">
        <v>19200</v>
      </c>
      <c r="M547" s="11">
        <f>+H547/K547</f>
        <v>4.4662185256921507</v>
      </c>
    </row>
    <row r="548" spans="1:13">
      <c r="A548" s="9">
        <v>2026</v>
      </c>
      <c r="B548" s="5">
        <v>17</v>
      </c>
      <c r="C548" s="5" t="s">
        <v>11</v>
      </c>
      <c r="D548" s="5" t="s">
        <v>8</v>
      </c>
      <c r="E548" s="5" t="s">
        <v>19</v>
      </c>
      <c r="F548" s="5" t="s">
        <v>20</v>
      </c>
      <c r="G548" s="3" t="str">
        <f t="shared" si="8"/>
        <v>028COTOPAXI</v>
      </c>
      <c r="H548" s="6">
        <v>12600</v>
      </c>
      <c r="I548" s="3">
        <v>4983</v>
      </c>
      <c r="J548" s="3">
        <v>5479</v>
      </c>
      <c r="K548" s="3">
        <v>2852.5249999999987</v>
      </c>
      <c r="L548" s="3">
        <v>20800</v>
      </c>
      <c r="M548" s="11">
        <f>+H548/K548</f>
        <v>4.4171392012339963</v>
      </c>
    </row>
    <row r="549" spans="1:13">
      <c r="A549" s="9">
        <v>2026</v>
      </c>
      <c r="B549" s="5">
        <v>17</v>
      </c>
      <c r="C549" s="5" t="s">
        <v>11</v>
      </c>
      <c r="D549" s="5" t="s">
        <v>8</v>
      </c>
      <c r="E549" s="5" t="s">
        <v>19</v>
      </c>
      <c r="F549" s="5" t="s">
        <v>21</v>
      </c>
      <c r="G549" s="3" t="str">
        <f t="shared" si="8"/>
        <v>028DEEP PURPLE</v>
      </c>
      <c r="H549" s="6">
        <v>17430</v>
      </c>
      <c r="I549" s="3">
        <v>4510</v>
      </c>
      <c r="J549" s="3">
        <v>5146</v>
      </c>
      <c r="K549" s="3">
        <v>2852.5249999999987</v>
      </c>
      <c r="L549" s="3">
        <v>20800</v>
      </c>
      <c r="M549" s="11">
        <f>+H549/K549</f>
        <v>6.1103758950403613</v>
      </c>
    </row>
    <row r="550" spans="1:13">
      <c r="A550" s="9">
        <v>2026</v>
      </c>
      <c r="B550" s="5">
        <v>18</v>
      </c>
      <c r="C550" s="5" t="s">
        <v>11</v>
      </c>
      <c r="D550" s="5" t="s">
        <v>8</v>
      </c>
      <c r="E550" s="5" t="s">
        <v>12</v>
      </c>
      <c r="F550" s="5" t="s">
        <v>13</v>
      </c>
      <c r="G550" s="3" t="str">
        <f t="shared" si="8"/>
        <v>025PINK MONDIAL</v>
      </c>
      <c r="H550" s="6">
        <v>9700</v>
      </c>
      <c r="I550" s="3">
        <v>5317</v>
      </c>
      <c r="J550" s="3">
        <v>4390</v>
      </c>
      <c r="K550" s="3">
        <v>3071.9505625000002</v>
      </c>
      <c r="L550" s="3">
        <v>22400</v>
      </c>
      <c r="M550" s="11">
        <f>+H550/K550</f>
        <v>3.1576028984353162</v>
      </c>
    </row>
    <row r="551" spans="1:13">
      <c r="A551" s="9">
        <v>2026</v>
      </c>
      <c r="B551" s="5">
        <v>18</v>
      </c>
      <c r="C551" s="5" t="s">
        <v>11</v>
      </c>
      <c r="D551" s="5" t="s">
        <v>8</v>
      </c>
      <c r="E551" s="5" t="s">
        <v>9</v>
      </c>
      <c r="F551" s="5" t="s">
        <v>14</v>
      </c>
      <c r="G551" s="3" t="str">
        <f t="shared" si="8"/>
        <v>026LOLA</v>
      </c>
      <c r="H551" s="6">
        <v>4900</v>
      </c>
      <c r="I551" s="3">
        <v>4736</v>
      </c>
      <c r="J551" s="3">
        <v>4908</v>
      </c>
      <c r="K551" s="3">
        <v>2852.5250000000001</v>
      </c>
      <c r="L551" s="3">
        <v>20800</v>
      </c>
      <c r="M551" s="11">
        <f>+H551/K551</f>
        <v>1.7177763560354422</v>
      </c>
    </row>
    <row r="552" spans="1:13">
      <c r="A552" s="9">
        <v>2026</v>
      </c>
      <c r="B552" s="5">
        <v>18</v>
      </c>
      <c r="C552" s="5" t="s">
        <v>11</v>
      </c>
      <c r="D552" s="5" t="s">
        <v>8</v>
      </c>
      <c r="E552" s="5" t="s">
        <v>9</v>
      </c>
      <c r="F552" s="5" t="s">
        <v>15</v>
      </c>
      <c r="G552" s="3" t="str">
        <f t="shared" si="8"/>
        <v>026PALOMA</v>
      </c>
      <c r="H552" s="6">
        <v>7075</v>
      </c>
      <c r="I552" s="3">
        <v>4681</v>
      </c>
      <c r="J552" s="3">
        <v>4686</v>
      </c>
      <c r="K552" s="3">
        <v>2852.5250000000001</v>
      </c>
      <c r="L552" s="3">
        <v>20800</v>
      </c>
      <c r="M552" s="11">
        <f>+H552/K552</f>
        <v>2.4802587181532152</v>
      </c>
    </row>
    <row r="553" spans="1:13">
      <c r="A553" s="9">
        <v>2026</v>
      </c>
      <c r="B553" s="5">
        <v>18</v>
      </c>
      <c r="C553" s="5" t="s">
        <v>11</v>
      </c>
      <c r="D553" s="5" t="s">
        <v>8</v>
      </c>
      <c r="E553" s="5" t="s">
        <v>16</v>
      </c>
      <c r="F553" s="5" t="s">
        <v>17</v>
      </c>
      <c r="G553" s="3" t="str">
        <f t="shared" si="8"/>
        <v>027SATISFACTION</v>
      </c>
      <c r="H553" s="6">
        <v>8550</v>
      </c>
      <c r="I553" s="3">
        <v>2959</v>
      </c>
      <c r="J553" s="3">
        <v>4380</v>
      </c>
      <c r="K553" s="3">
        <v>2633.1</v>
      </c>
      <c r="L553" s="3">
        <v>19200</v>
      </c>
      <c r="M553" s="11">
        <f>+H553/K553</f>
        <v>3.2471231628118948</v>
      </c>
    </row>
    <row r="554" spans="1:13">
      <c r="A554" s="9">
        <v>2026</v>
      </c>
      <c r="B554" s="5">
        <v>18</v>
      </c>
      <c r="C554" s="5" t="s">
        <v>11</v>
      </c>
      <c r="D554" s="5" t="s">
        <v>8</v>
      </c>
      <c r="E554" s="5" t="s">
        <v>16</v>
      </c>
      <c r="F554" s="3" t="s">
        <v>18</v>
      </c>
      <c r="G554" s="3" t="str">
        <f t="shared" si="8"/>
        <v>027TIFFANY!</v>
      </c>
      <c r="H554" s="6">
        <v>7860</v>
      </c>
      <c r="I554" s="3">
        <v>2930</v>
      </c>
      <c r="J554" s="3">
        <v>2774</v>
      </c>
      <c r="K554" s="3">
        <v>2633.1</v>
      </c>
      <c r="L554" s="3">
        <v>19200</v>
      </c>
      <c r="M554" s="11">
        <f>+H554/K554</f>
        <v>2.9850746268656718</v>
      </c>
    </row>
    <row r="555" spans="1:13">
      <c r="A555" s="9">
        <v>2026</v>
      </c>
      <c r="B555" s="5">
        <v>18</v>
      </c>
      <c r="C555" s="5" t="s">
        <v>11</v>
      </c>
      <c r="D555" s="5" t="s">
        <v>8</v>
      </c>
      <c r="E555" s="5" t="s">
        <v>19</v>
      </c>
      <c r="F555" s="5" t="s">
        <v>20</v>
      </c>
      <c r="G555" s="3" t="str">
        <f t="shared" si="8"/>
        <v>028COTOPAXI</v>
      </c>
      <c r="H555" s="6">
        <v>8430</v>
      </c>
      <c r="I555" s="3">
        <v>3357</v>
      </c>
      <c r="J555" s="3">
        <v>3031</v>
      </c>
      <c r="K555" s="3">
        <v>2852.5250000000001</v>
      </c>
      <c r="L555" s="3">
        <v>20800</v>
      </c>
      <c r="M555" s="11">
        <f>+H555/K555</f>
        <v>2.9552764655875059</v>
      </c>
    </row>
    <row r="556" spans="1:13">
      <c r="A556" s="9">
        <v>2026</v>
      </c>
      <c r="B556" s="5">
        <v>18</v>
      </c>
      <c r="C556" s="5" t="s">
        <v>11</v>
      </c>
      <c r="D556" s="5" t="s">
        <v>8</v>
      </c>
      <c r="E556" s="5" t="s">
        <v>19</v>
      </c>
      <c r="F556" s="5" t="s">
        <v>21</v>
      </c>
      <c r="G556" s="3" t="str">
        <f t="shared" si="8"/>
        <v>028DEEP PURPLE</v>
      </c>
      <c r="H556" s="6">
        <v>12330</v>
      </c>
      <c r="I556" s="3">
        <v>5247</v>
      </c>
      <c r="J556" s="3">
        <v>3135</v>
      </c>
      <c r="K556" s="3">
        <v>2852.5250000000001</v>
      </c>
      <c r="L556" s="3">
        <v>20800</v>
      </c>
      <c r="M556" s="11">
        <f>+H556/K556</f>
        <v>4.3224862183504085</v>
      </c>
    </row>
    <row r="557" spans="1:13">
      <c r="A557" s="9">
        <v>2026</v>
      </c>
      <c r="B557" s="5">
        <v>19</v>
      </c>
      <c r="C557" s="5" t="s">
        <v>11</v>
      </c>
      <c r="D557" s="5" t="s">
        <v>8</v>
      </c>
      <c r="E557" s="5" t="s">
        <v>12</v>
      </c>
      <c r="F557" s="5" t="s">
        <v>13</v>
      </c>
      <c r="G557" s="3" t="str">
        <f t="shared" si="8"/>
        <v>025PINK MONDIAL</v>
      </c>
      <c r="H557" s="6">
        <v>5400</v>
      </c>
      <c r="I557" s="3">
        <v>4273</v>
      </c>
      <c r="J557" s="3">
        <v>4252</v>
      </c>
      <c r="K557" s="3">
        <v>3071.9505625000002</v>
      </c>
      <c r="L557" s="3">
        <v>22400</v>
      </c>
      <c r="M557" s="11">
        <f>+H557/K557</f>
        <v>1.7578407888196605</v>
      </c>
    </row>
    <row r="558" spans="1:13">
      <c r="A558" s="9">
        <v>2026</v>
      </c>
      <c r="B558" s="5">
        <v>19</v>
      </c>
      <c r="C558" s="5" t="s">
        <v>11</v>
      </c>
      <c r="D558" s="5" t="s">
        <v>8</v>
      </c>
      <c r="E558" s="5" t="s">
        <v>9</v>
      </c>
      <c r="F558" s="5" t="s">
        <v>14</v>
      </c>
      <c r="G558" s="3" t="str">
        <f t="shared" si="8"/>
        <v>026LOLA</v>
      </c>
      <c r="H558" s="6">
        <v>3150</v>
      </c>
      <c r="I558" s="3">
        <v>4796</v>
      </c>
      <c r="J558" s="3">
        <v>3948</v>
      </c>
      <c r="K558" s="3">
        <v>2852.5250000000001</v>
      </c>
      <c r="L558" s="3">
        <v>20800</v>
      </c>
      <c r="M558" s="11">
        <f>+H558/K558</f>
        <v>1.1042848003084986</v>
      </c>
    </row>
    <row r="559" spans="1:13">
      <c r="A559" s="9">
        <v>2026</v>
      </c>
      <c r="B559" s="5">
        <v>19</v>
      </c>
      <c r="C559" s="5" t="s">
        <v>11</v>
      </c>
      <c r="D559" s="5" t="s">
        <v>8</v>
      </c>
      <c r="E559" s="5" t="s">
        <v>9</v>
      </c>
      <c r="F559" s="5" t="s">
        <v>15</v>
      </c>
      <c r="G559" s="3" t="str">
        <f t="shared" si="8"/>
        <v>026PALOMA</v>
      </c>
      <c r="H559" s="6">
        <v>4200</v>
      </c>
      <c r="I559" s="3">
        <v>5777</v>
      </c>
      <c r="J559" s="3">
        <v>5210</v>
      </c>
      <c r="K559" s="3">
        <v>2852.5250000000001</v>
      </c>
      <c r="L559" s="3">
        <v>20800</v>
      </c>
      <c r="M559" s="11">
        <f>+H559/K559</f>
        <v>1.4723797337446647</v>
      </c>
    </row>
    <row r="560" spans="1:13">
      <c r="A560" s="9">
        <v>2026</v>
      </c>
      <c r="B560" s="5">
        <v>19</v>
      </c>
      <c r="C560" s="5" t="s">
        <v>11</v>
      </c>
      <c r="D560" s="5" t="s">
        <v>8</v>
      </c>
      <c r="E560" s="5" t="s">
        <v>16</v>
      </c>
      <c r="F560" s="5" t="s">
        <v>17</v>
      </c>
      <c r="G560" s="3" t="str">
        <f t="shared" si="8"/>
        <v>027SATISFACTION</v>
      </c>
      <c r="H560" s="6">
        <v>6690</v>
      </c>
      <c r="I560" s="3">
        <v>4070</v>
      </c>
      <c r="J560" s="3">
        <v>6123</v>
      </c>
      <c r="K560" s="3">
        <v>2633.1</v>
      </c>
      <c r="L560" s="3">
        <v>19200</v>
      </c>
      <c r="M560" s="11">
        <f>+H560/K560</f>
        <v>2.5407314572177282</v>
      </c>
    </row>
    <row r="561" spans="1:13">
      <c r="A561" s="9">
        <v>2026</v>
      </c>
      <c r="B561" s="5">
        <v>19</v>
      </c>
      <c r="C561" s="5" t="s">
        <v>11</v>
      </c>
      <c r="D561" s="5" t="s">
        <v>8</v>
      </c>
      <c r="E561" s="5" t="s">
        <v>16</v>
      </c>
      <c r="F561" s="3" t="s">
        <v>18</v>
      </c>
      <c r="G561" s="3" t="str">
        <f t="shared" si="8"/>
        <v>027TIFFANY!</v>
      </c>
      <c r="H561" s="6">
        <v>7950</v>
      </c>
      <c r="I561" s="3">
        <v>3997</v>
      </c>
      <c r="J561" s="3">
        <v>3870</v>
      </c>
      <c r="K561" s="3">
        <v>2633.1</v>
      </c>
      <c r="L561" s="3">
        <v>19200</v>
      </c>
      <c r="M561" s="11">
        <f>+H561/K561</f>
        <v>3.0192548706847444</v>
      </c>
    </row>
    <row r="562" spans="1:13">
      <c r="A562" s="9">
        <v>2026</v>
      </c>
      <c r="B562" s="5">
        <v>19</v>
      </c>
      <c r="C562" s="5" t="s">
        <v>11</v>
      </c>
      <c r="D562" s="5" t="s">
        <v>8</v>
      </c>
      <c r="E562" s="5" t="s">
        <v>19</v>
      </c>
      <c r="F562" s="5" t="s">
        <v>20</v>
      </c>
      <c r="G562" s="3" t="str">
        <f t="shared" si="8"/>
        <v>028COTOPAXI</v>
      </c>
      <c r="H562" s="6">
        <v>5070</v>
      </c>
      <c r="I562" s="3">
        <v>5111</v>
      </c>
      <c r="J562" s="3">
        <v>4124</v>
      </c>
      <c r="K562" s="3">
        <v>2852.5250000000001</v>
      </c>
      <c r="L562" s="3">
        <v>20800</v>
      </c>
      <c r="M562" s="11">
        <f>+H562/K562</f>
        <v>1.7773726785917738</v>
      </c>
    </row>
    <row r="563" spans="1:13">
      <c r="A563" s="9">
        <v>2026</v>
      </c>
      <c r="B563" s="5">
        <v>19</v>
      </c>
      <c r="C563" s="5" t="s">
        <v>11</v>
      </c>
      <c r="D563" s="5" t="s">
        <v>8</v>
      </c>
      <c r="E563" s="5" t="s">
        <v>19</v>
      </c>
      <c r="F563" s="5" t="s">
        <v>21</v>
      </c>
      <c r="G563" s="3" t="str">
        <f t="shared" si="8"/>
        <v>028DEEP PURPLE</v>
      </c>
      <c r="H563" s="6">
        <v>7920</v>
      </c>
      <c r="I563" s="3">
        <v>6056</v>
      </c>
      <c r="J563" s="3">
        <v>5414</v>
      </c>
      <c r="K563" s="3">
        <v>2852.5250000000001</v>
      </c>
      <c r="L563" s="3">
        <v>20800</v>
      </c>
      <c r="M563" s="11">
        <f>+H563/K563</f>
        <v>2.7764874979185108</v>
      </c>
    </row>
    <row r="564" spans="1:13">
      <c r="A564" s="9">
        <v>2026</v>
      </c>
      <c r="B564" s="5">
        <v>20</v>
      </c>
      <c r="C564" s="5" t="s">
        <v>11</v>
      </c>
      <c r="D564" s="5" t="s">
        <v>8</v>
      </c>
      <c r="E564" s="5" t="s">
        <v>12</v>
      </c>
      <c r="F564" s="5" t="s">
        <v>13</v>
      </c>
      <c r="G564" s="3" t="str">
        <f t="shared" si="8"/>
        <v>025PINK MONDIAL</v>
      </c>
      <c r="H564" s="6">
        <v>6025</v>
      </c>
      <c r="I564" s="3">
        <v>7453</v>
      </c>
      <c r="J564" s="3">
        <v>7453</v>
      </c>
      <c r="K564" s="3">
        <v>3071.9505625000002</v>
      </c>
      <c r="L564" s="3">
        <v>22400</v>
      </c>
      <c r="M564" s="11">
        <f>+H564/K564</f>
        <v>1.961294583821936</v>
      </c>
    </row>
    <row r="565" spans="1:13">
      <c r="A565" s="9">
        <v>2026</v>
      </c>
      <c r="B565" s="5">
        <v>20</v>
      </c>
      <c r="C565" s="5" t="s">
        <v>11</v>
      </c>
      <c r="D565" s="5" t="s">
        <v>8</v>
      </c>
      <c r="E565" s="5" t="s">
        <v>9</v>
      </c>
      <c r="F565" s="5" t="s">
        <v>14</v>
      </c>
      <c r="G565" s="3" t="str">
        <f t="shared" si="8"/>
        <v>026LOLA</v>
      </c>
      <c r="H565" s="6">
        <v>3075</v>
      </c>
      <c r="I565" s="3">
        <v>6027</v>
      </c>
      <c r="J565" s="3">
        <v>6027</v>
      </c>
      <c r="K565" s="3">
        <v>2852.5250000000001</v>
      </c>
      <c r="L565" s="3">
        <v>20800</v>
      </c>
      <c r="M565" s="11">
        <f>+H565/K565</f>
        <v>1.0779923050630582</v>
      </c>
    </row>
    <row r="566" spans="1:13">
      <c r="A566" s="9">
        <v>2026</v>
      </c>
      <c r="B566" s="5">
        <v>20</v>
      </c>
      <c r="C566" s="5" t="s">
        <v>11</v>
      </c>
      <c r="D566" s="5" t="s">
        <v>8</v>
      </c>
      <c r="E566" s="5" t="s">
        <v>9</v>
      </c>
      <c r="F566" s="5" t="s">
        <v>15</v>
      </c>
      <c r="G566" s="3" t="str">
        <f t="shared" si="8"/>
        <v>026PALOMA</v>
      </c>
      <c r="H566" s="6">
        <v>4125</v>
      </c>
      <c r="I566" s="3">
        <v>9677</v>
      </c>
      <c r="J566" s="3">
        <v>9677</v>
      </c>
      <c r="K566" s="3">
        <v>2852.5250000000001</v>
      </c>
      <c r="L566" s="3">
        <v>20800</v>
      </c>
      <c r="M566" s="11">
        <f>+H566/K566</f>
        <v>1.4460872384992243</v>
      </c>
    </row>
    <row r="567" spans="1:13">
      <c r="A567" s="9">
        <v>2026</v>
      </c>
      <c r="B567" s="5">
        <v>20</v>
      </c>
      <c r="C567" s="5" t="s">
        <v>11</v>
      </c>
      <c r="D567" s="5" t="s">
        <v>8</v>
      </c>
      <c r="E567" s="5" t="s">
        <v>16</v>
      </c>
      <c r="F567" s="5" t="s">
        <v>17</v>
      </c>
      <c r="G567" s="3" t="str">
        <f t="shared" si="8"/>
        <v>027SATISFACTION</v>
      </c>
      <c r="H567" s="6">
        <v>4440</v>
      </c>
      <c r="I567" s="3">
        <v>12665</v>
      </c>
      <c r="J567" s="3">
        <v>12665</v>
      </c>
      <c r="K567" s="3">
        <v>2633.1</v>
      </c>
      <c r="L567" s="3">
        <v>19200</v>
      </c>
      <c r="M567" s="11">
        <f>+H567/K567</f>
        <v>1.6862253617409138</v>
      </c>
    </row>
    <row r="568" spans="1:13">
      <c r="A568" s="9">
        <v>2026</v>
      </c>
      <c r="B568" s="5">
        <v>20</v>
      </c>
      <c r="C568" s="5" t="s">
        <v>11</v>
      </c>
      <c r="D568" s="5" t="s">
        <v>8</v>
      </c>
      <c r="E568" s="5" t="s">
        <v>16</v>
      </c>
      <c r="F568" s="3" t="s">
        <v>18</v>
      </c>
      <c r="G568" s="3" t="str">
        <f t="shared" si="8"/>
        <v>027TIFFANY!</v>
      </c>
      <c r="H568" s="6">
        <v>5010</v>
      </c>
      <c r="I568" s="3">
        <v>11801</v>
      </c>
      <c r="J568" s="3">
        <v>11801</v>
      </c>
      <c r="K568" s="3">
        <v>2633.1</v>
      </c>
      <c r="L568" s="3">
        <v>19200</v>
      </c>
      <c r="M568" s="11">
        <f>+H568/K568</f>
        <v>1.9027002392617067</v>
      </c>
    </row>
    <row r="569" spans="1:13">
      <c r="A569" s="9">
        <v>2026</v>
      </c>
      <c r="B569" s="5">
        <v>20</v>
      </c>
      <c r="C569" s="5" t="s">
        <v>11</v>
      </c>
      <c r="D569" s="5" t="s">
        <v>8</v>
      </c>
      <c r="E569" s="5" t="s">
        <v>19</v>
      </c>
      <c r="F569" s="5" t="s">
        <v>20</v>
      </c>
      <c r="G569" s="3" t="str">
        <f t="shared" si="8"/>
        <v>028COTOPAXI</v>
      </c>
      <c r="H569" s="6">
        <v>6000</v>
      </c>
      <c r="I569" s="3">
        <v>8193</v>
      </c>
      <c r="J569" s="3">
        <v>8193</v>
      </c>
      <c r="K569" s="3">
        <v>2852.5250000000001</v>
      </c>
      <c r="L569" s="3">
        <v>20800</v>
      </c>
      <c r="M569" s="11">
        <f>+H569/K569</f>
        <v>2.1033996196352356</v>
      </c>
    </row>
    <row r="570" spans="1:13">
      <c r="A570" s="9">
        <v>2026</v>
      </c>
      <c r="B570" s="5">
        <v>20</v>
      </c>
      <c r="C570" s="5" t="s">
        <v>11</v>
      </c>
      <c r="D570" s="5" t="s">
        <v>8</v>
      </c>
      <c r="E570" s="5" t="s">
        <v>19</v>
      </c>
      <c r="F570" s="5" t="s">
        <v>21</v>
      </c>
      <c r="G570" s="3" t="str">
        <f t="shared" si="8"/>
        <v>028DEEP PURPLE</v>
      </c>
      <c r="H570" s="6">
        <v>6660</v>
      </c>
      <c r="I570" s="3">
        <v>5643</v>
      </c>
      <c r="J570" s="3">
        <v>3591</v>
      </c>
      <c r="K570" s="3">
        <v>2852.5250000000001</v>
      </c>
      <c r="L570" s="3">
        <v>20800</v>
      </c>
      <c r="M570" s="11">
        <f>+H570/K570</f>
        <v>2.3347735777951111</v>
      </c>
    </row>
    <row r="571" spans="1:13">
      <c r="A571" s="9">
        <v>2026</v>
      </c>
      <c r="B571" s="5">
        <v>21</v>
      </c>
      <c r="C571" s="5" t="s">
        <v>11</v>
      </c>
      <c r="D571" s="5" t="s">
        <v>8</v>
      </c>
      <c r="E571" s="5" t="s">
        <v>12</v>
      </c>
      <c r="F571" s="5" t="s">
        <v>13</v>
      </c>
      <c r="G571" s="3" t="str">
        <f t="shared" si="8"/>
        <v>025PINK MONDIAL</v>
      </c>
      <c r="H571" s="6">
        <v>5050</v>
      </c>
      <c r="I571" s="3">
        <v>3895</v>
      </c>
      <c r="J571" s="3">
        <v>5330</v>
      </c>
      <c r="K571" s="3">
        <v>3071.9505625000002</v>
      </c>
      <c r="L571" s="3">
        <v>22400</v>
      </c>
      <c r="M571" s="11">
        <f>+H571/K571</f>
        <v>1.6439066636183861</v>
      </c>
    </row>
    <row r="572" spans="1:13">
      <c r="A572" s="9">
        <v>2026</v>
      </c>
      <c r="B572" s="5">
        <v>21</v>
      </c>
      <c r="C572" s="5" t="s">
        <v>11</v>
      </c>
      <c r="D572" s="5" t="s">
        <v>8</v>
      </c>
      <c r="E572" s="5" t="s">
        <v>9</v>
      </c>
      <c r="F572" s="5" t="s">
        <v>14</v>
      </c>
      <c r="G572" s="3" t="str">
        <f t="shared" si="8"/>
        <v>026LOLA</v>
      </c>
      <c r="H572" s="6">
        <v>5800</v>
      </c>
      <c r="I572" s="6">
        <v>3284</v>
      </c>
      <c r="J572" s="6">
        <v>3924</v>
      </c>
      <c r="K572" s="3">
        <v>2852.5250000000001</v>
      </c>
      <c r="L572" s="3">
        <v>20800</v>
      </c>
      <c r="M572" s="11">
        <f>+H572/K572</f>
        <v>2.0332862989807277</v>
      </c>
    </row>
    <row r="573" spans="1:13">
      <c r="A573" s="9">
        <v>2026</v>
      </c>
      <c r="B573" s="5">
        <v>21</v>
      </c>
      <c r="C573" s="5" t="s">
        <v>11</v>
      </c>
      <c r="D573" s="5" t="s">
        <v>8</v>
      </c>
      <c r="E573" s="5" t="s">
        <v>9</v>
      </c>
      <c r="F573" s="5" t="s">
        <v>15</v>
      </c>
      <c r="G573" s="3" t="str">
        <f t="shared" si="8"/>
        <v>026PALOMA</v>
      </c>
      <c r="H573" s="6">
        <v>6600</v>
      </c>
      <c r="I573" s="6">
        <v>3372</v>
      </c>
      <c r="J573" s="6">
        <v>4036</v>
      </c>
      <c r="K573" s="3">
        <v>2852.5250000000001</v>
      </c>
      <c r="L573" s="3">
        <v>20800</v>
      </c>
      <c r="M573" s="11">
        <f>+H573/K573</f>
        <v>2.3137395815987589</v>
      </c>
    </row>
    <row r="574" spans="1:13">
      <c r="A574" s="9">
        <v>2026</v>
      </c>
      <c r="B574" s="5">
        <v>21</v>
      </c>
      <c r="C574" s="5" t="s">
        <v>11</v>
      </c>
      <c r="D574" s="5" t="s">
        <v>8</v>
      </c>
      <c r="E574" s="5" t="s">
        <v>16</v>
      </c>
      <c r="F574" s="5" t="s">
        <v>17</v>
      </c>
      <c r="G574" s="3" t="str">
        <f t="shared" si="8"/>
        <v>027SATISFACTION</v>
      </c>
      <c r="H574" s="6">
        <v>5640</v>
      </c>
      <c r="I574" s="6">
        <v>4155</v>
      </c>
      <c r="J574" s="6">
        <v>4155</v>
      </c>
      <c r="K574" s="3">
        <v>2633.1</v>
      </c>
      <c r="L574" s="3">
        <v>19200</v>
      </c>
      <c r="M574" s="11">
        <f>+H574/K574</f>
        <v>2.1419619459952148</v>
      </c>
    </row>
    <row r="575" spans="1:13">
      <c r="A575" s="9">
        <v>2026</v>
      </c>
      <c r="B575" s="5">
        <v>21</v>
      </c>
      <c r="C575" s="5" t="s">
        <v>11</v>
      </c>
      <c r="D575" s="5" t="s">
        <v>8</v>
      </c>
      <c r="E575" s="5" t="s">
        <v>16</v>
      </c>
      <c r="F575" s="3" t="s">
        <v>18</v>
      </c>
      <c r="G575" s="3" t="str">
        <f t="shared" si="8"/>
        <v>027TIFFANY!</v>
      </c>
      <c r="H575" s="6">
        <v>6420</v>
      </c>
      <c r="I575" s="6">
        <v>4551</v>
      </c>
      <c r="J575" s="6">
        <v>4551</v>
      </c>
      <c r="K575" s="3">
        <v>2633.1</v>
      </c>
      <c r="L575" s="3">
        <v>19200</v>
      </c>
      <c r="M575" s="11">
        <f>+H575/K575</f>
        <v>2.4381907257605104</v>
      </c>
    </row>
    <row r="576" spans="1:13">
      <c r="A576" s="9">
        <v>2026</v>
      </c>
      <c r="B576" s="5">
        <v>21</v>
      </c>
      <c r="C576" s="5" t="s">
        <v>11</v>
      </c>
      <c r="D576" s="5" t="s">
        <v>8</v>
      </c>
      <c r="E576" s="5" t="s">
        <v>19</v>
      </c>
      <c r="F576" s="5" t="s">
        <v>20</v>
      </c>
      <c r="G576" s="3" t="str">
        <f t="shared" si="8"/>
        <v>028COTOPAXI</v>
      </c>
      <c r="H576" s="6">
        <v>6450</v>
      </c>
      <c r="I576" s="6">
        <v>4503</v>
      </c>
      <c r="J576" s="6">
        <v>4180</v>
      </c>
      <c r="K576" s="3">
        <v>2852.5250000000001</v>
      </c>
      <c r="L576" s="3">
        <v>20800</v>
      </c>
      <c r="M576" s="11">
        <f>+H576/K576</f>
        <v>2.2611545911078781</v>
      </c>
    </row>
    <row r="577" spans="1:13">
      <c r="A577" s="9">
        <v>2026</v>
      </c>
      <c r="B577" s="5">
        <v>21</v>
      </c>
      <c r="C577" s="5" t="s">
        <v>11</v>
      </c>
      <c r="D577" s="5" t="s">
        <v>8</v>
      </c>
      <c r="E577" s="5" t="s">
        <v>19</v>
      </c>
      <c r="F577" s="5" t="s">
        <v>21</v>
      </c>
      <c r="G577" s="3" t="str">
        <f t="shared" si="8"/>
        <v>028DEEP PURPLE</v>
      </c>
      <c r="H577" s="6">
        <v>6270</v>
      </c>
      <c r="I577" s="6">
        <v>4484</v>
      </c>
      <c r="J577" s="6">
        <v>4953</v>
      </c>
      <c r="K577" s="3">
        <v>2852.5250000000001</v>
      </c>
      <c r="L577" s="3">
        <v>20800</v>
      </c>
      <c r="M577" s="11">
        <f>+H577/K577</f>
        <v>2.1980526025188212</v>
      </c>
    </row>
    <row r="578" spans="1:13">
      <c r="A578" s="9">
        <v>2026</v>
      </c>
      <c r="B578" s="3">
        <v>22</v>
      </c>
      <c r="C578" s="3" t="s">
        <v>7</v>
      </c>
      <c r="D578" s="3" t="s">
        <v>8</v>
      </c>
      <c r="E578" s="3" t="s">
        <v>9</v>
      </c>
      <c r="F578" s="3" t="s">
        <v>10</v>
      </c>
      <c r="G578" s="3" t="str">
        <f t="shared" si="8"/>
        <v>026PURPLE BUBBLY</v>
      </c>
      <c r="H578" s="3">
        <v>770</v>
      </c>
      <c r="I578" s="6">
        <v>7816</v>
      </c>
      <c r="J578" s="6">
        <v>7816</v>
      </c>
      <c r="K578" s="3">
        <v>1755.4</v>
      </c>
      <c r="L578" s="3">
        <v>12800</v>
      </c>
      <c r="M578" s="11">
        <f>+H578/K578</f>
        <v>0.43864646234476468</v>
      </c>
    </row>
    <row r="579" spans="1:13">
      <c r="A579" s="9">
        <v>2026</v>
      </c>
      <c r="B579" s="3">
        <v>22</v>
      </c>
      <c r="C579" s="3" t="s">
        <v>11</v>
      </c>
      <c r="D579" s="3" t="s">
        <v>8</v>
      </c>
      <c r="E579" s="3" t="s">
        <v>12</v>
      </c>
      <c r="F579" s="3" t="s">
        <v>13</v>
      </c>
      <c r="G579" s="3" t="str">
        <f t="shared" ref="G579:G609" si="9">+E579&amp;F579</f>
        <v>025PINK MONDIAL</v>
      </c>
      <c r="H579" s="3">
        <v>5275</v>
      </c>
      <c r="I579" s="6">
        <v>11853</v>
      </c>
      <c r="J579" s="6">
        <v>11853</v>
      </c>
      <c r="K579" s="3">
        <v>3071.9505625000002</v>
      </c>
      <c r="L579" s="3">
        <v>22400</v>
      </c>
      <c r="M579" s="11">
        <f>+H579/K579</f>
        <v>1.7171500298192053</v>
      </c>
    </row>
    <row r="580" spans="1:13">
      <c r="A580" s="9">
        <v>2026</v>
      </c>
      <c r="B580" s="3">
        <v>22</v>
      </c>
      <c r="C580" s="3" t="s">
        <v>11</v>
      </c>
      <c r="D580" s="3" t="s">
        <v>8</v>
      </c>
      <c r="E580" s="3" t="s">
        <v>9</v>
      </c>
      <c r="F580" s="3" t="s">
        <v>14</v>
      </c>
      <c r="G580" s="3" t="str">
        <f t="shared" si="9"/>
        <v>026LOLA</v>
      </c>
      <c r="H580" s="3">
        <v>4860</v>
      </c>
      <c r="I580" s="6">
        <v>9589</v>
      </c>
      <c r="J580" s="6">
        <v>11039</v>
      </c>
      <c r="K580" s="3">
        <v>1097.125</v>
      </c>
      <c r="L580" s="3">
        <v>8000</v>
      </c>
      <c r="M580" s="11">
        <f>+H580/K580</f>
        <v>4.4297595989518062</v>
      </c>
    </row>
    <row r="581" spans="1:13">
      <c r="A581" s="9">
        <v>2026</v>
      </c>
      <c r="B581" s="3">
        <v>22</v>
      </c>
      <c r="C581" s="3" t="s">
        <v>11</v>
      </c>
      <c r="D581" s="3" t="s">
        <v>8</v>
      </c>
      <c r="E581" s="3" t="s">
        <v>9</v>
      </c>
      <c r="F581" s="3" t="s">
        <v>15</v>
      </c>
      <c r="G581" s="3" t="str">
        <f t="shared" si="9"/>
        <v>026PALOMA</v>
      </c>
      <c r="H581" s="3">
        <v>5520</v>
      </c>
      <c r="I581" s="3">
        <v>7461</v>
      </c>
      <c r="J581" s="3">
        <v>6783</v>
      </c>
      <c r="K581" s="3">
        <v>2852.5250000000001</v>
      </c>
      <c r="L581" s="3">
        <v>20800</v>
      </c>
      <c r="M581" s="11">
        <f>+H581/K581</f>
        <v>1.9351276500644166</v>
      </c>
    </row>
    <row r="582" spans="1:13">
      <c r="A582" s="9">
        <v>2026</v>
      </c>
      <c r="B582" s="3">
        <v>22</v>
      </c>
      <c r="C582" s="3" t="s">
        <v>11</v>
      </c>
      <c r="D582" s="3" t="s">
        <v>8</v>
      </c>
      <c r="E582" s="3" t="s">
        <v>16</v>
      </c>
      <c r="F582" s="3" t="s">
        <v>17</v>
      </c>
      <c r="G582" s="3" t="str">
        <f t="shared" si="9"/>
        <v>027SATISFACTION</v>
      </c>
      <c r="H582" s="3">
        <v>3720</v>
      </c>
      <c r="I582" s="3">
        <v>4371</v>
      </c>
      <c r="J582" s="3">
        <v>7014</v>
      </c>
      <c r="K582" s="3">
        <v>2633.1</v>
      </c>
      <c r="L582" s="3">
        <v>19200</v>
      </c>
      <c r="M582" s="11">
        <f>+H582/K582</f>
        <v>1.4127834111883333</v>
      </c>
    </row>
    <row r="583" spans="1:13">
      <c r="A583" s="9">
        <v>2026</v>
      </c>
      <c r="B583" s="3">
        <v>22</v>
      </c>
      <c r="C583" s="3" t="s">
        <v>11</v>
      </c>
      <c r="D583" s="3" t="s">
        <v>8</v>
      </c>
      <c r="E583" s="3" t="s">
        <v>16</v>
      </c>
      <c r="F583" s="3" t="s">
        <v>18</v>
      </c>
      <c r="G583" s="3" t="str">
        <f t="shared" si="9"/>
        <v>027TIFFANY!</v>
      </c>
      <c r="H583" s="3">
        <v>4260</v>
      </c>
      <c r="I583" s="3">
        <v>4623</v>
      </c>
      <c r="J583" s="3">
        <v>4280</v>
      </c>
      <c r="K583" s="3">
        <v>2633.1</v>
      </c>
      <c r="L583" s="3">
        <v>19200</v>
      </c>
      <c r="M583" s="11">
        <f>+H583/K583</f>
        <v>1.6178648741027686</v>
      </c>
    </row>
    <row r="584" spans="1:13">
      <c r="A584" s="9">
        <v>2026</v>
      </c>
      <c r="B584" s="3">
        <v>22</v>
      </c>
      <c r="C584" s="3" t="s">
        <v>11</v>
      </c>
      <c r="D584" s="3" t="s">
        <v>8</v>
      </c>
      <c r="E584" s="3" t="s">
        <v>19</v>
      </c>
      <c r="F584" s="3" t="s">
        <v>20</v>
      </c>
      <c r="G584" s="3" t="str">
        <f t="shared" si="9"/>
        <v>028COTOPAXI</v>
      </c>
      <c r="H584" s="3">
        <v>7050</v>
      </c>
      <c r="I584" s="3">
        <v>4446</v>
      </c>
      <c r="J584" s="3">
        <v>4523</v>
      </c>
      <c r="K584" s="3">
        <v>2852.5250000000001</v>
      </c>
      <c r="L584" s="3">
        <v>20800</v>
      </c>
      <c r="M584" s="11">
        <f>+H584/K584</f>
        <v>2.4714945530714014</v>
      </c>
    </row>
    <row r="585" spans="1:13">
      <c r="A585" s="9">
        <v>2026</v>
      </c>
      <c r="B585" s="3">
        <v>22</v>
      </c>
      <c r="C585" s="3" t="s">
        <v>11</v>
      </c>
      <c r="D585" s="3" t="s">
        <v>8</v>
      </c>
      <c r="E585" s="3" t="s">
        <v>19</v>
      </c>
      <c r="F585" s="3" t="s">
        <v>21</v>
      </c>
      <c r="G585" s="3" t="str">
        <f t="shared" si="9"/>
        <v>028DEEP PURPLE</v>
      </c>
      <c r="H585" s="3">
        <v>4590</v>
      </c>
      <c r="K585" s="3">
        <v>2852.5250000000001</v>
      </c>
      <c r="L585" s="3">
        <v>20800</v>
      </c>
      <c r="M585" s="11">
        <f>+H585/K585</f>
        <v>1.609100709020955</v>
      </c>
    </row>
    <row r="586" spans="1:13">
      <c r="A586" s="9">
        <v>2026</v>
      </c>
      <c r="B586" s="3">
        <v>23</v>
      </c>
      <c r="C586" s="3" t="s">
        <v>7</v>
      </c>
      <c r="D586" s="3" t="s">
        <v>8</v>
      </c>
      <c r="E586" s="3" t="s">
        <v>9</v>
      </c>
      <c r="F586" s="3" t="s">
        <v>10</v>
      </c>
      <c r="G586" s="3" t="str">
        <f t="shared" si="9"/>
        <v>026PURPLE BUBBLY</v>
      </c>
      <c r="H586" s="3">
        <v>770</v>
      </c>
      <c r="K586" s="3">
        <v>1755.4</v>
      </c>
      <c r="L586" s="3">
        <v>12800</v>
      </c>
      <c r="M586" s="11">
        <f>+H586/K586</f>
        <v>0.43864646234476468</v>
      </c>
    </row>
    <row r="587" spans="1:13">
      <c r="A587" s="9">
        <v>2026</v>
      </c>
      <c r="B587" s="3">
        <v>23</v>
      </c>
      <c r="C587" s="3" t="s">
        <v>11</v>
      </c>
      <c r="D587" s="3" t="s">
        <v>8</v>
      </c>
      <c r="E587" s="3" t="s">
        <v>12</v>
      </c>
      <c r="F587" s="3" t="s">
        <v>13</v>
      </c>
      <c r="G587" s="3" t="str">
        <f t="shared" si="9"/>
        <v>025PINK MONDIAL</v>
      </c>
      <c r="H587" s="3">
        <v>5625</v>
      </c>
      <c r="K587" s="3">
        <v>3071.9505625000002</v>
      </c>
      <c r="L587" s="3">
        <v>22400</v>
      </c>
      <c r="M587" s="11">
        <f>+H587/K587</f>
        <v>1.8310841550204797</v>
      </c>
    </row>
    <row r="588" spans="1:13">
      <c r="A588" s="9">
        <v>2026</v>
      </c>
      <c r="B588" s="3">
        <v>23</v>
      </c>
      <c r="C588" s="3" t="s">
        <v>11</v>
      </c>
      <c r="D588" s="3" t="s">
        <v>8</v>
      </c>
      <c r="E588" s="3" t="s">
        <v>9</v>
      </c>
      <c r="F588" s="3" t="s">
        <v>14</v>
      </c>
      <c r="G588" s="3" t="str">
        <f t="shared" si="9"/>
        <v>026LOLA</v>
      </c>
      <c r="H588" s="3">
        <v>4780</v>
      </c>
      <c r="K588" s="3">
        <v>1097.125</v>
      </c>
      <c r="L588" s="3">
        <v>8000</v>
      </c>
      <c r="M588" s="11">
        <f>+H588/K588</f>
        <v>4.3568417454711179</v>
      </c>
    </row>
    <row r="589" spans="1:13">
      <c r="A589" s="9">
        <v>2026</v>
      </c>
      <c r="B589" s="3">
        <v>23</v>
      </c>
      <c r="C589" s="3" t="s">
        <v>11</v>
      </c>
      <c r="D589" s="3" t="s">
        <v>8</v>
      </c>
      <c r="E589" s="3" t="s">
        <v>9</v>
      </c>
      <c r="F589" s="3" t="s">
        <v>15</v>
      </c>
      <c r="G589" s="3" t="str">
        <f t="shared" si="9"/>
        <v>026PALOMA</v>
      </c>
      <c r="H589" s="3">
        <v>5220</v>
      </c>
      <c r="K589" s="3">
        <v>2852.5250000000001</v>
      </c>
      <c r="L589" s="3">
        <v>20800</v>
      </c>
      <c r="M589" s="11">
        <f>+H589/K589</f>
        <v>1.8299576690826549</v>
      </c>
    </row>
    <row r="590" spans="1:13">
      <c r="A590" s="9">
        <v>2026</v>
      </c>
      <c r="B590" s="3">
        <v>23</v>
      </c>
      <c r="C590" s="3" t="s">
        <v>11</v>
      </c>
      <c r="D590" s="3" t="s">
        <v>8</v>
      </c>
      <c r="E590" s="3" t="s">
        <v>16</v>
      </c>
      <c r="F590" s="3" t="s">
        <v>17</v>
      </c>
      <c r="G590" s="3" t="str">
        <f t="shared" si="9"/>
        <v>027SATISFACTION</v>
      </c>
      <c r="H590" s="3">
        <v>3420</v>
      </c>
      <c r="K590" s="3">
        <v>2633.1</v>
      </c>
      <c r="L590" s="3">
        <v>19200</v>
      </c>
      <c r="M590" s="11">
        <f>+H590/K590</f>
        <v>1.2988492651247578</v>
      </c>
    </row>
    <row r="591" spans="1:13">
      <c r="A591" s="9">
        <v>2026</v>
      </c>
      <c r="B591" s="3">
        <v>23</v>
      </c>
      <c r="C591" s="3" t="s">
        <v>11</v>
      </c>
      <c r="D591" s="3" t="s">
        <v>8</v>
      </c>
      <c r="E591" s="3" t="s">
        <v>16</v>
      </c>
      <c r="F591" s="3" t="s">
        <v>18</v>
      </c>
      <c r="G591" s="3" t="str">
        <f t="shared" si="9"/>
        <v>027TIFFANY!</v>
      </c>
      <c r="H591" s="3">
        <v>4350</v>
      </c>
      <c r="K591" s="3">
        <v>2633.1</v>
      </c>
      <c r="L591" s="3">
        <v>19200</v>
      </c>
      <c r="M591" s="11">
        <f>+H591/K591</f>
        <v>1.6520451179218412</v>
      </c>
    </row>
    <row r="592" spans="1:13">
      <c r="A592" s="9">
        <v>2026</v>
      </c>
      <c r="B592" s="3">
        <v>23</v>
      </c>
      <c r="C592" s="3" t="s">
        <v>11</v>
      </c>
      <c r="D592" s="3" t="s">
        <v>8</v>
      </c>
      <c r="E592" s="3" t="s">
        <v>19</v>
      </c>
      <c r="F592" s="3" t="s">
        <v>20</v>
      </c>
      <c r="G592" s="3" t="str">
        <f t="shared" si="9"/>
        <v>028COTOPAXI</v>
      </c>
      <c r="H592" s="3">
        <v>3630</v>
      </c>
      <c r="K592" s="3">
        <v>2852.5250000000001</v>
      </c>
      <c r="L592" s="3">
        <v>20800</v>
      </c>
      <c r="M592" s="11">
        <f>+H592/K592</f>
        <v>1.2725567698793174</v>
      </c>
    </row>
    <row r="593" spans="1:13">
      <c r="A593" s="9">
        <v>2026</v>
      </c>
      <c r="B593" s="3">
        <v>23</v>
      </c>
      <c r="C593" s="3" t="s">
        <v>11</v>
      </c>
      <c r="D593" s="3" t="s">
        <v>8</v>
      </c>
      <c r="E593" s="3" t="s">
        <v>19</v>
      </c>
      <c r="F593" s="3" t="s">
        <v>21</v>
      </c>
      <c r="G593" s="3" t="str">
        <f t="shared" si="9"/>
        <v>028DEEP PURPLE</v>
      </c>
      <c r="H593" s="3">
        <v>3750</v>
      </c>
      <c r="K593" s="3">
        <v>2852.5250000000001</v>
      </c>
      <c r="L593" s="3">
        <v>20800</v>
      </c>
      <c r="M593" s="11">
        <f>+H593/K593</f>
        <v>1.3146247622720222</v>
      </c>
    </row>
    <row r="594" spans="1:13">
      <c r="A594" s="9">
        <v>2026</v>
      </c>
      <c r="B594" s="3">
        <v>24</v>
      </c>
      <c r="C594" s="3" t="s">
        <v>7</v>
      </c>
      <c r="D594" s="3" t="s">
        <v>8</v>
      </c>
      <c r="E594" s="3" t="s">
        <v>9</v>
      </c>
      <c r="F594" s="3" t="s">
        <v>10</v>
      </c>
      <c r="G594" s="3" t="str">
        <f t="shared" si="9"/>
        <v>026PURPLE BUBBLY</v>
      </c>
      <c r="H594" s="3">
        <v>550</v>
      </c>
      <c r="K594" s="3">
        <v>1755.4</v>
      </c>
      <c r="L594" s="3">
        <v>12800</v>
      </c>
      <c r="M594" s="11">
        <f>+H594/K594</f>
        <v>0.31331890167483195</v>
      </c>
    </row>
    <row r="595" spans="1:13">
      <c r="A595" s="9">
        <v>2026</v>
      </c>
      <c r="B595" s="3">
        <v>24</v>
      </c>
      <c r="C595" s="3" t="s">
        <v>11</v>
      </c>
      <c r="D595" s="3" t="s">
        <v>8</v>
      </c>
      <c r="E595" s="3" t="s">
        <v>12</v>
      </c>
      <c r="F595" s="3" t="s">
        <v>13</v>
      </c>
      <c r="G595" s="3" t="str">
        <f t="shared" si="9"/>
        <v>025PINK MONDIAL</v>
      </c>
      <c r="H595" s="3">
        <v>4450</v>
      </c>
      <c r="K595" s="3">
        <v>3071.9505625000002</v>
      </c>
      <c r="L595" s="3">
        <v>22400</v>
      </c>
      <c r="M595" s="11">
        <f>+H595/K595</f>
        <v>1.4485910204162016</v>
      </c>
    </row>
    <row r="596" spans="1:13">
      <c r="A596" s="9">
        <v>2026</v>
      </c>
      <c r="B596" s="3">
        <v>24</v>
      </c>
      <c r="C596" s="3" t="s">
        <v>11</v>
      </c>
      <c r="D596" s="3" t="s">
        <v>8</v>
      </c>
      <c r="E596" s="3" t="s">
        <v>9</v>
      </c>
      <c r="F596" s="3" t="s">
        <v>14</v>
      </c>
      <c r="G596" s="3" t="str">
        <f t="shared" si="9"/>
        <v>026LOLA</v>
      </c>
      <c r="H596" s="3">
        <v>3180</v>
      </c>
      <c r="K596" s="3">
        <v>1097.125</v>
      </c>
      <c r="L596" s="3">
        <v>8000</v>
      </c>
      <c r="M596" s="11">
        <f>+H596/K596</f>
        <v>2.8984846758573544</v>
      </c>
    </row>
    <row r="597" spans="1:13">
      <c r="A597" s="9">
        <v>2026</v>
      </c>
      <c r="B597" s="3">
        <v>24</v>
      </c>
      <c r="C597" s="3" t="s">
        <v>11</v>
      </c>
      <c r="D597" s="3" t="s">
        <v>8</v>
      </c>
      <c r="E597" s="3" t="s">
        <v>9</v>
      </c>
      <c r="F597" s="3" t="s">
        <v>15</v>
      </c>
      <c r="G597" s="3" t="str">
        <f t="shared" si="9"/>
        <v>026PALOMA</v>
      </c>
      <c r="H597" s="3">
        <v>3700</v>
      </c>
      <c r="K597" s="3">
        <v>2852.5250000000001</v>
      </c>
      <c r="L597" s="3">
        <v>20800</v>
      </c>
      <c r="M597" s="11">
        <f>+H597/K597</f>
        <v>1.2970964321083951</v>
      </c>
    </row>
    <row r="598" spans="1:13">
      <c r="A598" s="9">
        <v>2026</v>
      </c>
      <c r="B598" s="3">
        <v>24</v>
      </c>
      <c r="C598" s="3" t="s">
        <v>11</v>
      </c>
      <c r="D598" s="3" t="s">
        <v>8</v>
      </c>
      <c r="E598" s="3" t="s">
        <v>16</v>
      </c>
      <c r="F598" s="3" t="s">
        <v>17</v>
      </c>
      <c r="G598" s="3" t="str">
        <f t="shared" si="9"/>
        <v>027SATISFACTION</v>
      </c>
      <c r="H598" s="3">
        <v>2400</v>
      </c>
      <c r="K598" s="3">
        <v>2633.1</v>
      </c>
      <c r="L598" s="3">
        <v>19200</v>
      </c>
      <c r="M598" s="11">
        <f>+H598/K598</f>
        <v>0.91147316850860205</v>
      </c>
    </row>
    <row r="599" spans="1:13">
      <c r="A599" s="9">
        <v>2026</v>
      </c>
      <c r="B599" s="3">
        <v>24</v>
      </c>
      <c r="C599" s="3" t="s">
        <v>11</v>
      </c>
      <c r="D599" s="3" t="s">
        <v>8</v>
      </c>
      <c r="E599" s="3" t="s">
        <v>16</v>
      </c>
      <c r="F599" s="3" t="s">
        <v>18</v>
      </c>
      <c r="G599" s="3" t="str">
        <f t="shared" si="9"/>
        <v>027TIFFANY!</v>
      </c>
      <c r="H599" s="3">
        <v>3270</v>
      </c>
      <c r="K599" s="3">
        <v>2633.1</v>
      </c>
      <c r="L599" s="3">
        <v>19200</v>
      </c>
      <c r="M599" s="11">
        <f>+H599/K599</f>
        <v>1.2418821920929703</v>
      </c>
    </row>
    <row r="600" spans="1:13">
      <c r="A600" s="9">
        <v>2026</v>
      </c>
      <c r="B600" s="3">
        <v>24</v>
      </c>
      <c r="C600" s="3" t="s">
        <v>11</v>
      </c>
      <c r="D600" s="3" t="s">
        <v>8</v>
      </c>
      <c r="E600" s="3" t="s">
        <v>19</v>
      </c>
      <c r="F600" s="3" t="s">
        <v>20</v>
      </c>
      <c r="G600" s="3" t="str">
        <f t="shared" si="9"/>
        <v>028COTOPAXI</v>
      </c>
      <c r="H600" s="3">
        <v>3540</v>
      </c>
      <c r="K600" s="3">
        <v>2852.5250000000001</v>
      </c>
      <c r="L600" s="3">
        <v>20800</v>
      </c>
      <c r="M600" s="11">
        <f>+H600/K600</f>
        <v>1.241005775584789</v>
      </c>
    </row>
    <row r="601" spans="1:13">
      <c r="A601" s="9">
        <v>2026</v>
      </c>
      <c r="B601" s="3">
        <v>24</v>
      </c>
      <c r="C601" s="3" t="s">
        <v>11</v>
      </c>
      <c r="D601" s="3" t="s">
        <v>8</v>
      </c>
      <c r="E601" s="3" t="s">
        <v>19</v>
      </c>
      <c r="F601" s="3" t="s">
        <v>21</v>
      </c>
      <c r="G601" s="3" t="str">
        <f t="shared" si="9"/>
        <v>028DEEP PURPLE</v>
      </c>
      <c r="H601" s="3">
        <v>3480</v>
      </c>
      <c r="K601" s="3">
        <v>2852.5250000000001</v>
      </c>
      <c r="L601" s="3">
        <v>20800</v>
      </c>
      <c r="M601" s="11">
        <f>+H601/K601</f>
        <v>1.2199717793884366</v>
      </c>
    </row>
    <row r="602" spans="1:13">
      <c r="A602" s="9">
        <v>2026</v>
      </c>
      <c r="B602" s="3">
        <v>25</v>
      </c>
      <c r="C602" s="3" t="s">
        <v>7</v>
      </c>
      <c r="D602" s="3" t="s">
        <v>8</v>
      </c>
      <c r="E602" s="3" t="s">
        <v>9</v>
      </c>
      <c r="F602" s="3" t="s">
        <v>10</v>
      </c>
      <c r="G602" s="3" t="str">
        <f t="shared" si="9"/>
        <v>026PURPLE BUBBLY</v>
      </c>
      <c r="H602" s="3">
        <v>700</v>
      </c>
      <c r="K602" s="3">
        <v>1755.4</v>
      </c>
      <c r="L602" s="3">
        <v>12800</v>
      </c>
      <c r="M602" s="11">
        <f>+H602/K602</f>
        <v>0.39876951122251336</v>
      </c>
    </row>
    <row r="603" spans="1:13">
      <c r="A603" s="9">
        <v>2026</v>
      </c>
      <c r="B603" s="3">
        <v>25</v>
      </c>
      <c r="C603" s="3" t="s">
        <v>11</v>
      </c>
      <c r="D603" s="3" t="s">
        <v>8</v>
      </c>
      <c r="E603" s="3" t="s">
        <v>12</v>
      </c>
      <c r="F603" s="3" t="s">
        <v>13</v>
      </c>
      <c r="G603" s="3" t="str">
        <f t="shared" si="9"/>
        <v>025PINK MONDIAL</v>
      </c>
      <c r="H603" s="3">
        <v>4775</v>
      </c>
      <c r="K603" s="3">
        <v>3071.9505625000002</v>
      </c>
      <c r="L603" s="3">
        <v>22400</v>
      </c>
      <c r="M603" s="11">
        <f>+H603/K603</f>
        <v>1.5543869938173849</v>
      </c>
    </row>
    <row r="604" spans="1:13">
      <c r="A604" s="9">
        <v>2026</v>
      </c>
      <c r="B604" s="3">
        <v>25</v>
      </c>
      <c r="C604" s="3" t="s">
        <v>11</v>
      </c>
      <c r="D604" s="3" t="s">
        <v>8</v>
      </c>
      <c r="E604" s="3" t="s">
        <v>9</v>
      </c>
      <c r="F604" s="3" t="s">
        <v>14</v>
      </c>
      <c r="G604" s="3" t="str">
        <f t="shared" si="9"/>
        <v>026LOLA</v>
      </c>
      <c r="H604" s="3">
        <v>3040</v>
      </c>
      <c r="K604" s="3">
        <v>1097.125</v>
      </c>
      <c r="L604" s="3">
        <v>8000</v>
      </c>
      <c r="M604" s="11">
        <f>+H604/K604</f>
        <v>2.7708784322661502</v>
      </c>
    </row>
    <row r="605" spans="1:13">
      <c r="A605" s="9">
        <v>2026</v>
      </c>
      <c r="B605" s="3">
        <v>25</v>
      </c>
      <c r="C605" s="3" t="s">
        <v>11</v>
      </c>
      <c r="D605" s="3" t="s">
        <v>8</v>
      </c>
      <c r="E605" s="3" t="s">
        <v>9</v>
      </c>
      <c r="F605" s="3" t="s">
        <v>15</v>
      </c>
      <c r="G605" s="3" t="str">
        <f t="shared" si="9"/>
        <v>026PALOMA</v>
      </c>
      <c r="H605" s="3">
        <v>3220</v>
      </c>
      <c r="K605" s="3">
        <v>2852.5250000000001</v>
      </c>
      <c r="L605" s="3">
        <v>20800</v>
      </c>
      <c r="M605" s="11">
        <f>+H605/K605</f>
        <v>1.1288244625375763</v>
      </c>
    </row>
    <row r="606" spans="1:13">
      <c r="A606" s="9">
        <v>2026</v>
      </c>
      <c r="B606" s="3">
        <v>25</v>
      </c>
      <c r="C606" s="3" t="s">
        <v>11</v>
      </c>
      <c r="D606" s="3" t="s">
        <v>8</v>
      </c>
      <c r="E606" s="3" t="s">
        <v>16</v>
      </c>
      <c r="F606" s="3" t="s">
        <v>17</v>
      </c>
      <c r="G606" s="3" t="str">
        <f t="shared" si="9"/>
        <v>027SATISFACTION</v>
      </c>
      <c r="H606" s="3">
        <v>2430</v>
      </c>
      <c r="K606" s="3">
        <v>2633.1</v>
      </c>
      <c r="L606" s="3">
        <v>19200</v>
      </c>
      <c r="M606" s="11">
        <f>+H606/K606</f>
        <v>0.92286658311495962</v>
      </c>
    </row>
    <row r="607" spans="1:13">
      <c r="A607" s="9">
        <v>2026</v>
      </c>
      <c r="B607" s="3">
        <v>25</v>
      </c>
      <c r="C607" s="3" t="s">
        <v>11</v>
      </c>
      <c r="D607" s="3" t="s">
        <v>8</v>
      </c>
      <c r="E607" s="3" t="s">
        <v>16</v>
      </c>
      <c r="F607" s="3" t="s">
        <v>18</v>
      </c>
      <c r="G607" s="3" t="str">
        <f t="shared" si="9"/>
        <v>027TIFFANY!</v>
      </c>
      <c r="H607" s="3">
        <v>2880</v>
      </c>
      <c r="K607" s="3">
        <v>2633.1</v>
      </c>
      <c r="L607" s="3">
        <v>19200</v>
      </c>
      <c r="M607" s="11">
        <f>+H607/K607</f>
        <v>1.0937678022103225</v>
      </c>
    </row>
    <row r="608" spans="1:13">
      <c r="A608" s="9">
        <v>2026</v>
      </c>
      <c r="B608" s="3">
        <v>25</v>
      </c>
      <c r="C608" s="3" t="s">
        <v>11</v>
      </c>
      <c r="D608" s="3" t="s">
        <v>8</v>
      </c>
      <c r="E608" s="3" t="s">
        <v>19</v>
      </c>
      <c r="F608" s="3" t="s">
        <v>20</v>
      </c>
      <c r="G608" s="3" t="str">
        <f t="shared" si="9"/>
        <v>028COTOPAXI</v>
      </c>
      <c r="H608" s="3">
        <v>2910</v>
      </c>
      <c r="K608" s="3">
        <v>2852.5250000000001</v>
      </c>
      <c r="L608" s="3">
        <v>20800</v>
      </c>
      <c r="M608" s="11">
        <f>+H608/K608</f>
        <v>1.0201488155230891</v>
      </c>
    </row>
    <row r="609" spans="1:13">
      <c r="A609" s="9">
        <v>2026</v>
      </c>
      <c r="B609" s="3">
        <v>25</v>
      </c>
      <c r="C609" s="3" t="s">
        <v>11</v>
      </c>
      <c r="D609" s="3" t="s">
        <v>8</v>
      </c>
      <c r="E609" s="3" t="s">
        <v>19</v>
      </c>
      <c r="F609" s="3" t="s">
        <v>21</v>
      </c>
      <c r="G609" s="3" t="str">
        <f t="shared" si="9"/>
        <v>028DEEP PURPLE</v>
      </c>
      <c r="H609" s="3">
        <v>2340</v>
      </c>
      <c r="K609" s="3">
        <v>2852.5250000000001</v>
      </c>
      <c r="L609" s="3">
        <v>20800</v>
      </c>
      <c r="M609" s="11">
        <f>+H609/K609</f>
        <v>0.82032585165774174</v>
      </c>
    </row>
  </sheetData>
  <autoFilter ref="A1:L578">
    <filterColumn colId="6"/>
    <filterColumn colId="8"/>
    <filterColumn colId="9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2026-05-29T16:16:02Z</dcterms:modified>
</cp:coreProperties>
</file>