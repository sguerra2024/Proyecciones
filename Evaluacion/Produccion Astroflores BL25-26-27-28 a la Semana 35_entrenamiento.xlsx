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5" yWindow="-15" windowWidth="11940" windowHeight="7995"/>
  </bookViews>
  <sheets>
    <sheet name="Hoja1" sheetId="1" r:id="rId1"/>
  </sheets>
  <definedNames>
    <definedName name="_xlnm._FilterDatabase" localSheetId="0" hidden="1">Hoja1!$A$1:$K$9915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024" i="1"/>
  <c r="G10024"/>
  <c r="K10023"/>
  <c r="G10023"/>
  <c r="K10022"/>
  <c r="G10022"/>
  <c r="K10021"/>
  <c r="G10021"/>
  <c r="K10020"/>
  <c r="G10020"/>
  <c r="K10019"/>
  <c r="G10019"/>
  <c r="K10018"/>
  <c r="G10018"/>
  <c r="K10017"/>
  <c r="G10017"/>
  <c r="K10016"/>
  <c r="G10016"/>
  <c r="K10015"/>
  <c r="G10015"/>
  <c r="K10014"/>
  <c r="G10014"/>
  <c r="K10013"/>
  <c r="G10013"/>
  <c r="K10012"/>
  <c r="G10012"/>
  <c r="K10011"/>
  <c r="G10011"/>
  <c r="K10010"/>
  <c r="G10010"/>
  <c r="K10009"/>
  <c r="G10009"/>
  <c r="K10008"/>
  <c r="G10008"/>
  <c r="K10007"/>
  <c r="G10007"/>
  <c r="K10006"/>
  <c r="G10006"/>
  <c r="K10005"/>
  <c r="G10005"/>
  <c r="K10004"/>
  <c r="G10004"/>
  <c r="K10003"/>
  <c r="G10003"/>
  <c r="K10002"/>
  <c r="G10002"/>
  <c r="K10001"/>
  <c r="G10001"/>
  <c r="K10000"/>
  <c r="G10000"/>
  <c r="K9999"/>
  <c r="G9999"/>
  <c r="K9998"/>
  <c r="G9998"/>
  <c r="K9997"/>
  <c r="G9997"/>
  <c r="K9996"/>
  <c r="G9996"/>
  <c r="K9995"/>
  <c r="G9995"/>
  <c r="K9994"/>
  <c r="G9994"/>
  <c r="K9993"/>
  <c r="G9993"/>
  <c r="K9992"/>
  <c r="G9992"/>
  <c r="K9991"/>
  <c r="G9991"/>
  <c r="K9990"/>
  <c r="G9990"/>
  <c r="K9989"/>
  <c r="G9989"/>
  <c r="K9988"/>
  <c r="G9988"/>
  <c r="K9987"/>
  <c r="G9987"/>
  <c r="K9986"/>
  <c r="G9986"/>
  <c r="K9985"/>
  <c r="G9985"/>
  <c r="K9984"/>
  <c r="G9984"/>
  <c r="K9983"/>
  <c r="G9983"/>
  <c r="K9982"/>
  <c r="G9982"/>
  <c r="K9981"/>
  <c r="G9981"/>
  <c r="K9980"/>
  <c r="G9980"/>
  <c r="K9979"/>
  <c r="G9979"/>
  <c r="K9978"/>
  <c r="G9978"/>
  <c r="K9977"/>
  <c r="G9977"/>
  <c r="K9976"/>
  <c r="G9976"/>
  <c r="K9975"/>
  <c r="G9975"/>
  <c r="K9974"/>
  <c r="G9974"/>
  <c r="K9973"/>
  <c r="G9973"/>
  <c r="K9972"/>
  <c r="G9972"/>
  <c r="K9971"/>
  <c r="G9971"/>
  <c r="K9970"/>
  <c r="G9970"/>
  <c r="K9969"/>
  <c r="G9969"/>
  <c r="K9968"/>
  <c r="G9968"/>
  <c r="K9967"/>
  <c r="G9967"/>
  <c r="K9966"/>
  <c r="G9966"/>
  <c r="K9965"/>
  <c r="G9965"/>
  <c r="K9964"/>
  <c r="G9964"/>
  <c r="K9963"/>
  <c r="G9963"/>
  <c r="K9962"/>
  <c r="G9962"/>
  <c r="K9961"/>
  <c r="G9961"/>
  <c r="K9960"/>
  <c r="G9960"/>
  <c r="K9959"/>
  <c r="G9959"/>
  <c r="K9958"/>
  <c r="G9958"/>
  <c r="K9957"/>
  <c r="G9957"/>
  <c r="K9956"/>
  <c r="G9956"/>
  <c r="K9955"/>
  <c r="G9955"/>
  <c r="K9954"/>
  <c r="G9954"/>
  <c r="K9953"/>
  <c r="G9953"/>
  <c r="K9952"/>
  <c r="G9952"/>
  <c r="K9951"/>
  <c r="G9951"/>
  <c r="K9950"/>
  <c r="G9950"/>
  <c r="K9949"/>
  <c r="G9949"/>
  <c r="K9948"/>
  <c r="G9948"/>
  <c r="K9947"/>
  <c r="G9947"/>
  <c r="K9946"/>
  <c r="G9946"/>
  <c r="K9945"/>
  <c r="G9945"/>
  <c r="K9944"/>
  <c r="G9944"/>
  <c r="K9943"/>
  <c r="G9943"/>
  <c r="K9942"/>
  <c r="G9942"/>
  <c r="K9941"/>
  <c r="G9941"/>
  <c r="K9940"/>
  <c r="G9940"/>
  <c r="K9939"/>
  <c r="G9939"/>
  <c r="K9938"/>
  <c r="G9938"/>
  <c r="K9937"/>
  <c r="G9937"/>
  <c r="K9936"/>
  <c r="G9936"/>
  <c r="K9935"/>
  <c r="G9935"/>
  <c r="K9934"/>
  <c r="G9934"/>
  <c r="K9933"/>
  <c r="G9933"/>
  <c r="K9932"/>
  <c r="G9932"/>
  <c r="K9931"/>
  <c r="G9931"/>
  <c r="K9930"/>
  <c r="G9930"/>
  <c r="K9929"/>
  <c r="G9929"/>
  <c r="K9928"/>
  <c r="G9928"/>
  <c r="K9927"/>
  <c r="G9927"/>
  <c r="K9926"/>
  <c r="G9926"/>
  <c r="K9925"/>
  <c r="G9925"/>
  <c r="K9924"/>
  <c r="G9924"/>
  <c r="K9923"/>
  <c r="G9923"/>
  <c r="K9922"/>
  <c r="G9922"/>
  <c r="K9921"/>
  <c r="G9921"/>
  <c r="K9920"/>
  <c r="G9920"/>
  <c r="K9919"/>
  <c r="G9919"/>
  <c r="K9918"/>
  <c r="G9918"/>
  <c r="K9917"/>
  <c r="G9917"/>
  <c r="K9916"/>
  <c r="G9916"/>
  <c r="K9915"/>
  <c r="G9915"/>
  <c r="K9914"/>
  <c r="G9914"/>
  <c r="K9913"/>
  <c r="G9913"/>
  <c r="K9912"/>
  <c r="G9912"/>
  <c r="K9911"/>
  <c r="G9911"/>
  <c r="K9910"/>
  <c r="G9910"/>
  <c r="K9909"/>
  <c r="G9909"/>
  <c r="K9908"/>
  <c r="G9908"/>
  <c r="K9907"/>
  <c r="G9907"/>
  <c r="K9906"/>
  <c r="G9906"/>
  <c r="K9905"/>
  <c r="G9905"/>
  <c r="K9904"/>
  <c r="G9904"/>
  <c r="K9903"/>
  <c r="G9903"/>
  <c r="K9902"/>
  <c r="G9902"/>
  <c r="K9901"/>
  <c r="G9901"/>
  <c r="K9900"/>
  <c r="G9900"/>
  <c r="K9899"/>
  <c r="G9899"/>
  <c r="K9898"/>
  <c r="G9898"/>
  <c r="K9897"/>
  <c r="G9897"/>
  <c r="K9896"/>
  <c r="G9896"/>
  <c r="K9895"/>
  <c r="G9895"/>
  <c r="K9894"/>
  <c r="G9894"/>
  <c r="K9893"/>
  <c r="G9893"/>
  <c r="K9892"/>
  <c r="G9892"/>
  <c r="K9891"/>
  <c r="G9891"/>
  <c r="K9890"/>
  <c r="G9890"/>
  <c r="K9889"/>
  <c r="G9889"/>
  <c r="K9888"/>
  <c r="G9888"/>
  <c r="K9887"/>
  <c r="G9887"/>
  <c r="K9886"/>
  <c r="G9886"/>
  <c r="K9885"/>
  <c r="G9885"/>
  <c r="K9884"/>
  <c r="G9884"/>
  <c r="K9883"/>
  <c r="G9883"/>
  <c r="K9882"/>
  <c r="G9882"/>
  <c r="K9881"/>
  <c r="G9881"/>
  <c r="K9880"/>
  <c r="G9880"/>
  <c r="K9879"/>
  <c r="G9879"/>
  <c r="K9878"/>
  <c r="G9878"/>
  <c r="K9877"/>
  <c r="G9877"/>
  <c r="K9876"/>
  <c r="G9876"/>
  <c r="K9875"/>
  <c r="G9875"/>
  <c r="K9874"/>
  <c r="G9874"/>
  <c r="K9873"/>
  <c r="G9873"/>
  <c r="K9872"/>
  <c r="G9872"/>
  <c r="K9871"/>
  <c r="G9871"/>
  <c r="K9870"/>
  <c r="G9870"/>
  <c r="K9869"/>
  <c r="G9869"/>
  <c r="K9868"/>
  <c r="G9868"/>
  <c r="K9867"/>
  <c r="G9867"/>
  <c r="K9866"/>
  <c r="G9866"/>
  <c r="K9865"/>
  <c r="G9865"/>
  <c r="K9864"/>
  <c r="G9864"/>
  <c r="K9863"/>
  <c r="G9863"/>
  <c r="K9862"/>
  <c r="G9862"/>
  <c r="K9861"/>
  <c r="G9861"/>
  <c r="K9860"/>
  <c r="G9860"/>
  <c r="K9859"/>
  <c r="G9859"/>
  <c r="K9858"/>
  <c r="G9858"/>
  <c r="K9857"/>
  <c r="G9857"/>
  <c r="K9856"/>
  <c r="G9856"/>
  <c r="K9855"/>
  <c r="G9855"/>
  <c r="K9854"/>
  <c r="G9854"/>
  <c r="K9853"/>
  <c r="G9853"/>
  <c r="K9852"/>
  <c r="G9852"/>
  <c r="K9851"/>
  <c r="G9851"/>
  <c r="K9850"/>
  <c r="G9850"/>
  <c r="K9849"/>
  <c r="G9849"/>
  <c r="K9848"/>
  <c r="G9848"/>
  <c r="K9847"/>
  <c r="G9847"/>
  <c r="K9846"/>
  <c r="G9846"/>
  <c r="K9845"/>
  <c r="G9845"/>
  <c r="K9844"/>
  <c r="G9844"/>
  <c r="K9843"/>
  <c r="G9843"/>
  <c r="K9842"/>
  <c r="G9842"/>
  <c r="K9841"/>
  <c r="G9841"/>
  <c r="K9840"/>
  <c r="G9840"/>
  <c r="K9839"/>
  <c r="G9839"/>
  <c r="K9838"/>
  <c r="G9838"/>
  <c r="K9837"/>
  <c r="G9837"/>
  <c r="K9836"/>
  <c r="G9836"/>
  <c r="K9835"/>
  <c r="G9835"/>
  <c r="K9834"/>
  <c r="G9834"/>
  <c r="K9833"/>
  <c r="G9833"/>
  <c r="K9832"/>
  <c r="G9832"/>
  <c r="K9831"/>
  <c r="G9831"/>
  <c r="K9830"/>
  <c r="G9830"/>
  <c r="K9829"/>
  <c r="G9829"/>
  <c r="K9828"/>
  <c r="G9828"/>
  <c r="K9827"/>
  <c r="G9827"/>
  <c r="K9826"/>
  <c r="G9826"/>
  <c r="K9825"/>
  <c r="G9825"/>
  <c r="K9824"/>
  <c r="G9824"/>
  <c r="K9823"/>
  <c r="G9823"/>
  <c r="K9822"/>
  <c r="G9822"/>
  <c r="K9821"/>
  <c r="G9821"/>
  <c r="K9820"/>
  <c r="G9820"/>
  <c r="K9819"/>
  <c r="G9819"/>
  <c r="K9818"/>
  <c r="G9818"/>
  <c r="K9817"/>
  <c r="G9817"/>
  <c r="K9816"/>
  <c r="G9816"/>
  <c r="K9815"/>
  <c r="G9815"/>
  <c r="K9814"/>
  <c r="G9814"/>
  <c r="K9813"/>
  <c r="G9813"/>
  <c r="K9812"/>
  <c r="G9812"/>
  <c r="K9811"/>
  <c r="G9811"/>
  <c r="K9810"/>
  <c r="G9810"/>
  <c r="K9809"/>
  <c r="G9809"/>
  <c r="K9808"/>
  <c r="G9808"/>
  <c r="K9807"/>
  <c r="G9807"/>
  <c r="K9806"/>
  <c r="G9806"/>
  <c r="K9805"/>
  <c r="G9805"/>
  <c r="K9804"/>
  <c r="G9804"/>
  <c r="K9803"/>
  <c r="G9803"/>
  <c r="K9802"/>
  <c r="G9802"/>
  <c r="K9801"/>
  <c r="G9801"/>
  <c r="K9800"/>
  <c r="G9800"/>
  <c r="K9799"/>
  <c r="G9799"/>
  <c r="K9798"/>
  <c r="G9798"/>
  <c r="K9797"/>
  <c r="G9797"/>
  <c r="K9796"/>
  <c r="G9796"/>
  <c r="K9795"/>
  <c r="G9795"/>
  <c r="K9794"/>
  <c r="G9794"/>
  <c r="K9793"/>
  <c r="G9793"/>
  <c r="K9792"/>
  <c r="G9792"/>
  <c r="K9791"/>
  <c r="G9791"/>
  <c r="K9790"/>
  <c r="G9790"/>
  <c r="K9789"/>
  <c r="G9789"/>
  <c r="K9788"/>
  <c r="G9788"/>
  <c r="K9787"/>
  <c r="G9787"/>
  <c r="K9786"/>
  <c r="G9786"/>
  <c r="K9785"/>
  <c r="G9785"/>
  <c r="K9784"/>
  <c r="G9784"/>
  <c r="K9783"/>
  <c r="G9783"/>
  <c r="K9782"/>
  <c r="G9782"/>
  <c r="K9781"/>
  <c r="G9781"/>
  <c r="K9780"/>
  <c r="G9780"/>
  <c r="K9779"/>
  <c r="G9779"/>
  <c r="K9778"/>
  <c r="G9778"/>
  <c r="K9777"/>
  <c r="G9777"/>
  <c r="K9776"/>
  <c r="G9776"/>
  <c r="K9775"/>
  <c r="G9775"/>
  <c r="K9774"/>
  <c r="G9774"/>
  <c r="K9773"/>
  <c r="G9773"/>
  <c r="K9772"/>
  <c r="G9772"/>
  <c r="K9771"/>
  <c r="G9771"/>
  <c r="K9770"/>
  <c r="G9770"/>
  <c r="K9769"/>
  <c r="G9769"/>
  <c r="K9768"/>
  <c r="G9768"/>
  <c r="K9767"/>
  <c r="G9767"/>
  <c r="K9766"/>
  <c r="G9766"/>
  <c r="K9765"/>
  <c r="G9765"/>
  <c r="K9764"/>
  <c r="G9764"/>
  <c r="K9763"/>
  <c r="G9763"/>
  <c r="K9762"/>
  <c r="G9762"/>
  <c r="K9761"/>
  <c r="G9761"/>
  <c r="K9760"/>
  <c r="G9760"/>
  <c r="K9759"/>
  <c r="G9759"/>
  <c r="K9758"/>
  <c r="G9758"/>
  <c r="K9757"/>
  <c r="G9757"/>
  <c r="K9756"/>
  <c r="G9756"/>
  <c r="K9755"/>
  <c r="G9755"/>
  <c r="K9754"/>
  <c r="G9754"/>
  <c r="K9753"/>
  <c r="G9753"/>
  <c r="K9752"/>
  <c r="G9752"/>
  <c r="K9751"/>
  <c r="G9751"/>
  <c r="K9750"/>
  <c r="G9750"/>
  <c r="K9749"/>
  <c r="G9749"/>
  <c r="K9748"/>
  <c r="G9748"/>
  <c r="K9747"/>
  <c r="G9747"/>
  <c r="K9746"/>
  <c r="G9746"/>
  <c r="K9745"/>
  <c r="G9745"/>
  <c r="K9744"/>
  <c r="G9744"/>
  <c r="K9743"/>
  <c r="G9743"/>
  <c r="K9742"/>
  <c r="G9742"/>
  <c r="K9741"/>
  <c r="G9741"/>
  <c r="K9740"/>
  <c r="G9740"/>
  <c r="K9739"/>
  <c r="G9739"/>
  <c r="K9738"/>
  <c r="G9738"/>
  <c r="K9737"/>
  <c r="G9737"/>
  <c r="K9736"/>
  <c r="G9736"/>
  <c r="K9735"/>
  <c r="G9735"/>
  <c r="K9734"/>
  <c r="G9734"/>
  <c r="K9733"/>
  <c r="G9733"/>
  <c r="K9732"/>
  <c r="G9732"/>
  <c r="K9731"/>
  <c r="G9731"/>
  <c r="K9730"/>
  <c r="G9730"/>
  <c r="K9729"/>
  <c r="G9729"/>
  <c r="K9728"/>
  <c r="G9728"/>
  <c r="K9727"/>
  <c r="G9727"/>
  <c r="K9726"/>
  <c r="G9726"/>
  <c r="K9725"/>
  <c r="G9725"/>
  <c r="K9724"/>
  <c r="G9724"/>
  <c r="K9723"/>
  <c r="G9723"/>
  <c r="K9722"/>
  <c r="G9722"/>
  <c r="K9721"/>
  <c r="G9721"/>
  <c r="K9720"/>
  <c r="G9720"/>
  <c r="K9719"/>
  <c r="G9719"/>
  <c r="K9718"/>
  <c r="G9718"/>
  <c r="K9717"/>
  <c r="G9717"/>
  <c r="K9716"/>
  <c r="G9716"/>
  <c r="K9715"/>
  <c r="G9715"/>
  <c r="K9714"/>
  <c r="G9714"/>
  <c r="K9713"/>
  <c r="G9713"/>
  <c r="K9712"/>
  <c r="G9712"/>
  <c r="K9711"/>
  <c r="G9711"/>
  <c r="K9710"/>
  <c r="G9710"/>
  <c r="K9709"/>
  <c r="G9709"/>
  <c r="K9708"/>
  <c r="G9708"/>
  <c r="K9707"/>
  <c r="G9707"/>
  <c r="K9706"/>
  <c r="G9706"/>
  <c r="K9705"/>
  <c r="G9705"/>
  <c r="K9704"/>
  <c r="G9704"/>
  <c r="K9703"/>
  <c r="G9703"/>
  <c r="K9702"/>
  <c r="G9702"/>
  <c r="K9701"/>
  <c r="G9701"/>
  <c r="K9700"/>
  <c r="G9700"/>
  <c r="K9699"/>
  <c r="G9699"/>
  <c r="K9698"/>
  <c r="G9698"/>
  <c r="K9697"/>
  <c r="G9697"/>
  <c r="K9696"/>
  <c r="G9696"/>
  <c r="K9695"/>
  <c r="G9695"/>
  <c r="K9694"/>
  <c r="G9694"/>
  <c r="K9693"/>
  <c r="G9693"/>
  <c r="K9692"/>
  <c r="G9692"/>
  <c r="K9691"/>
  <c r="G9691"/>
  <c r="K9690"/>
  <c r="G9690"/>
  <c r="K9689"/>
  <c r="G9689"/>
  <c r="K9688"/>
  <c r="G9688"/>
  <c r="K9687"/>
  <c r="G9687"/>
  <c r="K9686"/>
  <c r="G9686"/>
  <c r="K9685"/>
  <c r="G9685"/>
  <c r="K9684"/>
  <c r="G9684"/>
  <c r="K9683"/>
  <c r="G9683"/>
  <c r="K9682"/>
  <c r="G9682"/>
  <c r="K9681"/>
  <c r="G9681"/>
  <c r="K9680"/>
  <c r="G9680"/>
  <c r="K9679"/>
  <c r="G9679"/>
  <c r="K9678"/>
  <c r="G9678"/>
  <c r="K9677"/>
  <c r="G9677"/>
  <c r="K9676"/>
  <c r="G9676"/>
  <c r="K9675"/>
  <c r="G9675"/>
  <c r="K9674"/>
  <c r="G9674"/>
  <c r="K9673"/>
  <c r="G9673"/>
  <c r="K9672"/>
  <c r="G9672"/>
  <c r="K9671"/>
  <c r="G9671"/>
  <c r="K9670"/>
  <c r="G9670"/>
  <c r="K9669"/>
  <c r="G9669"/>
  <c r="K9668"/>
  <c r="G9668"/>
  <c r="K9667"/>
  <c r="G9667"/>
  <c r="K9666"/>
  <c r="G9666"/>
  <c r="K9665"/>
  <c r="G9665"/>
  <c r="K9664"/>
  <c r="G9664"/>
  <c r="K9663"/>
  <c r="G9663"/>
  <c r="K9662"/>
  <c r="G9662"/>
  <c r="K9661"/>
  <c r="G9661"/>
  <c r="K9660"/>
  <c r="G9660"/>
  <c r="K9659"/>
  <c r="G9659"/>
  <c r="K9658"/>
  <c r="G9658"/>
  <c r="K9657"/>
  <c r="G9657"/>
  <c r="K9656"/>
  <c r="G9656"/>
  <c r="K9655"/>
  <c r="G9655"/>
  <c r="K9654"/>
  <c r="G9654"/>
  <c r="K9653"/>
  <c r="G9653"/>
  <c r="K9652"/>
  <c r="G9652"/>
  <c r="K9651"/>
  <c r="G9651"/>
  <c r="K9650"/>
  <c r="G9650"/>
  <c r="K9649"/>
  <c r="G9649"/>
  <c r="K9648"/>
  <c r="G9648"/>
  <c r="K9647"/>
  <c r="G9647"/>
  <c r="K9646"/>
  <c r="G9646"/>
  <c r="K9645"/>
  <c r="G9645"/>
  <c r="K9644"/>
  <c r="G9644"/>
  <c r="K9643"/>
  <c r="G9643"/>
  <c r="K9642"/>
  <c r="G9642"/>
  <c r="K9641"/>
  <c r="G9641"/>
  <c r="K9640"/>
  <c r="G9640"/>
  <c r="K9639"/>
  <c r="G9639"/>
  <c r="K9638"/>
  <c r="G9638"/>
  <c r="K9637"/>
  <c r="G9637"/>
  <c r="K9636"/>
  <c r="G9636"/>
  <c r="K9635"/>
  <c r="G9635"/>
  <c r="K9634"/>
  <c r="G9634"/>
  <c r="K9633"/>
  <c r="G9633"/>
  <c r="K9632"/>
  <c r="G9632"/>
  <c r="K9631"/>
  <c r="G9631"/>
  <c r="K9630"/>
  <c r="G9630"/>
  <c r="K9629"/>
  <c r="G9629"/>
  <c r="K9628"/>
  <c r="G9628"/>
  <c r="K9627"/>
  <c r="G9627"/>
  <c r="K9626"/>
  <c r="G9626"/>
  <c r="K9625"/>
  <c r="G9625"/>
  <c r="K9624"/>
  <c r="G9624"/>
  <c r="K9623"/>
  <c r="G9623"/>
  <c r="K9622"/>
  <c r="G9622"/>
  <c r="K9621"/>
  <c r="G9621"/>
  <c r="K9620"/>
  <c r="G9620"/>
  <c r="K9619"/>
  <c r="G9619"/>
  <c r="K9618"/>
  <c r="G9618"/>
  <c r="K9617"/>
  <c r="G9617"/>
  <c r="K9616"/>
  <c r="G9616"/>
  <c r="K9615"/>
  <c r="G9615"/>
  <c r="K9614"/>
  <c r="G9614"/>
  <c r="K9613"/>
  <c r="G9613"/>
  <c r="K9612"/>
  <c r="G9612"/>
  <c r="K9611"/>
  <c r="G9611"/>
  <c r="K9610"/>
  <c r="G9610"/>
  <c r="K9609"/>
  <c r="G9609"/>
  <c r="K9608"/>
  <c r="G9608"/>
  <c r="K9607"/>
  <c r="G9607"/>
  <c r="K9606"/>
  <c r="G9606"/>
  <c r="K9605"/>
  <c r="G9605"/>
  <c r="K9604"/>
  <c r="G9604"/>
  <c r="K9603"/>
  <c r="G9603"/>
  <c r="K9602"/>
  <c r="G9602"/>
  <c r="K9601"/>
  <c r="G9601"/>
  <c r="K9600"/>
  <c r="G9600"/>
  <c r="K9599"/>
  <c r="G9599"/>
  <c r="K9598"/>
  <c r="G9598"/>
  <c r="K9597"/>
  <c r="G9597"/>
  <c r="K9596"/>
  <c r="G9596"/>
  <c r="K9595"/>
  <c r="G9595"/>
  <c r="K9594"/>
  <c r="G9594"/>
  <c r="K9593"/>
  <c r="G9593"/>
  <c r="K9592"/>
  <c r="G9592"/>
  <c r="K9591"/>
  <c r="G9591"/>
  <c r="K9590"/>
  <c r="G9590"/>
  <c r="K9589"/>
  <c r="G9589"/>
  <c r="K9588"/>
  <c r="G9588"/>
  <c r="K9587"/>
  <c r="G9587"/>
  <c r="K9586"/>
  <c r="G9586"/>
  <c r="K9585"/>
  <c r="G9585"/>
  <c r="K9584"/>
  <c r="G9584"/>
  <c r="K9583"/>
  <c r="G9583"/>
  <c r="K9582"/>
  <c r="G9582"/>
  <c r="K9581"/>
  <c r="G9581"/>
  <c r="K9580"/>
  <c r="G9580"/>
  <c r="K9579"/>
  <c r="G9579"/>
  <c r="K9578"/>
  <c r="G9578"/>
  <c r="K9577"/>
  <c r="G9577"/>
  <c r="K9576"/>
  <c r="G9576"/>
  <c r="K9575"/>
  <c r="G9575"/>
  <c r="K9574"/>
  <c r="G9574"/>
  <c r="K9573"/>
  <c r="G9573"/>
  <c r="K9572"/>
  <c r="G9572"/>
  <c r="K9571"/>
  <c r="G9571"/>
  <c r="K9570"/>
  <c r="G9570"/>
  <c r="K9569"/>
  <c r="G9569"/>
  <c r="K9568"/>
  <c r="G9568"/>
  <c r="K9567"/>
  <c r="G9567"/>
  <c r="K9566"/>
  <c r="G9566"/>
  <c r="K9565"/>
  <c r="G9565"/>
  <c r="K9564"/>
  <c r="G9564"/>
  <c r="K9563"/>
  <c r="G9563"/>
  <c r="K9562"/>
  <c r="G9562"/>
  <c r="K9561"/>
  <c r="G9561"/>
  <c r="K9560"/>
  <c r="G9560"/>
  <c r="K9559"/>
  <c r="G9559"/>
  <c r="K9558"/>
  <c r="G9558"/>
  <c r="K9557"/>
  <c r="G9557"/>
  <c r="K9556"/>
  <c r="G9556"/>
  <c r="K9555"/>
  <c r="G9555"/>
  <c r="K9554"/>
  <c r="G9554"/>
  <c r="K9553"/>
  <c r="G9553"/>
  <c r="K9552"/>
  <c r="G9552"/>
  <c r="K9551"/>
  <c r="G9551"/>
  <c r="K9550"/>
  <c r="G9550"/>
  <c r="K9549"/>
  <c r="G9549"/>
  <c r="K9548"/>
  <c r="G9548"/>
  <c r="K9547"/>
  <c r="G9547"/>
  <c r="K9546"/>
  <c r="G9546"/>
  <c r="K9545"/>
  <c r="G9545"/>
  <c r="K9544"/>
  <c r="G9544"/>
  <c r="K9543"/>
  <c r="G9543"/>
  <c r="K9542"/>
  <c r="G9542"/>
  <c r="K9541"/>
  <c r="G9541"/>
  <c r="K9540"/>
  <c r="G9540"/>
  <c r="K9539"/>
  <c r="G9539"/>
  <c r="K9538"/>
  <c r="G9538"/>
  <c r="K9537"/>
  <c r="G9537"/>
  <c r="K9536"/>
  <c r="G9536"/>
  <c r="K9535"/>
  <c r="G9535"/>
  <c r="K9534"/>
  <c r="G9534"/>
  <c r="K9533"/>
  <c r="G9533"/>
  <c r="K9532"/>
  <c r="G9532"/>
  <c r="K9531"/>
  <c r="G9531"/>
  <c r="K9530"/>
  <c r="G9530"/>
  <c r="K9529"/>
  <c r="G9529"/>
  <c r="K9528"/>
  <c r="G9528"/>
  <c r="K9527"/>
  <c r="G9527"/>
  <c r="K9526"/>
  <c r="G9526"/>
  <c r="K9525"/>
  <c r="G9525"/>
  <c r="K9524"/>
  <c r="G9524"/>
  <c r="K9523"/>
  <c r="G9523"/>
  <c r="K9522"/>
  <c r="G9522"/>
  <c r="K9521"/>
  <c r="G9521"/>
  <c r="K9520"/>
  <c r="G9520"/>
  <c r="K9519"/>
  <c r="G9519"/>
  <c r="K9518"/>
  <c r="G9518"/>
  <c r="K9517"/>
  <c r="G9517"/>
  <c r="K9516"/>
  <c r="G9516"/>
  <c r="K9515"/>
  <c r="G9515"/>
  <c r="K9514"/>
  <c r="G9514"/>
  <c r="K9513"/>
  <c r="G9513"/>
  <c r="K9512"/>
  <c r="G9512"/>
  <c r="K9511"/>
  <c r="G9511"/>
  <c r="K9510"/>
  <c r="G9510"/>
  <c r="K9509"/>
  <c r="G9509"/>
  <c r="K9508"/>
  <c r="G9508"/>
  <c r="K9507"/>
  <c r="G9507"/>
  <c r="K9506"/>
  <c r="G9506"/>
  <c r="K9505"/>
  <c r="G9505"/>
  <c r="K9504"/>
  <c r="G9504"/>
  <c r="K9503"/>
  <c r="G9503"/>
  <c r="K9502"/>
  <c r="G9502"/>
  <c r="K9501"/>
  <c r="G9501"/>
  <c r="K9500"/>
  <c r="G9500"/>
  <c r="K9499"/>
  <c r="G9499"/>
  <c r="K9498"/>
  <c r="G9498"/>
  <c r="K9497"/>
  <c r="G9497"/>
  <c r="K9496"/>
  <c r="G9496"/>
  <c r="K9495"/>
  <c r="G9495"/>
  <c r="K9494"/>
  <c r="G9494"/>
  <c r="K9493"/>
  <c r="G9493"/>
  <c r="K9492"/>
  <c r="G9492"/>
  <c r="K9491"/>
  <c r="G9491"/>
  <c r="K9490"/>
  <c r="G9490"/>
  <c r="K9489"/>
  <c r="G9489"/>
  <c r="K9488"/>
  <c r="G9488"/>
  <c r="K9487"/>
  <c r="G9487"/>
  <c r="K9486"/>
  <c r="G9486"/>
  <c r="K9485"/>
  <c r="G9485"/>
  <c r="K9484"/>
  <c r="G9484"/>
  <c r="K9483"/>
  <c r="G9483"/>
  <c r="K9482"/>
  <c r="G9482"/>
  <c r="K9481"/>
  <c r="G9481"/>
  <c r="K9480"/>
  <c r="G9480"/>
  <c r="K9479"/>
  <c r="G9479"/>
  <c r="G9153"/>
  <c r="G9141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G9156" l="1"/>
  <c r="K9156" s="1"/>
  <c r="G9155"/>
  <c r="K9155" s="1"/>
  <c r="G9370"/>
  <c r="K9370" s="1"/>
  <c r="G9369"/>
  <c r="K9369" s="1"/>
  <c r="G9368"/>
  <c r="K9368" s="1"/>
  <c r="G9144"/>
  <c r="K9144" s="1"/>
  <c r="G9143"/>
  <c r="K9143" s="1"/>
  <c r="G9367"/>
  <c r="K9367" s="1"/>
  <c r="G9366"/>
  <c r="K9366" s="1"/>
  <c r="G9365"/>
  <c r="K9365" s="1"/>
  <c r="G9364"/>
  <c r="K9364" s="1"/>
  <c r="G9363"/>
  <c r="K9363" s="1"/>
  <c r="G9362"/>
  <c r="K9362" s="1"/>
  <c r="G9361"/>
  <c r="K9361" s="1"/>
  <c r="G9360"/>
  <c r="K9360" s="1"/>
  <c r="G9359"/>
  <c r="K9359" s="1"/>
  <c r="G9358"/>
  <c r="K9358" s="1"/>
  <c r="G9357"/>
  <c r="K9357" s="1"/>
  <c r="G9356"/>
  <c r="K9356" s="1"/>
  <c r="G9355"/>
  <c r="K9355" s="1"/>
  <c r="G9354"/>
  <c r="K9354" s="1"/>
  <c r="G9353"/>
  <c r="K9353" s="1"/>
  <c r="G9352"/>
  <c r="K9352" s="1"/>
  <c r="G9351"/>
  <c r="K9351" s="1"/>
  <c r="G9350"/>
  <c r="K9350" s="1"/>
  <c r="G9349"/>
  <c r="K9349" s="1"/>
  <c r="G9348"/>
  <c r="K9348" s="1"/>
  <c r="G9347"/>
  <c r="K9347" s="1"/>
  <c r="G9346"/>
  <c r="K9346" s="1"/>
  <c r="G9345"/>
  <c r="K9345" s="1"/>
  <c r="G9344"/>
  <c r="K9344" s="1"/>
  <c r="G9343"/>
  <c r="K9343" s="1"/>
  <c r="G9342"/>
  <c r="K9342" s="1"/>
  <c r="G9341"/>
  <c r="K9341" s="1"/>
  <c r="G9340"/>
  <c r="K9340" s="1"/>
  <c r="G9339"/>
  <c r="K9339" s="1"/>
  <c r="G9338"/>
  <c r="K9338" s="1"/>
  <c r="G9337"/>
  <c r="K9337" s="1"/>
  <c r="G9336"/>
  <c r="K9336" s="1"/>
  <c r="G9335"/>
  <c r="K9335" s="1"/>
  <c r="G9334"/>
  <c r="K9334" s="1"/>
  <c r="G9333"/>
  <c r="K9333" s="1"/>
  <c r="G9332"/>
  <c r="K9332" s="1"/>
  <c r="G9331"/>
  <c r="K9331" s="1"/>
  <c r="G9330"/>
  <c r="K9330" s="1"/>
  <c r="G9329"/>
  <c r="K9329" s="1"/>
  <c r="G9328"/>
  <c r="K9328" s="1"/>
  <c r="G9327"/>
  <c r="K9327" s="1"/>
  <c r="G9326"/>
  <c r="K9326" s="1"/>
  <c r="G9325"/>
  <c r="K9325" s="1"/>
  <c r="G9324"/>
  <c r="K9324" s="1"/>
  <c r="G9323"/>
  <c r="K9323" s="1"/>
  <c r="G9322"/>
  <c r="K9322" s="1"/>
  <c r="G9321"/>
  <c r="K9321" s="1"/>
  <c r="G9320"/>
  <c r="K9320" s="1"/>
  <c r="G9319"/>
  <c r="K9319" s="1"/>
  <c r="G9318"/>
  <c r="K9318" s="1"/>
  <c r="G9317"/>
  <c r="K9317" s="1"/>
  <c r="G9316"/>
  <c r="K9316" s="1"/>
  <c r="G9315"/>
  <c r="K9315" s="1"/>
  <c r="G9314"/>
  <c r="K9314" s="1"/>
  <c r="G9313"/>
  <c r="K9313" s="1"/>
  <c r="G9312"/>
  <c r="K9312" s="1"/>
  <c r="G9311"/>
  <c r="K9311" s="1"/>
  <c r="G9310"/>
  <c r="K9310" s="1"/>
  <c r="G9309"/>
  <c r="K9309" s="1"/>
  <c r="G9308"/>
  <c r="K9308" s="1"/>
  <c r="G9307"/>
  <c r="K9307" s="1"/>
  <c r="G9306"/>
  <c r="K9306" s="1"/>
  <c r="G9305"/>
  <c r="K9305" s="1"/>
  <c r="G9304"/>
  <c r="K9304" s="1"/>
  <c r="G9303"/>
  <c r="K9303" s="1"/>
  <c r="G9302"/>
  <c r="K9302" s="1"/>
  <c r="G9301"/>
  <c r="K9301" s="1"/>
  <c r="G9300"/>
  <c r="K9300" s="1"/>
  <c r="G9299"/>
  <c r="K9299" s="1"/>
  <c r="G9298"/>
  <c r="K9298" s="1"/>
  <c r="G9297"/>
  <c r="K9297" s="1"/>
  <c r="G9296"/>
  <c r="K9296" s="1"/>
  <c r="G9295"/>
  <c r="K9295" s="1"/>
  <c r="G9294"/>
  <c r="K9294" s="1"/>
  <c r="G9293"/>
  <c r="K9293" s="1"/>
  <c r="G9292"/>
  <c r="K9292" s="1"/>
  <c r="G9291"/>
  <c r="K9291" s="1"/>
  <c r="G9290"/>
  <c r="K9290" s="1"/>
  <c r="G9289"/>
  <c r="K9289" s="1"/>
  <c r="G9288"/>
  <c r="K9288" s="1"/>
  <c r="G9287"/>
  <c r="K9287" s="1"/>
  <c r="G9286"/>
  <c r="K9286" s="1"/>
  <c r="G9285"/>
  <c r="K9285" s="1"/>
  <c r="G9284"/>
  <c r="K9284" s="1"/>
  <c r="G9283"/>
  <c r="K9283" s="1"/>
  <c r="G9282"/>
  <c r="K9282" s="1"/>
  <c r="G9281"/>
  <c r="K9281" s="1"/>
  <c r="G9280"/>
  <c r="K9280" s="1"/>
  <c r="G9279"/>
  <c r="K9279" s="1"/>
  <c r="G9278"/>
  <c r="K9278" s="1"/>
  <c r="G9277"/>
  <c r="K9277" s="1"/>
  <c r="G9276"/>
  <c r="K9276" s="1"/>
  <c r="G9275"/>
  <c r="K9275" s="1"/>
  <c r="G9274"/>
  <c r="K9274" s="1"/>
  <c r="G9273"/>
  <c r="K9273" s="1"/>
  <c r="G9272"/>
  <c r="K9272" s="1"/>
  <c r="G9271"/>
  <c r="K9271" s="1"/>
  <c r="G9270"/>
  <c r="K9270" s="1"/>
  <c r="G9269"/>
  <c r="K9269" s="1"/>
  <c r="G9268"/>
  <c r="K9268" s="1"/>
  <c r="G9267"/>
  <c r="K9267" s="1"/>
  <c r="G9265" l="1"/>
  <c r="K9265" s="1"/>
  <c r="G9264"/>
  <c r="K9264" s="1"/>
  <c r="G9263"/>
  <c r="K9263" s="1"/>
  <c r="G9262"/>
  <c r="K9262" s="1"/>
  <c r="G9261"/>
  <c r="K9261" s="1"/>
  <c r="G9260"/>
  <c r="K9260" s="1"/>
  <c r="G9259"/>
  <c r="K9259" s="1"/>
  <c r="G9258"/>
  <c r="K9258" s="1"/>
  <c r="G9257"/>
  <c r="K9257" s="1"/>
  <c r="G9256"/>
  <c r="K9256" s="1"/>
  <c r="G9255"/>
  <c r="K9255" s="1"/>
  <c r="G9254"/>
  <c r="K9254" s="1"/>
  <c r="G9253"/>
  <c r="K9253" s="1"/>
  <c r="G9252"/>
  <c r="K9252" s="1"/>
  <c r="G9251"/>
  <c r="K9251" s="1"/>
  <c r="G9250"/>
  <c r="K9250" s="1"/>
  <c r="G9249"/>
  <c r="K9249" s="1"/>
  <c r="G9248"/>
  <c r="K9248" s="1"/>
  <c r="G9247"/>
  <c r="K9247" s="1"/>
  <c r="G9246"/>
  <c r="K9246" s="1"/>
  <c r="G9245"/>
  <c r="K9245" s="1"/>
  <c r="G9244"/>
  <c r="K9244" s="1"/>
  <c r="G9243"/>
  <c r="K9243" s="1"/>
  <c r="G9242"/>
  <c r="K9242" s="1"/>
  <c r="G9241"/>
  <c r="K9241" s="1"/>
  <c r="G9240"/>
  <c r="K9240" s="1"/>
  <c r="G9239"/>
  <c r="K9239" s="1"/>
  <c r="G9238"/>
  <c r="K9238" s="1"/>
  <c r="G9237"/>
  <c r="K9237" s="1"/>
  <c r="G9236"/>
  <c r="K9236" s="1"/>
  <c r="G9235"/>
  <c r="K9235" s="1"/>
  <c r="G9234"/>
  <c r="K9234" s="1"/>
  <c r="G9233"/>
  <c r="K9233" s="1"/>
  <c r="G9232"/>
  <c r="K9232" s="1"/>
  <c r="G9231"/>
  <c r="K9231" s="1"/>
  <c r="G9230"/>
  <c r="K9230" s="1"/>
  <c r="G9229"/>
  <c r="K9229" s="1"/>
  <c r="G9228"/>
  <c r="K9228" s="1"/>
  <c r="G9227"/>
  <c r="K9227" s="1"/>
  <c r="G9226"/>
  <c r="K9226" s="1"/>
  <c r="G9225"/>
  <c r="K9225" s="1"/>
  <c r="G9224"/>
  <c r="K9224" s="1"/>
  <c r="G9223"/>
  <c r="K9223" s="1"/>
  <c r="G9222"/>
  <c r="K9222" s="1"/>
  <c r="G9221"/>
  <c r="K9221" s="1"/>
  <c r="G9220"/>
  <c r="K9220" s="1"/>
  <c r="G9219"/>
  <c r="K9219" s="1"/>
  <c r="G9218"/>
  <c r="K9218" s="1"/>
  <c r="G9217"/>
  <c r="K9217" s="1"/>
  <c r="G9216"/>
  <c r="K9216" s="1"/>
  <c r="G9215"/>
  <c r="K9215" s="1"/>
  <c r="G9214"/>
  <c r="K9214" s="1"/>
  <c r="G9213"/>
  <c r="K9213" s="1"/>
  <c r="G9212"/>
  <c r="K9212" s="1"/>
  <c r="G9211"/>
  <c r="K9211" s="1"/>
  <c r="G9210"/>
  <c r="K9210" s="1"/>
  <c r="G9209"/>
  <c r="K9209" s="1"/>
  <c r="G9208"/>
  <c r="K9208" s="1"/>
  <c r="G9207"/>
  <c r="K9207" s="1"/>
  <c r="G9206"/>
  <c r="K9206" s="1"/>
  <c r="G9205"/>
  <c r="K9205" s="1"/>
  <c r="G9204"/>
  <c r="K9204" s="1"/>
  <c r="G9203"/>
  <c r="K9203" s="1"/>
  <c r="G9202"/>
  <c r="K9202" s="1"/>
  <c r="G9201"/>
  <c r="K9201" s="1"/>
  <c r="G9200"/>
  <c r="K9200" s="1"/>
  <c r="G9199"/>
  <c r="K9199" s="1"/>
  <c r="G9198"/>
  <c r="K9198" s="1"/>
  <c r="G9197"/>
  <c r="K9197" s="1"/>
  <c r="G9196"/>
  <c r="K9196" s="1"/>
  <c r="G9195"/>
  <c r="K9195" s="1"/>
  <c r="G9194"/>
  <c r="K9194" s="1"/>
  <c r="G9193"/>
  <c r="K9193" s="1"/>
  <c r="G9192"/>
  <c r="K9192" s="1"/>
  <c r="G9191"/>
  <c r="K9191" s="1"/>
  <c r="G9190"/>
  <c r="K9190" s="1"/>
  <c r="G9189"/>
  <c r="K9189" s="1"/>
  <c r="G9188"/>
  <c r="K9188" s="1"/>
  <c r="G9187"/>
  <c r="K9187" s="1"/>
  <c r="G9186"/>
  <c r="K9186" s="1"/>
  <c r="G9185"/>
  <c r="K9185" s="1"/>
  <c r="G9184"/>
  <c r="K9184" s="1"/>
  <c r="G9183"/>
  <c r="K9183" s="1"/>
  <c r="G9182"/>
  <c r="K9182" s="1"/>
  <c r="G9181"/>
  <c r="K9181" s="1"/>
  <c r="G9180"/>
  <c r="K9180" s="1"/>
  <c r="G9179"/>
  <c r="K9179" s="1"/>
  <c r="G9178"/>
  <c r="K9178" s="1"/>
  <c r="G9177"/>
  <c r="K9177" s="1"/>
  <c r="G9176"/>
  <c r="K9176" s="1"/>
  <c r="G9175"/>
  <c r="K9175" s="1"/>
  <c r="G9174"/>
  <c r="K9174" s="1"/>
  <c r="G9173"/>
  <c r="K9173" s="1"/>
  <c r="G9172"/>
  <c r="K9172" s="1"/>
  <c r="G9171"/>
  <c r="K9171" s="1"/>
  <c r="G9170"/>
  <c r="K9170" s="1"/>
  <c r="G9169"/>
  <c r="K9169" s="1"/>
  <c r="G9168"/>
  <c r="K9168" s="1"/>
  <c r="G9167"/>
  <c r="K9167" s="1"/>
  <c r="G9166"/>
  <c r="K9166" s="1"/>
  <c r="G9165"/>
  <c r="K9165" s="1"/>
  <c r="G9164"/>
  <c r="K9164" s="1"/>
  <c r="G9163"/>
  <c r="K9163" s="1"/>
  <c r="G9162"/>
  <c r="K9162" s="1"/>
  <c r="G9161"/>
  <c r="K9161" s="1"/>
  <c r="G9160"/>
  <c r="K9160" s="1"/>
  <c r="G9159"/>
  <c r="K9159" s="1"/>
  <c r="G9158"/>
  <c r="K9158" s="1"/>
  <c r="G9157"/>
  <c r="K9157" s="1"/>
  <c r="G9154"/>
  <c r="K9154" s="1"/>
  <c r="K9153"/>
  <c r="K9152"/>
  <c r="G9152"/>
  <c r="K9151"/>
  <c r="G9151"/>
  <c r="G9150"/>
  <c r="K9150" s="1"/>
  <c r="G9149"/>
  <c r="K9149" s="1"/>
  <c r="K9148"/>
  <c r="G9148"/>
  <c r="K9147"/>
  <c r="G9147"/>
  <c r="K9146"/>
  <c r="G9146"/>
  <c r="K9145"/>
  <c r="G9145"/>
  <c r="G9142"/>
  <c r="K9142" s="1"/>
  <c r="K9141"/>
  <c r="K9140"/>
  <c r="G9140"/>
  <c r="K9139"/>
  <c r="G9139"/>
  <c r="G9138"/>
  <c r="K9138" s="1"/>
  <c r="G9137"/>
  <c r="K9137" s="1"/>
  <c r="K9136"/>
  <c r="G9136"/>
  <c r="K9135"/>
  <c r="G9135"/>
  <c r="K9133"/>
  <c r="G9133"/>
  <c r="K9134"/>
  <c r="G9134"/>
  <c r="G9132"/>
  <c r="K9132" s="1"/>
  <c r="G9131"/>
  <c r="K9131" s="1"/>
  <c r="G9130"/>
  <c r="K9130" s="1"/>
  <c r="G9129"/>
  <c r="K9129" s="1"/>
  <c r="G9128"/>
  <c r="K9128" s="1"/>
  <c r="G9127"/>
  <c r="K9127" s="1"/>
  <c r="G9126"/>
  <c r="K9126" s="1"/>
  <c r="G9125"/>
  <c r="K9125" s="1"/>
  <c r="G9124"/>
  <c r="K9124" s="1"/>
  <c r="G9123"/>
  <c r="K9123" s="1"/>
  <c r="G9122"/>
  <c r="K9122" s="1"/>
  <c r="G9121"/>
  <c r="K9121" s="1"/>
  <c r="G9120"/>
  <c r="K9120" s="1"/>
  <c r="G9119"/>
  <c r="K9119" s="1"/>
  <c r="G9118"/>
  <c r="K9118" s="1"/>
  <c r="G9117"/>
  <c r="K9117" s="1"/>
  <c r="G9116"/>
  <c r="K9116" s="1"/>
  <c r="G9115"/>
  <c r="K9115" s="1"/>
  <c r="G9114"/>
  <c r="K9114" s="1"/>
  <c r="G9113"/>
  <c r="K9113" s="1"/>
  <c r="G9112"/>
  <c r="K9112" s="1"/>
  <c r="G9111"/>
  <c r="K9111" s="1"/>
  <c r="G9110"/>
  <c r="K9110" s="1"/>
  <c r="G9109"/>
  <c r="K9109" s="1"/>
  <c r="G9108"/>
  <c r="K9108" s="1"/>
  <c r="G9107"/>
  <c r="K9107" s="1"/>
  <c r="G9106"/>
  <c r="K9106" s="1"/>
  <c r="G9105"/>
  <c r="K9105" s="1"/>
  <c r="G9104"/>
  <c r="K9104" s="1"/>
  <c r="G9103"/>
  <c r="K9103" s="1"/>
  <c r="G9102"/>
  <c r="K9102" s="1"/>
  <c r="G9101"/>
  <c r="K9101" s="1"/>
  <c r="G9100"/>
  <c r="K9100" s="1"/>
  <c r="G9099"/>
  <c r="K9099" s="1"/>
  <c r="G9098"/>
  <c r="K9098" s="1"/>
  <c r="G9097"/>
  <c r="K9097" s="1"/>
  <c r="G9096"/>
  <c r="K9096" s="1"/>
  <c r="G9095"/>
  <c r="K9095" s="1"/>
  <c r="G9094"/>
  <c r="K9094" s="1"/>
  <c r="G9093"/>
  <c r="K9093" s="1"/>
  <c r="G9092"/>
  <c r="K9092" s="1"/>
  <c r="G9091"/>
  <c r="K9091" s="1"/>
  <c r="G9090"/>
  <c r="K9090" s="1"/>
  <c r="G9089"/>
  <c r="K9089" s="1"/>
  <c r="G9088"/>
  <c r="K9088" s="1"/>
  <c r="G9087"/>
  <c r="K9087" s="1"/>
  <c r="G9086"/>
  <c r="K9086" s="1"/>
  <c r="G9085"/>
  <c r="K9085" s="1"/>
  <c r="G9084"/>
  <c r="K9084" s="1"/>
  <c r="G9083"/>
  <c r="K9083" s="1"/>
  <c r="G9082"/>
  <c r="K9082" s="1"/>
  <c r="G9081"/>
  <c r="K9081" s="1"/>
  <c r="G9080"/>
  <c r="K9080" s="1"/>
  <c r="G9079"/>
  <c r="K9079" s="1"/>
  <c r="G9078"/>
  <c r="K9078" s="1"/>
  <c r="G9077"/>
  <c r="K9077" s="1"/>
  <c r="G9076"/>
  <c r="K9076" s="1"/>
  <c r="G9075"/>
  <c r="K9075" s="1"/>
  <c r="G9074"/>
  <c r="K9074" s="1"/>
  <c r="G9073"/>
  <c r="K9073" s="1"/>
  <c r="G9072"/>
  <c r="K9072" s="1"/>
  <c r="G9071"/>
  <c r="K9071" s="1"/>
  <c r="G9070"/>
  <c r="K9070" s="1"/>
  <c r="G9069"/>
  <c r="K9069" s="1"/>
  <c r="G9068"/>
  <c r="K9068" s="1"/>
  <c r="G9067"/>
  <c r="K9067" s="1"/>
  <c r="G9066"/>
  <c r="K9066" s="1"/>
  <c r="G9065"/>
  <c r="K9065" s="1"/>
  <c r="G9064"/>
  <c r="K9064" s="1"/>
  <c r="G9063"/>
  <c r="K9063" s="1"/>
  <c r="G9062"/>
  <c r="K9062" s="1"/>
  <c r="G9061"/>
  <c r="K9061" s="1"/>
  <c r="G9060"/>
  <c r="K9060" s="1"/>
  <c r="G9059"/>
  <c r="K9059" s="1"/>
  <c r="G9058"/>
  <c r="K9058" s="1"/>
  <c r="G9057"/>
  <c r="K9057" s="1"/>
  <c r="G9056"/>
  <c r="K9056" s="1"/>
  <c r="G9055"/>
  <c r="K9055" s="1"/>
  <c r="G9054"/>
  <c r="K9054" s="1"/>
  <c r="G9053"/>
  <c r="K9053" s="1"/>
  <c r="G9052"/>
  <c r="K9052" s="1"/>
  <c r="G9051"/>
  <c r="K9051" s="1"/>
  <c r="G9050"/>
  <c r="K9050" s="1"/>
  <c r="G9049"/>
  <c r="K9049" s="1"/>
  <c r="G9048"/>
  <c r="K9048" s="1"/>
  <c r="G9047"/>
  <c r="K9047" s="1"/>
  <c r="G9046"/>
  <c r="K9046" s="1"/>
  <c r="G9045"/>
  <c r="K9045" s="1"/>
  <c r="G9044"/>
  <c r="K9044" s="1"/>
  <c r="G9043"/>
  <c r="K9043" s="1"/>
  <c r="G9042"/>
  <c r="K9042" s="1"/>
  <c r="G9041"/>
  <c r="K9041" s="1"/>
  <c r="G9040"/>
  <c r="K9040" s="1"/>
  <c r="G9039"/>
  <c r="K9039" s="1"/>
  <c r="G9038"/>
  <c r="K9038" s="1"/>
  <c r="G9037"/>
  <c r="K9037" s="1"/>
  <c r="G9036"/>
  <c r="K9036" s="1"/>
  <c r="G9035"/>
  <c r="K9035" s="1"/>
  <c r="G9034"/>
  <c r="K9034" s="1"/>
  <c r="G9033"/>
  <c r="K9033" s="1"/>
  <c r="G9032"/>
  <c r="K9032" s="1"/>
  <c r="G9031"/>
  <c r="K9031" s="1"/>
  <c r="G9030"/>
  <c r="K9030" s="1"/>
  <c r="G9029"/>
  <c r="K9029" s="1"/>
  <c r="G9028"/>
  <c r="K9028" s="1"/>
  <c r="G9027"/>
  <c r="K9027" s="1"/>
  <c r="G9026"/>
  <c r="K9026" s="1"/>
  <c r="G9025"/>
  <c r="K9025" s="1"/>
  <c r="G9024"/>
  <c r="K9024" s="1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G8917"/>
  <c r="K8917" s="1"/>
  <c r="G8916"/>
  <c r="K8916" s="1"/>
  <c r="G8915"/>
  <c r="K8915" s="1"/>
  <c r="G8914"/>
  <c r="K8914" s="1"/>
  <c r="G8913"/>
  <c r="K8913" s="1"/>
  <c r="G8912"/>
  <c r="K8912" s="1"/>
  <c r="G8911"/>
  <c r="K8911" s="1"/>
  <c r="G8910"/>
  <c r="K8910" s="1"/>
  <c r="G8909"/>
  <c r="K8909" s="1"/>
  <c r="G8908"/>
  <c r="K8908" s="1"/>
  <c r="G8907"/>
  <c r="K8907" s="1"/>
  <c r="G8906"/>
  <c r="K8906" s="1"/>
  <c r="G8905"/>
  <c r="K8905" s="1"/>
  <c r="G8904"/>
  <c r="K8904" s="1"/>
  <c r="G8903"/>
  <c r="K8903" s="1"/>
  <c r="G8902"/>
  <c r="K8902" s="1"/>
  <c r="G8901"/>
  <c r="K8901" s="1"/>
  <c r="G8900"/>
  <c r="K8900" s="1"/>
  <c r="G8899"/>
  <c r="K8899" s="1"/>
  <c r="G8898"/>
  <c r="K8898" s="1"/>
  <c r="G8897"/>
  <c r="K8897" s="1"/>
  <c r="G8896"/>
  <c r="K8896" s="1"/>
  <c r="G8895"/>
  <c r="K8895" s="1"/>
  <c r="G8894"/>
  <c r="K8894" s="1"/>
  <c r="G8893"/>
  <c r="K8893" s="1"/>
  <c r="G8892"/>
  <c r="K8892" s="1"/>
  <c r="G8891"/>
  <c r="K8891" s="1"/>
  <c r="G8890"/>
  <c r="K8890" s="1"/>
  <c r="G8889"/>
  <c r="K8889" s="1"/>
  <c r="G8888"/>
  <c r="K8888" s="1"/>
  <c r="G8887"/>
  <c r="K8887" s="1"/>
  <c r="G8886"/>
  <c r="K8886" s="1"/>
  <c r="G8885"/>
  <c r="K8885" s="1"/>
  <c r="G8884"/>
  <c r="K8884" s="1"/>
  <c r="G8883"/>
  <c r="K8883" s="1"/>
  <c r="G8882"/>
  <c r="K8882" s="1"/>
  <c r="G8881"/>
  <c r="K8881" s="1"/>
  <c r="G8880"/>
  <c r="K8880" s="1"/>
  <c r="G8879"/>
  <c r="K8879" s="1"/>
  <c r="G8878"/>
  <c r="K8878" s="1"/>
  <c r="G8877"/>
  <c r="K8877" s="1"/>
  <c r="G8876"/>
  <c r="K8876" s="1"/>
  <c r="G8875"/>
  <c r="K8875" s="1"/>
  <c r="G8874"/>
  <c r="K8874" s="1"/>
  <c r="G8873"/>
  <c r="K8873" s="1"/>
  <c r="G8872"/>
  <c r="K8872" s="1"/>
  <c r="G8871"/>
  <c r="K8871" s="1"/>
  <c r="G8870"/>
  <c r="K8870" s="1"/>
  <c r="G8869"/>
  <c r="K8869" s="1"/>
  <c r="G8868"/>
  <c r="K8868" s="1"/>
  <c r="G8867"/>
  <c r="K8867" s="1"/>
  <c r="G8866"/>
  <c r="K8866" s="1"/>
  <c r="G8865"/>
  <c r="K8865" s="1"/>
  <c r="G8864"/>
  <c r="K8864" s="1"/>
  <c r="G8863"/>
  <c r="K8863" s="1"/>
  <c r="G8862"/>
  <c r="K8862" s="1"/>
  <c r="G8861"/>
  <c r="K8861" s="1"/>
  <c r="G8860"/>
  <c r="K8860" s="1"/>
  <c r="G8859"/>
  <c r="K8859" s="1"/>
  <c r="G8858"/>
  <c r="K8858" s="1"/>
  <c r="G8857"/>
  <c r="K8857" s="1"/>
  <c r="G8856"/>
  <c r="K8856" s="1"/>
  <c r="G8855"/>
  <c r="K8855" s="1"/>
  <c r="G8854"/>
  <c r="K8854" s="1"/>
  <c r="G8853"/>
  <c r="K8853" s="1"/>
  <c r="G8852"/>
  <c r="K8852" s="1"/>
  <c r="G8851"/>
  <c r="K8851" s="1"/>
  <c r="G8850"/>
  <c r="K8850" s="1"/>
  <c r="G8849"/>
  <c r="K8849" s="1"/>
  <c r="G8848"/>
  <c r="K8848" s="1"/>
  <c r="G8847"/>
  <c r="K8847" s="1"/>
  <c r="G8846"/>
  <c r="K8846" s="1"/>
  <c r="G8845"/>
  <c r="K8845" s="1"/>
  <c r="G8844"/>
  <c r="K8844" s="1"/>
  <c r="G8843"/>
  <c r="K8843" s="1"/>
  <c r="G8842"/>
  <c r="K8842" s="1"/>
  <c r="G8841"/>
  <c r="K8841" s="1"/>
  <c r="G8840"/>
  <c r="K8840" s="1"/>
  <c r="G8839"/>
  <c r="K8839" s="1"/>
  <c r="G8838"/>
  <c r="K8838" s="1"/>
  <c r="G8837"/>
  <c r="K8837" s="1"/>
  <c r="G8836"/>
  <c r="K8836" s="1"/>
  <c r="G8835"/>
  <c r="K8835" s="1"/>
  <c r="G8834"/>
  <c r="K8834" s="1"/>
  <c r="G8833"/>
  <c r="K8833" s="1"/>
  <c r="G8832"/>
  <c r="K8832" s="1"/>
  <c r="G8831"/>
  <c r="K8831" s="1"/>
  <c r="G8830"/>
  <c r="K8830" s="1"/>
  <c r="G8829"/>
  <c r="K8829" s="1"/>
  <c r="G8828"/>
  <c r="K8828" s="1"/>
  <c r="G8827"/>
  <c r="K8827" s="1"/>
  <c r="G8826"/>
  <c r="K8826" s="1"/>
  <c r="G8825"/>
  <c r="K8825" s="1"/>
  <c r="G8824"/>
  <c r="K8824" s="1"/>
  <c r="G8823"/>
  <c r="K8823" s="1"/>
  <c r="G8822"/>
  <c r="K8822" s="1"/>
  <c r="G8821"/>
  <c r="K8821" s="1"/>
  <c r="G8820"/>
  <c r="K8820" s="1"/>
  <c r="G8819"/>
  <c r="K8819" s="1"/>
  <c r="G8818"/>
  <c r="K8818" s="1"/>
  <c r="G8817"/>
  <c r="K8817" s="1"/>
  <c r="G8816"/>
  <c r="K8816" s="1"/>
  <c r="G8815"/>
  <c r="K8815" s="1"/>
  <c r="G8814"/>
  <c r="K8814" s="1"/>
  <c r="G8813"/>
  <c r="K8813" s="1"/>
  <c r="G8812"/>
  <c r="K8812" s="1"/>
  <c r="G8811"/>
  <c r="K8811" s="1"/>
  <c r="G8810"/>
  <c r="K8810" s="1"/>
  <c r="G8809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K8702" s="1"/>
  <c r="G8701"/>
  <c r="K8701" s="1"/>
  <c r="G8700"/>
  <c r="K8700" s="1"/>
  <c r="G8699"/>
  <c r="K8699" s="1"/>
  <c r="G8698"/>
  <c r="K8698" s="1"/>
  <c r="G8697"/>
  <c r="K8697" s="1"/>
  <c r="G8696"/>
  <c r="K8696" s="1"/>
  <c r="G8695"/>
  <c r="K8695" s="1"/>
  <c r="G8694"/>
  <c r="K8694" s="1"/>
  <c r="G8693"/>
  <c r="K8693" s="1"/>
  <c r="G8692"/>
  <c r="K8692" s="1"/>
  <c r="G8691"/>
  <c r="K8691" s="1"/>
  <c r="G8690"/>
  <c r="K8690" s="1"/>
  <c r="G8689"/>
  <c r="K8689" s="1"/>
  <c r="G8688"/>
  <c r="K8688" s="1"/>
  <c r="G8687"/>
  <c r="K8687" s="1"/>
  <c r="G8686"/>
  <c r="K8686" s="1"/>
  <c r="G8685"/>
  <c r="K8685" s="1"/>
  <c r="G8684"/>
  <c r="K8684" s="1"/>
  <c r="G8683"/>
  <c r="K8683" s="1"/>
  <c r="G8682"/>
  <c r="K8682" s="1"/>
  <c r="G8681"/>
  <c r="K8681" s="1"/>
  <c r="G8680"/>
  <c r="K8680" s="1"/>
  <c r="G8679"/>
  <c r="K8679" s="1"/>
  <c r="G8678"/>
  <c r="K8678" s="1"/>
  <c r="G8677"/>
  <c r="K8677" s="1"/>
  <c r="G8676"/>
  <c r="K8676" s="1"/>
  <c r="G8675"/>
  <c r="K8675" s="1"/>
  <c r="G8674"/>
  <c r="K8674" s="1"/>
  <c r="G8673"/>
  <c r="K8673" s="1"/>
  <c r="G8672"/>
  <c r="K8672" s="1"/>
  <c r="G8671"/>
  <c r="K8671" s="1"/>
  <c r="G8670"/>
  <c r="K8670" s="1"/>
  <c r="G8669"/>
  <c r="K8669" s="1"/>
  <c r="G8668"/>
  <c r="K8668" s="1"/>
  <c r="G8667"/>
  <c r="K8667" s="1"/>
  <c r="G8666"/>
  <c r="K8666" s="1"/>
  <c r="G8665"/>
  <c r="K8665" s="1"/>
  <c r="G8664"/>
  <c r="K8664" s="1"/>
  <c r="G8663"/>
  <c r="K8663" s="1"/>
  <c r="G8662"/>
  <c r="K8662" s="1"/>
  <c r="G8661"/>
  <c r="K8661" s="1"/>
  <c r="G8660"/>
  <c r="K8660" s="1"/>
  <c r="G8659"/>
  <c r="K8659" s="1"/>
  <c r="G8658"/>
  <c r="K8658" s="1"/>
  <c r="G8657"/>
  <c r="K8657" s="1"/>
  <c r="G8656"/>
  <c r="K8656" s="1"/>
  <c r="G8655"/>
  <c r="K8655" s="1"/>
  <c r="G8654"/>
  <c r="K8654" s="1"/>
  <c r="G8653"/>
  <c r="K8653" s="1"/>
  <c r="G8652"/>
  <c r="K8652" s="1"/>
  <c r="G8651"/>
  <c r="K8651" s="1"/>
  <c r="G8650"/>
  <c r="K8650" s="1"/>
  <c r="G8649"/>
  <c r="K8649" s="1"/>
  <c r="G8648"/>
  <c r="K8648" s="1"/>
  <c r="G8647"/>
  <c r="K8647" s="1"/>
  <c r="G8646"/>
  <c r="K8646" s="1"/>
  <c r="G8645"/>
  <c r="K8645" s="1"/>
  <c r="G8644"/>
  <c r="K8644" s="1"/>
  <c r="G8643"/>
  <c r="K8643" s="1"/>
  <c r="G8642"/>
  <c r="K8642" s="1"/>
  <c r="G8641"/>
  <c r="K8641" s="1"/>
  <c r="G8640"/>
  <c r="K8640" s="1"/>
  <c r="G8639"/>
  <c r="K8639" s="1"/>
  <c r="G8638"/>
  <c r="K8638" s="1"/>
  <c r="G8637"/>
  <c r="K8637" s="1"/>
  <c r="G8636"/>
  <c r="K8636" s="1"/>
  <c r="G8635"/>
  <c r="K8635" s="1"/>
  <c r="G8634"/>
  <c r="K8634" s="1"/>
  <c r="G8633"/>
  <c r="K8633" s="1"/>
  <c r="G8632"/>
  <c r="K8632" s="1"/>
  <c r="G8631"/>
  <c r="K8631" s="1"/>
  <c r="G8630"/>
  <c r="K8630" s="1"/>
  <c r="G8629"/>
  <c r="K8629" s="1"/>
  <c r="G8628"/>
  <c r="K8628" s="1"/>
  <c r="G8627"/>
  <c r="K8627" s="1"/>
  <c r="G8626"/>
  <c r="K8626" s="1"/>
  <c r="G8625"/>
  <c r="K8625" s="1"/>
  <c r="G8624"/>
  <c r="K8624" s="1"/>
  <c r="G8623"/>
  <c r="K8623" s="1"/>
  <c r="G8622"/>
  <c r="K8622" s="1"/>
  <c r="G8621"/>
  <c r="K8621" s="1"/>
  <c r="G8620"/>
  <c r="K8620" s="1"/>
  <c r="G8619"/>
  <c r="K8619" s="1"/>
  <c r="G8618"/>
  <c r="K8618" s="1"/>
  <c r="G8617"/>
  <c r="K8617" s="1"/>
  <c r="G8616"/>
  <c r="K8616" s="1"/>
  <c r="G8615"/>
  <c r="K8615" s="1"/>
  <c r="G8614"/>
  <c r="K8614" s="1"/>
  <c r="G8613"/>
  <c r="K8613" s="1"/>
  <c r="G8612"/>
  <c r="K8612" s="1"/>
  <c r="G8611"/>
  <c r="K8611" s="1"/>
  <c r="G8610"/>
  <c r="K8610" s="1"/>
  <c r="G8609"/>
  <c r="K8609" s="1"/>
  <c r="G8608"/>
  <c r="K8608" s="1"/>
  <c r="G8607"/>
  <c r="K8607" s="1"/>
  <c r="G8606"/>
  <c r="K8606" s="1"/>
  <c r="G8605"/>
  <c r="K8605" s="1"/>
  <c r="G8604"/>
  <c r="K8604" s="1"/>
  <c r="G8603"/>
  <c r="K8603" s="1"/>
  <c r="G8602"/>
  <c r="K8602" s="1"/>
  <c r="G8601"/>
  <c r="K8601" s="1"/>
  <c r="G8600"/>
  <c r="K8600" s="1"/>
  <c r="G8599"/>
  <c r="K8599" s="1"/>
  <c r="G8598"/>
  <c r="K8598" s="1"/>
  <c r="G8597" l="1"/>
  <c r="K8597" s="1"/>
  <c r="G8596"/>
  <c r="K8596" s="1"/>
  <c r="G8595"/>
  <c r="K8595" s="1"/>
  <c r="G8594"/>
  <c r="G8593"/>
  <c r="K8593" s="1"/>
  <c r="G8592"/>
  <c r="G8591"/>
  <c r="K8591" s="1"/>
  <c r="G8590"/>
  <c r="G8589"/>
  <c r="K8589" s="1"/>
  <c r="G8588"/>
  <c r="K8588" s="1"/>
  <c r="G8587"/>
  <c r="K8587" s="1"/>
  <c r="G8586"/>
  <c r="G8585"/>
  <c r="K8585" s="1"/>
  <c r="G8584"/>
  <c r="G8583"/>
  <c r="K8583" s="1"/>
  <c r="G8582"/>
  <c r="K8582" s="1"/>
  <c r="G8581"/>
  <c r="K8581" s="1"/>
  <c r="G8580"/>
  <c r="K8580" s="1"/>
  <c r="G8579"/>
  <c r="K8579" s="1"/>
  <c r="G8578"/>
  <c r="K8578" s="1"/>
  <c r="G8577"/>
  <c r="K8577" s="1"/>
  <c r="G8576"/>
  <c r="G8575"/>
  <c r="K8575" s="1"/>
  <c r="G8574"/>
  <c r="K8574" s="1"/>
  <c r="G8573"/>
  <c r="K8573" s="1"/>
  <c r="G8572"/>
  <c r="K8572" s="1"/>
  <c r="G8571"/>
  <c r="K8571" s="1"/>
  <c r="G8570"/>
  <c r="G8569"/>
  <c r="K8569" s="1"/>
  <c r="G8568"/>
  <c r="G8567"/>
  <c r="K8567" s="1"/>
  <c r="G8566"/>
  <c r="K8566" s="1"/>
  <c r="G8565"/>
  <c r="K8565" s="1"/>
  <c r="G8564"/>
  <c r="K8564" s="1"/>
  <c r="G8563"/>
  <c r="G8562"/>
  <c r="G8561"/>
  <c r="K8561" s="1"/>
  <c r="G8560"/>
  <c r="G8559"/>
  <c r="G8558"/>
  <c r="K8558" s="1"/>
  <c r="G8557"/>
  <c r="K8557" s="1"/>
  <c r="G8556"/>
  <c r="K8556" s="1"/>
  <c r="G8555"/>
  <c r="K8555" s="1"/>
  <c r="G8554"/>
  <c r="G8553"/>
  <c r="K8553" s="1"/>
  <c r="G8552"/>
  <c r="G8551"/>
  <c r="K8551" s="1"/>
  <c r="G8550"/>
  <c r="K8550" s="1"/>
  <c r="G8549"/>
  <c r="K8549" s="1"/>
  <c r="G8548"/>
  <c r="K8548" s="1"/>
  <c r="G8547"/>
  <c r="K8547" s="1"/>
  <c r="G8546"/>
  <c r="G8545"/>
  <c r="K8545" s="1"/>
  <c r="G8544"/>
  <c r="G8543"/>
  <c r="K8543" s="1"/>
  <c r="G8542"/>
  <c r="K8542" s="1"/>
  <c r="G8541"/>
  <c r="K8541" s="1"/>
  <c r="G8540"/>
  <c r="K8540" s="1"/>
  <c r="G8539"/>
  <c r="K8539" s="1"/>
  <c r="G8538"/>
  <c r="G8537"/>
  <c r="K8537" s="1"/>
  <c r="G8536"/>
  <c r="G8535"/>
  <c r="K8535" s="1"/>
  <c r="G8534"/>
  <c r="K8534" s="1"/>
  <c r="G8533"/>
  <c r="K8533" s="1"/>
  <c r="G8532"/>
  <c r="K8532" s="1"/>
  <c r="G8531"/>
  <c r="K8531" s="1"/>
  <c r="G8530"/>
  <c r="G8529"/>
  <c r="K8529" s="1"/>
  <c r="G8528"/>
  <c r="K8528" s="1"/>
  <c r="G8527"/>
  <c r="K8527" s="1"/>
  <c r="G8526"/>
  <c r="K8526" s="1"/>
  <c r="G8525"/>
  <c r="K8525" s="1"/>
  <c r="G8524"/>
  <c r="K8524" s="1"/>
  <c r="G8523"/>
  <c r="K8523" s="1"/>
  <c r="G8522"/>
  <c r="K8522" s="1"/>
  <c r="G8521"/>
  <c r="K8521" s="1"/>
  <c r="G8520"/>
  <c r="G8519"/>
  <c r="K8519" s="1"/>
  <c r="G8518"/>
  <c r="K8518" s="1"/>
  <c r="G8517"/>
  <c r="K8517" s="1"/>
  <c r="G8516"/>
  <c r="K8516" s="1"/>
  <c r="G8515"/>
  <c r="K8515" s="1"/>
  <c r="G8514"/>
  <c r="K8514" s="1"/>
  <c r="G8513"/>
  <c r="K8513" s="1"/>
  <c r="G8512"/>
  <c r="K8512" s="1"/>
  <c r="G8511"/>
  <c r="K8511" s="1"/>
  <c r="G8510"/>
  <c r="K8510" s="1"/>
  <c r="G8509"/>
  <c r="K8509" s="1"/>
  <c r="G8508"/>
  <c r="K8508" s="1"/>
  <c r="G8507"/>
  <c r="K8507" s="1"/>
  <c r="G8506"/>
  <c r="G8505"/>
  <c r="K8505" s="1"/>
  <c r="G8504"/>
  <c r="K8504" s="1"/>
  <c r="G8503"/>
  <c r="K8503" s="1"/>
  <c r="G8502"/>
  <c r="K8502" s="1"/>
  <c r="G8501"/>
  <c r="K8501" s="1"/>
  <c r="G8500"/>
  <c r="K8500" s="1"/>
  <c r="G8499"/>
  <c r="K8499" s="1"/>
  <c r="G8498"/>
  <c r="G8497"/>
  <c r="K8497" s="1"/>
  <c r="G8496"/>
  <c r="K8496" s="1"/>
  <c r="G8495"/>
  <c r="K8495" s="1"/>
  <c r="G8494"/>
  <c r="K8494" s="1"/>
  <c r="G8493"/>
  <c r="K8493" s="1"/>
  <c r="G8492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K8385" s="1"/>
  <c r="G8384"/>
  <c r="K8384" s="1"/>
  <c r="G8383"/>
  <c r="K8383" s="1"/>
  <c r="G8382"/>
  <c r="K8382" s="1"/>
  <c r="G8381"/>
  <c r="K8381" s="1"/>
  <c r="G8380"/>
  <c r="K8380" s="1"/>
  <c r="G8379"/>
  <c r="K8379" s="1"/>
  <c r="G8378"/>
  <c r="G8377"/>
  <c r="K8377" s="1"/>
  <c r="G8376"/>
  <c r="K8376" s="1"/>
  <c r="G8375"/>
  <c r="K8375" s="1"/>
  <c r="G8374"/>
  <c r="K8374" s="1"/>
  <c r="G8373"/>
  <c r="K8373" s="1"/>
  <c r="G8372"/>
  <c r="K8372" s="1"/>
  <c r="G8371"/>
  <c r="K8371" s="1"/>
  <c r="G8370"/>
  <c r="K8370" s="1"/>
  <c r="G8369"/>
  <c r="K8369" s="1"/>
  <c r="G8368"/>
  <c r="K8368" s="1"/>
  <c r="G8367"/>
  <c r="K8367" s="1"/>
  <c r="G8366"/>
  <c r="K8366" s="1"/>
  <c r="G8365"/>
  <c r="K8365" s="1"/>
  <c r="G8364"/>
  <c r="K8364" s="1"/>
  <c r="G8363"/>
  <c r="K8363" s="1"/>
  <c r="G8362"/>
  <c r="G8361"/>
  <c r="K8361" s="1"/>
  <c r="G8360"/>
  <c r="K8360" s="1"/>
  <c r="G8359"/>
  <c r="K8359" s="1"/>
  <c r="G8358"/>
  <c r="K8358" s="1"/>
  <c r="G8357"/>
  <c r="K8357" s="1"/>
  <c r="G8356"/>
  <c r="K8356" s="1"/>
  <c r="G8355"/>
  <c r="K8355" s="1"/>
  <c r="G8354"/>
  <c r="K8354" s="1"/>
  <c r="G8353"/>
  <c r="K8353" s="1"/>
  <c r="G8352"/>
  <c r="K8352" s="1"/>
  <c r="G8351"/>
  <c r="K8351" s="1"/>
  <c r="G8350"/>
  <c r="K8350" s="1"/>
  <c r="G8349"/>
  <c r="K8349" s="1"/>
  <c r="G8348"/>
  <c r="K8348" s="1"/>
  <c r="G8347"/>
  <c r="K8347" s="1"/>
  <c r="G8346"/>
  <c r="K8346" s="1"/>
  <c r="G8345"/>
  <c r="K8345" s="1"/>
  <c r="G8344"/>
  <c r="K8344" s="1"/>
  <c r="G8343"/>
  <c r="K8343" s="1"/>
  <c r="G8342"/>
  <c r="K8342" s="1"/>
  <c r="G8341"/>
  <c r="K8341" s="1"/>
  <c r="G8340"/>
  <c r="K8340" s="1"/>
  <c r="G8339"/>
  <c r="K8339" s="1"/>
  <c r="G8338"/>
  <c r="K8338" s="1"/>
  <c r="G8337"/>
  <c r="K8337" s="1"/>
  <c r="G8336"/>
  <c r="K8336" s="1"/>
  <c r="G8335"/>
  <c r="K8335" s="1"/>
  <c r="G8334"/>
  <c r="K8334" s="1"/>
  <c r="G8333"/>
  <c r="K8333" s="1"/>
  <c r="G8332"/>
  <c r="K8332" s="1"/>
  <c r="G8331"/>
  <c r="K8331" s="1"/>
  <c r="G8330"/>
  <c r="K8330" s="1"/>
  <c r="G8329"/>
  <c r="K8329" s="1"/>
  <c r="G8328"/>
  <c r="K8328" s="1"/>
  <c r="G8327"/>
  <c r="K8327" s="1"/>
  <c r="G8326"/>
  <c r="K8326" s="1"/>
  <c r="G8325"/>
  <c r="K8325" s="1"/>
  <c r="G8324"/>
  <c r="K8324" s="1"/>
  <c r="G8323"/>
  <c r="K8323" s="1"/>
  <c r="G8322"/>
  <c r="K8322" s="1"/>
  <c r="G8321"/>
  <c r="K8321" s="1"/>
  <c r="G8320"/>
  <c r="K8320" s="1"/>
  <c r="G8319"/>
  <c r="K8319" s="1"/>
  <c r="G8318"/>
  <c r="K8318" s="1"/>
  <c r="G8317"/>
  <c r="K8317" s="1"/>
  <c r="G8316"/>
  <c r="K8316" s="1"/>
  <c r="G8315"/>
  <c r="K8315" s="1"/>
  <c r="G8314"/>
  <c r="K8314" s="1"/>
  <c r="G8313"/>
  <c r="K8313" s="1"/>
  <c r="G8312"/>
  <c r="K8312" s="1"/>
  <c r="G8311"/>
  <c r="K8311" s="1"/>
  <c r="G8310"/>
  <c r="K8310" s="1"/>
  <c r="G8309"/>
  <c r="K8309" s="1"/>
  <c r="G8308"/>
  <c r="K8308" s="1"/>
  <c r="G8307"/>
  <c r="K8307" s="1"/>
  <c r="G8306"/>
  <c r="K8306" s="1"/>
  <c r="G8305"/>
  <c r="K8305" s="1"/>
  <c r="G8304"/>
  <c r="K8304" s="1"/>
  <c r="G8303"/>
  <c r="K8303" s="1"/>
  <c r="G8302"/>
  <c r="K8302" s="1"/>
  <c r="G8301"/>
  <c r="K8301" s="1"/>
  <c r="G8300"/>
  <c r="K8300" s="1"/>
  <c r="G8299"/>
  <c r="K8299" s="1"/>
  <c r="G8298"/>
  <c r="K8298" s="1"/>
  <c r="G8297"/>
  <c r="K8297" s="1"/>
  <c r="G8296"/>
  <c r="K8296" s="1"/>
  <c r="G8295"/>
  <c r="K8295" s="1"/>
  <c r="G8294"/>
  <c r="K8294" s="1"/>
  <c r="G8293"/>
  <c r="K8293" s="1"/>
  <c r="G8292"/>
  <c r="K8292" s="1"/>
  <c r="G8291"/>
  <c r="K8291" s="1"/>
  <c r="G8290"/>
  <c r="K8290" s="1"/>
  <c r="G8289"/>
  <c r="K8289" s="1"/>
  <c r="G8288"/>
  <c r="K8288" s="1"/>
  <c r="G8287"/>
  <c r="K8287" s="1"/>
  <c r="G8286"/>
  <c r="K8286" s="1"/>
  <c r="G8285"/>
  <c r="K8285" s="1"/>
  <c r="G8284"/>
  <c r="K8284" s="1"/>
  <c r="G8283"/>
  <c r="K8283" s="1"/>
  <c r="G8282"/>
  <c r="G8281"/>
  <c r="K8281" s="1"/>
  <c r="G8280"/>
  <c r="K8280" s="1"/>
  <c r="G8279"/>
  <c r="K8279" s="1"/>
  <c r="G8278"/>
  <c r="K8278" s="1"/>
  <c r="G8277"/>
  <c r="K8277" s="1"/>
  <c r="G8276"/>
  <c r="K8276" s="1"/>
  <c r="G8275"/>
  <c r="K8275" s="1"/>
  <c r="G8274"/>
  <c r="K8274" s="1"/>
  <c r="G8273"/>
  <c r="K8273" s="1"/>
  <c r="G8272"/>
  <c r="K8272" s="1"/>
  <c r="G8271"/>
  <c r="K8271" s="1"/>
  <c r="G8270"/>
  <c r="K8270" s="1"/>
  <c r="G8269"/>
  <c r="K8269" s="1"/>
  <c r="G8268"/>
  <c r="K8268" s="1"/>
  <c r="G8267"/>
  <c r="K8267" s="1"/>
  <c r="G8266"/>
  <c r="K8266" s="1"/>
  <c r="G8265"/>
  <c r="K8265" s="1"/>
  <c r="G8264"/>
  <c r="K8264" s="1"/>
  <c r="G8263"/>
  <c r="K8263" s="1"/>
  <c r="G8262"/>
  <c r="K8262" s="1"/>
  <c r="G8261"/>
  <c r="K8261" s="1"/>
  <c r="G8260"/>
  <c r="K8260" s="1"/>
  <c r="G8259"/>
  <c r="K8259" s="1"/>
  <c r="G8258"/>
  <c r="K8258" s="1"/>
  <c r="G8257"/>
  <c r="K8257" s="1"/>
  <c r="G8256"/>
  <c r="K8256" s="1"/>
  <c r="G8255"/>
  <c r="K8255" s="1"/>
  <c r="G8254"/>
  <c r="K8254" s="1"/>
  <c r="G8253"/>
  <c r="K8253" s="1"/>
  <c r="G8252"/>
  <c r="K8252" s="1"/>
  <c r="G8251"/>
  <c r="K8251" s="1"/>
  <c r="G8250"/>
  <c r="K8250" s="1"/>
  <c r="G8249"/>
  <c r="K8249" s="1"/>
  <c r="G8248"/>
  <c r="K8248" s="1"/>
  <c r="G8247"/>
  <c r="K8247" s="1"/>
  <c r="G8246"/>
  <c r="K8246" s="1"/>
  <c r="G8245"/>
  <c r="K8245" s="1"/>
  <c r="G8244"/>
  <c r="K8244" s="1"/>
  <c r="G8243"/>
  <c r="K8243" s="1"/>
  <c r="G8242"/>
  <c r="K8242" s="1"/>
  <c r="G8241"/>
  <c r="K8241" s="1"/>
  <c r="G8240"/>
  <c r="K8240" s="1"/>
  <c r="G8239"/>
  <c r="K8239" s="1"/>
  <c r="G8238"/>
  <c r="K8238" s="1"/>
  <c r="G8237"/>
  <c r="K8237" s="1"/>
  <c r="G8236"/>
  <c r="K8236" s="1"/>
  <c r="G8235"/>
  <c r="K8235" s="1"/>
  <c r="G8234"/>
  <c r="K8234" s="1"/>
  <c r="G8233"/>
  <c r="K8233" s="1"/>
  <c r="G8232"/>
  <c r="K8232" s="1"/>
  <c r="G8231"/>
  <c r="K8231" s="1"/>
  <c r="G8230"/>
  <c r="K8230" s="1"/>
  <c r="G8229"/>
  <c r="K8229" s="1"/>
  <c r="G8228"/>
  <c r="K8228" s="1"/>
  <c r="G8227"/>
  <c r="K8227" s="1"/>
  <c r="G8226"/>
  <c r="K8226" s="1"/>
  <c r="G8225"/>
  <c r="K8225" s="1"/>
  <c r="G8224"/>
  <c r="K8224" s="1"/>
  <c r="G8223"/>
  <c r="K8223" s="1"/>
  <c r="G8222"/>
  <c r="K8222" s="1"/>
  <c r="G8221"/>
  <c r="K8221" s="1"/>
  <c r="G8220"/>
  <c r="K8220" s="1"/>
  <c r="G8219"/>
  <c r="K8219" s="1"/>
  <c r="G8218"/>
  <c r="K8218" s="1"/>
  <c r="G8217"/>
  <c r="K8217" s="1"/>
  <c r="G8216"/>
  <c r="K8216" s="1"/>
  <c r="G8215"/>
  <c r="K8215" s="1"/>
  <c r="G8214"/>
  <c r="K8214" s="1"/>
  <c r="G8213"/>
  <c r="K8213" s="1"/>
  <c r="G8212"/>
  <c r="K8212" s="1"/>
  <c r="G8211"/>
  <c r="K8211" s="1"/>
  <c r="G8210"/>
  <c r="K8210" s="1"/>
  <c r="G8209"/>
  <c r="K8209" s="1"/>
  <c r="G8208"/>
  <c r="K8208" s="1"/>
  <c r="G8207"/>
  <c r="K8207" s="1"/>
  <c r="G8206"/>
  <c r="K8206" s="1"/>
  <c r="G8205"/>
  <c r="K8205" s="1"/>
  <c r="G8204"/>
  <c r="K8204" s="1"/>
  <c r="G8203"/>
  <c r="K8203" s="1"/>
  <c r="G8202"/>
  <c r="K8202" s="1"/>
  <c r="G8201"/>
  <c r="K8201" s="1"/>
  <c r="G8200"/>
  <c r="K8200" s="1"/>
  <c r="G8199"/>
  <c r="K8199" s="1"/>
  <c r="G8198"/>
  <c r="K8198" s="1"/>
  <c r="G8197"/>
  <c r="K8197" s="1"/>
  <c r="G8196"/>
  <c r="K8196" s="1"/>
  <c r="G8195"/>
  <c r="K8195" s="1"/>
  <c r="G8194"/>
  <c r="K8194" s="1"/>
  <c r="G8193"/>
  <c r="K8193" s="1"/>
  <c r="G8192"/>
  <c r="K8192" s="1"/>
  <c r="G8191"/>
  <c r="K8191" s="1"/>
  <c r="G8190"/>
  <c r="K8190" s="1"/>
  <c r="G8189"/>
  <c r="K8189" s="1"/>
  <c r="G8188"/>
  <c r="K8188" s="1"/>
  <c r="G8187"/>
  <c r="K8187" s="1"/>
  <c r="G8186"/>
  <c r="K8186" s="1"/>
  <c r="G8185"/>
  <c r="K8185" s="1"/>
  <c r="G8184"/>
  <c r="K8184" s="1"/>
  <c r="G8183"/>
  <c r="K8183" s="1"/>
  <c r="G8182"/>
  <c r="K8182" s="1"/>
  <c r="G8181"/>
  <c r="K8181" s="1"/>
  <c r="G8180"/>
  <c r="K8180" s="1"/>
  <c r="G8179"/>
  <c r="K8179" s="1"/>
  <c r="G8178"/>
  <c r="K8178" s="1"/>
  <c r="G8177"/>
  <c r="K8177" s="1"/>
  <c r="G8176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0"/>
  <c r="K8506"/>
  <c r="K8498"/>
  <c r="K8378"/>
  <c r="K8362"/>
  <c r="K8282"/>
  <c r="K8391" l="1"/>
  <c r="K8399"/>
  <c r="K8407"/>
  <c r="K8415"/>
  <c r="K8423"/>
  <c r="K8430"/>
  <c r="K8438"/>
  <c r="K8446"/>
  <c r="K8454"/>
  <c r="K8462"/>
  <c r="K8470"/>
  <c r="K8478"/>
  <c r="K8486"/>
  <c r="K8390"/>
  <c r="K8398"/>
  <c r="K8406"/>
  <c r="K8414"/>
  <c r="K8422"/>
  <c r="K8429"/>
  <c r="K8437"/>
  <c r="K8445"/>
  <c r="K8453"/>
  <c r="K8461"/>
  <c r="K8469"/>
  <c r="K8477"/>
  <c r="K8485"/>
  <c r="K8389"/>
  <c r="K8397"/>
  <c r="K8405"/>
  <c r="K8413"/>
  <c r="K8421"/>
  <c r="K8428"/>
  <c r="K8436"/>
  <c r="K8444"/>
  <c r="K8452"/>
  <c r="K8460"/>
  <c r="K8468"/>
  <c r="K8476"/>
  <c r="K8484"/>
  <c r="K8388"/>
  <c r="K8396"/>
  <c r="K8404"/>
  <c r="K8412"/>
  <c r="K8420"/>
  <c r="K8427"/>
  <c r="K8435"/>
  <c r="K8443"/>
  <c r="K8451"/>
  <c r="K8459"/>
  <c r="K8467"/>
  <c r="K8475"/>
  <c r="K8483"/>
  <c r="K8491"/>
  <c r="K8387"/>
  <c r="K8395"/>
  <c r="K8403"/>
  <c r="K8411"/>
  <c r="K8419"/>
  <c r="K8426"/>
  <c r="K8434"/>
  <c r="K8442"/>
  <c r="K8450"/>
  <c r="K8458"/>
  <c r="K8466"/>
  <c r="K8474"/>
  <c r="K8482"/>
  <c r="K8490"/>
  <c r="K8386"/>
  <c r="K8394"/>
  <c r="K8402"/>
  <c r="K8410"/>
  <c r="K8418"/>
  <c r="K8425"/>
  <c r="K8433"/>
  <c r="K8441"/>
  <c r="K8449"/>
  <c r="K8457"/>
  <c r="K8465"/>
  <c r="K8473"/>
  <c r="K8481"/>
  <c r="K8489"/>
  <c r="K8393"/>
  <c r="K8401"/>
  <c r="K8409"/>
  <c r="K8417"/>
  <c r="K8424"/>
  <c r="K8432"/>
  <c r="K8440"/>
  <c r="K8448"/>
  <c r="K8456"/>
  <c r="K8464"/>
  <c r="K8472"/>
  <c r="K8480"/>
  <c r="K8488"/>
  <c r="K8392"/>
  <c r="K8400"/>
  <c r="K8408"/>
  <c r="K8416"/>
  <c r="K8431"/>
  <c r="K8439"/>
  <c r="K8447"/>
  <c r="K8455"/>
  <c r="K8463"/>
  <c r="K8471"/>
  <c r="K8479"/>
  <c r="K8487"/>
  <c r="K8132"/>
  <c r="K8081"/>
  <c r="K8103"/>
  <c r="K8110"/>
  <c r="K8154"/>
  <c r="K8162"/>
  <c r="K8171"/>
  <c r="K8072"/>
  <c r="K8080"/>
  <c r="K8088"/>
  <c r="K8102"/>
  <c r="K8109"/>
  <c r="K8116"/>
  <c r="K8124"/>
  <c r="K8131"/>
  <c r="K8137"/>
  <c r="K8145"/>
  <c r="K8153"/>
  <c r="K8161"/>
  <c r="K8169"/>
  <c r="K8097"/>
  <c r="K8163"/>
  <c r="K8079"/>
  <c r="K8087"/>
  <c r="K8095"/>
  <c r="K8101"/>
  <c r="K8108"/>
  <c r="K8115"/>
  <c r="K8123"/>
  <c r="K8130"/>
  <c r="K8136"/>
  <c r="K8144"/>
  <c r="K8152"/>
  <c r="K8160"/>
  <c r="K8168"/>
  <c r="K8086"/>
  <c r="K8151"/>
  <c r="K8077"/>
  <c r="K8085"/>
  <c r="K8093"/>
  <c r="K8100"/>
  <c r="K8107"/>
  <c r="K8113"/>
  <c r="K8121"/>
  <c r="K8135"/>
  <c r="K8142"/>
  <c r="K8150"/>
  <c r="K8158"/>
  <c r="K8166"/>
  <c r="K8174"/>
  <c r="K8074"/>
  <c r="K8076"/>
  <c r="K8084"/>
  <c r="K8092"/>
  <c r="K8099"/>
  <c r="K8106"/>
  <c r="K8112"/>
  <c r="K8120"/>
  <c r="K8128"/>
  <c r="K8134"/>
  <c r="K8141"/>
  <c r="K8149"/>
  <c r="K8157"/>
  <c r="K8165"/>
  <c r="K8173"/>
  <c r="K8126"/>
  <c r="K8075"/>
  <c r="K8083"/>
  <c r="K8091"/>
  <c r="K8098"/>
  <c r="K8105"/>
  <c r="K8111"/>
  <c r="K8119"/>
  <c r="K8127"/>
  <c r="K8133"/>
  <c r="K8140"/>
  <c r="K8148"/>
  <c r="K8156"/>
  <c r="K8164"/>
  <c r="K81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<sst xmlns="http://schemas.openxmlformats.org/spreadsheetml/2006/main" count="40212" uniqueCount="226">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</sst>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10024"/>
  <sheetViews>
    <sheetView tabSelected="1" topLeftCell="A4378" zoomScaleNormal="100" workbookViewId="0">
      <selection activeCell="A9921" sqref="A9921:XFD9921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 hidden="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 hidden="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hidden="1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 hidden="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>+E8918&amp;F8918</f>
        <v>002SOMERSET</v>
      </c>
      <c r="H8918" s="5">
        <v>7460</v>
      </c>
      <c r="I8918" s="6">
        <v>4121.4642855494085</v>
      </c>
      <c r="J8918" s="5">
        <v>31200</v>
      </c>
      <c r="K8918" s="6">
        <f t="shared" ref="K8918:K8952" si="367">+H8918/I8918</f>
        <v>1.8100363082499817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ref="G8919:G8982" si="368">+E8919&amp;F8919</f>
        <v>004BELLINA</v>
      </c>
      <c r="H8919" s="5">
        <v>2040</v>
      </c>
      <c r="I8919" s="6">
        <v>1056.7857142434418</v>
      </c>
      <c r="J8919" s="5">
        <v>8000</v>
      </c>
      <c r="K8919" s="6">
        <f t="shared" si="367"/>
        <v>1.9303818858494375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8"/>
        <v>005ELBA</v>
      </c>
      <c r="H8920" s="5">
        <v>6630</v>
      </c>
      <c r="I8920" s="6">
        <v>2641.9642856076484</v>
      </c>
      <c r="J8920" s="5">
        <v>19996</v>
      </c>
      <c r="K8920" s="6">
        <f t="shared" si="367"/>
        <v>2.5094964516051768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8"/>
        <v>005HOT BUBBLES</v>
      </c>
      <c r="H8921" s="5">
        <v>1300</v>
      </c>
      <c r="I8921" s="6">
        <v>528.39285712153003</v>
      </c>
      <c r="J8921" s="5">
        <v>4000</v>
      </c>
      <c r="K8921" s="6">
        <f t="shared" si="367"/>
        <v>2.4602906388286034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8"/>
        <v>005SUSPIRO</v>
      </c>
      <c r="H8922" s="5">
        <v>5100</v>
      </c>
      <c r="I8922" s="6">
        <v>1902.2142856375078</v>
      </c>
      <c r="J8922" s="5">
        <v>14400</v>
      </c>
      <c r="K8922" s="6">
        <f t="shared" si="367"/>
        <v>2.681085952569632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8"/>
        <v>007SNOW BUBBLES</v>
      </c>
      <c r="H8923" s="5">
        <v>1440</v>
      </c>
      <c r="I8923" s="6">
        <v>634.05652706821195</v>
      </c>
      <c r="J8923" s="5">
        <v>4800</v>
      </c>
      <c r="K8923" s="6">
        <f t="shared" si="367"/>
        <v>2.2710908862627077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8"/>
        <v>009HOT BUBBLES</v>
      </c>
      <c r="H8924" s="5">
        <v>8220</v>
      </c>
      <c r="I8924" s="6">
        <v>4487.9999999102474</v>
      </c>
      <c r="J8924" s="5">
        <v>31740</v>
      </c>
      <c r="K8924" s="6">
        <f t="shared" si="367"/>
        <v>1.8315508021756655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8"/>
        <v>014FRUITY BUBBLES</v>
      </c>
      <c r="H8925" s="5">
        <v>4325</v>
      </c>
      <c r="I8925" s="6">
        <v>1702.8</v>
      </c>
      <c r="J8925" s="5">
        <v>12900</v>
      </c>
      <c r="K8925" s="6">
        <f t="shared" si="367"/>
        <v>2.5399342259807378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8"/>
        <v>015FELLINI</v>
      </c>
      <c r="H8926" s="5">
        <v>6420</v>
      </c>
      <c r="I8926" s="6">
        <v>3009.6</v>
      </c>
      <c r="J8926" s="5">
        <v>22800</v>
      </c>
      <c r="K8926" s="6">
        <f t="shared" si="367"/>
        <v>2.1331738437001597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8"/>
        <v>016GOOD PEACH</v>
      </c>
      <c r="H8927" s="5">
        <v>3360</v>
      </c>
      <c r="I8927" s="6">
        <v>1386</v>
      </c>
      <c r="J8927" s="5">
        <v>10500</v>
      </c>
      <c r="K8927" s="6">
        <f t="shared" si="367"/>
        <v>2.4242424242424243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8"/>
        <v>016GOOD YELLOW</v>
      </c>
      <c r="H8928" s="5">
        <v>4920</v>
      </c>
      <c r="I8928" s="6">
        <v>1386</v>
      </c>
      <c r="J8928" s="5">
        <v>10500</v>
      </c>
      <c r="K8928" s="6">
        <f t="shared" si="367"/>
        <v>3.5497835497835499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8"/>
        <v>017ORANGE STAR</v>
      </c>
      <c r="H8929" s="5">
        <v>1300</v>
      </c>
      <c r="I8929" s="6">
        <v>1029.5999999999999</v>
      </c>
      <c r="J8929" s="5">
        <v>7800</v>
      </c>
      <c r="K8929" s="6">
        <f t="shared" si="367"/>
        <v>1.2626262626262628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8"/>
        <v>018COSMO</v>
      </c>
      <c r="H8930" s="5">
        <v>3975</v>
      </c>
      <c r="I8930" s="6">
        <v>2653.2</v>
      </c>
      <c r="J8930" s="5">
        <v>20100</v>
      </c>
      <c r="K8930" s="6">
        <f t="shared" si="367"/>
        <v>1.4981908638625057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8"/>
        <v>018RUBICON</v>
      </c>
      <c r="H8931" s="5">
        <v>3210</v>
      </c>
      <c r="I8931" s="6">
        <v>1768.8</v>
      </c>
      <c r="J8931" s="5">
        <v>13400</v>
      </c>
      <c r="K8931" s="6">
        <f t="shared" si="367"/>
        <v>1.8147896879240164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8"/>
        <v>019BELLINA</v>
      </c>
      <c r="H8932" s="5">
        <v>2250</v>
      </c>
      <c r="I8932" s="6">
        <v>1029.5999999999999</v>
      </c>
      <c r="J8932" s="5">
        <v>7800</v>
      </c>
      <c r="K8932" s="6">
        <f t="shared" si="367"/>
        <v>2.1853146853146854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8"/>
        <v>020SUMMER DANCE</v>
      </c>
      <c r="H8933" s="5">
        <v>3850</v>
      </c>
      <c r="I8933" s="6">
        <v>1346.4</v>
      </c>
      <c r="J8933" s="5">
        <v>10200</v>
      </c>
      <c r="K8933" s="6">
        <f t="shared" si="367"/>
        <v>2.8594771241830061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8"/>
        <v>021ELEGANT ROSEVER</v>
      </c>
      <c r="H8934" s="5">
        <v>600</v>
      </c>
      <c r="I8934" s="6">
        <v>440.18999062500001</v>
      </c>
      <c r="J8934" s="5">
        <v>3200</v>
      </c>
      <c r="K8934" s="6">
        <f t="shared" si="367"/>
        <v>1.3630478038541838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8"/>
        <v>021FLAME CLUB</v>
      </c>
      <c r="H8935" s="5">
        <v>1475</v>
      </c>
      <c r="I8935" s="6">
        <v>880.38</v>
      </c>
      <c r="J8935" s="5">
        <v>6400</v>
      </c>
      <c r="K8935" s="6">
        <f t="shared" si="367"/>
        <v>1.6754128898884573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8"/>
        <v>021KELLY</v>
      </c>
      <c r="H8936" s="5">
        <v>400</v>
      </c>
      <c r="I8936" s="6">
        <v>330.14249999999998</v>
      </c>
      <c r="J8936" s="5">
        <v>2400</v>
      </c>
      <c r="K8936" s="6">
        <f t="shared" si="367"/>
        <v>1.211598022066229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8"/>
        <v>021LEILA</v>
      </c>
      <c r="H8937" s="5">
        <v>875</v>
      </c>
      <c r="I8937" s="6">
        <v>1650.7125000000001</v>
      </c>
      <c r="J8937" s="5">
        <v>12000</v>
      </c>
      <c r="K8937" s="6">
        <f t="shared" si="367"/>
        <v>0.53007413465397513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8"/>
        <v>021SNOW BUBBLES</v>
      </c>
      <c r="H8938" s="5">
        <v>3060</v>
      </c>
      <c r="I8938" s="6">
        <v>1287.0000000000018</v>
      </c>
      <c r="J8938" s="5">
        <v>9400</v>
      </c>
      <c r="K8938" s="6">
        <f t="shared" si="367"/>
        <v>2.3776223776223744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8"/>
        <v>022FRUITY BUBBLES</v>
      </c>
      <c r="H8939" s="5">
        <v>6475</v>
      </c>
      <c r="I8939" s="6">
        <v>2641.14</v>
      </c>
      <c r="J8939" s="5">
        <v>19200</v>
      </c>
      <c r="K8939" s="6">
        <f t="shared" si="367"/>
        <v>2.4515928727746354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8"/>
        <v>022GOOD PEACH</v>
      </c>
      <c r="H8940" s="5">
        <v>2460</v>
      </c>
      <c r="I8940" s="6">
        <v>880.38</v>
      </c>
      <c r="J8940" s="5">
        <v>6400</v>
      </c>
      <c r="K8940" s="6">
        <f t="shared" si="367"/>
        <v>2.7942479383902405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8"/>
        <v>022MIRABEL</v>
      </c>
      <c r="H8941" s="5">
        <v>2240</v>
      </c>
      <c r="I8941" s="6">
        <v>880.38</v>
      </c>
      <c r="J8941" s="5">
        <v>6400</v>
      </c>
      <c r="K8941" s="6">
        <f t="shared" si="367"/>
        <v>2.544355846339081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8"/>
        <v>026PURPLE BUBBLY</v>
      </c>
      <c r="H8942" s="5" t="e">
        <v>#N/A</v>
      </c>
      <c r="I8942" s="6">
        <v>1755.4</v>
      </c>
      <c r="J8942" s="5">
        <v>12800</v>
      </c>
      <c r="K8942" s="6" t="e">
        <f t="shared" si="367"/>
        <v>#N/A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8"/>
        <v>030MIRABEL</v>
      </c>
      <c r="H8943" s="5">
        <v>7660</v>
      </c>
      <c r="I8943" s="6">
        <v>2413.6749943750001</v>
      </c>
      <c r="J8943" s="5">
        <v>17600</v>
      </c>
      <c r="K8943" s="6">
        <f t="shared" si="367"/>
        <v>3.1735838577486235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8"/>
        <v>030SOMERSET</v>
      </c>
      <c r="H8944" s="5">
        <v>3620</v>
      </c>
      <c r="I8944" s="6">
        <v>1645.6875</v>
      </c>
      <c r="J8944" s="5">
        <v>12000</v>
      </c>
      <c r="K8944" s="6">
        <f t="shared" si="367"/>
        <v>2.1996885800007595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8"/>
        <v>03182989</v>
      </c>
      <c r="H8945" s="5">
        <v>820</v>
      </c>
      <c r="I8945" s="6">
        <v>726.32013058333712</v>
      </c>
      <c r="J8945" s="5">
        <v>5712</v>
      </c>
      <c r="K8945" s="6">
        <f t="shared" si="367"/>
        <v>1.1289787594644043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8"/>
        <v>031RUBICON</v>
      </c>
      <c r="H8946" s="5">
        <v>2310</v>
      </c>
      <c r="I8946" s="6">
        <v>924.39958333667107</v>
      </c>
      <c r="J8946" s="5">
        <v>6720</v>
      </c>
      <c r="K8946" s="6">
        <f t="shared" si="367"/>
        <v>2.4989193435829211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8"/>
        <v>031SOMERSET</v>
      </c>
      <c r="H8947" s="5">
        <v>1040</v>
      </c>
      <c r="I8947" s="6">
        <v>1122.485208333339</v>
      </c>
      <c r="J8947" s="5">
        <v>8160</v>
      </c>
      <c r="K8947" s="6">
        <f t="shared" si="367"/>
        <v>0.92651554985226703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8"/>
        <v>031VELVET BLOSSOMS</v>
      </c>
      <c r="H8948" s="5">
        <v>920</v>
      </c>
      <c r="I8948" s="6">
        <v>396.17125000000198</v>
      </c>
      <c r="J8948" s="5">
        <v>2880</v>
      </c>
      <c r="K8948" s="6">
        <f t="shared" si="367"/>
        <v>2.3222280768733103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8"/>
        <v>032ELBA</v>
      </c>
      <c r="H8949" s="5">
        <v>2670</v>
      </c>
      <c r="I8949" s="6">
        <v>1535.9749999999999</v>
      </c>
      <c r="J8949" s="5">
        <v>11200</v>
      </c>
      <c r="K8949" s="6">
        <f t="shared" si="367"/>
        <v>1.7383095427985482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8"/>
        <v>032MIRABEL</v>
      </c>
      <c r="H8950" s="5">
        <v>2480</v>
      </c>
      <c r="I8950" s="6">
        <v>1535.9749999999999</v>
      </c>
      <c r="J8950" s="5">
        <v>11200</v>
      </c>
      <c r="K8950" s="6">
        <f t="shared" si="367"/>
        <v>1.6146096127866665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8"/>
        <v>033CREAMY FOLIES</v>
      </c>
      <c r="H8951" s="5">
        <v>1110</v>
      </c>
      <c r="I8951" s="6">
        <v>594.25687500000299</v>
      </c>
      <c r="J8951" s="5">
        <v>4320</v>
      </c>
      <c r="K8951" s="6">
        <f t="shared" si="367"/>
        <v>1.8678791053111408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8"/>
        <v>033HOT BUBBLES</v>
      </c>
      <c r="H8952" s="5">
        <v>5640</v>
      </c>
      <c r="I8952" s="6">
        <v>2575.1131250013459</v>
      </c>
      <c r="J8952" s="5">
        <v>18720</v>
      </c>
      <c r="K8952" s="6">
        <f t="shared" si="367"/>
        <v>2.1901950424011187</v>
      </c>
    </row>
    <row r="8953" spans="1:11" hidden="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8"/>
        <v>001BELIEVE IN PINK</v>
      </c>
      <c r="H8953" s="5">
        <v>1110</v>
      </c>
      <c r="I8953" s="6">
        <v>528.37931032368999</v>
      </c>
      <c r="J8953" s="5">
        <v>4000</v>
      </c>
      <c r="K8953" s="6">
        <f t="shared" ref="K8953:K8958" si="369">IFERROR(H8953/I8953,"")</f>
        <v>2.1007635581340303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8"/>
        <v>001EXPLORER</v>
      </c>
      <c r="H8954" s="5">
        <v>4950</v>
      </c>
      <c r="I8954" s="6">
        <v>2272.0310343918732</v>
      </c>
      <c r="J8954" s="5">
        <v>17200</v>
      </c>
      <c r="K8954" s="6">
        <f t="shared" si="369"/>
        <v>2.1786674235833692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8"/>
        <v>001GRACE KELLY</v>
      </c>
      <c r="H8955" s="5">
        <v>2010</v>
      </c>
      <c r="I8955" s="6">
        <v>1162.4344827121224</v>
      </c>
      <c r="J8955" s="5">
        <v>8800</v>
      </c>
      <c r="K8955" s="6">
        <f t="shared" si="369"/>
        <v>1.7291297100120331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8"/>
        <v>001LIGHT HOUSE</v>
      </c>
      <c r="H8956" s="5">
        <v>2010</v>
      </c>
      <c r="I8956" s="6">
        <v>1056.7586206473827</v>
      </c>
      <c r="J8956" s="5">
        <v>8000</v>
      </c>
      <c r="K8956" s="6">
        <f t="shared" si="369"/>
        <v>1.9020426810132387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8"/>
        <v>001LUMIA</v>
      </c>
      <c r="H8957" s="5">
        <v>3300</v>
      </c>
      <c r="I8957" s="6">
        <v>1109.596551679753</v>
      </c>
      <c r="J8957" s="5">
        <v>8400</v>
      </c>
      <c r="K8957" s="6">
        <f t="shared" si="369"/>
        <v>2.9740539433042792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8"/>
        <v>001MOMENTUM</v>
      </c>
      <c r="H8958" s="5">
        <v>5825</v>
      </c>
      <c r="I8958" s="6">
        <v>1902.1655171652881</v>
      </c>
      <c r="J8958" s="5">
        <v>14400</v>
      </c>
      <c r="K8958" s="6">
        <f t="shared" si="369"/>
        <v>3.0622992307634385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8"/>
        <v>002SUMMER ROMANCE</v>
      </c>
      <c r="H8959" s="5">
        <v>1575</v>
      </c>
      <c r="I8959" s="6">
        <v>951.10714281909407</v>
      </c>
      <c r="J8959" s="5">
        <v>7200</v>
      </c>
      <c r="K8959" s="6">
        <f t="shared" ref="K8959:K9019" si="370">+H8959/I8959</f>
        <v>1.6559648530571218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8"/>
        <v>002SWEETNESS</v>
      </c>
      <c r="H8960" s="5">
        <v>7110</v>
      </c>
      <c r="I8960" s="6">
        <v>3804.4285712763772</v>
      </c>
      <c r="J8960" s="5">
        <v>28800</v>
      </c>
      <c r="K8960" s="6">
        <f t="shared" si="370"/>
        <v>1.8688746198787511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8"/>
        <v>003CABARET</v>
      </c>
      <c r="H8961" s="5">
        <v>4860</v>
      </c>
      <c r="I8961" s="6">
        <v>2641.8965516184649</v>
      </c>
      <c r="J8961" s="5">
        <v>20000</v>
      </c>
      <c r="K8961" s="6">
        <f t="shared" si="370"/>
        <v>1.8395875482038433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8"/>
        <v>003DEEP PURPLE</v>
      </c>
      <c r="H8962" s="5">
        <v>7890</v>
      </c>
      <c r="I8962" s="6">
        <v>3592.9793102010913</v>
      </c>
      <c r="J8962" s="5">
        <v>26044</v>
      </c>
      <c r="K8962" s="6">
        <f t="shared" si="370"/>
        <v>2.1959491883515505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8"/>
        <v>003EXPLORER</v>
      </c>
      <c r="H8963" s="5">
        <v>2225</v>
      </c>
      <c r="I8963" s="6">
        <v>1268.1103447768633</v>
      </c>
      <c r="J8963" s="5">
        <v>9600</v>
      </c>
      <c r="K8963" s="6">
        <f t="shared" si="370"/>
        <v>1.7545791729910627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8"/>
        <v>003JOCKER</v>
      </c>
      <c r="H8964" s="5">
        <v>1325</v>
      </c>
      <c r="I8964" s="6">
        <v>528.37931032368999</v>
      </c>
      <c r="J8964" s="5">
        <v>4000</v>
      </c>
      <c r="K8964" s="6">
        <f t="shared" si="370"/>
        <v>2.5076682112861173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8"/>
        <v>003QUICKSAND</v>
      </c>
      <c r="H8965" s="5">
        <v>2910</v>
      </c>
      <c r="I8965" s="6">
        <v>1162.4344827121247</v>
      </c>
      <c r="J8965" s="5">
        <v>8800</v>
      </c>
      <c r="K8965" s="6">
        <f t="shared" si="370"/>
        <v>2.5033668935995057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8"/>
        <v>004COTOPAXI</v>
      </c>
      <c r="H8966" s="5">
        <v>1980</v>
      </c>
      <c r="I8966" s="6">
        <v>528.3915024419166</v>
      </c>
      <c r="J8966" s="5">
        <v>4000</v>
      </c>
      <c r="K8966" s="6">
        <f t="shared" si="370"/>
        <v>3.7472215030892766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8"/>
        <v>004DEEP PURPLE</v>
      </c>
      <c r="H8967" s="5">
        <v>7590</v>
      </c>
      <c r="I8967" s="6">
        <v>3910.1071427007282</v>
      </c>
      <c r="J8967" s="5">
        <v>29260</v>
      </c>
      <c r="K8967" s="6">
        <f t="shared" si="370"/>
        <v>1.9411232794908924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8"/>
        <v>004HOT EXPLORER</v>
      </c>
      <c r="H8968" s="5">
        <v>2150</v>
      </c>
      <c r="I8968" s="6">
        <v>1902.2142856381945</v>
      </c>
      <c r="J8968" s="5">
        <v>14400</v>
      </c>
      <c r="K8968" s="6">
        <f t="shared" si="370"/>
        <v>1.130261725102476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8"/>
        <v>004HOT MERENGUE</v>
      </c>
      <c r="H8969" s="5">
        <v>2490</v>
      </c>
      <c r="I8969" s="6">
        <v>1162.4642856677858</v>
      </c>
      <c r="J8969" s="5">
        <v>8800</v>
      </c>
      <c r="K8969" s="6">
        <f t="shared" si="370"/>
        <v>2.1420012904479058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8"/>
        <v>004SWEETNESS</v>
      </c>
      <c r="H8970" s="5">
        <v>630</v>
      </c>
      <c r="I8970" s="6">
        <v>317.03571427303262</v>
      </c>
      <c r="J8970" s="5">
        <v>2400</v>
      </c>
      <c r="K8970" s="6">
        <f t="shared" si="370"/>
        <v>1.9871578236685381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8"/>
        <v>005EXPLORER</v>
      </c>
      <c r="H8971" s="5">
        <v>1775</v>
      </c>
      <c r="I8971" s="6">
        <v>951.10714281875391</v>
      </c>
      <c r="J8971" s="5">
        <v>7200</v>
      </c>
      <c r="K8971" s="6">
        <f t="shared" si="370"/>
        <v>1.8662461042396459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8"/>
        <v>005GOLDFINCH</v>
      </c>
      <c r="H8972" s="5">
        <v>575</v>
      </c>
      <c r="I8972" s="6">
        <v>898.26785710660101</v>
      </c>
      <c r="J8972" s="5">
        <v>6800</v>
      </c>
      <c r="K8972" s="6">
        <f t="shared" si="370"/>
        <v>0.64012086756852804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8"/>
        <v>005JOCKER</v>
      </c>
      <c r="H8973" s="5">
        <v>2075</v>
      </c>
      <c r="I8973" s="6">
        <v>1162.4642856673661</v>
      </c>
      <c r="J8973" s="5">
        <v>8800</v>
      </c>
      <c r="K8973" s="6">
        <f t="shared" si="370"/>
        <v>1.7850010753738992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8"/>
        <v>005VENDELA</v>
      </c>
      <c r="H8974" s="5">
        <v>2070</v>
      </c>
      <c r="I8974" s="6">
        <v>686.91071425798896</v>
      </c>
      <c r="J8974" s="5">
        <v>5200</v>
      </c>
      <c r="K8974" s="6">
        <f t="shared" si="370"/>
        <v>3.0134920842456858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8"/>
        <v>006ATOMIC</v>
      </c>
      <c r="H8975" s="5">
        <v>1575</v>
      </c>
      <c r="I8975" s="6">
        <v>845.428571394752</v>
      </c>
      <c r="J8975" s="5">
        <v>6400</v>
      </c>
      <c r="K8975" s="6">
        <f t="shared" si="370"/>
        <v>1.8629604596892582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8"/>
        <v>006EXPLORER</v>
      </c>
      <c r="H8976" s="5">
        <v>8050</v>
      </c>
      <c r="I8976" s="6">
        <v>3910.1071427007355</v>
      </c>
      <c r="J8976" s="5">
        <v>29600</v>
      </c>
      <c r="K8976" s="6">
        <f t="shared" si="370"/>
        <v>2.0587671146115487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8"/>
        <v>006MONDIAL</v>
      </c>
      <c r="H8977" s="5">
        <v>8450</v>
      </c>
      <c r="I8977" s="6">
        <v>4015.7857141250793</v>
      </c>
      <c r="J8977" s="5">
        <v>30400</v>
      </c>
      <c r="K8977" s="6">
        <f t="shared" si="370"/>
        <v>2.1041959411026503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8"/>
        <v>007COTOPAXI</v>
      </c>
      <c r="H8978" s="5">
        <v>6450</v>
      </c>
      <c r="I8978" s="6">
        <v>2747.5751230427709</v>
      </c>
      <c r="J8978" s="5">
        <v>20800</v>
      </c>
      <c r="K8978" s="6">
        <f t="shared" si="370"/>
        <v>2.3475245302326879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8"/>
        <v>007REDIANT</v>
      </c>
      <c r="H8979" s="5">
        <v>2100</v>
      </c>
      <c r="I8979" s="6">
        <v>1056.75862064738</v>
      </c>
      <c r="J8979" s="5">
        <v>9600</v>
      </c>
      <c r="K8979" s="6">
        <f t="shared" si="370"/>
        <v>1.9872087712078665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si="368"/>
        <v>007VENDELA</v>
      </c>
      <c r="H8980" s="5">
        <v>11250</v>
      </c>
      <c r="I8980" s="6">
        <v>3592.9793102011122</v>
      </c>
      <c r="J8980" s="5">
        <v>27820</v>
      </c>
      <c r="K8980" s="6">
        <f t="shared" si="370"/>
        <v>3.1311062571552344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68"/>
        <v>008DEEP PURPLE</v>
      </c>
      <c r="H8981" s="5">
        <v>3450</v>
      </c>
      <c r="I8981" s="6">
        <v>1585.2222221588099</v>
      </c>
      <c r="J8981" s="5">
        <v>11490</v>
      </c>
      <c r="K8981" s="6">
        <f t="shared" si="370"/>
        <v>2.176351019923044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68"/>
        <v>008FREEDOM</v>
      </c>
      <c r="H8982" s="5">
        <v>3420</v>
      </c>
      <c r="I8982" s="6">
        <v>2219.311111022334</v>
      </c>
      <c r="J8982" s="5">
        <v>16800</v>
      </c>
      <c r="K8982" s="6">
        <f t="shared" si="370"/>
        <v>1.5410187346038944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ref="G8983:G9023" si="371">+E8983&amp;F8983</f>
        <v>008JOCKER</v>
      </c>
      <c r="H8983" s="5">
        <v>5425</v>
      </c>
      <c r="I8983" s="6">
        <v>2959.0814813631118</v>
      </c>
      <c r="J8983" s="5">
        <v>22400</v>
      </c>
      <c r="K8983" s="6">
        <f t="shared" si="370"/>
        <v>1.8333391743916945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v>2525</v>
      </c>
      <c r="I8984" s="6">
        <v>1912.3542857142861</v>
      </c>
      <c r="J8984" s="5">
        <v>16320</v>
      </c>
      <c r="K8984" s="6">
        <f t="shared" si="370"/>
        <v>1.3203620369208333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v>4740</v>
      </c>
      <c r="I8985" s="6">
        <v>2812.2857142428579</v>
      </c>
      <c r="J8985" s="5">
        <v>20000</v>
      </c>
      <c r="K8985" s="6">
        <f t="shared" si="370"/>
        <v>1.6854617494923108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v>3950</v>
      </c>
      <c r="I8986" s="6">
        <v>1768.8376470588223</v>
      </c>
      <c r="J8986" s="5">
        <v>12800</v>
      </c>
      <c r="K8986" s="6">
        <f t="shared" si="370"/>
        <v>2.2331048904165729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v>4200</v>
      </c>
      <c r="I8987" s="6">
        <v>2263.7999998868127</v>
      </c>
      <c r="J8987" s="5">
        <v>17920</v>
      </c>
      <c r="K8987" s="6">
        <f t="shared" si="370"/>
        <v>1.855287569666046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v>1290</v>
      </c>
      <c r="I8988" s="6">
        <v>994.97117647058747</v>
      </c>
      <c r="J8988" s="5">
        <v>7200</v>
      </c>
      <c r="K8988" s="6">
        <f t="shared" si="370"/>
        <v>1.2965199701321539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v>2070</v>
      </c>
      <c r="I8989" s="6">
        <v>994.97117647058747</v>
      </c>
      <c r="J8989" s="5">
        <v>7920</v>
      </c>
      <c r="K8989" s="6">
        <f t="shared" si="370"/>
        <v>2.0804622776539214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v>4425</v>
      </c>
      <c r="I8990" s="6">
        <v>2263.7999998868127</v>
      </c>
      <c r="J8990" s="5">
        <v>17920</v>
      </c>
      <c r="K8990" s="6">
        <f t="shared" si="370"/>
        <v>1.9546779751838699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v>16800</v>
      </c>
      <c r="I8991" s="6">
        <v>6727.0499997982479</v>
      </c>
      <c r="J8991" s="5">
        <v>49210</v>
      </c>
      <c r="K8991" s="6">
        <f t="shared" si="370"/>
        <v>2.4973799808985886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v>1440</v>
      </c>
      <c r="I8992" s="6">
        <v>994.95</v>
      </c>
      <c r="J8992" s="5">
        <v>7200</v>
      </c>
      <c r="K8992" s="6">
        <f t="shared" si="370"/>
        <v>1.447308909995477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v>1200</v>
      </c>
      <c r="I8993" s="6">
        <v>831.6</v>
      </c>
      <c r="J8993" s="5">
        <v>6300</v>
      </c>
      <c r="K8993" s="6">
        <f t="shared" si="370"/>
        <v>1.4430014430014431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v>3825</v>
      </c>
      <c r="I8994" s="6">
        <v>1267.2</v>
      </c>
      <c r="J8994" s="5">
        <v>9600</v>
      </c>
      <c r="K8994" s="6">
        <f t="shared" si="370"/>
        <v>3.0184659090909092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v>660</v>
      </c>
      <c r="I8995" s="6">
        <v>316.8</v>
      </c>
      <c r="J8995" s="5">
        <v>2400</v>
      </c>
      <c r="K8995" s="6">
        <f t="shared" si="370"/>
        <v>2.083333333333333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v>11610</v>
      </c>
      <c r="I8996" s="6">
        <v>3603.6</v>
      </c>
      <c r="J8996" s="5">
        <v>27296</v>
      </c>
      <c r="K8996" s="6">
        <f t="shared" si="370"/>
        <v>3.221778221778222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v>6900</v>
      </c>
      <c r="I8997" s="6">
        <v>3682.8</v>
      </c>
      <c r="J8997" s="5">
        <v>27900</v>
      </c>
      <c r="K8997" s="6">
        <f t="shared" si="370"/>
        <v>1.8735744542196153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v>4625</v>
      </c>
      <c r="I8998" s="6">
        <v>2376</v>
      </c>
      <c r="J8998" s="5">
        <v>18000</v>
      </c>
      <c r="K8998" s="6">
        <f t="shared" si="370"/>
        <v>1.9465488215488216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v>1710</v>
      </c>
      <c r="I8999" s="6">
        <v>950.4</v>
      </c>
      <c r="J8999" s="5">
        <v>7200</v>
      </c>
      <c r="K8999" s="6">
        <f t="shared" si="370"/>
        <v>1.7992424242424243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v>2425</v>
      </c>
      <c r="I9000" s="6">
        <v>1346.4</v>
      </c>
      <c r="J9000" s="5">
        <v>10200</v>
      </c>
      <c r="K9000" s="6">
        <f t="shared" si="370"/>
        <v>1.8010992275698157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v>4470</v>
      </c>
      <c r="I9001" s="6">
        <v>2851.2</v>
      </c>
      <c r="J9001" s="5">
        <v>21600</v>
      </c>
      <c r="K9001" s="6">
        <f t="shared" si="370"/>
        <v>1.5677609427609429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v>3075</v>
      </c>
      <c r="I9002" s="6">
        <v>2138.4</v>
      </c>
      <c r="J9002" s="5">
        <v>16200</v>
      </c>
      <c r="K9002" s="6">
        <f t="shared" si="370"/>
        <v>1.4379910213243545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v>1850</v>
      </c>
      <c r="I9003" s="6">
        <v>963.6</v>
      </c>
      <c r="J9003" s="5">
        <v>7570</v>
      </c>
      <c r="K9003" s="6">
        <f t="shared" si="370"/>
        <v>1.9198837691988377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v>6325</v>
      </c>
      <c r="I9004" s="6">
        <v>3168</v>
      </c>
      <c r="J9004" s="5">
        <v>24000</v>
      </c>
      <c r="K9004" s="6">
        <f t="shared" si="370"/>
        <v>1.9965277777777777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v>3540</v>
      </c>
      <c r="I9005" s="6">
        <v>1188</v>
      </c>
      <c r="J9005" s="5">
        <v>9000</v>
      </c>
      <c r="K9005" s="6">
        <f t="shared" si="370"/>
        <v>2.9797979797979797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v>5575</v>
      </c>
      <c r="I9006" s="6">
        <v>2732.4</v>
      </c>
      <c r="J9006" s="5">
        <v>20700</v>
      </c>
      <c r="K9006" s="6">
        <f t="shared" si="370"/>
        <v>2.0403308446786705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v>1290</v>
      </c>
      <c r="I9007" s="6">
        <v>673.2</v>
      </c>
      <c r="J9007" s="5">
        <v>5100</v>
      </c>
      <c r="K9007" s="6">
        <f t="shared" si="370"/>
        <v>1.9162210338680925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v>1775</v>
      </c>
      <c r="I9008" s="6">
        <v>1100.4749999999999</v>
      </c>
      <c r="J9008" s="5">
        <v>8000</v>
      </c>
      <c r="K9008" s="6">
        <f t="shared" si="370"/>
        <v>1.6129398668756674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v>2625</v>
      </c>
      <c r="I9009" s="6">
        <v>1287</v>
      </c>
      <c r="J9009" s="5">
        <v>9400</v>
      </c>
      <c r="K9009" s="6">
        <f t="shared" si="370"/>
        <v>2.0396270396270397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v>8760</v>
      </c>
      <c r="I9010" s="6">
        <v>2641.14</v>
      </c>
      <c r="J9010" s="5">
        <v>19200</v>
      </c>
      <c r="K9010" s="6">
        <f t="shared" si="370"/>
        <v>3.3167495854063018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v>5040</v>
      </c>
      <c r="I9011" s="6">
        <v>2641.14</v>
      </c>
      <c r="J9011" s="5">
        <v>19200</v>
      </c>
      <c r="K9011" s="6">
        <f t="shared" si="370"/>
        <v>1.9082668847543107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v>4050</v>
      </c>
      <c r="I9012" s="6">
        <v>1430.6174906250001</v>
      </c>
      <c r="J9012" s="5">
        <v>10400</v>
      </c>
      <c r="K9012" s="6">
        <f t="shared" si="370"/>
        <v>2.8309453970331782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v>2340</v>
      </c>
      <c r="I9013" s="6">
        <v>1430.6175000000001</v>
      </c>
      <c r="J9013" s="5">
        <v>10400</v>
      </c>
      <c r="K9013" s="6">
        <f t="shared" si="370"/>
        <v>1.635657329789409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v>4290</v>
      </c>
      <c r="I9014" s="6">
        <v>2861.2350000000001</v>
      </c>
      <c r="J9014" s="5">
        <v>20800</v>
      </c>
      <c r="K9014" s="6">
        <f t="shared" si="370"/>
        <v>1.4993525523069582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v>6400</v>
      </c>
      <c r="I9015" s="6">
        <v>3071.9505625000002</v>
      </c>
      <c r="J9015" s="5">
        <v>22400</v>
      </c>
      <c r="K9015" s="6">
        <f t="shared" si="370"/>
        <v>2.0833668608233014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v>3625</v>
      </c>
      <c r="I9016" s="6">
        <v>1097.125</v>
      </c>
      <c r="J9016" s="5">
        <v>8000</v>
      </c>
      <c r="K9016" s="6">
        <f t="shared" si="370"/>
        <v>3.3040902358436823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v>4150</v>
      </c>
      <c r="I9017" s="6">
        <v>2852.5250000000001</v>
      </c>
      <c r="J9017" s="5">
        <v>20800</v>
      </c>
      <c r="K9017" s="6">
        <f t="shared" si="370"/>
        <v>1.4548514035810378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v>5370</v>
      </c>
      <c r="I9018" s="6">
        <v>2633.1</v>
      </c>
      <c r="J9018" s="5">
        <v>19200</v>
      </c>
      <c r="K9018" s="6">
        <f t="shared" si="370"/>
        <v>2.0394212145379971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v>5910</v>
      </c>
      <c r="I9019" s="6">
        <v>2633.1</v>
      </c>
      <c r="J9019" s="5">
        <v>19200</v>
      </c>
      <c r="K9019" s="6">
        <f t="shared" si="370"/>
        <v>2.2445026774524326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v>7230</v>
      </c>
      <c r="I9020" s="6">
        <v>2852.5250000000001</v>
      </c>
      <c r="J9020" s="5">
        <v>20800</v>
      </c>
      <c r="K9020" s="6">
        <f t="shared" ref="K9020:K9058" si="372">+H9020/I9020</f>
        <v>2.5345965416604588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v>5670</v>
      </c>
      <c r="I9021" s="6">
        <v>2852.5250000000001</v>
      </c>
      <c r="J9021" s="5">
        <v>20800</v>
      </c>
      <c r="K9021" s="6">
        <f t="shared" si="372"/>
        <v>1.9877126405552974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v>3525</v>
      </c>
      <c r="I9022" s="6">
        <v>3071.95</v>
      </c>
      <c r="J9022" s="5">
        <v>22400</v>
      </c>
      <c r="K9022" s="6">
        <f t="shared" si="372"/>
        <v>1.1474796139260079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v>2950</v>
      </c>
      <c r="I9023" s="6">
        <v>1645.6875</v>
      </c>
      <c r="J9023" s="5">
        <v>12000</v>
      </c>
      <c r="K9023" s="6">
        <f t="shared" si="372"/>
        <v>1.7925638980669174</v>
      </c>
    </row>
    <row r="9024" spans="1:11" hidden="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ref="G9024:G9043" si="373">+E9024&amp;F9024</f>
        <v>002SOMERSET</v>
      </c>
      <c r="H9024" s="5">
        <v>7920</v>
      </c>
      <c r="I9024" s="6">
        <v>4121.4642855494085</v>
      </c>
      <c r="J9024" s="5">
        <v>31200</v>
      </c>
      <c r="K9024" s="6">
        <f t="shared" si="372"/>
        <v>1.9216471261849672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3"/>
        <v>004BELLINA</v>
      </c>
      <c r="H9025" s="5">
        <v>1755</v>
      </c>
      <c r="I9025" s="6">
        <v>1056.7857142434418</v>
      </c>
      <c r="J9025" s="5">
        <v>8000</v>
      </c>
      <c r="K9025" s="6">
        <f t="shared" si="372"/>
        <v>1.6606961812087073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3"/>
        <v>005ELBA</v>
      </c>
      <c r="H9026" s="5">
        <v>6300</v>
      </c>
      <c r="I9026" s="6">
        <v>2641.9642856076484</v>
      </c>
      <c r="J9026" s="5">
        <v>19996</v>
      </c>
      <c r="K9026" s="6">
        <f t="shared" si="372"/>
        <v>2.3845893884031093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3"/>
        <v>005HOT BUBBLES</v>
      </c>
      <c r="H9027" s="5">
        <v>1060</v>
      </c>
      <c r="I9027" s="6">
        <v>528.39285712153003</v>
      </c>
      <c r="J9027" s="5">
        <v>4000</v>
      </c>
      <c r="K9027" s="6">
        <f t="shared" si="372"/>
        <v>2.0060831362756302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3"/>
        <v>005SUSPIRO</v>
      </c>
      <c r="H9028" s="5">
        <v>4740</v>
      </c>
      <c r="I9028" s="6">
        <v>1902.2142856375078</v>
      </c>
      <c r="J9028" s="5">
        <v>14400</v>
      </c>
      <c r="K9028" s="6">
        <f t="shared" si="372"/>
        <v>2.4918328265058936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3"/>
        <v>007SNOW BUBBLES</v>
      </c>
      <c r="H9029" s="5">
        <v>880</v>
      </c>
      <c r="I9029" s="6">
        <v>634.05652706821195</v>
      </c>
      <c r="J9029" s="5">
        <v>4800</v>
      </c>
      <c r="K9029" s="6">
        <f t="shared" si="372"/>
        <v>1.3878888749383214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3"/>
        <v>009HOT BUBBLES</v>
      </c>
      <c r="H9030" s="5">
        <v>7560</v>
      </c>
      <c r="I9030" s="6">
        <v>4487.9999999102474</v>
      </c>
      <c r="J9030" s="5">
        <v>31740</v>
      </c>
      <c r="K9030" s="6">
        <f t="shared" si="372"/>
        <v>1.6844919786433128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3"/>
        <v>014FRUITY BUBBLES</v>
      </c>
      <c r="H9031" s="5">
        <v>3000</v>
      </c>
      <c r="I9031" s="6">
        <v>1702.8</v>
      </c>
      <c r="J9031" s="5">
        <v>12900</v>
      </c>
      <c r="K9031" s="6">
        <f t="shared" si="372"/>
        <v>1.7618040873854828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3"/>
        <v>015FELLINI</v>
      </c>
      <c r="H9032" s="5">
        <v>6280</v>
      </c>
      <c r="I9032" s="6">
        <v>3009.6</v>
      </c>
      <c r="J9032" s="5">
        <v>22800</v>
      </c>
      <c r="K9032" s="6">
        <f t="shared" si="372"/>
        <v>2.0866560340244553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3"/>
        <v>016GOOD PEACH</v>
      </c>
      <c r="H9033" s="5">
        <v>3540</v>
      </c>
      <c r="I9033" s="6">
        <v>1386</v>
      </c>
      <c r="J9033" s="5">
        <v>10500</v>
      </c>
      <c r="K9033" s="6">
        <f t="shared" si="372"/>
        <v>2.554112554112554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3"/>
        <v>016GOOD YELLOW</v>
      </c>
      <c r="H9034" s="5">
        <v>4260</v>
      </c>
      <c r="I9034" s="6">
        <v>1386</v>
      </c>
      <c r="J9034" s="5">
        <v>10500</v>
      </c>
      <c r="K9034" s="6">
        <f t="shared" si="372"/>
        <v>3.0735930735930737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3"/>
        <v>017ORANGE STAR</v>
      </c>
      <c r="H9035" s="5">
        <v>1175</v>
      </c>
      <c r="I9035" s="6">
        <v>1029.5999999999999</v>
      </c>
      <c r="J9035" s="5">
        <v>7800</v>
      </c>
      <c r="K9035" s="6">
        <f t="shared" si="372"/>
        <v>1.1412198912198914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3"/>
        <v>018COSMO</v>
      </c>
      <c r="H9036" s="5">
        <v>3775</v>
      </c>
      <c r="I9036" s="6">
        <v>2653.2</v>
      </c>
      <c r="J9036" s="5">
        <v>20100</v>
      </c>
      <c r="K9036" s="6">
        <f t="shared" si="372"/>
        <v>1.422810191466908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3"/>
        <v>018RUBICON</v>
      </c>
      <c r="H9037" s="5">
        <v>3630</v>
      </c>
      <c r="I9037" s="6">
        <v>1768.8</v>
      </c>
      <c r="J9037" s="5">
        <v>13400</v>
      </c>
      <c r="K9037" s="6">
        <f t="shared" si="372"/>
        <v>2.0522388059701493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3"/>
        <v>019BELLINA</v>
      </c>
      <c r="H9038" s="5">
        <v>2340</v>
      </c>
      <c r="I9038" s="6">
        <v>1029.5999999999999</v>
      </c>
      <c r="J9038" s="5">
        <v>7800</v>
      </c>
      <c r="K9038" s="6">
        <f t="shared" si="372"/>
        <v>2.2727272727272729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3"/>
        <v>020SUMMER DANCE</v>
      </c>
      <c r="H9039" s="5">
        <v>3125</v>
      </c>
      <c r="I9039" s="6">
        <v>1346.4</v>
      </c>
      <c r="J9039" s="5">
        <v>10200</v>
      </c>
      <c r="K9039" s="6">
        <f t="shared" si="372"/>
        <v>2.321004159239453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3"/>
        <v>021ELEGANT ROSEVER</v>
      </c>
      <c r="H9040" s="5">
        <v>690</v>
      </c>
      <c r="I9040" s="6">
        <v>440.18999062500001</v>
      </c>
      <c r="J9040" s="5">
        <v>3200</v>
      </c>
      <c r="K9040" s="6">
        <f t="shared" si="372"/>
        <v>1.5675049744323113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3"/>
        <v>021FLAME CLUB</v>
      </c>
      <c r="H9041" s="5">
        <v>1650</v>
      </c>
      <c r="I9041" s="6">
        <v>880.38</v>
      </c>
      <c r="J9041" s="5">
        <v>6400</v>
      </c>
      <c r="K9041" s="6">
        <f t="shared" si="372"/>
        <v>1.874190690383698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3"/>
        <v>021KELLY</v>
      </c>
      <c r="H9042" s="5">
        <v>525</v>
      </c>
      <c r="I9042" s="6">
        <v>330.14249999999998</v>
      </c>
      <c r="J9042" s="5">
        <v>2400</v>
      </c>
      <c r="K9042" s="6">
        <f t="shared" si="372"/>
        <v>1.5902224039619257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3"/>
        <v>021LEILA</v>
      </c>
      <c r="H9043" s="5">
        <v>1475</v>
      </c>
      <c r="I9043" s="6">
        <v>1650.7125000000001</v>
      </c>
      <c r="J9043" s="5">
        <v>12000</v>
      </c>
      <c r="K9043" s="6">
        <f t="shared" si="372"/>
        <v>0.89355354127384379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4">+E9044&amp;F9044</f>
        <v>021SNOW BUBBLES</v>
      </c>
      <c r="H9044" s="5">
        <v>3520</v>
      </c>
      <c r="I9044" s="6">
        <v>1287.0000000000018</v>
      </c>
      <c r="J9044" s="5">
        <v>9400</v>
      </c>
      <c r="K9044" s="6">
        <f t="shared" si="372"/>
        <v>2.7350427350427311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4"/>
        <v>022FRUITY BUBBLES</v>
      </c>
      <c r="H9045" s="5">
        <v>4700</v>
      </c>
      <c r="I9045" s="6">
        <v>2641.14</v>
      </c>
      <c r="J9045" s="5">
        <v>19200</v>
      </c>
      <c r="K9045" s="6">
        <f t="shared" si="372"/>
        <v>1.7795345949097738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4"/>
        <v>022GOOD PEACH</v>
      </c>
      <c r="H9046" s="5">
        <v>2790</v>
      </c>
      <c r="I9046" s="6">
        <v>880.38</v>
      </c>
      <c r="J9046" s="5">
        <v>6400</v>
      </c>
      <c r="K9046" s="6">
        <f t="shared" si="372"/>
        <v>3.1690860764669804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4"/>
        <v>022MIRABEL</v>
      </c>
      <c r="H9047" s="5">
        <v>2280</v>
      </c>
      <c r="I9047" s="6">
        <v>880.38</v>
      </c>
      <c r="J9047" s="5">
        <v>6400</v>
      </c>
      <c r="K9047" s="6">
        <f t="shared" si="372"/>
        <v>2.5897907721665643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4"/>
        <v>026PURPLE BUBBLY</v>
      </c>
      <c r="H9048" s="5" t="e">
        <v>#N/A</v>
      </c>
      <c r="I9048" s="6">
        <v>1755.4</v>
      </c>
      <c r="J9048" s="5">
        <v>12800</v>
      </c>
      <c r="K9048" s="6" t="e">
        <f t="shared" si="372"/>
        <v>#N/A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4"/>
        <v>030MIRABEL</v>
      </c>
      <c r="H9049" s="5">
        <v>5660</v>
      </c>
      <c r="I9049" s="6">
        <v>2413.6749943750001</v>
      </c>
      <c r="J9049" s="5">
        <v>17600</v>
      </c>
      <c r="K9049" s="6">
        <f t="shared" si="372"/>
        <v>2.3449718844461107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4"/>
        <v>030SOMERSET</v>
      </c>
      <c r="H9050" s="5">
        <v>3215</v>
      </c>
      <c r="I9050" s="6">
        <v>1645.6875</v>
      </c>
      <c r="J9050" s="5">
        <v>12000</v>
      </c>
      <c r="K9050" s="6">
        <f t="shared" si="372"/>
        <v>1.953590824503437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4"/>
        <v>03182989</v>
      </c>
      <c r="H9051" s="5">
        <v>740</v>
      </c>
      <c r="I9051" s="6">
        <v>726.32013058333712</v>
      </c>
      <c r="J9051" s="5">
        <v>5712</v>
      </c>
      <c r="K9051" s="6">
        <f t="shared" si="372"/>
        <v>1.0188344902483648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4"/>
        <v>031RUBICON</v>
      </c>
      <c r="H9052" s="5">
        <v>1800</v>
      </c>
      <c r="I9052" s="6">
        <v>924.39958333667107</v>
      </c>
      <c r="J9052" s="5">
        <v>6720</v>
      </c>
      <c r="K9052" s="6">
        <f t="shared" si="372"/>
        <v>1.9472098781165621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4"/>
        <v>031SOMERSET</v>
      </c>
      <c r="H9053" s="5">
        <v>1520</v>
      </c>
      <c r="I9053" s="6">
        <v>1122.485208333339</v>
      </c>
      <c r="J9053" s="5">
        <v>8160</v>
      </c>
      <c r="K9053" s="6">
        <f t="shared" si="372"/>
        <v>1.3541381113225441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4"/>
        <v>031VELVET BLOSSOMS</v>
      </c>
      <c r="H9054" s="5">
        <v>740</v>
      </c>
      <c r="I9054" s="6">
        <v>396.17125000000198</v>
      </c>
      <c r="J9054" s="5">
        <v>2880</v>
      </c>
      <c r="K9054" s="6">
        <f t="shared" si="372"/>
        <v>1.8678791053111408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4"/>
        <v>032ELBA</v>
      </c>
      <c r="H9055" s="5">
        <v>2130</v>
      </c>
      <c r="I9055" s="6">
        <v>1535.9749999999999</v>
      </c>
      <c r="J9055" s="5">
        <v>11200</v>
      </c>
      <c r="K9055" s="6">
        <f t="shared" si="372"/>
        <v>1.3867413206595161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4"/>
        <v>032MIRABEL</v>
      </c>
      <c r="H9056" s="5">
        <v>2040</v>
      </c>
      <c r="I9056" s="6">
        <v>1535.9749999999999</v>
      </c>
      <c r="J9056" s="5">
        <v>11200</v>
      </c>
      <c r="K9056" s="6">
        <f t="shared" si="372"/>
        <v>1.3281466169696774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4"/>
        <v>033CREAMY FOLIES</v>
      </c>
      <c r="H9057" s="5">
        <v>1350</v>
      </c>
      <c r="I9057" s="6">
        <v>594.25687500000299</v>
      </c>
      <c r="J9057" s="5">
        <v>4320</v>
      </c>
      <c r="K9057" s="6">
        <f t="shared" si="372"/>
        <v>2.2717448578108468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4"/>
        <v>033HOT BUBBLES</v>
      </c>
      <c r="H9058" s="5">
        <v>5860</v>
      </c>
      <c r="I9058" s="6">
        <v>2575.1131250013459</v>
      </c>
      <c r="J9058" s="5">
        <v>18720</v>
      </c>
      <c r="K9058" s="6">
        <f t="shared" si="372"/>
        <v>2.2756281823529352</v>
      </c>
    </row>
    <row r="9059" spans="1:11" hidden="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4"/>
        <v>001BELIEVE IN PINK</v>
      </c>
      <c r="H9059" s="5">
        <v>1290</v>
      </c>
      <c r="I9059" s="6">
        <v>528.37931032368999</v>
      </c>
      <c r="J9059" s="5">
        <v>4000</v>
      </c>
      <c r="K9059" s="6">
        <f t="shared" ref="K9059:K9064" si="375">IFERROR(H9059/I9059,"")</f>
        <v>2.4414279189125216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4"/>
        <v>001EXPLORER</v>
      </c>
      <c r="H9060" s="5">
        <v>6400</v>
      </c>
      <c r="I9060" s="6">
        <v>2272.0310343918732</v>
      </c>
      <c r="J9060" s="5">
        <v>17200</v>
      </c>
      <c r="K9060" s="6">
        <f t="shared" si="375"/>
        <v>2.8168629315017299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4"/>
        <v>001GRACE KELLY</v>
      </c>
      <c r="H9061" s="5">
        <v>1860</v>
      </c>
      <c r="I9061" s="6">
        <v>1162.4344827121224</v>
      </c>
      <c r="J9061" s="5">
        <v>8800</v>
      </c>
      <c r="K9061" s="6">
        <f t="shared" si="375"/>
        <v>1.6000901794141202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4"/>
        <v>001LIGHT HOUSE</v>
      </c>
      <c r="H9062" s="5">
        <v>2070</v>
      </c>
      <c r="I9062" s="6">
        <v>1056.7586206473827</v>
      </c>
      <c r="J9062" s="5">
        <v>8000</v>
      </c>
      <c r="K9062" s="6">
        <f t="shared" si="375"/>
        <v>1.9588200744763207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4"/>
        <v>001LUMIA</v>
      </c>
      <c r="H9063" s="5">
        <v>2160</v>
      </c>
      <c r="I9063" s="6">
        <v>1109.596551679753</v>
      </c>
      <c r="J9063" s="5">
        <v>8400</v>
      </c>
      <c r="K9063" s="6">
        <f t="shared" si="375"/>
        <v>1.946653490162801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4"/>
        <v>001MOMENTUM</v>
      </c>
      <c r="H9064" s="5">
        <v>4300</v>
      </c>
      <c r="I9064" s="6">
        <v>1902.1655171652881</v>
      </c>
      <c r="J9064" s="5">
        <v>14400</v>
      </c>
      <c r="K9064" s="6">
        <f t="shared" si="375"/>
        <v>2.2605814064004783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4"/>
        <v>002SUMMER ROMANCE</v>
      </c>
      <c r="H9065" s="5">
        <v>1925</v>
      </c>
      <c r="I9065" s="6">
        <v>951.10714281909407</v>
      </c>
      <c r="J9065" s="5">
        <v>7200</v>
      </c>
      <c r="K9065" s="6">
        <f t="shared" ref="K9065:K9128" si="376">+H9065/I9065</f>
        <v>2.023957042625371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4"/>
        <v>002SWEETNESS</v>
      </c>
      <c r="H9066" s="5">
        <v>6030</v>
      </c>
      <c r="I9066" s="6">
        <v>3804.4285712763772</v>
      </c>
      <c r="J9066" s="5">
        <v>28800</v>
      </c>
      <c r="K9066" s="6">
        <f t="shared" si="376"/>
        <v>1.5849949307832447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4"/>
        <v>003CABARET</v>
      </c>
      <c r="H9067" s="5">
        <v>3660</v>
      </c>
      <c r="I9067" s="6">
        <v>2641.8965516184649</v>
      </c>
      <c r="J9067" s="5">
        <v>20000</v>
      </c>
      <c r="K9067" s="6">
        <f t="shared" si="376"/>
        <v>1.3853684004991906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4"/>
        <v>003DEEP PURPLE</v>
      </c>
      <c r="H9068" s="5">
        <v>8340</v>
      </c>
      <c r="I9068" s="6">
        <v>3592.9793102010913</v>
      </c>
      <c r="J9068" s="5">
        <v>26044</v>
      </c>
      <c r="K9068" s="6">
        <f t="shared" si="376"/>
        <v>2.3211934386377604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4"/>
        <v>003EXPLORER</v>
      </c>
      <c r="H9069" s="5">
        <v>2025</v>
      </c>
      <c r="I9069" s="6">
        <v>1268.1103447768633</v>
      </c>
      <c r="J9069" s="5">
        <v>9600</v>
      </c>
      <c r="K9069" s="6">
        <f t="shared" si="376"/>
        <v>1.5968641911491694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4"/>
        <v>003JOCKER</v>
      </c>
      <c r="H9070" s="5">
        <v>850</v>
      </c>
      <c r="I9070" s="6">
        <v>528.37931032368999</v>
      </c>
      <c r="J9070" s="5">
        <v>4000</v>
      </c>
      <c r="K9070" s="6">
        <f t="shared" si="376"/>
        <v>1.6086928147873205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4"/>
        <v>003QUICKSAND</v>
      </c>
      <c r="H9071" s="5">
        <v>1950</v>
      </c>
      <c r="I9071" s="6">
        <v>1162.4344827121247</v>
      </c>
      <c r="J9071" s="5">
        <v>8800</v>
      </c>
      <c r="K9071" s="6">
        <f t="shared" si="376"/>
        <v>1.6775138977728647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4"/>
        <v>004COTOPAXI</v>
      </c>
      <c r="H9072" s="5">
        <v>1260</v>
      </c>
      <c r="I9072" s="6">
        <v>528.3915024419166</v>
      </c>
      <c r="J9072" s="5">
        <v>4000</v>
      </c>
      <c r="K9072" s="6">
        <f t="shared" si="376"/>
        <v>2.3845955019659035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4"/>
        <v>004DEEP PURPLE</v>
      </c>
      <c r="H9073" s="5">
        <v>6930</v>
      </c>
      <c r="I9073" s="6">
        <v>3910.1071427007282</v>
      </c>
      <c r="J9073" s="5">
        <v>29260</v>
      </c>
      <c r="K9073" s="6">
        <f t="shared" si="376"/>
        <v>1.7723299508395103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4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6"/>
        <v>1.2091171942956722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4"/>
        <v>004HOT MERENGUE</v>
      </c>
      <c r="H9075" s="5">
        <v>3120</v>
      </c>
      <c r="I9075" s="6">
        <v>1162.4642856677858</v>
      </c>
      <c r="J9075" s="5">
        <v>8800</v>
      </c>
      <c r="K9075" s="6">
        <f t="shared" si="376"/>
        <v>2.6839534241756891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4"/>
        <v>004SWEETNESS</v>
      </c>
      <c r="H9076" s="5">
        <v>360</v>
      </c>
      <c r="I9076" s="6">
        <v>317.03571427303262</v>
      </c>
      <c r="J9076" s="5">
        <v>2400</v>
      </c>
      <c r="K9076" s="6">
        <f t="shared" si="376"/>
        <v>1.1355187563820217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4"/>
        <v>005EXPLORER</v>
      </c>
      <c r="H9077" s="5">
        <v>2200</v>
      </c>
      <c r="I9077" s="6">
        <v>951.10714281875391</v>
      </c>
      <c r="J9077" s="5">
        <v>7200</v>
      </c>
      <c r="K9077" s="6">
        <f t="shared" si="376"/>
        <v>2.3130937630012514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4"/>
        <v>005GOLDFINCH</v>
      </c>
      <c r="H9078" s="5">
        <v>600</v>
      </c>
      <c r="I9078" s="6">
        <v>898.26785710660101</v>
      </c>
      <c r="J9078" s="5">
        <v>6800</v>
      </c>
      <c r="K9078" s="6">
        <f t="shared" si="376"/>
        <v>0.66795220963672486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4"/>
        <v>005JOCKER</v>
      </c>
      <c r="H9079" s="5">
        <v>1975</v>
      </c>
      <c r="I9079" s="6">
        <v>1162.4642856673661</v>
      </c>
      <c r="J9079" s="5">
        <v>8800</v>
      </c>
      <c r="K9079" s="6">
        <f t="shared" si="376"/>
        <v>1.6989769271631088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4"/>
        <v>005VENDELA</v>
      </c>
      <c r="H9080" s="5">
        <v>1890</v>
      </c>
      <c r="I9080" s="6">
        <v>686.91071425798896</v>
      </c>
      <c r="J9080" s="5">
        <v>5200</v>
      </c>
      <c r="K9080" s="6">
        <f t="shared" si="376"/>
        <v>2.7514492943112785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4"/>
        <v>006ATOMIC</v>
      </c>
      <c r="H9081" s="5">
        <v>1225</v>
      </c>
      <c r="I9081" s="6">
        <v>845.428571394752</v>
      </c>
      <c r="J9081" s="5">
        <v>6400</v>
      </c>
      <c r="K9081" s="6">
        <f t="shared" si="376"/>
        <v>1.4489692464249786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4"/>
        <v>006EXPLORER</v>
      </c>
      <c r="H9082" s="5">
        <v>9350</v>
      </c>
      <c r="I9082" s="6">
        <v>3910.1071427007355</v>
      </c>
      <c r="J9082" s="5">
        <v>29600</v>
      </c>
      <c r="K9082" s="6">
        <f t="shared" si="376"/>
        <v>2.3912388225612395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4"/>
        <v>006MONDIAL</v>
      </c>
      <c r="H9083" s="5">
        <v>6500</v>
      </c>
      <c r="I9083" s="6">
        <v>4015.7857141250793</v>
      </c>
      <c r="J9083" s="5">
        <v>30400</v>
      </c>
      <c r="K9083" s="6">
        <f t="shared" si="376"/>
        <v>1.6186122623866541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4"/>
        <v>007COTOPAXI</v>
      </c>
      <c r="H9084" s="5">
        <v>7890</v>
      </c>
      <c r="I9084" s="6">
        <v>2747.5751230427709</v>
      </c>
      <c r="J9084" s="5">
        <v>20800</v>
      </c>
      <c r="K9084" s="6">
        <f t="shared" si="376"/>
        <v>2.871623030005567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4"/>
        <v>007REDIANT</v>
      </c>
      <c r="H9085" s="5">
        <v>2100</v>
      </c>
      <c r="I9085" s="6">
        <v>1056.75862064738</v>
      </c>
      <c r="J9085" s="5">
        <v>9600</v>
      </c>
      <c r="K9085" s="6">
        <f t="shared" si="376"/>
        <v>1.9872087712078665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4"/>
        <v>007SUMMER ROMANCE</v>
      </c>
      <c r="H9086" s="5">
        <v>775</v>
      </c>
      <c r="I9086" s="6">
        <v>317.02758619421581</v>
      </c>
      <c r="J9086" s="5">
        <v>2640</v>
      </c>
      <c r="K9086" s="6">
        <f t="shared" si="376"/>
        <v>2.4445822185493458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4"/>
        <v>007TOPACIO</v>
      </c>
      <c r="H9087" s="5" t="e">
        <v>#N/A</v>
      </c>
      <c r="I9087" s="6">
        <v>52.837931032368999</v>
      </c>
      <c r="J9087" s="5">
        <v>440</v>
      </c>
      <c r="K9087" s="6" t="e">
        <f t="shared" si="376"/>
        <v>#N/A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4"/>
        <v>007VENDELA</v>
      </c>
      <c r="H9088" s="5">
        <v>10110</v>
      </c>
      <c r="I9088" s="6">
        <v>3592.9793102011122</v>
      </c>
      <c r="J9088" s="5">
        <v>27820</v>
      </c>
      <c r="K9088" s="6">
        <f t="shared" si="376"/>
        <v>2.8138208230968371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4"/>
        <v>008DEEP PURPLE</v>
      </c>
      <c r="H9089" s="5">
        <v>3450</v>
      </c>
      <c r="I9089" s="6">
        <v>1585.2222221588099</v>
      </c>
      <c r="J9089" s="5">
        <v>11490</v>
      </c>
      <c r="K9089" s="6">
        <f t="shared" si="376"/>
        <v>2.176351019923044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4"/>
        <v>008FREEDOM</v>
      </c>
      <c r="H9090" s="5">
        <v>3390</v>
      </c>
      <c r="I9090" s="6">
        <v>2219.311111022334</v>
      </c>
      <c r="J9090" s="5">
        <v>16800</v>
      </c>
      <c r="K9090" s="6">
        <f t="shared" si="376"/>
        <v>1.5275010264056146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4"/>
        <v>008JOCKER</v>
      </c>
      <c r="H9091" s="5">
        <v>4425</v>
      </c>
      <c r="I9091" s="6">
        <v>2959.0814813631118</v>
      </c>
      <c r="J9091" s="5">
        <v>22400</v>
      </c>
      <c r="K9091" s="6">
        <f t="shared" si="376"/>
        <v>1.4953964694347002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4"/>
        <v>008SUMMER ROMANCE</v>
      </c>
      <c r="H9092" s="5" t="e">
        <v>#N/A</v>
      </c>
      <c r="I9092" s="6">
        <v>1796.5851851133182</v>
      </c>
      <c r="J9092" s="5">
        <v>13600</v>
      </c>
      <c r="K9092" s="6" t="e">
        <f t="shared" si="376"/>
        <v>#N/A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4"/>
        <v>010COOLDOWN</v>
      </c>
      <c r="H9093" s="5">
        <v>3575</v>
      </c>
      <c r="I9093" s="6">
        <v>1912.3542857142861</v>
      </c>
      <c r="J9093" s="5">
        <v>16320</v>
      </c>
      <c r="K9093" s="6">
        <f t="shared" si="376"/>
        <v>1.8694234780166255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4"/>
        <v>010VIOLET HILL</v>
      </c>
      <c r="H9094" s="5">
        <v>6390</v>
      </c>
      <c r="I9094" s="6">
        <v>2812.2857142428579</v>
      </c>
      <c r="J9094" s="5">
        <v>20000</v>
      </c>
      <c r="K9094" s="6">
        <f t="shared" si="376"/>
        <v>2.2721731179864695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4"/>
        <v>011BRIGHTON</v>
      </c>
      <c r="H9095" s="5">
        <v>3550</v>
      </c>
      <c r="I9095" s="6">
        <v>1768.8376470588223</v>
      </c>
      <c r="J9095" s="5">
        <v>12800</v>
      </c>
      <c r="K9095" s="6">
        <f t="shared" si="376"/>
        <v>2.0069676863237556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4"/>
        <v>011CANDLELIGHT</v>
      </c>
      <c r="H9096" s="5">
        <v>4060</v>
      </c>
      <c r="I9096" s="6">
        <v>2263.7999998868127</v>
      </c>
      <c r="J9096" s="5">
        <v>17920</v>
      </c>
      <c r="K9096" s="6">
        <f t="shared" si="376"/>
        <v>1.793444650677178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4"/>
        <v>011CAYENNE</v>
      </c>
      <c r="H9097" s="5">
        <v>1350</v>
      </c>
      <c r="I9097" s="6">
        <v>994.97117647058747</v>
      </c>
      <c r="J9097" s="5">
        <v>7200</v>
      </c>
      <c r="K9097" s="6">
        <f t="shared" si="376"/>
        <v>1.3568232245569052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4"/>
        <v>011LUMIA</v>
      </c>
      <c r="H9098" s="5">
        <v>1680</v>
      </c>
      <c r="I9098" s="6">
        <v>994.97117647058747</v>
      </c>
      <c r="J9098" s="5">
        <v>7920</v>
      </c>
      <c r="K9098" s="6">
        <f t="shared" si="376"/>
        <v>1.6884911238930376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4"/>
        <v>011STARDUST</v>
      </c>
      <c r="H9099" s="5">
        <v>2450</v>
      </c>
      <c r="I9099" s="6">
        <v>2263.7999998868127</v>
      </c>
      <c r="J9099" s="5">
        <v>17920</v>
      </c>
      <c r="K9099" s="6">
        <f t="shared" si="376"/>
        <v>1.0822510823051936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4"/>
        <v>012DEEP PURPLE</v>
      </c>
      <c r="H9100" s="5">
        <v>14070</v>
      </c>
      <c r="I9100" s="6">
        <v>6727.0499997982479</v>
      </c>
      <c r="J9100" s="5">
        <v>49210</v>
      </c>
      <c r="K9100" s="6">
        <f t="shared" si="376"/>
        <v>2.0915557340025681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4"/>
        <v>012LIGHT HOUSE</v>
      </c>
      <c r="H9101" s="5">
        <v>870</v>
      </c>
      <c r="I9101" s="6">
        <v>994.95</v>
      </c>
      <c r="J9101" s="5">
        <v>7200</v>
      </c>
      <c r="K9101" s="6">
        <f t="shared" si="376"/>
        <v>0.87441579978893402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4"/>
        <v>013COUNTRY BLUES</v>
      </c>
      <c r="H9102" s="5">
        <v>940</v>
      </c>
      <c r="I9102" s="6">
        <v>831.6</v>
      </c>
      <c r="J9102" s="5">
        <v>6300</v>
      </c>
      <c r="K9102" s="6">
        <f t="shared" si="376"/>
        <v>1.1303511303511302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4"/>
        <v>013LORRAINE</v>
      </c>
      <c r="H9103" s="5">
        <v>3900</v>
      </c>
      <c r="I9103" s="6">
        <v>1267.2</v>
      </c>
      <c r="J9103" s="5">
        <v>9600</v>
      </c>
      <c r="K9103" s="6">
        <f t="shared" si="376"/>
        <v>3.0776515151515151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4"/>
        <v>013LUMIA</v>
      </c>
      <c r="H9104" s="5">
        <v>660</v>
      </c>
      <c r="I9104" s="6">
        <v>316.8</v>
      </c>
      <c r="J9104" s="5">
        <v>2400</v>
      </c>
      <c r="K9104" s="6">
        <f t="shared" si="376"/>
        <v>2.083333333333333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4"/>
        <v>013VENDELA</v>
      </c>
      <c r="H9105" s="5">
        <v>8880</v>
      </c>
      <c r="I9105" s="6">
        <v>3603.6</v>
      </c>
      <c r="J9105" s="5">
        <v>27296</v>
      </c>
      <c r="K9105" s="6">
        <f t="shared" si="376"/>
        <v>2.4642024642024642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4"/>
        <v>014STARDUST</v>
      </c>
      <c r="H9106" s="5">
        <v>4150</v>
      </c>
      <c r="I9106" s="6">
        <v>3682.8</v>
      </c>
      <c r="J9106" s="5">
        <v>27900</v>
      </c>
      <c r="K9106" s="6">
        <f t="shared" si="376"/>
        <v>1.1268599978277396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7">+E9107&amp;F9107</f>
        <v>015JOCKER</v>
      </c>
      <c r="H9107" s="5">
        <v>3250</v>
      </c>
      <c r="I9107" s="6">
        <v>2376</v>
      </c>
      <c r="J9107" s="5">
        <v>18000</v>
      </c>
      <c r="K9107" s="6">
        <f t="shared" si="376"/>
        <v>1.3678451178451179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7"/>
        <v>016DREAM IN PEACH</v>
      </c>
      <c r="H9108" s="5">
        <v>1830</v>
      </c>
      <c r="I9108" s="6">
        <v>950.4</v>
      </c>
      <c r="J9108" s="5">
        <v>7200</v>
      </c>
      <c r="K9108" s="6">
        <f t="shared" si="376"/>
        <v>1.9255050505050506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7"/>
        <v>016NINA</v>
      </c>
      <c r="H9109" s="5">
        <v>2125</v>
      </c>
      <c r="I9109" s="6">
        <v>1346.4</v>
      </c>
      <c r="J9109" s="5">
        <v>10200</v>
      </c>
      <c r="K9109" s="6">
        <f t="shared" si="376"/>
        <v>1.5782828282828281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7"/>
        <v>017FREEDOM</v>
      </c>
      <c r="H9110" s="5">
        <v>5400</v>
      </c>
      <c r="I9110" s="6">
        <v>2851.2</v>
      </c>
      <c r="J9110" s="5">
        <v>21600</v>
      </c>
      <c r="K9110" s="6">
        <f t="shared" si="376"/>
        <v>1.893939393939394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7"/>
        <v>017GOLDFINCH</v>
      </c>
      <c r="H9111" s="5">
        <v>2400</v>
      </c>
      <c r="I9111" s="6">
        <v>2138.4</v>
      </c>
      <c r="J9111" s="5">
        <v>16200</v>
      </c>
      <c r="K9111" s="6">
        <f t="shared" si="376"/>
        <v>1.122334455667789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7"/>
        <v>018BRIGHTON</v>
      </c>
      <c r="H9112" s="5">
        <v>1800</v>
      </c>
      <c r="I9112" s="6">
        <v>963.6</v>
      </c>
      <c r="J9112" s="5">
        <v>7570</v>
      </c>
      <c r="K9112" s="6">
        <f t="shared" si="376"/>
        <v>1.8679950186799501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7"/>
        <v>019BRIGHTON</v>
      </c>
      <c r="H9113" s="5">
        <v>5950</v>
      </c>
      <c r="I9113" s="6">
        <v>3168</v>
      </c>
      <c r="J9113" s="5">
        <v>24000</v>
      </c>
      <c r="K9113" s="6">
        <f t="shared" si="376"/>
        <v>1.8781565656565657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7"/>
        <v>019TABATHA</v>
      </c>
      <c r="H9114" s="5">
        <v>3210</v>
      </c>
      <c r="I9114" s="6">
        <v>1188</v>
      </c>
      <c r="J9114" s="5">
        <v>9000</v>
      </c>
      <c r="K9114" s="6">
        <f t="shared" si="376"/>
        <v>2.702020202020202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7"/>
        <v>020BRIGHTON</v>
      </c>
      <c r="H9115" s="5">
        <v>4300</v>
      </c>
      <c r="I9115" s="6">
        <v>2732.4</v>
      </c>
      <c r="J9115" s="5">
        <v>20700</v>
      </c>
      <c r="K9115" s="6">
        <f t="shared" si="376"/>
        <v>1.5737080954472258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7"/>
        <v>020TYCOON</v>
      </c>
      <c r="H9116" s="5">
        <v>930</v>
      </c>
      <c r="I9116" s="6">
        <v>673.2</v>
      </c>
      <c r="J9116" s="5">
        <v>5100</v>
      </c>
      <c r="K9116" s="6">
        <f t="shared" si="376"/>
        <v>1.3814616755793225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7"/>
        <v>021SHOW GIRL</v>
      </c>
      <c r="H9117" s="5">
        <v>1675</v>
      </c>
      <c r="I9117" s="6">
        <v>1100.4749999999999</v>
      </c>
      <c r="J9117" s="5">
        <v>8000</v>
      </c>
      <c r="K9117" s="6">
        <f t="shared" si="376"/>
        <v>1.5220700152207003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7"/>
        <v>022CORAL REEF</v>
      </c>
      <c r="H9118" s="5">
        <v>2450</v>
      </c>
      <c r="I9118" s="6">
        <v>1287</v>
      </c>
      <c r="J9118" s="5">
        <v>9400</v>
      </c>
      <c r="K9118" s="6">
        <f t="shared" si="376"/>
        <v>1.9036519036519037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7"/>
        <v>023COTOPAXI</v>
      </c>
      <c r="H9119" s="5">
        <v>8970</v>
      </c>
      <c r="I9119" s="6">
        <v>2641.14</v>
      </c>
      <c r="J9119" s="5">
        <v>19200</v>
      </c>
      <c r="K9119" s="6">
        <f t="shared" si="376"/>
        <v>3.3962607056043983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7"/>
        <v>023FRUTTETO</v>
      </c>
      <c r="H9120" s="5">
        <v>4590</v>
      </c>
      <c r="I9120" s="6">
        <v>2641.14</v>
      </c>
      <c r="J9120" s="5">
        <v>19200</v>
      </c>
      <c r="K9120" s="6">
        <f t="shared" si="376"/>
        <v>1.7378859129012472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7"/>
        <v>024COTOPAXI</v>
      </c>
      <c r="H9121" s="5">
        <v>4260</v>
      </c>
      <c r="I9121" s="6">
        <v>1430.6174906250001</v>
      </c>
      <c r="J9121" s="5">
        <v>10400</v>
      </c>
      <c r="K9121" s="6">
        <f t="shared" si="376"/>
        <v>2.9777351583608245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7"/>
        <v>024SWEETNESS</v>
      </c>
      <c r="H9122" s="5">
        <v>2070</v>
      </c>
      <c r="I9122" s="6">
        <v>1430.6175000000001</v>
      </c>
      <c r="J9122" s="5">
        <v>10400</v>
      </c>
      <c r="K9122" s="6">
        <f t="shared" si="376"/>
        <v>1.4469276378906311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7"/>
        <v>024TYCOON</v>
      </c>
      <c r="H9123" s="5">
        <v>3780</v>
      </c>
      <c r="I9123" s="6">
        <v>2861.2350000000001</v>
      </c>
      <c r="J9123" s="5">
        <v>20800</v>
      </c>
      <c r="K9123" s="6">
        <f t="shared" si="376"/>
        <v>1.3211078432914458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7"/>
        <v>025PINK MONDIAL</v>
      </c>
      <c r="H9124" s="5">
        <v>5325</v>
      </c>
      <c r="I9124" s="6">
        <v>3071.9505625000002</v>
      </c>
      <c r="J9124" s="5">
        <v>22400</v>
      </c>
      <c r="K9124" s="6">
        <f t="shared" si="376"/>
        <v>1.7334263334193873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7"/>
        <v>026LOLA</v>
      </c>
      <c r="H9125" s="5">
        <v>3475</v>
      </c>
      <c r="I9125" s="6">
        <v>1097.125</v>
      </c>
      <c r="J9125" s="5">
        <v>8000</v>
      </c>
      <c r="K9125" s="6">
        <f t="shared" si="376"/>
        <v>3.167369260567392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7"/>
        <v>026PALOMA</v>
      </c>
      <c r="H9126" s="5">
        <v>4350</v>
      </c>
      <c r="I9126" s="6">
        <v>2852.5250000000001</v>
      </c>
      <c r="J9126" s="5">
        <v>20800</v>
      </c>
      <c r="K9126" s="6">
        <f t="shared" si="376"/>
        <v>1.5249647242355457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7"/>
        <v>027SATISFACTION</v>
      </c>
      <c r="H9127" s="5">
        <v>4770</v>
      </c>
      <c r="I9127" s="6">
        <v>2633.1</v>
      </c>
      <c r="J9127" s="5">
        <v>19200</v>
      </c>
      <c r="K9127" s="6">
        <f t="shared" si="376"/>
        <v>1.8115529224108466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7"/>
        <v>027TIFFANY</v>
      </c>
      <c r="H9128" s="5">
        <v>5610</v>
      </c>
      <c r="I9128" s="6">
        <v>2633.1</v>
      </c>
      <c r="J9128" s="5">
        <v>19200</v>
      </c>
      <c r="K9128" s="6">
        <f t="shared" si="376"/>
        <v>2.1305685313888572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7"/>
        <v>028COTOPAXI</v>
      </c>
      <c r="H9129" s="5">
        <v>7920</v>
      </c>
      <c r="I9129" s="6">
        <v>2852.5250000000001</v>
      </c>
      <c r="J9129" s="5">
        <v>20800</v>
      </c>
      <c r="K9129" s="6">
        <f t="shared" ref="K9129:K9191" si="378">+H9129/I9129</f>
        <v>2.7764874979185108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7"/>
        <v>028DEEP PURPLE</v>
      </c>
      <c r="H9130" s="5">
        <v>5730</v>
      </c>
      <c r="I9130" s="6">
        <v>2852.5250000000001</v>
      </c>
      <c r="J9130" s="5">
        <v>20800</v>
      </c>
      <c r="K9130" s="6">
        <f t="shared" si="378"/>
        <v>2.00874663675165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7"/>
        <v>029PINK FLOYD</v>
      </c>
      <c r="H9131" s="5">
        <v>3325</v>
      </c>
      <c r="I9131" s="6">
        <v>3071.95</v>
      </c>
      <c r="J9131" s="5">
        <v>22400</v>
      </c>
      <c r="K9131" s="6">
        <f t="shared" si="378"/>
        <v>1.0823743876039649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7"/>
        <v>030EXPLORER</v>
      </c>
      <c r="H9132" s="5">
        <v>3450</v>
      </c>
      <c r="I9132" s="6">
        <v>1645.6875</v>
      </c>
      <c r="J9132" s="5">
        <v>12000</v>
      </c>
      <c r="K9132" s="6">
        <f t="shared" si="378"/>
        <v>2.0963882875697846</v>
      </c>
    </row>
    <row r="9133" spans="1:11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7"/>
        <v>008LUMIA</v>
      </c>
      <c r="H9133" s="5">
        <v>3570</v>
      </c>
      <c r="I9133" s="6">
        <v>1796.5851851133182</v>
      </c>
      <c r="J9133" s="5">
        <v>13600</v>
      </c>
      <c r="K9133" s="6">
        <f t="shared" si="378"/>
        <v>1.9871031051471266</v>
      </c>
    </row>
    <row r="9134" spans="1:11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7"/>
        <v>008LUMIA</v>
      </c>
      <c r="H9134" s="5">
        <v>420</v>
      </c>
      <c r="I9134" s="6">
        <v>1796.5851851133182</v>
      </c>
      <c r="J9134" s="5">
        <v>13600</v>
      </c>
      <c r="K9134" s="6">
        <f t="shared" si="378"/>
        <v>0.23377683589966197</v>
      </c>
    </row>
    <row r="9135" spans="1:11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7"/>
        <v>008LUMIA</v>
      </c>
      <c r="H9135" s="5">
        <v>7710</v>
      </c>
      <c r="I9135" s="6">
        <v>1796.5851851133182</v>
      </c>
      <c r="J9135" s="5">
        <v>13600</v>
      </c>
      <c r="K9135" s="6">
        <f t="shared" si="378"/>
        <v>4.291474773300938</v>
      </c>
    </row>
    <row r="9136" spans="1:11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7"/>
        <v>008LUMIA</v>
      </c>
      <c r="H9136" s="5">
        <v>3810</v>
      </c>
      <c r="I9136" s="6">
        <v>1796.5851851133182</v>
      </c>
      <c r="J9136" s="5">
        <v>13600</v>
      </c>
      <c r="K9136" s="6">
        <f t="shared" si="378"/>
        <v>2.1206898685183622</v>
      </c>
    </row>
    <row r="9137" spans="1:11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7"/>
        <v>008LUMIA</v>
      </c>
      <c r="H9137" s="7">
        <v>3240</v>
      </c>
      <c r="I9137" s="6">
        <v>1796.5851851133182</v>
      </c>
      <c r="J9137" s="5">
        <v>13600</v>
      </c>
      <c r="K9137" s="6">
        <f t="shared" si="378"/>
        <v>1.8034213055116781</v>
      </c>
    </row>
    <row r="9138" spans="1:11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7"/>
        <v>008LUMIA</v>
      </c>
      <c r="H9138" s="5">
        <v>2850</v>
      </c>
      <c r="I9138" s="6">
        <v>1796.5851851133182</v>
      </c>
      <c r="J9138" s="5">
        <v>13600</v>
      </c>
      <c r="K9138" s="6">
        <f t="shared" si="378"/>
        <v>1.5863428150334205</v>
      </c>
    </row>
    <row r="9139" spans="1:11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7"/>
        <v>008LUMIA</v>
      </c>
      <c r="H9139" s="5">
        <v>4440</v>
      </c>
      <c r="I9139" s="6">
        <v>1796.5851851133182</v>
      </c>
      <c r="J9139" s="5">
        <v>13600</v>
      </c>
      <c r="K9139" s="6">
        <f t="shared" si="378"/>
        <v>2.4713551223678549</v>
      </c>
    </row>
    <row r="9140" spans="1:11" hidden="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7"/>
        <v>008LUMIA</v>
      </c>
      <c r="H9140" s="5">
        <v>2100</v>
      </c>
      <c r="I9140" s="6">
        <v>1796.5851851133182</v>
      </c>
      <c r="J9140" s="5">
        <v>13600</v>
      </c>
      <c r="K9140" s="6">
        <f t="shared" si="378"/>
        <v>1.1688841794983098</v>
      </c>
    </row>
    <row r="9141" spans="1:11" hidden="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>+E9141&amp;F9141</f>
        <v>008LUMIA</v>
      </c>
      <c r="H9141" s="5">
        <v>1830</v>
      </c>
      <c r="I9141" s="6">
        <v>1796.5851851133164</v>
      </c>
      <c r="J9141" s="5">
        <v>13600</v>
      </c>
      <c r="K9141" s="6">
        <f t="shared" si="378"/>
        <v>1.0185990707056711</v>
      </c>
    </row>
    <row r="9142" spans="1:11" hidden="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7"/>
        <v>008LUMIA</v>
      </c>
      <c r="H9142" s="5">
        <v>2280</v>
      </c>
      <c r="I9142" s="6">
        <v>1796.5851851133164</v>
      </c>
      <c r="J9142" s="5">
        <v>13600</v>
      </c>
      <c r="K9142" s="6">
        <f t="shared" si="378"/>
        <v>1.2690742520267377</v>
      </c>
    </row>
    <row r="9143" spans="1:11" hidden="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9">+E9143&amp;F9143</f>
        <v>008LUMIA</v>
      </c>
      <c r="H9143" s="5">
        <v>2340</v>
      </c>
      <c r="I9143" s="6">
        <v>1796.5851851133164</v>
      </c>
      <c r="J9143" s="5">
        <v>13600</v>
      </c>
      <c r="K9143" s="6">
        <f t="shared" ref="K9143" si="380">+H9143/I9143</f>
        <v>1.3024709428695465</v>
      </c>
    </row>
    <row r="9144" spans="1:11" hidden="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1">+E9144&amp;F9144</f>
        <v>008LUMIA</v>
      </c>
      <c r="H9144" s="5">
        <v>2400</v>
      </c>
      <c r="I9144" s="6">
        <v>1796.5851851133164</v>
      </c>
      <c r="J9144" s="5">
        <v>13600</v>
      </c>
      <c r="K9144" s="6">
        <f t="shared" ref="K9144" si="382">+H9144/I9144</f>
        <v>1.3358676337123554</v>
      </c>
    </row>
    <row r="9145" spans="1:11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7"/>
        <v>021PISTACHIO KISS</v>
      </c>
      <c r="H9145" s="5">
        <v>200</v>
      </c>
      <c r="I9145" s="6">
        <v>220.095</v>
      </c>
      <c r="J9145" s="5">
        <v>6400</v>
      </c>
      <c r="K9145" s="6">
        <f t="shared" si="378"/>
        <v>0.90869851654967171</v>
      </c>
    </row>
    <row r="9146" spans="1:11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7"/>
        <v>021PISTACHIO KISS</v>
      </c>
      <c r="H9146" s="5">
        <v>125</v>
      </c>
      <c r="I9146" s="6">
        <v>220.095</v>
      </c>
      <c r="J9146" s="5">
        <v>6400</v>
      </c>
      <c r="K9146" s="6">
        <f t="shared" si="378"/>
        <v>0.56793657284354482</v>
      </c>
    </row>
    <row r="9147" spans="1:11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7"/>
        <v>021PISTACHIO KISS</v>
      </c>
      <c r="H9147" s="5">
        <v>25</v>
      </c>
      <c r="I9147" s="6">
        <v>880.38</v>
      </c>
      <c r="J9147" s="5">
        <v>6400</v>
      </c>
      <c r="K9147" s="6">
        <f t="shared" si="378"/>
        <v>2.8396828642177241E-2</v>
      </c>
    </row>
    <row r="9148" spans="1:11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7"/>
        <v>021PISTACHIO KISS</v>
      </c>
      <c r="H9148" s="5">
        <v>25</v>
      </c>
      <c r="I9148" s="6">
        <v>880.38</v>
      </c>
      <c r="J9148" s="5">
        <v>6400</v>
      </c>
      <c r="K9148" s="6">
        <f t="shared" si="378"/>
        <v>2.8396828642177241E-2</v>
      </c>
    </row>
    <row r="9149" spans="1:11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7"/>
        <v>021PISTACHIO KISS</v>
      </c>
      <c r="H9149" s="7">
        <v>75</v>
      </c>
      <c r="I9149" s="6">
        <v>880.38</v>
      </c>
      <c r="J9149" s="5">
        <v>6400</v>
      </c>
      <c r="K9149" s="6">
        <f t="shared" si="378"/>
        <v>8.5190485926531723E-2</v>
      </c>
    </row>
    <row r="9150" spans="1:11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7"/>
        <v>021PISTACHIO KISS</v>
      </c>
      <c r="H9150" s="5">
        <v>75</v>
      </c>
      <c r="I9150" s="6">
        <v>880.38</v>
      </c>
      <c r="J9150" s="5">
        <v>6400</v>
      </c>
      <c r="K9150" s="6">
        <f t="shared" si="378"/>
        <v>8.5190485926531723E-2</v>
      </c>
    </row>
    <row r="9151" spans="1:11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7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8"/>
        <v>5.6793657284354503E-2</v>
      </c>
    </row>
    <row r="9152" spans="1:11" hidden="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7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8"/>
        <v>8.5190485926531764E-2</v>
      </c>
    </row>
    <row r="9153" spans="1:11" hidden="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>+E9153&amp;F9153</f>
        <v>021PISTACHIO KISS</v>
      </c>
      <c r="H9153" s="5">
        <v>800</v>
      </c>
      <c r="I9153" s="6">
        <v>880.37999999999965</v>
      </c>
      <c r="J9153" s="5">
        <v>6400</v>
      </c>
      <c r="K9153" s="6">
        <f t="shared" si="378"/>
        <v>0.90869851654967204</v>
      </c>
    </row>
    <row r="9154" spans="1:11" hidden="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7"/>
        <v>021PISTACHIO KISS</v>
      </c>
      <c r="H9154" s="5">
        <v>625</v>
      </c>
      <c r="I9154" s="6">
        <v>880.37999999999965</v>
      </c>
      <c r="J9154" s="5">
        <v>6400</v>
      </c>
      <c r="K9154" s="6">
        <f t="shared" si="378"/>
        <v>0.7099207160544313</v>
      </c>
    </row>
    <row r="9155" spans="1:11" hidden="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3">+E9155&amp;F9155</f>
        <v>021PISTACHIO KISS</v>
      </c>
      <c r="H9155" s="5">
        <v>960</v>
      </c>
      <c r="I9155" s="6">
        <v>880.37999999999965</v>
      </c>
      <c r="J9155" s="5">
        <v>6400</v>
      </c>
      <c r="K9155" s="6">
        <f t="shared" ref="K9155:K9156" si="384">+H9155/I9155</f>
        <v>1.0904382198596065</v>
      </c>
    </row>
    <row r="9156" spans="1:11" hidden="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3"/>
        <v>021PISTACHIO KISS</v>
      </c>
      <c r="H9156" s="5">
        <v>760</v>
      </c>
      <c r="I9156" s="6">
        <v>880.37999999999965</v>
      </c>
      <c r="J9156" s="5">
        <v>6400</v>
      </c>
      <c r="K9156" s="6">
        <f t="shared" si="384"/>
        <v>0.8632635907221885</v>
      </c>
    </row>
    <row r="9157" spans="1:11" hidden="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7"/>
        <v>002SOMERSET</v>
      </c>
      <c r="H9157" s="5">
        <v>8220</v>
      </c>
      <c r="I9157" s="6">
        <v>4121.4642855494085</v>
      </c>
      <c r="J9157" s="5">
        <v>31200</v>
      </c>
      <c r="K9157" s="6">
        <f t="shared" si="378"/>
        <v>1.9944367900556099</v>
      </c>
    </row>
    <row r="9158" spans="1:11" hidden="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7"/>
        <v>004BELLINA</v>
      </c>
      <c r="H9158" s="5">
        <v>1245</v>
      </c>
      <c r="I9158" s="6">
        <v>1056.7857142434418</v>
      </c>
      <c r="J9158" s="5">
        <v>8000</v>
      </c>
      <c r="K9158" s="6">
        <f t="shared" si="378"/>
        <v>1.1781007097463478</v>
      </c>
    </row>
    <row r="9159" spans="1:11" hidden="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7"/>
        <v>005ELBA</v>
      </c>
      <c r="H9159" s="5">
        <v>6930</v>
      </c>
      <c r="I9159" s="6">
        <v>2641.9642856076484</v>
      </c>
      <c r="J9159" s="5">
        <v>19996</v>
      </c>
      <c r="K9159" s="6">
        <f t="shared" si="378"/>
        <v>2.6230483272434202</v>
      </c>
    </row>
    <row r="9160" spans="1:11" hidden="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7"/>
        <v>005HOT BUBBLES</v>
      </c>
      <c r="H9160" s="5">
        <v>960</v>
      </c>
      <c r="I9160" s="6">
        <v>528.39285712153003</v>
      </c>
      <c r="J9160" s="5">
        <v>4000</v>
      </c>
      <c r="K9160" s="6">
        <f t="shared" si="378"/>
        <v>1.8168300102118917</v>
      </c>
    </row>
    <row r="9161" spans="1:11" hidden="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7"/>
        <v>005SUSPIRO</v>
      </c>
      <c r="H9161" s="5">
        <v>4590</v>
      </c>
      <c r="I9161" s="6">
        <v>1902.2142856375078</v>
      </c>
      <c r="J9161" s="5">
        <v>14400</v>
      </c>
      <c r="K9161" s="6">
        <f t="shared" si="378"/>
        <v>2.4129773573126689</v>
      </c>
    </row>
    <row r="9162" spans="1:11" hidden="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7"/>
        <v>007SNOW BUBBLES</v>
      </c>
      <c r="H9162" s="5" t="e">
        <v>#N/A</v>
      </c>
      <c r="I9162" s="6">
        <v>634.05652706821195</v>
      </c>
      <c r="J9162" s="5">
        <v>4800</v>
      </c>
      <c r="K9162" s="6" t="e">
        <f t="shared" si="378"/>
        <v>#N/A</v>
      </c>
    </row>
    <row r="9163" spans="1:11" hidden="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7"/>
        <v>009HOT BUBBLES</v>
      </c>
      <c r="H9163" s="5">
        <v>6260</v>
      </c>
      <c r="I9163" s="6">
        <v>4487.9999999102474</v>
      </c>
      <c r="J9163" s="5">
        <v>31740</v>
      </c>
      <c r="K9163" s="6">
        <f t="shared" si="378"/>
        <v>1.3948306595644362</v>
      </c>
    </row>
    <row r="9164" spans="1:11" hidden="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7"/>
        <v>014FRUITY BUBBLES</v>
      </c>
      <c r="H9164" s="5">
        <v>2075</v>
      </c>
      <c r="I9164" s="6">
        <v>1702.8</v>
      </c>
      <c r="J9164" s="5">
        <v>12900</v>
      </c>
      <c r="K9164" s="6">
        <f t="shared" si="378"/>
        <v>1.2185811604416257</v>
      </c>
    </row>
    <row r="9165" spans="1:11" hidden="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7"/>
        <v>015FELLINI</v>
      </c>
      <c r="H9165" s="5">
        <v>6200</v>
      </c>
      <c r="I9165" s="6">
        <v>3009.6</v>
      </c>
      <c r="J9165" s="5">
        <v>22800</v>
      </c>
      <c r="K9165" s="6">
        <f t="shared" si="378"/>
        <v>2.0600744284954811</v>
      </c>
    </row>
    <row r="9166" spans="1:11" hidden="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7"/>
        <v>016GOOD PEACH</v>
      </c>
      <c r="H9166" s="5">
        <v>3000</v>
      </c>
      <c r="I9166" s="6">
        <v>1386</v>
      </c>
      <c r="J9166" s="5">
        <v>10500</v>
      </c>
      <c r="K9166" s="6">
        <f t="shared" si="378"/>
        <v>2.1645021645021645</v>
      </c>
    </row>
    <row r="9167" spans="1:11" hidden="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7"/>
        <v>016GOOD YELLOW</v>
      </c>
      <c r="H9167" s="5">
        <v>4020</v>
      </c>
      <c r="I9167" s="6">
        <v>1386</v>
      </c>
      <c r="J9167" s="5">
        <v>10500</v>
      </c>
      <c r="K9167" s="6">
        <f t="shared" si="378"/>
        <v>2.9004329004329006</v>
      </c>
    </row>
    <row r="9168" spans="1:11" hidden="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7"/>
        <v>017ORANGE STAR</v>
      </c>
      <c r="H9168" s="5">
        <v>875</v>
      </c>
      <c r="I9168" s="6">
        <v>1029.5999999999999</v>
      </c>
      <c r="J9168" s="5">
        <v>7800</v>
      </c>
      <c r="K9168" s="6">
        <f t="shared" si="378"/>
        <v>0.84984459984459992</v>
      </c>
    </row>
    <row r="9169" spans="1:11" hidden="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7"/>
        <v>018COSMO</v>
      </c>
      <c r="H9169" s="5">
        <v>3275</v>
      </c>
      <c r="I9169" s="6">
        <v>2653.2</v>
      </c>
      <c r="J9169" s="5">
        <v>20100</v>
      </c>
      <c r="K9169" s="6">
        <f t="shared" si="378"/>
        <v>1.2343585104779136</v>
      </c>
    </row>
    <row r="9170" spans="1:11" hidden="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7"/>
        <v>018RUBICON</v>
      </c>
      <c r="H9170" s="5">
        <v>3090</v>
      </c>
      <c r="I9170" s="6">
        <v>1768.8</v>
      </c>
      <c r="J9170" s="5">
        <v>13400</v>
      </c>
      <c r="K9170" s="6">
        <f t="shared" si="378"/>
        <v>1.7469470827679783</v>
      </c>
    </row>
    <row r="9171" spans="1:11" hidden="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7"/>
        <v>019BELLINA</v>
      </c>
      <c r="H9171" s="5">
        <v>1755</v>
      </c>
      <c r="I9171" s="6">
        <v>1029.5999999999999</v>
      </c>
      <c r="J9171" s="5">
        <v>7800</v>
      </c>
      <c r="K9171" s="6">
        <f t="shared" si="378"/>
        <v>1.7045454545454546</v>
      </c>
    </row>
    <row r="9172" spans="1:11" hidden="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7"/>
        <v>020SUMMER DANCE</v>
      </c>
      <c r="H9172" s="5">
        <v>2475</v>
      </c>
      <c r="I9172" s="6">
        <v>1346.4</v>
      </c>
      <c r="J9172" s="5">
        <v>10200</v>
      </c>
      <c r="K9172" s="6">
        <f t="shared" si="378"/>
        <v>1.838235294117647</v>
      </c>
    </row>
    <row r="9173" spans="1:11" hidden="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7"/>
        <v>021ELEGANT ROSEVER</v>
      </c>
      <c r="H9173" s="5">
        <v>600</v>
      </c>
      <c r="I9173" s="6">
        <v>440.18999062500001</v>
      </c>
      <c r="J9173" s="5">
        <v>3200</v>
      </c>
      <c r="K9173" s="6">
        <f t="shared" si="378"/>
        <v>1.3630478038541838</v>
      </c>
    </row>
    <row r="9174" spans="1:11" hidden="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7"/>
        <v>021FLAME CLUB</v>
      </c>
      <c r="H9174" s="5">
        <v>1275</v>
      </c>
      <c r="I9174" s="6">
        <v>880.38</v>
      </c>
      <c r="J9174" s="5">
        <v>6400</v>
      </c>
      <c r="K9174" s="6">
        <f t="shared" si="378"/>
        <v>1.4482382607510393</v>
      </c>
    </row>
    <row r="9175" spans="1:11" hidden="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5">+E9175&amp;F9175</f>
        <v>021KELLY</v>
      </c>
      <c r="H9175" s="5">
        <v>625</v>
      </c>
      <c r="I9175" s="6">
        <v>330.14249999999998</v>
      </c>
      <c r="J9175" s="5">
        <v>2400</v>
      </c>
      <c r="K9175" s="6">
        <f t="shared" si="378"/>
        <v>1.8931219094784828</v>
      </c>
    </row>
    <row r="9176" spans="1:11" hidden="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5"/>
        <v>021LEILA</v>
      </c>
      <c r="H9176" s="5">
        <v>1500</v>
      </c>
      <c r="I9176" s="6">
        <v>1650.7125000000001</v>
      </c>
      <c r="J9176" s="5">
        <v>12000</v>
      </c>
      <c r="K9176" s="6">
        <f t="shared" si="378"/>
        <v>0.90869851654967171</v>
      </c>
    </row>
    <row r="9177" spans="1:11" hidden="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5"/>
        <v>021SNOW BUBBLES</v>
      </c>
      <c r="H9177" s="5">
        <v>3040</v>
      </c>
      <c r="I9177" s="6">
        <v>1287.0000000000018</v>
      </c>
      <c r="J9177" s="5">
        <v>9400</v>
      </c>
      <c r="K9177" s="6">
        <f t="shared" si="378"/>
        <v>2.3620823620823588</v>
      </c>
    </row>
    <row r="9178" spans="1:11" hidden="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5"/>
        <v>022FRUITY BUBBLES</v>
      </c>
      <c r="H9178" s="5">
        <v>4700</v>
      </c>
      <c r="I9178" s="6">
        <v>2641.14</v>
      </c>
      <c r="J9178" s="5">
        <v>19200</v>
      </c>
      <c r="K9178" s="6">
        <f t="shared" si="378"/>
        <v>1.7795345949097738</v>
      </c>
    </row>
    <row r="9179" spans="1:11" hidden="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5"/>
        <v>022GOOD PEACH</v>
      </c>
      <c r="H9179" s="5">
        <v>2460</v>
      </c>
      <c r="I9179" s="6">
        <v>880.38</v>
      </c>
      <c r="J9179" s="5">
        <v>6400</v>
      </c>
      <c r="K9179" s="6">
        <f t="shared" si="378"/>
        <v>2.7942479383902405</v>
      </c>
    </row>
    <row r="9180" spans="1:11" hidden="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5"/>
        <v>022MIRABEL</v>
      </c>
      <c r="H9180" s="5">
        <v>1520</v>
      </c>
      <c r="I9180" s="6">
        <v>880.38</v>
      </c>
      <c r="J9180" s="5">
        <v>6400</v>
      </c>
      <c r="K9180" s="6">
        <f t="shared" si="378"/>
        <v>1.7265271814443763</v>
      </c>
    </row>
    <row r="9181" spans="1:11" hidden="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5"/>
        <v>026PURPLE BUBBLY</v>
      </c>
      <c r="H9181" s="5" t="e">
        <v>#N/A</v>
      </c>
      <c r="I9181" s="6">
        <v>1755.4</v>
      </c>
      <c r="J9181" s="5">
        <v>12800</v>
      </c>
      <c r="K9181" s="6" t="e">
        <f t="shared" si="378"/>
        <v>#N/A</v>
      </c>
    </row>
    <row r="9182" spans="1:11" hidden="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5"/>
        <v>030MIRABEL</v>
      </c>
      <c r="H9182" s="5">
        <v>2660</v>
      </c>
      <c r="I9182" s="6">
        <v>2413.6749943750001</v>
      </c>
      <c r="J9182" s="5">
        <v>17600</v>
      </c>
      <c r="K9182" s="6">
        <f t="shared" si="378"/>
        <v>1.1020539244923417</v>
      </c>
    </row>
    <row r="9183" spans="1:11" hidden="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5"/>
        <v>030SOMERSET</v>
      </c>
      <c r="H9183" s="5">
        <v>2780</v>
      </c>
      <c r="I9183" s="6">
        <v>1645.6875</v>
      </c>
      <c r="J9183" s="5">
        <v>12000</v>
      </c>
      <c r="K9183" s="6">
        <f t="shared" si="378"/>
        <v>1.6892636056359425</v>
      </c>
    </row>
    <row r="9184" spans="1:11" hidden="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5"/>
        <v>03182989</v>
      </c>
      <c r="H9184" s="5">
        <v>600</v>
      </c>
      <c r="I9184" s="6">
        <v>726.32013058333712</v>
      </c>
      <c r="J9184" s="5">
        <v>5712</v>
      </c>
      <c r="K9184" s="6">
        <f t="shared" si="378"/>
        <v>0.82608201912029577</v>
      </c>
    </row>
    <row r="9185" spans="1:11" hidden="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5"/>
        <v>031RUBICON</v>
      </c>
      <c r="H9185" s="5">
        <v>1680</v>
      </c>
      <c r="I9185" s="6">
        <v>924.39958333667107</v>
      </c>
      <c r="J9185" s="5">
        <v>6720</v>
      </c>
      <c r="K9185" s="6">
        <f t="shared" si="378"/>
        <v>1.8173958862421247</v>
      </c>
    </row>
    <row r="9186" spans="1:11" hidden="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5"/>
        <v>031SOMERSET</v>
      </c>
      <c r="H9186" s="5">
        <v>2540</v>
      </c>
      <c r="I9186" s="6">
        <v>1122.485208333339</v>
      </c>
      <c r="J9186" s="5">
        <v>8160</v>
      </c>
      <c r="K9186" s="6">
        <f t="shared" si="378"/>
        <v>2.2628360544468826</v>
      </c>
    </row>
    <row r="9187" spans="1:11" hidden="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5"/>
        <v>031VELVET BLOSSOMS</v>
      </c>
      <c r="H9187" s="5">
        <v>620</v>
      </c>
      <c r="I9187" s="6">
        <v>396.17125000000198</v>
      </c>
      <c r="J9187" s="5">
        <v>2880</v>
      </c>
      <c r="K9187" s="6">
        <f t="shared" si="378"/>
        <v>1.5649797909363612</v>
      </c>
    </row>
    <row r="9188" spans="1:11" hidden="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5"/>
        <v>032ELBA</v>
      </c>
      <c r="H9188" s="5">
        <v>2160</v>
      </c>
      <c r="I9188" s="6">
        <v>1535.9749999999999</v>
      </c>
      <c r="J9188" s="5">
        <v>11200</v>
      </c>
      <c r="K9188" s="6">
        <f t="shared" si="378"/>
        <v>1.4062728885561289</v>
      </c>
    </row>
    <row r="9189" spans="1:11" hidden="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5"/>
        <v>032MIRABEL</v>
      </c>
      <c r="H9189" s="5">
        <v>1160</v>
      </c>
      <c r="I9189" s="6">
        <v>1535.9749999999999</v>
      </c>
      <c r="J9189" s="5">
        <v>11200</v>
      </c>
      <c r="K9189" s="6">
        <f t="shared" si="378"/>
        <v>0.75522062533569889</v>
      </c>
    </row>
    <row r="9190" spans="1:11" hidden="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5"/>
        <v>033CREAMY FOLIES</v>
      </c>
      <c r="H9190" s="5">
        <v>1230</v>
      </c>
      <c r="I9190" s="6">
        <v>594.25687500000299</v>
      </c>
      <c r="J9190" s="5">
        <v>4320</v>
      </c>
      <c r="K9190" s="6">
        <f t="shared" si="378"/>
        <v>2.0698119815609939</v>
      </c>
    </row>
    <row r="9191" spans="1:11" hidden="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5"/>
        <v>033HOT BUBBLES</v>
      </c>
      <c r="H9191" s="5">
        <v>4320</v>
      </c>
      <c r="I9191" s="6">
        <v>2575.1131250013459</v>
      </c>
      <c r="J9191" s="5">
        <v>18720</v>
      </c>
      <c r="K9191" s="6">
        <f t="shared" si="378"/>
        <v>1.6775962026902185</v>
      </c>
    </row>
    <row r="9192" spans="1:11" hidden="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5"/>
        <v>001BELIEVE IN PINK</v>
      </c>
      <c r="H9192" s="5">
        <v>1140</v>
      </c>
      <c r="I9192" s="6">
        <v>528.37931032368999</v>
      </c>
      <c r="J9192" s="5">
        <v>4000</v>
      </c>
      <c r="K9192" s="6">
        <f t="shared" ref="K9192:K9198" si="386">IFERROR(H9192/I9192,"")</f>
        <v>2.1575409515971122</v>
      </c>
    </row>
    <row r="9193" spans="1:11" hidden="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5"/>
        <v>001EXPLORER</v>
      </c>
      <c r="H9193" s="5">
        <v>5125</v>
      </c>
      <c r="I9193" s="6">
        <v>2272.0310343918732</v>
      </c>
      <c r="J9193" s="5">
        <v>17200</v>
      </c>
      <c r="K9193" s="6">
        <f t="shared" si="386"/>
        <v>2.25569101936662</v>
      </c>
    </row>
    <row r="9194" spans="1:11" hidden="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5"/>
        <v>001GRACE KELLY</v>
      </c>
      <c r="H9194" s="5">
        <v>1710</v>
      </c>
      <c r="I9194" s="6">
        <v>1162.4344827121224</v>
      </c>
      <c r="J9194" s="5">
        <v>8800</v>
      </c>
      <c r="K9194" s="6">
        <f t="shared" si="386"/>
        <v>1.4710506488162074</v>
      </c>
    </row>
    <row r="9195" spans="1:11" hidden="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5"/>
        <v>001IDOLE</v>
      </c>
      <c r="H9195" s="5" t="e">
        <v>#N/A</v>
      </c>
      <c r="I9195" s="6">
        <v>1162.4344827121181</v>
      </c>
      <c r="J9195" s="5">
        <v>8800</v>
      </c>
      <c r="K9195" s="6" t="str">
        <f t="shared" si="386"/>
        <v/>
      </c>
    </row>
    <row r="9196" spans="1:11" hidden="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5"/>
        <v>001LIGHT HOUSE</v>
      </c>
      <c r="H9196" s="5">
        <v>2040</v>
      </c>
      <c r="I9196" s="6">
        <v>1056.7586206473827</v>
      </c>
      <c r="J9196" s="5">
        <v>8000</v>
      </c>
      <c r="K9196" s="6">
        <f t="shared" si="386"/>
        <v>1.9304313777447797</v>
      </c>
    </row>
    <row r="9197" spans="1:11" hidden="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5"/>
        <v>001LUMIA</v>
      </c>
      <c r="H9197" s="5">
        <v>1680</v>
      </c>
      <c r="I9197" s="6">
        <v>1109.596551679753</v>
      </c>
      <c r="J9197" s="5">
        <v>8400</v>
      </c>
      <c r="K9197" s="6">
        <f t="shared" si="386"/>
        <v>1.5140638256821786</v>
      </c>
    </row>
    <row r="9198" spans="1:11" hidden="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5"/>
        <v>001MOMENTUM</v>
      </c>
      <c r="H9198" s="5">
        <v>3600</v>
      </c>
      <c r="I9198" s="6">
        <v>1902.1655171652881</v>
      </c>
      <c r="J9198" s="5">
        <v>14400</v>
      </c>
      <c r="K9198" s="6">
        <f t="shared" si="386"/>
        <v>1.8925797821027259</v>
      </c>
    </row>
    <row r="9199" spans="1:11" hidden="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5"/>
        <v>002SUMMER ROMANCE</v>
      </c>
      <c r="H9199" s="5">
        <v>1600</v>
      </c>
      <c r="I9199" s="6">
        <v>951.10714281909407</v>
      </c>
      <c r="J9199" s="5">
        <v>7200</v>
      </c>
      <c r="K9199" s="6">
        <f t="shared" ref="K9199:K9261" si="387">+H9199/I9199</f>
        <v>1.6822500094548538</v>
      </c>
    </row>
    <row r="9200" spans="1:11" hidden="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5"/>
        <v>002SWEETNESS</v>
      </c>
      <c r="H9200" s="5">
        <v>5280</v>
      </c>
      <c r="I9200" s="6">
        <v>3804.4285712763772</v>
      </c>
      <c r="J9200" s="5">
        <v>28800</v>
      </c>
      <c r="K9200" s="6">
        <f t="shared" si="387"/>
        <v>1.387856257800254</v>
      </c>
    </row>
    <row r="9201" spans="1:11" hidden="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5"/>
        <v>003CABARET</v>
      </c>
      <c r="H9201" s="5">
        <v>3660</v>
      </c>
      <c r="I9201" s="6">
        <v>2641.8965516184649</v>
      </c>
      <c r="J9201" s="5">
        <v>20000</v>
      </c>
      <c r="K9201" s="6">
        <f t="shared" si="387"/>
        <v>1.3853684004991906</v>
      </c>
    </row>
    <row r="9202" spans="1:11" hidden="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5"/>
        <v>003DEEP PURPLE</v>
      </c>
      <c r="H9202" s="5">
        <v>8220</v>
      </c>
      <c r="I9202" s="6">
        <v>3592.9793102010913</v>
      </c>
      <c r="J9202" s="5">
        <v>26044</v>
      </c>
      <c r="K9202" s="6">
        <f t="shared" si="387"/>
        <v>2.2877949718947712</v>
      </c>
    </row>
    <row r="9203" spans="1:11" hidden="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5"/>
        <v>003EXPLORER</v>
      </c>
      <c r="H9203" s="5">
        <v>1625</v>
      </c>
      <c r="I9203" s="6">
        <v>1268.1103447768633</v>
      </c>
      <c r="J9203" s="5">
        <v>9600</v>
      </c>
      <c r="K9203" s="6">
        <f t="shared" si="387"/>
        <v>1.2814342274653827</v>
      </c>
    </row>
    <row r="9204" spans="1:11" hidden="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5"/>
        <v>003JOCKER</v>
      </c>
      <c r="H9204" s="5">
        <v>1075</v>
      </c>
      <c r="I9204" s="6">
        <v>528.37931032368999</v>
      </c>
      <c r="J9204" s="5">
        <v>4000</v>
      </c>
      <c r="K9204" s="6">
        <f t="shared" si="387"/>
        <v>2.0345232657604346</v>
      </c>
    </row>
    <row r="9205" spans="1:11" hidden="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5"/>
        <v>003QUICKSAND</v>
      </c>
      <c r="H9205" s="5">
        <v>1980</v>
      </c>
      <c r="I9205" s="6">
        <v>1162.4344827121247</v>
      </c>
      <c r="J9205" s="5">
        <v>8800</v>
      </c>
      <c r="K9205" s="6">
        <f t="shared" si="387"/>
        <v>1.7033218038924471</v>
      </c>
    </row>
    <row r="9206" spans="1:11" hidden="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5"/>
        <v>004COTOPAXI</v>
      </c>
      <c r="H9206" s="5">
        <v>900</v>
      </c>
      <c r="I9206" s="6">
        <v>528.3915024419166</v>
      </c>
      <c r="J9206" s="5">
        <v>4000</v>
      </c>
      <c r="K9206" s="6">
        <f t="shared" si="387"/>
        <v>1.7032825014042168</v>
      </c>
    </row>
    <row r="9207" spans="1:11" hidden="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5"/>
        <v>004DEEP PURPLE</v>
      </c>
      <c r="H9207" s="5">
        <v>6030</v>
      </c>
      <c r="I9207" s="6">
        <v>3910.1071427007282</v>
      </c>
      <c r="J9207" s="5">
        <v>29260</v>
      </c>
      <c r="K9207" s="6">
        <f t="shared" si="387"/>
        <v>1.5421572299512623</v>
      </c>
    </row>
    <row r="9208" spans="1:11" hidden="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5"/>
        <v>004HOT EXPLORER</v>
      </c>
      <c r="H9208" s="5">
        <v>1550</v>
      </c>
      <c r="I9208" s="6">
        <v>1902.2142856381945</v>
      </c>
      <c r="J9208" s="5">
        <v>14400</v>
      </c>
      <c r="K9208" s="6">
        <f t="shared" si="387"/>
        <v>0.81483984832969214</v>
      </c>
    </row>
    <row r="9209" spans="1:11" hidden="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5"/>
        <v>004HOT MERENGUE</v>
      </c>
      <c r="H9209" s="5">
        <v>3120</v>
      </c>
      <c r="I9209" s="6">
        <v>1162.4642856677858</v>
      </c>
      <c r="J9209" s="5">
        <v>8800</v>
      </c>
      <c r="K9209" s="6">
        <f t="shared" si="387"/>
        <v>2.6839534241756891</v>
      </c>
    </row>
    <row r="9210" spans="1:11" hidden="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5"/>
        <v>004SWEETNESS</v>
      </c>
      <c r="H9210" s="5">
        <v>510</v>
      </c>
      <c r="I9210" s="6">
        <v>317.03571427303262</v>
      </c>
      <c r="J9210" s="5">
        <v>2400</v>
      </c>
      <c r="K9210" s="6">
        <f t="shared" si="387"/>
        <v>1.6086515715411975</v>
      </c>
    </row>
    <row r="9211" spans="1:11" hidden="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5"/>
        <v>005EXPLORER</v>
      </c>
      <c r="H9211" s="5">
        <v>1650</v>
      </c>
      <c r="I9211" s="6">
        <v>951.10714281875391</v>
      </c>
      <c r="J9211" s="5">
        <v>7200</v>
      </c>
      <c r="K9211" s="6">
        <f t="shared" si="387"/>
        <v>1.7348203222509384</v>
      </c>
    </row>
    <row r="9212" spans="1:11" hidden="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5"/>
        <v>005GOLDFINCH</v>
      </c>
      <c r="H9212" s="5">
        <v>825</v>
      </c>
      <c r="I9212" s="6">
        <v>898.26785710660101</v>
      </c>
      <c r="J9212" s="5">
        <v>6800</v>
      </c>
      <c r="K9212" s="6">
        <f t="shared" si="387"/>
        <v>0.91843428825049678</v>
      </c>
    </row>
    <row r="9213" spans="1:11" hidden="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5"/>
        <v>005JOCKER</v>
      </c>
      <c r="H9213" s="5">
        <v>2425</v>
      </c>
      <c r="I9213" s="6">
        <v>1162.4642856673661</v>
      </c>
      <c r="J9213" s="5">
        <v>8800</v>
      </c>
      <c r="K9213" s="6">
        <f t="shared" si="387"/>
        <v>2.0860855941116654</v>
      </c>
    </row>
    <row r="9214" spans="1:11" hidden="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5"/>
        <v>005VENDELA</v>
      </c>
      <c r="H9214" s="5">
        <v>1590</v>
      </c>
      <c r="I9214" s="6">
        <v>686.91071425798896</v>
      </c>
      <c r="J9214" s="5">
        <v>5200</v>
      </c>
      <c r="K9214" s="6">
        <f t="shared" si="387"/>
        <v>2.3147113110872661</v>
      </c>
    </row>
    <row r="9215" spans="1:11" hidden="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5"/>
        <v>006ATOMIC</v>
      </c>
      <c r="H9215" s="5" t="e">
        <v>#N/A</v>
      </c>
      <c r="I9215" s="6">
        <v>845.428571394752</v>
      </c>
      <c r="J9215" s="5">
        <v>6400</v>
      </c>
      <c r="K9215" s="6" t="e">
        <f t="shared" si="387"/>
        <v>#N/A</v>
      </c>
    </row>
    <row r="9216" spans="1:11" hidden="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5"/>
        <v>006EXPLORER</v>
      </c>
      <c r="H9216" s="5">
        <v>6775</v>
      </c>
      <c r="I9216" s="6">
        <v>3910.1071427007355</v>
      </c>
      <c r="J9216" s="5">
        <v>29600</v>
      </c>
      <c r="K9216" s="6">
        <f t="shared" si="387"/>
        <v>1.7326890933531978</v>
      </c>
    </row>
    <row r="9217" spans="1:11" hidden="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5"/>
        <v>006MONDIAL</v>
      </c>
      <c r="H9217" s="5">
        <v>6250</v>
      </c>
      <c r="I9217" s="6">
        <v>4015.7857141250793</v>
      </c>
      <c r="J9217" s="5">
        <v>30400</v>
      </c>
      <c r="K9217" s="6">
        <f t="shared" si="387"/>
        <v>1.5563579446025519</v>
      </c>
    </row>
    <row r="9218" spans="1:11" hidden="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5"/>
        <v>007COTOPAXI</v>
      </c>
      <c r="H9218" s="5">
        <v>3870</v>
      </c>
      <c r="I9218" s="6">
        <v>2747.5751230427709</v>
      </c>
      <c r="J9218" s="5">
        <v>20800</v>
      </c>
      <c r="K9218" s="6">
        <f t="shared" si="387"/>
        <v>1.4085147181396127</v>
      </c>
    </row>
    <row r="9219" spans="1:11" hidden="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5"/>
        <v>007REDIANT</v>
      </c>
      <c r="H9219" s="5">
        <v>1320</v>
      </c>
      <c r="I9219" s="6">
        <v>1056.75862064738</v>
      </c>
      <c r="J9219" s="5">
        <v>9600</v>
      </c>
      <c r="K9219" s="6">
        <f t="shared" si="387"/>
        <v>1.2491026561878018</v>
      </c>
    </row>
    <row r="9220" spans="1:11" hidden="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5"/>
        <v>007SUMMER ROMANCE</v>
      </c>
      <c r="H9220" s="5">
        <v>1000</v>
      </c>
      <c r="I9220" s="6">
        <v>317.02758619421581</v>
      </c>
      <c r="J9220" s="5">
        <v>2640</v>
      </c>
      <c r="K9220" s="6">
        <f t="shared" si="387"/>
        <v>3.1542996368378655</v>
      </c>
    </row>
    <row r="9221" spans="1:11" hidden="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5"/>
        <v>007TOPACIO</v>
      </c>
      <c r="H9221" s="5" t="e">
        <v>#N/A</v>
      </c>
      <c r="I9221" s="6">
        <v>52.837931032368999</v>
      </c>
      <c r="J9221" s="5">
        <v>440</v>
      </c>
      <c r="K9221" s="6" t="e">
        <f t="shared" si="387"/>
        <v>#N/A</v>
      </c>
    </row>
    <row r="9222" spans="1:11" hidden="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5"/>
        <v>007VENDELA</v>
      </c>
      <c r="H9222" s="5">
        <v>8190</v>
      </c>
      <c r="I9222" s="6">
        <v>3592.9793102011122</v>
      </c>
      <c r="J9222" s="5">
        <v>27820</v>
      </c>
      <c r="K9222" s="6">
        <f t="shared" si="387"/>
        <v>2.2794453552090106</v>
      </c>
    </row>
    <row r="9223" spans="1:11" hidden="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5"/>
        <v>008DEEP PURPLE</v>
      </c>
      <c r="H9223" s="5">
        <v>3570</v>
      </c>
      <c r="I9223" s="6">
        <v>1585.2222221588099</v>
      </c>
      <c r="J9223" s="5">
        <v>11490</v>
      </c>
      <c r="K9223" s="6">
        <f t="shared" si="387"/>
        <v>2.2520501858334105</v>
      </c>
    </row>
    <row r="9224" spans="1:11" hidden="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5"/>
        <v>008FREEDOM</v>
      </c>
      <c r="H9224" s="5">
        <v>3870</v>
      </c>
      <c r="I9224" s="6">
        <v>2219.311111022334</v>
      </c>
      <c r="J9224" s="5">
        <v>16800</v>
      </c>
      <c r="K9224" s="6">
        <f t="shared" si="387"/>
        <v>1.7437843575780909</v>
      </c>
    </row>
    <row r="9225" spans="1:11" hidden="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5"/>
        <v>008JOCKER</v>
      </c>
      <c r="H9225" s="5">
        <v>5600</v>
      </c>
      <c r="I9225" s="6">
        <v>2959.0814813631118</v>
      </c>
      <c r="J9225" s="5">
        <v>22400</v>
      </c>
      <c r="K9225" s="6">
        <f t="shared" si="387"/>
        <v>1.8924791477591687</v>
      </c>
    </row>
    <row r="9226" spans="1:11" hidden="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5"/>
        <v>010COOLDOWN</v>
      </c>
      <c r="H9226" s="5">
        <v>3075</v>
      </c>
      <c r="I9226" s="6">
        <v>1912.3542857142861</v>
      </c>
      <c r="J9226" s="5">
        <v>16320</v>
      </c>
      <c r="K9226" s="6">
        <f t="shared" si="387"/>
        <v>1.6079656489233911</v>
      </c>
    </row>
    <row r="9227" spans="1:11" hidden="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5"/>
        <v>010VIOLET HILL</v>
      </c>
      <c r="H9227" s="5">
        <v>5730</v>
      </c>
      <c r="I9227" s="6">
        <v>2812.2857142428579</v>
      </c>
      <c r="J9227" s="5">
        <v>20000</v>
      </c>
      <c r="K9227" s="6">
        <f t="shared" si="387"/>
        <v>2.0374885705888062</v>
      </c>
    </row>
    <row r="9228" spans="1:11" hidden="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5"/>
        <v>011BRIGHTON</v>
      </c>
      <c r="H9228" s="5">
        <v>2475</v>
      </c>
      <c r="I9228" s="6">
        <v>1768.8376470588223</v>
      </c>
      <c r="J9228" s="5">
        <v>12800</v>
      </c>
      <c r="K9228" s="6">
        <f t="shared" si="387"/>
        <v>1.3992239503243082</v>
      </c>
    </row>
    <row r="9229" spans="1:11" hidden="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5"/>
        <v>011CANDLELIGHT</v>
      </c>
      <c r="H9229" s="5">
        <v>3380</v>
      </c>
      <c r="I9229" s="6">
        <v>2263.7999998868127</v>
      </c>
      <c r="J9229" s="5">
        <v>17920</v>
      </c>
      <c r="K9229" s="6">
        <f t="shared" si="387"/>
        <v>1.4930647584455323</v>
      </c>
    </row>
    <row r="9230" spans="1:11" hidden="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5"/>
        <v>011CAYENNE</v>
      </c>
      <c r="H9230" s="5">
        <v>1170</v>
      </c>
      <c r="I9230" s="6">
        <v>994.97117647058747</v>
      </c>
      <c r="J9230" s="5">
        <v>7200</v>
      </c>
      <c r="K9230" s="6">
        <f t="shared" si="387"/>
        <v>1.1759134612826512</v>
      </c>
    </row>
    <row r="9231" spans="1:11" hidden="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5"/>
        <v>011LUMIA</v>
      </c>
      <c r="H9231" s="5">
        <v>1590</v>
      </c>
      <c r="I9231" s="6">
        <v>994.97117647058747</v>
      </c>
      <c r="J9231" s="5">
        <v>7920</v>
      </c>
      <c r="K9231" s="6">
        <f t="shared" si="387"/>
        <v>1.5980362422559105</v>
      </c>
    </row>
    <row r="9232" spans="1:11" hidden="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5"/>
        <v>011STARDUST</v>
      </c>
      <c r="H9232" s="5">
        <v>2275</v>
      </c>
      <c r="I9232" s="6">
        <v>2263.7999998868127</v>
      </c>
      <c r="J9232" s="5">
        <v>17920</v>
      </c>
      <c r="K9232" s="6">
        <f t="shared" si="387"/>
        <v>1.0049474335691082</v>
      </c>
    </row>
    <row r="9233" spans="1:11" hidden="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5"/>
        <v>012DEEP PURPLE</v>
      </c>
      <c r="H9233" s="5">
        <v>12570</v>
      </c>
      <c r="I9233" s="6">
        <v>6727.0499997982479</v>
      </c>
      <c r="J9233" s="5">
        <v>49210</v>
      </c>
      <c r="K9233" s="6">
        <f t="shared" si="387"/>
        <v>1.8685753785651942</v>
      </c>
    </row>
    <row r="9234" spans="1:11" hidden="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5"/>
        <v>012LIGHT HOUSE</v>
      </c>
      <c r="H9234" s="5">
        <v>840</v>
      </c>
      <c r="I9234" s="6">
        <v>994.95</v>
      </c>
      <c r="J9234" s="5">
        <v>7200</v>
      </c>
      <c r="K9234" s="6">
        <f t="shared" si="387"/>
        <v>0.84426353083069494</v>
      </c>
    </row>
    <row r="9235" spans="1:11" hidden="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5"/>
        <v>013COUNTRY BLUES</v>
      </c>
      <c r="H9235" s="5">
        <v>720</v>
      </c>
      <c r="I9235" s="6">
        <v>831.6</v>
      </c>
      <c r="J9235" s="5">
        <v>6300</v>
      </c>
      <c r="K9235" s="6">
        <f t="shared" si="387"/>
        <v>0.86580086580086579</v>
      </c>
    </row>
    <row r="9236" spans="1:11" hidden="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5"/>
        <v>013LORRAINE</v>
      </c>
      <c r="H9236" s="5">
        <v>2325</v>
      </c>
      <c r="I9236" s="6">
        <v>1267.2</v>
      </c>
      <c r="J9236" s="5">
        <v>9600</v>
      </c>
      <c r="K9236" s="6">
        <f t="shared" si="387"/>
        <v>1.8347537878787878</v>
      </c>
    </row>
    <row r="9237" spans="1:11" hidden="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5"/>
        <v>013LUMIA</v>
      </c>
      <c r="H9237" s="5">
        <v>480</v>
      </c>
      <c r="I9237" s="6">
        <v>316.8</v>
      </c>
      <c r="J9237" s="5">
        <v>2400</v>
      </c>
      <c r="K9237" s="6">
        <f t="shared" si="387"/>
        <v>1.5151515151515151</v>
      </c>
    </row>
    <row r="9238" spans="1:11" hidden="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8">+E9238&amp;F9238</f>
        <v>013VENDELA</v>
      </c>
      <c r="H9238" s="5">
        <v>6090</v>
      </c>
      <c r="I9238" s="6">
        <v>3603.6</v>
      </c>
      <c r="J9238" s="5">
        <v>27296</v>
      </c>
      <c r="K9238" s="6">
        <f t="shared" si="387"/>
        <v>1.6899766899766899</v>
      </c>
    </row>
    <row r="9239" spans="1:11" hidden="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8"/>
        <v>014STARDUST</v>
      </c>
      <c r="H9239" s="5">
        <v>4650</v>
      </c>
      <c r="I9239" s="6">
        <v>3682.8</v>
      </c>
      <c r="J9239" s="5">
        <v>27900</v>
      </c>
      <c r="K9239" s="6">
        <f t="shared" si="387"/>
        <v>1.2626262626262625</v>
      </c>
    </row>
    <row r="9240" spans="1:11" hidden="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8"/>
        <v>015JOCKER</v>
      </c>
      <c r="H9240" s="5">
        <v>2975</v>
      </c>
      <c r="I9240" s="6">
        <v>2376</v>
      </c>
      <c r="J9240" s="5">
        <v>18000</v>
      </c>
      <c r="K9240" s="6">
        <f t="shared" si="387"/>
        <v>1.2521043771043772</v>
      </c>
    </row>
    <row r="9241" spans="1:11" hidden="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8"/>
        <v>016DREAM IN PEACH</v>
      </c>
      <c r="H9241" s="5">
        <v>1500</v>
      </c>
      <c r="I9241" s="6">
        <v>950.4</v>
      </c>
      <c r="J9241" s="5">
        <v>7200</v>
      </c>
      <c r="K9241" s="6">
        <f t="shared" si="387"/>
        <v>1.5782828282828283</v>
      </c>
    </row>
    <row r="9242" spans="1:11" hidden="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8"/>
        <v>016NINA</v>
      </c>
      <c r="H9242" s="5">
        <v>2425</v>
      </c>
      <c r="I9242" s="6">
        <v>1346.4</v>
      </c>
      <c r="J9242" s="5">
        <v>10200</v>
      </c>
      <c r="K9242" s="6">
        <f t="shared" si="387"/>
        <v>1.8010992275698157</v>
      </c>
    </row>
    <row r="9243" spans="1:11" hidden="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8"/>
        <v>017FREEDOM</v>
      </c>
      <c r="H9243" s="5">
        <v>5700</v>
      </c>
      <c r="I9243" s="6">
        <v>2851.2</v>
      </c>
      <c r="J9243" s="5">
        <v>21600</v>
      </c>
      <c r="K9243" s="6">
        <f t="shared" si="387"/>
        <v>1.9991582491582494</v>
      </c>
    </row>
    <row r="9244" spans="1:11" hidden="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8"/>
        <v>017GOLDFINCH</v>
      </c>
      <c r="H9244" s="5">
        <v>1850</v>
      </c>
      <c r="I9244" s="6">
        <v>2138.4</v>
      </c>
      <c r="J9244" s="5">
        <v>16200</v>
      </c>
      <c r="K9244" s="6">
        <f t="shared" si="387"/>
        <v>0.86513280957725402</v>
      </c>
    </row>
    <row r="9245" spans="1:11" hidden="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8"/>
        <v>018BRIGHTON</v>
      </c>
      <c r="H9245" s="5">
        <v>1225</v>
      </c>
      <c r="I9245" s="6">
        <v>963.6</v>
      </c>
      <c r="J9245" s="5">
        <v>7570</v>
      </c>
      <c r="K9245" s="6">
        <f t="shared" si="387"/>
        <v>1.2712743877127439</v>
      </c>
    </row>
    <row r="9246" spans="1:11" hidden="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8"/>
        <v>019BRIGHTON</v>
      </c>
      <c r="H9246" s="5">
        <v>5400</v>
      </c>
      <c r="I9246" s="6">
        <v>3168</v>
      </c>
      <c r="J9246" s="5">
        <v>24000</v>
      </c>
      <c r="K9246" s="6">
        <f t="shared" si="387"/>
        <v>1.7045454545454546</v>
      </c>
    </row>
    <row r="9247" spans="1:11" hidden="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8"/>
        <v>019TABATHA</v>
      </c>
      <c r="H9247" s="5">
        <v>2610</v>
      </c>
      <c r="I9247" s="6">
        <v>1188</v>
      </c>
      <c r="J9247" s="5">
        <v>9000</v>
      </c>
      <c r="K9247" s="6">
        <f t="shared" si="387"/>
        <v>2.1969696969696968</v>
      </c>
    </row>
    <row r="9248" spans="1:11" hidden="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8"/>
        <v>020BRIGHTON</v>
      </c>
      <c r="H9248" s="5">
        <v>4125</v>
      </c>
      <c r="I9248" s="6">
        <v>2732.4</v>
      </c>
      <c r="J9248" s="5">
        <v>20700</v>
      </c>
      <c r="K9248" s="6">
        <f t="shared" si="387"/>
        <v>1.5096618357487923</v>
      </c>
    </row>
    <row r="9249" spans="1:11" hidden="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8"/>
        <v>020TYCOON</v>
      </c>
      <c r="H9249" s="5">
        <v>840</v>
      </c>
      <c r="I9249" s="6">
        <v>673.2</v>
      </c>
      <c r="J9249" s="5">
        <v>5100</v>
      </c>
      <c r="K9249" s="6">
        <f t="shared" si="387"/>
        <v>1.2477718360071299</v>
      </c>
    </row>
    <row r="9250" spans="1:11" hidden="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8"/>
        <v>021SHOW GIRL</v>
      </c>
      <c r="H9250" s="5">
        <v>1400</v>
      </c>
      <c r="I9250" s="6">
        <v>1100.4749999999999</v>
      </c>
      <c r="J9250" s="5">
        <v>8000</v>
      </c>
      <c r="K9250" s="6">
        <f t="shared" si="387"/>
        <v>1.2721779231695405</v>
      </c>
    </row>
    <row r="9251" spans="1:11" hidden="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8"/>
        <v>022CORAL REEF</v>
      </c>
      <c r="H9251" s="5">
        <v>1800</v>
      </c>
      <c r="I9251" s="6">
        <v>1287</v>
      </c>
      <c r="J9251" s="5">
        <v>9400</v>
      </c>
      <c r="K9251" s="6">
        <f t="shared" si="387"/>
        <v>1.3986013986013985</v>
      </c>
    </row>
    <row r="9252" spans="1:11" hidden="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8"/>
        <v>023COTOPAXI</v>
      </c>
      <c r="H9252" s="5">
        <v>4740</v>
      </c>
      <c r="I9252" s="6">
        <v>2641.14</v>
      </c>
      <c r="J9252" s="5">
        <v>19200</v>
      </c>
      <c r="K9252" s="6">
        <f t="shared" si="387"/>
        <v>1.7946795701856018</v>
      </c>
    </row>
    <row r="9253" spans="1:11" hidden="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8"/>
        <v>023FRUTTETO</v>
      </c>
      <c r="H9253" s="5">
        <v>3870</v>
      </c>
      <c r="I9253" s="6">
        <v>2641.14</v>
      </c>
      <c r="J9253" s="5">
        <v>19200</v>
      </c>
      <c r="K9253" s="6">
        <f t="shared" si="387"/>
        <v>1.4652763579363457</v>
      </c>
    </row>
    <row r="9254" spans="1:11" hidden="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8"/>
        <v>024COTOPAXI</v>
      </c>
      <c r="H9254" s="5">
        <v>3000</v>
      </c>
      <c r="I9254" s="6">
        <v>1430.6174906250001</v>
      </c>
      <c r="J9254" s="5">
        <v>10400</v>
      </c>
      <c r="K9254" s="6">
        <f t="shared" si="387"/>
        <v>2.096996590394947</v>
      </c>
    </row>
    <row r="9255" spans="1:11" hidden="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8"/>
        <v>024SWEETNESS</v>
      </c>
      <c r="H9255" s="5">
        <v>1710</v>
      </c>
      <c r="I9255" s="6">
        <v>1430.6175000000001</v>
      </c>
      <c r="J9255" s="5">
        <v>10400</v>
      </c>
      <c r="K9255" s="6">
        <f t="shared" si="387"/>
        <v>1.1952880486922604</v>
      </c>
    </row>
    <row r="9256" spans="1:11" hidden="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8"/>
        <v>024TYCOON</v>
      </c>
      <c r="H9256" s="5">
        <v>3240</v>
      </c>
      <c r="I9256" s="6">
        <v>2861.2350000000001</v>
      </c>
      <c r="J9256" s="5">
        <v>20800</v>
      </c>
      <c r="K9256" s="6">
        <f t="shared" si="387"/>
        <v>1.1323781513926678</v>
      </c>
    </row>
    <row r="9257" spans="1:11" hidden="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8"/>
        <v>025PINK MONDIAL</v>
      </c>
      <c r="H9257" s="5">
        <v>4625</v>
      </c>
      <c r="I9257" s="6">
        <v>3071.9505625000002</v>
      </c>
      <c r="J9257" s="5">
        <v>22400</v>
      </c>
      <c r="K9257" s="6">
        <f t="shared" si="387"/>
        <v>1.5055580830168389</v>
      </c>
    </row>
    <row r="9258" spans="1:11" hidden="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8"/>
        <v>026LOLA</v>
      </c>
      <c r="H9258" s="5">
        <v>3050</v>
      </c>
      <c r="I9258" s="6">
        <v>1097.125</v>
      </c>
      <c r="J9258" s="5">
        <v>8000</v>
      </c>
      <c r="K9258" s="6">
        <f t="shared" si="387"/>
        <v>2.7799931639512363</v>
      </c>
    </row>
    <row r="9259" spans="1:11" hidden="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8"/>
        <v>026PALOMA</v>
      </c>
      <c r="H9259" s="5">
        <v>3275</v>
      </c>
      <c r="I9259" s="6">
        <v>2852.5250000000001</v>
      </c>
      <c r="J9259" s="5">
        <v>20800</v>
      </c>
      <c r="K9259" s="6">
        <f t="shared" si="387"/>
        <v>1.1481056257175659</v>
      </c>
    </row>
    <row r="9260" spans="1:11" hidden="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8"/>
        <v>027SATISFACTION</v>
      </c>
      <c r="H9260" s="5">
        <v>3480</v>
      </c>
      <c r="I9260" s="6">
        <v>2633.1</v>
      </c>
      <c r="J9260" s="5">
        <v>19200</v>
      </c>
      <c r="K9260" s="6">
        <f t="shared" si="387"/>
        <v>1.321636094337473</v>
      </c>
    </row>
    <row r="9261" spans="1:11" hidden="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8"/>
        <v>027TIFFANY</v>
      </c>
      <c r="H9261" s="5">
        <v>4380</v>
      </c>
      <c r="I9261" s="6">
        <v>2633.1</v>
      </c>
      <c r="J9261" s="5">
        <v>19200</v>
      </c>
      <c r="K9261" s="6">
        <f t="shared" si="387"/>
        <v>1.6634385325281988</v>
      </c>
    </row>
    <row r="9262" spans="1:11" hidden="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8"/>
        <v>028COTOPAXI</v>
      </c>
      <c r="H9262" s="5">
        <v>5100</v>
      </c>
      <c r="I9262" s="6">
        <v>2852.5250000000001</v>
      </c>
      <c r="J9262" s="5">
        <v>20800</v>
      </c>
      <c r="K9262" s="6">
        <f t="shared" ref="K9262:K9265" si="389">+H9262/I9262</f>
        <v>1.7878896766899501</v>
      </c>
    </row>
    <row r="9263" spans="1:11" hidden="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8"/>
        <v>028DEEP PURPLE</v>
      </c>
      <c r="H9263" s="5">
        <v>4350</v>
      </c>
      <c r="I9263" s="6">
        <v>2852.5250000000001</v>
      </c>
      <c r="J9263" s="5">
        <v>20800</v>
      </c>
      <c r="K9263" s="6">
        <f t="shared" si="389"/>
        <v>1.5249647242355457</v>
      </c>
    </row>
    <row r="9264" spans="1:11" hidden="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8"/>
        <v>029PINK FLOYD</v>
      </c>
      <c r="H9264" s="5">
        <v>3875</v>
      </c>
      <c r="I9264" s="6">
        <v>3071.95</v>
      </c>
      <c r="J9264" s="5">
        <v>22400</v>
      </c>
      <c r="K9264" s="6">
        <f t="shared" si="389"/>
        <v>1.2614137599895832</v>
      </c>
    </row>
    <row r="9265" spans="1:11" hidden="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8"/>
        <v>030EXPLORER</v>
      </c>
      <c r="H9265" s="5">
        <v>2000</v>
      </c>
      <c r="I9265" s="6">
        <v>1645.6875</v>
      </c>
      <c r="J9265" s="5">
        <v>12000</v>
      </c>
      <c r="K9265" s="6">
        <f t="shared" si="389"/>
        <v>1.2152975580114693</v>
      </c>
    </row>
    <row r="9266" spans="1:11" hidden="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960</v>
      </c>
      <c r="I9266" s="6">
        <v>880.37999999999965</v>
      </c>
      <c r="J9266" s="5">
        <v>6400</v>
      </c>
      <c r="K9266" s="6">
        <v>8.5190485926531764E-2</v>
      </c>
    </row>
    <row r="9267" spans="1:11" hidden="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5" si="390">+E9267&amp;F9267</f>
        <v>002SOMERSET</v>
      </c>
      <c r="H9267" s="5">
        <v>10040</v>
      </c>
      <c r="I9267" s="6">
        <v>4121.4642855494085</v>
      </c>
      <c r="J9267" s="5">
        <v>31200</v>
      </c>
      <c r="K9267" s="6">
        <f t="shared" ref="K9267:K9299" si="391">+H9267/I9267</f>
        <v>2.4360274175375092</v>
      </c>
    </row>
    <row r="9268" spans="1:11" hidden="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90"/>
        <v>004BELLINA</v>
      </c>
      <c r="H9268" s="5">
        <v>1020</v>
      </c>
      <c r="I9268" s="6">
        <v>1056.7857142434418</v>
      </c>
      <c r="J9268" s="5">
        <v>8000</v>
      </c>
      <c r="K9268" s="6">
        <f t="shared" si="391"/>
        <v>0.96519094292471874</v>
      </c>
    </row>
    <row r="9269" spans="1:11" hidden="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90"/>
        <v>005ELBA</v>
      </c>
      <c r="H9269" s="5">
        <v>7710</v>
      </c>
      <c r="I9269" s="6">
        <v>2641.9642856076484</v>
      </c>
      <c r="J9269" s="5">
        <v>19996</v>
      </c>
      <c r="K9269" s="6">
        <f t="shared" si="391"/>
        <v>2.918283203902853</v>
      </c>
    </row>
    <row r="9270" spans="1:11" hidden="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90"/>
        <v>005HOT BUBBLES</v>
      </c>
      <c r="H9270" s="5">
        <v>1100</v>
      </c>
      <c r="I9270" s="6">
        <v>528.39285712153003</v>
      </c>
      <c r="J9270" s="5">
        <v>4000</v>
      </c>
      <c r="K9270" s="6">
        <f t="shared" si="391"/>
        <v>2.0817843867011256</v>
      </c>
    </row>
    <row r="9271" spans="1:11" hidden="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90"/>
        <v>005SUSPIRO</v>
      </c>
      <c r="H9271" s="5">
        <v>4050</v>
      </c>
      <c r="I9271" s="6">
        <v>1902.2142856375078</v>
      </c>
      <c r="J9271" s="5">
        <v>14400</v>
      </c>
      <c r="K9271" s="6">
        <f t="shared" si="391"/>
        <v>2.129097668217061</v>
      </c>
    </row>
    <row r="9272" spans="1:11" hidden="1">
      <c r="A9272" s="4">
        <v>2026</v>
      </c>
      <c r="B9272">
        <v>34</v>
      </c>
      <c r="C9272" t="s">
        <v>10</v>
      </c>
      <c r="D9272" t="s">
        <v>11</v>
      </c>
      <c r="E9272" t="s">
        <v>22</v>
      </c>
      <c r="F9272" t="s">
        <v>18</v>
      </c>
      <c r="G9272" t="str">
        <f t="shared" si="390"/>
        <v>009HOT BUBBLES</v>
      </c>
      <c r="H9272" s="5">
        <v>7000</v>
      </c>
      <c r="I9272" s="6">
        <v>4487.9999999102474</v>
      </c>
      <c r="J9272" s="5">
        <v>31740</v>
      </c>
      <c r="K9272" s="6">
        <f t="shared" si="391"/>
        <v>1.5597147950401045</v>
      </c>
    </row>
    <row r="9273" spans="1:11" hidden="1">
      <c r="A9273" s="4">
        <v>2026</v>
      </c>
      <c r="B9273">
        <v>34</v>
      </c>
      <c r="C9273" t="s">
        <v>10</v>
      </c>
      <c r="D9273" t="s">
        <v>11</v>
      </c>
      <c r="E9273" t="s">
        <v>23</v>
      </c>
      <c r="F9273" t="s">
        <v>24</v>
      </c>
      <c r="G9273" t="str">
        <f t="shared" si="390"/>
        <v>014FRUITY BUBBLES</v>
      </c>
      <c r="H9273" s="5">
        <v>1650</v>
      </c>
      <c r="I9273" s="6">
        <v>1702.8</v>
      </c>
      <c r="J9273" s="5">
        <v>12900</v>
      </c>
      <c r="K9273" s="6">
        <f t="shared" si="391"/>
        <v>0.96899224806201556</v>
      </c>
    </row>
    <row r="9274" spans="1:11" hidden="1">
      <c r="A9274" s="4">
        <v>2026</v>
      </c>
      <c r="B9274">
        <v>34</v>
      </c>
      <c r="C9274" t="s">
        <v>10</v>
      </c>
      <c r="D9274" t="s">
        <v>11</v>
      </c>
      <c r="E9274" t="s">
        <v>25</v>
      </c>
      <c r="F9274" t="s">
        <v>26</v>
      </c>
      <c r="G9274" t="str">
        <f t="shared" si="390"/>
        <v>015FELLINI</v>
      </c>
      <c r="H9274" s="5">
        <v>5600</v>
      </c>
      <c r="I9274" s="6">
        <v>3009.6</v>
      </c>
      <c r="J9274" s="5">
        <v>22800</v>
      </c>
      <c r="K9274" s="6">
        <f t="shared" si="391"/>
        <v>1.8607123870281765</v>
      </c>
    </row>
    <row r="9275" spans="1:11" hidden="1">
      <c r="A9275" s="4">
        <v>2026</v>
      </c>
      <c r="B9275">
        <v>34</v>
      </c>
      <c r="C9275" t="s">
        <v>10</v>
      </c>
      <c r="D9275" t="s">
        <v>11</v>
      </c>
      <c r="E9275" t="s">
        <v>27</v>
      </c>
      <c r="F9275" t="s">
        <v>28</v>
      </c>
      <c r="G9275" t="str">
        <f t="shared" si="390"/>
        <v>016GOOD PEACH</v>
      </c>
      <c r="H9275" s="5">
        <v>2640</v>
      </c>
      <c r="I9275" s="6">
        <v>1386</v>
      </c>
      <c r="J9275" s="5">
        <v>10500</v>
      </c>
      <c r="K9275" s="6">
        <f t="shared" si="391"/>
        <v>1.9047619047619047</v>
      </c>
    </row>
    <row r="9276" spans="1:11" hidden="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29</v>
      </c>
      <c r="G9276" t="str">
        <f t="shared" si="390"/>
        <v>016GOOD YELLOW</v>
      </c>
      <c r="H9276" s="5">
        <v>3000</v>
      </c>
      <c r="I9276" s="6">
        <v>1386</v>
      </c>
      <c r="J9276" s="5">
        <v>10500</v>
      </c>
      <c r="K9276" s="6">
        <f t="shared" si="391"/>
        <v>2.1645021645021645</v>
      </c>
    </row>
    <row r="9277" spans="1:11" hidden="1">
      <c r="A9277" s="4">
        <v>2026</v>
      </c>
      <c r="B9277">
        <v>34</v>
      </c>
      <c r="C9277" t="s">
        <v>10</v>
      </c>
      <c r="D9277" t="s">
        <v>11</v>
      </c>
      <c r="E9277" t="s">
        <v>30</v>
      </c>
      <c r="F9277" t="s">
        <v>31</v>
      </c>
      <c r="G9277" t="str">
        <f t="shared" si="390"/>
        <v>017ORANGE STAR</v>
      </c>
      <c r="H9277" s="5">
        <v>1150</v>
      </c>
      <c r="I9277" s="6">
        <v>1029.5999999999999</v>
      </c>
      <c r="J9277" s="5">
        <v>7800</v>
      </c>
      <c r="K9277" s="6">
        <f t="shared" si="391"/>
        <v>1.1169386169386171</v>
      </c>
    </row>
    <row r="9278" spans="1:11" hidden="1">
      <c r="A9278" s="4">
        <v>2026</v>
      </c>
      <c r="B9278">
        <v>34</v>
      </c>
      <c r="C9278" t="s">
        <v>10</v>
      </c>
      <c r="D9278" t="s">
        <v>11</v>
      </c>
      <c r="E9278" t="s">
        <v>32</v>
      </c>
      <c r="F9278" t="s">
        <v>33</v>
      </c>
      <c r="G9278" t="str">
        <f t="shared" si="390"/>
        <v>018COSMO</v>
      </c>
      <c r="H9278" s="5">
        <v>3050</v>
      </c>
      <c r="I9278" s="6">
        <v>2653.2</v>
      </c>
      <c r="J9278" s="5">
        <v>20100</v>
      </c>
      <c r="K9278" s="6">
        <f t="shared" si="391"/>
        <v>1.149555254032866</v>
      </c>
    </row>
    <row r="9279" spans="1:11" hidden="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34</v>
      </c>
      <c r="G9279" t="str">
        <f t="shared" si="390"/>
        <v>018RUBICON</v>
      </c>
      <c r="H9279" s="5">
        <v>3660</v>
      </c>
      <c r="I9279" s="6">
        <v>1768.8</v>
      </c>
      <c r="J9279" s="5">
        <v>13400</v>
      </c>
      <c r="K9279" s="6">
        <f t="shared" si="391"/>
        <v>2.0691994572591588</v>
      </c>
    </row>
    <row r="9280" spans="1:11" hidden="1">
      <c r="A9280" s="4">
        <v>2026</v>
      </c>
      <c r="B9280">
        <v>34</v>
      </c>
      <c r="C9280" t="s">
        <v>10</v>
      </c>
      <c r="D9280" t="s">
        <v>11</v>
      </c>
      <c r="E9280" t="s">
        <v>35</v>
      </c>
      <c r="F9280" t="s">
        <v>15</v>
      </c>
      <c r="G9280" t="str">
        <f t="shared" si="390"/>
        <v>019BELLINA</v>
      </c>
      <c r="H9280" s="5">
        <v>1545</v>
      </c>
      <c r="I9280" s="6">
        <v>1029.5999999999999</v>
      </c>
      <c r="J9280" s="5">
        <v>7800</v>
      </c>
      <c r="K9280" s="6">
        <f t="shared" si="391"/>
        <v>1.5005827505827507</v>
      </c>
    </row>
    <row r="9281" spans="1:11" hidden="1">
      <c r="A9281" s="4">
        <v>2026</v>
      </c>
      <c r="B9281">
        <v>34</v>
      </c>
      <c r="C9281" t="s">
        <v>10</v>
      </c>
      <c r="D9281" t="s">
        <v>11</v>
      </c>
      <c r="E9281" t="s">
        <v>36</v>
      </c>
      <c r="F9281" t="s">
        <v>37</v>
      </c>
      <c r="G9281" t="str">
        <f t="shared" si="390"/>
        <v>020SUMMER DANCE</v>
      </c>
      <c r="H9281" s="5">
        <v>1925</v>
      </c>
      <c r="I9281" s="6">
        <v>1346.4</v>
      </c>
      <c r="J9281" s="5">
        <v>10200</v>
      </c>
      <c r="K9281" s="6">
        <f t="shared" si="391"/>
        <v>1.4297385620915031</v>
      </c>
    </row>
    <row r="9282" spans="1:11" hidden="1">
      <c r="A9282" s="4">
        <v>2026</v>
      </c>
      <c r="B9282">
        <v>34</v>
      </c>
      <c r="C9282" t="s">
        <v>10</v>
      </c>
      <c r="D9282" t="s">
        <v>11</v>
      </c>
      <c r="E9282" t="s">
        <v>38</v>
      </c>
      <c r="F9282" t="s">
        <v>39</v>
      </c>
      <c r="G9282" t="str">
        <f t="shared" si="390"/>
        <v>021ELEGANT ROSEVER</v>
      </c>
      <c r="H9282" s="5">
        <v>390</v>
      </c>
      <c r="I9282" s="6">
        <v>440.18999062500001</v>
      </c>
      <c r="J9282" s="5">
        <v>3200</v>
      </c>
      <c r="K9282" s="6">
        <f t="shared" si="391"/>
        <v>0.8859810725052194</v>
      </c>
    </row>
    <row r="9283" spans="1:11" hidden="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40</v>
      </c>
      <c r="G9283" t="str">
        <f t="shared" si="390"/>
        <v>021FLAME CLUB</v>
      </c>
      <c r="H9283" s="5">
        <v>1125</v>
      </c>
      <c r="I9283" s="6">
        <v>880.38</v>
      </c>
      <c r="J9283" s="5">
        <v>6400</v>
      </c>
      <c r="K9283" s="6">
        <f t="shared" si="391"/>
        <v>1.2778572888979758</v>
      </c>
    </row>
    <row r="9284" spans="1:11" hidden="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41</v>
      </c>
      <c r="G9284" t="str">
        <f t="shared" si="390"/>
        <v>021KELLY</v>
      </c>
      <c r="H9284" s="5">
        <v>550</v>
      </c>
      <c r="I9284" s="6">
        <v>330.14249999999998</v>
      </c>
      <c r="J9284" s="5">
        <v>2400</v>
      </c>
      <c r="K9284" s="6">
        <f t="shared" si="391"/>
        <v>1.6659472803410649</v>
      </c>
    </row>
    <row r="9285" spans="1:11" hidden="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42</v>
      </c>
      <c r="G9285" t="str">
        <f t="shared" si="390"/>
        <v>021LEILA</v>
      </c>
      <c r="H9285" s="5">
        <v>1425</v>
      </c>
      <c r="I9285" s="6">
        <v>1650.7125000000001</v>
      </c>
      <c r="J9285" s="5">
        <v>12000</v>
      </c>
      <c r="K9285" s="6">
        <f t="shared" si="391"/>
        <v>0.86326359072218806</v>
      </c>
    </row>
    <row r="9286" spans="1:11" hidden="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21</v>
      </c>
      <c r="G9286" t="str">
        <f t="shared" si="390"/>
        <v>021SNOW BUBBLES</v>
      </c>
      <c r="H9286" s="5">
        <v>2220</v>
      </c>
      <c r="I9286" s="6">
        <v>1287.0000000000018</v>
      </c>
      <c r="J9286" s="5">
        <v>9400</v>
      </c>
      <c r="K9286" s="6">
        <f t="shared" si="391"/>
        <v>1.7249417249417225</v>
      </c>
    </row>
    <row r="9287" spans="1:11" hidden="1">
      <c r="A9287" s="4">
        <v>2026</v>
      </c>
      <c r="B9287">
        <v>34</v>
      </c>
      <c r="C9287" t="s">
        <v>10</v>
      </c>
      <c r="D9287" t="s">
        <v>11</v>
      </c>
      <c r="E9287" t="s">
        <v>43</v>
      </c>
      <c r="F9287" t="s">
        <v>24</v>
      </c>
      <c r="G9287" t="str">
        <f t="shared" si="390"/>
        <v>022FRUITY BUBBLES</v>
      </c>
      <c r="H9287" s="5">
        <v>3500</v>
      </c>
      <c r="I9287" s="6">
        <v>2641.14</v>
      </c>
      <c r="J9287" s="5">
        <v>19200</v>
      </c>
      <c r="K9287" s="6">
        <f t="shared" si="391"/>
        <v>1.325185336634938</v>
      </c>
    </row>
    <row r="9288" spans="1:11" hidden="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28</v>
      </c>
      <c r="G9288" t="str">
        <f t="shared" si="390"/>
        <v>022GOOD PEACH</v>
      </c>
      <c r="H9288" s="5">
        <v>2490</v>
      </c>
      <c r="I9288" s="6">
        <v>880.38</v>
      </c>
      <c r="J9288" s="5">
        <v>6400</v>
      </c>
      <c r="K9288" s="6">
        <f t="shared" si="391"/>
        <v>2.8283241327608533</v>
      </c>
    </row>
    <row r="9289" spans="1:11" hidden="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44</v>
      </c>
      <c r="G9289" t="str">
        <f t="shared" si="390"/>
        <v>022MIRABEL</v>
      </c>
      <c r="H9289" s="5">
        <v>1200</v>
      </c>
      <c r="I9289" s="6">
        <v>880.38</v>
      </c>
      <c r="J9289" s="5">
        <v>6400</v>
      </c>
      <c r="K9289" s="6">
        <f t="shared" si="391"/>
        <v>1.3630477748245076</v>
      </c>
    </row>
    <row r="9290" spans="1:11" hidden="1">
      <c r="A9290" s="4">
        <v>2026</v>
      </c>
      <c r="B9290">
        <v>34</v>
      </c>
      <c r="C9290" t="s">
        <v>10</v>
      </c>
      <c r="D9290" t="s">
        <v>11</v>
      </c>
      <c r="E9290" t="s">
        <v>47</v>
      </c>
      <c r="F9290" t="s">
        <v>44</v>
      </c>
      <c r="G9290" t="str">
        <f t="shared" si="390"/>
        <v>030MIRABEL</v>
      </c>
      <c r="H9290" s="5">
        <v>2820</v>
      </c>
      <c r="I9290" s="6">
        <v>2413.6749943750001</v>
      </c>
      <c r="J9290" s="5">
        <v>17600</v>
      </c>
      <c r="K9290" s="6">
        <f t="shared" si="391"/>
        <v>1.1683428823565429</v>
      </c>
    </row>
    <row r="9291" spans="1:11" hidden="1">
      <c r="A9291" s="4">
        <v>2026</v>
      </c>
      <c r="B9291">
        <v>34</v>
      </c>
      <c r="C9291" t="s">
        <v>10</v>
      </c>
      <c r="D9291" t="s">
        <v>11</v>
      </c>
      <c r="E9291" t="s">
        <v>47</v>
      </c>
      <c r="F9291" t="s">
        <v>13</v>
      </c>
      <c r="G9291" t="str">
        <f t="shared" si="390"/>
        <v>030SOMERSET</v>
      </c>
      <c r="H9291" s="5">
        <v>2400</v>
      </c>
      <c r="I9291" s="6">
        <v>1645.6875</v>
      </c>
      <c r="J9291" s="5">
        <v>12000</v>
      </c>
      <c r="K9291" s="6">
        <f t="shared" si="391"/>
        <v>1.4583570696137633</v>
      </c>
    </row>
    <row r="9292" spans="1:11" hidden="1">
      <c r="A9292" s="4">
        <v>2026</v>
      </c>
      <c r="B9292">
        <v>34</v>
      </c>
      <c r="C9292" t="s">
        <v>10</v>
      </c>
      <c r="D9292" t="s">
        <v>11</v>
      </c>
      <c r="E9292" t="s">
        <v>48</v>
      </c>
      <c r="F9292" t="s">
        <v>49</v>
      </c>
      <c r="G9292" t="str">
        <f t="shared" si="390"/>
        <v>03182989</v>
      </c>
      <c r="H9292" s="5">
        <v>920</v>
      </c>
      <c r="I9292" s="6">
        <v>726.32013058333712</v>
      </c>
      <c r="J9292" s="5">
        <v>5712</v>
      </c>
      <c r="K9292" s="6">
        <f t="shared" si="391"/>
        <v>1.2666590959844535</v>
      </c>
    </row>
    <row r="9293" spans="1:11" hidden="1">
      <c r="A9293" s="4">
        <v>2026</v>
      </c>
      <c r="B9293">
        <v>34</v>
      </c>
      <c r="C9293" t="s">
        <v>10</v>
      </c>
      <c r="D9293" t="s">
        <v>11</v>
      </c>
      <c r="E9293" t="s">
        <v>48</v>
      </c>
      <c r="F9293" t="s">
        <v>34</v>
      </c>
      <c r="G9293" t="str">
        <f t="shared" si="390"/>
        <v>031RUBICON</v>
      </c>
      <c r="H9293" s="5">
        <v>1860</v>
      </c>
      <c r="I9293" s="6">
        <v>924.39958333667107</v>
      </c>
      <c r="J9293" s="5">
        <v>6720</v>
      </c>
      <c r="K9293" s="6">
        <f t="shared" si="391"/>
        <v>2.0121168740537807</v>
      </c>
    </row>
    <row r="9294" spans="1:11" hidden="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13</v>
      </c>
      <c r="G9294" t="str">
        <f t="shared" si="390"/>
        <v>031SOMERSET</v>
      </c>
      <c r="H9294" s="5">
        <v>3320</v>
      </c>
      <c r="I9294" s="6">
        <v>1122.485208333339</v>
      </c>
      <c r="J9294" s="5">
        <v>8160</v>
      </c>
      <c r="K9294" s="6">
        <f t="shared" si="391"/>
        <v>2.9577227168360829</v>
      </c>
    </row>
    <row r="9295" spans="1:11" hidden="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50</v>
      </c>
      <c r="G9295" t="str">
        <f t="shared" si="390"/>
        <v>031VELVET BLOSSOMS</v>
      </c>
      <c r="H9295" s="5">
        <v>640</v>
      </c>
      <c r="I9295" s="6">
        <v>396.17125000000198</v>
      </c>
      <c r="J9295" s="5">
        <v>2880</v>
      </c>
      <c r="K9295" s="6">
        <f t="shared" si="391"/>
        <v>1.6154630099988245</v>
      </c>
    </row>
    <row r="9296" spans="1:11" hidden="1">
      <c r="A9296" s="4">
        <v>2026</v>
      </c>
      <c r="B9296">
        <v>34</v>
      </c>
      <c r="C9296" t="s">
        <v>10</v>
      </c>
      <c r="D9296" t="s">
        <v>11</v>
      </c>
      <c r="E9296" t="s">
        <v>51</v>
      </c>
      <c r="F9296" t="s">
        <v>17</v>
      </c>
      <c r="G9296" t="str">
        <f t="shared" si="390"/>
        <v>032ELBA</v>
      </c>
      <c r="H9296" s="5">
        <v>2190</v>
      </c>
      <c r="I9296" s="6">
        <v>1535.9749999999999</v>
      </c>
      <c r="J9296" s="5">
        <v>11200</v>
      </c>
      <c r="K9296" s="6">
        <f t="shared" si="391"/>
        <v>1.4258044564527419</v>
      </c>
    </row>
    <row r="9297" spans="1:11" hidden="1">
      <c r="A9297" s="4">
        <v>2026</v>
      </c>
      <c r="B9297">
        <v>34</v>
      </c>
      <c r="C9297" t="s">
        <v>10</v>
      </c>
      <c r="D9297" t="s">
        <v>11</v>
      </c>
      <c r="E9297" t="s">
        <v>51</v>
      </c>
      <c r="F9297" t="s">
        <v>44</v>
      </c>
      <c r="G9297" t="str">
        <f t="shared" si="390"/>
        <v>032MIRABEL</v>
      </c>
      <c r="H9297" s="5">
        <v>1020</v>
      </c>
      <c r="I9297" s="6">
        <v>1535.9749999999999</v>
      </c>
      <c r="J9297" s="5">
        <v>11200</v>
      </c>
      <c r="K9297" s="6">
        <f t="shared" si="391"/>
        <v>0.6640733084848387</v>
      </c>
    </row>
    <row r="9298" spans="1:11" hidden="1">
      <c r="A9298" s="4">
        <v>2026</v>
      </c>
      <c r="B9298">
        <v>34</v>
      </c>
      <c r="C9298" t="s">
        <v>10</v>
      </c>
      <c r="D9298" t="s">
        <v>11</v>
      </c>
      <c r="E9298" t="s">
        <v>52</v>
      </c>
      <c r="F9298" t="s">
        <v>53</v>
      </c>
      <c r="G9298" t="str">
        <f t="shared" si="390"/>
        <v>033CREAMY FOLIES</v>
      </c>
      <c r="H9298" s="5">
        <v>1410</v>
      </c>
      <c r="I9298" s="6">
        <v>594.25687500000299</v>
      </c>
      <c r="J9298" s="5">
        <v>4320</v>
      </c>
      <c r="K9298" s="6">
        <f t="shared" si="391"/>
        <v>2.3727112959357735</v>
      </c>
    </row>
    <row r="9299" spans="1:11" hidden="1">
      <c r="A9299" s="4">
        <v>2026</v>
      </c>
      <c r="B9299">
        <v>34</v>
      </c>
      <c r="C9299" t="s">
        <v>10</v>
      </c>
      <c r="D9299" t="s">
        <v>11</v>
      </c>
      <c r="E9299" t="s">
        <v>52</v>
      </c>
      <c r="F9299" t="s">
        <v>18</v>
      </c>
      <c r="G9299" t="str">
        <f t="shared" si="390"/>
        <v>033HOT BUBBLES</v>
      </c>
      <c r="H9299" s="5">
        <v>2920</v>
      </c>
      <c r="I9299" s="6">
        <v>2575.1131250013459</v>
      </c>
      <c r="J9299" s="5">
        <v>18720</v>
      </c>
      <c r="K9299" s="6">
        <f t="shared" si="391"/>
        <v>1.1339307666332032</v>
      </c>
    </row>
    <row r="9300" spans="1:11" hidden="1">
      <c r="A9300" s="4">
        <v>2026</v>
      </c>
      <c r="B9300">
        <v>34</v>
      </c>
      <c r="C9300" t="s">
        <v>54</v>
      </c>
      <c r="D9300" t="s">
        <v>11</v>
      </c>
      <c r="E9300" t="s">
        <v>55</v>
      </c>
      <c r="F9300" t="s">
        <v>56</v>
      </c>
      <c r="G9300" t="str">
        <f t="shared" si="390"/>
        <v>001BELIEVE IN PINK</v>
      </c>
      <c r="H9300" s="5">
        <v>1320</v>
      </c>
      <c r="I9300" s="6">
        <v>528.37931032368999</v>
      </c>
      <c r="J9300" s="5">
        <v>4000</v>
      </c>
      <c r="K9300" s="6">
        <f t="shared" ref="K9300:K9304" si="392">IFERROR(H9300/I9300,"")</f>
        <v>2.4982053123756036</v>
      </c>
    </row>
    <row r="9301" spans="1:11" hidden="1">
      <c r="A9301" s="4">
        <v>2026</v>
      </c>
      <c r="B9301">
        <v>34</v>
      </c>
      <c r="C9301" t="s">
        <v>54</v>
      </c>
      <c r="D9301" t="s">
        <v>11</v>
      </c>
      <c r="E9301" t="s">
        <v>55</v>
      </c>
      <c r="F9301" t="s">
        <v>57</v>
      </c>
      <c r="G9301" t="str">
        <f t="shared" si="390"/>
        <v>001EXPLORER</v>
      </c>
      <c r="H9301" s="5">
        <v>4075</v>
      </c>
      <c r="I9301" s="6">
        <v>2272.0310343918732</v>
      </c>
      <c r="J9301" s="5">
        <v>17200</v>
      </c>
      <c r="K9301" s="6">
        <f t="shared" si="392"/>
        <v>1.7935494446671172</v>
      </c>
    </row>
    <row r="9302" spans="1:11" hidden="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58</v>
      </c>
      <c r="G9302" t="str">
        <f t="shared" si="390"/>
        <v>001GRACE KELLY</v>
      </c>
      <c r="H9302" s="5">
        <v>2160</v>
      </c>
      <c r="I9302" s="6">
        <v>1162.4344827121224</v>
      </c>
      <c r="J9302" s="5">
        <v>8800</v>
      </c>
      <c r="K9302" s="6">
        <f t="shared" si="392"/>
        <v>1.8581692406099461</v>
      </c>
    </row>
    <row r="9303" spans="1:11" hidden="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60</v>
      </c>
      <c r="G9303" t="str">
        <f t="shared" si="390"/>
        <v>001LIGHT HOUSE</v>
      </c>
      <c r="H9303" s="5">
        <v>1800</v>
      </c>
      <c r="I9303" s="6">
        <v>1056.7586206473827</v>
      </c>
      <c r="J9303" s="5">
        <v>8000</v>
      </c>
      <c r="K9303" s="6">
        <f t="shared" si="392"/>
        <v>1.7033218038924527</v>
      </c>
    </row>
    <row r="9304" spans="1:11" hidden="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62</v>
      </c>
      <c r="G9304" t="str">
        <f t="shared" si="390"/>
        <v>001MOMENTUM</v>
      </c>
      <c r="H9304" s="5">
        <v>3975</v>
      </c>
      <c r="I9304" s="6">
        <v>1902.1655171652881</v>
      </c>
      <c r="J9304" s="5">
        <v>14400</v>
      </c>
      <c r="K9304" s="6">
        <f t="shared" si="392"/>
        <v>2.0897235094050934</v>
      </c>
    </row>
    <row r="9305" spans="1:11" hidden="1">
      <c r="A9305" s="4">
        <v>2026</v>
      </c>
      <c r="B9305">
        <v>34</v>
      </c>
      <c r="C9305" t="s">
        <v>54</v>
      </c>
      <c r="D9305" t="s">
        <v>11</v>
      </c>
      <c r="E9305" t="s">
        <v>12</v>
      </c>
      <c r="F9305" t="s">
        <v>63</v>
      </c>
      <c r="G9305" t="str">
        <f t="shared" si="390"/>
        <v>002SUMMER ROMANCE</v>
      </c>
      <c r="H9305" s="5">
        <v>1625</v>
      </c>
      <c r="I9305" s="6">
        <v>951.10714281909407</v>
      </c>
      <c r="J9305" s="5">
        <v>7200</v>
      </c>
      <c r="K9305" s="6">
        <f t="shared" ref="K9305:K9363" si="393">+H9305/I9305</f>
        <v>1.708535165852586</v>
      </c>
    </row>
    <row r="9306" spans="1:11" hidden="1">
      <c r="A9306" s="4">
        <v>2026</v>
      </c>
      <c r="B9306">
        <v>34</v>
      </c>
      <c r="C9306" t="s">
        <v>54</v>
      </c>
      <c r="D9306" t="s">
        <v>11</v>
      </c>
      <c r="E9306" t="s">
        <v>12</v>
      </c>
      <c r="F9306" t="s">
        <v>64</v>
      </c>
      <c r="G9306" t="str">
        <f t="shared" si="390"/>
        <v>002SWEETNESS</v>
      </c>
      <c r="H9306" s="5">
        <v>6630</v>
      </c>
      <c r="I9306" s="6">
        <v>3804.4285712763772</v>
      </c>
      <c r="J9306" s="5">
        <v>28800</v>
      </c>
      <c r="K9306" s="6">
        <f t="shared" si="393"/>
        <v>1.7427058691696373</v>
      </c>
    </row>
    <row r="9307" spans="1:11" hidden="1">
      <c r="A9307" s="4">
        <v>2026</v>
      </c>
      <c r="B9307">
        <v>34</v>
      </c>
      <c r="C9307" t="s">
        <v>54</v>
      </c>
      <c r="D9307" t="s">
        <v>11</v>
      </c>
      <c r="E9307" t="s">
        <v>65</v>
      </c>
      <c r="F9307" t="s">
        <v>66</v>
      </c>
      <c r="G9307" t="str">
        <f t="shared" si="390"/>
        <v>003CABARET</v>
      </c>
      <c r="H9307" s="5">
        <v>4170</v>
      </c>
      <c r="I9307" s="6">
        <v>2641.8965516184649</v>
      </c>
      <c r="J9307" s="5">
        <v>20000</v>
      </c>
      <c r="K9307" s="6">
        <f t="shared" si="393"/>
        <v>1.5784115382736681</v>
      </c>
    </row>
    <row r="9308" spans="1:11" hidden="1">
      <c r="A9308" s="4">
        <v>2026</v>
      </c>
      <c r="B9308">
        <v>34</v>
      </c>
      <c r="C9308" t="s">
        <v>54</v>
      </c>
      <c r="D9308" t="s">
        <v>11</v>
      </c>
      <c r="E9308" t="s">
        <v>65</v>
      </c>
      <c r="F9308" t="s">
        <v>67</v>
      </c>
      <c r="G9308" t="str">
        <f t="shared" si="390"/>
        <v>003DEEP PURPLE</v>
      </c>
      <c r="H9308" s="5">
        <v>8370</v>
      </c>
      <c r="I9308" s="6">
        <v>3592.9793102010913</v>
      </c>
      <c r="J9308" s="5">
        <v>26044</v>
      </c>
      <c r="K9308" s="6">
        <f t="shared" si="393"/>
        <v>2.3295430553235077</v>
      </c>
    </row>
    <row r="9309" spans="1:11" hidden="1">
      <c r="A9309" s="4">
        <v>2026</v>
      </c>
      <c r="B9309">
        <v>34</v>
      </c>
      <c r="C9309" t="s">
        <v>54</v>
      </c>
      <c r="D9309" t="s">
        <v>11</v>
      </c>
      <c r="E9309" t="s">
        <v>65</v>
      </c>
      <c r="F9309" t="s">
        <v>57</v>
      </c>
      <c r="G9309" t="str">
        <f t="shared" si="390"/>
        <v>003EXPLORER</v>
      </c>
      <c r="H9309" s="5">
        <v>1475</v>
      </c>
      <c r="I9309" s="6">
        <v>1268.1103447768633</v>
      </c>
      <c r="J9309" s="5">
        <v>9600</v>
      </c>
      <c r="K9309" s="6">
        <f t="shared" si="393"/>
        <v>1.1631479910839628</v>
      </c>
    </row>
    <row r="9310" spans="1:11" hidden="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68</v>
      </c>
      <c r="G9310" t="str">
        <f t="shared" si="390"/>
        <v>003JOCKER</v>
      </c>
      <c r="H9310" s="5">
        <v>750</v>
      </c>
      <c r="I9310" s="6">
        <v>528.37931032368999</v>
      </c>
      <c r="J9310" s="5">
        <v>4000</v>
      </c>
      <c r="K9310" s="6">
        <f t="shared" si="393"/>
        <v>1.4194348365770475</v>
      </c>
    </row>
    <row r="9311" spans="1:11" hidden="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69</v>
      </c>
      <c r="G9311" t="str">
        <f t="shared" si="390"/>
        <v>003QUICKSAND</v>
      </c>
      <c r="H9311" s="5">
        <v>1230</v>
      </c>
      <c r="I9311" s="6">
        <v>1162.4344827121247</v>
      </c>
      <c r="J9311" s="5">
        <v>8800</v>
      </c>
      <c r="K9311" s="6">
        <f t="shared" si="393"/>
        <v>1.0581241509028838</v>
      </c>
    </row>
    <row r="9312" spans="1:11" hidden="1">
      <c r="A9312" s="4">
        <v>2026</v>
      </c>
      <c r="B9312">
        <v>34</v>
      </c>
      <c r="C9312" t="s">
        <v>54</v>
      </c>
      <c r="D9312" t="s">
        <v>11</v>
      </c>
      <c r="E9312" t="s">
        <v>14</v>
      </c>
      <c r="F9312" t="s">
        <v>70</v>
      </c>
      <c r="G9312" t="str">
        <f t="shared" si="390"/>
        <v>004COTOPAXI</v>
      </c>
      <c r="H9312" s="5">
        <v>990</v>
      </c>
      <c r="I9312" s="6">
        <v>528.3915024419166</v>
      </c>
      <c r="J9312" s="5">
        <v>4000</v>
      </c>
      <c r="K9312" s="6">
        <f t="shared" si="393"/>
        <v>1.8736107515446383</v>
      </c>
    </row>
    <row r="9313" spans="1:11" hidden="1">
      <c r="A9313" s="4">
        <v>2026</v>
      </c>
      <c r="B9313">
        <v>34</v>
      </c>
      <c r="C9313" t="s">
        <v>54</v>
      </c>
      <c r="D9313" t="s">
        <v>11</v>
      </c>
      <c r="E9313" t="s">
        <v>14</v>
      </c>
      <c r="F9313" t="s">
        <v>67</v>
      </c>
      <c r="G9313" t="str">
        <f t="shared" si="390"/>
        <v>004DEEP PURPLE</v>
      </c>
      <c r="H9313" s="5">
        <v>6600</v>
      </c>
      <c r="I9313" s="6">
        <v>3910.1071427007282</v>
      </c>
      <c r="J9313" s="5">
        <v>29260</v>
      </c>
      <c r="K9313" s="6">
        <f t="shared" si="393"/>
        <v>1.6879332865138195</v>
      </c>
    </row>
    <row r="9314" spans="1:11" hidden="1">
      <c r="A9314" s="4">
        <v>2026</v>
      </c>
      <c r="B9314">
        <v>34</v>
      </c>
      <c r="C9314" t="s">
        <v>54</v>
      </c>
      <c r="D9314" t="s">
        <v>11</v>
      </c>
      <c r="E9314" t="s">
        <v>14</v>
      </c>
      <c r="F9314" t="s">
        <v>71</v>
      </c>
      <c r="G9314" t="str">
        <f t="shared" si="390"/>
        <v>004HOT EXPLORER</v>
      </c>
      <c r="H9314" s="5">
        <v>1750</v>
      </c>
      <c r="I9314" s="6">
        <v>1902.2142856381945</v>
      </c>
      <c r="J9314" s="5">
        <v>14400</v>
      </c>
      <c r="K9314" s="6">
        <f t="shared" si="393"/>
        <v>0.9199804739206201</v>
      </c>
    </row>
    <row r="9315" spans="1:11" hidden="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72</v>
      </c>
      <c r="G9315" t="str">
        <f t="shared" si="390"/>
        <v>004HOT MERENGUE</v>
      </c>
      <c r="H9315" s="5">
        <v>3120</v>
      </c>
      <c r="I9315" s="6">
        <v>1162.4642856677858</v>
      </c>
      <c r="J9315" s="5">
        <v>8800</v>
      </c>
      <c r="K9315" s="6">
        <f t="shared" si="393"/>
        <v>2.6839534241756891</v>
      </c>
    </row>
    <row r="9316" spans="1:11" hidden="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64</v>
      </c>
      <c r="G9316" t="str">
        <f t="shared" si="390"/>
        <v>004SWEETNESS</v>
      </c>
      <c r="H9316" s="5">
        <v>600</v>
      </c>
      <c r="I9316" s="6">
        <v>317.03571427303262</v>
      </c>
      <c r="J9316" s="5">
        <v>2400</v>
      </c>
      <c r="K9316" s="6">
        <f t="shared" si="393"/>
        <v>1.8925312606367031</v>
      </c>
    </row>
    <row r="9317" spans="1:11" hidden="1">
      <c r="A9317" s="4">
        <v>2026</v>
      </c>
      <c r="B9317">
        <v>34</v>
      </c>
      <c r="C9317" t="s">
        <v>54</v>
      </c>
      <c r="D9317" t="s">
        <v>11</v>
      </c>
      <c r="E9317" t="s">
        <v>16</v>
      </c>
      <c r="F9317" t="s">
        <v>57</v>
      </c>
      <c r="G9317" t="str">
        <f t="shared" si="390"/>
        <v>005EXPLORER</v>
      </c>
      <c r="H9317" s="5">
        <v>1425</v>
      </c>
      <c r="I9317" s="6">
        <v>951.10714281875391</v>
      </c>
      <c r="J9317" s="5">
        <v>7200</v>
      </c>
      <c r="K9317" s="6">
        <f t="shared" si="393"/>
        <v>1.498253914671265</v>
      </c>
    </row>
    <row r="9318" spans="1:11" hidden="1">
      <c r="A9318" s="4">
        <v>2026</v>
      </c>
      <c r="B9318">
        <v>34</v>
      </c>
      <c r="C9318" t="s">
        <v>54</v>
      </c>
      <c r="D9318" t="s">
        <v>11</v>
      </c>
      <c r="E9318" t="s">
        <v>16</v>
      </c>
      <c r="F9318" t="s">
        <v>73</v>
      </c>
      <c r="G9318" t="str">
        <f t="shared" si="390"/>
        <v>005GOLDFINCH</v>
      </c>
      <c r="H9318" s="5">
        <v>625</v>
      </c>
      <c r="I9318" s="6">
        <v>898.26785710660101</v>
      </c>
      <c r="J9318" s="5">
        <v>6800</v>
      </c>
      <c r="K9318" s="6">
        <f t="shared" si="393"/>
        <v>0.69578355170492179</v>
      </c>
    </row>
    <row r="9319" spans="1:11" hidden="1">
      <c r="A9319" s="4">
        <v>2026</v>
      </c>
      <c r="B9319">
        <v>34</v>
      </c>
      <c r="C9319" t="s">
        <v>54</v>
      </c>
      <c r="D9319" t="s">
        <v>11</v>
      </c>
      <c r="E9319" t="s">
        <v>16</v>
      </c>
      <c r="F9319" t="s">
        <v>68</v>
      </c>
      <c r="G9319" t="str">
        <f t="shared" si="390"/>
        <v>005JOCKER</v>
      </c>
      <c r="H9319" s="5">
        <v>1925</v>
      </c>
      <c r="I9319" s="6">
        <v>1162.4642856673661</v>
      </c>
      <c r="J9319" s="5">
        <v>8800</v>
      </c>
      <c r="K9319" s="6">
        <f t="shared" si="393"/>
        <v>1.6559648530577138</v>
      </c>
    </row>
    <row r="9320" spans="1:11" hidden="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74</v>
      </c>
      <c r="G9320" t="str">
        <f t="shared" si="390"/>
        <v>005VENDELA</v>
      </c>
      <c r="H9320" s="5">
        <v>1560</v>
      </c>
      <c r="I9320" s="6">
        <v>686.91071425798896</v>
      </c>
      <c r="J9320" s="5">
        <v>5200</v>
      </c>
      <c r="K9320" s="6">
        <f t="shared" si="393"/>
        <v>2.271037512764865</v>
      </c>
    </row>
    <row r="9321" spans="1:11" hidden="1">
      <c r="A9321" s="4">
        <v>2026</v>
      </c>
      <c r="B9321">
        <v>34</v>
      </c>
      <c r="C9321" t="s">
        <v>54</v>
      </c>
      <c r="D9321" t="s">
        <v>11</v>
      </c>
      <c r="E9321" t="s">
        <v>75</v>
      </c>
      <c r="F9321" t="s">
        <v>57</v>
      </c>
      <c r="G9321" t="str">
        <f t="shared" si="390"/>
        <v>006EXPLORER</v>
      </c>
      <c r="H9321" s="5">
        <v>5750</v>
      </c>
      <c r="I9321" s="6">
        <v>3910.1071427007355</v>
      </c>
      <c r="J9321" s="5">
        <v>29600</v>
      </c>
      <c r="K9321" s="6">
        <f t="shared" si="393"/>
        <v>1.470547939008249</v>
      </c>
    </row>
    <row r="9322" spans="1:11" hidden="1">
      <c r="A9322" s="4">
        <v>2026</v>
      </c>
      <c r="B9322">
        <v>34</v>
      </c>
      <c r="C9322" t="s">
        <v>54</v>
      </c>
      <c r="D9322" t="s">
        <v>11</v>
      </c>
      <c r="E9322" t="s">
        <v>75</v>
      </c>
      <c r="F9322" t="s">
        <v>77</v>
      </c>
      <c r="G9322" t="str">
        <f t="shared" si="390"/>
        <v>006MONDIAL</v>
      </c>
      <c r="H9322" s="5">
        <v>5550</v>
      </c>
      <c r="I9322" s="6">
        <v>4015.7857141250793</v>
      </c>
      <c r="J9322" s="5">
        <v>30400</v>
      </c>
      <c r="K9322" s="6">
        <f t="shared" si="393"/>
        <v>1.3820458548070662</v>
      </c>
    </row>
    <row r="9323" spans="1:11" hidden="1">
      <c r="A9323" s="4">
        <v>2026</v>
      </c>
      <c r="B9323">
        <v>34</v>
      </c>
      <c r="C9323" t="s">
        <v>54</v>
      </c>
      <c r="D9323" t="s">
        <v>11</v>
      </c>
      <c r="E9323" t="s">
        <v>20</v>
      </c>
      <c r="F9323" t="s">
        <v>70</v>
      </c>
      <c r="G9323" t="str">
        <f t="shared" si="390"/>
        <v>007COTOPAXI</v>
      </c>
      <c r="H9323" s="5">
        <v>3750</v>
      </c>
      <c r="I9323" s="6">
        <v>2747.5751230427709</v>
      </c>
      <c r="J9323" s="5">
        <v>20800</v>
      </c>
      <c r="K9323" s="6">
        <f t="shared" si="393"/>
        <v>1.3648398431585393</v>
      </c>
    </row>
    <row r="9324" spans="1:11" hidden="1">
      <c r="A9324" s="4">
        <v>2026</v>
      </c>
      <c r="B9324">
        <v>34</v>
      </c>
      <c r="C9324" t="s">
        <v>54</v>
      </c>
      <c r="D9324" t="s">
        <v>11</v>
      </c>
      <c r="E9324" t="s">
        <v>20</v>
      </c>
      <c r="F9324" t="s">
        <v>78</v>
      </c>
      <c r="G9324" t="str">
        <f t="shared" si="390"/>
        <v>007REDIANT</v>
      </c>
      <c r="H9324" s="5">
        <v>1110</v>
      </c>
      <c r="I9324" s="6">
        <v>1056.75862064738</v>
      </c>
      <c r="J9324" s="5">
        <v>9600</v>
      </c>
      <c r="K9324" s="6">
        <f t="shared" si="393"/>
        <v>1.0503817790670151</v>
      </c>
    </row>
    <row r="9325" spans="1:11" hidden="1">
      <c r="A9325" s="4">
        <v>2026</v>
      </c>
      <c r="B9325">
        <v>34</v>
      </c>
      <c r="C9325" t="s">
        <v>54</v>
      </c>
      <c r="D9325" t="s">
        <v>11</v>
      </c>
      <c r="E9325" t="s">
        <v>20</v>
      </c>
      <c r="F9325" t="s">
        <v>63</v>
      </c>
      <c r="G9325" t="str">
        <f t="shared" si="390"/>
        <v>007SUMMER ROMANCE</v>
      </c>
      <c r="H9325" s="5">
        <v>975</v>
      </c>
      <c r="I9325" s="6">
        <v>317.02758619421581</v>
      </c>
      <c r="J9325" s="5">
        <v>2640</v>
      </c>
      <c r="K9325" s="6">
        <f t="shared" si="393"/>
        <v>3.0754421459169188</v>
      </c>
    </row>
    <row r="9326" spans="1:11" hidden="1">
      <c r="A9326" s="4">
        <v>2026</v>
      </c>
      <c r="B9326">
        <v>34</v>
      </c>
      <c r="C9326" t="s">
        <v>54</v>
      </c>
      <c r="D9326" t="s">
        <v>11</v>
      </c>
      <c r="E9326" t="s">
        <v>20</v>
      </c>
      <c r="F9326" t="s">
        <v>74</v>
      </c>
      <c r="G9326" t="str">
        <f t="shared" ref="G9326:G9370" si="394">+E9326&amp;F9326</f>
        <v>007VENDELA</v>
      </c>
      <c r="H9326" s="5">
        <v>7680</v>
      </c>
      <c r="I9326" s="6">
        <v>3592.9793102011122</v>
      </c>
      <c r="J9326" s="5">
        <v>27820</v>
      </c>
      <c r="K9326" s="6">
        <f t="shared" si="393"/>
        <v>2.1375018715513066</v>
      </c>
    </row>
    <row r="9327" spans="1:11" hidden="1">
      <c r="A9327" s="4">
        <v>2026</v>
      </c>
      <c r="B9327">
        <v>34</v>
      </c>
      <c r="C9327" t="s">
        <v>54</v>
      </c>
      <c r="D9327" t="s">
        <v>11</v>
      </c>
      <c r="E9327" t="s">
        <v>79</v>
      </c>
      <c r="F9327" t="s">
        <v>67</v>
      </c>
      <c r="G9327" t="str">
        <f t="shared" si="394"/>
        <v>008DEEP PURPLE</v>
      </c>
      <c r="H9327" s="5">
        <v>3900</v>
      </c>
      <c r="I9327" s="6">
        <v>1585.2222221588099</v>
      </c>
      <c r="J9327" s="5">
        <v>11490</v>
      </c>
      <c r="K9327" s="6">
        <f t="shared" si="393"/>
        <v>2.4602228920869194</v>
      </c>
    </row>
    <row r="9328" spans="1:11" hidden="1">
      <c r="A9328" s="4">
        <v>2026</v>
      </c>
      <c r="B9328">
        <v>34</v>
      </c>
      <c r="C9328" t="s">
        <v>54</v>
      </c>
      <c r="D9328" t="s">
        <v>11</v>
      </c>
      <c r="E9328" t="s">
        <v>79</v>
      </c>
      <c r="F9328" t="s">
        <v>81</v>
      </c>
      <c r="G9328" t="str">
        <f t="shared" si="394"/>
        <v>008FREEDOM</v>
      </c>
      <c r="H9328" s="5">
        <v>3180</v>
      </c>
      <c r="I9328" s="6">
        <v>2219.311111022334</v>
      </c>
      <c r="J9328" s="5">
        <v>16800</v>
      </c>
      <c r="K9328" s="6">
        <f t="shared" si="393"/>
        <v>1.4328770690176562</v>
      </c>
    </row>
    <row r="9329" spans="1:11" hidden="1">
      <c r="A9329" s="4">
        <v>2026</v>
      </c>
      <c r="B9329">
        <v>34</v>
      </c>
      <c r="C9329" t="s">
        <v>54</v>
      </c>
      <c r="D9329" t="s">
        <v>11</v>
      </c>
      <c r="E9329" t="s">
        <v>79</v>
      </c>
      <c r="F9329" t="s">
        <v>68</v>
      </c>
      <c r="G9329" t="str">
        <f t="shared" si="394"/>
        <v>008JOCKER</v>
      </c>
      <c r="H9329" s="5">
        <v>4975</v>
      </c>
      <c r="I9329" s="6">
        <v>2959.0814813631118</v>
      </c>
      <c r="J9329" s="5">
        <v>22400</v>
      </c>
      <c r="K9329" s="6">
        <f t="shared" si="393"/>
        <v>1.6812649571610472</v>
      </c>
    </row>
    <row r="9330" spans="1:11" hidden="1">
      <c r="A9330" s="4">
        <v>2026</v>
      </c>
      <c r="B9330">
        <v>34</v>
      </c>
      <c r="C9330" t="s">
        <v>54</v>
      </c>
      <c r="D9330" t="s">
        <v>11</v>
      </c>
      <c r="E9330" t="s">
        <v>82</v>
      </c>
      <c r="F9330" t="s">
        <v>83</v>
      </c>
      <c r="G9330" t="str">
        <f t="shared" si="394"/>
        <v>010COOLDOWN</v>
      </c>
      <c r="H9330" s="5">
        <v>1900</v>
      </c>
      <c r="I9330" s="6">
        <v>1912.3542857142861</v>
      </c>
      <c r="J9330" s="5">
        <v>16320</v>
      </c>
      <c r="K9330" s="6">
        <f t="shared" si="393"/>
        <v>0.99353975055429045</v>
      </c>
    </row>
    <row r="9331" spans="1:11" hidden="1">
      <c r="A9331" s="4">
        <v>2026</v>
      </c>
      <c r="B9331">
        <v>34</v>
      </c>
      <c r="C9331" t="s">
        <v>54</v>
      </c>
      <c r="D9331" t="s">
        <v>11</v>
      </c>
      <c r="E9331" t="s">
        <v>82</v>
      </c>
      <c r="F9331" t="s">
        <v>84</v>
      </c>
      <c r="G9331" t="str">
        <f t="shared" si="394"/>
        <v>010VIOLET HILL</v>
      </c>
      <c r="H9331" s="5">
        <v>4440</v>
      </c>
      <c r="I9331" s="6">
        <v>2812.2857142428579</v>
      </c>
      <c r="J9331" s="5">
        <v>20000</v>
      </c>
      <c r="K9331" s="6">
        <f t="shared" si="393"/>
        <v>1.5787869552206455</v>
      </c>
    </row>
    <row r="9332" spans="1:11" hidden="1">
      <c r="A9332" s="4">
        <v>2026</v>
      </c>
      <c r="B9332">
        <v>34</v>
      </c>
      <c r="C9332" t="s">
        <v>54</v>
      </c>
      <c r="D9332" t="s">
        <v>11</v>
      </c>
      <c r="E9332" t="s">
        <v>85</v>
      </c>
      <c r="F9332" t="s">
        <v>86</v>
      </c>
      <c r="G9332" t="str">
        <f t="shared" si="394"/>
        <v>011BRIGHTON</v>
      </c>
      <c r="H9332" s="5">
        <v>3375</v>
      </c>
      <c r="I9332" s="6">
        <v>1768.8376470588223</v>
      </c>
      <c r="J9332" s="5">
        <v>12800</v>
      </c>
      <c r="K9332" s="6">
        <f t="shared" si="393"/>
        <v>1.9080326595331476</v>
      </c>
    </row>
    <row r="9333" spans="1:11" hidden="1">
      <c r="A9333" s="4">
        <v>2026</v>
      </c>
      <c r="B9333">
        <v>34</v>
      </c>
      <c r="C9333" t="s">
        <v>54</v>
      </c>
      <c r="D9333" t="s">
        <v>11</v>
      </c>
      <c r="E9333" t="s">
        <v>85</v>
      </c>
      <c r="F9333" t="s">
        <v>87</v>
      </c>
      <c r="G9333" t="str">
        <f t="shared" si="394"/>
        <v>011CANDLELIGHT</v>
      </c>
      <c r="H9333" s="5">
        <v>4160</v>
      </c>
      <c r="I9333" s="6">
        <v>2263.7999998868127</v>
      </c>
      <c r="J9333" s="5">
        <v>17920</v>
      </c>
      <c r="K9333" s="6">
        <f t="shared" si="393"/>
        <v>1.837618164240655</v>
      </c>
    </row>
    <row r="9334" spans="1:11" hidden="1">
      <c r="A9334" s="4">
        <v>2026</v>
      </c>
      <c r="B9334">
        <v>34</v>
      </c>
      <c r="C9334" t="s">
        <v>54</v>
      </c>
      <c r="D9334" t="s">
        <v>11</v>
      </c>
      <c r="E9334" t="s">
        <v>85</v>
      </c>
      <c r="F9334" t="s">
        <v>88</v>
      </c>
      <c r="G9334" t="str">
        <f t="shared" si="394"/>
        <v>011CAYENNE</v>
      </c>
      <c r="H9334" s="5">
        <v>1590</v>
      </c>
      <c r="I9334" s="6">
        <v>994.97117647058747</v>
      </c>
      <c r="J9334" s="5">
        <v>7200</v>
      </c>
      <c r="K9334" s="6">
        <f t="shared" si="393"/>
        <v>1.5980362422559105</v>
      </c>
    </row>
    <row r="9335" spans="1:11" hidden="1">
      <c r="A9335" s="4">
        <v>2026</v>
      </c>
      <c r="B9335">
        <v>34</v>
      </c>
      <c r="C9335" t="s">
        <v>54</v>
      </c>
      <c r="D9335" t="s">
        <v>11</v>
      </c>
      <c r="E9335" t="s">
        <v>85</v>
      </c>
      <c r="F9335" t="s">
        <v>89</v>
      </c>
      <c r="G9335" t="str">
        <f t="shared" si="394"/>
        <v>011STARDUST</v>
      </c>
      <c r="H9335" s="5">
        <v>3500</v>
      </c>
      <c r="I9335" s="6">
        <v>2263.7999998868127</v>
      </c>
      <c r="J9335" s="5">
        <v>17920</v>
      </c>
      <c r="K9335" s="6">
        <f t="shared" si="393"/>
        <v>1.546072974721705</v>
      </c>
    </row>
    <row r="9336" spans="1:11" hidden="1">
      <c r="A9336" s="4">
        <v>2026</v>
      </c>
      <c r="B9336">
        <v>34</v>
      </c>
      <c r="C9336" t="s">
        <v>54</v>
      </c>
      <c r="D9336" t="s">
        <v>11</v>
      </c>
      <c r="E9336" t="s">
        <v>90</v>
      </c>
      <c r="F9336" t="s">
        <v>67</v>
      </c>
      <c r="G9336" t="str">
        <f t="shared" si="394"/>
        <v>012DEEP PURPLE</v>
      </c>
      <c r="H9336" s="5">
        <v>12630</v>
      </c>
      <c r="I9336" s="6">
        <v>6727.0499997982479</v>
      </c>
      <c r="J9336" s="5">
        <v>49210</v>
      </c>
      <c r="K9336" s="6">
        <f t="shared" si="393"/>
        <v>1.8774945927826892</v>
      </c>
    </row>
    <row r="9337" spans="1:11" hidden="1">
      <c r="A9337" s="4">
        <v>2026</v>
      </c>
      <c r="B9337">
        <v>34</v>
      </c>
      <c r="C9337" t="s">
        <v>54</v>
      </c>
      <c r="D9337" t="s">
        <v>11</v>
      </c>
      <c r="E9337" t="s">
        <v>90</v>
      </c>
      <c r="F9337" t="s">
        <v>60</v>
      </c>
      <c r="G9337" t="str">
        <f t="shared" si="394"/>
        <v>012LIGHT HOUSE</v>
      </c>
      <c r="H9337" s="5">
        <v>1020</v>
      </c>
      <c r="I9337" s="6">
        <v>994.95</v>
      </c>
      <c r="J9337" s="5">
        <v>7200</v>
      </c>
      <c r="K9337" s="6">
        <f t="shared" si="393"/>
        <v>1.0251771445801297</v>
      </c>
    </row>
    <row r="9338" spans="1:11" hidden="1">
      <c r="A9338" s="4">
        <v>2026</v>
      </c>
      <c r="B9338">
        <v>34</v>
      </c>
      <c r="C9338" t="s">
        <v>54</v>
      </c>
      <c r="D9338" t="s">
        <v>11</v>
      </c>
      <c r="E9338" t="s">
        <v>91</v>
      </c>
      <c r="F9338" t="s">
        <v>92</v>
      </c>
      <c r="G9338" t="str">
        <f t="shared" si="394"/>
        <v>013COUNTRY BLUES</v>
      </c>
      <c r="H9338" s="5">
        <v>1060</v>
      </c>
      <c r="I9338" s="6">
        <v>831.6</v>
      </c>
      <c r="J9338" s="5">
        <v>6300</v>
      </c>
      <c r="K9338" s="6">
        <f t="shared" si="393"/>
        <v>1.2746512746512746</v>
      </c>
    </row>
    <row r="9339" spans="1:11" hidden="1">
      <c r="A9339" s="4">
        <v>2026</v>
      </c>
      <c r="B9339">
        <v>34</v>
      </c>
      <c r="C9339" t="s">
        <v>54</v>
      </c>
      <c r="D9339" t="s">
        <v>11</v>
      </c>
      <c r="E9339" t="s">
        <v>91</v>
      </c>
      <c r="F9339" t="s">
        <v>93</v>
      </c>
      <c r="G9339" t="str">
        <f t="shared" si="394"/>
        <v>013LORRAINE</v>
      </c>
      <c r="H9339" s="5">
        <v>2550</v>
      </c>
      <c r="I9339" s="6">
        <v>1267.2</v>
      </c>
      <c r="J9339" s="5">
        <v>9600</v>
      </c>
      <c r="K9339" s="6">
        <f t="shared" si="393"/>
        <v>2.012310606060606</v>
      </c>
    </row>
    <row r="9340" spans="1:11" hidden="1">
      <c r="A9340" s="4">
        <v>2026</v>
      </c>
      <c r="B9340">
        <v>34</v>
      </c>
      <c r="C9340" t="s">
        <v>54</v>
      </c>
      <c r="D9340" t="s">
        <v>11</v>
      </c>
      <c r="E9340" t="s">
        <v>91</v>
      </c>
      <c r="F9340" t="s">
        <v>74</v>
      </c>
      <c r="G9340" t="str">
        <f t="shared" si="394"/>
        <v>013VENDELA</v>
      </c>
      <c r="H9340" s="5">
        <v>7050</v>
      </c>
      <c r="I9340" s="6">
        <v>3603.6</v>
      </c>
      <c r="J9340" s="5">
        <v>27296</v>
      </c>
      <c r="K9340" s="6">
        <f t="shared" si="393"/>
        <v>1.9563769563769564</v>
      </c>
    </row>
    <row r="9341" spans="1:11" hidden="1">
      <c r="A9341" s="4">
        <v>2026</v>
      </c>
      <c r="B9341">
        <v>34</v>
      </c>
      <c r="C9341" t="s">
        <v>54</v>
      </c>
      <c r="D9341" t="s">
        <v>11</v>
      </c>
      <c r="E9341" t="s">
        <v>23</v>
      </c>
      <c r="F9341" t="s">
        <v>89</v>
      </c>
      <c r="G9341" t="str">
        <f t="shared" si="394"/>
        <v>014STARDUST</v>
      </c>
      <c r="H9341" s="5">
        <v>5150</v>
      </c>
      <c r="I9341" s="6">
        <v>3682.8</v>
      </c>
      <c r="J9341" s="5">
        <v>27900</v>
      </c>
      <c r="K9341" s="6">
        <f t="shared" si="393"/>
        <v>1.3983925274247855</v>
      </c>
    </row>
    <row r="9342" spans="1:11" hidden="1">
      <c r="A9342" s="4">
        <v>2026</v>
      </c>
      <c r="B9342">
        <v>34</v>
      </c>
      <c r="C9342" t="s">
        <v>54</v>
      </c>
      <c r="D9342" t="s">
        <v>11</v>
      </c>
      <c r="E9342" t="s">
        <v>25</v>
      </c>
      <c r="F9342" t="s">
        <v>68</v>
      </c>
      <c r="G9342" t="str">
        <f t="shared" si="394"/>
        <v>015JOCKER</v>
      </c>
      <c r="H9342" s="5">
        <v>3025</v>
      </c>
      <c r="I9342" s="6">
        <v>2376</v>
      </c>
      <c r="J9342" s="5">
        <v>18000</v>
      </c>
      <c r="K9342" s="6">
        <f t="shared" si="393"/>
        <v>1.2731481481481481</v>
      </c>
    </row>
    <row r="9343" spans="1:11" hidden="1">
      <c r="A9343" s="4">
        <v>2026</v>
      </c>
      <c r="B9343">
        <v>34</v>
      </c>
      <c r="C9343" t="s">
        <v>54</v>
      </c>
      <c r="D9343" t="s">
        <v>11</v>
      </c>
      <c r="E9343" t="s">
        <v>27</v>
      </c>
      <c r="F9343" t="s">
        <v>94</v>
      </c>
      <c r="G9343" t="str">
        <f t="shared" si="394"/>
        <v>016DREAM IN PEACH</v>
      </c>
      <c r="H9343" s="5">
        <v>1230</v>
      </c>
      <c r="I9343" s="6">
        <v>950.4</v>
      </c>
      <c r="J9343" s="5">
        <v>7200</v>
      </c>
      <c r="K9343" s="6">
        <f t="shared" si="393"/>
        <v>1.2941919191919191</v>
      </c>
    </row>
    <row r="9344" spans="1:11" hidden="1">
      <c r="A9344" s="4">
        <v>2026</v>
      </c>
      <c r="B9344">
        <v>34</v>
      </c>
      <c r="C9344" t="s">
        <v>54</v>
      </c>
      <c r="D9344" t="s">
        <v>11</v>
      </c>
      <c r="E9344" t="s">
        <v>27</v>
      </c>
      <c r="F9344" t="s">
        <v>95</v>
      </c>
      <c r="G9344" t="str">
        <f t="shared" si="394"/>
        <v>016NINA</v>
      </c>
      <c r="H9344" s="5">
        <v>1800</v>
      </c>
      <c r="I9344" s="6">
        <v>1346.4</v>
      </c>
      <c r="J9344" s="5">
        <v>10200</v>
      </c>
      <c r="K9344" s="6">
        <f t="shared" si="393"/>
        <v>1.3368983957219251</v>
      </c>
    </row>
    <row r="9345" spans="1:11" hidden="1">
      <c r="A9345" s="4">
        <v>2026</v>
      </c>
      <c r="B9345">
        <v>34</v>
      </c>
      <c r="C9345" t="s">
        <v>54</v>
      </c>
      <c r="D9345" t="s">
        <v>11</v>
      </c>
      <c r="E9345" t="s">
        <v>30</v>
      </c>
      <c r="F9345" t="s">
        <v>81</v>
      </c>
      <c r="G9345" t="str">
        <f t="shared" si="394"/>
        <v>017FREEDOM</v>
      </c>
      <c r="H9345" s="5">
        <v>4950</v>
      </c>
      <c r="I9345" s="6">
        <v>2851.2</v>
      </c>
      <c r="J9345" s="5">
        <v>21600</v>
      </c>
      <c r="K9345" s="6">
        <f t="shared" si="393"/>
        <v>1.7361111111111112</v>
      </c>
    </row>
    <row r="9346" spans="1:11" hidden="1">
      <c r="A9346" s="4">
        <v>2026</v>
      </c>
      <c r="B9346">
        <v>34</v>
      </c>
      <c r="C9346" t="s">
        <v>54</v>
      </c>
      <c r="D9346" t="s">
        <v>11</v>
      </c>
      <c r="E9346" t="s">
        <v>30</v>
      </c>
      <c r="F9346" t="s">
        <v>73</v>
      </c>
      <c r="G9346" t="str">
        <f t="shared" si="394"/>
        <v>017GOLDFINCH</v>
      </c>
      <c r="H9346" s="5">
        <v>1975</v>
      </c>
      <c r="I9346" s="6">
        <v>2138.4</v>
      </c>
      <c r="J9346" s="5">
        <v>16200</v>
      </c>
      <c r="K9346" s="6">
        <f t="shared" si="393"/>
        <v>0.92358772914328469</v>
      </c>
    </row>
    <row r="9347" spans="1:11" hidden="1">
      <c r="A9347" s="4">
        <v>2026</v>
      </c>
      <c r="B9347">
        <v>34</v>
      </c>
      <c r="C9347" t="s">
        <v>54</v>
      </c>
      <c r="D9347" t="s">
        <v>11</v>
      </c>
      <c r="E9347" t="s">
        <v>32</v>
      </c>
      <c r="F9347" t="s">
        <v>86</v>
      </c>
      <c r="G9347" t="str">
        <f t="shared" si="394"/>
        <v>018BRIGHTON</v>
      </c>
      <c r="H9347" s="5">
        <v>1650</v>
      </c>
      <c r="I9347" s="6">
        <v>963.6</v>
      </c>
      <c r="J9347" s="5">
        <v>7570</v>
      </c>
      <c r="K9347" s="6">
        <f t="shared" si="393"/>
        <v>1.7123287671232876</v>
      </c>
    </row>
    <row r="9348" spans="1:11" hidden="1">
      <c r="A9348" s="4">
        <v>2026</v>
      </c>
      <c r="B9348">
        <v>34</v>
      </c>
      <c r="C9348" t="s">
        <v>54</v>
      </c>
      <c r="D9348" t="s">
        <v>11</v>
      </c>
      <c r="E9348" t="s">
        <v>35</v>
      </c>
      <c r="F9348" t="s">
        <v>86</v>
      </c>
      <c r="G9348" t="str">
        <f t="shared" si="394"/>
        <v>019BRIGHTON</v>
      </c>
      <c r="H9348" s="5">
        <v>5600</v>
      </c>
      <c r="I9348" s="6">
        <v>3168</v>
      </c>
      <c r="J9348" s="5">
        <v>24000</v>
      </c>
      <c r="K9348" s="6">
        <f t="shared" si="393"/>
        <v>1.7676767676767677</v>
      </c>
    </row>
    <row r="9349" spans="1:11" hidden="1">
      <c r="A9349" s="4">
        <v>2026</v>
      </c>
      <c r="B9349">
        <v>34</v>
      </c>
      <c r="C9349" t="s">
        <v>54</v>
      </c>
      <c r="D9349" t="s">
        <v>11</v>
      </c>
      <c r="E9349" t="s">
        <v>35</v>
      </c>
      <c r="F9349" t="s">
        <v>96</v>
      </c>
      <c r="G9349" t="str">
        <f t="shared" si="394"/>
        <v>019TABATHA</v>
      </c>
      <c r="H9349" s="5">
        <v>2370</v>
      </c>
      <c r="I9349" s="6">
        <v>1188</v>
      </c>
      <c r="J9349" s="5">
        <v>9000</v>
      </c>
      <c r="K9349" s="6">
        <f t="shared" si="393"/>
        <v>1.994949494949495</v>
      </c>
    </row>
    <row r="9350" spans="1:11" hidden="1">
      <c r="A9350" s="4">
        <v>2026</v>
      </c>
      <c r="B9350">
        <v>34</v>
      </c>
      <c r="C9350" t="s">
        <v>54</v>
      </c>
      <c r="D9350" t="s">
        <v>11</v>
      </c>
      <c r="E9350" t="s">
        <v>36</v>
      </c>
      <c r="F9350" t="s">
        <v>86</v>
      </c>
      <c r="G9350" t="str">
        <f t="shared" si="394"/>
        <v>020BRIGHTON</v>
      </c>
      <c r="H9350" s="5">
        <v>4125</v>
      </c>
      <c r="I9350" s="6">
        <v>2732.4</v>
      </c>
      <c r="J9350" s="5">
        <v>20700</v>
      </c>
      <c r="K9350" s="6">
        <f t="shared" si="393"/>
        <v>1.5096618357487923</v>
      </c>
    </row>
    <row r="9351" spans="1:11" hidden="1">
      <c r="A9351" s="4">
        <v>2026</v>
      </c>
      <c r="B9351">
        <v>34</v>
      </c>
      <c r="C9351" t="s">
        <v>54</v>
      </c>
      <c r="D9351" t="s">
        <v>11</v>
      </c>
      <c r="E9351" t="s">
        <v>36</v>
      </c>
      <c r="F9351" t="s">
        <v>97</v>
      </c>
      <c r="G9351" t="str">
        <f t="shared" si="394"/>
        <v>020TYCOON</v>
      </c>
      <c r="H9351" s="5">
        <v>930</v>
      </c>
      <c r="I9351" s="6">
        <v>673.2</v>
      </c>
      <c r="J9351" s="5">
        <v>5100</v>
      </c>
      <c r="K9351" s="6">
        <f t="shared" si="393"/>
        <v>1.3814616755793225</v>
      </c>
    </row>
    <row r="9352" spans="1:11" hidden="1">
      <c r="A9352" s="4">
        <v>2026</v>
      </c>
      <c r="B9352">
        <v>34</v>
      </c>
      <c r="C9352" t="s">
        <v>54</v>
      </c>
      <c r="D9352" t="s">
        <v>11</v>
      </c>
      <c r="E9352" t="s">
        <v>38</v>
      </c>
      <c r="F9352" t="s">
        <v>98</v>
      </c>
      <c r="G9352" t="str">
        <f t="shared" si="394"/>
        <v>021SHOW GIRL</v>
      </c>
      <c r="H9352" s="5">
        <v>1825</v>
      </c>
      <c r="I9352" s="6">
        <v>1100.4749999999999</v>
      </c>
      <c r="J9352" s="5">
        <v>8000</v>
      </c>
      <c r="K9352" s="6">
        <f t="shared" si="393"/>
        <v>1.6583747927031511</v>
      </c>
    </row>
    <row r="9353" spans="1:11" hidden="1">
      <c r="A9353" s="4">
        <v>2026</v>
      </c>
      <c r="B9353">
        <v>34</v>
      </c>
      <c r="C9353" t="s">
        <v>54</v>
      </c>
      <c r="D9353" t="s">
        <v>11</v>
      </c>
      <c r="E9353" t="s">
        <v>43</v>
      </c>
      <c r="F9353" t="s">
        <v>99</v>
      </c>
      <c r="G9353" t="str">
        <f t="shared" si="394"/>
        <v>022CORAL REEF</v>
      </c>
      <c r="H9353" s="5">
        <v>1475</v>
      </c>
      <c r="I9353" s="6">
        <v>1287</v>
      </c>
      <c r="J9353" s="5">
        <v>9400</v>
      </c>
      <c r="K9353" s="6">
        <f t="shared" si="393"/>
        <v>1.1460761460761462</v>
      </c>
    </row>
    <row r="9354" spans="1:11" hidden="1">
      <c r="A9354" s="4">
        <v>2026</v>
      </c>
      <c r="B9354">
        <v>34</v>
      </c>
      <c r="C9354" t="s">
        <v>54</v>
      </c>
      <c r="D9354" t="s">
        <v>11</v>
      </c>
      <c r="E9354" t="s">
        <v>100</v>
      </c>
      <c r="F9354" t="s">
        <v>70</v>
      </c>
      <c r="G9354" t="str">
        <f t="shared" si="394"/>
        <v>023COTOPAXI</v>
      </c>
      <c r="H9354" s="5">
        <v>6090</v>
      </c>
      <c r="I9354" s="6">
        <v>2641.14</v>
      </c>
      <c r="J9354" s="5">
        <v>19200</v>
      </c>
      <c r="K9354" s="6">
        <f t="shared" si="393"/>
        <v>2.305822485744792</v>
      </c>
    </row>
    <row r="9355" spans="1:11" hidden="1">
      <c r="A9355" s="4">
        <v>2026</v>
      </c>
      <c r="B9355">
        <v>34</v>
      </c>
      <c r="C9355" t="s">
        <v>54</v>
      </c>
      <c r="D9355" t="s">
        <v>11</v>
      </c>
      <c r="E9355" t="s">
        <v>100</v>
      </c>
      <c r="F9355" t="s">
        <v>101</v>
      </c>
      <c r="G9355" t="str">
        <f t="shared" si="394"/>
        <v>023FRUTTETO</v>
      </c>
      <c r="H9355" s="5">
        <v>4650</v>
      </c>
      <c r="I9355" s="6">
        <v>2641.14</v>
      </c>
      <c r="J9355" s="5">
        <v>19200</v>
      </c>
      <c r="K9355" s="6">
        <f t="shared" si="393"/>
        <v>1.760603375814989</v>
      </c>
    </row>
    <row r="9356" spans="1:11" hidden="1">
      <c r="A9356" s="4">
        <v>2026</v>
      </c>
      <c r="B9356">
        <v>34</v>
      </c>
      <c r="C9356" t="s">
        <v>54</v>
      </c>
      <c r="D9356" t="s">
        <v>11</v>
      </c>
      <c r="E9356" t="s">
        <v>102</v>
      </c>
      <c r="F9356" t="s">
        <v>70</v>
      </c>
      <c r="G9356" t="str">
        <f t="shared" si="394"/>
        <v>024COTOPAXI</v>
      </c>
      <c r="H9356" s="5">
        <v>3120</v>
      </c>
      <c r="I9356" s="6">
        <v>1430.6174906250001</v>
      </c>
      <c r="J9356" s="5">
        <v>10400</v>
      </c>
      <c r="K9356" s="6">
        <f t="shared" si="393"/>
        <v>2.1808764540107446</v>
      </c>
    </row>
    <row r="9357" spans="1:11" hidden="1">
      <c r="A9357" s="4">
        <v>2026</v>
      </c>
      <c r="B9357">
        <v>34</v>
      </c>
      <c r="C9357" t="s">
        <v>54</v>
      </c>
      <c r="D9357" t="s">
        <v>11</v>
      </c>
      <c r="E9357" t="s">
        <v>102</v>
      </c>
      <c r="F9357" t="s">
        <v>64</v>
      </c>
      <c r="G9357" t="str">
        <f t="shared" si="394"/>
        <v>024SWEETNESS</v>
      </c>
      <c r="H9357" s="5">
        <v>1980</v>
      </c>
      <c r="I9357" s="6">
        <v>1430.6175000000001</v>
      </c>
      <c r="J9357" s="5">
        <v>10400</v>
      </c>
      <c r="K9357" s="6">
        <f t="shared" si="393"/>
        <v>1.3840177405910383</v>
      </c>
    </row>
    <row r="9358" spans="1:11" hidden="1">
      <c r="A9358" s="4">
        <v>2026</v>
      </c>
      <c r="B9358">
        <v>34</v>
      </c>
      <c r="C9358" t="s">
        <v>54</v>
      </c>
      <c r="D9358" t="s">
        <v>11</v>
      </c>
      <c r="E9358" t="s">
        <v>102</v>
      </c>
      <c r="F9358" t="s">
        <v>97</v>
      </c>
      <c r="G9358" t="str">
        <f t="shared" si="394"/>
        <v>024TYCOON</v>
      </c>
      <c r="H9358" s="5">
        <v>3810</v>
      </c>
      <c r="I9358" s="6">
        <v>2861.2350000000001</v>
      </c>
      <c r="J9358" s="5">
        <v>20800</v>
      </c>
      <c r="K9358" s="6">
        <f t="shared" si="393"/>
        <v>1.3315928261747112</v>
      </c>
    </row>
    <row r="9359" spans="1:11" hidden="1">
      <c r="A9359" s="4">
        <v>2026</v>
      </c>
      <c r="B9359">
        <v>34</v>
      </c>
      <c r="C9359" t="s">
        <v>54</v>
      </c>
      <c r="D9359" t="s">
        <v>11</v>
      </c>
      <c r="E9359" t="s">
        <v>103</v>
      </c>
      <c r="F9359" t="s">
        <v>104</v>
      </c>
      <c r="G9359" t="str">
        <f t="shared" si="394"/>
        <v>025PINK MONDIAL</v>
      </c>
      <c r="H9359" s="5">
        <v>4450</v>
      </c>
      <c r="I9359" s="6">
        <v>3071.9505625000002</v>
      </c>
      <c r="J9359" s="5">
        <v>22400</v>
      </c>
      <c r="K9359" s="6">
        <f t="shared" si="393"/>
        <v>1.4485910204162016</v>
      </c>
    </row>
    <row r="9360" spans="1:11" hidden="1">
      <c r="A9360" s="4">
        <v>2026</v>
      </c>
      <c r="B9360">
        <v>34</v>
      </c>
      <c r="C9360" t="s">
        <v>54</v>
      </c>
      <c r="D9360" t="s">
        <v>11</v>
      </c>
      <c r="E9360" t="s">
        <v>45</v>
      </c>
      <c r="F9360" t="s">
        <v>105</v>
      </c>
      <c r="G9360" t="str">
        <f t="shared" si="394"/>
        <v>026LOLA</v>
      </c>
      <c r="H9360" s="5">
        <v>4000</v>
      </c>
      <c r="I9360" s="6">
        <v>1097.125</v>
      </c>
      <c r="J9360" s="5">
        <v>8000</v>
      </c>
      <c r="K9360" s="6">
        <f t="shared" si="393"/>
        <v>3.6458926740344082</v>
      </c>
    </row>
    <row r="9361" spans="1:11" hidden="1">
      <c r="A9361" s="4">
        <v>2026</v>
      </c>
      <c r="B9361">
        <v>34</v>
      </c>
      <c r="C9361" t="s">
        <v>54</v>
      </c>
      <c r="D9361" t="s">
        <v>11</v>
      </c>
      <c r="E9361" t="s">
        <v>45</v>
      </c>
      <c r="F9361" t="s">
        <v>106</v>
      </c>
      <c r="G9361" t="str">
        <f t="shared" si="394"/>
        <v>026PALOMA</v>
      </c>
      <c r="H9361" s="5">
        <v>4150</v>
      </c>
      <c r="I9361" s="6">
        <v>2852.5250000000001</v>
      </c>
      <c r="J9361" s="5">
        <v>20800</v>
      </c>
      <c r="K9361" s="6">
        <f t="shared" si="393"/>
        <v>1.4548514035810378</v>
      </c>
    </row>
    <row r="9362" spans="1:11" hidden="1">
      <c r="A9362" s="4">
        <v>2026</v>
      </c>
      <c r="B9362">
        <v>34</v>
      </c>
      <c r="C9362" t="s">
        <v>54</v>
      </c>
      <c r="D9362" t="s">
        <v>11</v>
      </c>
      <c r="E9362" t="s">
        <v>107</v>
      </c>
      <c r="F9362" t="s">
        <v>108</v>
      </c>
      <c r="G9362" t="str">
        <f t="shared" si="394"/>
        <v>027SATISFACTION</v>
      </c>
      <c r="H9362" s="5">
        <v>4230</v>
      </c>
      <c r="I9362" s="6">
        <v>2633.1</v>
      </c>
      <c r="J9362" s="5">
        <v>19200</v>
      </c>
      <c r="K9362" s="6">
        <f t="shared" si="393"/>
        <v>1.6064714594964111</v>
      </c>
    </row>
    <row r="9363" spans="1:11" hidden="1">
      <c r="A9363" s="4">
        <v>2026</v>
      </c>
      <c r="B9363">
        <v>34</v>
      </c>
      <c r="C9363" t="s">
        <v>54</v>
      </c>
      <c r="D9363" t="s">
        <v>11</v>
      </c>
      <c r="E9363" t="s">
        <v>107</v>
      </c>
      <c r="F9363" t="s">
        <v>109</v>
      </c>
      <c r="G9363" t="str">
        <f t="shared" si="394"/>
        <v>027TIFFANY</v>
      </c>
      <c r="H9363" s="5">
        <v>5340</v>
      </c>
      <c r="I9363" s="6">
        <v>2633.1</v>
      </c>
      <c r="J9363" s="5">
        <v>19200</v>
      </c>
      <c r="K9363" s="6">
        <f t="shared" si="393"/>
        <v>2.0280277999316394</v>
      </c>
    </row>
    <row r="9364" spans="1:11" hidden="1">
      <c r="A9364" s="4">
        <v>2026</v>
      </c>
      <c r="B9364">
        <v>34</v>
      </c>
      <c r="C9364" t="s">
        <v>54</v>
      </c>
      <c r="D9364" t="s">
        <v>11</v>
      </c>
      <c r="E9364" t="s">
        <v>110</v>
      </c>
      <c r="F9364" t="s">
        <v>70</v>
      </c>
      <c r="G9364" t="str">
        <f t="shared" si="394"/>
        <v>028COTOPAXI</v>
      </c>
      <c r="H9364" s="5">
        <v>5040</v>
      </c>
      <c r="I9364" s="6">
        <v>2852.5250000000001</v>
      </c>
      <c r="J9364" s="5">
        <v>20800</v>
      </c>
      <c r="K9364" s="6">
        <f t="shared" ref="K9364:K9367" si="395">+H9364/I9364</f>
        <v>1.7668556804935978</v>
      </c>
    </row>
    <row r="9365" spans="1:11" hidden="1">
      <c r="A9365" s="4">
        <v>2026</v>
      </c>
      <c r="B9365">
        <v>34</v>
      </c>
      <c r="C9365" t="s">
        <v>54</v>
      </c>
      <c r="D9365" t="s">
        <v>11</v>
      </c>
      <c r="E9365" t="s">
        <v>110</v>
      </c>
      <c r="F9365" t="s">
        <v>67</v>
      </c>
      <c r="G9365" t="str">
        <f t="shared" si="394"/>
        <v>028DEEP PURPLE</v>
      </c>
      <c r="H9365" s="5">
        <v>5820</v>
      </c>
      <c r="I9365" s="6">
        <v>2852.5250000000001</v>
      </c>
      <c r="J9365" s="5">
        <v>20800</v>
      </c>
      <c r="K9365" s="6">
        <f t="shared" si="395"/>
        <v>2.0402976310461782</v>
      </c>
    </row>
    <row r="9366" spans="1:11" hidden="1">
      <c r="A9366" s="4">
        <v>2026</v>
      </c>
      <c r="B9366">
        <v>34</v>
      </c>
      <c r="C9366" t="s">
        <v>54</v>
      </c>
      <c r="D9366" t="s">
        <v>11</v>
      </c>
      <c r="E9366" t="s">
        <v>111</v>
      </c>
      <c r="F9366" t="s">
        <v>112</v>
      </c>
      <c r="G9366" t="str">
        <f t="shared" si="394"/>
        <v>029PINK FLOYD</v>
      </c>
      <c r="H9366" s="5">
        <v>3375</v>
      </c>
      <c r="I9366" s="6">
        <v>3071.95</v>
      </c>
      <c r="J9366" s="5">
        <v>22400</v>
      </c>
      <c r="K9366" s="6">
        <f t="shared" si="395"/>
        <v>1.0986506941844758</v>
      </c>
    </row>
    <row r="9367" spans="1:11" hidden="1">
      <c r="A9367" s="4">
        <v>2026</v>
      </c>
      <c r="B9367">
        <v>34</v>
      </c>
      <c r="C9367" t="s">
        <v>54</v>
      </c>
      <c r="D9367" t="s">
        <v>11</v>
      </c>
      <c r="E9367" t="s">
        <v>47</v>
      </c>
      <c r="F9367" t="s">
        <v>57</v>
      </c>
      <c r="G9367" t="str">
        <f t="shared" si="394"/>
        <v>030EXPLORER</v>
      </c>
      <c r="H9367" s="5">
        <v>1750</v>
      </c>
      <c r="I9367" s="6">
        <v>1645.6875</v>
      </c>
      <c r="J9367" s="5">
        <v>12000</v>
      </c>
      <c r="K9367" s="6">
        <f t="shared" si="395"/>
        <v>1.0633853632600356</v>
      </c>
    </row>
    <row r="9368" spans="1:11" hidden="1">
      <c r="A9368" s="4">
        <v>2026</v>
      </c>
      <c r="B9368">
        <v>34</v>
      </c>
      <c r="C9368" t="s">
        <v>54</v>
      </c>
      <c r="D9368" t="s">
        <v>11</v>
      </c>
      <c r="E9368" t="s">
        <v>55</v>
      </c>
      <c r="F9368" t="s">
        <v>61</v>
      </c>
      <c r="G9368" t="str">
        <f t="shared" si="394"/>
        <v>001LUMIA</v>
      </c>
      <c r="H9368" s="5">
        <v>1380</v>
      </c>
      <c r="I9368" s="6">
        <v>1109.596551679753</v>
      </c>
      <c r="J9368" s="5">
        <v>8400</v>
      </c>
      <c r="K9368" s="6">
        <f t="shared" ref="K9368" si="396">IFERROR(H9368/I9368,"")</f>
        <v>1.2436952853817895</v>
      </c>
    </row>
    <row r="9369" spans="1:11" hidden="1">
      <c r="A9369" s="4">
        <v>2026</v>
      </c>
      <c r="B9369">
        <v>34</v>
      </c>
      <c r="C9369" t="s">
        <v>54</v>
      </c>
      <c r="D9369" t="s">
        <v>11</v>
      </c>
      <c r="E9369" t="s">
        <v>85</v>
      </c>
      <c r="F9369" t="s">
        <v>61</v>
      </c>
      <c r="G9369" t="str">
        <f t="shared" si="394"/>
        <v>011LUMIA</v>
      </c>
      <c r="H9369" s="5">
        <v>1500</v>
      </c>
      <c r="I9369" s="6">
        <v>994.97117647058747</v>
      </c>
      <c r="J9369" s="5">
        <v>7920</v>
      </c>
      <c r="K9369" s="6">
        <f t="shared" ref="K9369:K9370" si="397">+H9369/I9369</f>
        <v>1.5075813606187836</v>
      </c>
    </row>
    <row r="9370" spans="1:11" hidden="1">
      <c r="A9370" s="4">
        <v>2026</v>
      </c>
      <c r="B9370">
        <v>34</v>
      </c>
      <c r="C9370" t="s">
        <v>54</v>
      </c>
      <c r="D9370" t="s">
        <v>11</v>
      </c>
      <c r="E9370" t="s">
        <v>91</v>
      </c>
      <c r="F9370" t="s">
        <v>61</v>
      </c>
      <c r="G9370" t="str">
        <f t="shared" si="394"/>
        <v>013LUMIA</v>
      </c>
      <c r="H9370" s="5">
        <v>570</v>
      </c>
      <c r="I9370" s="6">
        <v>316.8</v>
      </c>
      <c r="J9370" s="5">
        <v>2400</v>
      </c>
      <c r="K9370" s="6">
        <f t="shared" si="397"/>
        <v>1.7992424242424241</v>
      </c>
    </row>
    <row r="9371" spans="1:11" hidden="1">
      <c r="A9371" s="4">
        <v>2026</v>
      </c>
      <c r="B9371">
        <v>35</v>
      </c>
      <c r="C9371" t="s">
        <v>10</v>
      </c>
      <c r="D9371" t="s">
        <v>11</v>
      </c>
      <c r="E9371" t="s">
        <v>12</v>
      </c>
      <c r="F9371" t="s">
        <v>13</v>
      </c>
      <c r="G9371" t="s">
        <v>118</v>
      </c>
      <c r="H9371" s="5">
        <v>10240</v>
      </c>
      <c r="I9371" s="6">
        <v>4121.4642855494085</v>
      </c>
      <c r="J9371" s="5">
        <v>31200</v>
      </c>
      <c r="K9371" s="6">
        <v>1.829446885282153</v>
      </c>
    </row>
    <row r="9372" spans="1:11" hidden="1">
      <c r="A9372" s="4">
        <v>2026</v>
      </c>
      <c r="B9372">
        <v>35</v>
      </c>
      <c r="C9372" t="s">
        <v>10</v>
      </c>
      <c r="D9372" t="s">
        <v>11</v>
      </c>
      <c r="E9372" t="s">
        <v>14</v>
      </c>
      <c r="F9372" t="s">
        <v>15</v>
      </c>
      <c r="G9372" t="s">
        <v>119</v>
      </c>
      <c r="H9372" s="5">
        <v>1200</v>
      </c>
      <c r="I9372" s="6">
        <v>1056.7857142434418</v>
      </c>
      <c r="J9372" s="5">
        <v>8000</v>
      </c>
      <c r="K9372" s="6">
        <v>1.2774586009297748</v>
      </c>
    </row>
    <row r="9373" spans="1:11" hidden="1">
      <c r="A9373" s="4">
        <v>2026</v>
      </c>
      <c r="B9373">
        <v>35</v>
      </c>
      <c r="C9373" t="s">
        <v>10</v>
      </c>
      <c r="D9373" t="s">
        <v>11</v>
      </c>
      <c r="E9373" t="s">
        <v>16</v>
      </c>
      <c r="F9373" t="s">
        <v>17</v>
      </c>
      <c r="G9373" t="s">
        <v>120</v>
      </c>
      <c r="H9373" s="5">
        <v>8040</v>
      </c>
      <c r="I9373" s="6">
        <v>2641.9642856076484</v>
      </c>
      <c r="J9373" s="5">
        <v>19996</v>
      </c>
      <c r="K9373" s="6">
        <v>2.850152078519907</v>
      </c>
    </row>
    <row r="9374" spans="1:11" hidden="1">
      <c r="A9374" s="4">
        <v>2026</v>
      </c>
      <c r="B9374">
        <v>35</v>
      </c>
      <c r="C9374" t="s">
        <v>10</v>
      </c>
      <c r="D9374" t="s">
        <v>11</v>
      </c>
      <c r="E9374" t="s">
        <v>16</v>
      </c>
      <c r="F9374" t="s">
        <v>18</v>
      </c>
      <c r="G9374" t="s">
        <v>121</v>
      </c>
      <c r="H9374" s="5">
        <v>1140</v>
      </c>
      <c r="I9374" s="6">
        <v>528.39285712153003</v>
      </c>
      <c r="J9374" s="5">
        <v>4000</v>
      </c>
      <c r="K9374" s="6">
        <v>2.6116931396795944</v>
      </c>
    </row>
    <row r="9375" spans="1:11" hidden="1">
      <c r="A9375" s="4">
        <v>2026</v>
      </c>
      <c r="B9375">
        <v>35</v>
      </c>
      <c r="C9375" t="s">
        <v>10</v>
      </c>
      <c r="D9375" t="s">
        <v>11</v>
      </c>
      <c r="E9375" t="s">
        <v>16</v>
      </c>
      <c r="F9375" t="s">
        <v>19</v>
      </c>
      <c r="G9375" t="s">
        <v>122</v>
      </c>
      <c r="H9375" s="5">
        <v>4530</v>
      </c>
      <c r="I9375" s="6">
        <v>1902.2142856375078</v>
      </c>
      <c r="J9375" s="5">
        <v>14400</v>
      </c>
      <c r="K9375" s="6">
        <v>1.9713867298306118</v>
      </c>
    </row>
    <row r="9376" spans="1:11" hidden="1">
      <c r="A9376" s="4">
        <v>2026</v>
      </c>
      <c r="B9376">
        <v>35</v>
      </c>
      <c r="C9376" t="s">
        <v>10</v>
      </c>
      <c r="D9376" t="s">
        <v>11</v>
      </c>
      <c r="E9376" t="s">
        <v>22</v>
      </c>
      <c r="F9376" t="s">
        <v>18</v>
      </c>
      <c r="G9376" t="s">
        <v>123</v>
      </c>
      <c r="H9376" s="5">
        <v>8020</v>
      </c>
      <c r="I9376" s="6">
        <v>4487.9999999102474</v>
      </c>
      <c r="J9376" s="5">
        <v>31740</v>
      </c>
      <c r="K9376" s="6">
        <v>2.9322638146753963</v>
      </c>
    </row>
    <row r="9377" spans="1:11" hidden="1">
      <c r="A9377" s="4">
        <v>2026</v>
      </c>
      <c r="B9377">
        <v>35</v>
      </c>
      <c r="C9377" t="s">
        <v>10</v>
      </c>
      <c r="D9377" t="s">
        <v>11</v>
      </c>
      <c r="E9377" t="s">
        <v>23</v>
      </c>
      <c r="F9377" t="s">
        <v>24</v>
      </c>
      <c r="G9377" t="s">
        <v>124</v>
      </c>
      <c r="H9377" s="5">
        <v>1375</v>
      </c>
      <c r="I9377" s="6">
        <v>1702.8</v>
      </c>
      <c r="J9377" s="5">
        <v>12900</v>
      </c>
      <c r="K9377" s="6">
        <v>1.5856236786469344</v>
      </c>
    </row>
    <row r="9378" spans="1:11" hidden="1">
      <c r="A9378" s="4">
        <v>2026</v>
      </c>
      <c r="B9378">
        <v>35</v>
      </c>
      <c r="C9378" t="s">
        <v>10</v>
      </c>
      <c r="D9378" t="s">
        <v>11</v>
      </c>
      <c r="E9378" t="s">
        <v>25</v>
      </c>
      <c r="F9378" t="s">
        <v>26</v>
      </c>
      <c r="G9378" t="s">
        <v>125</v>
      </c>
      <c r="H9378" s="5">
        <v>5400</v>
      </c>
      <c r="I9378" s="6">
        <v>3009.6</v>
      </c>
      <c r="J9378" s="5">
        <v>22800</v>
      </c>
      <c r="K9378" s="6">
        <v>2.1331738437001597</v>
      </c>
    </row>
    <row r="9379" spans="1:11" hidden="1">
      <c r="A9379" s="4">
        <v>2026</v>
      </c>
      <c r="B9379">
        <v>35</v>
      </c>
      <c r="C9379" t="s">
        <v>10</v>
      </c>
      <c r="D9379" t="s">
        <v>11</v>
      </c>
      <c r="E9379" t="s">
        <v>27</v>
      </c>
      <c r="F9379" t="s">
        <v>28</v>
      </c>
      <c r="G9379" t="s">
        <v>126</v>
      </c>
      <c r="H9379" s="5">
        <v>2610</v>
      </c>
      <c r="I9379" s="6">
        <v>1386</v>
      </c>
      <c r="J9379" s="5">
        <v>10500</v>
      </c>
      <c r="K9379" s="6">
        <v>3.0086580086580086</v>
      </c>
    </row>
    <row r="9380" spans="1:11" hidden="1">
      <c r="A9380" s="4">
        <v>2026</v>
      </c>
      <c r="B9380">
        <v>35</v>
      </c>
      <c r="C9380" t="s">
        <v>10</v>
      </c>
      <c r="D9380" t="s">
        <v>11</v>
      </c>
      <c r="E9380" t="s">
        <v>27</v>
      </c>
      <c r="F9380" t="s">
        <v>29</v>
      </c>
      <c r="G9380" t="s">
        <v>127</v>
      </c>
      <c r="H9380" s="5">
        <v>3000</v>
      </c>
      <c r="I9380" s="6">
        <v>1386</v>
      </c>
      <c r="J9380" s="5">
        <v>10500</v>
      </c>
      <c r="K9380" s="6">
        <v>2.6839826839826841</v>
      </c>
    </row>
    <row r="9381" spans="1:11" hidden="1">
      <c r="A9381" s="4">
        <v>2026</v>
      </c>
      <c r="B9381">
        <v>35</v>
      </c>
      <c r="C9381" t="s">
        <v>10</v>
      </c>
      <c r="D9381" t="s">
        <v>11</v>
      </c>
      <c r="E9381" t="s">
        <v>30</v>
      </c>
      <c r="F9381" t="s">
        <v>31</v>
      </c>
      <c r="G9381" t="s">
        <v>128</v>
      </c>
      <c r="H9381" s="5">
        <v>1325</v>
      </c>
      <c r="I9381" s="6">
        <v>1029.5999999999999</v>
      </c>
      <c r="J9381" s="5">
        <v>7800</v>
      </c>
      <c r="K9381" s="6">
        <v>0.99553224553224562</v>
      </c>
    </row>
    <row r="9382" spans="1:11" hidden="1">
      <c r="A9382" s="4">
        <v>2026</v>
      </c>
      <c r="B9382">
        <v>35</v>
      </c>
      <c r="C9382" t="s">
        <v>10</v>
      </c>
      <c r="D9382" t="s">
        <v>11</v>
      </c>
      <c r="E9382" t="s">
        <v>32</v>
      </c>
      <c r="F9382" t="s">
        <v>33</v>
      </c>
      <c r="G9382" t="s">
        <v>129</v>
      </c>
      <c r="H9382" s="5">
        <v>3200</v>
      </c>
      <c r="I9382" s="6">
        <v>2653.2</v>
      </c>
      <c r="J9382" s="5">
        <v>20100</v>
      </c>
      <c r="K9382" s="6">
        <v>1.4793456957636064</v>
      </c>
    </row>
    <row r="9383" spans="1:11" hidden="1">
      <c r="A9383" s="4">
        <v>2026</v>
      </c>
      <c r="B9383">
        <v>35</v>
      </c>
      <c r="C9383" t="s">
        <v>10</v>
      </c>
      <c r="D9383" t="s">
        <v>11</v>
      </c>
      <c r="E9383" t="s">
        <v>32</v>
      </c>
      <c r="F9383" t="s">
        <v>34</v>
      </c>
      <c r="G9383" t="s">
        <v>130</v>
      </c>
      <c r="H9383" s="5">
        <v>3900</v>
      </c>
      <c r="I9383" s="6">
        <v>1768.8</v>
      </c>
      <c r="J9383" s="5">
        <v>13400</v>
      </c>
      <c r="K9383" s="6">
        <v>2.9850746268656718</v>
      </c>
    </row>
    <row r="9384" spans="1:11" hidden="1">
      <c r="A9384" s="4">
        <v>2026</v>
      </c>
      <c r="B9384">
        <v>35</v>
      </c>
      <c r="C9384" t="s">
        <v>10</v>
      </c>
      <c r="D9384" t="s">
        <v>11</v>
      </c>
      <c r="E9384" t="s">
        <v>35</v>
      </c>
      <c r="F9384" t="s">
        <v>15</v>
      </c>
      <c r="G9384" t="s">
        <v>131</v>
      </c>
      <c r="H9384" s="5">
        <v>1545</v>
      </c>
      <c r="I9384" s="6">
        <v>1029.5999999999999</v>
      </c>
      <c r="J9384" s="5">
        <v>7800</v>
      </c>
      <c r="K9384" s="6">
        <v>1.8793706293706296</v>
      </c>
    </row>
    <row r="9385" spans="1:11" hidden="1">
      <c r="A9385" s="4">
        <v>2026</v>
      </c>
      <c r="B9385">
        <v>35</v>
      </c>
      <c r="C9385" t="s">
        <v>10</v>
      </c>
      <c r="D9385" t="s">
        <v>11</v>
      </c>
      <c r="E9385" t="s">
        <v>36</v>
      </c>
      <c r="F9385" t="s">
        <v>37</v>
      </c>
      <c r="G9385" t="s">
        <v>132</v>
      </c>
      <c r="H9385" s="5">
        <v>1950</v>
      </c>
      <c r="I9385" s="6">
        <v>1346.4</v>
      </c>
      <c r="J9385" s="5">
        <v>10200</v>
      </c>
      <c r="K9385" s="6">
        <v>2.3395721925133688</v>
      </c>
    </row>
    <row r="9386" spans="1:11" hidden="1">
      <c r="A9386" s="4">
        <v>2026</v>
      </c>
      <c r="B9386">
        <v>35</v>
      </c>
      <c r="C9386" t="s">
        <v>10</v>
      </c>
      <c r="D9386" t="s">
        <v>11</v>
      </c>
      <c r="E9386" t="s">
        <v>38</v>
      </c>
      <c r="F9386" t="s">
        <v>39</v>
      </c>
      <c r="G9386" t="s">
        <v>133</v>
      </c>
      <c r="H9386" s="5">
        <v>240</v>
      </c>
      <c r="I9386" s="6">
        <v>440.18999062500001</v>
      </c>
      <c r="J9386" s="5">
        <v>3200</v>
      </c>
      <c r="K9386" s="6">
        <v>0.68152390192709189</v>
      </c>
    </row>
    <row r="9387" spans="1:11" hidden="1">
      <c r="A9387" s="4">
        <v>2026</v>
      </c>
      <c r="B9387">
        <v>35</v>
      </c>
      <c r="C9387" t="s">
        <v>10</v>
      </c>
      <c r="D9387" t="s">
        <v>11</v>
      </c>
      <c r="E9387" t="s">
        <v>38</v>
      </c>
      <c r="F9387" t="s">
        <v>40</v>
      </c>
      <c r="G9387" t="s">
        <v>134</v>
      </c>
      <c r="H9387" s="5">
        <v>1350</v>
      </c>
      <c r="I9387" s="6">
        <v>880.38</v>
      </c>
      <c r="J9387" s="5">
        <v>6400</v>
      </c>
      <c r="K9387" s="6">
        <v>1.8457938617415208</v>
      </c>
    </row>
    <row r="9388" spans="1:11" hidden="1">
      <c r="A9388" s="4">
        <v>2026</v>
      </c>
      <c r="B9388">
        <v>35</v>
      </c>
      <c r="C9388" t="s">
        <v>10</v>
      </c>
      <c r="D9388" t="s">
        <v>11</v>
      </c>
      <c r="E9388" t="s">
        <v>38</v>
      </c>
      <c r="F9388" t="s">
        <v>41</v>
      </c>
      <c r="G9388" t="s">
        <v>135</v>
      </c>
      <c r="H9388" s="5">
        <v>500</v>
      </c>
      <c r="I9388" s="6">
        <v>330.14249999999998</v>
      </c>
      <c r="J9388" s="5">
        <v>2400</v>
      </c>
      <c r="K9388" s="6">
        <v>1.8173970330993436</v>
      </c>
    </row>
    <row r="9389" spans="1:11" hidden="1">
      <c r="A9389" s="4">
        <v>2026</v>
      </c>
      <c r="B9389">
        <v>35</v>
      </c>
      <c r="C9389" t="s">
        <v>10</v>
      </c>
      <c r="D9389" t="s">
        <v>11</v>
      </c>
      <c r="E9389" t="s">
        <v>38</v>
      </c>
      <c r="F9389" t="s">
        <v>42</v>
      </c>
      <c r="G9389" t="s">
        <v>136</v>
      </c>
      <c r="H9389" s="5">
        <v>1150</v>
      </c>
      <c r="I9389" s="6">
        <v>1650.7125000000001</v>
      </c>
      <c r="J9389" s="5">
        <v>12000</v>
      </c>
      <c r="K9389" s="6">
        <v>1.6053673792377534</v>
      </c>
    </row>
    <row r="9390" spans="1:11" hidden="1">
      <c r="A9390" s="4">
        <v>2026</v>
      </c>
      <c r="B9390">
        <v>35</v>
      </c>
      <c r="C9390" t="s">
        <v>10</v>
      </c>
      <c r="D9390" t="s">
        <v>11</v>
      </c>
      <c r="E9390" t="s">
        <v>38</v>
      </c>
      <c r="F9390" t="s">
        <v>21</v>
      </c>
      <c r="G9390" t="s">
        <v>137</v>
      </c>
      <c r="H9390" s="5">
        <v>1780</v>
      </c>
      <c r="I9390" s="6">
        <v>1287.0000000000018</v>
      </c>
      <c r="J9390" s="5">
        <v>9400</v>
      </c>
      <c r="K9390" s="6">
        <v>1.9425019425019399</v>
      </c>
    </row>
    <row r="9391" spans="1:11" hidden="1">
      <c r="A9391" s="4">
        <v>2026</v>
      </c>
      <c r="B9391">
        <v>35</v>
      </c>
      <c r="C9391" t="s">
        <v>10</v>
      </c>
      <c r="D9391" t="s">
        <v>11</v>
      </c>
      <c r="E9391" t="s">
        <v>43</v>
      </c>
      <c r="F9391" t="s">
        <v>24</v>
      </c>
      <c r="G9391" t="s">
        <v>138</v>
      </c>
      <c r="H9391" s="5">
        <v>2675</v>
      </c>
      <c r="I9391" s="6">
        <v>2641.14</v>
      </c>
      <c r="J9391" s="5">
        <v>19200</v>
      </c>
      <c r="K9391" s="6">
        <v>1.5902224039619257</v>
      </c>
    </row>
    <row r="9392" spans="1:11" hidden="1">
      <c r="A9392" s="4">
        <v>2026</v>
      </c>
      <c r="B9392">
        <v>35</v>
      </c>
      <c r="C9392" t="s">
        <v>10</v>
      </c>
      <c r="D9392" t="s">
        <v>11</v>
      </c>
      <c r="E9392" t="s">
        <v>43</v>
      </c>
      <c r="F9392" t="s">
        <v>28</v>
      </c>
      <c r="G9392" t="s">
        <v>139</v>
      </c>
      <c r="H9392" s="5">
        <v>2220</v>
      </c>
      <c r="I9392" s="6">
        <v>880.38</v>
      </c>
      <c r="J9392" s="5">
        <v>6400</v>
      </c>
      <c r="K9392" s="6">
        <v>2.4875621890547266</v>
      </c>
    </row>
    <row r="9393" spans="1:11" hidden="1">
      <c r="A9393" s="4">
        <v>2026</v>
      </c>
      <c r="B9393">
        <v>35</v>
      </c>
      <c r="C9393" t="s">
        <v>10</v>
      </c>
      <c r="D9393" t="s">
        <v>11</v>
      </c>
      <c r="E9393" t="s">
        <v>43</v>
      </c>
      <c r="F9393" t="s">
        <v>44</v>
      </c>
      <c r="G9393" t="s">
        <v>140</v>
      </c>
      <c r="H9393" s="5">
        <v>1160</v>
      </c>
      <c r="I9393" s="6">
        <v>880.38</v>
      </c>
      <c r="J9393" s="5">
        <v>6400</v>
      </c>
      <c r="K9393" s="6">
        <v>1.7946795701856018</v>
      </c>
    </row>
    <row r="9394" spans="1:11" hidden="1">
      <c r="A9394" s="4">
        <v>2026</v>
      </c>
      <c r="B9394">
        <v>35</v>
      </c>
      <c r="C9394" t="s">
        <v>10</v>
      </c>
      <c r="D9394" t="s">
        <v>11</v>
      </c>
      <c r="E9394" t="s">
        <v>45</v>
      </c>
      <c r="F9394" t="s">
        <v>46</v>
      </c>
      <c r="G9394" t="s">
        <v>141</v>
      </c>
      <c r="H9394" s="5" t="e">
        <v>#N/A</v>
      </c>
      <c r="I9394" s="6">
        <v>1755.4</v>
      </c>
      <c r="J9394" s="5">
        <v>12800</v>
      </c>
      <c r="K9394" s="6">
        <v>0.26774524324940185</v>
      </c>
    </row>
    <row r="9395" spans="1:11" hidden="1">
      <c r="A9395" s="4">
        <v>2026</v>
      </c>
      <c r="B9395">
        <v>35</v>
      </c>
      <c r="C9395" t="s">
        <v>10</v>
      </c>
      <c r="D9395" t="s">
        <v>11</v>
      </c>
      <c r="E9395" t="s">
        <v>47</v>
      </c>
      <c r="F9395" t="s">
        <v>44</v>
      </c>
      <c r="G9395" t="s">
        <v>142</v>
      </c>
      <c r="H9395" s="5">
        <v>3500</v>
      </c>
      <c r="I9395" s="6">
        <v>2413.6749943750001</v>
      </c>
      <c r="J9395" s="5">
        <v>17600</v>
      </c>
      <c r="K9395" s="6">
        <v>2.0218132148581307</v>
      </c>
    </row>
    <row r="9396" spans="1:11" hidden="1">
      <c r="A9396" s="4">
        <v>2026</v>
      </c>
      <c r="B9396">
        <v>35</v>
      </c>
      <c r="C9396" t="s">
        <v>10</v>
      </c>
      <c r="D9396" t="s">
        <v>11</v>
      </c>
      <c r="E9396" t="s">
        <v>47</v>
      </c>
      <c r="F9396" t="s">
        <v>13</v>
      </c>
      <c r="G9396" t="s">
        <v>143</v>
      </c>
      <c r="H9396" s="5">
        <v>3100</v>
      </c>
      <c r="I9396" s="6">
        <v>1645.6875</v>
      </c>
      <c r="J9396" s="5">
        <v>12000</v>
      </c>
      <c r="K9396" s="6">
        <v>1.4826630207739926</v>
      </c>
    </row>
    <row r="9397" spans="1:11" hidden="1">
      <c r="A9397" s="4">
        <v>2026</v>
      </c>
      <c r="B9397">
        <v>35</v>
      </c>
      <c r="C9397" t="s">
        <v>10</v>
      </c>
      <c r="D9397" t="s">
        <v>11</v>
      </c>
      <c r="E9397" t="s">
        <v>48</v>
      </c>
      <c r="F9397" t="s">
        <v>49</v>
      </c>
      <c r="G9397" t="s">
        <v>144</v>
      </c>
      <c r="H9397" s="5">
        <v>840</v>
      </c>
      <c r="I9397" s="6">
        <v>726.32013058333712</v>
      </c>
      <c r="J9397" s="5">
        <v>5712</v>
      </c>
      <c r="K9397" s="6">
        <v>3.6072248168252914</v>
      </c>
    </row>
    <row r="9398" spans="1:11" hidden="1">
      <c r="A9398" s="4">
        <v>2026</v>
      </c>
      <c r="B9398">
        <v>35</v>
      </c>
      <c r="C9398" t="s">
        <v>10</v>
      </c>
      <c r="D9398" t="s">
        <v>11</v>
      </c>
      <c r="E9398" t="s">
        <v>48</v>
      </c>
      <c r="F9398" t="s">
        <v>34</v>
      </c>
      <c r="G9398" t="s">
        <v>145</v>
      </c>
      <c r="H9398" s="5">
        <v>1770</v>
      </c>
      <c r="I9398" s="6">
        <v>924.39958333667107</v>
      </c>
      <c r="J9398" s="5">
        <v>6720</v>
      </c>
      <c r="K9398" s="6">
        <v>2.4989193435829211</v>
      </c>
    </row>
    <row r="9399" spans="1:11" hidden="1">
      <c r="A9399" s="4">
        <v>2026</v>
      </c>
      <c r="B9399">
        <v>35</v>
      </c>
      <c r="C9399" t="s">
        <v>10</v>
      </c>
      <c r="D9399" t="s">
        <v>11</v>
      </c>
      <c r="E9399" t="s">
        <v>48</v>
      </c>
      <c r="F9399" t="s">
        <v>13</v>
      </c>
      <c r="G9399" t="s">
        <v>146</v>
      </c>
      <c r="H9399" s="5">
        <v>4240</v>
      </c>
      <c r="I9399" s="6">
        <v>1122.485208333339</v>
      </c>
      <c r="J9399" s="5">
        <v>8160</v>
      </c>
      <c r="K9399" s="6">
        <v>3.1358987841153652</v>
      </c>
    </row>
    <row r="9400" spans="1:11" hidden="1">
      <c r="A9400" s="4">
        <v>2026</v>
      </c>
      <c r="B9400">
        <v>35</v>
      </c>
      <c r="C9400" t="s">
        <v>10</v>
      </c>
      <c r="D9400" t="s">
        <v>11</v>
      </c>
      <c r="E9400" t="s">
        <v>48</v>
      </c>
      <c r="F9400" t="s">
        <v>50</v>
      </c>
      <c r="G9400" t="s">
        <v>147</v>
      </c>
      <c r="H9400" s="5">
        <v>440</v>
      </c>
      <c r="I9400" s="6">
        <v>396.17125000000198</v>
      </c>
      <c r="J9400" s="5">
        <v>2880</v>
      </c>
      <c r="K9400" s="6">
        <v>1.716429448123751</v>
      </c>
    </row>
    <row r="9401" spans="1:11" hidden="1">
      <c r="A9401" s="4">
        <v>2026</v>
      </c>
      <c r="B9401">
        <v>35</v>
      </c>
      <c r="C9401" t="s">
        <v>10</v>
      </c>
      <c r="D9401" t="s">
        <v>11</v>
      </c>
      <c r="E9401" t="s">
        <v>51</v>
      </c>
      <c r="F9401" t="s">
        <v>17</v>
      </c>
      <c r="G9401" t="s">
        <v>148</v>
      </c>
      <c r="H9401" s="5">
        <v>2730</v>
      </c>
      <c r="I9401" s="6">
        <v>1535.9749999999999</v>
      </c>
      <c r="J9401" s="5">
        <v>11200</v>
      </c>
      <c r="K9401" s="6">
        <v>2.1289409007308064</v>
      </c>
    </row>
    <row r="9402" spans="1:11" hidden="1">
      <c r="A9402" s="4">
        <v>2026</v>
      </c>
      <c r="B9402">
        <v>35</v>
      </c>
      <c r="C9402" t="s">
        <v>10</v>
      </c>
      <c r="D9402" t="s">
        <v>11</v>
      </c>
      <c r="E9402" t="s">
        <v>51</v>
      </c>
      <c r="F9402" t="s">
        <v>44</v>
      </c>
      <c r="G9402" t="s">
        <v>149</v>
      </c>
      <c r="H9402" s="5">
        <v>1500</v>
      </c>
      <c r="I9402" s="6">
        <v>1535.9749999999999</v>
      </c>
      <c r="J9402" s="5">
        <v>11200</v>
      </c>
      <c r="K9402" s="6">
        <v>1.2369993001188171</v>
      </c>
    </row>
    <row r="9403" spans="1:11" hidden="1">
      <c r="A9403" s="4">
        <v>2026</v>
      </c>
      <c r="B9403">
        <v>35</v>
      </c>
      <c r="C9403" t="s">
        <v>10</v>
      </c>
      <c r="D9403" t="s">
        <v>11</v>
      </c>
      <c r="E9403" t="s">
        <v>52</v>
      </c>
      <c r="F9403" t="s">
        <v>53</v>
      </c>
      <c r="G9403" t="s">
        <v>150</v>
      </c>
      <c r="H9403" s="5">
        <v>1440</v>
      </c>
      <c r="I9403" s="6">
        <v>594.25687500000299</v>
      </c>
      <c r="J9403" s="5">
        <v>4320</v>
      </c>
      <c r="K9403" s="6">
        <v>2.7260938293730161</v>
      </c>
    </row>
    <row r="9404" spans="1:11" hidden="1">
      <c r="A9404" s="4">
        <v>2026</v>
      </c>
      <c r="B9404">
        <v>35</v>
      </c>
      <c r="C9404" t="s">
        <v>10</v>
      </c>
      <c r="D9404" t="s">
        <v>11</v>
      </c>
      <c r="E9404" t="s">
        <v>52</v>
      </c>
      <c r="F9404" t="s">
        <v>18</v>
      </c>
      <c r="G9404" t="s">
        <v>151</v>
      </c>
      <c r="H9404" s="5">
        <v>2380</v>
      </c>
      <c r="I9404" s="6">
        <v>2575.1131250013459</v>
      </c>
      <c r="J9404" s="5">
        <v>18720</v>
      </c>
      <c r="K9404" s="6">
        <v>1.6309963081710459</v>
      </c>
    </row>
    <row r="9405" spans="1:11" hidden="1">
      <c r="A9405" s="4">
        <v>2026</v>
      </c>
      <c r="B9405">
        <v>35</v>
      </c>
      <c r="C9405" t="s">
        <v>54</v>
      </c>
      <c r="D9405" t="s">
        <v>11</v>
      </c>
      <c r="E9405" t="s">
        <v>55</v>
      </c>
      <c r="F9405" t="s">
        <v>56</v>
      </c>
      <c r="G9405" t="s">
        <v>152</v>
      </c>
      <c r="H9405" s="5">
        <v>1200</v>
      </c>
      <c r="I9405" s="6">
        <v>528.37931032368999</v>
      </c>
      <c r="J9405" s="5">
        <v>4000</v>
      </c>
      <c r="K9405" s="6">
        <v>2.895647066617177</v>
      </c>
    </row>
    <row r="9406" spans="1:11" hidden="1">
      <c r="A9406" s="4">
        <v>2026</v>
      </c>
      <c r="B9406">
        <v>35</v>
      </c>
      <c r="C9406" t="s">
        <v>54</v>
      </c>
      <c r="D9406" t="s">
        <v>11</v>
      </c>
      <c r="E9406" t="s">
        <v>55</v>
      </c>
      <c r="F9406" t="s">
        <v>57</v>
      </c>
      <c r="G9406" t="s">
        <v>153</v>
      </c>
      <c r="H9406" s="5">
        <v>4025</v>
      </c>
      <c r="I9406" s="6">
        <v>2272.0310343918732</v>
      </c>
      <c r="J9406" s="5">
        <v>17200</v>
      </c>
      <c r="K9406" s="6">
        <v>1.2983977574890788</v>
      </c>
    </row>
    <row r="9407" spans="1:11" hidden="1">
      <c r="A9407" s="4">
        <v>2026</v>
      </c>
      <c r="B9407">
        <v>35</v>
      </c>
      <c r="C9407" t="s">
        <v>54</v>
      </c>
      <c r="D9407" t="s">
        <v>11</v>
      </c>
      <c r="E9407" t="s">
        <v>55</v>
      </c>
      <c r="F9407" t="s">
        <v>58</v>
      </c>
      <c r="G9407" t="s">
        <v>154</v>
      </c>
      <c r="H9407" s="5">
        <v>1440</v>
      </c>
      <c r="I9407" s="6">
        <v>1162.4344827121224</v>
      </c>
      <c r="J9407" s="5">
        <v>8800</v>
      </c>
      <c r="K9407" s="6">
        <v>1.1613557753812163</v>
      </c>
    </row>
    <row r="9408" spans="1:11" hidden="1">
      <c r="A9408" s="4">
        <v>2026</v>
      </c>
      <c r="B9408">
        <v>35</v>
      </c>
      <c r="C9408" t="s">
        <v>54</v>
      </c>
      <c r="D9408" t="s">
        <v>11</v>
      </c>
      <c r="E9408" t="s">
        <v>55</v>
      </c>
      <c r="F9408" t="s">
        <v>59</v>
      </c>
      <c r="G9408" t="s">
        <v>155</v>
      </c>
      <c r="H9408" s="5" t="e">
        <v>#N/A</v>
      </c>
      <c r="I9408" s="6">
        <v>1162.4344827121181</v>
      </c>
      <c r="J9408" s="5">
        <v>8800</v>
      </c>
      <c r="K9408" s="6">
        <v>1.2946966236657311</v>
      </c>
    </row>
    <row r="9409" spans="1:11" hidden="1">
      <c r="A9409" s="4">
        <v>2026</v>
      </c>
      <c r="B9409">
        <v>35</v>
      </c>
      <c r="C9409" t="s">
        <v>54</v>
      </c>
      <c r="D9409" t="s">
        <v>11</v>
      </c>
      <c r="E9409" t="s">
        <v>55</v>
      </c>
      <c r="F9409" t="s">
        <v>60</v>
      </c>
      <c r="G9409" t="s">
        <v>156</v>
      </c>
      <c r="H9409" s="5">
        <v>1800</v>
      </c>
      <c r="I9409" s="6">
        <v>1056.7586206473827</v>
      </c>
      <c r="J9409" s="5">
        <v>8000</v>
      </c>
      <c r="K9409" s="6">
        <v>1.0787704757985535</v>
      </c>
    </row>
    <row r="9410" spans="1:11" hidden="1">
      <c r="A9410" s="4">
        <v>2026</v>
      </c>
      <c r="B9410">
        <v>35</v>
      </c>
      <c r="C9410" t="s">
        <v>54</v>
      </c>
      <c r="D9410" t="s">
        <v>11</v>
      </c>
      <c r="E9410" t="s">
        <v>55</v>
      </c>
      <c r="F9410" t="s">
        <v>61</v>
      </c>
      <c r="G9410" t="s">
        <v>157</v>
      </c>
      <c r="H9410" s="5">
        <v>1170</v>
      </c>
      <c r="I9410" s="6">
        <v>1109.596551679753</v>
      </c>
      <c r="J9410" s="5">
        <v>8400</v>
      </c>
      <c r="K9410" s="6">
        <v>1.3518427015019452</v>
      </c>
    </row>
    <row r="9411" spans="1:11" hidden="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62</v>
      </c>
      <c r="G9411" t="s">
        <v>158</v>
      </c>
      <c r="H9411" s="5">
        <v>3550</v>
      </c>
      <c r="I9411" s="6">
        <v>1902.1655171652881</v>
      </c>
      <c r="J9411" s="5">
        <v>14400</v>
      </c>
      <c r="K9411" s="6">
        <v>2.51029679431681</v>
      </c>
    </row>
    <row r="9412" spans="1:11" hidden="1">
      <c r="A9412" s="4">
        <v>2026</v>
      </c>
      <c r="B9412">
        <v>35</v>
      </c>
      <c r="C9412" t="s">
        <v>54</v>
      </c>
      <c r="D9412" t="s">
        <v>11</v>
      </c>
      <c r="E9412" t="s">
        <v>12</v>
      </c>
      <c r="F9412" t="s">
        <v>63</v>
      </c>
      <c r="G9412" t="s">
        <v>159</v>
      </c>
      <c r="H9412" s="5">
        <v>1625</v>
      </c>
      <c r="I9412" s="6">
        <v>951.10714281909407</v>
      </c>
      <c r="J9412" s="5">
        <v>7200</v>
      </c>
      <c r="K9412" s="6">
        <v>1.5245390710684612</v>
      </c>
    </row>
    <row r="9413" spans="1:11" hidden="1">
      <c r="A9413" s="4">
        <v>2026</v>
      </c>
      <c r="B9413">
        <v>35</v>
      </c>
      <c r="C9413" t="s">
        <v>54</v>
      </c>
      <c r="D9413" t="s">
        <v>11</v>
      </c>
      <c r="E9413" t="s">
        <v>12</v>
      </c>
      <c r="F9413" t="s">
        <v>64</v>
      </c>
      <c r="G9413" t="s">
        <v>160</v>
      </c>
      <c r="H9413" s="5">
        <v>5790</v>
      </c>
      <c r="I9413" s="6">
        <v>3804.4285712763772</v>
      </c>
      <c r="J9413" s="5">
        <v>28800</v>
      </c>
      <c r="K9413" s="6">
        <v>1.8215613383628335</v>
      </c>
    </row>
    <row r="9414" spans="1:11" hidden="1">
      <c r="A9414" s="4">
        <v>2026</v>
      </c>
      <c r="B9414">
        <v>35</v>
      </c>
      <c r="C9414" t="s">
        <v>54</v>
      </c>
      <c r="D9414" t="s">
        <v>11</v>
      </c>
      <c r="E9414" t="s">
        <v>65</v>
      </c>
      <c r="F9414" t="s">
        <v>66</v>
      </c>
      <c r="G9414" t="s">
        <v>161</v>
      </c>
      <c r="H9414" s="5">
        <v>4110</v>
      </c>
      <c r="I9414" s="6">
        <v>2641.8965516184649</v>
      </c>
      <c r="J9414" s="5">
        <v>20000</v>
      </c>
      <c r="K9414" s="6">
        <v>1.6011224956589005</v>
      </c>
    </row>
    <row r="9415" spans="1:11" hidden="1">
      <c r="A9415" s="4">
        <v>2026</v>
      </c>
      <c r="B9415">
        <v>35</v>
      </c>
      <c r="C9415" t="s">
        <v>54</v>
      </c>
      <c r="D9415" t="s">
        <v>11</v>
      </c>
      <c r="E9415" t="s">
        <v>65</v>
      </c>
      <c r="F9415" t="s">
        <v>67</v>
      </c>
      <c r="G9415" t="s">
        <v>162</v>
      </c>
      <c r="H9415" s="5">
        <v>9300</v>
      </c>
      <c r="I9415" s="6">
        <v>3592.9793102010913</v>
      </c>
      <c r="J9415" s="5">
        <v>26044</v>
      </c>
      <c r="K9415" s="6">
        <v>1.6866225705209628</v>
      </c>
    </row>
    <row r="9416" spans="1:11" hidden="1">
      <c r="A9416" s="4">
        <v>2026</v>
      </c>
      <c r="B9416">
        <v>35</v>
      </c>
      <c r="C9416" t="s">
        <v>54</v>
      </c>
      <c r="D9416" t="s">
        <v>11</v>
      </c>
      <c r="E9416" t="s">
        <v>65</v>
      </c>
      <c r="F9416" t="s">
        <v>57</v>
      </c>
      <c r="G9416" t="s">
        <v>163</v>
      </c>
      <c r="H9416" s="5">
        <v>1675</v>
      </c>
      <c r="I9416" s="6">
        <v>1268.1103447768633</v>
      </c>
      <c r="J9416" s="5">
        <v>9600</v>
      </c>
      <c r="K9416" s="6">
        <v>1.5574354456886961</v>
      </c>
    </row>
    <row r="9417" spans="1:11" hidden="1">
      <c r="A9417" s="4">
        <v>2026</v>
      </c>
      <c r="B9417">
        <v>35</v>
      </c>
      <c r="C9417" t="s">
        <v>54</v>
      </c>
      <c r="D9417" t="s">
        <v>11</v>
      </c>
      <c r="E9417" t="s">
        <v>65</v>
      </c>
      <c r="F9417" t="s">
        <v>68</v>
      </c>
      <c r="G9417" t="s">
        <v>164</v>
      </c>
      <c r="H9417" s="5">
        <v>650</v>
      </c>
      <c r="I9417" s="6">
        <v>528.37931032368999</v>
      </c>
      <c r="J9417" s="5">
        <v>4000</v>
      </c>
      <c r="K9417" s="6">
        <v>1.0409188801565015</v>
      </c>
    </row>
    <row r="9418" spans="1:11" hidden="1">
      <c r="A9418" s="4">
        <v>2026</v>
      </c>
      <c r="B9418">
        <v>35</v>
      </c>
      <c r="C9418" t="s">
        <v>54</v>
      </c>
      <c r="D9418" t="s">
        <v>11</v>
      </c>
      <c r="E9418" t="s">
        <v>65</v>
      </c>
      <c r="F9418" t="s">
        <v>69</v>
      </c>
      <c r="G9418" t="s">
        <v>165</v>
      </c>
      <c r="H9418" s="5">
        <v>900</v>
      </c>
      <c r="I9418" s="6">
        <v>1162.4344827121247</v>
      </c>
      <c r="J9418" s="5">
        <v>8800</v>
      </c>
      <c r="K9418" s="6">
        <v>1.2645873998595443</v>
      </c>
    </row>
    <row r="9419" spans="1:11" hidden="1">
      <c r="A9419" s="4">
        <v>2026</v>
      </c>
      <c r="B9419">
        <v>35</v>
      </c>
      <c r="C9419" t="s">
        <v>54</v>
      </c>
      <c r="D9419" t="s">
        <v>11</v>
      </c>
      <c r="E9419" t="s">
        <v>14</v>
      </c>
      <c r="F9419" t="s">
        <v>70</v>
      </c>
      <c r="G9419" t="s">
        <v>166</v>
      </c>
      <c r="H9419" s="5">
        <v>900</v>
      </c>
      <c r="I9419" s="6">
        <v>528.3915024419166</v>
      </c>
      <c r="J9419" s="5">
        <v>4000</v>
      </c>
      <c r="K9419" s="6">
        <v>2.952356335767309</v>
      </c>
    </row>
    <row r="9420" spans="1:11" hidden="1">
      <c r="A9420" s="4">
        <v>2026</v>
      </c>
      <c r="B9420">
        <v>35</v>
      </c>
      <c r="C9420" t="s">
        <v>54</v>
      </c>
      <c r="D9420" t="s">
        <v>11</v>
      </c>
      <c r="E9420" t="s">
        <v>14</v>
      </c>
      <c r="F9420" t="s">
        <v>67</v>
      </c>
      <c r="G9420" t="s">
        <v>167</v>
      </c>
      <c r="H9420" s="5">
        <v>9570</v>
      </c>
      <c r="I9420" s="6">
        <v>3910.1071427007282</v>
      </c>
      <c r="J9420" s="5">
        <v>29260</v>
      </c>
      <c r="K9420" s="6">
        <v>1.588191774128912</v>
      </c>
    </row>
    <row r="9421" spans="1:11" hidden="1">
      <c r="A9421" s="4">
        <v>2026</v>
      </c>
      <c r="B9421">
        <v>35</v>
      </c>
      <c r="C9421" t="s">
        <v>54</v>
      </c>
      <c r="D9421" t="s">
        <v>11</v>
      </c>
      <c r="E9421" t="s">
        <v>14</v>
      </c>
      <c r="F9421" t="s">
        <v>71</v>
      </c>
      <c r="G9421" t="s">
        <v>168</v>
      </c>
      <c r="H9421" s="5">
        <v>2025</v>
      </c>
      <c r="I9421" s="6">
        <v>1902.2142856381945</v>
      </c>
      <c r="J9421" s="5">
        <v>14400</v>
      </c>
      <c r="K9421" s="6">
        <v>1.5902519620627862</v>
      </c>
    </row>
    <row r="9422" spans="1:11" hidden="1">
      <c r="A9422" s="4">
        <v>2026</v>
      </c>
      <c r="B9422">
        <v>35</v>
      </c>
      <c r="C9422" t="s">
        <v>54</v>
      </c>
      <c r="D9422" t="s">
        <v>11</v>
      </c>
      <c r="E9422" t="s">
        <v>14</v>
      </c>
      <c r="F9422" t="s">
        <v>72</v>
      </c>
      <c r="G9422" t="s">
        <v>169</v>
      </c>
      <c r="H9422" s="5">
        <v>3930</v>
      </c>
      <c r="I9422" s="6">
        <v>1162.4642856677858</v>
      </c>
      <c r="J9422" s="5">
        <v>8800</v>
      </c>
      <c r="K9422" s="6">
        <v>1.7290853790362612</v>
      </c>
    </row>
    <row r="9423" spans="1:11" hidden="1">
      <c r="A9423" s="4">
        <v>2026</v>
      </c>
      <c r="B9423">
        <v>35</v>
      </c>
      <c r="C9423" t="s">
        <v>54</v>
      </c>
      <c r="D9423" t="s">
        <v>11</v>
      </c>
      <c r="E9423" t="s">
        <v>14</v>
      </c>
      <c r="F9423" t="s">
        <v>64</v>
      </c>
      <c r="G9423" t="s">
        <v>170</v>
      </c>
      <c r="H9423" s="5">
        <v>510</v>
      </c>
      <c r="I9423" s="6">
        <v>317.03571427303262</v>
      </c>
      <c r="J9423" s="5">
        <v>2400</v>
      </c>
      <c r="K9423" s="6">
        <v>2.2710375127640434</v>
      </c>
    </row>
    <row r="9424" spans="1:11" hidden="1">
      <c r="A9424" s="4">
        <v>2026</v>
      </c>
      <c r="B9424">
        <v>35</v>
      </c>
      <c r="C9424" t="s">
        <v>54</v>
      </c>
      <c r="D9424" t="s">
        <v>11</v>
      </c>
      <c r="E9424" t="s">
        <v>16</v>
      </c>
      <c r="F9424" t="s">
        <v>57</v>
      </c>
      <c r="G9424" t="s">
        <v>171</v>
      </c>
      <c r="H9424" s="5">
        <v>1225</v>
      </c>
      <c r="I9424" s="6">
        <v>951.10714281875391</v>
      </c>
      <c r="J9424" s="5">
        <v>7200</v>
      </c>
      <c r="K9424" s="6">
        <v>0.97255078671643513</v>
      </c>
    </row>
    <row r="9425" spans="1:11" hidden="1">
      <c r="A9425" s="4">
        <v>2026</v>
      </c>
      <c r="B9425">
        <v>35</v>
      </c>
      <c r="C9425" t="s">
        <v>54</v>
      </c>
      <c r="D9425" t="s">
        <v>11</v>
      </c>
      <c r="E9425" t="s">
        <v>16</v>
      </c>
      <c r="F9425" t="s">
        <v>73</v>
      </c>
      <c r="G9425" t="s">
        <v>172</v>
      </c>
      <c r="H9425" s="5">
        <v>950</v>
      </c>
      <c r="I9425" s="6">
        <v>898.26785710660101</v>
      </c>
      <c r="J9425" s="5">
        <v>6800</v>
      </c>
      <c r="K9425" s="6">
        <v>0.8349402620459061</v>
      </c>
    </row>
    <row r="9426" spans="1:11" hidden="1">
      <c r="A9426" s="4">
        <v>2026</v>
      </c>
      <c r="B9426">
        <v>35</v>
      </c>
      <c r="C9426" t="s">
        <v>54</v>
      </c>
      <c r="D9426" t="s">
        <v>11</v>
      </c>
      <c r="E9426" t="s">
        <v>16</v>
      </c>
      <c r="F9426" t="s">
        <v>68</v>
      </c>
      <c r="G9426" t="s">
        <v>173</v>
      </c>
      <c r="H9426" s="5">
        <v>1550</v>
      </c>
      <c r="I9426" s="6">
        <v>1162.4642856673661</v>
      </c>
      <c r="J9426" s="5">
        <v>8800</v>
      </c>
      <c r="K9426" s="6">
        <v>1.1613260008456694</v>
      </c>
    </row>
    <row r="9427" spans="1:11" hidden="1">
      <c r="A9427" s="4">
        <v>2026</v>
      </c>
      <c r="B9427">
        <v>35</v>
      </c>
      <c r="C9427" t="s">
        <v>54</v>
      </c>
      <c r="D9427" t="s">
        <v>11</v>
      </c>
      <c r="E9427" t="s">
        <v>16</v>
      </c>
      <c r="F9427" t="s">
        <v>74</v>
      </c>
      <c r="G9427" t="s">
        <v>174</v>
      </c>
      <c r="H9427" s="5">
        <v>1440</v>
      </c>
      <c r="I9427" s="6">
        <v>686.91071425798896</v>
      </c>
      <c r="J9427" s="5">
        <v>5200</v>
      </c>
      <c r="K9427" s="6">
        <v>2.7951230926336796</v>
      </c>
    </row>
    <row r="9428" spans="1:11" hidden="1">
      <c r="A9428" s="4">
        <v>2026</v>
      </c>
      <c r="B9428">
        <v>35</v>
      </c>
      <c r="C9428" t="s">
        <v>54</v>
      </c>
      <c r="D9428" t="s">
        <v>11</v>
      </c>
      <c r="E9428" t="s">
        <v>75</v>
      </c>
      <c r="F9428" t="s">
        <v>76</v>
      </c>
      <c r="G9428" t="s">
        <v>175</v>
      </c>
      <c r="H9428" s="5" t="e">
        <v>#N/A</v>
      </c>
      <c r="I9428" s="6">
        <v>845.428571394752</v>
      </c>
      <c r="J9428" s="5">
        <v>6400</v>
      </c>
      <c r="K9428" s="6">
        <v>0.7688408246336621</v>
      </c>
    </row>
    <row r="9429" spans="1:11" hidden="1">
      <c r="A9429" s="4">
        <v>2026</v>
      </c>
      <c r="B9429">
        <v>35</v>
      </c>
      <c r="C9429" t="s">
        <v>54</v>
      </c>
      <c r="D9429" t="s">
        <v>11</v>
      </c>
      <c r="E9429" t="s">
        <v>75</v>
      </c>
      <c r="F9429" t="s">
        <v>57</v>
      </c>
      <c r="G9429" t="s">
        <v>176</v>
      </c>
      <c r="H9429" s="5">
        <v>5425</v>
      </c>
      <c r="I9429" s="6">
        <v>3910.1071427007355</v>
      </c>
      <c r="J9429" s="5">
        <v>29600</v>
      </c>
      <c r="K9429" s="6">
        <v>1.3938236987121664</v>
      </c>
    </row>
    <row r="9430" spans="1:11" hidden="1">
      <c r="A9430" s="4">
        <v>2026</v>
      </c>
      <c r="B9430">
        <v>35</v>
      </c>
      <c r="C9430" t="s">
        <v>54</v>
      </c>
      <c r="D9430" t="s">
        <v>11</v>
      </c>
      <c r="E9430" t="s">
        <v>75</v>
      </c>
      <c r="F9430" t="s">
        <v>77</v>
      </c>
      <c r="G9430" t="s">
        <v>177</v>
      </c>
      <c r="H9430" s="5">
        <v>6000</v>
      </c>
      <c r="I9430" s="6">
        <v>4015.7857141250793</v>
      </c>
      <c r="J9430" s="5">
        <v>30400</v>
      </c>
      <c r="K9430" s="6">
        <v>1.2015083332331702</v>
      </c>
    </row>
    <row r="9431" spans="1:11" hidden="1">
      <c r="A9431" s="4">
        <v>2026</v>
      </c>
      <c r="B9431">
        <v>35</v>
      </c>
      <c r="C9431" t="s">
        <v>54</v>
      </c>
      <c r="D9431" t="s">
        <v>11</v>
      </c>
      <c r="E9431" t="s">
        <v>20</v>
      </c>
      <c r="F9431" t="s">
        <v>70</v>
      </c>
      <c r="G9431" t="s">
        <v>178</v>
      </c>
      <c r="H9431" s="5">
        <v>4680</v>
      </c>
      <c r="I9431" s="6">
        <v>2747.5751230427709</v>
      </c>
      <c r="J9431" s="5">
        <v>20800</v>
      </c>
      <c r="K9431" s="6">
        <v>3.0899974049109331</v>
      </c>
    </row>
    <row r="9432" spans="1:11" hidden="1">
      <c r="A9432" s="4">
        <v>2026</v>
      </c>
      <c r="B9432">
        <v>35</v>
      </c>
      <c r="C9432" t="s">
        <v>54</v>
      </c>
      <c r="D9432" t="s">
        <v>11</v>
      </c>
      <c r="E9432" t="s">
        <v>20</v>
      </c>
      <c r="F9432" t="s">
        <v>78</v>
      </c>
      <c r="G9432" t="s">
        <v>179</v>
      </c>
      <c r="H9432" s="5">
        <v>1410</v>
      </c>
      <c r="I9432" s="6">
        <v>1056.75862064738</v>
      </c>
      <c r="J9432" s="5">
        <v>9600</v>
      </c>
      <c r="K9432" s="6">
        <v>1.5613783202347522</v>
      </c>
    </row>
    <row r="9433" spans="1:11" hidden="1">
      <c r="A9433" s="4">
        <v>2026</v>
      </c>
      <c r="B9433">
        <v>35</v>
      </c>
      <c r="C9433" t="s">
        <v>54</v>
      </c>
      <c r="D9433" t="s">
        <v>11</v>
      </c>
      <c r="E9433" t="s">
        <v>20</v>
      </c>
      <c r="F9433" t="s">
        <v>63</v>
      </c>
      <c r="G9433" t="s">
        <v>180</v>
      </c>
      <c r="H9433" s="5">
        <v>925</v>
      </c>
      <c r="I9433" s="6">
        <v>369.86551722658481</v>
      </c>
      <c r="J9433" s="5">
        <v>3080</v>
      </c>
      <c r="K9433" s="6">
        <v>0</v>
      </c>
    </row>
    <row r="9434" spans="1:11" hidden="1">
      <c r="A9434" s="4">
        <v>2026</v>
      </c>
      <c r="B9434">
        <v>35</v>
      </c>
      <c r="C9434" t="s">
        <v>54</v>
      </c>
      <c r="D9434" t="s">
        <v>11</v>
      </c>
      <c r="E9434" t="s">
        <v>20</v>
      </c>
      <c r="F9434" t="s">
        <v>74</v>
      </c>
      <c r="G9434" t="s">
        <v>181</v>
      </c>
      <c r="H9434" s="5">
        <v>7680</v>
      </c>
      <c r="I9434" s="6">
        <v>3592.9793102011122</v>
      </c>
      <c r="J9434" s="5">
        <v>27820</v>
      </c>
      <c r="K9434" s="6">
        <v>3.3648955243561587</v>
      </c>
    </row>
    <row r="9435" spans="1:11" hidden="1">
      <c r="A9435" s="4">
        <v>2026</v>
      </c>
      <c r="B9435">
        <v>35</v>
      </c>
      <c r="C9435" t="s">
        <v>54</v>
      </c>
      <c r="D9435" t="s">
        <v>11</v>
      </c>
      <c r="E9435" t="s">
        <v>79</v>
      </c>
      <c r="F9435" t="s">
        <v>67</v>
      </c>
      <c r="G9435" t="s">
        <v>182</v>
      </c>
      <c r="H9435" s="5">
        <v>3660</v>
      </c>
      <c r="I9435" s="6">
        <v>1585.2222221588099</v>
      </c>
      <c r="J9435" s="5">
        <v>11490</v>
      </c>
      <c r="K9435" s="6">
        <v>1.2111866545658678</v>
      </c>
    </row>
    <row r="9436" spans="1:11" hidden="1">
      <c r="A9436" s="4">
        <v>2026</v>
      </c>
      <c r="B9436">
        <v>35</v>
      </c>
      <c r="C9436" t="s">
        <v>54</v>
      </c>
      <c r="D9436" t="s">
        <v>11</v>
      </c>
      <c r="E9436" t="s">
        <v>79</v>
      </c>
      <c r="F9436" t="s">
        <v>81</v>
      </c>
      <c r="G9436" t="s">
        <v>183</v>
      </c>
      <c r="H9436" s="5">
        <v>3480</v>
      </c>
      <c r="I9436" s="6">
        <v>2219.311111022334</v>
      </c>
      <c r="J9436" s="5">
        <v>16800</v>
      </c>
      <c r="K9436" s="6">
        <v>1.378806236224537</v>
      </c>
    </row>
    <row r="9437" spans="1:11" hidden="1">
      <c r="A9437" s="4">
        <v>2026</v>
      </c>
      <c r="B9437">
        <v>35</v>
      </c>
      <c r="C9437" t="s">
        <v>54</v>
      </c>
      <c r="D9437" t="s">
        <v>11</v>
      </c>
      <c r="E9437" t="s">
        <v>79</v>
      </c>
      <c r="F9437" t="s">
        <v>68</v>
      </c>
      <c r="G9437" t="s">
        <v>184</v>
      </c>
      <c r="H9437" s="5">
        <v>3550</v>
      </c>
      <c r="I9437" s="6">
        <v>2959.0814813631118</v>
      </c>
      <c r="J9437" s="5">
        <v>22400</v>
      </c>
      <c r="K9437" s="6">
        <v>1.5883307132978737</v>
      </c>
    </row>
    <row r="9438" spans="1:11" hidden="1">
      <c r="A9438" s="4">
        <v>2026</v>
      </c>
      <c r="B9438">
        <v>35</v>
      </c>
      <c r="C9438" t="s">
        <v>54</v>
      </c>
      <c r="D9438" t="s">
        <v>11</v>
      </c>
      <c r="E9438" t="s">
        <v>79</v>
      </c>
      <c r="F9438" t="s">
        <v>61</v>
      </c>
      <c r="G9438" t="s">
        <v>185</v>
      </c>
      <c r="H9438" s="5">
        <v>1710</v>
      </c>
      <c r="I9438" s="6">
        <v>1796.5851851133182</v>
      </c>
      <c r="J9438" s="5">
        <v>13600</v>
      </c>
      <c r="K9438" s="6">
        <v>0</v>
      </c>
    </row>
    <row r="9439" spans="1:11" hidden="1">
      <c r="A9439" s="4">
        <v>2026</v>
      </c>
      <c r="B9439">
        <v>35</v>
      </c>
      <c r="C9439" t="s">
        <v>54</v>
      </c>
      <c r="D9439" t="s">
        <v>11</v>
      </c>
      <c r="E9439" t="s">
        <v>82</v>
      </c>
      <c r="F9439" t="s">
        <v>83</v>
      </c>
      <c r="G9439" t="s">
        <v>186</v>
      </c>
      <c r="H9439" s="5">
        <v>3700</v>
      </c>
      <c r="I9439" s="6">
        <v>1912.3542857142861</v>
      </c>
      <c r="J9439" s="5">
        <v>16320</v>
      </c>
      <c r="K9439" s="6">
        <v>1.3465078198301568</v>
      </c>
    </row>
    <row r="9440" spans="1:11" hidden="1">
      <c r="A9440" s="4">
        <v>2026</v>
      </c>
      <c r="B9440">
        <v>35</v>
      </c>
      <c r="C9440" t="s">
        <v>54</v>
      </c>
      <c r="D9440" t="s">
        <v>11</v>
      </c>
      <c r="E9440" t="s">
        <v>82</v>
      </c>
      <c r="F9440" t="s">
        <v>84</v>
      </c>
      <c r="G9440" t="s">
        <v>187</v>
      </c>
      <c r="H9440" s="5">
        <v>4980</v>
      </c>
      <c r="I9440" s="6">
        <v>2812.2857142428579</v>
      </c>
      <c r="J9440" s="5">
        <v>20000</v>
      </c>
      <c r="K9440" s="6">
        <v>1.2694300518328163</v>
      </c>
    </row>
    <row r="9441" spans="1:11" hidden="1">
      <c r="A9441" s="4">
        <v>2026</v>
      </c>
      <c r="B9441">
        <v>35</v>
      </c>
      <c r="C9441" t="s">
        <v>54</v>
      </c>
      <c r="D9441" t="s">
        <v>11</v>
      </c>
      <c r="E9441" t="s">
        <v>85</v>
      </c>
      <c r="F9441" t="s">
        <v>86</v>
      </c>
      <c r="G9441" t="s">
        <v>188</v>
      </c>
      <c r="H9441" s="5">
        <v>3150</v>
      </c>
      <c r="I9441" s="6">
        <v>1768.8376470588223</v>
      </c>
      <c r="J9441" s="5">
        <v>12800</v>
      </c>
      <c r="K9441" s="6">
        <v>1.9504333853005509</v>
      </c>
    </row>
    <row r="9442" spans="1:11" hidden="1">
      <c r="A9442" s="4">
        <v>2026</v>
      </c>
      <c r="B9442">
        <v>35</v>
      </c>
      <c r="C9442" t="s">
        <v>54</v>
      </c>
      <c r="D9442" t="s">
        <v>11</v>
      </c>
      <c r="E9442" t="s">
        <v>85</v>
      </c>
      <c r="F9442" t="s">
        <v>87</v>
      </c>
      <c r="G9442" t="s">
        <v>189</v>
      </c>
      <c r="H9442" s="5">
        <v>3700</v>
      </c>
      <c r="I9442" s="6">
        <v>2263.7999998868127</v>
      </c>
      <c r="J9442" s="5">
        <v>17920</v>
      </c>
      <c r="K9442" s="6">
        <v>2.2616838944500373</v>
      </c>
    </row>
    <row r="9443" spans="1:11" hidden="1">
      <c r="A9443" s="4">
        <v>2026</v>
      </c>
      <c r="B9443">
        <v>35</v>
      </c>
      <c r="C9443" t="s">
        <v>54</v>
      </c>
      <c r="D9443" t="s">
        <v>11</v>
      </c>
      <c r="E9443" t="s">
        <v>85</v>
      </c>
      <c r="F9443" t="s">
        <v>88</v>
      </c>
      <c r="G9443" t="s">
        <v>190</v>
      </c>
      <c r="H9443" s="5">
        <v>1950</v>
      </c>
      <c r="I9443" s="6">
        <v>994.97117647058747</v>
      </c>
      <c r="J9443" s="5">
        <v>7200</v>
      </c>
      <c r="K9443" s="6">
        <v>1.0251553252207728</v>
      </c>
    </row>
    <row r="9444" spans="1:11" hidden="1">
      <c r="A9444" s="4">
        <v>2026</v>
      </c>
      <c r="B9444">
        <v>35</v>
      </c>
      <c r="C9444" t="s">
        <v>54</v>
      </c>
      <c r="D9444" t="s">
        <v>11</v>
      </c>
      <c r="E9444" t="s">
        <v>85</v>
      </c>
      <c r="F9444" t="s">
        <v>61</v>
      </c>
      <c r="G9444" t="s">
        <v>191</v>
      </c>
      <c r="H9444" s="5">
        <v>1260</v>
      </c>
      <c r="I9444" s="6">
        <v>994.97117647058747</v>
      </c>
      <c r="J9444" s="5">
        <v>7920</v>
      </c>
      <c r="K9444" s="6">
        <v>1.2060650884950268</v>
      </c>
    </row>
    <row r="9445" spans="1:11" hidden="1">
      <c r="A9445" s="4">
        <v>2026</v>
      </c>
      <c r="B9445">
        <v>35</v>
      </c>
      <c r="C9445" t="s">
        <v>54</v>
      </c>
      <c r="D9445" t="s">
        <v>11</v>
      </c>
      <c r="E9445" t="s">
        <v>85</v>
      </c>
      <c r="F9445" t="s">
        <v>89</v>
      </c>
      <c r="G9445" t="s">
        <v>192</v>
      </c>
      <c r="H9445" s="5">
        <v>3725</v>
      </c>
      <c r="I9445" s="6">
        <v>2263.7999998868127</v>
      </c>
      <c r="J9445" s="5">
        <v>17920</v>
      </c>
      <c r="K9445" s="6">
        <v>1.2258150013864948</v>
      </c>
    </row>
    <row r="9446" spans="1:11" hidden="1">
      <c r="A9446" s="4">
        <v>2026</v>
      </c>
      <c r="B9446">
        <v>35</v>
      </c>
      <c r="C9446" t="s">
        <v>54</v>
      </c>
      <c r="D9446" t="s">
        <v>11</v>
      </c>
      <c r="E9446" t="s">
        <v>90</v>
      </c>
      <c r="F9446" t="s">
        <v>67</v>
      </c>
      <c r="G9446" t="s">
        <v>193</v>
      </c>
      <c r="H9446" s="5">
        <v>15720</v>
      </c>
      <c r="I9446" s="6">
        <v>6727.0499997982479</v>
      </c>
      <c r="J9446" s="5">
        <v>49210</v>
      </c>
      <c r="K9446" s="6">
        <v>1.4226146676904461</v>
      </c>
    </row>
    <row r="9447" spans="1:11" hidden="1">
      <c r="A9447" s="4">
        <v>2026</v>
      </c>
      <c r="B9447">
        <v>35</v>
      </c>
      <c r="C9447" t="s">
        <v>54</v>
      </c>
      <c r="D9447" t="s">
        <v>11</v>
      </c>
      <c r="E9447" t="s">
        <v>90</v>
      </c>
      <c r="F9447" t="s">
        <v>60</v>
      </c>
      <c r="G9447" t="s">
        <v>194</v>
      </c>
      <c r="H9447" s="5">
        <v>1140</v>
      </c>
      <c r="I9447" s="6">
        <v>994.95</v>
      </c>
      <c r="J9447" s="5">
        <v>7200</v>
      </c>
      <c r="K9447" s="6">
        <v>1.0854816824966078</v>
      </c>
    </row>
    <row r="9448" spans="1:11" hidden="1">
      <c r="A9448" s="4">
        <v>2026</v>
      </c>
      <c r="B9448">
        <v>35</v>
      </c>
      <c r="C9448" t="s">
        <v>54</v>
      </c>
      <c r="D9448" t="s">
        <v>11</v>
      </c>
      <c r="E9448" t="s">
        <v>91</v>
      </c>
      <c r="F9448" t="s">
        <v>92</v>
      </c>
      <c r="G9448" t="s">
        <v>195</v>
      </c>
      <c r="H9448" s="5">
        <v>1160</v>
      </c>
      <c r="I9448" s="6">
        <v>831.6</v>
      </c>
      <c r="J9448" s="5">
        <v>6300</v>
      </c>
      <c r="K9448" s="6">
        <v>1.7135642135642135</v>
      </c>
    </row>
    <row r="9449" spans="1:11" hidden="1">
      <c r="A9449" s="4">
        <v>2026</v>
      </c>
      <c r="B9449">
        <v>35</v>
      </c>
      <c r="C9449" t="s">
        <v>54</v>
      </c>
      <c r="D9449" t="s">
        <v>11</v>
      </c>
      <c r="E9449" t="s">
        <v>91</v>
      </c>
      <c r="F9449" t="s">
        <v>93</v>
      </c>
      <c r="G9449" t="s">
        <v>196</v>
      </c>
      <c r="H9449" s="5">
        <v>2600</v>
      </c>
      <c r="I9449" s="6">
        <v>1267.2</v>
      </c>
      <c r="J9449" s="5">
        <v>9600</v>
      </c>
      <c r="K9449" s="6">
        <v>1.8150252525252524</v>
      </c>
    </row>
    <row r="9450" spans="1:11" hidden="1">
      <c r="A9450" s="4">
        <v>2026</v>
      </c>
      <c r="B9450">
        <v>35</v>
      </c>
      <c r="C9450" t="s">
        <v>54</v>
      </c>
      <c r="D9450" t="s">
        <v>11</v>
      </c>
      <c r="E9450" t="s">
        <v>91</v>
      </c>
      <c r="F9450" t="s">
        <v>61</v>
      </c>
      <c r="G9450" t="s">
        <v>197</v>
      </c>
      <c r="H9450" s="5">
        <v>300</v>
      </c>
      <c r="I9450" s="6">
        <v>316.8</v>
      </c>
      <c r="J9450" s="5">
        <v>2400</v>
      </c>
      <c r="K9450" s="6">
        <v>0.85227272727272729</v>
      </c>
    </row>
    <row r="9451" spans="1:11" hidden="1">
      <c r="A9451" s="4">
        <v>2026</v>
      </c>
      <c r="B9451">
        <v>35</v>
      </c>
      <c r="C9451" t="s">
        <v>54</v>
      </c>
      <c r="D9451" t="s">
        <v>11</v>
      </c>
      <c r="E9451" t="s">
        <v>91</v>
      </c>
      <c r="F9451" t="s">
        <v>74</v>
      </c>
      <c r="G9451" t="s">
        <v>198</v>
      </c>
      <c r="H9451" s="5">
        <v>8700</v>
      </c>
      <c r="I9451" s="6">
        <v>3603.6</v>
      </c>
      <c r="J9451" s="5">
        <v>27296</v>
      </c>
      <c r="K9451" s="6">
        <v>2.4142524142524144</v>
      </c>
    </row>
    <row r="9452" spans="1:11" hidden="1">
      <c r="A9452" s="4">
        <v>2026</v>
      </c>
      <c r="B9452">
        <v>35</v>
      </c>
      <c r="C9452" t="s">
        <v>54</v>
      </c>
      <c r="D9452" t="s">
        <v>11</v>
      </c>
      <c r="E9452" t="s">
        <v>23</v>
      </c>
      <c r="F9452" t="s">
        <v>89</v>
      </c>
      <c r="G9452" t="s">
        <v>199</v>
      </c>
      <c r="H9452" s="5">
        <v>4450</v>
      </c>
      <c r="I9452" s="6">
        <v>3682.8</v>
      </c>
      <c r="J9452" s="5">
        <v>27900</v>
      </c>
      <c r="K9452" s="6">
        <v>1.4391224068643422</v>
      </c>
    </row>
    <row r="9453" spans="1:11" hidden="1">
      <c r="A9453" s="4">
        <v>2026</v>
      </c>
      <c r="B9453">
        <v>35</v>
      </c>
      <c r="C9453" t="s">
        <v>54</v>
      </c>
      <c r="D9453" t="s">
        <v>11</v>
      </c>
      <c r="E9453" t="s">
        <v>25</v>
      </c>
      <c r="F9453" t="s">
        <v>68</v>
      </c>
      <c r="G9453" t="s">
        <v>200</v>
      </c>
      <c r="H9453" s="5">
        <v>2450</v>
      </c>
      <c r="I9453" s="6">
        <v>2376</v>
      </c>
      <c r="J9453" s="5">
        <v>18000</v>
      </c>
      <c r="K9453" s="6">
        <v>1.167929292929293</v>
      </c>
    </row>
    <row r="9454" spans="1:11" hidden="1">
      <c r="A9454" s="4">
        <v>2026</v>
      </c>
      <c r="B9454">
        <v>35</v>
      </c>
      <c r="C9454" t="s">
        <v>54</v>
      </c>
      <c r="D9454" t="s">
        <v>11</v>
      </c>
      <c r="E9454" t="s">
        <v>27</v>
      </c>
      <c r="F9454" t="s">
        <v>94</v>
      </c>
      <c r="G9454" t="s">
        <v>201</v>
      </c>
      <c r="H9454" s="5">
        <v>990</v>
      </c>
      <c r="I9454" s="6">
        <v>950.4</v>
      </c>
      <c r="J9454" s="5">
        <v>7200</v>
      </c>
      <c r="K9454" s="6">
        <v>0.69444444444444442</v>
      </c>
    </row>
    <row r="9455" spans="1:11" hidden="1">
      <c r="A9455" s="4">
        <v>2026</v>
      </c>
      <c r="B9455">
        <v>35</v>
      </c>
      <c r="C9455" t="s">
        <v>54</v>
      </c>
      <c r="D9455" t="s">
        <v>11</v>
      </c>
      <c r="E9455" t="s">
        <v>27</v>
      </c>
      <c r="F9455" t="s">
        <v>95</v>
      </c>
      <c r="G9455" t="s">
        <v>202</v>
      </c>
      <c r="H9455" s="5">
        <v>1575</v>
      </c>
      <c r="I9455" s="6">
        <v>1346.4</v>
      </c>
      <c r="J9455" s="5">
        <v>10200</v>
      </c>
      <c r="K9455" s="6">
        <v>1.8196672608437312</v>
      </c>
    </row>
    <row r="9456" spans="1:11" hidden="1">
      <c r="A9456" s="4">
        <v>2026</v>
      </c>
      <c r="B9456">
        <v>35</v>
      </c>
      <c r="C9456" t="s">
        <v>54</v>
      </c>
      <c r="D9456" t="s">
        <v>11</v>
      </c>
      <c r="E9456" t="s">
        <v>30</v>
      </c>
      <c r="F9456" t="s">
        <v>81</v>
      </c>
      <c r="G9456" t="s">
        <v>203</v>
      </c>
      <c r="H9456" s="5">
        <v>5850</v>
      </c>
      <c r="I9456" s="6">
        <v>2851.2</v>
      </c>
      <c r="J9456" s="5">
        <v>21600</v>
      </c>
      <c r="K9456" s="6">
        <v>1.1784511784511784</v>
      </c>
    </row>
    <row r="9457" spans="1:11" hidden="1">
      <c r="A9457" s="4">
        <v>2026</v>
      </c>
      <c r="B9457">
        <v>35</v>
      </c>
      <c r="C9457" t="s">
        <v>54</v>
      </c>
      <c r="D9457" t="s">
        <v>11</v>
      </c>
      <c r="E9457" t="s">
        <v>30</v>
      </c>
      <c r="F9457" t="s">
        <v>73</v>
      </c>
      <c r="G9457" t="s">
        <v>204</v>
      </c>
      <c r="H9457" s="5">
        <v>1675</v>
      </c>
      <c r="I9457" s="6">
        <v>2138.4</v>
      </c>
      <c r="J9457" s="5">
        <v>16200</v>
      </c>
      <c r="K9457" s="6">
        <v>0.81836887392442947</v>
      </c>
    </row>
    <row r="9458" spans="1:11" hidden="1">
      <c r="A9458" s="4">
        <v>2026</v>
      </c>
      <c r="B9458">
        <v>35</v>
      </c>
      <c r="C9458" t="s">
        <v>54</v>
      </c>
      <c r="D9458" t="s">
        <v>11</v>
      </c>
      <c r="E9458" t="s">
        <v>32</v>
      </c>
      <c r="F9458" t="s">
        <v>86</v>
      </c>
      <c r="G9458" t="s">
        <v>205</v>
      </c>
      <c r="H9458" s="5">
        <v>1350</v>
      </c>
      <c r="I9458" s="6">
        <v>963.6</v>
      </c>
      <c r="J9458" s="5">
        <v>7570</v>
      </c>
      <c r="K9458" s="6">
        <v>1.4788293897882938</v>
      </c>
    </row>
    <row r="9459" spans="1:11" hidden="1">
      <c r="A9459" s="4">
        <v>2026</v>
      </c>
      <c r="B9459">
        <v>35</v>
      </c>
      <c r="C9459" t="s">
        <v>54</v>
      </c>
      <c r="D9459" t="s">
        <v>11</v>
      </c>
      <c r="E9459" t="s">
        <v>35</v>
      </c>
      <c r="F9459" t="s">
        <v>86</v>
      </c>
      <c r="G9459" t="s">
        <v>206</v>
      </c>
      <c r="H9459" s="5">
        <v>6100</v>
      </c>
      <c r="I9459" s="6">
        <v>3168</v>
      </c>
      <c r="J9459" s="5">
        <v>24000</v>
      </c>
      <c r="K9459" s="6">
        <v>1.4441287878787878</v>
      </c>
    </row>
    <row r="9460" spans="1:11" hidden="1">
      <c r="A9460" s="4">
        <v>2026</v>
      </c>
      <c r="B9460">
        <v>35</v>
      </c>
      <c r="C9460" t="s">
        <v>54</v>
      </c>
      <c r="D9460" t="s">
        <v>11</v>
      </c>
      <c r="E9460" t="s">
        <v>35</v>
      </c>
      <c r="F9460" t="s">
        <v>96</v>
      </c>
      <c r="G9460" t="s">
        <v>207</v>
      </c>
      <c r="H9460" s="5">
        <v>2220</v>
      </c>
      <c r="I9460" s="6">
        <v>1188</v>
      </c>
      <c r="J9460" s="5">
        <v>9000</v>
      </c>
      <c r="K9460" s="6">
        <v>1.6666666666666667</v>
      </c>
    </row>
    <row r="9461" spans="1:11" hidden="1">
      <c r="A9461" s="4">
        <v>2026</v>
      </c>
      <c r="B9461">
        <v>35</v>
      </c>
      <c r="C9461" t="s">
        <v>54</v>
      </c>
      <c r="D9461" t="s">
        <v>11</v>
      </c>
      <c r="E9461" t="s">
        <v>36</v>
      </c>
      <c r="F9461" t="s">
        <v>86</v>
      </c>
      <c r="G9461" t="s">
        <v>208</v>
      </c>
      <c r="H9461" s="5">
        <v>3900</v>
      </c>
      <c r="I9461" s="6">
        <v>2732.4</v>
      </c>
      <c r="J9461" s="5">
        <v>20700</v>
      </c>
      <c r="K9461" s="6">
        <v>1.6469038208168643</v>
      </c>
    </row>
    <row r="9462" spans="1:11" hidden="1">
      <c r="A9462" s="4">
        <v>2026</v>
      </c>
      <c r="B9462">
        <v>35</v>
      </c>
      <c r="C9462" t="s">
        <v>54</v>
      </c>
      <c r="D9462" t="s">
        <v>11</v>
      </c>
      <c r="E9462" t="s">
        <v>36</v>
      </c>
      <c r="F9462" t="s">
        <v>97</v>
      </c>
      <c r="G9462" t="s">
        <v>209</v>
      </c>
      <c r="H9462" s="5">
        <v>840</v>
      </c>
      <c r="I9462" s="6">
        <v>673.2</v>
      </c>
      <c r="J9462" s="5">
        <v>5100</v>
      </c>
      <c r="K9462" s="6">
        <v>0.80213903743315507</v>
      </c>
    </row>
    <row r="9463" spans="1:11" hidden="1">
      <c r="A9463" s="4">
        <v>2026</v>
      </c>
      <c r="B9463">
        <v>35</v>
      </c>
      <c r="C9463" t="s">
        <v>54</v>
      </c>
      <c r="D9463" t="s">
        <v>11</v>
      </c>
      <c r="E9463" t="s">
        <v>38</v>
      </c>
      <c r="F9463" t="s">
        <v>98</v>
      </c>
      <c r="G9463" t="s">
        <v>210</v>
      </c>
      <c r="H9463" s="5">
        <v>1450</v>
      </c>
      <c r="I9463" s="6">
        <v>1100.4749999999999</v>
      </c>
      <c r="J9463" s="5">
        <v>8000</v>
      </c>
      <c r="K9463" s="6">
        <v>1.8855494218405691</v>
      </c>
    </row>
    <row r="9464" spans="1:11" hidden="1">
      <c r="A9464" s="4">
        <v>2026</v>
      </c>
      <c r="B9464">
        <v>35</v>
      </c>
      <c r="C9464" t="s">
        <v>54</v>
      </c>
      <c r="D9464" t="s">
        <v>11</v>
      </c>
      <c r="E9464" t="s">
        <v>43</v>
      </c>
      <c r="F9464" t="s">
        <v>99</v>
      </c>
      <c r="G9464" t="s">
        <v>211</v>
      </c>
      <c r="H9464" s="5">
        <v>1950</v>
      </c>
      <c r="I9464" s="6">
        <v>1287</v>
      </c>
      <c r="J9464" s="5">
        <v>9400</v>
      </c>
      <c r="K9464" s="6">
        <v>1.4568764568764569</v>
      </c>
    </row>
    <row r="9465" spans="1:11" hidden="1">
      <c r="A9465" s="4">
        <v>2026</v>
      </c>
      <c r="B9465">
        <v>35</v>
      </c>
      <c r="C9465" t="s">
        <v>54</v>
      </c>
      <c r="D9465" t="s">
        <v>11</v>
      </c>
      <c r="E9465" t="s">
        <v>100</v>
      </c>
      <c r="F9465" t="s">
        <v>70</v>
      </c>
      <c r="G9465" t="s">
        <v>212</v>
      </c>
      <c r="H9465" s="5">
        <v>5820</v>
      </c>
      <c r="I9465" s="6">
        <v>2641.14</v>
      </c>
      <c r="J9465" s="5">
        <v>19200</v>
      </c>
      <c r="K9465" s="6">
        <v>3.1236511506394966</v>
      </c>
    </row>
    <row r="9466" spans="1:11" hidden="1">
      <c r="A9466" s="4">
        <v>2026</v>
      </c>
      <c r="B9466">
        <v>35</v>
      </c>
      <c r="C9466" t="s">
        <v>54</v>
      </c>
      <c r="D9466" t="s">
        <v>11</v>
      </c>
      <c r="E9466" t="s">
        <v>100</v>
      </c>
      <c r="F9466" t="s">
        <v>101</v>
      </c>
      <c r="G9466" t="s">
        <v>213</v>
      </c>
      <c r="H9466" s="5">
        <v>5610</v>
      </c>
      <c r="I9466" s="6">
        <v>2641.14</v>
      </c>
      <c r="J9466" s="5">
        <v>19200</v>
      </c>
      <c r="K9466" s="6">
        <v>1.669733524160022</v>
      </c>
    </row>
    <row r="9467" spans="1:11" hidden="1">
      <c r="A9467" s="4">
        <v>2026</v>
      </c>
      <c r="B9467">
        <v>35</v>
      </c>
      <c r="C9467" t="s">
        <v>54</v>
      </c>
      <c r="D9467" t="s">
        <v>11</v>
      </c>
      <c r="E9467" t="s">
        <v>102</v>
      </c>
      <c r="F9467" t="s">
        <v>70</v>
      </c>
      <c r="G9467" t="s">
        <v>214</v>
      </c>
      <c r="H9467" s="5">
        <v>2940</v>
      </c>
      <c r="I9467" s="6">
        <v>1430.6174906250001</v>
      </c>
      <c r="J9467" s="5">
        <v>10400</v>
      </c>
      <c r="K9467" s="6">
        <v>3.0825849878805718</v>
      </c>
    </row>
    <row r="9468" spans="1:11" hidden="1">
      <c r="A9468" s="4">
        <v>2026</v>
      </c>
      <c r="B9468">
        <v>35</v>
      </c>
      <c r="C9468" t="s">
        <v>54</v>
      </c>
      <c r="D9468" t="s">
        <v>11</v>
      </c>
      <c r="E9468" t="s">
        <v>102</v>
      </c>
      <c r="F9468" t="s">
        <v>64</v>
      </c>
      <c r="G9468" t="s">
        <v>215</v>
      </c>
      <c r="H9468" s="5">
        <v>1650</v>
      </c>
      <c r="I9468" s="6">
        <v>1430.6175000000001</v>
      </c>
      <c r="J9468" s="5">
        <v>10400</v>
      </c>
      <c r="K9468" s="6">
        <v>1.65662729555594</v>
      </c>
    </row>
    <row r="9469" spans="1:11" hidden="1">
      <c r="A9469" s="4">
        <v>2026</v>
      </c>
      <c r="B9469">
        <v>35</v>
      </c>
      <c r="C9469" t="s">
        <v>54</v>
      </c>
      <c r="D9469" t="s">
        <v>11</v>
      </c>
      <c r="E9469" t="s">
        <v>102</v>
      </c>
      <c r="F9469" t="s">
        <v>97</v>
      </c>
      <c r="G9469" t="s">
        <v>216</v>
      </c>
      <c r="H9469" s="5">
        <v>4230</v>
      </c>
      <c r="I9469" s="6">
        <v>2861.2350000000001</v>
      </c>
      <c r="J9469" s="5">
        <v>20800</v>
      </c>
      <c r="K9469" s="6">
        <v>1.6042023811396127</v>
      </c>
    </row>
    <row r="9470" spans="1:11" hidden="1">
      <c r="A9470" s="4">
        <v>2026</v>
      </c>
      <c r="B9470">
        <v>35</v>
      </c>
      <c r="C9470" t="s">
        <v>54</v>
      </c>
      <c r="D9470" t="s">
        <v>11</v>
      </c>
      <c r="E9470" t="s">
        <v>103</v>
      </c>
      <c r="F9470" t="s">
        <v>104</v>
      </c>
      <c r="G9470" t="s">
        <v>217</v>
      </c>
      <c r="H9470" s="5">
        <v>4300</v>
      </c>
      <c r="I9470" s="6">
        <v>3071.9505625000002</v>
      </c>
      <c r="J9470" s="5">
        <v>22400</v>
      </c>
      <c r="K9470" s="6">
        <v>1.0742360376120148</v>
      </c>
    </row>
    <row r="9471" spans="1:11" hidden="1">
      <c r="A9471" s="4">
        <v>2026</v>
      </c>
      <c r="B9471">
        <v>35</v>
      </c>
      <c r="C9471" t="s">
        <v>54</v>
      </c>
      <c r="D9471" t="s">
        <v>11</v>
      </c>
      <c r="E9471" t="s">
        <v>45</v>
      </c>
      <c r="F9471" t="s">
        <v>105</v>
      </c>
      <c r="G9471" t="s">
        <v>218</v>
      </c>
      <c r="H9471" s="5">
        <v>3325</v>
      </c>
      <c r="I9471" s="6">
        <v>1097.125</v>
      </c>
      <c r="J9471" s="5">
        <v>8000</v>
      </c>
      <c r="K9471" s="6">
        <v>2.4609775549732253</v>
      </c>
    </row>
    <row r="9472" spans="1:11" hidden="1">
      <c r="A9472" s="4">
        <v>2026</v>
      </c>
      <c r="B9472">
        <v>35</v>
      </c>
      <c r="C9472" t="s">
        <v>54</v>
      </c>
      <c r="D9472" t="s">
        <v>11</v>
      </c>
      <c r="E9472" t="s">
        <v>45</v>
      </c>
      <c r="F9472" t="s">
        <v>106</v>
      </c>
      <c r="G9472" t="s">
        <v>219</v>
      </c>
      <c r="H9472" s="5">
        <v>3100</v>
      </c>
      <c r="I9472" s="6">
        <v>2852.5250000000001</v>
      </c>
      <c r="J9472" s="5">
        <v>20800</v>
      </c>
      <c r="K9472" s="6">
        <v>1.200690616208447</v>
      </c>
    </row>
    <row r="9473" spans="1:11" hidden="1">
      <c r="A9473" s="4">
        <v>2026</v>
      </c>
      <c r="B9473">
        <v>35</v>
      </c>
      <c r="C9473" t="s">
        <v>54</v>
      </c>
      <c r="D9473" t="s">
        <v>11</v>
      </c>
      <c r="E9473" t="s">
        <v>107</v>
      </c>
      <c r="F9473" t="s">
        <v>108</v>
      </c>
      <c r="G9473" t="s">
        <v>220</v>
      </c>
      <c r="H9473" s="5">
        <v>4680</v>
      </c>
      <c r="I9473" s="6">
        <v>2633.1</v>
      </c>
      <c r="J9473" s="5">
        <v>19200</v>
      </c>
      <c r="K9473" s="6">
        <v>2.1077817021761422</v>
      </c>
    </row>
    <row r="9474" spans="1:11" hidden="1">
      <c r="A9474" s="4">
        <v>2026</v>
      </c>
      <c r="B9474">
        <v>35</v>
      </c>
      <c r="C9474" t="s">
        <v>54</v>
      </c>
      <c r="D9474" t="s">
        <v>11</v>
      </c>
      <c r="E9474" t="s">
        <v>107</v>
      </c>
      <c r="F9474" t="s">
        <v>109</v>
      </c>
      <c r="G9474" t="s">
        <v>221</v>
      </c>
      <c r="H9474" s="5">
        <v>5880</v>
      </c>
      <c r="I9474" s="6">
        <v>2633.1</v>
      </c>
      <c r="J9474" s="5">
        <v>19200</v>
      </c>
      <c r="K9474" s="6">
        <v>2.4154038965477955</v>
      </c>
    </row>
    <row r="9475" spans="1:11" hidden="1">
      <c r="A9475" s="4">
        <v>2026</v>
      </c>
      <c r="B9475">
        <v>35</v>
      </c>
      <c r="C9475" t="s">
        <v>54</v>
      </c>
      <c r="D9475" t="s">
        <v>11</v>
      </c>
      <c r="E9475" t="s">
        <v>110</v>
      </c>
      <c r="F9475" t="s">
        <v>70</v>
      </c>
      <c r="G9475" t="s">
        <v>222</v>
      </c>
      <c r="H9475" s="5">
        <v>4530</v>
      </c>
      <c r="I9475" s="6">
        <v>2852.5250000000001</v>
      </c>
      <c r="J9475" s="5">
        <v>20800</v>
      </c>
      <c r="K9475" s="6">
        <v>2.250637593009702</v>
      </c>
    </row>
    <row r="9476" spans="1:11" hidden="1">
      <c r="A9476" s="4">
        <v>2026</v>
      </c>
      <c r="B9476">
        <v>35</v>
      </c>
      <c r="C9476" t="s">
        <v>54</v>
      </c>
      <c r="D9476" t="s">
        <v>11</v>
      </c>
      <c r="E9476" t="s">
        <v>110</v>
      </c>
      <c r="F9476" t="s">
        <v>67</v>
      </c>
      <c r="G9476" t="s">
        <v>223</v>
      </c>
      <c r="H9476" s="5">
        <v>5640</v>
      </c>
      <c r="I9476" s="6">
        <v>2852.5250000000001</v>
      </c>
      <c r="J9476" s="5">
        <v>20800</v>
      </c>
      <c r="K9476" s="6">
        <v>2.1875356044206447</v>
      </c>
    </row>
    <row r="9477" spans="1:11" hidden="1">
      <c r="A9477" s="4">
        <v>2026</v>
      </c>
      <c r="B9477">
        <v>35</v>
      </c>
      <c r="C9477" t="s">
        <v>54</v>
      </c>
      <c r="D9477" t="s">
        <v>11</v>
      </c>
      <c r="E9477" t="s">
        <v>111</v>
      </c>
      <c r="F9477" t="s">
        <v>112</v>
      </c>
      <c r="G9477" t="s">
        <v>224</v>
      </c>
      <c r="H9477" s="5">
        <v>3625</v>
      </c>
      <c r="I9477" s="6">
        <v>3071.95</v>
      </c>
      <c r="J9477" s="5">
        <v>22400</v>
      </c>
      <c r="K9477" s="6">
        <v>0.88705870863783598</v>
      </c>
    </row>
    <row r="9478" spans="1:11" hidden="1">
      <c r="A9478" s="4">
        <v>2026</v>
      </c>
      <c r="B9478">
        <v>35</v>
      </c>
      <c r="C9478" t="s">
        <v>54</v>
      </c>
      <c r="D9478" t="s">
        <v>11</v>
      </c>
      <c r="E9478" t="s">
        <v>47</v>
      </c>
      <c r="F9478" t="s">
        <v>57</v>
      </c>
      <c r="G9478" t="s">
        <v>225</v>
      </c>
      <c r="H9478" s="5">
        <v>1750</v>
      </c>
      <c r="I9478" s="6">
        <v>1645.6875</v>
      </c>
      <c r="J9478" s="5">
        <v>12000</v>
      </c>
      <c r="K9478" s="6">
        <v>0.9266643879837454</v>
      </c>
    </row>
    <row r="9479" spans="1:11" hidden="1">
      <c r="A9479" s="4">
        <v>2026</v>
      </c>
      <c r="B9479">
        <v>36</v>
      </c>
      <c r="C9479" t="s">
        <v>10</v>
      </c>
      <c r="D9479" t="s">
        <v>11</v>
      </c>
      <c r="E9479" t="s">
        <v>12</v>
      </c>
      <c r="F9479" t="s">
        <v>13</v>
      </c>
      <c r="G9479" t="str">
        <f t="shared" ref="G9479:G9542" si="398">+E9479&amp;F9479</f>
        <v>002SOMERSET</v>
      </c>
      <c r="H9479" s="5">
        <v>8140</v>
      </c>
      <c r="I9479" s="6">
        <v>4121.4642855494085</v>
      </c>
      <c r="J9479" s="5">
        <v>31200</v>
      </c>
      <c r="K9479" s="6">
        <f t="shared" ref="K9479:K9513" si="399">+H9479/I9479</f>
        <v>1.9750262130234386</v>
      </c>
    </row>
    <row r="9480" spans="1:11" hidden="1">
      <c r="A9480" s="4">
        <v>2026</v>
      </c>
      <c r="B9480">
        <v>36</v>
      </c>
      <c r="C9480" t="s">
        <v>10</v>
      </c>
      <c r="D9480" t="s">
        <v>11</v>
      </c>
      <c r="E9480" t="s">
        <v>14</v>
      </c>
      <c r="F9480" t="s">
        <v>15</v>
      </c>
      <c r="G9480" t="str">
        <f t="shared" si="398"/>
        <v>004BELLINA</v>
      </c>
      <c r="H9480" s="5">
        <v>1605</v>
      </c>
      <c r="I9480" s="6">
        <v>1056.7857142434418</v>
      </c>
      <c r="J9480" s="5">
        <v>8000</v>
      </c>
      <c r="K9480" s="6">
        <f t="shared" si="399"/>
        <v>1.5187563366609544</v>
      </c>
    </row>
    <row r="9481" spans="1:11" hidden="1">
      <c r="A9481" s="4">
        <v>2026</v>
      </c>
      <c r="B9481">
        <v>36</v>
      </c>
      <c r="C9481" t="s">
        <v>10</v>
      </c>
      <c r="D9481" t="s">
        <v>11</v>
      </c>
      <c r="E9481" t="s">
        <v>16</v>
      </c>
      <c r="F9481" t="s">
        <v>17</v>
      </c>
      <c r="G9481" t="str">
        <f t="shared" si="398"/>
        <v>005ELBA</v>
      </c>
      <c r="H9481" s="5">
        <v>7290</v>
      </c>
      <c r="I9481" s="6">
        <v>2641.9642856076484</v>
      </c>
      <c r="J9481" s="5">
        <v>19996</v>
      </c>
      <c r="K9481" s="6">
        <f t="shared" si="399"/>
        <v>2.7593105780093121</v>
      </c>
    </row>
    <row r="9482" spans="1:11" hidden="1">
      <c r="A9482" s="4">
        <v>2026</v>
      </c>
      <c r="B9482">
        <v>36</v>
      </c>
      <c r="C9482" t="s">
        <v>10</v>
      </c>
      <c r="D9482" t="s">
        <v>11</v>
      </c>
      <c r="E9482" t="s">
        <v>16</v>
      </c>
      <c r="F9482" t="s">
        <v>18</v>
      </c>
      <c r="G9482" t="str">
        <f t="shared" si="398"/>
        <v>005HOT BUBBLES</v>
      </c>
      <c r="H9482" s="5">
        <v>1180</v>
      </c>
      <c r="I9482" s="6">
        <v>528.39285712153003</v>
      </c>
      <c r="J9482" s="5">
        <v>4000</v>
      </c>
      <c r="K9482" s="6">
        <f t="shared" si="399"/>
        <v>2.2331868875521166</v>
      </c>
    </row>
    <row r="9483" spans="1:11" hidden="1">
      <c r="A9483" s="4">
        <v>2026</v>
      </c>
      <c r="B9483">
        <v>36</v>
      </c>
      <c r="C9483" t="s">
        <v>10</v>
      </c>
      <c r="D9483" t="s">
        <v>11</v>
      </c>
      <c r="E9483" t="s">
        <v>16</v>
      </c>
      <c r="F9483" t="s">
        <v>19</v>
      </c>
      <c r="G9483" t="str">
        <f t="shared" si="398"/>
        <v>005SUSPIRO</v>
      </c>
      <c r="H9483" s="5">
        <v>3300</v>
      </c>
      <c r="I9483" s="6">
        <v>1902.2142856375078</v>
      </c>
      <c r="J9483" s="5">
        <v>14400</v>
      </c>
      <c r="K9483" s="6">
        <f t="shared" si="399"/>
        <v>1.7348203222509384</v>
      </c>
    </row>
    <row r="9484" spans="1:11" hidden="1">
      <c r="A9484" s="4">
        <v>2026</v>
      </c>
      <c r="B9484">
        <v>36</v>
      </c>
      <c r="C9484" t="s">
        <v>10</v>
      </c>
      <c r="D9484" t="s">
        <v>11</v>
      </c>
      <c r="E9484" t="s">
        <v>20</v>
      </c>
      <c r="F9484" t="s">
        <v>21</v>
      </c>
      <c r="G9484" t="str">
        <f t="shared" si="398"/>
        <v>007SNOW BUBBLES</v>
      </c>
      <c r="H9484" s="5">
        <v>1140</v>
      </c>
      <c r="I9484" s="6">
        <v>634.05652706821195</v>
      </c>
      <c r="J9484" s="5">
        <v>4800</v>
      </c>
      <c r="K9484" s="6">
        <f t="shared" si="399"/>
        <v>1.7979469516246436</v>
      </c>
    </row>
    <row r="9485" spans="1:11" hidden="1">
      <c r="A9485" s="4">
        <v>2026</v>
      </c>
      <c r="B9485">
        <v>36</v>
      </c>
      <c r="C9485" t="s">
        <v>10</v>
      </c>
      <c r="D9485" t="s">
        <v>11</v>
      </c>
      <c r="E9485" t="s">
        <v>22</v>
      </c>
      <c r="F9485" t="s">
        <v>18</v>
      </c>
      <c r="G9485" t="str">
        <f t="shared" si="398"/>
        <v>009HOT BUBBLES</v>
      </c>
      <c r="H9485" s="5">
        <v>10540</v>
      </c>
      <c r="I9485" s="6">
        <v>4487.9999999102474</v>
      </c>
      <c r="J9485" s="5">
        <v>31740</v>
      </c>
      <c r="K9485" s="6">
        <f t="shared" si="399"/>
        <v>2.3484848485318142</v>
      </c>
    </row>
    <row r="9486" spans="1:11" hidden="1">
      <c r="A9486" s="4">
        <v>2026</v>
      </c>
      <c r="B9486">
        <v>36</v>
      </c>
      <c r="C9486" t="s">
        <v>10</v>
      </c>
      <c r="D9486" t="s">
        <v>11</v>
      </c>
      <c r="E9486" t="s">
        <v>23</v>
      </c>
      <c r="F9486" t="s">
        <v>24</v>
      </c>
      <c r="G9486" t="str">
        <f t="shared" si="398"/>
        <v>014FRUITY BUBBLES</v>
      </c>
      <c r="H9486" s="5">
        <v>2775</v>
      </c>
      <c r="I9486" s="6">
        <v>1702.8</v>
      </c>
      <c r="J9486" s="5">
        <v>12900</v>
      </c>
      <c r="K9486" s="6">
        <f t="shared" si="399"/>
        <v>1.6296687808315715</v>
      </c>
    </row>
    <row r="9487" spans="1:11" hidden="1">
      <c r="A9487" s="4">
        <v>2026</v>
      </c>
      <c r="B9487">
        <v>36</v>
      </c>
      <c r="C9487" t="s">
        <v>10</v>
      </c>
      <c r="D9487" t="s">
        <v>11</v>
      </c>
      <c r="E9487" t="s">
        <v>25</v>
      </c>
      <c r="F9487" t="s">
        <v>26</v>
      </c>
      <c r="G9487" t="str">
        <f t="shared" si="398"/>
        <v>015FELLINI</v>
      </c>
      <c r="H9487" s="5">
        <v>5000</v>
      </c>
      <c r="I9487" s="6">
        <v>3009.6</v>
      </c>
      <c r="J9487" s="5">
        <v>22800</v>
      </c>
      <c r="K9487" s="6">
        <f t="shared" si="399"/>
        <v>1.661350345560872</v>
      </c>
    </row>
    <row r="9488" spans="1:11" hidden="1">
      <c r="A9488" s="4">
        <v>2026</v>
      </c>
      <c r="B9488">
        <v>36</v>
      </c>
      <c r="C9488" t="s">
        <v>10</v>
      </c>
      <c r="D9488" t="s">
        <v>11</v>
      </c>
      <c r="E9488" t="s">
        <v>27</v>
      </c>
      <c r="F9488" t="s">
        <v>28</v>
      </c>
      <c r="G9488" t="str">
        <f t="shared" si="398"/>
        <v>016GOOD PEACH</v>
      </c>
      <c r="H9488" s="5">
        <v>3840</v>
      </c>
      <c r="I9488" s="6">
        <v>1386</v>
      </c>
      <c r="J9488" s="5">
        <v>10500</v>
      </c>
      <c r="K9488" s="6">
        <f t="shared" si="399"/>
        <v>2.7705627705627704</v>
      </c>
    </row>
    <row r="9489" spans="1:11" hidden="1">
      <c r="A9489" s="4">
        <v>2026</v>
      </c>
      <c r="B9489">
        <v>36</v>
      </c>
      <c r="C9489" t="s">
        <v>10</v>
      </c>
      <c r="D9489" t="s">
        <v>11</v>
      </c>
      <c r="E9489" t="s">
        <v>27</v>
      </c>
      <c r="F9489" t="s">
        <v>29</v>
      </c>
      <c r="G9489" t="str">
        <f t="shared" si="398"/>
        <v>016GOOD YELLOW</v>
      </c>
      <c r="H9489" s="5">
        <v>3660</v>
      </c>
      <c r="I9489" s="6">
        <v>1386</v>
      </c>
      <c r="J9489" s="5">
        <v>10500</v>
      </c>
      <c r="K9489" s="6">
        <f t="shared" si="399"/>
        <v>2.6406926406926408</v>
      </c>
    </row>
    <row r="9490" spans="1:11" hidden="1">
      <c r="A9490" s="4">
        <v>2026</v>
      </c>
      <c r="B9490">
        <v>36</v>
      </c>
      <c r="C9490" t="s">
        <v>10</v>
      </c>
      <c r="D9490" t="s">
        <v>11</v>
      </c>
      <c r="E9490" t="s">
        <v>30</v>
      </c>
      <c r="F9490" t="s">
        <v>31</v>
      </c>
      <c r="G9490" t="str">
        <f t="shared" si="398"/>
        <v>017ORANGE STAR</v>
      </c>
      <c r="H9490" s="5">
        <v>1075</v>
      </c>
      <c r="I9490" s="6">
        <v>1029.5999999999999</v>
      </c>
      <c r="J9490" s="5">
        <v>7800</v>
      </c>
      <c r="K9490" s="6">
        <f t="shared" si="399"/>
        <v>1.0440947940947942</v>
      </c>
    </row>
    <row r="9491" spans="1:11" hidden="1">
      <c r="A9491" s="4">
        <v>2026</v>
      </c>
      <c r="B9491">
        <v>36</v>
      </c>
      <c r="C9491" t="s">
        <v>10</v>
      </c>
      <c r="D9491" t="s">
        <v>11</v>
      </c>
      <c r="E9491" t="s">
        <v>32</v>
      </c>
      <c r="F9491" t="s">
        <v>33</v>
      </c>
      <c r="G9491" t="str">
        <f t="shared" si="398"/>
        <v>018COSMO</v>
      </c>
      <c r="H9491" s="5">
        <v>3375</v>
      </c>
      <c r="I9491" s="6">
        <v>2653.2</v>
      </c>
      <c r="J9491" s="5">
        <v>20100</v>
      </c>
      <c r="K9491" s="6">
        <f t="shared" si="399"/>
        <v>1.2720488466757125</v>
      </c>
    </row>
    <row r="9492" spans="1:11" hidden="1">
      <c r="A9492" s="4">
        <v>2026</v>
      </c>
      <c r="B9492">
        <v>36</v>
      </c>
      <c r="C9492" t="s">
        <v>10</v>
      </c>
      <c r="D9492" t="s">
        <v>11</v>
      </c>
      <c r="E9492" t="s">
        <v>32</v>
      </c>
      <c r="F9492" t="s">
        <v>34</v>
      </c>
      <c r="G9492" t="str">
        <f t="shared" si="398"/>
        <v>018RUBICON</v>
      </c>
      <c r="H9492" s="5">
        <v>4680</v>
      </c>
      <c r="I9492" s="6">
        <v>1768.8</v>
      </c>
      <c r="J9492" s="5">
        <v>13400</v>
      </c>
      <c r="K9492" s="6">
        <f t="shared" si="399"/>
        <v>2.6458616010854819</v>
      </c>
    </row>
    <row r="9493" spans="1:11" hidden="1">
      <c r="A9493" s="4">
        <v>2026</v>
      </c>
      <c r="B9493">
        <v>36</v>
      </c>
      <c r="C9493" t="s">
        <v>10</v>
      </c>
      <c r="D9493" t="s">
        <v>11</v>
      </c>
      <c r="E9493" t="s">
        <v>35</v>
      </c>
      <c r="F9493" t="s">
        <v>15</v>
      </c>
      <c r="G9493" t="str">
        <f t="shared" si="398"/>
        <v>019BELLINA</v>
      </c>
      <c r="H9493" s="5">
        <v>1125</v>
      </c>
      <c r="I9493" s="6">
        <v>1029.5999999999999</v>
      </c>
      <c r="J9493" s="5">
        <v>7800</v>
      </c>
      <c r="K9493" s="6">
        <f t="shared" si="399"/>
        <v>1.0926573426573427</v>
      </c>
    </row>
    <row r="9494" spans="1:11" hidden="1">
      <c r="A9494" s="4">
        <v>2026</v>
      </c>
      <c r="B9494">
        <v>36</v>
      </c>
      <c r="C9494" t="s">
        <v>10</v>
      </c>
      <c r="D9494" t="s">
        <v>11</v>
      </c>
      <c r="E9494" t="s">
        <v>36</v>
      </c>
      <c r="F9494" t="s">
        <v>37</v>
      </c>
      <c r="G9494" t="str">
        <f t="shared" si="398"/>
        <v>020SUMMER DANCE</v>
      </c>
      <c r="H9494" s="5">
        <v>2475</v>
      </c>
      <c r="I9494" s="6">
        <v>1346.4</v>
      </c>
      <c r="J9494" s="5">
        <v>10200</v>
      </c>
      <c r="K9494" s="6">
        <f t="shared" si="399"/>
        <v>1.838235294117647</v>
      </c>
    </row>
    <row r="9495" spans="1:11" hidden="1">
      <c r="A9495" s="4">
        <v>2026</v>
      </c>
      <c r="B9495">
        <v>36</v>
      </c>
      <c r="C9495" t="s">
        <v>10</v>
      </c>
      <c r="D9495" t="s">
        <v>11</v>
      </c>
      <c r="E9495" t="s">
        <v>38</v>
      </c>
      <c r="F9495" t="s">
        <v>39</v>
      </c>
      <c r="G9495" t="str">
        <f t="shared" si="398"/>
        <v>021ELEGANT ROSEVER</v>
      </c>
      <c r="H9495" s="5">
        <v>420</v>
      </c>
      <c r="I9495" s="6">
        <v>440.18999062500001</v>
      </c>
      <c r="J9495" s="5">
        <v>3200</v>
      </c>
      <c r="K9495" s="6">
        <f t="shared" si="399"/>
        <v>0.95413346269792865</v>
      </c>
    </row>
    <row r="9496" spans="1:11" hidden="1">
      <c r="A9496" s="4">
        <v>2026</v>
      </c>
      <c r="B9496">
        <v>36</v>
      </c>
      <c r="C9496" t="s">
        <v>10</v>
      </c>
      <c r="D9496" t="s">
        <v>11</v>
      </c>
      <c r="E9496" t="s">
        <v>38</v>
      </c>
      <c r="F9496" t="s">
        <v>40</v>
      </c>
      <c r="G9496" t="str">
        <f t="shared" si="398"/>
        <v>021FLAME CLUB</v>
      </c>
      <c r="H9496" s="5">
        <v>1575</v>
      </c>
      <c r="I9496" s="6">
        <v>880.38</v>
      </c>
      <c r="J9496" s="5">
        <v>6400</v>
      </c>
      <c r="K9496" s="6">
        <f t="shared" si="399"/>
        <v>1.7890002044571662</v>
      </c>
    </row>
    <row r="9497" spans="1:11" hidden="1">
      <c r="A9497" s="4">
        <v>2026</v>
      </c>
      <c r="B9497">
        <v>36</v>
      </c>
      <c r="C9497" t="s">
        <v>10</v>
      </c>
      <c r="D9497" t="s">
        <v>11</v>
      </c>
      <c r="E9497" t="s">
        <v>38</v>
      </c>
      <c r="F9497" t="s">
        <v>41</v>
      </c>
      <c r="G9497" t="str">
        <f t="shared" si="398"/>
        <v>021KELLY</v>
      </c>
      <c r="H9497" s="5">
        <v>550</v>
      </c>
      <c r="I9497" s="6">
        <v>330.14249999999998</v>
      </c>
      <c r="J9497" s="5">
        <v>2400</v>
      </c>
      <c r="K9497" s="6">
        <f t="shared" si="399"/>
        <v>1.6659472803410649</v>
      </c>
    </row>
    <row r="9498" spans="1:11" hidden="1">
      <c r="A9498" s="4">
        <v>2026</v>
      </c>
      <c r="B9498">
        <v>36</v>
      </c>
      <c r="C9498" t="s">
        <v>10</v>
      </c>
      <c r="D9498" t="s">
        <v>11</v>
      </c>
      <c r="E9498" t="s">
        <v>38</v>
      </c>
      <c r="F9498" t="s">
        <v>42</v>
      </c>
      <c r="G9498" t="str">
        <f t="shared" si="398"/>
        <v>021LEILA</v>
      </c>
      <c r="H9498" s="5">
        <v>2725</v>
      </c>
      <c r="I9498" s="6">
        <v>1650.7125000000001</v>
      </c>
      <c r="J9498" s="5">
        <v>12000</v>
      </c>
      <c r="K9498" s="6">
        <f t="shared" si="399"/>
        <v>1.650802305065237</v>
      </c>
    </row>
    <row r="9499" spans="1:11" hidden="1">
      <c r="A9499" s="4">
        <v>2026</v>
      </c>
      <c r="B9499">
        <v>36</v>
      </c>
      <c r="C9499" t="s">
        <v>10</v>
      </c>
      <c r="D9499" t="s">
        <v>11</v>
      </c>
      <c r="E9499" t="s">
        <v>38</v>
      </c>
      <c r="F9499" t="s">
        <v>21</v>
      </c>
      <c r="G9499" t="str">
        <f t="shared" si="398"/>
        <v>021SNOW BUBBLES</v>
      </c>
      <c r="H9499" s="5">
        <v>2480</v>
      </c>
      <c r="I9499" s="6">
        <v>1287.0000000000018</v>
      </c>
      <c r="J9499" s="5">
        <v>9400</v>
      </c>
      <c r="K9499" s="6">
        <f t="shared" si="399"/>
        <v>1.9269619269619243</v>
      </c>
    </row>
    <row r="9500" spans="1:11" hidden="1">
      <c r="A9500" s="4">
        <v>2026</v>
      </c>
      <c r="B9500">
        <v>36</v>
      </c>
      <c r="C9500" t="s">
        <v>10</v>
      </c>
      <c r="D9500" t="s">
        <v>11</v>
      </c>
      <c r="E9500" t="s">
        <v>43</v>
      </c>
      <c r="F9500" t="s">
        <v>24</v>
      </c>
      <c r="G9500" t="str">
        <f t="shared" si="398"/>
        <v>022FRUITY BUBBLES</v>
      </c>
      <c r="H9500" s="5">
        <v>3350</v>
      </c>
      <c r="I9500" s="6">
        <v>2641.14</v>
      </c>
      <c r="J9500" s="5">
        <v>19200</v>
      </c>
      <c r="K9500" s="6">
        <f t="shared" si="399"/>
        <v>1.2683916793505836</v>
      </c>
    </row>
    <row r="9501" spans="1:11" hidden="1">
      <c r="A9501" s="4">
        <v>2026</v>
      </c>
      <c r="B9501">
        <v>36</v>
      </c>
      <c r="C9501" t="s">
        <v>10</v>
      </c>
      <c r="D9501" t="s">
        <v>11</v>
      </c>
      <c r="E9501" t="s">
        <v>43</v>
      </c>
      <c r="F9501" t="s">
        <v>28</v>
      </c>
      <c r="G9501" t="str">
        <f t="shared" si="398"/>
        <v>022GOOD PEACH</v>
      </c>
      <c r="H9501" s="5">
        <v>1920</v>
      </c>
      <c r="I9501" s="6">
        <v>880.38</v>
      </c>
      <c r="J9501" s="5">
        <v>6400</v>
      </c>
      <c r="K9501" s="6">
        <f t="shared" si="399"/>
        <v>2.1808764397192122</v>
      </c>
    </row>
    <row r="9502" spans="1:11" hidden="1">
      <c r="A9502" s="4">
        <v>2026</v>
      </c>
      <c r="B9502">
        <v>36</v>
      </c>
      <c r="C9502" t="s">
        <v>10</v>
      </c>
      <c r="D9502" t="s">
        <v>11</v>
      </c>
      <c r="E9502" t="s">
        <v>43</v>
      </c>
      <c r="F9502" t="s">
        <v>44</v>
      </c>
      <c r="G9502" t="str">
        <f t="shared" si="398"/>
        <v>022MIRABEL</v>
      </c>
      <c r="H9502" s="5">
        <v>1500</v>
      </c>
      <c r="I9502" s="6">
        <v>880.38</v>
      </c>
      <c r="J9502" s="5">
        <v>6400</v>
      </c>
      <c r="K9502" s="6">
        <f t="shared" si="399"/>
        <v>1.7038097185306345</v>
      </c>
    </row>
    <row r="9503" spans="1:11" hidden="1">
      <c r="A9503" s="4">
        <v>2026</v>
      </c>
      <c r="B9503">
        <v>36</v>
      </c>
      <c r="C9503" t="s">
        <v>10</v>
      </c>
      <c r="D9503" t="s">
        <v>11</v>
      </c>
      <c r="E9503" t="s">
        <v>45</v>
      </c>
      <c r="F9503" t="s">
        <v>46</v>
      </c>
      <c r="G9503" t="str">
        <f t="shared" si="398"/>
        <v>026PURPLE BUBBLY</v>
      </c>
      <c r="H9503" s="5">
        <v>400</v>
      </c>
      <c r="I9503" s="6">
        <v>1755.4</v>
      </c>
      <c r="J9503" s="5">
        <v>12800</v>
      </c>
      <c r="K9503" s="6">
        <f t="shared" si="399"/>
        <v>0.22786829212715048</v>
      </c>
    </row>
    <row r="9504" spans="1:11" hidden="1">
      <c r="A9504" s="4">
        <v>2026</v>
      </c>
      <c r="B9504">
        <v>36</v>
      </c>
      <c r="C9504" t="s">
        <v>10</v>
      </c>
      <c r="D9504" t="s">
        <v>11</v>
      </c>
      <c r="E9504" t="s">
        <v>47</v>
      </c>
      <c r="F9504" t="s">
        <v>44</v>
      </c>
      <c r="G9504" t="str">
        <f t="shared" si="398"/>
        <v>030MIRABEL</v>
      </c>
      <c r="H9504" s="5">
        <v>5440</v>
      </c>
      <c r="I9504" s="6">
        <v>2413.6749943750001</v>
      </c>
      <c r="J9504" s="5">
        <v>17600</v>
      </c>
      <c r="K9504" s="6">
        <f t="shared" si="399"/>
        <v>2.2538245673828343</v>
      </c>
    </row>
    <row r="9505" spans="1:11" hidden="1">
      <c r="A9505" s="4">
        <v>2026</v>
      </c>
      <c r="B9505">
        <v>36</v>
      </c>
      <c r="C9505" t="s">
        <v>10</v>
      </c>
      <c r="D9505" t="s">
        <v>11</v>
      </c>
      <c r="E9505" t="s">
        <v>47</v>
      </c>
      <c r="F9505" t="s">
        <v>13</v>
      </c>
      <c r="G9505" t="str">
        <f t="shared" si="398"/>
        <v>030SOMERSET</v>
      </c>
      <c r="H9505" s="5">
        <v>3080</v>
      </c>
      <c r="I9505" s="6">
        <v>1645.6875</v>
      </c>
      <c r="J9505" s="5">
        <v>12000</v>
      </c>
      <c r="K9505" s="6">
        <f t="shared" si="399"/>
        <v>1.8715582393376629</v>
      </c>
    </row>
    <row r="9506" spans="1:11" hidden="1">
      <c r="A9506" s="4">
        <v>2026</v>
      </c>
      <c r="B9506">
        <v>36</v>
      </c>
      <c r="C9506" t="s">
        <v>10</v>
      </c>
      <c r="D9506" t="s">
        <v>11</v>
      </c>
      <c r="E9506" t="s">
        <v>48</v>
      </c>
      <c r="F9506" t="s">
        <v>49</v>
      </c>
      <c r="G9506" t="str">
        <f t="shared" si="398"/>
        <v>03182989</v>
      </c>
      <c r="H9506" s="5">
        <v>3000</v>
      </c>
      <c r="I9506" s="6">
        <v>726.32013058333712</v>
      </c>
      <c r="J9506" s="5">
        <v>5712</v>
      </c>
      <c r="K9506" s="6">
        <f t="shared" si="399"/>
        <v>4.1304100956014791</v>
      </c>
    </row>
    <row r="9507" spans="1:11" hidden="1">
      <c r="A9507" s="4">
        <v>2026</v>
      </c>
      <c r="B9507">
        <v>36</v>
      </c>
      <c r="C9507" t="s">
        <v>10</v>
      </c>
      <c r="D9507" t="s">
        <v>11</v>
      </c>
      <c r="E9507" t="s">
        <v>48</v>
      </c>
      <c r="F9507" t="s">
        <v>34</v>
      </c>
      <c r="G9507" t="str">
        <f t="shared" si="398"/>
        <v>031RUBICON</v>
      </c>
      <c r="H9507" s="5">
        <v>2160</v>
      </c>
      <c r="I9507" s="6">
        <v>924.39958333667107</v>
      </c>
      <c r="J9507" s="5">
        <v>6720</v>
      </c>
      <c r="K9507" s="6">
        <f t="shared" si="399"/>
        <v>2.3366518537398746</v>
      </c>
    </row>
    <row r="9508" spans="1:11" hidden="1">
      <c r="A9508" s="4">
        <v>2026</v>
      </c>
      <c r="B9508">
        <v>36</v>
      </c>
      <c r="C9508" t="s">
        <v>10</v>
      </c>
      <c r="D9508" t="s">
        <v>11</v>
      </c>
      <c r="E9508" t="s">
        <v>48</v>
      </c>
      <c r="F9508" t="s">
        <v>13</v>
      </c>
      <c r="G9508" t="str">
        <f t="shared" si="398"/>
        <v>031SOMERSET</v>
      </c>
      <c r="H9508" s="5">
        <v>3560</v>
      </c>
      <c r="I9508" s="6">
        <v>1122.485208333339</v>
      </c>
      <c r="J9508" s="5">
        <v>8160</v>
      </c>
      <c r="K9508" s="6">
        <f t="shared" si="399"/>
        <v>3.1715339975712218</v>
      </c>
    </row>
    <row r="9509" spans="1:11" hidden="1">
      <c r="A9509" s="4">
        <v>2026</v>
      </c>
      <c r="B9509">
        <v>36</v>
      </c>
      <c r="C9509" t="s">
        <v>10</v>
      </c>
      <c r="D9509" t="s">
        <v>11</v>
      </c>
      <c r="E9509" t="s">
        <v>48</v>
      </c>
      <c r="F9509" t="s">
        <v>50</v>
      </c>
      <c r="G9509" t="str">
        <f t="shared" si="398"/>
        <v>031VELVET BLOSSOMS</v>
      </c>
      <c r="H9509" s="5">
        <v>760</v>
      </c>
      <c r="I9509" s="6">
        <v>396.17125000000198</v>
      </c>
      <c r="J9509" s="5">
        <v>2880</v>
      </c>
      <c r="K9509" s="6">
        <f t="shared" si="399"/>
        <v>1.9183623243736041</v>
      </c>
    </row>
    <row r="9510" spans="1:11" hidden="1">
      <c r="A9510" s="4">
        <v>2026</v>
      </c>
      <c r="B9510">
        <v>36</v>
      </c>
      <c r="C9510" t="s">
        <v>10</v>
      </c>
      <c r="D9510" t="s">
        <v>11</v>
      </c>
      <c r="E9510" t="s">
        <v>51</v>
      </c>
      <c r="F9510" t="s">
        <v>17</v>
      </c>
      <c r="G9510" t="str">
        <f t="shared" si="398"/>
        <v>032ELBA</v>
      </c>
      <c r="H9510" s="5">
        <v>4080</v>
      </c>
      <c r="I9510" s="6">
        <v>1535.9749999999999</v>
      </c>
      <c r="J9510" s="5">
        <v>11200</v>
      </c>
      <c r="K9510" s="6">
        <f t="shared" si="399"/>
        <v>2.6562932339393548</v>
      </c>
    </row>
    <row r="9511" spans="1:11" hidden="1">
      <c r="A9511" s="4">
        <v>2026</v>
      </c>
      <c r="B9511">
        <v>36</v>
      </c>
      <c r="C9511" t="s">
        <v>10</v>
      </c>
      <c r="D9511" t="s">
        <v>11</v>
      </c>
      <c r="E9511" t="s">
        <v>51</v>
      </c>
      <c r="F9511" t="s">
        <v>44</v>
      </c>
      <c r="G9511" t="str">
        <f t="shared" si="398"/>
        <v>032MIRABEL</v>
      </c>
      <c r="H9511" s="5">
        <v>2080</v>
      </c>
      <c r="I9511" s="6">
        <v>1535.9749999999999</v>
      </c>
      <c r="J9511" s="5">
        <v>11200</v>
      </c>
      <c r="K9511" s="6">
        <f t="shared" si="399"/>
        <v>1.3541887074984946</v>
      </c>
    </row>
    <row r="9512" spans="1:11" hidden="1">
      <c r="A9512" s="4">
        <v>2026</v>
      </c>
      <c r="B9512">
        <v>36</v>
      </c>
      <c r="C9512" t="s">
        <v>10</v>
      </c>
      <c r="D9512" t="s">
        <v>11</v>
      </c>
      <c r="E9512" t="s">
        <v>52</v>
      </c>
      <c r="F9512" t="s">
        <v>53</v>
      </c>
      <c r="G9512" t="str">
        <f t="shared" si="398"/>
        <v>033CREAMY FOLIES</v>
      </c>
      <c r="H9512" s="5">
        <v>1530</v>
      </c>
      <c r="I9512" s="6">
        <v>594.25687500000299</v>
      </c>
      <c r="J9512" s="5">
        <v>4320</v>
      </c>
      <c r="K9512" s="6">
        <f t="shared" si="399"/>
        <v>2.5746441721856264</v>
      </c>
    </row>
    <row r="9513" spans="1:11" hidden="1">
      <c r="A9513" s="4">
        <v>2026</v>
      </c>
      <c r="B9513">
        <v>36</v>
      </c>
      <c r="C9513" t="s">
        <v>10</v>
      </c>
      <c r="D9513" t="s">
        <v>11</v>
      </c>
      <c r="E9513" t="s">
        <v>52</v>
      </c>
      <c r="F9513" t="s">
        <v>18</v>
      </c>
      <c r="G9513" t="str">
        <f t="shared" si="398"/>
        <v>033HOT BUBBLES</v>
      </c>
      <c r="H9513" s="5">
        <v>4500</v>
      </c>
      <c r="I9513" s="6">
        <v>2575.1131250013459</v>
      </c>
      <c r="J9513" s="5">
        <v>18720</v>
      </c>
      <c r="K9513" s="6">
        <f t="shared" si="399"/>
        <v>1.7474960444689778</v>
      </c>
    </row>
    <row r="9514" spans="1:11" hidden="1">
      <c r="A9514" s="4">
        <v>2026</v>
      </c>
      <c r="B9514">
        <v>36</v>
      </c>
      <c r="C9514" t="s">
        <v>54</v>
      </c>
      <c r="D9514" t="s">
        <v>11</v>
      </c>
      <c r="E9514" t="s">
        <v>55</v>
      </c>
      <c r="F9514" t="s">
        <v>56</v>
      </c>
      <c r="G9514" t="str">
        <f t="shared" si="398"/>
        <v>001BELIEVE IN PINK</v>
      </c>
      <c r="H9514" s="5">
        <v>1380</v>
      </c>
      <c r="I9514" s="6">
        <v>528.37931032368999</v>
      </c>
      <c r="J9514" s="5">
        <v>4000</v>
      </c>
      <c r="K9514" s="6">
        <f t="shared" ref="K9514:K9520" si="400">IFERROR(H9514/I9514,"")</f>
        <v>2.6117600993017676</v>
      </c>
    </row>
    <row r="9515" spans="1:11" hidden="1">
      <c r="A9515" s="4">
        <v>2026</v>
      </c>
      <c r="B9515">
        <v>36</v>
      </c>
      <c r="C9515" t="s">
        <v>54</v>
      </c>
      <c r="D9515" t="s">
        <v>11</v>
      </c>
      <c r="E9515" t="s">
        <v>55</v>
      </c>
      <c r="F9515" t="s">
        <v>57</v>
      </c>
      <c r="G9515" t="str">
        <f t="shared" si="398"/>
        <v>001EXPLORER</v>
      </c>
      <c r="H9515" s="5">
        <v>3000</v>
      </c>
      <c r="I9515" s="6">
        <v>2272.0310343918732</v>
      </c>
      <c r="J9515" s="5">
        <v>17200</v>
      </c>
      <c r="K9515" s="6">
        <f t="shared" si="400"/>
        <v>1.3204044991414361</v>
      </c>
    </row>
    <row r="9516" spans="1:11" hidden="1">
      <c r="A9516" s="4">
        <v>2026</v>
      </c>
      <c r="B9516">
        <v>36</v>
      </c>
      <c r="C9516" t="s">
        <v>54</v>
      </c>
      <c r="D9516" t="s">
        <v>11</v>
      </c>
      <c r="E9516" t="s">
        <v>55</v>
      </c>
      <c r="F9516" t="s">
        <v>58</v>
      </c>
      <c r="G9516" t="str">
        <f t="shared" si="398"/>
        <v>001GRACE KELLY</v>
      </c>
      <c r="H9516" s="5">
        <v>1560</v>
      </c>
      <c r="I9516" s="6">
        <v>1162.4344827121224</v>
      </c>
      <c r="J9516" s="5">
        <v>8800</v>
      </c>
      <c r="K9516" s="6">
        <f t="shared" si="400"/>
        <v>1.3420111182182943</v>
      </c>
    </row>
    <row r="9517" spans="1:11" hidden="1">
      <c r="A9517" s="4">
        <v>2026</v>
      </c>
      <c r="B9517">
        <v>36</v>
      </c>
      <c r="C9517" t="s">
        <v>54</v>
      </c>
      <c r="D9517" t="s">
        <v>11</v>
      </c>
      <c r="E9517" t="s">
        <v>55</v>
      </c>
      <c r="F9517" t="s">
        <v>59</v>
      </c>
      <c r="G9517" t="str">
        <f t="shared" si="398"/>
        <v>001IDOLE</v>
      </c>
      <c r="H9517" s="5">
        <v>735</v>
      </c>
      <c r="I9517" s="6">
        <v>1162.4344827121181</v>
      </c>
      <c r="J9517" s="5">
        <v>8800</v>
      </c>
      <c r="K9517" s="6">
        <f t="shared" si="400"/>
        <v>0.63229369992977569</v>
      </c>
    </row>
    <row r="9518" spans="1:11" hidden="1">
      <c r="A9518" s="4">
        <v>2026</v>
      </c>
      <c r="B9518">
        <v>36</v>
      </c>
      <c r="C9518" t="s">
        <v>54</v>
      </c>
      <c r="D9518" t="s">
        <v>11</v>
      </c>
      <c r="E9518" t="s">
        <v>55</v>
      </c>
      <c r="F9518" t="s">
        <v>60</v>
      </c>
      <c r="G9518" t="str">
        <f t="shared" si="398"/>
        <v>001LIGHT HOUSE</v>
      </c>
      <c r="H9518" s="5">
        <v>930</v>
      </c>
      <c r="I9518" s="6">
        <v>1056.7586206473827</v>
      </c>
      <c r="J9518" s="5">
        <v>8000</v>
      </c>
      <c r="K9518" s="6">
        <f t="shared" si="400"/>
        <v>0.88004959867776722</v>
      </c>
    </row>
    <row r="9519" spans="1:11" hidden="1">
      <c r="A9519" s="4">
        <v>2026</v>
      </c>
      <c r="B9519">
        <v>36</v>
      </c>
      <c r="C9519" t="s">
        <v>54</v>
      </c>
      <c r="D9519" t="s">
        <v>11</v>
      </c>
      <c r="E9519" t="s">
        <v>55</v>
      </c>
      <c r="F9519" t="s">
        <v>61</v>
      </c>
      <c r="G9519" t="str">
        <f t="shared" si="398"/>
        <v>001LUMIA</v>
      </c>
      <c r="H9519" s="5">
        <v>1530</v>
      </c>
      <c r="I9519" s="6">
        <v>1109.596551679753</v>
      </c>
      <c r="J9519" s="5">
        <v>8400</v>
      </c>
      <c r="K9519" s="6">
        <f t="shared" si="400"/>
        <v>1.3788795555319839</v>
      </c>
    </row>
    <row r="9520" spans="1:11" hidden="1">
      <c r="A9520" s="4">
        <v>2026</v>
      </c>
      <c r="B9520">
        <v>36</v>
      </c>
      <c r="C9520" t="s">
        <v>54</v>
      </c>
      <c r="D9520" t="s">
        <v>11</v>
      </c>
      <c r="E9520" t="s">
        <v>55</v>
      </c>
      <c r="F9520" t="s">
        <v>62</v>
      </c>
      <c r="G9520" t="str">
        <f t="shared" si="398"/>
        <v>001MOMENTUM</v>
      </c>
      <c r="H9520" s="5">
        <v>3075</v>
      </c>
      <c r="I9520" s="6">
        <v>1902.1655171652881</v>
      </c>
      <c r="J9520" s="5">
        <v>14400</v>
      </c>
      <c r="K9520" s="6">
        <f t="shared" si="400"/>
        <v>1.6165785638794119</v>
      </c>
    </row>
    <row r="9521" spans="1:11" hidden="1">
      <c r="A9521" s="4">
        <v>2026</v>
      </c>
      <c r="B9521">
        <v>36</v>
      </c>
      <c r="C9521" t="s">
        <v>54</v>
      </c>
      <c r="D9521" t="s">
        <v>11</v>
      </c>
      <c r="E9521" t="s">
        <v>12</v>
      </c>
      <c r="F9521" t="s">
        <v>63</v>
      </c>
      <c r="G9521" t="str">
        <f t="shared" si="398"/>
        <v>002SUMMER ROMANCE</v>
      </c>
      <c r="H9521" s="5">
        <v>1650</v>
      </c>
      <c r="I9521" s="6">
        <v>951.10714281909407</v>
      </c>
      <c r="J9521" s="5">
        <v>7200</v>
      </c>
      <c r="K9521" s="6">
        <f t="shared" ref="K9521:K9584" si="401">+H9521/I9521</f>
        <v>1.734820322250318</v>
      </c>
    </row>
    <row r="9522" spans="1:11" hidden="1">
      <c r="A9522" s="4">
        <v>2026</v>
      </c>
      <c r="B9522">
        <v>36</v>
      </c>
      <c r="C9522" t="s">
        <v>54</v>
      </c>
      <c r="D9522" t="s">
        <v>11</v>
      </c>
      <c r="E9522" t="s">
        <v>12</v>
      </c>
      <c r="F9522" t="s">
        <v>64</v>
      </c>
      <c r="G9522" t="str">
        <f t="shared" si="398"/>
        <v>002SWEETNESS</v>
      </c>
      <c r="H9522" s="5">
        <v>6000</v>
      </c>
      <c r="I9522" s="6">
        <v>3804.4285712763772</v>
      </c>
      <c r="J9522" s="5">
        <v>28800</v>
      </c>
      <c r="K9522" s="6">
        <f t="shared" si="401"/>
        <v>1.5771093838639252</v>
      </c>
    </row>
    <row r="9523" spans="1:11" hidden="1">
      <c r="A9523" s="4">
        <v>2026</v>
      </c>
      <c r="B9523">
        <v>36</v>
      </c>
      <c r="C9523" t="s">
        <v>54</v>
      </c>
      <c r="D9523" t="s">
        <v>11</v>
      </c>
      <c r="E9523" t="s">
        <v>65</v>
      </c>
      <c r="F9523" t="s">
        <v>66</v>
      </c>
      <c r="G9523" t="str">
        <f t="shared" si="398"/>
        <v>003CABARET</v>
      </c>
      <c r="H9523" s="5">
        <v>4830</v>
      </c>
      <c r="I9523" s="6">
        <v>2641.8965516184649</v>
      </c>
      <c r="J9523" s="5">
        <v>20000</v>
      </c>
      <c r="K9523" s="6">
        <f t="shared" si="401"/>
        <v>1.8282320695112269</v>
      </c>
    </row>
    <row r="9524" spans="1:11" hidden="1">
      <c r="A9524" s="4">
        <v>2026</v>
      </c>
      <c r="B9524">
        <v>36</v>
      </c>
      <c r="C9524" t="s">
        <v>54</v>
      </c>
      <c r="D9524" t="s">
        <v>11</v>
      </c>
      <c r="E9524" t="s">
        <v>65</v>
      </c>
      <c r="F9524" t="s">
        <v>67</v>
      </c>
      <c r="G9524" t="str">
        <f t="shared" si="398"/>
        <v>003DEEP PURPLE</v>
      </c>
      <c r="H9524" s="5">
        <v>6450</v>
      </c>
      <c r="I9524" s="6">
        <v>3592.9793102010913</v>
      </c>
      <c r="J9524" s="5">
        <v>26044</v>
      </c>
      <c r="K9524" s="6">
        <f t="shared" si="401"/>
        <v>1.7951675874356781</v>
      </c>
    </row>
    <row r="9525" spans="1:11" hidden="1">
      <c r="A9525" s="4">
        <v>2026</v>
      </c>
      <c r="B9525">
        <v>36</v>
      </c>
      <c r="C9525" t="s">
        <v>54</v>
      </c>
      <c r="D9525" t="s">
        <v>11</v>
      </c>
      <c r="E9525" t="s">
        <v>65</v>
      </c>
      <c r="F9525" t="s">
        <v>57</v>
      </c>
      <c r="G9525" t="str">
        <f t="shared" si="398"/>
        <v>003EXPLORER</v>
      </c>
      <c r="H9525" s="5">
        <v>2100</v>
      </c>
      <c r="I9525" s="6">
        <v>1268.1103447768633</v>
      </c>
      <c r="J9525" s="5">
        <v>9600</v>
      </c>
      <c r="K9525" s="6">
        <f t="shared" si="401"/>
        <v>1.6560073093398793</v>
      </c>
    </row>
    <row r="9526" spans="1:11" hidden="1">
      <c r="A9526" s="4">
        <v>2026</v>
      </c>
      <c r="B9526">
        <v>36</v>
      </c>
      <c r="C9526" t="s">
        <v>54</v>
      </c>
      <c r="D9526" t="s">
        <v>11</v>
      </c>
      <c r="E9526" t="s">
        <v>65</v>
      </c>
      <c r="F9526" t="s">
        <v>68</v>
      </c>
      <c r="G9526" t="str">
        <f t="shared" si="398"/>
        <v>003JOCKER</v>
      </c>
      <c r="H9526" s="5">
        <v>750</v>
      </c>
      <c r="I9526" s="6">
        <v>528.37931032368999</v>
      </c>
      <c r="J9526" s="5">
        <v>4000</v>
      </c>
      <c r="K9526" s="6">
        <f t="shared" si="401"/>
        <v>1.4194348365770475</v>
      </c>
    </row>
    <row r="9527" spans="1:11" hidden="1">
      <c r="A9527" s="4">
        <v>2026</v>
      </c>
      <c r="B9527">
        <v>36</v>
      </c>
      <c r="C9527" t="s">
        <v>54</v>
      </c>
      <c r="D9527" t="s">
        <v>11</v>
      </c>
      <c r="E9527" t="s">
        <v>65</v>
      </c>
      <c r="F9527" t="s">
        <v>69</v>
      </c>
      <c r="G9527" t="str">
        <f t="shared" si="398"/>
        <v>003QUICKSAND</v>
      </c>
      <c r="H9527" s="5">
        <v>1440</v>
      </c>
      <c r="I9527" s="6">
        <v>1162.4344827121247</v>
      </c>
      <c r="J9527" s="5">
        <v>8800</v>
      </c>
      <c r="K9527" s="6">
        <f t="shared" si="401"/>
        <v>1.2387794937399617</v>
      </c>
    </row>
    <row r="9528" spans="1:11" hidden="1">
      <c r="A9528" s="4">
        <v>2026</v>
      </c>
      <c r="B9528">
        <v>36</v>
      </c>
      <c r="C9528" t="s">
        <v>54</v>
      </c>
      <c r="D9528" t="s">
        <v>11</v>
      </c>
      <c r="E9528" t="s">
        <v>14</v>
      </c>
      <c r="F9528" t="s">
        <v>70</v>
      </c>
      <c r="G9528" t="str">
        <f t="shared" si="398"/>
        <v>004COTOPAXI</v>
      </c>
      <c r="H9528" s="5">
        <v>1920</v>
      </c>
      <c r="I9528" s="6">
        <v>528.3915024419166</v>
      </c>
      <c r="J9528" s="5">
        <v>4000</v>
      </c>
      <c r="K9528" s="6">
        <f t="shared" si="401"/>
        <v>3.6336693363289956</v>
      </c>
    </row>
    <row r="9529" spans="1:11" hidden="1">
      <c r="A9529" s="4">
        <v>2026</v>
      </c>
      <c r="B9529">
        <v>36</v>
      </c>
      <c r="C9529" t="s">
        <v>54</v>
      </c>
      <c r="D9529" t="s">
        <v>11</v>
      </c>
      <c r="E9529" t="s">
        <v>14</v>
      </c>
      <c r="F9529" t="s">
        <v>67</v>
      </c>
      <c r="G9529" t="str">
        <f t="shared" si="398"/>
        <v>004DEEP PURPLE</v>
      </c>
      <c r="H9529" s="5">
        <v>6180</v>
      </c>
      <c r="I9529" s="6">
        <v>3910.1071427007282</v>
      </c>
      <c r="J9529" s="5">
        <v>29260</v>
      </c>
      <c r="K9529" s="6">
        <f t="shared" si="401"/>
        <v>1.5805193500993036</v>
      </c>
    </row>
    <row r="9530" spans="1:11" hidden="1">
      <c r="A9530" s="4">
        <v>2026</v>
      </c>
      <c r="B9530">
        <v>36</v>
      </c>
      <c r="C9530" t="s">
        <v>54</v>
      </c>
      <c r="D9530" t="s">
        <v>11</v>
      </c>
      <c r="E9530" t="s">
        <v>14</v>
      </c>
      <c r="F9530" t="s">
        <v>71</v>
      </c>
      <c r="G9530" t="str">
        <f t="shared" si="398"/>
        <v>004HOT EXPLORER</v>
      </c>
      <c r="H9530" s="5">
        <v>3475</v>
      </c>
      <c r="I9530" s="6">
        <v>1902.2142856381945</v>
      </c>
      <c r="J9530" s="5">
        <v>14400</v>
      </c>
      <c r="K9530" s="6">
        <f t="shared" si="401"/>
        <v>1.8268183696423743</v>
      </c>
    </row>
    <row r="9531" spans="1:11" hidden="1">
      <c r="A9531" s="4">
        <v>2026</v>
      </c>
      <c r="B9531">
        <v>36</v>
      </c>
      <c r="C9531" t="s">
        <v>54</v>
      </c>
      <c r="D9531" t="s">
        <v>11</v>
      </c>
      <c r="E9531" t="s">
        <v>14</v>
      </c>
      <c r="F9531" t="s">
        <v>72</v>
      </c>
      <c r="G9531" t="str">
        <f t="shared" si="398"/>
        <v>004HOT MERENGUE</v>
      </c>
      <c r="H9531" s="5">
        <v>2070</v>
      </c>
      <c r="I9531" s="6">
        <v>1162.4642856677858</v>
      </c>
      <c r="J9531" s="5">
        <v>8800</v>
      </c>
      <c r="K9531" s="6">
        <f t="shared" si="401"/>
        <v>1.7806998679627166</v>
      </c>
    </row>
    <row r="9532" spans="1:11" hidden="1">
      <c r="A9532" s="4">
        <v>2026</v>
      </c>
      <c r="B9532">
        <v>36</v>
      </c>
      <c r="C9532" t="s">
        <v>54</v>
      </c>
      <c r="D9532" t="s">
        <v>11</v>
      </c>
      <c r="E9532" t="s">
        <v>14</v>
      </c>
      <c r="F9532" t="s">
        <v>64</v>
      </c>
      <c r="G9532" t="str">
        <f t="shared" si="398"/>
        <v>004SWEETNESS</v>
      </c>
      <c r="H9532" s="5">
        <v>540</v>
      </c>
      <c r="I9532" s="6">
        <v>317.03571427303262</v>
      </c>
      <c r="J9532" s="5">
        <v>2400</v>
      </c>
      <c r="K9532" s="6">
        <f t="shared" si="401"/>
        <v>1.7032781345730328</v>
      </c>
    </row>
    <row r="9533" spans="1:11" hidden="1">
      <c r="A9533" s="4">
        <v>2026</v>
      </c>
      <c r="B9533">
        <v>36</v>
      </c>
      <c r="C9533" t="s">
        <v>54</v>
      </c>
      <c r="D9533" t="s">
        <v>11</v>
      </c>
      <c r="E9533" t="s">
        <v>16</v>
      </c>
      <c r="F9533" t="s">
        <v>57</v>
      </c>
      <c r="G9533" t="str">
        <f t="shared" si="398"/>
        <v>005EXPLORER</v>
      </c>
      <c r="H9533" s="5">
        <v>1250</v>
      </c>
      <c r="I9533" s="6">
        <v>951.10714281875391</v>
      </c>
      <c r="J9533" s="5">
        <v>7200</v>
      </c>
      <c r="K9533" s="6">
        <f t="shared" si="401"/>
        <v>1.3142578198870747</v>
      </c>
    </row>
    <row r="9534" spans="1:11" hidden="1">
      <c r="A9534" s="4">
        <v>2026</v>
      </c>
      <c r="B9534">
        <v>36</v>
      </c>
      <c r="C9534" t="s">
        <v>54</v>
      </c>
      <c r="D9534" t="s">
        <v>11</v>
      </c>
      <c r="E9534" t="s">
        <v>16</v>
      </c>
      <c r="F9534" t="s">
        <v>73</v>
      </c>
      <c r="G9534" t="str">
        <f t="shared" si="398"/>
        <v>005GOLDFINCH</v>
      </c>
      <c r="H9534" s="5">
        <v>725</v>
      </c>
      <c r="I9534" s="6">
        <v>898.26785710660101</v>
      </c>
      <c r="J9534" s="5">
        <v>6800</v>
      </c>
      <c r="K9534" s="6">
        <f t="shared" si="401"/>
        <v>0.80710891997770928</v>
      </c>
    </row>
    <row r="9535" spans="1:11" hidden="1">
      <c r="A9535" s="4">
        <v>2026</v>
      </c>
      <c r="B9535">
        <v>36</v>
      </c>
      <c r="C9535" t="s">
        <v>54</v>
      </c>
      <c r="D9535" t="s">
        <v>11</v>
      </c>
      <c r="E9535" t="s">
        <v>16</v>
      </c>
      <c r="F9535" t="s">
        <v>68</v>
      </c>
      <c r="G9535" t="str">
        <f t="shared" si="398"/>
        <v>005JOCKER</v>
      </c>
      <c r="H9535" s="5">
        <v>1825</v>
      </c>
      <c r="I9535" s="6">
        <v>1162.4642856673661</v>
      </c>
      <c r="J9535" s="5">
        <v>8800</v>
      </c>
      <c r="K9535" s="6">
        <f t="shared" si="401"/>
        <v>1.5699407048469234</v>
      </c>
    </row>
    <row r="9536" spans="1:11" hidden="1">
      <c r="A9536" s="4">
        <v>2026</v>
      </c>
      <c r="B9536">
        <v>36</v>
      </c>
      <c r="C9536" t="s">
        <v>54</v>
      </c>
      <c r="D9536" t="s">
        <v>11</v>
      </c>
      <c r="E9536" t="s">
        <v>16</v>
      </c>
      <c r="F9536" t="s">
        <v>74</v>
      </c>
      <c r="G9536" t="str">
        <f t="shared" si="398"/>
        <v>005VENDELA</v>
      </c>
      <c r="H9536" s="5">
        <v>1680</v>
      </c>
      <c r="I9536" s="6">
        <v>686.91071425798896</v>
      </c>
      <c r="J9536" s="5">
        <v>5200</v>
      </c>
      <c r="K9536" s="6">
        <f t="shared" si="401"/>
        <v>2.4457327060544696</v>
      </c>
    </row>
    <row r="9537" spans="1:11" hidden="1">
      <c r="A9537" s="4">
        <v>2026</v>
      </c>
      <c r="B9537">
        <v>36</v>
      </c>
      <c r="C9537" t="s">
        <v>54</v>
      </c>
      <c r="D9537" t="s">
        <v>11</v>
      </c>
      <c r="E9537" t="s">
        <v>75</v>
      </c>
      <c r="F9537" t="s">
        <v>76</v>
      </c>
      <c r="G9537" t="str">
        <f t="shared" si="398"/>
        <v>006ATOMIC</v>
      </c>
      <c r="H9537" s="5">
        <v>500</v>
      </c>
      <c r="I9537" s="6">
        <v>845.428571394752</v>
      </c>
      <c r="J9537" s="5">
        <v>6400</v>
      </c>
      <c r="K9537" s="6">
        <f t="shared" si="401"/>
        <v>0.59141601894897089</v>
      </c>
    </row>
    <row r="9538" spans="1:11" hidden="1">
      <c r="A9538" s="4">
        <v>2026</v>
      </c>
      <c r="B9538">
        <v>36</v>
      </c>
      <c r="C9538" t="s">
        <v>54</v>
      </c>
      <c r="D9538" t="s">
        <v>11</v>
      </c>
      <c r="E9538" t="s">
        <v>75</v>
      </c>
      <c r="F9538" t="s">
        <v>57</v>
      </c>
      <c r="G9538" t="str">
        <f t="shared" si="398"/>
        <v>006EXPLORER</v>
      </c>
      <c r="H9538" s="5">
        <v>5850</v>
      </c>
      <c r="I9538" s="6">
        <v>3910.1071427007355</v>
      </c>
      <c r="J9538" s="5">
        <v>29600</v>
      </c>
      <c r="K9538" s="6">
        <f t="shared" si="401"/>
        <v>1.4961226857736099</v>
      </c>
    </row>
    <row r="9539" spans="1:11" hidden="1">
      <c r="A9539" s="4">
        <v>2026</v>
      </c>
      <c r="B9539">
        <v>36</v>
      </c>
      <c r="C9539" t="s">
        <v>54</v>
      </c>
      <c r="D9539" t="s">
        <v>11</v>
      </c>
      <c r="E9539" t="s">
        <v>75</v>
      </c>
      <c r="F9539" t="s">
        <v>77</v>
      </c>
      <c r="G9539" t="str">
        <f t="shared" si="398"/>
        <v>006MONDIAL</v>
      </c>
      <c r="H9539" s="5">
        <v>5525</v>
      </c>
      <c r="I9539" s="6">
        <v>4015.7857141250793</v>
      </c>
      <c r="J9539" s="5">
        <v>30400</v>
      </c>
      <c r="K9539" s="6">
        <f t="shared" si="401"/>
        <v>1.3758204230286559</v>
      </c>
    </row>
    <row r="9540" spans="1:11" hidden="1">
      <c r="A9540" s="4">
        <v>2026</v>
      </c>
      <c r="B9540">
        <v>36</v>
      </c>
      <c r="C9540" t="s">
        <v>54</v>
      </c>
      <c r="D9540" t="s">
        <v>11</v>
      </c>
      <c r="E9540" t="s">
        <v>20</v>
      </c>
      <c r="F9540" t="s">
        <v>70</v>
      </c>
      <c r="G9540" t="str">
        <f t="shared" si="398"/>
        <v>007COTOPAXI</v>
      </c>
      <c r="H9540" s="5">
        <v>6270</v>
      </c>
      <c r="I9540" s="6">
        <v>2747.5751230427709</v>
      </c>
      <c r="J9540" s="5">
        <v>20800</v>
      </c>
      <c r="K9540" s="6">
        <f t="shared" si="401"/>
        <v>2.282012217761078</v>
      </c>
    </row>
    <row r="9541" spans="1:11" hidden="1">
      <c r="A9541" s="4">
        <v>2026</v>
      </c>
      <c r="B9541">
        <v>36</v>
      </c>
      <c r="C9541" t="s">
        <v>54</v>
      </c>
      <c r="D9541" t="s">
        <v>11</v>
      </c>
      <c r="E9541" t="s">
        <v>20</v>
      </c>
      <c r="F9541" t="s">
        <v>78</v>
      </c>
      <c r="G9541" t="str">
        <f t="shared" si="398"/>
        <v>007REDIANT</v>
      </c>
      <c r="H9541" s="5">
        <v>1350</v>
      </c>
      <c r="I9541" s="6">
        <v>1056.75862064738</v>
      </c>
      <c r="J9541" s="5">
        <v>9600</v>
      </c>
      <c r="K9541" s="6">
        <f t="shared" si="401"/>
        <v>1.2774913529193428</v>
      </c>
    </row>
    <row r="9542" spans="1:11" hidden="1">
      <c r="A9542" s="4">
        <v>2026</v>
      </c>
      <c r="B9542">
        <v>36</v>
      </c>
      <c r="C9542" t="s">
        <v>54</v>
      </c>
      <c r="D9542" t="s">
        <v>11</v>
      </c>
      <c r="E9542" t="s">
        <v>20</v>
      </c>
      <c r="F9542" t="s">
        <v>63</v>
      </c>
      <c r="G9542" t="str">
        <f t="shared" si="398"/>
        <v>007SUMMER ROMANCE</v>
      </c>
      <c r="H9542" s="5">
        <v>1200</v>
      </c>
      <c r="I9542" s="6">
        <v>369.86551722658481</v>
      </c>
      <c r="J9542" s="5">
        <v>3080</v>
      </c>
      <c r="K9542" s="6">
        <f t="shared" si="401"/>
        <v>3.244422483604664</v>
      </c>
    </row>
    <row r="9543" spans="1:11" hidden="1">
      <c r="A9543" s="4">
        <v>2026</v>
      </c>
      <c r="B9543">
        <v>36</v>
      </c>
      <c r="C9543" t="s">
        <v>54</v>
      </c>
      <c r="D9543" t="s">
        <v>11</v>
      </c>
      <c r="E9543" t="s">
        <v>20</v>
      </c>
      <c r="F9543" t="s">
        <v>74</v>
      </c>
      <c r="G9543" t="str">
        <f t="shared" ref="G9543:G9606" si="402">+E9543&amp;F9543</f>
        <v>007VENDELA</v>
      </c>
      <c r="H9543" s="5">
        <v>9570</v>
      </c>
      <c r="I9543" s="6">
        <v>3592.9793102011122</v>
      </c>
      <c r="J9543" s="5">
        <v>27820</v>
      </c>
      <c r="K9543" s="6">
        <f t="shared" si="401"/>
        <v>2.6635277227533858</v>
      </c>
    </row>
    <row r="9544" spans="1:11" hidden="1">
      <c r="A9544" s="4">
        <v>2026</v>
      </c>
      <c r="B9544">
        <v>36</v>
      </c>
      <c r="C9544" t="s">
        <v>54</v>
      </c>
      <c r="D9544" t="s">
        <v>11</v>
      </c>
      <c r="E9544" t="s">
        <v>79</v>
      </c>
      <c r="F9544" t="s">
        <v>67</v>
      </c>
      <c r="G9544" t="str">
        <f t="shared" si="402"/>
        <v>008DEEP PURPLE</v>
      </c>
      <c r="H9544" s="5">
        <v>2100</v>
      </c>
      <c r="I9544" s="6">
        <v>1585.2222221588099</v>
      </c>
      <c r="J9544" s="5">
        <v>11490</v>
      </c>
      <c r="K9544" s="6">
        <f t="shared" si="401"/>
        <v>1.324735403431418</v>
      </c>
    </row>
    <row r="9545" spans="1:11" hidden="1">
      <c r="A9545" s="4">
        <v>2026</v>
      </c>
      <c r="B9545">
        <v>36</v>
      </c>
      <c r="C9545" t="s">
        <v>54</v>
      </c>
      <c r="D9545" t="s">
        <v>11</v>
      </c>
      <c r="E9545" t="s">
        <v>79</v>
      </c>
      <c r="F9545" t="s">
        <v>81</v>
      </c>
      <c r="G9545" t="str">
        <f t="shared" si="402"/>
        <v>008FREEDOM</v>
      </c>
      <c r="H9545" s="5">
        <v>2430</v>
      </c>
      <c r="I9545" s="6">
        <v>2219.311111022334</v>
      </c>
      <c r="J9545" s="5">
        <v>16800</v>
      </c>
      <c r="K9545" s="6">
        <f t="shared" si="401"/>
        <v>1.0949343640606617</v>
      </c>
    </row>
    <row r="9546" spans="1:11" hidden="1">
      <c r="A9546" s="4">
        <v>2026</v>
      </c>
      <c r="B9546">
        <v>36</v>
      </c>
      <c r="C9546" t="s">
        <v>54</v>
      </c>
      <c r="D9546" t="s">
        <v>11</v>
      </c>
      <c r="E9546" t="s">
        <v>79</v>
      </c>
      <c r="F9546" t="s">
        <v>68</v>
      </c>
      <c r="G9546" t="str">
        <f t="shared" si="402"/>
        <v>008JOCKER</v>
      </c>
      <c r="H9546" s="5">
        <v>4050</v>
      </c>
      <c r="I9546" s="6">
        <v>2959.0814813631118</v>
      </c>
      <c r="J9546" s="5">
        <v>22400</v>
      </c>
      <c r="K9546" s="6">
        <f t="shared" si="401"/>
        <v>1.3686679550758274</v>
      </c>
    </row>
    <row r="9547" spans="1:11" hidden="1">
      <c r="A9547" s="4">
        <v>2026</v>
      </c>
      <c r="B9547">
        <v>36</v>
      </c>
      <c r="C9547" t="s">
        <v>54</v>
      </c>
      <c r="D9547" t="s">
        <v>11</v>
      </c>
      <c r="E9547" t="s">
        <v>79</v>
      </c>
      <c r="F9547" t="s">
        <v>61</v>
      </c>
      <c r="G9547" t="str">
        <f t="shared" si="402"/>
        <v>008LUMIA</v>
      </c>
      <c r="H9547" s="5">
        <v>0</v>
      </c>
      <c r="I9547" s="6">
        <v>1796.5851851133182</v>
      </c>
      <c r="J9547" s="5">
        <v>13600</v>
      </c>
      <c r="K9547" s="6">
        <f t="shared" si="401"/>
        <v>0</v>
      </c>
    </row>
    <row r="9548" spans="1:11" hidden="1">
      <c r="A9548" s="4">
        <v>2026</v>
      </c>
      <c r="B9548">
        <v>36</v>
      </c>
      <c r="C9548" t="s">
        <v>54</v>
      </c>
      <c r="D9548" t="s">
        <v>11</v>
      </c>
      <c r="E9548" t="s">
        <v>82</v>
      </c>
      <c r="F9548" t="s">
        <v>83</v>
      </c>
      <c r="G9548" t="str">
        <f t="shared" si="402"/>
        <v>010COOLDOWN</v>
      </c>
      <c r="H9548" s="5">
        <v>2875</v>
      </c>
      <c r="I9548" s="6">
        <v>1912.3542857142861</v>
      </c>
      <c r="J9548" s="5">
        <v>16320</v>
      </c>
      <c r="K9548" s="6">
        <f t="shared" si="401"/>
        <v>1.5033825172860973</v>
      </c>
    </row>
    <row r="9549" spans="1:11" hidden="1">
      <c r="A9549" s="4">
        <v>2026</v>
      </c>
      <c r="B9549">
        <v>36</v>
      </c>
      <c r="C9549" t="s">
        <v>54</v>
      </c>
      <c r="D9549" t="s">
        <v>11</v>
      </c>
      <c r="E9549" t="s">
        <v>82</v>
      </c>
      <c r="F9549" t="s">
        <v>84</v>
      </c>
      <c r="G9549" t="str">
        <f t="shared" si="402"/>
        <v>010VIOLET HILL</v>
      </c>
      <c r="H9549" s="5">
        <v>5640</v>
      </c>
      <c r="I9549" s="6">
        <v>2812.2857142428579</v>
      </c>
      <c r="J9549" s="5">
        <v>20000</v>
      </c>
      <c r="K9549" s="6">
        <f t="shared" si="401"/>
        <v>2.0054861323073063</v>
      </c>
    </row>
    <row r="9550" spans="1:11" hidden="1">
      <c r="A9550" s="4">
        <v>2026</v>
      </c>
      <c r="B9550">
        <v>36</v>
      </c>
      <c r="C9550" t="s">
        <v>54</v>
      </c>
      <c r="D9550" t="s">
        <v>11</v>
      </c>
      <c r="E9550" t="s">
        <v>85</v>
      </c>
      <c r="F9550" t="s">
        <v>86</v>
      </c>
      <c r="G9550" t="str">
        <f t="shared" si="402"/>
        <v>011BRIGHTON</v>
      </c>
      <c r="H9550" s="5">
        <v>2825</v>
      </c>
      <c r="I9550" s="6">
        <v>1768.8376470588223</v>
      </c>
      <c r="J9550" s="5">
        <v>12800</v>
      </c>
      <c r="K9550" s="6">
        <f t="shared" si="401"/>
        <v>1.5970940039055237</v>
      </c>
    </row>
    <row r="9551" spans="1:11" hidden="1">
      <c r="A9551" s="4">
        <v>2026</v>
      </c>
      <c r="B9551">
        <v>36</v>
      </c>
      <c r="C9551" t="s">
        <v>54</v>
      </c>
      <c r="D9551" t="s">
        <v>11</v>
      </c>
      <c r="E9551" t="s">
        <v>85</v>
      </c>
      <c r="F9551" t="s">
        <v>87</v>
      </c>
      <c r="G9551" t="str">
        <f t="shared" si="402"/>
        <v>011CANDLELIGHT</v>
      </c>
      <c r="H9551" s="5">
        <v>6180</v>
      </c>
      <c r="I9551" s="6">
        <v>2263.7999998868127</v>
      </c>
      <c r="J9551" s="5">
        <v>17920</v>
      </c>
      <c r="K9551" s="6">
        <f t="shared" si="401"/>
        <v>2.7299231382228966</v>
      </c>
    </row>
    <row r="9552" spans="1:11" hidden="1">
      <c r="A9552" s="4">
        <v>2026</v>
      </c>
      <c r="B9552">
        <v>36</v>
      </c>
      <c r="C9552" t="s">
        <v>54</v>
      </c>
      <c r="D9552" t="s">
        <v>11</v>
      </c>
      <c r="E9552" t="s">
        <v>85</v>
      </c>
      <c r="F9552" t="s">
        <v>88</v>
      </c>
      <c r="G9552" t="str">
        <f t="shared" si="402"/>
        <v>011CAYENNE</v>
      </c>
      <c r="H9552" s="5">
        <v>510</v>
      </c>
      <c r="I9552" s="6">
        <v>994.97117647058747</v>
      </c>
      <c r="J9552" s="5">
        <v>7200</v>
      </c>
      <c r="K9552" s="6">
        <f t="shared" si="401"/>
        <v>0.5125776626103864</v>
      </c>
    </row>
    <row r="9553" spans="1:11" hidden="1">
      <c r="A9553" s="4">
        <v>2026</v>
      </c>
      <c r="B9553">
        <v>36</v>
      </c>
      <c r="C9553" t="s">
        <v>54</v>
      </c>
      <c r="D9553" t="s">
        <v>11</v>
      </c>
      <c r="E9553" t="s">
        <v>85</v>
      </c>
      <c r="F9553" t="s">
        <v>61</v>
      </c>
      <c r="G9553" t="str">
        <f t="shared" si="402"/>
        <v>011LUMIA</v>
      </c>
      <c r="H9553" s="5">
        <v>1740</v>
      </c>
      <c r="I9553" s="6">
        <v>994.97117647058747</v>
      </c>
      <c r="J9553" s="5">
        <v>7920</v>
      </c>
      <c r="K9553" s="6">
        <f t="shared" si="401"/>
        <v>1.7487943783177888</v>
      </c>
    </row>
    <row r="9554" spans="1:11" hidden="1">
      <c r="A9554" s="4">
        <v>2026</v>
      </c>
      <c r="B9554">
        <v>36</v>
      </c>
      <c r="C9554" t="s">
        <v>54</v>
      </c>
      <c r="D9554" t="s">
        <v>11</v>
      </c>
      <c r="E9554" t="s">
        <v>85</v>
      </c>
      <c r="F9554" t="s">
        <v>89</v>
      </c>
      <c r="G9554" t="str">
        <f t="shared" si="402"/>
        <v>011STARDUST</v>
      </c>
      <c r="H9554" s="5">
        <v>3175</v>
      </c>
      <c r="I9554" s="6">
        <v>2263.7999998868127</v>
      </c>
      <c r="J9554" s="5">
        <v>17920</v>
      </c>
      <c r="K9554" s="6">
        <f t="shared" si="401"/>
        <v>1.4025090556404038</v>
      </c>
    </row>
    <row r="9555" spans="1:11" hidden="1">
      <c r="A9555" s="4">
        <v>2026</v>
      </c>
      <c r="B9555">
        <v>36</v>
      </c>
      <c r="C9555" t="s">
        <v>54</v>
      </c>
      <c r="D9555" t="s">
        <v>11</v>
      </c>
      <c r="E9555" t="s">
        <v>90</v>
      </c>
      <c r="F9555" t="s">
        <v>67</v>
      </c>
      <c r="G9555" t="str">
        <f t="shared" si="402"/>
        <v>012DEEP PURPLE</v>
      </c>
      <c r="H9555" s="5">
        <v>12150</v>
      </c>
      <c r="I9555" s="6">
        <v>6727.0499997982479</v>
      </c>
      <c r="J9555" s="5">
        <v>49210</v>
      </c>
      <c r="K9555" s="6">
        <f t="shared" si="401"/>
        <v>1.8061408790427294</v>
      </c>
    </row>
    <row r="9556" spans="1:11" hidden="1">
      <c r="A9556" s="4">
        <v>2026</v>
      </c>
      <c r="B9556">
        <v>36</v>
      </c>
      <c r="C9556" t="s">
        <v>54</v>
      </c>
      <c r="D9556" t="s">
        <v>11</v>
      </c>
      <c r="E9556" t="s">
        <v>90</v>
      </c>
      <c r="F9556" t="s">
        <v>60</v>
      </c>
      <c r="G9556" t="str">
        <f t="shared" si="402"/>
        <v>012LIGHT HOUSE</v>
      </c>
      <c r="H9556" s="5">
        <v>870</v>
      </c>
      <c r="I9556" s="6">
        <v>994.95</v>
      </c>
      <c r="J9556" s="5">
        <v>7200</v>
      </c>
      <c r="K9556" s="6">
        <f t="shared" si="401"/>
        <v>0.87441579978893402</v>
      </c>
    </row>
    <row r="9557" spans="1:11" hidden="1">
      <c r="A9557" s="4">
        <v>2026</v>
      </c>
      <c r="B9557">
        <v>36</v>
      </c>
      <c r="C9557" t="s">
        <v>54</v>
      </c>
      <c r="D9557" t="s">
        <v>11</v>
      </c>
      <c r="E9557" t="s">
        <v>91</v>
      </c>
      <c r="F9557" t="s">
        <v>92</v>
      </c>
      <c r="G9557" t="str">
        <f t="shared" si="402"/>
        <v>013COUNTRY BLUES</v>
      </c>
      <c r="H9557" s="5">
        <v>1050</v>
      </c>
      <c r="I9557" s="6">
        <v>831.6</v>
      </c>
      <c r="J9557" s="5">
        <v>6300</v>
      </c>
      <c r="K9557" s="6">
        <f t="shared" si="401"/>
        <v>1.2626262626262625</v>
      </c>
    </row>
    <row r="9558" spans="1:11" hidden="1">
      <c r="A9558" s="4">
        <v>2026</v>
      </c>
      <c r="B9558">
        <v>36</v>
      </c>
      <c r="C9558" t="s">
        <v>54</v>
      </c>
      <c r="D9558" t="s">
        <v>11</v>
      </c>
      <c r="E9558" t="s">
        <v>91</v>
      </c>
      <c r="F9558" t="s">
        <v>93</v>
      </c>
      <c r="G9558" t="str">
        <f t="shared" si="402"/>
        <v>013LORRAINE</v>
      </c>
      <c r="H9558" s="5">
        <v>2900</v>
      </c>
      <c r="I9558" s="6">
        <v>1267.2</v>
      </c>
      <c r="J9558" s="5">
        <v>9600</v>
      </c>
      <c r="K9558" s="6">
        <f t="shared" si="401"/>
        <v>2.2885101010101008</v>
      </c>
    </row>
    <row r="9559" spans="1:11" hidden="1">
      <c r="A9559" s="4">
        <v>2026</v>
      </c>
      <c r="B9559">
        <v>36</v>
      </c>
      <c r="C9559" t="s">
        <v>54</v>
      </c>
      <c r="D9559" t="s">
        <v>11</v>
      </c>
      <c r="E9559" t="s">
        <v>91</v>
      </c>
      <c r="F9559" t="s">
        <v>61</v>
      </c>
      <c r="G9559" t="str">
        <f t="shared" si="402"/>
        <v>013LUMIA</v>
      </c>
      <c r="H9559" s="5">
        <v>360</v>
      </c>
      <c r="I9559" s="6">
        <v>316.8</v>
      </c>
      <c r="J9559" s="5">
        <v>2400</v>
      </c>
      <c r="K9559" s="6">
        <f t="shared" si="401"/>
        <v>1.1363636363636362</v>
      </c>
    </row>
    <row r="9560" spans="1:11" hidden="1">
      <c r="A9560" s="4">
        <v>2026</v>
      </c>
      <c r="B9560">
        <v>36</v>
      </c>
      <c r="C9560" t="s">
        <v>54</v>
      </c>
      <c r="D9560" t="s">
        <v>11</v>
      </c>
      <c r="E9560" t="s">
        <v>91</v>
      </c>
      <c r="F9560" t="s">
        <v>74</v>
      </c>
      <c r="G9560" t="str">
        <f t="shared" si="402"/>
        <v>013VENDELA</v>
      </c>
      <c r="H9560" s="5">
        <v>5220</v>
      </c>
      <c r="I9560" s="6">
        <v>3603.6</v>
      </c>
      <c r="J9560" s="5">
        <v>27296</v>
      </c>
      <c r="K9560" s="6">
        <f t="shared" si="401"/>
        <v>1.4485514485514486</v>
      </c>
    </row>
    <row r="9561" spans="1:11" hidden="1">
      <c r="A9561" s="4">
        <v>2026</v>
      </c>
      <c r="B9561">
        <v>36</v>
      </c>
      <c r="C9561" t="s">
        <v>54</v>
      </c>
      <c r="D9561" t="s">
        <v>11</v>
      </c>
      <c r="E9561" t="s">
        <v>23</v>
      </c>
      <c r="F9561" t="s">
        <v>89</v>
      </c>
      <c r="G9561" t="str">
        <f t="shared" si="402"/>
        <v>014STARDUST</v>
      </c>
      <c r="H9561" s="5">
        <v>4550</v>
      </c>
      <c r="I9561" s="6">
        <v>3682.8</v>
      </c>
      <c r="J9561" s="5">
        <v>27900</v>
      </c>
      <c r="K9561" s="6">
        <f t="shared" si="401"/>
        <v>1.235473009666558</v>
      </c>
    </row>
    <row r="9562" spans="1:11" hidden="1">
      <c r="A9562" s="4">
        <v>2026</v>
      </c>
      <c r="B9562">
        <v>36</v>
      </c>
      <c r="C9562" t="s">
        <v>54</v>
      </c>
      <c r="D9562" t="s">
        <v>11</v>
      </c>
      <c r="E9562" t="s">
        <v>25</v>
      </c>
      <c r="F9562" t="s">
        <v>68</v>
      </c>
      <c r="G9562" t="str">
        <f t="shared" si="402"/>
        <v>015JOCKER</v>
      </c>
      <c r="H9562" s="5">
        <v>4325</v>
      </c>
      <c r="I9562" s="6">
        <v>2376</v>
      </c>
      <c r="J9562" s="5">
        <v>18000</v>
      </c>
      <c r="K9562" s="6">
        <f t="shared" si="401"/>
        <v>1.8202861952861953</v>
      </c>
    </row>
    <row r="9563" spans="1:11" hidden="1">
      <c r="A9563" s="4">
        <v>2026</v>
      </c>
      <c r="B9563">
        <v>36</v>
      </c>
      <c r="C9563" t="s">
        <v>54</v>
      </c>
      <c r="D9563" t="s">
        <v>11</v>
      </c>
      <c r="E9563" t="s">
        <v>27</v>
      </c>
      <c r="F9563" t="s">
        <v>94</v>
      </c>
      <c r="G9563" t="str">
        <f t="shared" si="402"/>
        <v>016DREAM IN PEACH</v>
      </c>
      <c r="H9563" s="5">
        <v>600</v>
      </c>
      <c r="I9563" s="6">
        <v>950.4</v>
      </c>
      <c r="J9563" s="5">
        <v>7200</v>
      </c>
      <c r="K9563" s="6">
        <f t="shared" si="401"/>
        <v>0.63131313131313138</v>
      </c>
    </row>
    <row r="9564" spans="1:11" hidden="1">
      <c r="A9564" s="4">
        <v>2026</v>
      </c>
      <c r="B9564">
        <v>36</v>
      </c>
      <c r="C9564" t="s">
        <v>54</v>
      </c>
      <c r="D9564" t="s">
        <v>11</v>
      </c>
      <c r="E9564" t="s">
        <v>27</v>
      </c>
      <c r="F9564" t="s">
        <v>95</v>
      </c>
      <c r="G9564" t="str">
        <f t="shared" si="402"/>
        <v>016NINA</v>
      </c>
      <c r="H9564" s="5">
        <v>2250</v>
      </c>
      <c r="I9564" s="6">
        <v>1346.4</v>
      </c>
      <c r="J9564" s="5">
        <v>10200</v>
      </c>
      <c r="K9564" s="6">
        <f t="shared" si="401"/>
        <v>1.6711229946524062</v>
      </c>
    </row>
    <row r="9565" spans="1:11" hidden="1">
      <c r="A9565" s="4">
        <v>2026</v>
      </c>
      <c r="B9565">
        <v>36</v>
      </c>
      <c r="C9565" t="s">
        <v>54</v>
      </c>
      <c r="D9565" t="s">
        <v>11</v>
      </c>
      <c r="E9565" t="s">
        <v>30</v>
      </c>
      <c r="F9565" t="s">
        <v>81</v>
      </c>
      <c r="G9565" t="str">
        <f t="shared" si="402"/>
        <v>017FREEDOM</v>
      </c>
      <c r="H9565" s="5">
        <v>4200</v>
      </c>
      <c r="I9565" s="6">
        <v>2851.2</v>
      </c>
      <c r="J9565" s="5">
        <v>21600</v>
      </c>
      <c r="K9565" s="6">
        <f t="shared" si="401"/>
        <v>1.4730639730639732</v>
      </c>
    </row>
    <row r="9566" spans="1:11" hidden="1">
      <c r="A9566" s="4">
        <v>2026</v>
      </c>
      <c r="B9566">
        <v>36</v>
      </c>
      <c r="C9566" t="s">
        <v>54</v>
      </c>
      <c r="D9566" t="s">
        <v>11</v>
      </c>
      <c r="E9566" t="s">
        <v>30</v>
      </c>
      <c r="F9566" t="s">
        <v>73</v>
      </c>
      <c r="G9566" t="str">
        <f t="shared" si="402"/>
        <v>017GOLDFINCH</v>
      </c>
      <c r="H9566" s="5">
        <v>2650</v>
      </c>
      <c r="I9566" s="6">
        <v>2138.4</v>
      </c>
      <c r="J9566" s="5">
        <v>16200</v>
      </c>
      <c r="K9566" s="6">
        <f t="shared" si="401"/>
        <v>1.2392442947998503</v>
      </c>
    </row>
    <row r="9567" spans="1:11" hidden="1">
      <c r="A9567" s="4">
        <v>2026</v>
      </c>
      <c r="B9567">
        <v>36</v>
      </c>
      <c r="C9567" t="s">
        <v>54</v>
      </c>
      <c r="D9567" t="s">
        <v>11</v>
      </c>
      <c r="E9567" t="s">
        <v>32</v>
      </c>
      <c r="F9567" t="s">
        <v>86</v>
      </c>
      <c r="G9567" t="str">
        <f t="shared" si="402"/>
        <v>018BRIGHTON</v>
      </c>
      <c r="H9567" s="5">
        <v>1300</v>
      </c>
      <c r="I9567" s="6">
        <v>963.6</v>
      </c>
      <c r="J9567" s="5">
        <v>7570</v>
      </c>
      <c r="K9567" s="6">
        <f t="shared" si="401"/>
        <v>1.349107513491075</v>
      </c>
    </row>
    <row r="9568" spans="1:11" hidden="1">
      <c r="A9568" s="4">
        <v>2026</v>
      </c>
      <c r="B9568">
        <v>36</v>
      </c>
      <c r="C9568" t="s">
        <v>54</v>
      </c>
      <c r="D9568" t="s">
        <v>11</v>
      </c>
      <c r="E9568" t="s">
        <v>35</v>
      </c>
      <c r="F9568" t="s">
        <v>86</v>
      </c>
      <c r="G9568" t="str">
        <f t="shared" si="402"/>
        <v>019BRIGHTON</v>
      </c>
      <c r="H9568" s="5">
        <v>3850</v>
      </c>
      <c r="I9568" s="6">
        <v>3168</v>
      </c>
      <c r="J9568" s="5">
        <v>24000</v>
      </c>
      <c r="K9568" s="6">
        <f t="shared" si="401"/>
        <v>1.2152777777777777</v>
      </c>
    </row>
    <row r="9569" spans="1:11" hidden="1">
      <c r="A9569" s="4">
        <v>2026</v>
      </c>
      <c r="B9569">
        <v>36</v>
      </c>
      <c r="C9569" t="s">
        <v>54</v>
      </c>
      <c r="D9569" t="s">
        <v>11</v>
      </c>
      <c r="E9569" t="s">
        <v>35</v>
      </c>
      <c r="F9569" t="s">
        <v>96</v>
      </c>
      <c r="G9569" t="str">
        <f t="shared" si="402"/>
        <v>019TABATHA</v>
      </c>
      <c r="H9569" s="5">
        <v>1740</v>
      </c>
      <c r="I9569" s="6">
        <v>1188</v>
      </c>
      <c r="J9569" s="5">
        <v>9000</v>
      </c>
      <c r="K9569" s="6">
        <f t="shared" si="401"/>
        <v>1.4646464646464648</v>
      </c>
    </row>
    <row r="9570" spans="1:11" hidden="1">
      <c r="A9570" s="4">
        <v>2026</v>
      </c>
      <c r="B9570">
        <v>36</v>
      </c>
      <c r="C9570" t="s">
        <v>54</v>
      </c>
      <c r="D9570" t="s">
        <v>11</v>
      </c>
      <c r="E9570" t="s">
        <v>36</v>
      </c>
      <c r="F9570" t="s">
        <v>86</v>
      </c>
      <c r="G9570" t="str">
        <f t="shared" si="402"/>
        <v>020BRIGHTON</v>
      </c>
      <c r="H9570" s="5">
        <v>3650</v>
      </c>
      <c r="I9570" s="6">
        <v>2732.4</v>
      </c>
      <c r="J9570" s="5">
        <v>20700</v>
      </c>
      <c r="K9570" s="6">
        <f t="shared" si="401"/>
        <v>1.335821987995901</v>
      </c>
    </row>
    <row r="9571" spans="1:11" hidden="1">
      <c r="A9571" s="4">
        <v>2026</v>
      </c>
      <c r="B9571">
        <v>36</v>
      </c>
      <c r="C9571" t="s">
        <v>54</v>
      </c>
      <c r="D9571" t="s">
        <v>11</v>
      </c>
      <c r="E9571" t="s">
        <v>36</v>
      </c>
      <c r="F9571" t="s">
        <v>97</v>
      </c>
      <c r="G9571" t="str">
        <f t="shared" si="402"/>
        <v>020TYCOON</v>
      </c>
      <c r="H9571" s="5">
        <v>780</v>
      </c>
      <c r="I9571" s="6">
        <v>673.2</v>
      </c>
      <c r="J9571" s="5">
        <v>5100</v>
      </c>
      <c r="K9571" s="6">
        <f t="shared" si="401"/>
        <v>1.1586452762923349</v>
      </c>
    </row>
    <row r="9572" spans="1:11" hidden="1">
      <c r="A9572" s="4">
        <v>2026</v>
      </c>
      <c r="B9572">
        <v>36</v>
      </c>
      <c r="C9572" t="s">
        <v>54</v>
      </c>
      <c r="D9572" t="s">
        <v>11</v>
      </c>
      <c r="E9572" t="s">
        <v>38</v>
      </c>
      <c r="F9572" t="s">
        <v>98</v>
      </c>
      <c r="G9572" t="str">
        <f t="shared" si="402"/>
        <v>021SHOW GIRL</v>
      </c>
      <c r="H9572" s="5">
        <v>2350</v>
      </c>
      <c r="I9572" s="6">
        <v>1100.4749999999999</v>
      </c>
      <c r="J9572" s="5">
        <v>8000</v>
      </c>
      <c r="K9572" s="6">
        <f t="shared" si="401"/>
        <v>2.1354415138917289</v>
      </c>
    </row>
    <row r="9573" spans="1:11" hidden="1">
      <c r="A9573" s="4">
        <v>2026</v>
      </c>
      <c r="B9573">
        <v>36</v>
      </c>
      <c r="C9573" t="s">
        <v>54</v>
      </c>
      <c r="D9573" t="s">
        <v>11</v>
      </c>
      <c r="E9573" t="s">
        <v>43</v>
      </c>
      <c r="F9573" t="s">
        <v>99</v>
      </c>
      <c r="G9573" t="str">
        <f t="shared" si="402"/>
        <v>022CORAL REEF</v>
      </c>
      <c r="H9573" s="5">
        <v>1400</v>
      </c>
      <c r="I9573" s="6">
        <v>1287</v>
      </c>
      <c r="J9573" s="5">
        <v>9400</v>
      </c>
      <c r="K9573" s="6">
        <f t="shared" si="401"/>
        <v>1.0878010878010878</v>
      </c>
    </row>
    <row r="9574" spans="1:11" hidden="1">
      <c r="A9574" s="4">
        <v>2026</v>
      </c>
      <c r="B9574">
        <v>36</v>
      </c>
      <c r="C9574" t="s">
        <v>54</v>
      </c>
      <c r="D9574" t="s">
        <v>11</v>
      </c>
      <c r="E9574" t="s">
        <v>100</v>
      </c>
      <c r="F9574" t="s">
        <v>70</v>
      </c>
      <c r="G9574" t="str">
        <f t="shared" si="402"/>
        <v>023COTOPAXI</v>
      </c>
      <c r="H9574" s="5">
        <v>8250</v>
      </c>
      <c r="I9574" s="6">
        <v>2641.14</v>
      </c>
      <c r="J9574" s="5">
        <v>19200</v>
      </c>
      <c r="K9574" s="6">
        <f t="shared" si="401"/>
        <v>3.1236511506394966</v>
      </c>
    </row>
    <row r="9575" spans="1:11" hidden="1">
      <c r="A9575" s="4">
        <v>2026</v>
      </c>
      <c r="B9575">
        <v>36</v>
      </c>
      <c r="C9575" t="s">
        <v>54</v>
      </c>
      <c r="D9575" t="s">
        <v>11</v>
      </c>
      <c r="E9575" t="s">
        <v>100</v>
      </c>
      <c r="F9575" t="s">
        <v>101</v>
      </c>
      <c r="G9575" t="str">
        <f t="shared" si="402"/>
        <v>023FRUTTETO</v>
      </c>
      <c r="H9575" s="5">
        <v>3960</v>
      </c>
      <c r="I9575" s="6">
        <v>2641.14</v>
      </c>
      <c r="J9575" s="5">
        <v>19200</v>
      </c>
      <c r="K9575" s="6">
        <f t="shared" si="401"/>
        <v>1.4993525523069584</v>
      </c>
    </row>
    <row r="9576" spans="1:11" hidden="1">
      <c r="A9576" s="4">
        <v>2026</v>
      </c>
      <c r="B9576">
        <v>36</v>
      </c>
      <c r="C9576" t="s">
        <v>54</v>
      </c>
      <c r="D9576" t="s">
        <v>11</v>
      </c>
      <c r="E9576" t="s">
        <v>102</v>
      </c>
      <c r="F9576" t="s">
        <v>70</v>
      </c>
      <c r="G9576" t="str">
        <f t="shared" si="402"/>
        <v>024COTOPAXI</v>
      </c>
      <c r="H9576" s="5">
        <v>4080</v>
      </c>
      <c r="I9576" s="6">
        <v>1430.6174906250001</v>
      </c>
      <c r="J9576" s="5">
        <v>10400</v>
      </c>
      <c r="K9576" s="6">
        <f t="shared" si="401"/>
        <v>2.8519153629371279</v>
      </c>
    </row>
    <row r="9577" spans="1:11" hidden="1">
      <c r="A9577" s="4">
        <v>2026</v>
      </c>
      <c r="B9577">
        <v>36</v>
      </c>
      <c r="C9577" t="s">
        <v>54</v>
      </c>
      <c r="D9577" t="s">
        <v>11</v>
      </c>
      <c r="E9577" t="s">
        <v>102</v>
      </c>
      <c r="F9577" t="s">
        <v>64</v>
      </c>
      <c r="G9577" t="str">
        <f t="shared" si="402"/>
        <v>024SWEETNESS</v>
      </c>
      <c r="H9577" s="5">
        <v>3450</v>
      </c>
      <c r="I9577" s="6">
        <v>1430.6175000000001</v>
      </c>
      <c r="J9577" s="5">
        <v>10400</v>
      </c>
      <c r="K9577" s="6">
        <f t="shared" si="401"/>
        <v>2.4115460631510519</v>
      </c>
    </row>
    <row r="9578" spans="1:11" hidden="1">
      <c r="A9578" s="4">
        <v>2026</v>
      </c>
      <c r="B9578">
        <v>36</v>
      </c>
      <c r="C9578" t="s">
        <v>54</v>
      </c>
      <c r="D9578" t="s">
        <v>11</v>
      </c>
      <c r="E9578" t="s">
        <v>102</v>
      </c>
      <c r="F9578" t="s">
        <v>97</v>
      </c>
      <c r="G9578" t="str">
        <f t="shared" si="402"/>
        <v>024TYCOON</v>
      </c>
      <c r="H9578" s="5">
        <v>5010</v>
      </c>
      <c r="I9578" s="6">
        <v>2861.2350000000001</v>
      </c>
      <c r="J9578" s="5">
        <v>20800</v>
      </c>
      <c r="K9578" s="6">
        <f t="shared" si="401"/>
        <v>1.7509921415053289</v>
      </c>
    </row>
    <row r="9579" spans="1:11" hidden="1">
      <c r="A9579" s="4">
        <v>2026</v>
      </c>
      <c r="B9579">
        <v>36</v>
      </c>
      <c r="C9579" t="s">
        <v>54</v>
      </c>
      <c r="D9579" t="s">
        <v>11</v>
      </c>
      <c r="E9579" t="s">
        <v>103</v>
      </c>
      <c r="F9579" t="s">
        <v>104</v>
      </c>
      <c r="G9579" t="str">
        <f t="shared" si="402"/>
        <v>025PINK MONDIAL</v>
      </c>
      <c r="H9579" s="5">
        <v>4225</v>
      </c>
      <c r="I9579" s="6">
        <v>3071.9505625000002</v>
      </c>
      <c r="J9579" s="5">
        <v>22400</v>
      </c>
      <c r="K9579" s="6">
        <f t="shared" si="401"/>
        <v>1.3753476542153824</v>
      </c>
    </row>
    <row r="9580" spans="1:11" hidden="1">
      <c r="A9580" s="4">
        <v>2026</v>
      </c>
      <c r="B9580">
        <v>36</v>
      </c>
      <c r="C9580" t="s">
        <v>54</v>
      </c>
      <c r="D9580" t="s">
        <v>11</v>
      </c>
      <c r="E9580" t="s">
        <v>45</v>
      </c>
      <c r="F9580" t="s">
        <v>105</v>
      </c>
      <c r="G9580" t="str">
        <f t="shared" si="402"/>
        <v>026LOLA</v>
      </c>
      <c r="H9580" s="5">
        <v>2975</v>
      </c>
      <c r="I9580" s="6">
        <v>1097.125</v>
      </c>
      <c r="J9580" s="5">
        <v>8000</v>
      </c>
      <c r="K9580" s="6">
        <f t="shared" si="401"/>
        <v>2.7116326763130911</v>
      </c>
    </row>
    <row r="9581" spans="1:11" hidden="1">
      <c r="A9581" s="4">
        <v>2026</v>
      </c>
      <c r="B9581">
        <v>36</v>
      </c>
      <c r="C9581" t="s">
        <v>54</v>
      </c>
      <c r="D9581" t="s">
        <v>11</v>
      </c>
      <c r="E9581" t="s">
        <v>45</v>
      </c>
      <c r="F9581" t="s">
        <v>106</v>
      </c>
      <c r="G9581" t="str">
        <f t="shared" si="402"/>
        <v>026PALOMA</v>
      </c>
      <c r="H9581" s="5">
        <v>4425</v>
      </c>
      <c r="I9581" s="6">
        <v>2852.5250000000001</v>
      </c>
      <c r="J9581" s="5">
        <v>20800</v>
      </c>
      <c r="K9581" s="6">
        <f t="shared" si="401"/>
        <v>1.5512572194809862</v>
      </c>
    </row>
    <row r="9582" spans="1:11" hidden="1">
      <c r="A9582" s="4">
        <v>2026</v>
      </c>
      <c r="B9582">
        <v>36</v>
      </c>
      <c r="C9582" t="s">
        <v>54</v>
      </c>
      <c r="D9582" t="s">
        <v>11</v>
      </c>
      <c r="E9582" t="s">
        <v>107</v>
      </c>
      <c r="F9582" t="s">
        <v>108</v>
      </c>
      <c r="G9582" t="str">
        <f t="shared" si="402"/>
        <v>027SATISFACTION</v>
      </c>
      <c r="H9582" s="5">
        <v>4050</v>
      </c>
      <c r="I9582" s="6">
        <v>2633.1</v>
      </c>
      <c r="J9582" s="5">
        <v>19200</v>
      </c>
      <c r="K9582" s="6">
        <f t="shared" si="401"/>
        <v>1.538110971858266</v>
      </c>
    </row>
    <row r="9583" spans="1:11" hidden="1">
      <c r="A9583" s="4">
        <v>2026</v>
      </c>
      <c r="B9583">
        <v>36</v>
      </c>
      <c r="C9583" t="s">
        <v>54</v>
      </c>
      <c r="D9583" t="s">
        <v>11</v>
      </c>
      <c r="E9583" t="s">
        <v>107</v>
      </c>
      <c r="F9583" t="s">
        <v>109</v>
      </c>
      <c r="G9583" t="str">
        <f t="shared" si="402"/>
        <v>027TIFFANY</v>
      </c>
      <c r="H9583" s="5">
        <v>4830</v>
      </c>
      <c r="I9583" s="6">
        <v>2633.1</v>
      </c>
      <c r="J9583" s="5">
        <v>19200</v>
      </c>
      <c r="K9583" s="6">
        <f t="shared" si="401"/>
        <v>1.8343397516235616</v>
      </c>
    </row>
    <row r="9584" spans="1:11" hidden="1">
      <c r="A9584" s="4">
        <v>2026</v>
      </c>
      <c r="B9584">
        <v>36</v>
      </c>
      <c r="C9584" t="s">
        <v>54</v>
      </c>
      <c r="D9584" t="s">
        <v>11</v>
      </c>
      <c r="E9584" t="s">
        <v>110</v>
      </c>
      <c r="F9584" t="s">
        <v>70</v>
      </c>
      <c r="G9584" t="str">
        <f t="shared" si="402"/>
        <v>028COTOPAXI</v>
      </c>
      <c r="H9584" s="5">
        <v>5910</v>
      </c>
      <c r="I9584" s="6">
        <v>2852.5250000000001</v>
      </c>
      <c r="J9584" s="5">
        <v>20800</v>
      </c>
      <c r="K9584" s="6">
        <f t="shared" si="401"/>
        <v>2.0718486253407069</v>
      </c>
    </row>
    <row r="9585" spans="1:11" hidden="1">
      <c r="A9585" s="4">
        <v>2026</v>
      </c>
      <c r="B9585">
        <v>36</v>
      </c>
      <c r="C9585" t="s">
        <v>54</v>
      </c>
      <c r="D9585" t="s">
        <v>11</v>
      </c>
      <c r="E9585" t="s">
        <v>110</v>
      </c>
      <c r="F9585" t="s">
        <v>67</v>
      </c>
      <c r="G9585" t="str">
        <f t="shared" si="402"/>
        <v>028DEEP PURPLE</v>
      </c>
      <c r="H9585" s="5">
        <v>6060</v>
      </c>
      <c r="I9585" s="6">
        <v>2852.5250000000001</v>
      </c>
      <c r="J9585" s="5">
        <v>20800</v>
      </c>
      <c r="K9585" s="6">
        <f t="shared" ref="K9585:K9622" si="403">+H9585/I9585</f>
        <v>2.1244336158315877</v>
      </c>
    </row>
    <row r="9586" spans="1:11" hidden="1">
      <c r="A9586" s="4">
        <v>2026</v>
      </c>
      <c r="B9586">
        <v>36</v>
      </c>
      <c r="C9586" t="s">
        <v>54</v>
      </c>
      <c r="D9586" t="s">
        <v>11</v>
      </c>
      <c r="E9586" t="s">
        <v>111</v>
      </c>
      <c r="F9586" t="s">
        <v>112</v>
      </c>
      <c r="G9586" t="str">
        <f t="shared" si="402"/>
        <v>029PINK FLOYD</v>
      </c>
      <c r="H9586" s="5">
        <v>2800</v>
      </c>
      <c r="I9586" s="6">
        <v>3071.95</v>
      </c>
      <c r="J9586" s="5">
        <v>22400</v>
      </c>
      <c r="K9586" s="6">
        <f t="shared" si="403"/>
        <v>0.91147316850860205</v>
      </c>
    </row>
    <row r="9587" spans="1:11" hidden="1">
      <c r="A9587" s="4">
        <v>2026</v>
      </c>
      <c r="B9587">
        <v>36</v>
      </c>
      <c r="C9587" t="s">
        <v>54</v>
      </c>
      <c r="D9587" t="s">
        <v>11</v>
      </c>
      <c r="E9587" t="s">
        <v>47</v>
      </c>
      <c r="F9587" t="s">
        <v>57</v>
      </c>
      <c r="G9587" t="str">
        <f t="shared" si="402"/>
        <v>030EXPLORER</v>
      </c>
      <c r="H9587" s="5">
        <v>1900</v>
      </c>
      <c r="I9587" s="6">
        <v>1645.6875</v>
      </c>
      <c r="J9587" s="5">
        <v>12000</v>
      </c>
      <c r="K9587" s="6">
        <f t="shared" si="403"/>
        <v>1.1545326801108959</v>
      </c>
    </row>
    <row r="9588" spans="1:11" hidden="1">
      <c r="A9588" s="4">
        <v>2026</v>
      </c>
      <c r="B9588">
        <v>37</v>
      </c>
      <c r="C9588" t="s">
        <v>10</v>
      </c>
      <c r="D9588" t="s">
        <v>11</v>
      </c>
      <c r="E9588" t="s">
        <v>12</v>
      </c>
      <c r="F9588" t="s">
        <v>13</v>
      </c>
      <c r="G9588" t="str">
        <f t="shared" si="402"/>
        <v>002SOMERSET</v>
      </c>
      <c r="H9588" s="5">
        <v>7800</v>
      </c>
      <c r="I9588" s="6">
        <v>4121.4642855494085</v>
      </c>
      <c r="J9588" s="5">
        <v>31200</v>
      </c>
      <c r="K9588" s="6">
        <f t="shared" si="403"/>
        <v>1.8925312606367102</v>
      </c>
    </row>
    <row r="9589" spans="1:11" hidden="1">
      <c r="A9589" s="4">
        <v>2026</v>
      </c>
      <c r="B9589">
        <v>37</v>
      </c>
      <c r="C9589" t="s">
        <v>10</v>
      </c>
      <c r="D9589" t="s">
        <v>11</v>
      </c>
      <c r="E9589" t="s">
        <v>14</v>
      </c>
      <c r="F9589" t="s">
        <v>15</v>
      </c>
      <c r="G9589" t="str">
        <f t="shared" si="402"/>
        <v>004BELLINA</v>
      </c>
      <c r="H9589" s="5">
        <v>1200</v>
      </c>
      <c r="I9589" s="6">
        <v>1056.7857142434418</v>
      </c>
      <c r="J9589" s="5">
        <v>8000</v>
      </c>
      <c r="K9589" s="6">
        <f t="shared" si="403"/>
        <v>1.1355187563820222</v>
      </c>
    </row>
    <row r="9590" spans="1:11" hidden="1">
      <c r="A9590" s="4">
        <v>2026</v>
      </c>
      <c r="B9590">
        <v>37</v>
      </c>
      <c r="C9590" t="s">
        <v>10</v>
      </c>
      <c r="D9590" t="s">
        <v>11</v>
      </c>
      <c r="E9590" t="s">
        <v>16</v>
      </c>
      <c r="F9590" t="s">
        <v>17</v>
      </c>
      <c r="G9590" t="str">
        <f t="shared" si="402"/>
        <v>005ELBA</v>
      </c>
      <c r="H9590" s="5">
        <v>7170</v>
      </c>
      <c r="I9590" s="6">
        <v>2641.9642856076484</v>
      </c>
      <c r="J9590" s="5">
        <v>19996</v>
      </c>
      <c r="K9590" s="6">
        <f t="shared" si="403"/>
        <v>2.7138898277540151</v>
      </c>
    </row>
    <row r="9591" spans="1:11" hidden="1">
      <c r="A9591" s="4">
        <v>2026</v>
      </c>
      <c r="B9591">
        <v>37</v>
      </c>
      <c r="C9591" t="s">
        <v>10</v>
      </c>
      <c r="D9591" t="s">
        <v>11</v>
      </c>
      <c r="E9591" t="s">
        <v>16</v>
      </c>
      <c r="F9591" t="s">
        <v>18</v>
      </c>
      <c r="G9591" t="str">
        <f t="shared" si="402"/>
        <v>005HOT BUBBLES</v>
      </c>
      <c r="H9591" s="5">
        <v>1040</v>
      </c>
      <c r="I9591" s="6">
        <v>528.39285712153003</v>
      </c>
      <c r="J9591" s="5">
        <v>4000</v>
      </c>
      <c r="K9591" s="6">
        <f t="shared" si="403"/>
        <v>1.9682325110628827</v>
      </c>
    </row>
    <row r="9592" spans="1:11" hidden="1">
      <c r="A9592" s="4">
        <v>2026</v>
      </c>
      <c r="B9592">
        <v>37</v>
      </c>
      <c r="C9592" t="s">
        <v>10</v>
      </c>
      <c r="D9592" t="s">
        <v>11</v>
      </c>
      <c r="E9592" t="s">
        <v>16</v>
      </c>
      <c r="F9592" t="s">
        <v>19</v>
      </c>
      <c r="G9592" t="str">
        <f t="shared" si="402"/>
        <v>005SUSPIRO</v>
      </c>
      <c r="H9592" s="5">
        <v>3240</v>
      </c>
      <c r="I9592" s="6">
        <v>1902.2142856375078</v>
      </c>
      <c r="J9592" s="5">
        <v>14400</v>
      </c>
      <c r="K9592" s="6">
        <f t="shared" si="403"/>
        <v>1.7032781345736487</v>
      </c>
    </row>
    <row r="9593" spans="1:11" hidden="1">
      <c r="A9593" s="4">
        <v>2026</v>
      </c>
      <c r="B9593">
        <v>37</v>
      </c>
      <c r="C9593" t="s">
        <v>10</v>
      </c>
      <c r="D9593" t="s">
        <v>11</v>
      </c>
      <c r="E9593" t="s">
        <v>20</v>
      </c>
      <c r="F9593" t="s">
        <v>21</v>
      </c>
      <c r="G9593" t="str">
        <f t="shared" si="402"/>
        <v>007SNOW BUBBLES</v>
      </c>
      <c r="H9593" s="5">
        <v>860</v>
      </c>
      <c r="I9593" s="6">
        <v>634.05652706821195</v>
      </c>
      <c r="J9593" s="5">
        <v>4800</v>
      </c>
      <c r="K9593" s="6">
        <f t="shared" si="403"/>
        <v>1.3563459459624505</v>
      </c>
    </row>
    <row r="9594" spans="1:11" hidden="1">
      <c r="A9594" s="4">
        <v>2026</v>
      </c>
      <c r="B9594">
        <v>37</v>
      </c>
      <c r="C9594" t="s">
        <v>10</v>
      </c>
      <c r="D9594" t="s">
        <v>11</v>
      </c>
      <c r="E9594" t="s">
        <v>22</v>
      </c>
      <c r="F9594" t="s">
        <v>18</v>
      </c>
      <c r="G9594" t="str">
        <f t="shared" si="402"/>
        <v>009HOT BUBBLES</v>
      </c>
      <c r="H9594" s="5">
        <v>9920</v>
      </c>
      <c r="I9594" s="6">
        <v>4487.9999999102474</v>
      </c>
      <c r="J9594" s="5">
        <v>31740</v>
      </c>
      <c r="K9594" s="6">
        <f t="shared" si="403"/>
        <v>2.2103386809711192</v>
      </c>
    </row>
    <row r="9595" spans="1:11" hidden="1">
      <c r="A9595" s="4">
        <v>2026</v>
      </c>
      <c r="B9595">
        <v>37</v>
      </c>
      <c r="C9595" t="s">
        <v>10</v>
      </c>
      <c r="D9595" t="s">
        <v>11</v>
      </c>
      <c r="E9595" t="s">
        <v>23</v>
      </c>
      <c r="F9595" t="s">
        <v>24</v>
      </c>
      <c r="G9595" t="str">
        <f t="shared" si="402"/>
        <v>014FRUITY BUBBLES</v>
      </c>
      <c r="H9595" s="5">
        <v>2450</v>
      </c>
      <c r="I9595" s="6">
        <v>1702.8</v>
      </c>
      <c r="J9595" s="5">
        <v>12900</v>
      </c>
      <c r="K9595" s="6">
        <f t="shared" si="403"/>
        <v>1.4388066713648109</v>
      </c>
    </row>
    <row r="9596" spans="1:11" hidden="1">
      <c r="A9596" s="4">
        <v>2026</v>
      </c>
      <c r="B9596">
        <v>37</v>
      </c>
      <c r="C9596" t="s">
        <v>10</v>
      </c>
      <c r="D9596" t="s">
        <v>11</v>
      </c>
      <c r="E9596" t="s">
        <v>25</v>
      </c>
      <c r="F9596" t="s">
        <v>26</v>
      </c>
      <c r="G9596" t="str">
        <f t="shared" si="402"/>
        <v>015FELLINI</v>
      </c>
      <c r="H9596" s="5">
        <v>4360</v>
      </c>
      <c r="I9596" s="6">
        <v>3009.6</v>
      </c>
      <c r="J9596" s="5">
        <v>22800</v>
      </c>
      <c r="K9596" s="6">
        <f t="shared" si="403"/>
        <v>1.4486975013290804</v>
      </c>
    </row>
    <row r="9597" spans="1:11" hidden="1">
      <c r="A9597" s="4">
        <v>2026</v>
      </c>
      <c r="B9597">
        <v>37</v>
      </c>
      <c r="C9597" t="s">
        <v>10</v>
      </c>
      <c r="D9597" t="s">
        <v>11</v>
      </c>
      <c r="E9597" t="s">
        <v>27</v>
      </c>
      <c r="F9597" t="s">
        <v>28</v>
      </c>
      <c r="G9597" t="str">
        <f t="shared" si="402"/>
        <v>016GOOD PEACH</v>
      </c>
      <c r="H9597" s="5">
        <v>3540</v>
      </c>
      <c r="I9597" s="6">
        <v>1386</v>
      </c>
      <c r="J9597" s="5">
        <v>10500</v>
      </c>
      <c r="K9597" s="6">
        <f t="shared" si="403"/>
        <v>2.554112554112554</v>
      </c>
    </row>
    <row r="9598" spans="1:11" hidden="1">
      <c r="A9598" s="4">
        <v>2026</v>
      </c>
      <c r="B9598">
        <v>37</v>
      </c>
      <c r="C9598" t="s">
        <v>10</v>
      </c>
      <c r="D9598" t="s">
        <v>11</v>
      </c>
      <c r="E9598" t="s">
        <v>27</v>
      </c>
      <c r="F9598" t="s">
        <v>29</v>
      </c>
      <c r="G9598" t="str">
        <f t="shared" si="402"/>
        <v>016GOOD YELLOW</v>
      </c>
      <c r="H9598" s="5">
        <v>3870</v>
      </c>
      <c r="I9598" s="6">
        <v>1386</v>
      </c>
      <c r="J9598" s="5">
        <v>10500</v>
      </c>
      <c r="K9598" s="6">
        <f t="shared" si="403"/>
        <v>2.7922077922077921</v>
      </c>
    </row>
    <row r="9599" spans="1:11" hidden="1">
      <c r="A9599" s="4">
        <v>2026</v>
      </c>
      <c r="B9599">
        <v>37</v>
      </c>
      <c r="C9599" t="s">
        <v>10</v>
      </c>
      <c r="D9599" t="s">
        <v>11</v>
      </c>
      <c r="E9599" t="s">
        <v>30</v>
      </c>
      <c r="F9599" t="s">
        <v>31</v>
      </c>
      <c r="G9599" t="str">
        <f t="shared" si="402"/>
        <v>017ORANGE STAR</v>
      </c>
      <c r="H9599" s="5">
        <v>1150</v>
      </c>
      <c r="I9599" s="6">
        <v>1029.5999999999999</v>
      </c>
      <c r="J9599" s="5">
        <v>7800</v>
      </c>
      <c r="K9599" s="6">
        <f t="shared" si="403"/>
        <v>1.1169386169386171</v>
      </c>
    </row>
    <row r="9600" spans="1:11" hidden="1">
      <c r="A9600" s="4">
        <v>2026</v>
      </c>
      <c r="B9600">
        <v>37</v>
      </c>
      <c r="C9600" t="s">
        <v>10</v>
      </c>
      <c r="D9600" t="s">
        <v>11</v>
      </c>
      <c r="E9600" t="s">
        <v>32</v>
      </c>
      <c r="F9600" t="s">
        <v>33</v>
      </c>
      <c r="G9600" t="str">
        <f t="shared" si="402"/>
        <v>018COSMO</v>
      </c>
      <c r="H9600" s="5">
        <v>3625</v>
      </c>
      <c r="I9600" s="6">
        <v>2653.2</v>
      </c>
      <c r="J9600" s="5">
        <v>20100</v>
      </c>
      <c r="K9600" s="6">
        <f t="shared" si="403"/>
        <v>1.3662746871702096</v>
      </c>
    </row>
    <row r="9601" spans="1:11" hidden="1">
      <c r="A9601" s="4">
        <v>2026</v>
      </c>
      <c r="B9601">
        <v>37</v>
      </c>
      <c r="C9601" t="s">
        <v>10</v>
      </c>
      <c r="D9601" t="s">
        <v>11</v>
      </c>
      <c r="E9601" t="s">
        <v>32</v>
      </c>
      <c r="F9601" t="s">
        <v>34</v>
      </c>
      <c r="G9601" t="str">
        <f t="shared" si="402"/>
        <v>018RUBICON</v>
      </c>
      <c r="H9601" s="5">
        <v>3960</v>
      </c>
      <c r="I9601" s="6">
        <v>1768.8</v>
      </c>
      <c r="J9601" s="5">
        <v>13400</v>
      </c>
      <c r="K9601" s="6">
        <f t="shared" si="403"/>
        <v>2.238805970149254</v>
      </c>
    </row>
    <row r="9602" spans="1:11" hidden="1">
      <c r="A9602" s="4">
        <v>2026</v>
      </c>
      <c r="B9602">
        <v>37</v>
      </c>
      <c r="C9602" t="s">
        <v>10</v>
      </c>
      <c r="D9602" t="s">
        <v>11</v>
      </c>
      <c r="E9602" t="s">
        <v>35</v>
      </c>
      <c r="F9602" t="s">
        <v>15</v>
      </c>
      <c r="G9602" t="str">
        <f t="shared" si="402"/>
        <v>019BELLINA</v>
      </c>
      <c r="H9602" s="5">
        <v>930</v>
      </c>
      <c r="I9602" s="6">
        <v>1029.5999999999999</v>
      </c>
      <c r="J9602" s="5">
        <v>7800</v>
      </c>
      <c r="K9602" s="6">
        <f t="shared" si="403"/>
        <v>0.90326340326340337</v>
      </c>
    </row>
    <row r="9603" spans="1:11" hidden="1">
      <c r="A9603" s="4">
        <v>2026</v>
      </c>
      <c r="B9603">
        <v>37</v>
      </c>
      <c r="C9603" t="s">
        <v>10</v>
      </c>
      <c r="D9603" t="s">
        <v>11</v>
      </c>
      <c r="E9603" t="s">
        <v>36</v>
      </c>
      <c r="F9603" t="s">
        <v>37</v>
      </c>
      <c r="G9603" t="str">
        <f t="shared" si="402"/>
        <v>020SUMMER DANCE</v>
      </c>
      <c r="H9603" s="5">
        <v>2675</v>
      </c>
      <c r="I9603" s="6">
        <v>1346.4</v>
      </c>
      <c r="J9603" s="5">
        <v>10200</v>
      </c>
      <c r="K9603" s="6">
        <f t="shared" si="403"/>
        <v>1.986779560308972</v>
      </c>
    </row>
    <row r="9604" spans="1:11" hidden="1">
      <c r="A9604" s="4">
        <v>2026</v>
      </c>
      <c r="B9604">
        <v>37</v>
      </c>
      <c r="C9604" t="s">
        <v>10</v>
      </c>
      <c r="D9604" t="s">
        <v>11</v>
      </c>
      <c r="E9604" t="s">
        <v>38</v>
      </c>
      <c r="F9604" t="s">
        <v>39</v>
      </c>
      <c r="G9604" t="str">
        <f t="shared" si="402"/>
        <v>021ELEGANT ROSEVER</v>
      </c>
      <c r="H9604" s="5">
        <v>270</v>
      </c>
      <c r="I9604" s="6">
        <v>440.18999062500001</v>
      </c>
      <c r="J9604" s="5">
        <v>3200</v>
      </c>
      <c r="K9604" s="6">
        <f t="shared" si="403"/>
        <v>0.61337151173438265</v>
      </c>
    </row>
    <row r="9605" spans="1:11" hidden="1">
      <c r="A9605" s="4">
        <v>2026</v>
      </c>
      <c r="B9605">
        <v>37</v>
      </c>
      <c r="C9605" t="s">
        <v>10</v>
      </c>
      <c r="D9605" t="s">
        <v>11</v>
      </c>
      <c r="E9605" t="s">
        <v>38</v>
      </c>
      <c r="F9605" t="s">
        <v>40</v>
      </c>
      <c r="G9605" t="str">
        <f t="shared" si="402"/>
        <v>021FLAME CLUB</v>
      </c>
      <c r="H9605" s="5">
        <v>1325</v>
      </c>
      <c r="I9605" s="6">
        <v>880.38</v>
      </c>
      <c r="J9605" s="5">
        <v>6400</v>
      </c>
      <c r="K9605" s="6">
        <f t="shared" si="403"/>
        <v>1.5050319180353937</v>
      </c>
    </row>
    <row r="9606" spans="1:11" hidden="1">
      <c r="A9606" s="4">
        <v>2026</v>
      </c>
      <c r="B9606">
        <v>37</v>
      </c>
      <c r="C9606" t="s">
        <v>10</v>
      </c>
      <c r="D9606" t="s">
        <v>11</v>
      </c>
      <c r="E9606" t="s">
        <v>38</v>
      </c>
      <c r="F9606" t="s">
        <v>41</v>
      </c>
      <c r="G9606" t="str">
        <f t="shared" si="402"/>
        <v>021KELLY</v>
      </c>
      <c r="H9606" s="5">
        <v>800</v>
      </c>
      <c r="I9606" s="6">
        <v>330.14249999999998</v>
      </c>
      <c r="J9606" s="5">
        <v>2400</v>
      </c>
      <c r="K9606" s="6">
        <f t="shared" si="403"/>
        <v>2.423196044132458</v>
      </c>
    </row>
    <row r="9607" spans="1:11" hidden="1">
      <c r="A9607" s="4">
        <v>2026</v>
      </c>
      <c r="B9607">
        <v>37</v>
      </c>
      <c r="C9607" t="s">
        <v>10</v>
      </c>
      <c r="D9607" t="s">
        <v>11</v>
      </c>
      <c r="E9607" t="s">
        <v>38</v>
      </c>
      <c r="F9607" t="s">
        <v>42</v>
      </c>
      <c r="G9607" t="str">
        <f t="shared" ref="G9607:G9670" si="404">+E9607&amp;F9607</f>
        <v>021LEILA</v>
      </c>
      <c r="H9607" s="5">
        <v>2700</v>
      </c>
      <c r="I9607" s="6">
        <v>1650.7125000000001</v>
      </c>
      <c r="J9607" s="5">
        <v>12000</v>
      </c>
      <c r="K9607" s="6">
        <f t="shared" si="403"/>
        <v>1.635657329789409</v>
      </c>
    </row>
    <row r="9608" spans="1:11" hidden="1">
      <c r="A9608" s="4">
        <v>2026</v>
      </c>
      <c r="B9608">
        <v>37</v>
      </c>
      <c r="C9608" t="s">
        <v>10</v>
      </c>
      <c r="D9608" t="s">
        <v>11</v>
      </c>
      <c r="E9608" t="s">
        <v>38</v>
      </c>
      <c r="F9608" t="s">
        <v>21</v>
      </c>
      <c r="G9608" t="str">
        <f t="shared" si="404"/>
        <v>021SNOW BUBBLES</v>
      </c>
      <c r="H9608" s="5">
        <v>1820</v>
      </c>
      <c r="I9608" s="6">
        <v>1287.0000000000018</v>
      </c>
      <c r="J9608" s="5">
        <v>9400</v>
      </c>
      <c r="K9608" s="6">
        <f t="shared" si="403"/>
        <v>1.4141414141414121</v>
      </c>
    </row>
    <row r="9609" spans="1:11" hidden="1">
      <c r="A9609" s="4">
        <v>2026</v>
      </c>
      <c r="B9609">
        <v>37</v>
      </c>
      <c r="C9609" t="s">
        <v>10</v>
      </c>
      <c r="D9609" t="s">
        <v>11</v>
      </c>
      <c r="E9609" t="s">
        <v>43</v>
      </c>
      <c r="F9609" t="s">
        <v>24</v>
      </c>
      <c r="G9609" t="str">
        <f t="shared" si="404"/>
        <v>022FRUITY BUBBLES</v>
      </c>
      <c r="H9609" s="5">
        <v>3875</v>
      </c>
      <c r="I9609" s="6">
        <v>2641.14</v>
      </c>
      <c r="J9609" s="5">
        <v>19200</v>
      </c>
      <c r="K9609" s="6">
        <f t="shared" si="403"/>
        <v>1.4671694798458241</v>
      </c>
    </row>
    <row r="9610" spans="1:11" hidden="1">
      <c r="A9610" s="4">
        <v>2026</v>
      </c>
      <c r="B9610">
        <v>37</v>
      </c>
      <c r="C9610" t="s">
        <v>10</v>
      </c>
      <c r="D9610" t="s">
        <v>11</v>
      </c>
      <c r="E9610" t="s">
        <v>43</v>
      </c>
      <c r="F9610" t="s">
        <v>28</v>
      </c>
      <c r="G9610" t="str">
        <f t="shared" si="404"/>
        <v>022GOOD PEACH</v>
      </c>
      <c r="H9610" s="5">
        <v>1950</v>
      </c>
      <c r="I9610" s="6">
        <v>880.38</v>
      </c>
      <c r="J9610" s="5">
        <v>6400</v>
      </c>
      <c r="K9610" s="6">
        <f t="shared" si="403"/>
        <v>2.2149526340898249</v>
      </c>
    </row>
    <row r="9611" spans="1:11" hidden="1">
      <c r="A9611" s="4">
        <v>2026</v>
      </c>
      <c r="B9611">
        <v>37</v>
      </c>
      <c r="C9611" t="s">
        <v>10</v>
      </c>
      <c r="D9611" t="s">
        <v>11</v>
      </c>
      <c r="E9611" t="s">
        <v>43</v>
      </c>
      <c r="F9611" t="s">
        <v>44</v>
      </c>
      <c r="G9611" t="str">
        <f t="shared" si="404"/>
        <v>022MIRABEL</v>
      </c>
      <c r="H9611" s="5">
        <v>1500</v>
      </c>
      <c r="I9611" s="6">
        <v>880.38</v>
      </c>
      <c r="J9611" s="5">
        <v>6400</v>
      </c>
      <c r="K9611" s="6">
        <f t="shared" si="403"/>
        <v>1.7038097185306345</v>
      </c>
    </row>
    <row r="9612" spans="1:11" hidden="1">
      <c r="A9612" s="4">
        <v>2026</v>
      </c>
      <c r="B9612">
        <v>37</v>
      </c>
      <c r="C9612" t="s">
        <v>10</v>
      </c>
      <c r="D9612" t="s">
        <v>11</v>
      </c>
      <c r="E9612" t="s">
        <v>45</v>
      </c>
      <c r="F9612" t="s">
        <v>46</v>
      </c>
      <c r="G9612" t="str">
        <f t="shared" si="404"/>
        <v>026PURPLE BUBBLY</v>
      </c>
      <c r="H9612" s="5">
        <v>340</v>
      </c>
      <c r="I9612" s="6">
        <v>1755.4</v>
      </c>
      <c r="J9612" s="5">
        <v>12800</v>
      </c>
      <c r="K9612" s="6">
        <f t="shared" si="403"/>
        <v>0.19368804830807793</v>
      </c>
    </row>
    <row r="9613" spans="1:11" hidden="1">
      <c r="A9613" s="4">
        <v>2026</v>
      </c>
      <c r="B9613">
        <v>37</v>
      </c>
      <c r="C9613" t="s">
        <v>10</v>
      </c>
      <c r="D9613" t="s">
        <v>11</v>
      </c>
      <c r="E9613" t="s">
        <v>47</v>
      </c>
      <c r="F9613" t="s">
        <v>44</v>
      </c>
      <c r="G9613" t="str">
        <f t="shared" si="404"/>
        <v>030MIRABEL</v>
      </c>
      <c r="H9613" s="5">
        <v>4060</v>
      </c>
      <c r="I9613" s="6">
        <v>2413.6749943750001</v>
      </c>
      <c r="J9613" s="5">
        <v>17600</v>
      </c>
      <c r="K9613" s="6">
        <f t="shared" si="403"/>
        <v>1.6820823058041008</v>
      </c>
    </row>
    <row r="9614" spans="1:11" hidden="1">
      <c r="A9614" s="4">
        <v>2026</v>
      </c>
      <c r="B9614">
        <v>37</v>
      </c>
      <c r="C9614" t="s">
        <v>10</v>
      </c>
      <c r="D9614" t="s">
        <v>11</v>
      </c>
      <c r="E9614" t="s">
        <v>47</v>
      </c>
      <c r="F9614" t="s">
        <v>13</v>
      </c>
      <c r="G9614" t="str">
        <f t="shared" si="404"/>
        <v>030SOMERSET</v>
      </c>
      <c r="H9614" s="5">
        <v>3180</v>
      </c>
      <c r="I9614" s="6">
        <v>1645.6875</v>
      </c>
      <c r="J9614" s="5">
        <v>12000</v>
      </c>
      <c r="K9614" s="6">
        <f t="shared" si="403"/>
        <v>1.9323231172382362</v>
      </c>
    </row>
    <row r="9615" spans="1:11" hidden="1">
      <c r="A9615" s="4">
        <v>2026</v>
      </c>
      <c r="B9615">
        <v>37</v>
      </c>
      <c r="C9615" t="s">
        <v>10</v>
      </c>
      <c r="D9615" t="s">
        <v>11</v>
      </c>
      <c r="E9615" t="s">
        <v>48</v>
      </c>
      <c r="F9615" t="s">
        <v>49</v>
      </c>
      <c r="G9615" t="str">
        <f t="shared" si="404"/>
        <v>03182989</v>
      </c>
      <c r="H9615" s="5">
        <v>2300</v>
      </c>
      <c r="I9615" s="6">
        <v>726.32013058333712</v>
      </c>
      <c r="J9615" s="5">
        <v>5712</v>
      </c>
      <c r="K9615" s="6">
        <f t="shared" si="403"/>
        <v>3.1666477399611339</v>
      </c>
    </row>
    <row r="9616" spans="1:11" hidden="1">
      <c r="A9616" s="4">
        <v>2026</v>
      </c>
      <c r="B9616">
        <v>37</v>
      </c>
      <c r="C9616" t="s">
        <v>10</v>
      </c>
      <c r="D9616" t="s">
        <v>11</v>
      </c>
      <c r="E9616" t="s">
        <v>48</v>
      </c>
      <c r="F9616" t="s">
        <v>34</v>
      </c>
      <c r="G9616" t="str">
        <f t="shared" si="404"/>
        <v>031RUBICON</v>
      </c>
      <c r="H9616" s="5">
        <v>2100</v>
      </c>
      <c r="I9616" s="6">
        <v>924.39958333667107</v>
      </c>
      <c r="J9616" s="5">
        <v>6720</v>
      </c>
      <c r="K9616" s="6">
        <f t="shared" si="403"/>
        <v>2.2717448578026556</v>
      </c>
    </row>
    <row r="9617" spans="1:11" hidden="1">
      <c r="A9617" s="4">
        <v>2026</v>
      </c>
      <c r="B9617">
        <v>37</v>
      </c>
      <c r="C9617" t="s">
        <v>10</v>
      </c>
      <c r="D9617" t="s">
        <v>11</v>
      </c>
      <c r="E9617" t="s">
        <v>48</v>
      </c>
      <c r="F9617" t="s">
        <v>13</v>
      </c>
      <c r="G9617" t="str">
        <f t="shared" si="404"/>
        <v>031SOMERSET</v>
      </c>
      <c r="H9617" s="5">
        <v>2300</v>
      </c>
      <c r="I9617" s="6">
        <v>1122.485208333339</v>
      </c>
      <c r="J9617" s="5">
        <v>8160</v>
      </c>
      <c r="K9617" s="6">
        <f t="shared" si="403"/>
        <v>2.0490247737117442</v>
      </c>
    </row>
    <row r="9618" spans="1:11" hidden="1">
      <c r="A9618" s="4">
        <v>2026</v>
      </c>
      <c r="B9618">
        <v>37</v>
      </c>
      <c r="C9618" t="s">
        <v>10</v>
      </c>
      <c r="D9618" t="s">
        <v>11</v>
      </c>
      <c r="E9618" t="s">
        <v>48</v>
      </c>
      <c r="F9618" t="s">
        <v>50</v>
      </c>
      <c r="G9618" t="str">
        <f t="shared" si="404"/>
        <v>031VELVET BLOSSOMS</v>
      </c>
      <c r="H9618" s="5">
        <v>580</v>
      </c>
      <c r="I9618" s="6">
        <v>396.17125000000198</v>
      </c>
      <c r="J9618" s="5">
        <v>2880</v>
      </c>
      <c r="K9618" s="6">
        <f t="shared" si="403"/>
        <v>1.4640133528114347</v>
      </c>
    </row>
    <row r="9619" spans="1:11" hidden="1">
      <c r="A9619" s="4">
        <v>2026</v>
      </c>
      <c r="B9619">
        <v>37</v>
      </c>
      <c r="C9619" t="s">
        <v>10</v>
      </c>
      <c r="D9619" t="s">
        <v>11</v>
      </c>
      <c r="E9619" t="s">
        <v>51</v>
      </c>
      <c r="F9619" t="s">
        <v>17</v>
      </c>
      <c r="G9619" t="str">
        <f t="shared" si="404"/>
        <v>032ELBA</v>
      </c>
      <c r="H9619" s="5">
        <v>2970</v>
      </c>
      <c r="I9619" s="6">
        <v>1535.9749999999999</v>
      </c>
      <c r="J9619" s="5">
        <v>11200</v>
      </c>
      <c r="K9619" s="6">
        <f t="shared" si="403"/>
        <v>1.9336252217646772</v>
      </c>
    </row>
    <row r="9620" spans="1:11" hidden="1">
      <c r="A9620" s="4">
        <v>2026</v>
      </c>
      <c r="B9620">
        <v>37</v>
      </c>
      <c r="C9620" t="s">
        <v>10</v>
      </c>
      <c r="D9620" t="s">
        <v>11</v>
      </c>
      <c r="E9620" t="s">
        <v>51</v>
      </c>
      <c r="F9620" t="s">
        <v>44</v>
      </c>
      <c r="G9620" t="str">
        <f t="shared" si="404"/>
        <v>032MIRABEL</v>
      </c>
      <c r="H9620" s="5">
        <v>1800</v>
      </c>
      <c r="I9620" s="6">
        <v>1535.9749999999999</v>
      </c>
      <c r="J9620" s="5">
        <v>11200</v>
      </c>
      <c r="K9620" s="6">
        <f t="shared" si="403"/>
        <v>1.171894073796774</v>
      </c>
    </row>
    <row r="9621" spans="1:11" hidden="1">
      <c r="A9621" s="4">
        <v>2026</v>
      </c>
      <c r="B9621">
        <v>37</v>
      </c>
      <c r="C9621" t="s">
        <v>10</v>
      </c>
      <c r="D9621" t="s">
        <v>11</v>
      </c>
      <c r="E9621" t="s">
        <v>52</v>
      </c>
      <c r="F9621" t="s">
        <v>53</v>
      </c>
      <c r="G9621" t="str">
        <f t="shared" si="404"/>
        <v>033CREAMY FOLIES</v>
      </c>
      <c r="H9621" s="5">
        <v>1350</v>
      </c>
      <c r="I9621" s="6">
        <v>594.25687500000299</v>
      </c>
      <c r="J9621" s="5">
        <v>4320</v>
      </c>
      <c r="K9621" s="6">
        <f t="shared" si="403"/>
        <v>2.2717448578108468</v>
      </c>
    </row>
    <row r="9622" spans="1:11" hidden="1">
      <c r="A9622" s="4">
        <v>2026</v>
      </c>
      <c r="B9622">
        <v>37</v>
      </c>
      <c r="C9622" t="s">
        <v>10</v>
      </c>
      <c r="D9622" t="s">
        <v>11</v>
      </c>
      <c r="E9622" t="s">
        <v>52</v>
      </c>
      <c r="F9622" t="s">
        <v>18</v>
      </c>
      <c r="G9622" t="str">
        <f t="shared" si="404"/>
        <v>033HOT BUBBLES</v>
      </c>
      <c r="H9622" s="5">
        <v>4500</v>
      </c>
      <c r="I9622" s="6">
        <v>2575.1131250013459</v>
      </c>
      <c r="J9622" s="5">
        <v>18720</v>
      </c>
      <c r="K9622" s="6">
        <f t="shared" si="403"/>
        <v>1.7474960444689778</v>
      </c>
    </row>
    <row r="9623" spans="1:11" hidden="1">
      <c r="A9623" s="4">
        <v>2026</v>
      </c>
      <c r="B9623">
        <v>37</v>
      </c>
      <c r="C9623" t="s">
        <v>54</v>
      </c>
      <c r="D9623" t="s">
        <v>11</v>
      </c>
      <c r="E9623" t="s">
        <v>55</v>
      </c>
      <c r="F9623" t="s">
        <v>56</v>
      </c>
      <c r="G9623" t="str">
        <f t="shared" si="404"/>
        <v>001BELIEVE IN PINK</v>
      </c>
      <c r="H9623" s="5">
        <v>1320</v>
      </c>
      <c r="I9623" s="6">
        <v>528.37931032368999</v>
      </c>
      <c r="J9623" s="5">
        <v>4000</v>
      </c>
      <c r="K9623" s="6">
        <f t="shared" ref="K9623:K9629" si="405">IFERROR(H9623/I9623,"")</f>
        <v>2.4982053123756036</v>
      </c>
    </row>
    <row r="9624" spans="1:11" hidden="1">
      <c r="A9624" s="4">
        <v>2026</v>
      </c>
      <c r="B9624">
        <v>37</v>
      </c>
      <c r="C9624" t="s">
        <v>54</v>
      </c>
      <c r="D9624" t="s">
        <v>11</v>
      </c>
      <c r="E9624" t="s">
        <v>55</v>
      </c>
      <c r="F9624" t="s">
        <v>57</v>
      </c>
      <c r="G9624" t="str">
        <f t="shared" si="404"/>
        <v>001EXPLORER</v>
      </c>
      <c r="H9624" s="5">
        <v>3950</v>
      </c>
      <c r="I9624" s="6">
        <v>2272.0310343918732</v>
      </c>
      <c r="J9624" s="5">
        <v>17200</v>
      </c>
      <c r="K9624" s="6">
        <f t="shared" si="405"/>
        <v>1.7385325905362241</v>
      </c>
    </row>
    <row r="9625" spans="1:11" hidden="1">
      <c r="A9625" s="4">
        <v>2026</v>
      </c>
      <c r="B9625">
        <v>37</v>
      </c>
      <c r="C9625" t="s">
        <v>54</v>
      </c>
      <c r="D9625" t="s">
        <v>11</v>
      </c>
      <c r="E9625" t="s">
        <v>55</v>
      </c>
      <c r="F9625" t="s">
        <v>58</v>
      </c>
      <c r="G9625" t="str">
        <f t="shared" si="404"/>
        <v>001GRACE KELLY</v>
      </c>
      <c r="H9625" s="5">
        <v>2160</v>
      </c>
      <c r="I9625" s="6">
        <v>1162.4344827121224</v>
      </c>
      <c r="J9625" s="5">
        <v>8800</v>
      </c>
      <c r="K9625" s="6">
        <f t="shared" si="405"/>
        <v>1.8581692406099461</v>
      </c>
    </row>
    <row r="9626" spans="1:11" hidden="1">
      <c r="A9626" s="4">
        <v>2026</v>
      </c>
      <c r="B9626">
        <v>37</v>
      </c>
      <c r="C9626" t="s">
        <v>54</v>
      </c>
      <c r="D9626" t="s">
        <v>11</v>
      </c>
      <c r="E9626" t="s">
        <v>55</v>
      </c>
      <c r="F9626" t="s">
        <v>59</v>
      </c>
      <c r="G9626" t="str">
        <f t="shared" si="404"/>
        <v>001IDOLE</v>
      </c>
      <c r="H9626" s="5">
        <v>770</v>
      </c>
      <c r="I9626" s="6">
        <v>1162.4344827121181</v>
      </c>
      <c r="J9626" s="5">
        <v>8800</v>
      </c>
      <c r="K9626" s="6">
        <f t="shared" si="405"/>
        <v>0.66240292373595544</v>
      </c>
    </row>
    <row r="9627" spans="1:11" hidden="1">
      <c r="A9627" s="4">
        <v>2026</v>
      </c>
      <c r="B9627">
        <v>37</v>
      </c>
      <c r="C9627" t="s">
        <v>54</v>
      </c>
      <c r="D9627" t="s">
        <v>11</v>
      </c>
      <c r="E9627" t="s">
        <v>55</v>
      </c>
      <c r="F9627" t="s">
        <v>60</v>
      </c>
      <c r="G9627" t="str">
        <f t="shared" si="404"/>
        <v>001LIGHT HOUSE</v>
      </c>
      <c r="H9627" s="5">
        <v>870</v>
      </c>
      <c r="I9627" s="6">
        <v>1056.7586206473827</v>
      </c>
      <c r="J9627" s="5">
        <v>8000</v>
      </c>
      <c r="K9627" s="6">
        <f t="shared" si="405"/>
        <v>0.82327220521468547</v>
      </c>
    </row>
    <row r="9628" spans="1:11" hidden="1">
      <c r="A9628" s="4">
        <v>2026</v>
      </c>
      <c r="B9628">
        <v>37</v>
      </c>
      <c r="C9628" t="s">
        <v>54</v>
      </c>
      <c r="D9628" t="s">
        <v>11</v>
      </c>
      <c r="E9628" t="s">
        <v>55</v>
      </c>
      <c r="F9628" t="s">
        <v>61</v>
      </c>
      <c r="G9628" t="str">
        <f t="shared" si="404"/>
        <v>001LUMIA</v>
      </c>
      <c r="H9628" s="5">
        <v>1290</v>
      </c>
      <c r="I9628" s="6">
        <v>1109.596551679753</v>
      </c>
      <c r="J9628" s="5">
        <v>8400</v>
      </c>
      <c r="K9628" s="6">
        <f t="shared" si="405"/>
        <v>1.1625847232916728</v>
      </c>
    </row>
    <row r="9629" spans="1:11" hidden="1">
      <c r="A9629" s="4">
        <v>2026</v>
      </c>
      <c r="B9629">
        <v>37</v>
      </c>
      <c r="C9629" t="s">
        <v>54</v>
      </c>
      <c r="D9629" t="s">
        <v>11</v>
      </c>
      <c r="E9629" t="s">
        <v>55</v>
      </c>
      <c r="F9629" t="s">
        <v>62</v>
      </c>
      <c r="G9629" t="str">
        <f t="shared" si="404"/>
        <v>001MOMENTUM</v>
      </c>
      <c r="H9629" s="5">
        <v>3450</v>
      </c>
      <c r="I9629" s="6">
        <v>1902.1655171652881</v>
      </c>
      <c r="J9629" s="5">
        <v>14400</v>
      </c>
      <c r="K9629" s="6">
        <f t="shared" si="405"/>
        <v>1.8137222911817792</v>
      </c>
    </row>
    <row r="9630" spans="1:11" hidden="1">
      <c r="A9630" s="4">
        <v>2026</v>
      </c>
      <c r="B9630">
        <v>37</v>
      </c>
      <c r="C9630" t="s">
        <v>54</v>
      </c>
      <c r="D9630" t="s">
        <v>11</v>
      </c>
      <c r="E9630" t="s">
        <v>12</v>
      </c>
      <c r="F9630" t="s">
        <v>63</v>
      </c>
      <c r="G9630" t="str">
        <f t="shared" si="404"/>
        <v>002SUMMER ROMANCE</v>
      </c>
      <c r="H9630" s="5">
        <v>3025</v>
      </c>
      <c r="I9630" s="6">
        <v>951.10714281909407</v>
      </c>
      <c r="J9630" s="5">
        <v>7200</v>
      </c>
      <c r="K9630" s="6">
        <f t="shared" ref="K9630:K9693" si="406">+H9630/I9630</f>
        <v>3.180503924125583</v>
      </c>
    </row>
    <row r="9631" spans="1:11" hidden="1">
      <c r="A9631" s="4">
        <v>2026</v>
      </c>
      <c r="B9631">
        <v>37</v>
      </c>
      <c r="C9631" t="s">
        <v>54</v>
      </c>
      <c r="D9631" t="s">
        <v>11</v>
      </c>
      <c r="E9631" t="s">
        <v>12</v>
      </c>
      <c r="F9631" t="s">
        <v>64</v>
      </c>
      <c r="G9631" t="str">
        <f t="shared" si="404"/>
        <v>002SWEETNESS</v>
      </c>
      <c r="H9631" s="5">
        <v>6540</v>
      </c>
      <c r="I9631" s="6">
        <v>3804.4285712763772</v>
      </c>
      <c r="J9631" s="5">
        <v>28800</v>
      </c>
      <c r="K9631" s="6">
        <f t="shared" si="406"/>
        <v>1.7190492284116783</v>
      </c>
    </row>
    <row r="9632" spans="1:11" hidden="1">
      <c r="A9632" s="4">
        <v>2026</v>
      </c>
      <c r="B9632">
        <v>37</v>
      </c>
      <c r="C9632" t="s">
        <v>54</v>
      </c>
      <c r="D9632" t="s">
        <v>11</v>
      </c>
      <c r="E9632" t="s">
        <v>65</v>
      </c>
      <c r="F9632" t="s">
        <v>66</v>
      </c>
      <c r="G9632" t="str">
        <f t="shared" si="404"/>
        <v>003CABARET</v>
      </c>
      <c r="H9632" s="5">
        <v>4110</v>
      </c>
      <c r="I9632" s="6">
        <v>2641.8965516184649</v>
      </c>
      <c r="J9632" s="5">
        <v>20000</v>
      </c>
      <c r="K9632" s="6">
        <f t="shared" si="406"/>
        <v>1.5557005808884354</v>
      </c>
    </row>
    <row r="9633" spans="1:11" hidden="1">
      <c r="A9633" s="4">
        <v>2026</v>
      </c>
      <c r="B9633">
        <v>37</v>
      </c>
      <c r="C9633" t="s">
        <v>54</v>
      </c>
      <c r="D9633" t="s">
        <v>11</v>
      </c>
      <c r="E9633" t="s">
        <v>65</v>
      </c>
      <c r="F9633" t="s">
        <v>67</v>
      </c>
      <c r="G9633" t="str">
        <f t="shared" si="404"/>
        <v>003DEEP PURPLE</v>
      </c>
      <c r="H9633" s="5">
        <v>5910</v>
      </c>
      <c r="I9633" s="6">
        <v>3592.9793102010913</v>
      </c>
      <c r="J9633" s="5">
        <v>26044</v>
      </c>
      <c r="K9633" s="6">
        <f t="shared" si="406"/>
        <v>1.6448744870922261</v>
      </c>
    </row>
    <row r="9634" spans="1:11" hidden="1">
      <c r="A9634" s="4">
        <v>2026</v>
      </c>
      <c r="B9634">
        <v>37</v>
      </c>
      <c r="C9634" t="s">
        <v>54</v>
      </c>
      <c r="D9634" t="s">
        <v>11</v>
      </c>
      <c r="E9634" t="s">
        <v>65</v>
      </c>
      <c r="F9634" t="s">
        <v>57</v>
      </c>
      <c r="G9634" t="str">
        <f t="shared" si="404"/>
        <v>003EXPLORER</v>
      </c>
      <c r="H9634" s="5">
        <v>2275</v>
      </c>
      <c r="I9634" s="6">
        <v>1268.1103447768633</v>
      </c>
      <c r="J9634" s="5">
        <v>9600</v>
      </c>
      <c r="K9634" s="6">
        <f t="shared" si="406"/>
        <v>1.7940079184515358</v>
      </c>
    </row>
    <row r="9635" spans="1:11" hidden="1">
      <c r="A9635" s="4">
        <v>2026</v>
      </c>
      <c r="B9635">
        <v>37</v>
      </c>
      <c r="C9635" t="s">
        <v>54</v>
      </c>
      <c r="D9635" t="s">
        <v>11</v>
      </c>
      <c r="E9635" t="s">
        <v>65</v>
      </c>
      <c r="F9635" t="s">
        <v>68</v>
      </c>
      <c r="G9635" t="str">
        <f t="shared" si="404"/>
        <v>003JOCKER</v>
      </c>
      <c r="H9635" s="5">
        <v>900</v>
      </c>
      <c r="I9635" s="6">
        <v>528.37931032368999</v>
      </c>
      <c r="J9635" s="5">
        <v>4000</v>
      </c>
      <c r="K9635" s="6">
        <f t="shared" si="406"/>
        <v>1.7033218038924571</v>
      </c>
    </row>
    <row r="9636" spans="1:11" hidden="1">
      <c r="A9636" s="4">
        <v>2026</v>
      </c>
      <c r="B9636">
        <v>37</v>
      </c>
      <c r="C9636" t="s">
        <v>54</v>
      </c>
      <c r="D9636" t="s">
        <v>11</v>
      </c>
      <c r="E9636" t="s">
        <v>65</v>
      </c>
      <c r="F9636" t="s">
        <v>69</v>
      </c>
      <c r="G9636" t="str">
        <f t="shared" si="404"/>
        <v>003QUICKSAND</v>
      </c>
      <c r="H9636" s="5">
        <v>1320</v>
      </c>
      <c r="I9636" s="6">
        <v>1162.4344827121247</v>
      </c>
      <c r="J9636" s="5">
        <v>8800</v>
      </c>
      <c r="K9636" s="6">
        <f t="shared" si="406"/>
        <v>1.1355478692616314</v>
      </c>
    </row>
    <row r="9637" spans="1:11" hidden="1">
      <c r="A9637" s="4">
        <v>2026</v>
      </c>
      <c r="B9637">
        <v>37</v>
      </c>
      <c r="C9637" t="s">
        <v>54</v>
      </c>
      <c r="D9637" t="s">
        <v>11</v>
      </c>
      <c r="E9637" t="s">
        <v>14</v>
      </c>
      <c r="F9637" t="s">
        <v>70</v>
      </c>
      <c r="G9637" t="str">
        <f t="shared" si="404"/>
        <v>004COTOPAXI</v>
      </c>
      <c r="H9637" s="5">
        <v>1200</v>
      </c>
      <c r="I9637" s="6">
        <v>528.3915024419166</v>
      </c>
      <c r="J9637" s="5">
        <v>4000</v>
      </c>
      <c r="K9637" s="6">
        <f t="shared" si="406"/>
        <v>2.2710433352056225</v>
      </c>
    </row>
    <row r="9638" spans="1:11" hidden="1">
      <c r="A9638" s="4">
        <v>2026</v>
      </c>
      <c r="B9638">
        <v>37</v>
      </c>
      <c r="C9638" t="s">
        <v>54</v>
      </c>
      <c r="D9638" t="s">
        <v>11</v>
      </c>
      <c r="E9638" t="s">
        <v>14</v>
      </c>
      <c r="F9638" t="s">
        <v>67</v>
      </c>
      <c r="G9638" t="str">
        <f t="shared" si="404"/>
        <v>004DEEP PURPLE</v>
      </c>
      <c r="H9638" s="5">
        <v>5700</v>
      </c>
      <c r="I9638" s="6">
        <v>3910.1071427007282</v>
      </c>
      <c r="J9638" s="5">
        <v>29260</v>
      </c>
      <c r="K9638" s="6">
        <f t="shared" si="406"/>
        <v>1.4577605656255712</v>
      </c>
    </row>
    <row r="9639" spans="1:11" hidden="1">
      <c r="A9639" s="4">
        <v>2026</v>
      </c>
      <c r="B9639">
        <v>37</v>
      </c>
      <c r="C9639" t="s">
        <v>54</v>
      </c>
      <c r="D9639" t="s">
        <v>11</v>
      </c>
      <c r="E9639" t="s">
        <v>14</v>
      </c>
      <c r="F9639" t="s">
        <v>71</v>
      </c>
      <c r="G9639" t="str">
        <f t="shared" si="404"/>
        <v>004HOT EXPLORER</v>
      </c>
      <c r="H9639" s="5">
        <v>3250</v>
      </c>
      <c r="I9639" s="6">
        <v>1902.2142856381945</v>
      </c>
      <c r="J9639" s="5">
        <v>14400</v>
      </c>
      <c r="K9639" s="6">
        <f t="shared" si="406"/>
        <v>1.7085351658525803</v>
      </c>
    </row>
    <row r="9640" spans="1:11" hidden="1">
      <c r="A9640" s="4">
        <v>2026</v>
      </c>
      <c r="B9640">
        <v>37</v>
      </c>
      <c r="C9640" t="s">
        <v>54</v>
      </c>
      <c r="D9640" t="s">
        <v>11</v>
      </c>
      <c r="E9640" t="s">
        <v>14</v>
      </c>
      <c r="F9640" t="s">
        <v>72</v>
      </c>
      <c r="G9640" t="str">
        <f t="shared" si="404"/>
        <v>004HOT MERENGUE</v>
      </c>
      <c r="H9640" s="5">
        <v>2370</v>
      </c>
      <c r="I9640" s="6">
        <v>1162.4642856677858</v>
      </c>
      <c r="J9640" s="5">
        <v>8800</v>
      </c>
      <c r="K9640" s="6">
        <f t="shared" si="406"/>
        <v>2.0387723125949946</v>
      </c>
    </row>
    <row r="9641" spans="1:11" hidden="1">
      <c r="A9641" s="4">
        <v>2026</v>
      </c>
      <c r="B9641">
        <v>37</v>
      </c>
      <c r="C9641" t="s">
        <v>54</v>
      </c>
      <c r="D9641" t="s">
        <v>11</v>
      </c>
      <c r="E9641" t="s">
        <v>14</v>
      </c>
      <c r="F9641" t="s">
        <v>64</v>
      </c>
      <c r="G9641" t="str">
        <f t="shared" si="404"/>
        <v>004SWEETNESS</v>
      </c>
      <c r="H9641" s="5">
        <v>390</v>
      </c>
      <c r="I9641" s="6">
        <v>317.03571427303262</v>
      </c>
      <c r="J9641" s="5">
        <v>2400</v>
      </c>
      <c r="K9641" s="6">
        <f t="shared" si="406"/>
        <v>1.230145319413857</v>
      </c>
    </row>
    <row r="9642" spans="1:11" hidden="1">
      <c r="A9642" s="4">
        <v>2026</v>
      </c>
      <c r="B9642">
        <v>37</v>
      </c>
      <c r="C9642" t="s">
        <v>54</v>
      </c>
      <c r="D9642" t="s">
        <v>11</v>
      </c>
      <c r="E9642" t="s">
        <v>16</v>
      </c>
      <c r="F9642" t="s">
        <v>57</v>
      </c>
      <c r="G9642" t="str">
        <f t="shared" si="404"/>
        <v>005EXPLORER</v>
      </c>
      <c r="H9642" s="5">
        <v>1450</v>
      </c>
      <c r="I9642" s="6">
        <v>951.10714281875391</v>
      </c>
      <c r="J9642" s="5">
        <v>7200</v>
      </c>
      <c r="K9642" s="6">
        <f t="shared" si="406"/>
        <v>1.5245390710690065</v>
      </c>
    </row>
    <row r="9643" spans="1:11" hidden="1">
      <c r="A9643" s="4">
        <v>2026</v>
      </c>
      <c r="B9643">
        <v>37</v>
      </c>
      <c r="C9643" t="s">
        <v>54</v>
      </c>
      <c r="D9643" t="s">
        <v>11</v>
      </c>
      <c r="E9643" t="s">
        <v>16</v>
      </c>
      <c r="F9643" t="s">
        <v>73</v>
      </c>
      <c r="G9643" t="str">
        <f t="shared" si="404"/>
        <v>005GOLDFINCH</v>
      </c>
      <c r="H9643" s="5">
        <v>825</v>
      </c>
      <c r="I9643" s="6">
        <v>898.26785710660101</v>
      </c>
      <c r="J9643" s="5">
        <v>6800</v>
      </c>
      <c r="K9643" s="6">
        <f t="shared" si="406"/>
        <v>0.91843428825049678</v>
      </c>
    </row>
    <row r="9644" spans="1:11" hidden="1">
      <c r="A9644" s="4">
        <v>2026</v>
      </c>
      <c r="B9644">
        <v>37</v>
      </c>
      <c r="C9644" t="s">
        <v>54</v>
      </c>
      <c r="D9644" t="s">
        <v>11</v>
      </c>
      <c r="E9644" t="s">
        <v>16</v>
      </c>
      <c r="F9644" t="s">
        <v>68</v>
      </c>
      <c r="G9644" t="str">
        <f t="shared" si="404"/>
        <v>005JOCKER</v>
      </c>
      <c r="H9644" s="5">
        <v>1875</v>
      </c>
      <c r="I9644" s="6">
        <v>1162.4642856673661</v>
      </c>
      <c r="J9644" s="5">
        <v>8800</v>
      </c>
      <c r="K9644" s="6">
        <f t="shared" si="406"/>
        <v>1.6129527789523186</v>
      </c>
    </row>
    <row r="9645" spans="1:11" hidden="1">
      <c r="A9645" s="4">
        <v>2026</v>
      </c>
      <c r="B9645">
        <v>37</v>
      </c>
      <c r="C9645" t="s">
        <v>54</v>
      </c>
      <c r="D9645" t="s">
        <v>11</v>
      </c>
      <c r="E9645" t="s">
        <v>16</v>
      </c>
      <c r="F9645" t="s">
        <v>74</v>
      </c>
      <c r="G9645" t="str">
        <f t="shared" si="404"/>
        <v>005VENDELA</v>
      </c>
      <c r="H9645" s="5">
        <v>1560</v>
      </c>
      <c r="I9645" s="6">
        <v>686.91071425798896</v>
      </c>
      <c r="J9645" s="5">
        <v>5200</v>
      </c>
      <c r="K9645" s="6">
        <f t="shared" si="406"/>
        <v>2.271037512764865</v>
      </c>
    </row>
    <row r="9646" spans="1:11" hidden="1">
      <c r="A9646" s="4">
        <v>2026</v>
      </c>
      <c r="B9646">
        <v>37</v>
      </c>
      <c r="C9646" t="s">
        <v>54</v>
      </c>
      <c r="D9646" t="s">
        <v>11</v>
      </c>
      <c r="E9646" t="s">
        <v>75</v>
      </c>
      <c r="F9646" t="s">
        <v>76</v>
      </c>
      <c r="G9646" t="str">
        <f t="shared" si="404"/>
        <v>006ATOMIC</v>
      </c>
      <c r="H9646" s="5">
        <v>500</v>
      </c>
      <c r="I9646" s="6">
        <v>845.428571394752</v>
      </c>
      <c r="J9646" s="5">
        <v>6400</v>
      </c>
      <c r="K9646" s="6">
        <f t="shared" si="406"/>
        <v>0.59141601894897089</v>
      </c>
    </row>
    <row r="9647" spans="1:11" hidden="1">
      <c r="A9647" s="4">
        <v>2026</v>
      </c>
      <c r="B9647">
        <v>37</v>
      </c>
      <c r="C9647" t="s">
        <v>54</v>
      </c>
      <c r="D9647" t="s">
        <v>11</v>
      </c>
      <c r="E9647" t="s">
        <v>75</v>
      </c>
      <c r="F9647" t="s">
        <v>57</v>
      </c>
      <c r="G9647" t="str">
        <f t="shared" si="404"/>
        <v>006EXPLORER</v>
      </c>
      <c r="H9647" s="5">
        <v>4650</v>
      </c>
      <c r="I9647" s="6">
        <v>3910.1071427007355</v>
      </c>
      <c r="J9647" s="5">
        <v>29600</v>
      </c>
      <c r="K9647" s="6">
        <f t="shared" si="406"/>
        <v>1.1892257245892797</v>
      </c>
    </row>
    <row r="9648" spans="1:11" hidden="1">
      <c r="A9648" s="4">
        <v>2026</v>
      </c>
      <c r="B9648">
        <v>37</v>
      </c>
      <c r="C9648" t="s">
        <v>54</v>
      </c>
      <c r="D9648" t="s">
        <v>11</v>
      </c>
      <c r="E9648" t="s">
        <v>75</v>
      </c>
      <c r="F9648" t="s">
        <v>77</v>
      </c>
      <c r="G9648" t="str">
        <f t="shared" si="404"/>
        <v>006MONDIAL</v>
      </c>
      <c r="H9648" s="5">
        <v>5475</v>
      </c>
      <c r="I9648" s="6">
        <v>4015.7857141250793</v>
      </c>
      <c r="J9648" s="5">
        <v>30400</v>
      </c>
      <c r="K9648" s="6">
        <f t="shared" si="406"/>
        <v>1.3633695594718356</v>
      </c>
    </row>
    <row r="9649" spans="1:11" hidden="1">
      <c r="A9649" s="4">
        <v>2026</v>
      </c>
      <c r="B9649">
        <v>37</v>
      </c>
      <c r="C9649" t="s">
        <v>54</v>
      </c>
      <c r="D9649" t="s">
        <v>11</v>
      </c>
      <c r="E9649" t="s">
        <v>20</v>
      </c>
      <c r="F9649" t="s">
        <v>70</v>
      </c>
      <c r="G9649" t="str">
        <f t="shared" si="404"/>
        <v>007COTOPAXI</v>
      </c>
      <c r="H9649" s="5">
        <v>4470</v>
      </c>
      <c r="I9649" s="6">
        <v>2747.5751230427709</v>
      </c>
      <c r="J9649" s="5">
        <v>20800</v>
      </c>
      <c r="K9649" s="6">
        <f t="shared" si="406"/>
        <v>1.6268890930449789</v>
      </c>
    </row>
    <row r="9650" spans="1:11" hidden="1">
      <c r="A9650" s="4">
        <v>2026</v>
      </c>
      <c r="B9650">
        <v>37</v>
      </c>
      <c r="C9650" t="s">
        <v>54</v>
      </c>
      <c r="D9650" t="s">
        <v>11</v>
      </c>
      <c r="E9650" t="s">
        <v>20</v>
      </c>
      <c r="F9650" t="s">
        <v>78</v>
      </c>
      <c r="G9650" t="str">
        <f t="shared" si="404"/>
        <v>007REDIANT</v>
      </c>
      <c r="H9650" s="5">
        <v>1200</v>
      </c>
      <c r="I9650" s="6">
        <v>1056.75862064738</v>
      </c>
      <c r="J9650" s="5">
        <v>9600</v>
      </c>
      <c r="K9650" s="6">
        <f t="shared" si="406"/>
        <v>1.1355478692616381</v>
      </c>
    </row>
    <row r="9651" spans="1:11" hidden="1">
      <c r="A9651" s="4">
        <v>2026</v>
      </c>
      <c r="B9651">
        <v>37</v>
      </c>
      <c r="C9651" t="s">
        <v>54</v>
      </c>
      <c r="D9651" t="s">
        <v>11</v>
      </c>
      <c r="E9651" t="s">
        <v>20</v>
      </c>
      <c r="F9651" t="s">
        <v>63</v>
      </c>
      <c r="G9651" t="str">
        <f t="shared" si="404"/>
        <v>007SUMMER ROMANCE</v>
      </c>
      <c r="H9651" s="5">
        <v>825</v>
      </c>
      <c r="I9651" s="6">
        <v>369.86551722658481</v>
      </c>
      <c r="J9651" s="5">
        <v>3080</v>
      </c>
      <c r="K9651" s="6">
        <f t="shared" si="406"/>
        <v>2.2305404574782064</v>
      </c>
    </row>
    <row r="9652" spans="1:11" hidden="1">
      <c r="A9652" s="4">
        <v>2026</v>
      </c>
      <c r="B9652">
        <v>37</v>
      </c>
      <c r="C9652" t="s">
        <v>54</v>
      </c>
      <c r="D9652" t="s">
        <v>11</v>
      </c>
      <c r="E9652" t="s">
        <v>20</v>
      </c>
      <c r="F9652" t="s">
        <v>74</v>
      </c>
      <c r="G9652" t="str">
        <f t="shared" si="404"/>
        <v>007VENDELA</v>
      </c>
      <c r="H9652" s="5">
        <v>8340</v>
      </c>
      <c r="I9652" s="6">
        <v>3592.9793102011122</v>
      </c>
      <c r="J9652" s="5">
        <v>27820</v>
      </c>
      <c r="K9652" s="6">
        <f t="shared" si="406"/>
        <v>2.3211934386377471</v>
      </c>
    </row>
    <row r="9653" spans="1:11" hidden="1">
      <c r="A9653" s="4">
        <v>2026</v>
      </c>
      <c r="B9653">
        <v>37</v>
      </c>
      <c r="C9653" t="s">
        <v>54</v>
      </c>
      <c r="D9653" t="s">
        <v>11</v>
      </c>
      <c r="E9653" t="s">
        <v>79</v>
      </c>
      <c r="F9653" t="s">
        <v>67</v>
      </c>
      <c r="G9653" t="str">
        <f t="shared" si="404"/>
        <v>008DEEP PURPLE</v>
      </c>
      <c r="H9653" s="5">
        <v>2070</v>
      </c>
      <c r="I9653" s="6">
        <v>1585.2222221588099</v>
      </c>
      <c r="J9653" s="5">
        <v>11490</v>
      </c>
      <c r="K9653" s="6">
        <f t="shared" si="406"/>
        <v>1.3058106119538264</v>
      </c>
    </row>
    <row r="9654" spans="1:11" hidden="1">
      <c r="A9654" s="4">
        <v>2026</v>
      </c>
      <c r="B9654">
        <v>37</v>
      </c>
      <c r="C9654" t="s">
        <v>54</v>
      </c>
      <c r="D9654" t="s">
        <v>11</v>
      </c>
      <c r="E9654" t="s">
        <v>79</v>
      </c>
      <c r="F9654" t="s">
        <v>81</v>
      </c>
      <c r="G9654" t="str">
        <f t="shared" si="404"/>
        <v>008FREEDOM</v>
      </c>
      <c r="H9654" s="5">
        <v>2070</v>
      </c>
      <c r="I9654" s="6">
        <v>2219.311111022334</v>
      </c>
      <c r="J9654" s="5">
        <v>16800</v>
      </c>
      <c r="K9654" s="6">
        <f t="shared" si="406"/>
        <v>0.93272186568130444</v>
      </c>
    </row>
    <row r="9655" spans="1:11" hidden="1">
      <c r="A9655" s="4">
        <v>2026</v>
      </c>
      <c r="B9655">
        <v>37</v>
      </c>
      <c r="C9655" t="s">
        <v>54</v>
      </c>
      <c r="D9655" t="s">
        <v>11</v>
      </c>
      <c r="E9655" t="s">
        <v>79</v>
      </c>
      <c r="F9655" t="s">
        <v>68</v>
      </c>
      <c r="G9655" t="str">
        <f t="shared" si="404"/>
        <v>008JOCKER</v>
      </c>
      <c r="H9655" s="5">
        <v>3150</v>
      </c>
      <c r="I9655" s="6">
        <v>2959.0814813631118</v>
      </c>
      <c r="J9655" s="5">
        <v>22400</v>
      </c>
      <c r="K9655" s="6">
        <f t="shared" si="406"/>
        <v>1.0645195206145324</v>
      </c>
    </row>
    <row r="9656" spans="1:11" hidden="1">
      <c r="A9656" s="4">
        <v>2026</v>
      </c>
      <c r="B9656">
        <v>37</v>
      </c>
      <c r="C9656" t="s">
        <v>54</v>
      </c>
      <c r="D9656" t="s">
        <v>11</v>
      </c>
      <c r="E9656" t="s">
        <v>79</v>
      </c>
      <c r="F9656" t="s">
        <v>61</v>
      </c>
      <c r="G9656" t="str">
        <f t="shared" si="404"/>
        <v>008LUMIA</v>
      </c>
      <c r="H9656" s="5">
        <v>0</v>
      </c>
      <c r="I9656" s="6">
        <v>1796.5851851133182</v>
      </c>
      <c r="J9656" s="5">
        <v>13600</v>
      </c>
      <c r="K9656" s="6">
        <f t="shared" si="406"/>
        <v>0</v>
      </c>
    </row>
    <row r="9657" spans="1:11" hidden="1">
      <c r="A9657" s="4">
        <v>2026</v>
      </c>
      <c r="B9657">
        <v>37</v>
      </c>
      <c r="C9657" t="s">
        <v>54</v>
      </c>
      <c r="D9657" t="s">
        <v>11</v>
      </c>
      <c r="E9657" t="s">
        <v>82</v>
      </c>
      <c r="F9657" t="s">
        <v>83</v>
      </c>
      <c r="G9657" t="str">
        <f t="shared" si="404"/>
        <v>010COOLDOWN</v>
      </c>
      <c r="H9657" s="5">
        <v>1875</v>
      </c>
      <c r="I9657" s="6">
        <v>1912.3542857142861</v>
      </c>
      <c r="J9657" s="5">
        <v>16320</v>
      </c>
      <c r="K9657" s="6">
        <f t="shared" si="406"/>
        <v>0.98046685909962872</v>
      </c>
    </row>
    <row r="9658" spans="1:11" hidden="1">
      <c r="A9658" s="4">
        <v>2026</v>
      </c>
      <c r="B9658">
        <v>37</v>
      </c>
      <c r="C9658" t="s">
        <v>54</v>
      </c>
      <c r="D9658" t="s">
        <v>11</v>
      </c>
      <c r="E9658" t="s">
        <v>82</v>
      </c>
      <c r="F9658" t="s">
        <v>84</v>
      </c>
      <c r="G9658" t="str">
        <f t="shared" si="404"/>
        <v>010VIOLET HILL</v>
      </c>
      <c r="H9658" s="5">
        <v>4860</v>
      </c>
      <c r="I9658" s="6">
        <v>2812.2857142428579</v>
      </c>
      <c r="J9658" s="5">
        <v>20000</v>
      </c>
      <c r="K9658" s="6">
        <f t="shared" si="406"/>
        <v>1.7281316672009768</v>
      </c>
    </row>
    <row r="9659" spans="1:11" hidden="1">
      <c r="A9659" s="4">
        <v>2026</v>
      </c>
      <c r="B9659">
        <v>37</v>
      </c>
      <c r="C9659" t="s">
        <v>54</v>
      </c>
      <c r="D9659" t="s">
        <v>11</v>
      </c>
      <c r="E9659" t="s">
        <v>85</v>
      </c>
      <c r="F9659" t="s">
        <v>86</v>
      </c>
      <c r="G9659" t="str">
        <f t="shared" si="404"/>
        <v>011BRIGHTON</v>
      </c>
      <c r="H9659" s="5">
        <v>1700</v>
      </c>
      <c r="I9659" s="6">
        <v>1768.8376470588223</v>
      </c>
      <c r="J9659" s="5">
        <v>12800</v>
      </c>
      <c r="K9659" s="6">
        <f t="shared" si="406"/>
        <v>0.96108311739447438</v>
      </c>
    </row>
    <row r="9660" spans="1:11" hidden="1">
      <c r="A9660" s="4">
        <v>2026</v>
      </c>
      <c r="B9660">
        <v>37</v>
      </c>
      <c r="C9660" t="s">
        <v>54</v>
      </c>
      <c r="D9660" t="s">
        <v>11</v>
      </c>
      <c r="E9660" t="s">
        <v>85</v>
      </c>
      <c r="F9660" t="s">
        <v>87</v>
      </c>
      <c r="G9660" t="str">
        <f t="shared" si="404"/>
        <v>011CANDLELIGHT</v>
      </c>
      <c r="H9660" s="5">
        <v>4420</v>
      </c>
      <c r="I9660" s="6">
        <v>2263.7999998868127</v>
      </c>
      <c r="J9660" s="5">
        <v>17920</v>
      </c>
      <c r="K9660" s="6">
        <f t="shared" si="406"/>
        <v>1.952469299505696</v>
      </c>
    </row>
    <row r="9661" spans="1:11" hidden="1">
      <c r="A9661" s="4">
        <v>2026</v>
      </c>
      <c r="B9661">
        <v>37</v>
      </c>
      <c r="C9661" t="s">
        <v>54</v>
      </c>
      <c r="D9661" t="s">
        <v>11</v>
      </c>
      <c r="E9661" t="s">
        <v>85</v>
      </c>
      <c r="F9661" t="s">
        <v>88</v>
      </c>
      <c r="G9661" t="str">
        <f t="shared" si="404"/>
        <v>011CAYENNE</v>
      </c>
      <c r="H9661" s="5">
        <v>900</v>
      </c>
      <c r="I9661" s="6">
        <v>994.97117647058747</v>
      </c>
      <c r="J9661" s="5">
        <v>7200</v>
      </c>
      <c r="K9661" s="6">
        <f t="shared" si="406"/>
        <v>0.90454881637127005</v>
      </c>
    </row>
    <row r="9662" spans="1:11" hidden="1">
      <c r="A9662" s="4">
        <v>2026</v>
      </c>
      <c r="B9662">
        <v>37</v>
      </c>
      <c r="C9662" t="s">
        <v>54</v>
      </c>
      <c r="D9662" t="s">
        <v>11</v>
      </c>
      <c r="E9662" t="s">
        <v>85</v>
      </c>
      <c r="F9662" t="s">
        <v>61</v>
      </c>
      <c r="G9662" t="str">
        <f t="shared" si="404"/>
        <v>011LUMIA</v>
      </c>
      <c r="H9662" s="5">
        <v>1200</v>
      </c>
      <c r="I9662" s="6">
        <v>994.97117647058747</v>
      </c>
      <c r="J9662" s="5">
        <v>7920</v>
      </c>
      <c r="K9662" s="6">
        <f t="shared" si="406"/>
        <v>1.2060650884950268</v>
      </c>
    </row>
    <row r="9663" spans="1:11" hidden="1">
      <c r="A9663" s="4">
        <v>2026</v>
      </c>
      <c r="B9663">
        <v>37</v>
      </c>
      <c r="C9663" t="s">
        <v>54</v>
      </c>
      <c r="D9663" t="s">
        <v>11</v>
      </c>
      <c r="E9663" t="s">
        <v>85</v>
      </c>
      <c r="F9663" t="s">
        <v>89</v>
      </c>
      <c r="G9663" t="str">
        <f t="shared" si="404"/>
        <v>011STARDUST</v>
      </c>
      <c r="H9663" s="5">
        <v>2775</v>
      </c>
      <c r="I9663" s="6">
        <v>2263.7999998868127</v>
      </c>
      <c r="J9663" s="5">
        <v>17920</v>
      </c>
      <c r="K9663" s="6">
        <f t="shared" si="406"/>
        <v>1.2258150013864948</v>
      </c>
    </row>
    <row r="9664" spans="1:11" hidden="1">
      <c r="A9664" s="4">
        <v>2026</v>
      </c>
      <c r="B9664">
        <v>37</v>
      </c>
      <c r="C9664" t="s">
        <v>54</v>
      </c>
      <c r="D9664" t="s">
        <v>11</v>
      </c>
      <c r="E9664" t="s">
        <v>90</v>
      </c>
      <c r="F9664" t="s">
        <v>67</v>
      </c>
      <c r="G9664" t="str">
        <f t="shared" si="404"/>
        <v>012DEEP PURPLE</v>
      </c>
      <c r="H9664" s="5">
        <v>9450</v>
      </c>
      <c r="I9664" s="6">
        <v>6727.0499997982479</v>
      </c>
      <c r="J9664" s="5">
        <v>49210</v>
      </c>
      <c r="K9664" s="6">
        <f t="shared" si="406"/>
        <v>1.4047762392554561</v>
      </c>
    </row>
    <row r="9665" spans="1:11" hidden="1">
      <c r="A9665" s="4">
        <v>2026</v>
      </c>
      <c r="B9665">
        <v>37</v>
      </c>
      <c r="C9665" t="s">
        <v>54</v>
      </c>
      <c r="D9665" t="s">
        <v>11</v>
      </c>
      <c r="E9665" t="s">
        <v>90</v>
      </c>
      <c r="F9665" t="s">
        <v>60</v>
      </c>
      <c r="G9665" t="str">
        <f t="shared" si="404"/>
        <v>012LIGHT HOUSE</v>
      </c>
      <c r="H9665" s="5">
        <v>630</v>
      </c>
      <c r="I9665" s="6">
        <v>994.95</v>
      </c>
      <c r="J9665" s="5">
        <v>7200</v>
      </c>
      <c r="K9665" s="6">
        <f t="shared" si="406"/>
        <v>0.63319764812302126</v>
      </c>
    </row>
    <row r="9666" spans="1:11" hidden="1">
      <c r="A9666" s="4">
        <v>2026</v>
      </c>
      <c r="B9666">
        <v>37</v>
      </c>
      <c r="C9666" t="s">
        <v>54</v>
      </c>
      <c r="D9666" t="s">
        <v>11</v>
      </c>
      <c r="E9666" t="s">
        <v>91</v>
      </c>
      <c r="F9666" t="s">
        <v>92</v>
      </c>
      <c r="G9666" t="str">
        <f t="shared" si="404"/>
        <v>013COUNTRY BLUES</v>
      </c>
      <c r="H9666" s="5">
        <v>925</v>
      </c>
      <c r="I9666" s="6">
        <v>831.6</v>
      </c>
      <c r="J9666" s="5">
        <v>6300</v>
      </c>
      <c r="K9666" s="6">
        <f t="shared" si="406"/>
        <v>1.1123136123136124</v>
      </c>
    </row>
    <row r="9667" spans="1:11" hidden="1">
      <c r="A9667" s="4">
        <v>2026</v>
      </c>
      <c r="B9667">
        <v>37</v>
      </c>
      <c r="C9667" t="s">
        <v>54</v>
      </c>
      <c r="D9667" t="s">
        <v>11</v>
      </c>
      <c r="E9667" t="s">
        <v>91</v>
      </c>
      <c r="F9667" t="s">
        <v>93</v>
      </c>
      <c r="G9667" t="str">
        <f t="shared" si="404"/>
        <v>013LORRAINE</v>
      </c>
      <c r="H9667" s="5">
        <v>2500</v>
      </c>
      <c r="I9667" s="6">
        <v>1267.2</v>
      </c>
      <c r="J9667" s="5">
        <v>9600</v>
      </c>
      <c r="K9667" s="6">
        <f t="shared" si="406"/>
        <v>1.9728535353535352</v>
      </c>
    </row>
    <row r="9668" spans="1:11" hidden="1">
      <c r="A9668" s="4">
        <v>2026</v>
      </c>
      <c r="B9668">
        <v>37</v>
      </c>
      <c r="C9668" t="s">
        <v>54</v>
      </c>
      <c r="D9668" t="s">
        <v>11</v>
      </c>
      <c r="E9668" t="s">
        <v>91</v>
      </c>
      <c r="F9668" t="s">
        <v>61</v>
      </c>
      <c r="G9668" t="str">
        <f t="shared" si="404"/>
        <v>013LUMIA</v>
      </c>
      <c r="H9668" s="5">
        <v>180</v>
      </c>
      <c r="I9668" s="6">
        <v>316.8</v>
      </c>
      <c r="J9668" s="5">
        <v>2400</v>
      </c>
      <c r="K9668" s="6">
        <f t="shared" si="406"/>
        <v>0.56818181818181812</v>
      </c>
    </row>
    <row r="9669" spans="1:11" hidden="1">
      <c r="A9669" s="4">
        <v>2026</v>
      </c>
      <c r="B9669">
        <v>37</v>
      </c>
      <c r="C9669" t="s">
        <v>54</v>
      </c>
      <c r="D9669" t="s">
        <v>11</v>
      </c>
      <c r="E9669" t="s">
        <v>91</v>
      </c>
      <c r="F9669" t="s">
        <v>74</v>
      </c>
      <c r="G9669" t="str">
        <f t="shared" si="404"/>
        <v>013VENDELA</v>
      </c>
      <c r="H9669" s="5">
        <v>4890</v>
      </c>
      <c r="I9669" s="6">
        <v>3603.6</v>
      </c>
      <c r="J9669" s="5">
        <v>27296</v>
      </c>
      <c r="K9669" s="6">
        <f t="shared" si="406"/>
        <v>1.3569763569763571</v>
      </c>
    </row>
    <row r="9670" spans="1:11" hidden="1">
      <c r="A9670" s="4">
        <v>2026</v>
      </c>
      <c r="B9670">
        <v>37</v>
      </c>
      <c r="C9670" t="s">
        <v>54</v>
      </c>
      <c r="D9670" t="s">
        <v>11</v>
      </c>
      <c r="E9670" t="s">
        <v>23</v>
      </c>
      <c r="F9670" t="s">
        <v>89</v>
      </c>
      <c r="G9670" t="str">
        <f t="shared" si="404"/>
        <v>014STARDUST</v>
      </c>
      <c r="H9670" s="5">
        <v>4475</v>
      </c>
      <c r="I9670" s="6">
        <v>3682.8</v>
      </c>
      <c r="J9670" s="5">
        <v>27900</v>
      </c>
      <c r="K9670" s="6">
        <f t="shared" si="406"/>
        <v>1.2151080699467796</v>
      </c>
    </row>
    <row r="9671" spans="1:11" hidden="1">
      <c r="A9671" s="4">
        <v>2026</v>
      </c>
      <c r="B9671">
        <v>37</v>
      </c>
      <c r="C9671" t="s">
        <v>54</v>
      </c>
      <c r="D9671" t="s">
        <v>11</v>
      </c>
      <c r="E9671" t="s">
        <v>25</v>
      </c>
      <c r="F9671" t="s">
        <v>68</v>
      </c>
      <c r="G9671" t="str">
        <f t="shared" ref="G9671:G9734" si="407">+E9671&amp;F9671</f>
        <v>015JOCKER</v>
      </c>
      <c r="H9671" s="5">
        <v>3100</v>
      </c>
      <c r="I9671" s="6">
        <v>2376</v>
      </c>
      <c r="J9671" s="5">
        <v>18000</v>
      </c>
      <c r="K9671" s="6">
        <f t="shared" si="406"/>
        <v>1.3047138047138047</v>
      </c>
    </row>
    <row r="9672" spans="1:11" hidden="1">
      <c r="A9672" s="4">
        <v>2026</v>
      </c>
      <c r="B9672">
        <v>37</v>
      </c>
      <c r="C9672" t="s">
        <v>54</v>
      </c>
      <c r="D9672" t="s">
        <v>11</v>
      </c>
      <c r="E9672" t="s">
        <v>27</v>
      </c>
      <c r="F9672" t="s">
        <v>94</v>
      </c>
      <c r="G9672" t="str">
        <f t="shared" si="407"/>
        <v>016DREAM IN PEACH</v>
      </c>
      <c r="H9672" s="5">
        <v>750</v>
      </c>
      <c r="I9672" s="6">
        <v>950.4</v>
      </c>
      <c r="J9672" s="5">
        <v>7200</v>
      </c>
      <c r="K9672" s="6">
        <f t="shared" si="406"/>
        <v>0.78914141414141414</v>
      </c>
    </row>
    <row r="9673" spans="1:11" hidden="1">
      <c r="A9673" s="4">
        <v>2026</v>
      </c>
      <c r="B9673">
        <v>37</v>
      </c>
      <c r="C9673" t="s">
        <v>54</v>
      </c>
      <c r="D9673" t="s">
        <v>11</v>
      </c>
      <c r="E9673" t="s">
        <v>27</v>
      </c>
      <c r="F9673" t="s">
        <v>95</v>
      </c>
      <c r="G9673" t="str">
        <f t="shared" si="407"/>
        <v>016NINA</v>
      </c>
      <c r="H9673" s="5">
        <v>1525</v>
      </c>
      <c r="I9673" s="6">
        <v>1346.4</v>
      </c>
      <c r="J9673" s="5">
        <v>10200</v>
      </c>
      <c r="K9673" s="6">
        <f t="shared" si="406"/>
        <v>1.1326500297088531</v>
      </c>
    </row>
    <row r="9674" spans="1:11" hidden="1">
      <c r="A9674" s="4">
        <v>2026</v>
      </c>
      <c r="B9674">
        <v>37</v>
      </c>
      <c r="C9674" t="s">
        <v>54</v>
      </c>
      <c r="D9674" t="s">
        <v>11</v>
      </c>
      <c r="E9674" t="s">
        <v>30</v>
      </c>
      <c r="F9674" t="s">
        <v>81</v>
      </c>
      <c r="G9674" t="str">
        <f t="shared" si="407"/>
        <v>017FREEDOM</v>
      </c>
      <c r="H9674" s="5">
        <v>3930</v>
      </c>
      <c r="I9674" s="6">
        <v>2851.2</v>
      </c>
      <c r="J9674" s="5">
        <v>21600</v>
      </c>
      <c r="K9674" s="6">
        <f t="shared" si="406"/>
        <v>1.3783670033670035</v>
      </c>
    </row>
    <row r="9675" spans="1:11" hidden="1">
      <c r="A9675" s="4">
        <v>2026</v>
      </c>
      <c r="B9675">
        <v>37</v>
      </c>
      <c r="C9675" t="s">
        <v>54</v>
      </c>
      <c r="D9675" t="s">
        <v>11</v>
      </c>
      <c r="E9675" t="s">
        <v>30</v>
      </c>
      <c r="F9675" t="s">
        <v>73</v>
      </c>
      <c r="G9675" t="str">
        <f t="shared" si="407"/>
        <v>017GOLDFINCH</v>
      </c>
      <c r="H9675" s="5">
        <v>2825</v>
      </c>
      <c r="I9675" s="6">
        <v>2138.4</v>
      </c>
      <c r="J9675" s="5">
        <v>16200</v>
      </c>
      <c r="K9675" s="6">
        <f t="shared" si="406"/>
        <v>1.3210811821922932</v>
      </c>
    </row>
    <row r="9676" spans="1:11" hidden="1">
      <c r="A9676" s="4">
        <v>2026</v>
      </c>
      <c r="B9676">
        <v>37</v>
      </c>
      <c r="C9676" t="s">
        <v>54</v>
      </c>
      <c r="D9676" t="s">
        <v>11</v>
      </c>
      <c r="E9676" t="s">
        <v>32</v>
      </c>
      <c r="F9676" t="s">
        <v>86</v>
      </c>
      <c r="G9676" t="str">
        <f t="shared" si="407"/>
        <v>018BRIGHTON</v>
      </c>
      <c r="H9676" s="5">
        <v>2025</v>
      </c>
      <c r="I9676" s="6">
        <v>963.6</v>
      </c>
      <c r="J9676" s="5">
        <v>7570</v>
      </c>
      <c r="K9676" s="6">
        <f t="shared" si="406"/>
        <v>2.1014943960149437</v>
      </c>
    </row>
    <row r="9677" spans="1:11" hidden="1">
      <c r="A9677" s="4">
        <v>2026</v>
      </c>
      <c r="B9677">
        <v>37</v>
      </c>
      <c r="C9677" t="s">
        <v>54</v>
      </c>
      <c r="D9677" t="s">
        <v>11</v>
      </c>
      <c r="E9677" t="s">
        <v>35</v>
      </c>
      <c r="F9677" t="s">
        <v>86</v>
      </c>
      <c r="G9677" t="str">
        <f t="shared" si="407"/>
        <v>019BRIGHTON</v>
      </c>
      <c r="H9677" s="5">
        <v>6050</v>
      </c>
      <c r="I9677" s="6">
        <v>3168</v>
      </c>
      <c r="J9677" s="5">
        <v>24000</v>
      </c>
      <c r="K9677" s="6">
        <f t="shared" si="406"/>
        <v>1.9097222222222223</v>
      </c>
    </row>
    <row r="9678" spans="1:11" hidden="1">
      <c r="A9678" s="4">
        <v>2026</v>
      </c>
      <c r="B9678">
        <v>37</v>
      </c>
      <c r="C9678" t="s">
        <v>54</v>
      </c>
      <c r="D9678" t="s">
        <v>11</v>
      </c>
      <c r="E9678" t="s">
        <v>35</v>
      </c>
      <c r="F9678" t="s">
        <v>96</v>
      </c>
      <c r="G9678" t="str">
        <f t="shared" si="407"/>
        <v>019TABATHA</v>
      </c>
      <c r="H9678" s="5">
        <v>1560</v>
      </c>
      <c r="I9678" s="6">
        <v>1188</v>
      </c>
      <c r="J9678" s="5">
        <v>9000</v>
      </c>
      <c r="K9678" s="6">
        <f t="shared" si="406"/>
        <v>1.3131313131313131</v>
      </c>
    </row>
    <row r="9679" spans="1:11" hidden="1">
      <c r="A9679" s="4">
        <v>2026</v>
      </c>
      <c r="B9679">
        <v>37</v>
      </c>
      <c r="C9679" t="s">
        <v>54</v>
      </c>
      <c r="D9679" t="s">
        <v>11</v>
      </c>
      <c r="E9679" t="s">
        <v>36</v>
      </c>
      <c r="F9679" t="s">
        <v>86</v>
      </c>
      <c r="G9679" t="str">
        <f t="shared" si="407"/>
        <v>020BRIGHTON</v>
      </c>
      <c r="H9679" s="5">
        <v>5375</v>
      </c>
      <c r="I9679" s="6">
        <v>2732.4</v>
      </c>
      <c r="J9679" s="5">
        <v>20700</v>
      </c>
      <c r="K9679" s="6">
        <f t="shared" si="406"/>
        <v>1.9671351193090323</v>
      </c>
    </row>
    <row r="9680" spans="1:11" hidden="1">
      <c r="A9680" s="4">
        <v>2026</v>
      </c>
      <c r="B9680">
        <v>37</v>
      </c>
      <c r="C9680" t="s">
        <v>54</v>
      </c>
      <c r="D9680" t="s">
        <v>11</v>
      </c>
      <c r="E9680" t="s">
        <v>36</v>
      </c>
      <c r="F9680" t="s">
        <v>97</v>
      </c>
      <c r="G9680" t="str">
        <f t="shared" si="407"/>
        <v>020TYCOON</v>
      </c>
      <c r="H9680" s="5">
        <v>1080</v>
      </c>
      <c r="I9680" s="6">
        <v>673.2</v>
      </c>
      <c r="J9680" s="5">
        <v>5100</v>
      </c>
      <c r="K9680" s="6">
        <f t="shared" si="406"/>
        <v>1.6042780748663101</v>
      </c>
    </row>
    <row r="9681" spans="1:11" hidden="1">
      <c r="A9681" s="4">
        <v>2026</v>
      </c>
      <c r="B9681">
        <v>37</v>
      </c>
      <c r="C9681" t="s">
        <v>54</v>
      </c>
      <c r="D9681" t="s">
        <v>11</v>
      </c>
      <c r="E9681" t="s">
        <v>38</v>
      </c>
      <c r="F9681" t="s">
        <v>98</v>
      </c>
      <c r="G9681" t="str">
        <f t="shared" si="407"/>
        <v>021SHOW GIRL</v>
      </c>
      <c r="H9681" s="5">
        <v>2025</v>
      </c>
      <c r="I9681" s="6">
        <v>1100.4749999999999</v>
      </c>
      <c r="J9681" s="5">
        <v>8000</v>
      </c>
      <c r="K9681" s="6">
        <f t="shared" si="406"/>
        <v>1.8401144960130855</v>
      </c>
    </row>
    <row r="9682" spans="1:11" hidden="1">
      <c r="A9682" s="4">
        <v>2026</v>
      </c>
      <c r="B9682">
        <v>37</v>
      </c>
      <c r="C9682" t="s">
        <v>54</v>
      </c>
      <c r="D9682" t="s">
        <v>11</v>
      </c>
      <c r="E9682" t="s">
        <v>43</v>
      </c>
      <c r="F9682" t="s">
        <v>99</v>
      </c>
      <c r="G9682" t="str">
        <f t="shared" si="407"/>
        <v>022CORAL REEF</v>
      </c>
      <c r="H9682" s="5">
        <v>1575</v>
      </c>
      <c r="I9682" s="6">
        <v>1287</v>
      </c>
      <c r="J9682" s="5">
        <v>9400</v>
      </c>
      <c r="K9682" s="6">
        <f t="shared" si="406"/>
        <v>1.2237762237762237</v>
      </c>
    </row>
    <row r="9683" spans="1:11" hidden="1">
      <c r="A9683" s="4">
        <v>2026</v>
      </c>
      <c r="B9683">
        <v>37</v>
      </c>
      <c r="C9683" t="s">
        <v>54</v>
      </c>
      <c r="D9683" t="s">
        <v>11</v>
      </c>
      <c r="E9683" t="s">
        <v>100</v>
      </c>
      <c r="F9683" t="s">
        <v>70</v>
      </c>
      <c r="G9683" t="str">
        <f t="shared" si="407"/>
        <v>023COTOPAXI</v>
      </c>
      <c r="H9683" s="5">
        <v>7230</v>
      </c>
      <c r="I9683" s="6">
        <v>2641.14</v>
      </c>
      <c r="J9683" s="5">
        <v>19200</v>
      </c>
      <c r="K9683" s="6">
        <f t="shared" si="406"/>
        <v>2.7374542811058862</v>
      </c>
    </row>
    <row r="9684" spans="1:11" hidden="1">
      <c r="A9684" s="4">
        <v>2026</v>
      </c>
      <c r="B9684">
        <v>37</v>
      </c>
      <c r="C9684" t="s">
        <v>54</v>
      </c>
      <c r="D9684" t="s">
        <v>11</v>
      </c>
      <c r="E9684" t="s">
        <v>100</v>
      </c>
      <c r="F9684" t="s">
        <v>101</v>
      </c>
      <c r="G9684" t="str">
        <f t="shared" si="407"/>
        <v>023FRUTTETO</v>
      </c>
      <c r="H9684" s="5">
        <v>3420</v>
      </c>
      <c r="I9684" s="6">
        <v>2641.14</v>
      </c>
      <c r="J9684" s="5">
        <v>19200</v>
      </c>
      <c r="K9684" s="6">
        <f t="shared" si="406"/>
        <v>1.2948953860832824</v>
      </c>
    </row>
    <row r="9685" spans="1:11" hidden="1">
      <c r="A9685" s="4">
        <v>2026</v>
      </c>
      <c r="B9685">
        <v>37</v>
      </c>
      <c r="C9685" t="s">
        <v>54</v>
      </c>
      <c r="D9685" t="s">
        <v>11</v>
      </c>
      <c r="E9685" t="s">
        <v>102</v>
      </c>
      <c r="F9685" t="s">
        <v>70</v>
      </c>
      <c r="G9685" t="str">
        <f t="shared" si="407"/>
        <v>024COTOPAXI</v>
      </c>
      <c r="H9685" s="5">
        <v>3810</v>
      </c>
      <c r="I9685" s="6">
        <v>1430.6174906250001</v>
      </c>
      <c r="J9685" s="5">
        <v>10400</v>
      </c>
      <c r="K9685" s="6">
        <f t="shared" si="406"/>
        <v>2.6631856698015826</v>
      </c>
    </row>
    <row r="9686" spans="1:11" hidden="1">
      <c r="A9686" s="4">
        <v>2026</v>
      </c>
      <c r="B9686">
        <v>37</v>
      </c>
      <c r="C9686" t="s">
        <v>54</v>
      </c>
      <c r="D9686" t="s">
        <v>11</v>
      </c>
      <c r="E9686" t="s">
        <v>102</v>
      </c>
      <c r="F9686" t="s">
        <v>64</v>
      </c>
      <c r="G9686" t="str">
        <f t="shared" si="407"/>
        <v>024SWEETNESS</v>
      </c>
      <c r="H9686" s="5">
        <v>4200</v>
      </c>
      <c r="I9686" s="6">
        <v>1430.6175000000001</v>
      </c>
      <c r="J9686" s="5">
        <v>10400</v>
      </c>
      <c r="K9686" s="6">
        <f t="shared" si="406"/>
        <v>2.9357952073143241</v>
      </c>
    </row>
    <row r="9687" spans="1:11" hidden="1">
      <c r="A9687" s="4">
        <v>2026</v>
      </c>
      <c r="B9687">
        <v>37</v>
      </c>
      <c r="C9687" t="s">
        <v>54</v>
      </c>
      <c r="D9687" t="s">
        <v>11</v>
      </c>
      <c r="E9687" t="s">
        <v>102</v>
      </c>
      <c r="F9687" t="s">
        <v>97</v>
      </c>
      <c r="G9687" t="str">
        <f t="shared" si="407"/>
        <v>024TYCOON</v>
      </c>
      <c r="H9687" s="5">
        <v>5460</v>
      </c>
      <c r="I9687" s="6">
        <v>2861.2350000000001</v>
      </c>
      <c r="J9687" s="5">
        <v>20800</v>
      </c>
      <c r="K9687" s="6">
        <f t="shared" si="406"/>
        <v>1.9082668847543105</v>
      </c>
    </row>
    <row r="9688" spans="1:11" hidden="1">
      <c r="A9688" s="4">
        <v>2026</v>
      </c>
      <c r="B9688">
        <v>37</v>
      </c>
      <c r="C9688" t="s">
        <v>54</v>
      </c>
      <c r="D9688" t="s">
        <v>11</v>
      </c>
      <c r="E9688" t="s">
        <v>103</v>
      </c>
      <c r="F9688" t="s">
        <v>104</v>
      </c>
      <c r="G9688" t="str">
        <f t="shared" si="407"/>
        <v>025PINK MONDIAL</v>
      </c>
      <c r="H9688" s="5">
        <v>5850</v>
      </c>
      <c r="I9688" s="6">
        <v>3071.9505625000002</v>
      </c>
      <c r="J9688" s="5">
        <v>22400</v>
      </c>
      <c r="K9688" s="6">
        <f t="shared" si="406"/>
        <v>1.9043275212212989</v>
      </c>
    </row>
    <row r="9689" spans="1:11" hidden="1">
      <c r="A9689" s="4">
        <v>2026</v>
      </c>
      <c r="B9689">
        <v>37</v>
      </c>
      <c r="C9689" t="s">
        <v>54</v>
      </c>
      <c r="D9689" t="s">
        <v>11</v>
      </c>
      <c r="E9689" t="s">
        <v>45</v>
      </c>
      <c r="F9689" t="s">
        <v>105</v>
      </c>
      <c r="G9689" t="str">
        <f t="shared" si="407"/>
        <v>026LOLA</v>
      </c>
      <c r="H9689" s="5">
        <v>3750</v>
      </c>
      <c r="I9689" s="6">
        <v>1097.125</v>
      </c>
      <c r="J9689" s="5">
        <v>8000</v>
      </c>
      <c r="K9689" s="6">
        <f t="shared" si="406"/>
        <v>3.4180243819072578</v>
      </c>
    </row>
    <row r="9690" spans="1:11" hidden="1">
      <c r="A9690" s="4">
        <v>2026</v>
      </c>
      <c r="B9690">
        <v>37</v>
      </c>
      <c r="C9690" t="s">
        <v>54</v>
      </c>
      <c r="D9690" t="s">
        <v>11</v>
      </c>
      <c r="E9690" t="s">
        <v>45</v>
      </c>
      <c r="F9690" t="s">
        <v>106</v>
      </c>
      <c r="G9690" t="str">
        <f t="shared" si="407"/>
        <v>026PALOMA</v>
      </c>
      <c r="H9690" s="5">
        <v>4450</v>
      </c>
      <c r="I9690" s="6">
        <v>2852.5250000000001</v>
      </c>
      <c r="J9690" s="5">
        <v>20800</v>
      </c>
      <c r="K9690" s="6">
        <f t="shared" si="406"/>
        <v>1.5600213845627995</v>
      </c>
    </row>
    <row r="9691" spans="1:11" hidden="1">
      <c r="A9691" s="4">
        <v>2026</v>
      </c>
      <c r="B9691">
        <v>37</v>
      </c>
      <c r="C9691" t="s">
        <v>54</v>
      </c>
      <c r="D9691" t="s">
        <v>11</v>
      </c>
      <c r="E9691" t="s">
        <v>107</v>
      </c>
      <c r="F9691" t="s">
        <v>108</v>
      </c>
      <c r="G9691" t="str">
        <f t="shared" si="407"/>
        <v>027SATISFACTION</v>
      </c>
      <c r="H9691" s="5">
        <v>3570</v>
      </c>
      <c r="I9691" s="6">
        <v>2633.1</v>
      </c>
      <c r="J9691" s="5">
        <v>19200</v>
      </c>
      <c r="K9691" s="6">
        <f t="shared" si="406"/>
        <v>1.3558163381565456</v>
      </c>
    </row>
    <row r="9692" spans="1:11" hidden="1">
      <c r="A9692" s="4">
        <v>2026</v>
      </c>
      <c r="B9692">
        <v>37</v>
      </c>
      <c r="C9692" t="s">
        <v>54</v>
      </c>
      <c r="D9692" t="s">
        <v>11</v>
      </c>
      <c r="E9692" t="s">
        <v>107</v>
      </c>
      <c r="F9692" t="s">
        <v>109</v>
      </c>
      <c r="G9692" t="str">
        <f t="shared" si="407"/>
        <v>027TIFFANY</v>
      </c>
      <c r="H9692" s="5">
        <v>3720</v>
      </c>
      <c r="I9692" s="6">
        <v>2633.1</v>
      </c>
      <c r="J9692" s="5">
        <v>19200</v>
      </c>
      <c r="K9692" s="6">
        <f t="shared" si="406"/>
        <v>1.4127834111883333</v>
      </c>
    </row>
    <row r="9693" spans="1:11" hidden="1">
      <c r="A9693" s="4">
        <v>2026</v>
      </c>
      <c r="B9693">
        <v>37</v>
      </c>
      <c r="C9693" t="s">
        <v>54</v>
      </c>
      <c r="D9693" t="s">
        <v>11</v>
      </c>
      <c r="E9693" t="s">
        <v>110</v>
      </c>
      <c r="F9693" t="s">
        <v>70</v>
      </c>
      <c r="G9693" t="str">
        <f t="shared" si="407"/>
        <v>028COTOPAXI</v>
      </c>
      <c r="H9693" s="5">
        <v>7380</v>
      </c>
      <c r="I9693" s="6">
        <v>2852.5250000000001</v>
      </c>
      <c r="J9693" s="5">
        <v>20800</v>
      </c>
      <c r="K9693" s="6">
        <f t="shared" si="406"/>
        <v>2.5871815321513396</v>
      </c>
    </row>
    <row r="9694" spans="1:11" hidden="1">
      <c r="A9694" s="4">
        <v>2026</v>
      </c>
      <c r="B9694">
        <v>37</v>
      </c>
      <c r="C9694" t="s">
        <v>54</v>
      </c>
      <c r="D9694" t="s">
        <v>11</v>
      </c>
      <c r="E9694" t="s">
        <v>110</v>
      </c>
      <c r="F9694" t="s">
        <v>67</v>
      </c>
      <c r="G9694" t="str">
        <f t="shared" si="407"/>
        <v>028DEEP PURPLE</v>
      </c>
      <c r="H9694" s="5">
        <v>5310</v>
      </c>
      <c r="I9694" s="6">
        <v>2852.5250000000001</v>
      </c>
      <c r="J9694" s="5">
        <v>20800</v>
      </c>
      <c r="K9694" s="6">
        <f t="shared" ref="K9694:K9731" si="408">+H9694/I9694</f>
        <v>1.8615086633771833</v>
      </c>
    </row>
    <row r="9695" spans="1:11" hidden="1">
      <c r="A9695" s="4">
        <v>2026</v>
      </c>
      <c r="B9695">
        <v>37</v>
      </c>
      <c r="C9695" t="s">
        <v>54</v>
      </c>
      <c r="D9695" t="s">
        <v>11</v>
      </c>
      <c r="E9695" t="s">
        <v>111</v>
      </c>
      <c r="F9695" t="s">
        <v>112</v>
      </c>
      <c r="G9695" t="str">
        <f t="shared" si="407"/>
        <v>029PINK FLOYD</v>
      </c>
      <c r="H9695" s="5">
        <v>2300</v>
      </c>
      <c r="I9695" s="6">
        <v>3071.95</v>
      </c>
      <c r="J9695" s="5">
        <v>22400</v>
      </c>
      <c r="K9695" s="6">
        <f t="shared" si="408"/>
        <v>0.74871010270349458</v>
      </c>
    </row>
    <row r="9696" spans="1:11" hidden="1">
      <c r="A9696" s="4">
        <v>2026</v>
      </c>
      <c r="B9696">
        <v>37</v>
      </c>
      <c r="C9696" t="s">
        <v>54</v>
      </c>
      <c r="D9696" t="s">
        <v>11</v>
      </c>
      <c r="E9696" t="s">
        <v>47</v>
      </c>
      <c r="F9696" t="s">
        <v>57</v>
      </c>
      <c r="G9696" t="str">
        <f t="shared" si="407"/>
        <v>030EXPLORER</v>
      </c>
      <c r="H9696" s="5">
        <v>1950</v>
      </c>
      <c r="I9696" s="6">
        <v>1645.6875</v>
      </c>
      <c r="J9696" s="5">
        <v>12000</v>
      </c>
      <c r="K9696" s="6">
        <f t="shared" si="408"/>
        <v>1.1849151190611826</v>
      </c>
    </row>
    <row r="9697" spans="1:11" hidden="1">
      <c r="A9697" s="4">
        <v>2026</v>
      </c>
      <c r="B9697">
        <v>38</v>
      </c>
      <c r="C9697" t="s">
        <v>10</v>
      </c>
      <c r="D9697" t="s">
        <v>11</v>
      </c>
      <c r="E9697" t="s">
        <v>12</v>
      </c>
      <c r="F9697" t="s">
        <v>13</v>
      </c>
      <c r="G9697" t="str">
        <f t="shared" si="407"/>
        <v>002SOMERSET</v>
      </c>
      <c r="H9697" s="5">
        <v>7720</v>
      </c>
      <c r="I9697" s="6">
        <v>4121.4642855494085</v>
      </c>
      <c r="J9697" s="5">
        <v>31200</v>
      </c>
      <c r="K9697" s="6">
        <f t="shared" si="408"/>
        <v>1.8731206836045389</v>
      </c>
    </row>
    <row r="9698" spans="1:11" hidden="1">
      <c r="A9698" s="4">
        <v>2026</v>
      </c>
      <c r="B9698">
        <v>38</v>
      </c>
      <c r="C9698" t="s">
        <v>10</v>
      </c>
      <c r="D9698" t="s">
        <v>11</v>
      </c>
      <c r="E9698" t="s">
        <v>14</v>
      </c>
      <c r="F9698" t="s">
        <v>15</v>
      </c>
      <c r="G9698" t="str">
        <f t="shared" si="407"/>
        <v>004BELLINA</v>
      </c>
      <c r="H9698" s="5">
        <v>1395</v>
      </c>
      <c r="I9698" s="6">
        <v>1056.7857142434418</v>
      </c>
      <c r="J9698" s="5">
        <v>8000</v>
      </c>
      <c r="K9698" s="6">
        <f t="shared" si="408"/>
        <v>1.3200405542941007</v>
      </c>
    </row>
    <row r="9699" spans="1:11" hidden="1">
      <c r="A9699" s="4">
        <v>2026</v>
      </c>
      <c r="B9699">
        <v>38</v>
      </c>
      <c r="C9699" t="s">
        <v>10</v>
      </c>
      <c r="D9699" t="s">
        <v>11</v>
      </c>
      <c r="E9699" t="s">
        <v>16</v>
      </c>
      <c r="F9699" t="s">
        <v>17</v>
      </c>
      <c r="G9699" t="str">
        <f t="shared" si="407"/>
        <v>005ELBA</v>
      </c>
      <c r="H9699" s="5">
        <v>6000</v>
      </c>
      <c r="I9699" s="6">
        <v>2641.9642856076484</v>
      </c>
      <c r="J9699" s="5">
        <v>19996</v>
      </c>
      <c r="K9699" s="6">
        <f t="shared" si="408"/>
        <v>2.2710375127648659</v>
      </c>
    </row>
    <row r="9700" spans="1:11" hidden="1">
      <c r="A9700" s="4">
        <v>2026</v>
      </c>
      <c r="B9700">
        <v>38</v>
      </c>
      <c r="C9700" t="s">
        <v>10</v>
      </c>
      <c r="D9700" t="s">
        <v>11</v>
      </c>
      <c r="E9700" t="s">
        <v>16</v>
      </c>
      <c r="F9700" t="s">
        <v>18</v>
      </c>
      <c r="G9700" t="str">
        <f t="shared" si="407"/>
        <v>005HOT BUBBLES</v>
      </c>
      <c r="H9700" s="5">
        <v>1280</v>
      </c>
      <c r="I9700" s="6">
        <v>528.39285712153003</v>
      </c>
      <c r="J9700" s="5">
        <v>4000</v>
      </c>
      <c r="K9700" s="6">
        <f t="shared" si="408"/>
        <v>2.4224400136158555</v>
      </c>
    </row>
    <row r="9701" spans="1:11" hidden="1">
      <c r="A9701" s="4">
        <v>2026</v>
      </c>
      <c r="B9701">
        <v>38</v>
      </c>
      <c r="C9701" t="s">
        <v>10</v>
      </c>
      <c r="D9701" t="s">
        <v>11</v>
      </c>
      <c r="E9701" t="s">
        <v>16</v>
      </c>
      <c r="F9701" t="s">
        <v>19</v>
      </c>
      <c r="G9701" t="str">
        <f t="shared" si="407"/>
        <v>005SUSPIRO</v>
      </c>
      <c r="H9701" s="5">
        <v>2850</v>
      </c>
      <c r="I9701" s="6">
        <v>1902.2142856375078</v>
      </c>
      <c r="J9701" s="5">
        <v>14400</v>
      </c>
      <c r="K9701" s="6">
        <f t="shared" si="408"/>
        <v>1.498253914671265</v>
      </c>
    </row>
    <row r="9702" spans="1:11" hidden="1">
      <c r="A9702" s="4">
        <v>2026</v>
      </c>
      <c r="B9702">
        <v>38</v>
      </c>
      <c r="C9702" t="s">
        <v>10</v>
      </c>
      <c r="D9702" t="s">
        <v>11</v>
      </c>
      <c r="E9702" t="s">
        <v>20</v>
      </c>
      <c r="F9702" t="s">
        <v>21</v>
      </c>
      <c r="G9702" t="str">
        <f t="shared" si="407"/>
        <v>007SNOW BUBBLES</v>
      </c>
      <c r="H9702" s="5">
        <v>840</v>
      </c>
      <c r="I9702" s="6">
        <v>634.05652706821195</v>
      </c>
      <c r="J9702" s="5">
        <v>4800</v>
      </c>
      <c r="K9702" s="6">
        <f t="shared" si="408"/>
        <v>1.3248030169865794</v>
      </c>
    </row>
    <row r="9703" spans="1:11" hidden="1">
      <c r="A9703" s="4">
        <v>2026</v>
      </c>
      <c r="B9703">
        <v>38</v>
      </c>
      <c r="C9703" t="s">
        <v>10</v>
      </c>
      <c r="D9703" t="s">
        <v>11</v>
      </c>
      <c r="E9703" t="s">
        <v>22</v>
      </c>
      <c r="F9703" t="s">
        <v>18</v>
      </c>
      <c r="G9703" t="str">
        <f t="shared" si="407"/>
        <v>009HOT BUBBLES</v>
      </c>
      <c r="H9703" s="5">
        <v>9780</v>
      </c>
      <c r="I9703" s="6">
        <v>4487.9999999102474</v>
      </c>
      <c r="J9703" s="5">
        <v>31740</v>
      </c>
      <c r="K9703" s="6">
        <f t="shared" si="408"/>
        <v>2.1791443850703174</v>
      </c>
    </row>
    <row r="9704" spans="1:11" hidden="1">
      <c r="A9704" s="4">
        <v>2026</v>
      </c>
      <c r="B9704">
        <v>38</v>
      </c>
      <c r="C9704" t="s">
        <v>10</v>
      </c>
      <c r="D9704" t="s">
        <v>11</v>
      </c>
      <c r="E9704" t="s">
        <v>23</v>
      </c>
      <c r="F9704" t="s">
        <v>24</v>
      </c>
      <c r="G9704" t="str">
        <f t="shared" si="407"/>
        <v>014FRUITY BUBBLES</v>
      </c>
      <c r="H9704" s="5">
        <v>2275</v>
      </c>
      <c r="I9704" s="6">
        <v>1702.8</v>
      </c>
      <c r="J9704" s="5">
        <v>12900</v>
      </c>
      <c r="K9704" s="6">
        <f t="shared" si="408"/>
        <v>1.3360347662673244</v>
      </c>
    </row>
    <row r="9705" spans="1:11" hidden="1">
      <c r="A9705" s="4">
        <v>2026</v>
      </c>
      <c r="B9705">
        <v>38</v>
      </c>
      <c r="C9705" t="s">
        <v>10</v>
      </c>
      <c r="D9705" t="s">
        <v>11</v>
      </c>
      <c r="E9705" t="s">
        <v>25</v>
      </c>
      <c r="F9705" t="s">
        <v>26</v>
      </c>
      <c r="G9705" t="str">
        <f t="shared" si="407"/>
        <v>015FELLINI</v>
      </c>
      <c r="H9705" s="5">
        <v>4720</v>
      </c>
      <c r="I9705" s="6">
        <v>3009.6</v>
      </c>
      <c r="J9705" s="5">
        <v>22800</v>
      </c>
      <c r="K9705" s="6">
        <f t="shared" si="408"/>
        <v>1.568314726209463</v>
      </c>
    </row>
    <row r="9706" spans="1:11" hidden="1">
      <c r="A9706" s="4">
        <v>2026</v>
      </c>
      <c r="B9706">
        <v>38</v>
      </c>
      <c r="C9706" t="s">
        <v>10</v>
      </c>
      <c r="D9706" t="s">
        <v>11</v>
      </c>
      <c r="E9706" t="s">
        <v>27</v>
      </c>
      <c r="F9706" t="s">
        <v>28</v>
      </c>
      <c r="G9706" t="str">
        <f t="shared" si="407"/>
        <v>016GOOD PEACH</v>
      </c>
      <c r="H9706" s="5">
        <v>3570</v>
      </c>
      <c r="I9706" s="6">
        <v>1386</v>
      </c>
      <c r="J9706" s="5">
        <v>10500</v>
      </c>
      <c r="K9706" s="6">
        <f t="shared" si="408"/>
        <v>2.5757575757575757</v>
      </c>
    </row>
    <row r="9707" spans="1:11" hidden="1">
      <c r="A9707" s="4">
        <v>2026</v>
      </c>
      <c r="B9707">
        <v>38</v>
      </c>
      <c r="C9707" t="s">
        <v>10</v>
      </c>
      <c r="D9707" t="s">
        <v>11</v>
      </c>
      <c r="E9707" t="s">
        <v>27</v>
      </c>
      <c r="F9707" t="s">
        <v>29</v>
      </c>
      <c r="G9707" t="str">
        <f t="shared" si="407"/>
        <v>016GOOD YELLOW</v>
      </c>
      <c r="H9707" s="5">
        <v>3300</v>
      </c>
      <c r="I9707" s="6">
        <v>1386</v>
      </c>
      <c r="J9707" s="5">
        <v>10500</v>
      </c>
      <c r="K9707" s="6">
        <f t="shared" si="408"/>
        <v>2.3809523809523809</v>
      </c>
    </row>
    <row r="9708" spans="1:11" hidden="1">
      <c r="A9708" s="4">
        <v>2026</v>
      </c>
      <c r="B9708">
        <v>38</v>
      </c>
      <c r="C9708" t="s">
        <v>10</v>
      </c>
      <c r="D9708" t="s">
        <v>11</v>
      </c>
      <c r="E9708" t="s">
        <v>30</v>
      </c>
      <c r="F9708" t="s">
        <v>31</v>
      </c>
      <c r="G9708" t="str">
        <f t="shared" si="407"/>
        <v>017ORANGE STAR</v>
      </c>
      <c r="H9708" s="5">
        <v>1225</v>
      </c>
      <c r="I9708" s="6">
        <v>1029.5999999999999</v>
      </c>
      <c r="J9708" s="5">
        <v>7800</v>
      </c>
      <c r="K9708" s="6">
        <f t="shared" si="408"/>
        <v>1.1897824397824399</v>
      </c>
    </row>
    <row r="9709" spans="1:11" hidden="1">
      <c r="A9709" s="4">
        <v>2026</v>
      </c>
      <c r="B9709">
        <v>38</v>
      </c>
      <c r="C9709" t="s">
        <v>10</v>
      </c>
      <c r="D9709" t="s">
        <v>11</v>
      </c>
      <c r="E9709" t="s">
        <v>32</v>
      </c>
      <c r="F9709" t="s">
        <v>33</v>
      </c>
      <c r="G9709" t="str">
        <f t="shared" si="407"/>
        <v>018COSMO</v>
      </c>
      <c r="H9709" s="5">
        <v>3075</v>
      </c>
      <c r="I9709" s="6">
        <v>2653.2</v>
      </c>
      <c r="J9709" s="5">
        <v>20100</v>
      </c>
      <c r="K9709" s="6">
        <f t="shared" si="408"/>
        <v>1.1589778380823157</v>
      </c>
    </row>
    <row r="9710" spans="1:11" hidden="1">
      <c r="A9710" s="4">
        <v>2026</v>
      </c>
      <c r="B9710">
        <v>38</v>
      </c>
      <c r="C9710" t="s">
        <v>10</v>
      </c>
      <c r="D9710" t="s">
        <v>11</v>
      </c>
      <c r="E9710" t="s">
        <v>32</v>
      </c>
      <c r="F9710" t="s">
        <v>34</v>
      </c>
      <c r="G9710" t="str">
        <f t="shared" si="407"/>
        <v>018RUBICON</v>
      </c>
      <c r="H9710" s="5">
        <v>3780</v>
      </c>
      <c r="I9710" s="6">
        <v>1768.8</v>
      </c>
      <c r="J9710" s="5">
        <v>13400</v>
      </c>
      <c r="K9710" s="6">
        <f t="shared" si="408"/>
        <v>2.1370420624151967</v>
      </c>
    </row>
    <row r="9711" spans="1:11" hidden="1">
      <c r="A9711" s="4">
        <v>2026</v>
      </c>
      <c r="B9711">
        <v>38</v>
      </c>
      <c r="C9711" t="s">
        <v>10</v>
      </c>
      <c r="D9711" t="s">
        <v>11</v>
      </c>
      <c r="E9711" t="s">
        <v>35</v>
      </c>
      <c r="F9711" t="s">
        <v>15</v>
      </c>
      <c r="G9711" t="str">
        <f t="shared" si="407"/>
        <v>019BELLINA</v>
      </c>
      <c r="H9711" s="5">
        <v>885</v>
      </c>
      <c r="I9711" s="6">
        <v>1029.5999999999999</v>
      </c>
      <c r="J9711" s="5">
        <v>7800</v>
      </c>
      <c r="K9711" s="6">
        <f t="shared" si="408"/>
        <v>0.85955710955710962</v>
      </c>
    </row>
    <row r="9712" spans="1:11" hidden="1">
      <c r="A9712" s="4">
        <v>2026</v>
      </c>
      <c r="B9712">
        <v>38</v>
      </c>
      <c r="C9712" t="s">
        <v>10</v>
      </c>
      <c r="D9712" t="s">
        <v>11</v>
      </c>
      <c r="E9712" t="s">
        <v>36</v>
      </c>
      <c r="F9712" t="s">
        <v>37</v>
      </c>
      <c r="G9712" t="str">
        <f t="shared" si="407"/>
        <v>020SUMMER DANCE</v>
      </c>
      <c r="H9712" s="5">
        <v>2200</v>
      </c>
      <c r="I9712" s="6">
        <v>1346.4</v>
      </c>
      <c r="J9712" s="5">
        <v>10200</v>
      </c>
      <c r="K9712" s="6">
        <f t="shared" si="408"/>
        <v>1.6339869281045751</v>
      </c>
    </row>
    <row r="9713" spans="1:11" hidden="1">
      <c r="A9713" s="4">
        <v>2026</v>
      </c>
      <c r="B9713">
        <v>38</v>
      </c>
      <c r="C9713" t="s">
        <v>10</v>
      </c>
      <c r="D9713" t="s">
        <v>11</v>
      </c>
      <c r="E9713" t="s">
        <v>38</v>
      </c>
      <c r="F9713" t="s">
        <v>39</v>
      </c>
      <c r="G9713" t="str">
        <f t="shared" si="407"/>
        <v>021ELEGANT ROSEVER</v>
      </c>
      <c r="H9713" s="5">
        <v>360</v>
      </c>
      <c r="I9713" s="6">
        <v>440.18999062500001</v>
      </c>
      <c r="J9713" s="5">
        <v>3200</v>
      </c>
      <c r="K9713" s="6">
        <f t="shared" si="408"/>
        <v>0.81782868231251027</v>
      </c>
    </row>
    <row r="9714" spans="1:11" hidden="1">
      <c r="A9714" s="4">
        <v>2026</v>
      </c>
      <c r="B9714">
        <v>38</v>
      </c>
      <c r="C9714" t="s">
        <v>10</v>
      </c>
      <c r="D9714" t="s">
        <v>11</v>
      </c>
      <c r="E9714" t="s">
        <v>38</v>
      </c>
      <c r="F9714" t="s">
        <v>40</v>
      </c>
      <c r="G9714" t="str">
        <f t="shared" si="407"/>
        <v>021FLAME CLUB</v>
      </c>
      <c r="H9714" s="5">
        <v>1575</v>
      </c>
      <c r="I9714" s="6">
        <v>880.38</v>
      </c>
      <c r="J9714" s="5">
        <v>6400</v>
      </c>
      <c r="K9714" s="6">
        <f t="shared" si="408"/>
        <v>1.7890002044571662</v>
      </c>
    </row>
    <row r="9715" spans="1:11" hidden="1">
      <c r="A9715" s="4">
        <v>2026</v>
      </c>
      <c r="B9715">
        <v>38</v>
      </c>
      <c r="C9715" t="s">
        <v>10</v>
      </c>
      <c r="D9715" t="s">
        <v>11</v>
      </c>
      <c r="E9715" t="s">
        <v>38</v>
      </c>
      <c r="F9715" t="s">
        <v>41</v>
      </c>
      <c r="G9715" t="str">
        <f t="shared" si="407"/>
        <v>021KELLY</v>
      </c>
      <c r="H9715" s="5">
        <v>575</v>
      </c>
      <c r="I9715" s="6">
        <v>330.14249999999998</v>
      </c>
      <c r="J9715" s="5">
        <v>2400</v>
      </c>
      <c r="K9715" s="6">
        <f t="shared" si="408"/>
        <v>1.7416721567202043</v>
      </c>
    </row>
    <row r="9716" spans="1:11" hidden="1">
      <c r="A9716" s="4">
        <v>2026</v>
      </c>
      <c r="B9716">
        <v>38</v>
      </c>
      <c r="C9716" t="s">
        <v>10</v>
      </c>
      <c r="D9716" t="s">
        <v>11</v>
      </c>
      <c r="E9716" t="s">
        <v>38</v>
      </c>
      <c r="F9716" t="s">
        <v>42</v>
      </c>
      <c r="G9716" t="str">
        <f t="shared" si="407"/>
        <v>021LEILA</v>
      </c>
      <c r="H9716" s="5">
        <v>2350</v>
      </c>
      <c r="I9716" s="6">
        <v>1650.7125000000001</v>
      </c>
      <c r="J9716" s="5">
        <v>12000</v>
      </c>
      <c r="K9716" s="6">
        <f t="shared" si="408"/>
        <v>1.423627675927819</v>
      </c>
    </row>
    <row r="9717" spans="1:11" hidden="1">
      <c r="A9717" s="4">
        <v>2026</v>
      </c>
      <c r="B9717">
        <v>38</v>
      </c>
      <c r="C9717" t="s">
        <v>10</v>
      </c>
      <c r="D9717" t="s">
        <v>11</v>
      </c>
      <c r="E9717" t="s">
        <v>38</v>
      </c>
      <c r="F9717" t="s">
        <v>21</v>
      </c>
      <c r="G9717" t="str">
        <f t="shared" si="407"/>
        <v>021SNOW BUBBLES</v>
      </c>
      <c r="H9717" s="5">
        <v>2100</v>
      </c>
      <c r="I9717" s="6">
        <v>1287.0000000000018</v>
      </c>
      <c r="J9717" s="5">
        <v>9400</v>
      </c>
      <c r="K9717" s="6">
        <f t="shared" si="408"/>
        <v>1.6317016317016293</v>
      </c>
    </row>
    <row r="9718" spans="1:11" hidden="1">
      <c r="A9718" s="4">
        <v>2026</v>
      </c>
      <c r="B9718">
        <v>38</v>
      </c>
      <c r="C9718" t="s">
        <v>10</v>
      </c>
      <c r="D9718" t="s">
        <v>11</v>
      </c>
      <c r="E9718" t="s">
        <v>43</v>
      </c>
      <c r="F9718" t="s">
        <v>24</v>
      </c>
      <c r="G9718" t="str">
        <f t="shared" si="407"/>
        <v>022FRUITY BUBBLES</v>
      </c>
      <c r="H9718" s="5">
        <v>2875</v>
      </c>
      <c r="I9718" s="6">
        <v>2641.14</v>
      </c>
      <c r="J9718" s="5">
        <v>19200</v>
      </c>
      <c r="K9718" s="6">
        <f t="shared" si="408"/>
        <v>1.0885450979501277</v>
      </c>
    </row>
    <row r="9719" spans="1:11" hidden="1">
      <c r="A9719" s="4">
        <v>2026</v>
      </c>
      <c r="B9719">
        <v>38</v>
      </c>
      <c r="C9719" t="s">
        <v>10</v>
      </c>
      <c r="D9719" t="s">
        <v>11</v>
      </c>
      <c r="E9719" t="s">
        <v>43</v>
      </c>
      <c r="F9719" t="s">
        <v>28</v>
      </c>
      <c r="G9719" t="str">
        <f t="shared" si="407"/>
        <v>022GOOD PEACH</v>
      </c>
      <c r="H9719" s="5">
        <v>2340</v>
      </c>
      <c r="I9719" s="6">
        <v>880.38</v>
      </c>
      <c r="J9719" s="5">
        <v>6400</v>
      </c>
      <c r="K9719" s="6">
        <f t="shared" si="408"/>
        <v>2.6579431609077897</v>
      </c>
    </row>
    <row r="9720" spans="1:11" hidden="1">
      <c r="A9720" s="4">
        <v>2026</v>
      </c>
      <c r="B9720">
        <v>38</v>
      </c>
      <c r="C9720" t="s">
        <v>10</v>
      </c>
      <c r="D9720" t="s">
        <v>11</v>
      </c>
      <c r="E9720" t="s">
        <v>43</v>
      </c>
      <c r="F9720" t="s">
        <v>44</v>
      </c>
      <c r="G9720" t="str">
        <f t="shared" si="407"/>
        <v>022MIRABEL</v>
      </c>
      <c r="H9720" s="5">
        <v>1800</v>
      </c>
      <c r="I9720" s="6">
        <v>880.38</v>
      </c>
      <c r="J9720" s="5">
        <v>6400</v>
      </c>
      <c r="K9720" s="6">
        <f t="shared" si="408"/>
        <v>2.0445716622367613</v>
      </c>
    </row>
    <row r="9721" spans="1:11" hidden="1">
      <c r="A9721" s="4">
        <v>2026</v>
      </c>
      <c r="B9721">
        <v>38</v>
      </c>
      <c r="C9721" t="s">
        <v>10</v>
      </c>
      <c r="D9721" t="s">
        <v>11</v>
      </c>
      <c r="E9721" t="s">
        <v>45</v>
      </c>
      <c r="F9721" t="s">
        <v>46</v>
      </c>
      <c r="G9721" t="str">
        <f t="shared" si="407"/>
        <v>026PURPLE BUBBLY</v>
      </c>
      <c r="H9721" s="5">
        <v>690</v>
      </c>
      <c r="I9721" s="6">
        <v>1755.4</v>
      </c>
      <c r="J9721" s="5">
        <v>12800</v>
      </c>
      <c r="K9721" s="6">
        <f t="shared" si="408"/>
        <v>0.39307280391933458</v>
      </c>
    </row>
    <row r="9722" spans="1:11" hidden="1">
      <c r="A9722" s="4">
        <v>2026</v>
      </c>
      <c r="B9722">
        <v>38</v>
      </c>
      <c r="C9722" t="s">
        <v>10</v>
      </c>
      <c r="D9722" t="s">
        <v>11</v>
      </c>
      <c r="E9722" t="s">
        <v>47</v>
      </c>
      <c r="F9722" t="s">
        <v>44</v>
      </c>
      <c r="G9722" t="str">
        <f t="shared" si="407"/>
        <v>030MIRABEL</v>
      </c>
      <c r="H9722" s="5">
        <v>3780</v>
      </c>
      <c r="I9722" s="6">
        <v>2413.6749943750001</v>
      </c>
      <c r="J9722" s="5">
        <v>17600</v>
      </c>
      <c r="K9722" s="6">
        <f t="shared" si="408"/>
        <v>1.566076629541749</v>
      </c>
    </row>
    <row r="9723" spans="1:11" hidden="1">
      <c r="A9723" s="4">
        <v>2026</v>
      </c>
      <c r="B9723">
        <v>38</v>
      </c>
      <c r="C9723" t="s">
        <v>10</v>
      </c>
      <c r="D9723" t="s">
        <v>11</v>
      </c>
      <c r="E9723" t="s">
        <v>47</v>
      </c>
      <c r="F9723" t="s">
        <v>13</v>
      </c>
      <c r="G9723" t="str">
        <f t="shared" si="407"/>
        <v>030SOMERSET</v>
      </c>
      <c r="H9723" s="5">
        <v>1700</v>
      </c>
      <c r="I9723" s="6">
        <v>1645.6875</v>
      </c>
      <c r="J9723" s="5">
        <v>12000</v>
      </c>
      <c r="K9723" s="6">
        <f t="shared" si="408"/>
        <v>1.0330029243097489</v>
      </c>
    </row>
    <row r="9724" spans="1:11" hidden="1">
      <c r="A9724" s="4">
        <v>2026</v>
      </c>
      <c r="B9724">
        <v>38</v>
      </c>
      <c r="C9724" t="s">
        <v>10</v>
      </c>
      <c r="D9724" t="s">
        <v>11</v>
      </c>
      <c r="E9724" t="s">
        <v>48</v>
      </c>
      <c r="F9724" t="s">
        <v>49</v>
      </c>
      <c r="G9724" t="str">
        <f t="shared" si="407"/>
        <v>03182989</v>
      </c>
      <c r="H9724" s="5">
        <v>2240</v>
      </c>
      <c r="I9724" s="6">
        <v>726.32013058333712</v>
      </c>
      <c r="J9724" s="5">
        <v>5712</v>
      </c>
      <c r="K9724" s="6">
        <f t="shared" si="408"/>
        <v>3.0840395380491041</v>
      </c>
    </row>
    <row r="9725" spans="1:11" hidden="1">
      <c r="A9725" s="4">
        <v>2026</v>
      </c>
      <c r="B9725">
        <v>38</v>
      </c>
      <c r="C9725" t="s">
        <v>10</v>
      </c>
      <c r="D9725" t="s">
        <v>11</v>
      </c>
      <c r="E9725" t="s">
        <v>48</v>
      </c>
      <c r="F9725" t="s">
        <v>34</v>
      </c>
      <c r="G9725" t="str">
        <f t="shared" si="407"/>
        <v>031RUBICON</v>
      </c>
      <c r="H9725" s="5">
        <v>2250</v>
      </c>
      <c r="I9725" s="6">
        <v>924.39958333667107</v>
      </c>
      <c r="J9725" s="5">
        <v>6720</v>
      </c>
      <c r="K9725" s="6">
        <f t="shared" si="408"/>
        <v>2.4340123476457025</v>
      </c>
    </row>
    <row r="9726" spans="1:11" hidden="1">
      <c r="A9726" s="4">
        <v>2026</v>
      </c>
      <c r="B9726">
        <v>38</v>
      </c>
      <c r="C9726" t="s">
        <v>10</v>
      </c>
      <c r="D9726" t="s">
        <v>11</v>
      </c>
      <c r="E9726" t="s">
        <v>48</v>
      </c>
      <c r="F9726" t="s">
        <v>13</v>
      </c>
      <c r="G9726" t="str">
        <f t="shared" si="407"/>
        <v>031SOMERSET</v>
      </c>
      <c r="H9726" s="5">
        <v>2860</v>
      </c>
      <c r="I9726" s="6">
        <v>1122.485208333339</v>
      </c>
      <c r="J9726" s="5">
        <v>8160</v>
      </c>
      <c r="K9726" s="6">
        <f t="shared" si="408"/>
        <v>2.5479177620937343</v>
      </c>
    </row>
    <row r="9727" spans="1:11" hidden="1">
      <c r="A9727" s="4">
        <v>2026</v>
      </c>
      <c r="B9727">
        <v>38</v>
      </c>
      <c r="C9727" t="s">
        <v>10</v>
      </c>
      <c r="D9727" t="s">
        <v>11</v>
      </c>
      <c r="E9727" t="s">
        <v>48</v>
      </c>
      <c r="F9727" t="s">
        <v>50</v>
      </c>
      <c r="G9727" t="str">
        <f t="shared" si="407"/>
        <v>031VELVET BLOSSOMS</v>
      </c>
      <c r="H9727" s="5">
        <v>420</v>
      </c>
      <c r="I9727" s="6">
        <v>396.17125000000198</v>
      </c>
      <c r="J9727" s="5">
        <v>2880</v>
      </c>
      <c r="K9727" s="6">
        <f t="shared" si="408"/>
        <v>1.0601476003117285</v>
      </c>
    </row>
    <row r="9728" spans="1:11" hidden="1">
      <c r="A9728" s="4">
        <v>2026</v>
      </c>
      <c r="B9728">
        <v>38</v>
      </c>
      <c r="C9728" t="s">
        <v>10</v>
      </c>
      <c r="D9728" t="s">
        <v>11</v>
      </c>
      <c r="E9728" t="s">
        <v>51</v>
      </c>
      <c r="F9728" t="s">
        <v>17</v>
      </c>
      <c r="G9728" t="str">
        <f t="shared" si="407"/>
        <v>032ELBA</v>
      </c>
      <c r="H9728" s="5">
        <v>2550</v>
      </c>
      <c r="I9728" s="6">
        <v>1535.9749999999999</v>
      </c>
      <c r="J9728" s="5">
        <v>11200</v>
      </c>
      <c r="K9728" s="6">
        <f t="shared" si="408"/>
        <v>1.6601832712120967</v>
      </c>
    </row>
    <row r="9729" spans="1:11" hidden="1">
      <c r="A9729" s="4">
        <v>2026</v>
      </c>
      <c r="B9729">
        <v>38</v>
      </c>
      <c r="C9729" t="s">
        <v>10</v>
      </c>
      <c r="D9729" t="s">
        <v>11</v>
      </c>
      <c r="E9729" t="s">
        <v>51</v>
      </c>
      <c r="F9729" t="s">
        <v>44</v>
      </c>
      <c r="G9729" t="str">
        <f t="shared" si="407"/>
        <v>032MIRABEL</v>
      </c>
      <c r="H9729" s="5">
        <v>2160</v>
      </c>
      <c r="I9729" s="6">
        <v>1535.9749999999999</v>
      </c>
      <c r="J9729" s="5">
        <v>11200</v>
      </c>
      <c r="K9729" s="6">
        <f t="shared" si="408"/>
        <v>1.4062728885561289</v>
      </c>
    </row>
    <row r="9730" spans="1:11" hidden="1">
      <c r="A9730" s="4">
        <v>2026</v>
      </c>
      <c r="B9730">
        <v>38</v>
      </c>
      <c r="C9730" t="s">
        <v>10</v>
      </c>
      <c r="D9730" t="s">
        <v>11</v>
      </c>
      <c r="E9730" t="s">
        <v>52</v>
      </c>
      <c r="F9730" t="s">
        <v>53</v>
      </c>
      <c r="G9730" t="str">
        <f t="shared" si="407"/>
        <v>033CREAMY FOLIES</v>
      </c>
      <c r="H9730" s="5">
        <v>1590</v>
      </c>
      <c r="I9730" s="6">
        <v>594.25687500000299</v>
      </c>
      <c r="J9730" s="5">
        <v>4320</v>
      </c>
      <c r="K9730" s="6">
        <f t="shared" si="408"/>
        <v>2.675610610310553</v>
      </c>
    </row>
    <row r="9731" spans="1:11" hidden="1">
      <c r="A9731" s="4">
        <v>2026</v>
      </c>
      <c r="B9731">
        <v>38</v>
      </c>
      <c r="C9731" t="s">
        <v>10</v>
      </c>
      <c r="D9731" t="s">
        <v>11</v>
      </c>
      <c r="E9731" t="s">
        <v>52</v>
      </c>
      <c r="F9731" t="s">
        <v>18</v>
      </c>
      <c r="G9731" t="str">
        <f t="shared" si="407"/>
        <v>033HOT BUBBLES</v>
      </c>
      <c r="H9731" s="5">
        <v>4480</v>
      </c>
      <c r="I9731" s="6">
        <v>2575.1131250013459</v>
      </c>
      <c r="J9731" s="5">
        <v>18720</v>
      </c>
      <c r="K9731" s="6">
        <f t="shared" si="408"/>
        <v>1.7397293953824489</v>
      </c>
    </row>
    <row r="9732" spans="1:11" hidden="1">
      <c r="A9732" s="4">
        <v>2026</v>
      </c>
      <c r="B9732">
        <v>38</v>
      </c>
      <c r="C9732" t="s">
        <v>54</v>
      </c>
      <c r="D9732" t="s">
        <v>11</v>
      </c>
      <c r="E9732" t="s">
        <v>55</v>
      </c>
      <c r="F9732" t="s">
        <v>56</v>
      </c>
      <c r="G9732" t="str">
        <f t="shared" si="407"/>
        <v>001BELIEVE IN PINK</v>
      </c>
      <c r="H9732" s="5">
        <v>1260</v>
      </c>
      <c r="I9732" s="6">
        <v>528.37931032368999</v>
      </c>
      <c r="J9732" s="5">
        <v>4000</v>
      </c>
      <c r="K9732" s="6">
        <f t="shared" ref="K9732:K9738" si="409">IFERROR(H9732/I9732,"")</f>
        <v>2.3846505254494397</v>
      </c>
    </row>
    <row r="9733" spans="1:11" hidden="1">
      <c r="A9733" s="4">
        <v>2026</v>
      </c>
      <c r="B9733">
        <v>38</v>
      </c>
      <c r="C9733" t="s">
        <v>54</v>
      </c>
      <c r="D9733" t="s">
        <v>11</v>
      </c>
      <c r="E9733" t="s">
        <v>55</v>
      </c>
      <c r="F9733" t="s">
        <v>57</v>
      </c>
      <c r="G9733" t="str">
        <f t="shared" si="407"/>
        <v>001EXPLORER</v>
      </c>
      <c r="H9733" s="5">
        <v>3925</v>
      </c>
      <c r="I9733" s="6">
        <v>2272.0310343918732</v>
      </c>
      <c r="J9733" s="5">
        <v>17200</v>
      </c>
      <c r="K9733" s="6">
        <f t="shared" si="409"/>
        <v>1.7275292197100454</v>
      </c>
    </row>
    <row r="9734" spans="1:11" hidden="1">
      <c r="A9734" s="4">
        <v>2026</v>
      </c>
      <c r="B9734">
        <v>38</v>
      </c>
      <c r="C9734" t="s">
        <v>54</v>
      </c>
      <c r="D9734" t="s">
        <v>11</v>
      </c>
      <c r="E9734" t="s">
        <v>55</v>
      </c>
      <c r="F9734" t="s">
        <v>58</v>
      </c>
      <c r="G9734" t="str">
        <f t="shared" si="407"/>
        <v>001GRACE KELLY</v>
      </c>
      <c r="H9734" s="5">
        <v>1770</v>
      </c>
      <c r="I9734" s="6">
        <v>1162.4344827121224</v>
      </c>
      <c r="J9734" s="5">
        <v>8800</v>
      </c>
      <c r="K9734" s="6">
        <f t="shared" si="409"/>
        <v>1.5226664610553724</v>
      </c>
    </row>
    <row r="9735" spans="1:11" hidden="1">
      <c r="A9735" s="4">
        <v>2026</v>
      </c>
      <c r="B9735">
        <v>38</v>
      </c>
      <c r="C9735" t="s">
        <v>54</v>
      </c>
      <c r="D9735" t="s">
        <v>11</v>
      </c>
      <c r="E9735" t="s">
        <v>55</v>
      </c>
      <c r="F9735" t="s">
        <v>59</v>
      </c>
      <c r="G9735" t="str">
        <f t="shared" ref="G9735:G9798" si="410">+E9735&amp;F9735</f>
        <v>001IDOLE</v>
      </c>
      <c r="H9735" s="5">
        <v>525</v>
      </c>
      <c r="I9735" s="6">
        <v>1162.4344827121181</v>
      </c>
      <c r="J9735" s="5">
        <v>8800</v>
      </c>
      <c r="K9735" s="6">
        <f t="shared" si="409"/>
        <v>0.4516383570926969</v>
      </c>
    </row>
    <row r="9736" spans="1:11" hidden="1">
      <c r="A9736" s="4">
        <v>2026</v>
      </c>
      <c r="B9736">
        <v>38</v>
      </c>
      <c r="C9736" t="s">
        <v>54</v>
      </c>
      <c r="D9736" t="s">
        <v>11</v>
      </c>
      <c r="E9736" t="s">
        <v>55</v>
      </c>
      <c r="F9736" t="s">
        <v>60</v>
      </c>
      <c r="G9736" t="str">
        <f t="shared" si="410"/>
        <v>001LIGHT HOUSE</v>
      </c>
      <c r="H9736" s="5">
        <v>990</v>
      </c>
      <c r="I9736" s="6">
        <v>1056.7586206473827</v>
      </c>
      <c r="J9736" s="5">
        <v>8000</v>
      </c>
      <c r="K9736" s="6">
        <f t="shared" si="409"/>
        <v>0.93682699214084897</v>
      </c>
    </row>
    <row r="9737" spans="1:11" hidden="1">
      <c r="A9737" s="4">
        <v>2026</v>
      </c>
      <c r="B9737">
        <v>38</v>
      </c>
      <c r="C9737" t="s">
        <v>54</v>
      </c>
      <c r="D9737" t="s">
        <v>11</v>
      </c>
      <c r="E9737" t="s">
        <v>55</v>
      </c>
      <c r="F9737" t="s">
        <v>61</v>
      </c>
      <c r="G9737" t="str">
        <f t="shared" si="410"/>
        <v>001LUMIA</v>
      </c>
      <c r="H9737" s="5">
        <v>990</v>
      </c>
      <c r="I9737" s="6">
        <v>1109.596551679753</v>
      </c>
      <c r="J9737" s="5">
        <v>8400</v>
      </c>
      <c r="K9737" s="6">
        <f t="shared" si="409"/>
        <v>0.8922161829912838</v>
      </c>
    </row>
    <row r="9738" spans="1:11" hidden="1">
      <c r="A9738" s="4">
        <v>2026</v>
      </c>
      <c r="B9738">
        <v>38</v>
      </c>
      <c r="C9738" t="s">
        <v>54</v>
      </c>
      <c r="D9738" t="s">
        <v>11</v>
      </c>
      <c r="E9738" t="s">
        <v>55</v>
      </c>
      <c r="F9738" t="s">
        <v>62</v>
      </c>
      <c r="G9738" t="str">
        <f t="shared" si="410"/>
        <v>001MOMENTUM</v>
      </c>
      <c r="H9738" s="5">
        <v>3375</v>
      </c>
      <c r="I9738" s="6">
        <v>1902.1655171652881</v>
      </c>
      <c r="J9738" s="5">
        <v>14400</v>
      </c>
      <c r="K9738" s="6">
        <f t="shared" si="409"/>
        <v>1.7742935457213056</v>
      </c>
    </row>
    <row r="9739" spans="1:11" hidden="1">
      <c r="A9739" s="4">
        <v>2026</v>
      </c>
      <c r="B9739">
        <v>38</v>
      </c>
      <c r="C9739" t="s">
        <v>54</v>
      </c>
      <c r="D9739" t="s">
        <v>11</v>
      </c>
      <c r="E9739" t="s">
        <v>12</v>
      </c>
      <c r="F9739" t="s">
        <v>63</v>
      </c>
      <c r="G9739" t="str">
        <f t="shared" si="410"/>
        <v>002SUMMER ROMANCE</v>
      </c>
      <c r="H9739" s="5">
        <v>2050</v>
      </c>
      <c r="I9739" s="6">
        <v>951.10714281909407</v>
      </c>
      <c r="J9739" s="5">
        <v>7200</v>
      </c>
      <c r="K9739" s="6">
        <f t="shared" ref="K9739:K9802" si="411">+H9739/I9739</f>
        <v>2.1553828246140316</v>
      </c>
    </row>
    <row r="9740" spans="1:11" hidden="1">
      <c r="A9740" s="4">
        <v>2026</v>
      </c>
      <c r="B9740">
        <v>38</v>
      </c>
      <c r="C9740" t="s">
        <v>54</v>
      </c>
      <c r="D9740" t="s">
        <v>11</v>
      </c>
      <c r="E9740" t="s">
        <v>12</v>
      </c>
      <c r="F9740" t="s">
        <v>64</v>
      </c>
      <c r="G9740" t="str">
        <f t="shared" si="410"/>
        <v>002SWEETNESS</v>
      </c>
      <c r="H9740" s="5">
        <v>8730</v>
      </c>
      <c r="I9740" s="6">
        <v>3804.4285712763772</v>
      </c>
      <c r="J9740" s="5">
        <v>28800</v>
      </c>
      <c r="K9740" s="6">
        <f t="shared" si="411"/>
        <v>2.2946941535220109</v>
      </c>
    </row>
    <row r="9741" spans="1:11" hidden="1">
      <c r="A9741" s="4">
        <v>2026</v>
      </c>
      <c r="B9741">
        <v>38</v>
      </c>
      <c r="C9741" t="s">
        <v>54</v>
      </c>
      <c r="D9741" t="s">
        <v>11</v>
      </c>
      <c r="E9741" t="s">
        <v>65</v>
      </c>
      <c r="F9741" t="s">
        <v>66</v>
      </c>
      <c r="G9741" t="str">
        <f t="shared" si="410"/>
        <v>003CABARET</v>
      </c>
      <c r="H9741" s="5">
        <v>5190</v>
      </c>
      <c r="I9741" s="6">
        <v>2641.8965516184649</v>
      </c>
      <c r="J9741" s="5">
        <v>20000</v>
      </c>
      <c r="K9741" s="6">
        <f t="shared" si="411"/>
        <v>1.9644978138226228</v>
      </c>
    </row>
    <row r="9742" spans="1:11" hidden="1">
      <c r="A9742" s="4">
        <v>2026</v>
      </c>
      <c r="B9742">
        <v>38</v>
      </c>
      <c r="C9742" t="s">
        <v>54</v>
      </c>
      <c r="D9742" t="s">
        <v>11</v>
      </c>
      <c r="E9742" t="s">
        <v>65</v>
      </c>
      <c r="F9742" t="s">
        <v>67</v>
      </c>
      <c r="G9742" t="str">
        <f t="shared" si="410"/>
        <v>003DEEP PURPLE</v>
      </c>
      <c r="H9742" s="5">
        <v>9780</v>
      </c>
      <c r="I9742" s="6">
        <v>3592.9793102010913</v>
      </c>
      <c r="J9742" s="5">
        <v>26044</v>
      </c>
      <c r="K9742" s="6">
        <f t="shared" si="411"/>
        <v>2.7219750395536328</v>
      </c>
    </row>
    <row r="9743" spans="1:11" hidden="1">
      <c r="A9743" s="4">
        <v>2026</v>
      </c>
      <c r="B9743">
        <v>38</v>
      </c>
      <c r="C9743" t="s">
        <v>54</v>
      </c>
      <c r="D9743" t="s">
        <v>11</v>
      </c>
      <c r="E9743" t="s">
        <v>65</v>
      </c>
      <c r="F9743" t="s">
        <v>57</v>
      </c>
      <c r="G9743" t="str">
        <f t="shared" si="410"/>
        <v>003EXPLORER</v>
      </c>
      <c r="H9743" s="5">
        <v>2200</v>
      </c>
      <c r="I9743" s="6">
        <v>1268.1103447768633</v>
      </c>
      <c r="J9743" s="5">
        <v>9600</v>
      </c>
      <c r="K9743" s="6">
        <f t="shared" si="411"/>
        <v>1.734864800260826</v>
      </c>
    </row>
    <row r="9744" spans="1:11" hidden="1">
      <c r="A9744" s="4">
        <v>2026</v>
      </c>
      <c r="B9744">
        <v>38</v>
      </c>
      <c r="C9744" t="s">
        <v>54</v>
      </c>
      <c r="D9744" t="s">
        <v>11</v>
      </c>
      <c r="E9744" t="s">
        <v>65</v>
      </c>
      <c r="F9744" t="s">
        <v>68</v>
      </c>
      <c r="G9744" t="str">
        <f t="shared" si="410"/>
        <v>003JOCKER</v>
      </c>
      <c r="H9744" s="5">
        <v>750</v>
      </c>
      <c r="I9744" s="6">
        <v>528.37931032368999</v>
      </c>
      <c r="J9744" s="5">
        <v>4000</v>
      </c>
      <c r="K9744" s="6">
        <f t="shared" si="411"/>
        <v>1.4194348365770475</v>
      </c>
    </row>
    <row r="9745" spans="1:11" hidden="1">
      <c r="A9745" s="4">
        <v>2026</v>
      </c>
      <c r="B9745">
        <v>38</v>
      </c>
      <c r="C9745" t="s">
        <v>54</v>
      </c>
      <c r="D9745" t="s">
        <v>11</v>
      </c>
      <c r="E9745" t="s">
        <v>65</v>
      </c>
      <c r="F9745" t="s">
        <v>69</v>
      </c>
      <c r="G9745" t="str">
        <f t="shared" si="410"/>
        <v>003QUICKSAND</v>
      </c>
      <c r="H9745" s="5">
        <v>1380</v>
      </c>
      <c r="I9745" s="6">
        <v>1162.4344827121247</v>
      </c>
      <c r="J9745" s="5">
        <v>8800</v>
      </c>
      <c r="K9745" s="6">
        <f t="shared" si="411"/>
        <v>1.1871636815007967</v>
      </c>
    </row>
    <row r="9746" spans="1:11" hidden="1">
      <c r="A9746" s="4">
        <v>2026</v>
      </c>
      <c r="B9746">
        <v>38</v>
      </c>
      <c r="C9746" t="s">
        <v>54</v>
      </c>
      <c r="D9746" t="s">
        <v>11</v>
      </c>
      <c r="E9746" t="s">
        <v>14</v>
      </c>
      <c r="F9746" t="s">
        <v>70</v>
      </c>
      <c r="G9746" t="str">
        <f t="shared" si="410"/>
        <v>004COTOPAXI</v>
      </c>
      <c r="H9746" s="5">
        <v>960</v>
      </c>
      <c r="I9746" s="6">
        <v>528.3915024419166</v>
      </c>
      <c r="J9746" s="5">
        <v>4000</v>
      </c>
      <c r="K9746" s="6">
        <f t="shared" si="411"/>
        <v>1.8168346681644978</v>
      </c>
    </row>
    <row r="9747" spans="1:11" hidden="1">
      <c r="A9747" s="4">
        <v>2026</v>
      </c>
      <c r="B9747">
        <v>38</v>
      </c>
      <c r="C9747" t="s">
        <v>54</v>
      </c>
      <c r="D9747" t="s">
        <v>11</v>
      </c>
      <c r="E9747" t="s">
        <v>14</v>
      </c>
      <c r="F9747" t="s">
        <v>67</v>
      </c>
      <c r="G9747" t="str">
        <f t="shared" si="410"/>
        <v>004DEEP PURPLE</v>
      </c>
      <c r="H9747" s="5">
        <v>9270</v>
      </c>
      <c r="I9747" s="6">
        <v>3910.1071427007282</v>
      </c>
      <c r="J9747" s="5">
        <v>29260</v>
      </c>
      <c r="K9747" s="6">
        <f t="shared" si="411"/>
        <v>2.3707790251489556</v>
      </c>
    </row>
    <row r="9748" spans="1:11" hidden="1">
      <c r="A9748" s="4">
        <v>2026</v>
      </c>
      <c r="B9748">
        <v>38</v>
      </c>
      <c r="C9748" t="s">
        <v>54</v>
      </c>
      <c r="D9748" t="s">
        <v>11</v>
      </c>
      <c r="E9748" t="s">
        <v>14</v>
      </c>
      <c r="F9748" t="s">
        <v>71</v>
      </c>
      <c r="G9748" t="str">
        <f t="shared" si="410"/>
        <v>004HOT EXPLORER</v>
      </c>
      <c r="H9748" s="5">
        <v>3375</v>
      </c>
      <c r="I9748" s="6">
        <v>1902.2142856381945</v>
      </c>
      <c r="J9748" s="5">
        <v>14400</v>
      </c>
      <c r="K9748" s="6">
        <f t="shared" si="411"/>
        <v>1.7742480568469101</v>
      </c>
    </row>
    <row r="9749" spans="1:11" hidden="1">
      <c r="A9749" s="4">
        <v>2026</v>
      </c>
      <c r="B9749">
        <v>38</v>
      </c>
      <c r="C9749" t="s">
        <v>54</v>
      </c>
      <c r="D9749" t="s">
        <v>11</v>
      </c>
      <c r="E9749" t="s">
        <v>14</v>
      </c>
      <c r="F9749" t="s">
        <v>72</v>
      </c>
      <c r="G9749" t="str">
        <f t="shared" si="410"/>
        <v>004HOT MERENGUE</v>
      </c>
      <c r="H9749" s="5">
        <v>2880</v>
      </c>
      <c r="I9749" s="6">
        <v>1162.4642856677858</v>
      </c>
      <c r="J9749" s="5">
        <v>8800</v>
      </c>
      <c r="K9749" s="6">
        <f t="shared" si="411"/>
        <v>2.4774954684698667</v>
      </c>
    </row>
    <row r="9750" spans="1:11" hidden="1">
      <c r="A9750" s="4">
        <v>2026</v>
      </c>
      <c r="B9750">
        <v>38</v>
      </c>
      <c r="C9750" t="s">
        <v>54</v>
      </c>
      <c r="D9750" t="s">
        <v>11</v>
      </c>
      <c r="E9750" t="s">
        <v>14</v>
      </c>
      <c r="F9750" t="s">
        <v>64</v>
      </c>
      <c r="G9750" t="str">
        <f t="shared" si="410"/>
        <v>004SWEETNESS</v>
      </c>
      <c r="H9750" s="5">
        <v>300</v>
      </c>
      <c r="I9750" s="6">
        <v>317.03571427303262</v>
      </c>
      <c r="J9750" s="5">
        <v>2400</v>
      </c>
      <c r="K9750" s="6">
        <f t="shared" si="411"/>
        <v>0.94626563031835154</v>
      </c>
    </row>
    <row r="9751" spans="1:11" hidden="1">
      <c r="A9751" s="4">
        <v>2026</v>
      </c>
      <c r="B9751">
        <v>38</v>
      </c>
      <c r="C9751" t="s">
        <v>54</v>
      </c>
      <c r="D9751" t="s">
        <v>11</v>
      </c>
      <c r="E9751" t="s">
        <v>16</v>
      </c>
      <c r="F9751" t="s">
        <v>57</v>
      </c>
      <c r="G9751" t="str">
        <f t="shared" si="410"/>
        <v>005EXPLORER</v>
      </c>
      <c r="H9751" s="5">
        <v>1275</v>
      </c>
      <c r="I9751" s="6">
        <v>951.10714281875391</v>
      </c>
      <c r="J9751" s="5">
        <v>7200</v>
      </c>
      <c r="K9751" s="6">
        <f t="shared" si="411"/>
        <v>1.340542976284816</v>
      </c>
    </row>
    <row r="9752" spans="1:11" hidden="1">
      <c r="A9752" s="4">
        <v>2026</v>
      </c>
      <c r="B9752">
        <v>38</v>
      </c>
      <c r="C9752" t="s">
        <v>54</v>
      </c>
      <c r="D9752" t="s">
        <v>11</v>
      </c>
      <c r="E9752" t="s">
        <v>16</v>
      </c>
      <c r="F9752" t="s">
        <v>73</v>
      </c>
      <c r="G9752" t="str">
        <f t="shared" si="410"/>
        <v>005GOLDFINCH</v>
      </c>
      <c r="H9752" s="5">
        <v>900</v>
      </c>
      <c r="I9752" s="6">
        <v>898.26785710660101</v>
      </c>
      <c r="J9752" s="5">
        <v>6800</v>
      </c>
      <c r="K9752" s="6">
        <f t="shared" si="411"/>
        <v>1.0019283144550872</v>
      </c>
    </row>
    <row r="9753" spans="1:11" hidden="1">
      <c r="A9753" s="4">
        <v>2026</v>
      </c>
      <c r="B9753">
        <v>38</v>
      </c>
      <c r="C9753" t="s">
        <v>54</v>
      </c>
      <c r="D9753" t="s">
        <v>11</v>
      </c>
      <c r="E9753" t="s">
        <v>16</v>
      </c>
      <c r="F9753" t="s">
        <v>68</v>
      </c>
      <c r="G9753" t="str">
        <f t="shared" si="410"/>
        <v>005JOCKER</v>
      </c>
      <c r="H9753" s="5">
        <v>2025</v>
      </c>
      <c r="I9753" s="6">
        <v>1162.4642856673661</v>
      </c>
      <c r="J9753" s="5">
        <v>8800</v>
      </c>
      <c r="K9753" s="6">
        <f t="shared" si="411"/>
        <v>1.741989001268504</v>
      </c>
    </row>
    <row r="9754" spans="1:11" hidden="1">
      <c r="A9754" s="4">
        <v>2026</v>
      </c>
      <c r="B9754">
        <v>38</v>
      </c>
      <c r="C9754" t="s">
        <v>54</v>
      </c>
      <c r="D9754" t="s">
        <v>11</v>
      </c>
      <c r="E9754" t="s">
        <v>16</v>
      </c>
      <c r="F9754" t="s">
        <v>74</v>
      </c>
      <c r="G9754" t="str">
        <f t="shared" si="410"/>
        <v>005VENDELA</v>
      </c>
      <c r="H9754" s="5">
        <v>1680</v>
      </c>
      <c r="I9754" s="6">
        <v>686.91071425798896</v>
      </c>
      <c r="J9754" s="5">
        <v>5200</v>
      </c>
      <c r="K9754" s="6">
        <f t="shared" si="411"/>
        <v>2.4457327060544696</v>
      </c>
    </row>
    <row r="9755" spans="1:11" hidden="1">
      <c r="A9755" s="4">
        <v>2026</v>
      </c>
      <c r="B9755">
        <v>38</v>
      </c>
      <c r="C9755" t="s">
        <v>54</v>
      </c>
      <c r="D9755" t="s">
        <v>11</v>
      </c>
      <c r="E9755" t="s">
        <v>75</v>
      </c>
      <c r="F9755" t="s">
        <v>76</v>
      </c>
      <c r="G9755" t="str">
        <f t="shared" si="410"/>
        <v>006ATOMIC</v>
      </c>
      <c r="H9755" s="5">
        <v>700</v>
      </c>
      <c r="I9755" s="6">
        <v>845.428571394752</v>
      </c>
      <c r="J9755" s="5">
        <v>6400</v>
      </c>
      <c r="K9755" s="6">
        <f t="shared" si="411"/>
        <v>0.82798242652855913</v>
      </c>
    </row>
    <row r="9756" spans="1:11" hidden="1">
      <c r="A9756" s="4">
        <v>2026</v>
      </c>
      <c r="B9756">
        <v>38</v>
      </c>
      <c r="C9756" t="s">
        <v>54</v>
      </c>
      <c r="D9756" t="s">
        <v>11</v>
      </c>
      <c r="E9756" t="s">
        <v>75</v>
      </c>
      <c r="F9756" t="s">
        <v>57</v>
      </c>
      <c r="G9756" t="str">
        <f t="shared" si="410"/>
        <v>006EXPLORER</v>
      </c>
      <c r="H9756" s="5">
        <v>5000</v>
      </c>
      <c r="I9756" s="6">
        <v>3910.1071427007355</v>
      </c>
      <c r="J9756" s="5">
        <v>29600</v>
      </c>
      <c r="K9756" s="6">
        <f t="shared" si="411"/>
        <v>1.2787373382680427</v>
      </c>
    </row>
    <row r="9757" spans="1:11" hidden="1">
      <c r="A9757" s="4">
        <v>2026</v>
      </c>
      <c r="B9757">
        <v>38</v>
      </c>
      <c r="C9757" t="s">
        <v>54</v>
      </c>
      <c r="D9757" t="s">
        <v>11</v>
      </c>
      <c r="E9757" t="s">
        <v>75</v>
      </c>
      <c r="F9757" t="s">
        <v>77</v>
      </c>
      <c r="G9757" t="str">
        <f t="shared" si="410"/>
        <v>006MONDIAL</v>
      </c>
      <c r="H9757" s="5">
        <v>5675</v>
      </c>
      <c r="I9757" s="6">
        <v>4015.7857141250793</v>
      </c>
      <c r="J9757" s="5">
        <v>30400</v>
      </c>
      <c r="K9757" s="6">
        <f t="shared" si="411"/>
        <v>1.4131730136991172</v>
      </c>
    </row>
    <row r="9758" spans="1:11" hidden="1">
      <c r="A9758" s="4">
        <v>2026</v>
      </c>
      <c r="B9758">
        <v>38</v>
      </c>
      <c r="C9758" t="s">
        <v>54</v>
      </c>
      <c r="D9758" t="s">
        <v>11</v>
      </c>
      <c r="E9758" t="s">
        <v>20</v>
      </c>
      <c r="F9758" t="s">
        <v>70</v>
      </c>
      <c r="G9758" t="str">
        <f t="shared" si="410"/>
        <v>007COTOPAXI</v>
      </c>
      <c r="H9758" s="5">
        <v>5160</v>
      </c>
      <c r="I9758" s="6">
        <v>2747.5751230427709</v>
      </c>
      <c r="J9758" s="5">
        <v>20800</v>
      </c>
      <c r="K9758" s="6">
        <f t="shared" si="411"/>
        <v>1.8780196241861502</v>
      </c>
    </row>
    <row r="9759" spans="1:11" hidden="1">
      <c r="A9759" s="4">
        <v>2026</v>
      </c>
      <c r="B9759">
        <v>38</v>
      </c>
      <c r="C9759" t="s">
        <v>54</v>
      </c>
      <c r="D9759" t="s">
        <v>11</v>
      </c>
      <c r="E9759" t="s">
        <v>20</v>
      </c>
      <c r="F9759" t="s">
        <v>78</v>
      </c>
      <c r="G9759" t="str">
        <f t="shared" si="410"/>
        <v>007REDIANT</v>
      </c>
      <c r="H9759" s="5">
        <v>1380</v>
      </c>
      <c r="I9759" s="6">
        <v>1056.75862064738</v>
      </c>
      <c r="J9759" s="5">
        <v>9600</v>
      </c>
      <c r="K9759" s="6">
        <f t="shared" si="411"/>
        <v>1.3058800496508838</v>
      </c>
    </row>
    <row r="9760" spans="1:11" hidden="1">
      <c r="A9760" s="4">
        <v>2026</v>
      </c>
      <c r="B9760">
        <v>38</v>
      </c>
      <c r="C9760" t="s">
        <v>54</v>
      </c>
      <c r="D9760" t="s">
        <v>11</v>
      </c>
      <c r="E9760" t="s">
        <v>20</v>
      </c>
      <c r="F9760" t="s">
        <v>63</v>
      </c>
      <c r="G9760" t="str">
        <f t="shared" si="410"/>
        <v>007SUMMER ROMANCE</v>
      </c>
      <c r="H9760" s="5">
        <v>175</v>
      </c>
      <c r="I9760" s="6">
        <v>369.86551722658481</v>
      </c>
      <c r="J9760" s="5">
        <v>3080</v>
      </c>
      <c r="K9760" s="6">
        <f t="shared" si="411"/>
        <v>0.47314494552568021</v>
      </c>
    </row>
    <row r="9761" spans="1:11" hidden="1">
      <c r="A9761" s="4">
        <v>2026</v>
      </c>
      <c r="B9761">
        <v>38</v>
      </c>
      <c r="C9761" t="s">
        <v>54</v>
      </c>
      <c r="D9761" t="s">
        <v>11</v>
      </c>
      <c r="E9761" t="s">
        <v>20</v>
      </c>
      <c r="F9761" t="s">
        <v>74</v>
      </c>
      <c r="G9761" t="str">
        <f t="shared" si="410"/>
        <v>007VENDELA</v>
      </c>
      <c r="H9761" s="5">
        <v>8100</v>
      </c>
      <c r="I9761" s="6">
        <v>3592.9793102011122</v>
      </c>
      <c r="J9761" s="5">
        <v>27820</v>
      </c>
      <c r="K9761" s="6">
        <f t="shared" si="411"/>
        <v>2.2543965051517687</v>
      </c>
    </row>
    <row r="9762" spans="1:11" hidden="1">
      <c r="A9762" s="4">
        <v>2026</v>
      </c>
      <c r="B9762">
        <v>38</v>
      </c>
      <c r="C9762" t="s">
        <v>54</v>
      </c>
      <c r="D9762" t="s">
        <v>11</v>
      </c>
      <c r="E9762" t="s">
        <v>79</v>
      </c>
      <c r="F9762" t="s">
        <v>67</v>
      </c>
      <c r="G9762" t="str">
        <f t="shared" si="410"/>
        <v>008DEEP PURPLE</v>
      </c>
      <c r="H9762" s="5">
        <v>3540</v>
      </c>
      <c r="I9762" s="6">
        <v>1585.2222221588099</v>
      </c>
      <c r="J9762" s="5">
        <v>11490</v>
      </c>
      <c r="K9762" s="6">
        <f t="shared" si="411"/>
        <v>2.2331253943558189</v>
      </c>
    </row>
    <row r="9763" spans="1:11" hidden="1">
      <c r="A9763" s="4">
        <v>2026</v>
      </c>
      <c r="B9763">
        <v>38</v>
      </c>
      <c r="C9763" t="s">
        <v>54</v>
      </c>
      <c r="D9763" t="s">
        <v>11</v>
      </c>
      <c r="E9763" t="s">
        <v>79</v>
      </c>
      <c r="F9763" t="s">
        <v>81</v>
      </c>
      <c r="G9763" t="str">
        <f t="shared" si="410"/>
        <v>008FREEDOM</v>
      </c>
      <c r="H9763" s="5">
        <v>2460</v>
      </c>
      <c r="I9763" s="6">
        <v>2219.311111022334</v>
      </c>
      <c r="J9763" s="5">
        <v>16800</v>
      </c>
      <c r="K9763" s="6">
        <f t="shared" si="411"/>
        <v>1.1084520722589415</v>
      </c>
    </row>
    <row r="9764" spans="1:11" hidden="1">
      <c r="A9764" s="4">
        <v>2026</v>
      </c>
      <c r="B9764">
        <v>38</v>
      </c>
      <c r="C9764" t="s">
        <v>54</v>
      </c>
      <c r="D9764" t="s">
        <v>11</v>
      </c>
      <c r="E9764" t="s">
        <v>79</v>
      </c>
      <c r="F9764" t="s">
        <v>68</v>
      </c>
      <c r="G9764" t="str">
        <f t="shared" si="410"/>
        <v>008JOCKER</v>
      </c>
      <c r="H9764" s="5">
        <v>3250</v>
      </c>
      <c r="I9764" s="6">
        <v>2959.0814813631118</v>
      </c>
      <c r="J9764" s="5">
        <v>22400</v>
      </c>
      <c r="K9764" s="6">
        <f t="shared" si="411"/>
        <v>1.0983137911102319</v>
      </c>
    </row>
    <row r="9765" spans="1:11" hidden="1">
      <c r="A9765" s="4">
        <v>2026</v>
      </c>
      <c r="B9765">
        <v>38</v>
      </c>
      <c r="C9765" t="s">
        <v>54</v>
      </c>
      <c r="D9765" t="s">
        <v>11</v>
      </c>
      <c r="E9765" t="s">
        <v>79</v>
      </c>
      <c r="F9765" t="s">
        <v>61</v>
      </c>
      <c r="G9765" t="str">
        <f t="shared" si="410"/>
        <v>008LUMIA</v>
      </c>
      <c r="H9765" s="5">
        <v>0</v>
      </c>
      <c r="I9765" s="6">
        <v>1796.5851851133182</v>
      </c>
      <c r="J9765" s="5">
        <v>13600</v>
      </c>
      <c r="K9765" s="6">
        <f t="shared" si="411"/>
        <v>0</v>
      </c>
    </row>
    <row r="9766" spans="1:11" hidden="1">
      <c r="A9766" s="4">
        <v>2026</v>
      </c>
      <c r="B9766">
        <v>38</v>
      </c>
      <c r="C9766" t="s">
        <v>54</v>
      </c>
      <c r="D9766" t="s">
        <v>11</v>
      </c>
      <c r="E9766" t="s">
        <v>82</v>
      </c>
      <c r="F9766" t="s">
        <v>83</v>
      </c>
      <c r="G9766" t="str">
        <f t="shared" si="410"/>
        <v>010COOLDOWN</v>
      </c>
      <c r="H9766" s="5">
        <v>2400</v>
      </c>
      <c r="I9766" s="6">
        <v>1912.3542857142861</v>
      </c>
      <c r="J9766" s="5">
        <v>16320</v>
      </c>
      <c r="K9766" s="6">
        <f t="shared" si="411"/>
        <v>1.2549975796475248</v>
      </c>
    </row>
    <row r="9767" spans="1:11" hidden="1">
      <c r="A9767" s="4">
        <v>2026</v>
      </c>
      <c r="B9767">
        <v>38</v>
      </c>
      <c r="C9767" t="s">
        <v>54</v>
      </c>
      <c r="D9767" t="s">
        <v>11</v>
      </c>
      <c r="E9767" t="s">
        <v>82</v>
      </c>
      <c r="F9767" t="s">
        <v>84</v>
      </c>
      <c r="G9767" t="str">
        <f t="shared" si="410"/>
        <v>010VIOLET HILL</v>
      </c>
      <c r="H9767" s="5">
        <v>5120</v>
      </c>
      <c r="I9767" s="6">
        <v>2812.2857142428579</v>
      </c>
      <c r="J9767" s="5">
        <v>20000</v>
      </c>
      <c r="K9767" s="6">
        <f t="shared" si="411"/>
        <v>1.8205831555697534</v>
      </c>
    </row>
    <row r="9768" spans="1:11" hidden="1">
      <c r="A9768" s="4">
        <v>2026</v>
      </c>
      <c r="B9768">
        <v>38</v>
      </c>
      <c r="C9768" t="s">
        <v>54</v>
      </c>
      <c r="D9768" t="s">
        <v>11</v>
      </c>
      <c r="E9768" t="s">
        <v>85</v>
      </c>
      <c r="F9768" t="s">
        <v>86</v>
      </c>
      <c r="G9768" t="str">
        <f t="shared" si="410"/>
        <v>011BRIGHTON</v>
      </c>
      <c r="H9768" s="5">
        <v>2225</v>
      </c>
      <c r="I9768" s="6">
        <v>1768.8376470588223</v>
      </c>
      <c r="J9768" s="5">
        <v>12800</v>
      </c>
      <c r="K9768" s="6">
        <f t="shared" si="411"/>
        <v>1.2578881977662975</v>
      </c>
    </row>
    <row r="9769" spans="1:11" hidden="1">
      <c r="A9769" s="4">
        <v>2026</v>
      </c>
      <c r="B9769">
        <v>38</v>
      </c>
      <c r="C9769" t="s">
        <v>54</v>
      </c>
      <c r="D9769" t="s">
        <v>11</v>
      </c>
      <c r="E9769" t="s">
        <v>85</v>
      </c>
      <c r="F9769" t="s">
        <v>87</v>
      </c>
      <c r="G9769" t="str">
        <f t="shared" si="410"/>
        <v>011CANDLELIGHT</v>
      </c>
      <c r="H9769" s="5">
        <v>4300</v>
      </c>
      <c r="I9769" s="6">
        <v>2263.7999998868127</v>
      </c>
      <c r="J9769" s="5">
        <v>17920</v>
      </c>
      <c r="K9769" s="6">
        <f t="shared" si="411"/>
        <v>1.8994610832295233</v>
      </c>
    </row>
    <row r="9770" spans="1:11" hidden="1">
      <c r="A9770" s="4">
        <v>2026</v>
      </c>
      <c r="B9770">
        <v>38</v>
      </c>
      <c r="C9770" t="s">
        <v>54</v>
      </c>
      <c r="D9770" t="s">
        <v>11</v>
      </c>
      <c r="E9770" t="s">
        <v>85</v>
      </c>
      <c r="F9770" t="s">
        <v>88</v>
      </c>
      <c r="G9770" t="str">
        <f t="shared" si="410"/>
        <v>011CAYENNE</v>
      </c>
      <c r="H9770" s="5">
        <v>930</v>
      </c>
      <c r="I9770" s="6">
        <v>994.97117647058747</v>
      </c>
      <c r="J9770" s="5">
        <v>7200</v>
      </c>
      <c r="K9770" s="6">
        <f t="shared" si="411"/>
        <v>0.93470044358364579</v>
      </c>
    </row>
    <row r="9771" spans="1:11" hidden="1">
      <c r="A9771" s="4">
        <v>2026</v>
      </c>
      <c r="B9771">
        <v>38</v>
      </c>
      <c r="C9771" t="s">
        <v>54</v>
      </c>
      <c r="D9771" t="s">
        <v>11</v>
      </c>
      <c r="E9771" t="s">
        <v>85</v>
      </c>
      <c r="F9771" t="s">
        <v>61</v>
      </c>
      <c r="G9771" t="str">
        <f t="shared" si="410"/>
        <v>011LUMIA</v>
      </c>
      <c r="H9771" s="5">
        <v>1080</v>
      </c>
      <c r="I9771" s="6">
        <v>994.97117647058747</v>
      </c>
      <c r="J9771" s="5">
        <v>7920</v>
      </c>
      <c r="K9771" s="6">
        <f t="shared" si="411"/>
        <v>1.0854585796455241</v>
      </c>
    </row>
    <row r="9772" spans="1:11" hidden="1">
      <c r="A9772" s="4">
        <v>2026</v>
      </c>
      <c r="B9772">
        <v>38</v>
      </c>
      <c r="C9772" t="s">
        <v>54</v>
      </c>
      <c r="D9772" t="s">
        <v>11</v>
      </c>
      <c r="E9772" t="s">
        <v>85</v>
      </c>
      <c r="F9772" t="s">
        <v>89</v>
      </c>
      <c r="G9772" t="str">
        <f t="shared" si="410"/>
        <v>011STARDUST</v>
      </c>
      <c r="H9772" s="5">
        <v>3375</v>
      </c>
      <c r="I9772" s="6">
        <v>2263.7999998868127</v>
      </c>
      <c r="J9772" s="5">
        <v>17920</v>
      </c>
      <c r="K9772" s="6">
        <f t="shared" si="411"/>
        <v>1.4908560827673585</v>
      </c>
    </row>
    <row r="9773" spans="1:11" hidden="1">
      <c r="A9773" s="4">
        <v>2026</v>
      </c>
      <c r="B9773">
        <v>38</v>
      </c>
      <c r="C9773" t="s">
        <v>54</v>
      </c>
      <c r="D9773" t="s">
        <v>11</v>
      </c>
      <c r="E9773" t="s">
        <v>90</v>
      </c>
      <c r="F9773" t="s">
        <v>67</v>
      </c>
      <c r="G9773" t="str">
        <f t="shared" si="410"/>
        <v>012DEEP PURPLE</v>
      </c>
      <c r="H9773" s="5">
        <v>10140</v>
      </c>
      <c r="I9773" s="6">
        <v>6727.0499997982479</v>
      </c>
      <c r="J9773" s="5">
        <v>49210</v>
      </c>
      <c r="K9773" s="6">
        <f t="shared" si="411"/>
        <v>1.5073472027566481</v>
      </c>
    </row>
    <row r="9774" spans="1:11" hidden="1">
      <c r="A9774" s="4">
        <v>2026</v>
      </c>
      <c r="B9774">
        <v>38</v>
      </c>
      <c r="C9774" t="s">
        <v>54</v>
      </c>
      <c r="D9774" t="s">
        <v>11</v>
      </c>
      <c r="E9774" t="s">
        <v>90</v>
      </c>
      <c r="F9774" t="s">
        <v>60</v>
      </c>
      <c r="G9774" t="str">
        <f t="shared" si="410"/>
        <v>012LIGHT HOUSE</v>
      </c>
      <c r="H9774" s="5">
        <v>990</v>
      </c>
      <c r="I9774" s="6">
        <v>994.95</v>
      </c>
      <c r="J9774" s="5">
        <v>7200</v>
      </c>
      <c r="K9774" s="6">
        <f t="shared" si="411"/>
        <v>0.99502487562189046</v>
      </c>
    </row>
    <row r="9775" spans="1:11" hidden="1">
      <c r="A9775" s="4">
        <v>2026</v>
      </c>
      <c r="B9775">
        <v>38</v>
      </c>
      <c r="C9775" t="s">
        <v>54</v>
      </c>
      <c r="D9775" t="s">
        <v>11</v>
      </c>
      <c r="E9775" t="s">
        <v>91</v>
      </c>
      <c r="F9775" t="s">
        <v>92</v>
      </c>
      <c r="G9775" t="str">
        <f t="shared" si="410"/>
        <v>013COUNTRY BLUES</v>
      </c>
      <c r="H9775" s="5">
        <v>900</v>
      </c>
      <c r="I9775" s="6">
        <v>831.6</v>
      </c>
      <c r="J9775" s="5">
        <v>6300</v>
      </c>
      <c r="K9775" s="6">
        <f t="shared" si="411"/>
        <v>1.0822510822510822</v>
      </c>
    </row>
    <row r="9776" spans="1:11" hidden="1">
      <c r="A9776" s="4">
        <v>2026</v>
      </c>
      <c r="B9776">
        <v>38</v>
      </c>
      <c r="C9776" t="s">
        <v>54</v>
      </c>
      <c r="D9776" t="s">
        <v>11</v>
      </c>
      <c r="E9776" t="s">
        <v>91</v>
      </c>
      <c r="F9776" t="s">
        <v>93</v>
      </c>
      <c r="G9776" t="str">
        <f t="shared" si="410"/>
        <v>013LORRAINE</v>
      </c>
      <c r="H9776" s="5">
        <v>2475</v>
      </c>
      <c r="I9776" s="6">
        <v>1267.2</v>
      </c>
      <c r="J9776" s="5">
        <v>9600</v>
      </c>
      <c r="K9776" s="6">
        <f t="shared" si="411"/>
        <v>1.953125</v>
      </c>
    </row>
    <row r="9777" spans="1:11" hidden="1">
      <c r="A9777" s="4">
        <v>2026</v>
      </c>
      <c r="B9777">
        <v>38</v>
      </c>
      <c r="C9777" t="s">
        <v>54</v>
      </c>
      <c r="D9777" t="s">
        <v>11</v>
      </c>
      <c r="E9777" t="s">
        <v>91</v>
      </c>
      <c r="F9777" t="s">
        <v>61</v>
      </c>
      <c r="G9777" t="str">
        <f t="shared" si="410"/>
        <v>013LUMIA</v>
      </c>
      <c r="H9777" s="5">
        <v>270</v>
      </c>
      <c r="I9777" s="6">
        <v>316.8</v>
      </c>
      <c r="J9777" s="5">
        <v>2400</v>
      </c>
      <c r="K9777" s="6">
        <f t="shared" si="411"/>
        <v>0.85227272727272729</v>
      </c>
    </row>
    <row r="9778" spans="1:11" hidden="1">
      <c r="A9778" s="4">
        <v>2026</v>
      </c>
      <c r="B9778">
        <v>38</v>
      </c>
      <c r="C9778" t="s">
        <v>54</v>
      </c>
      <c r="D9778" t="s">
        <v>11</v>
      </c>
      <c r="E9778" t="s">
        <v>91</v>
      </c>
      <c r="F9778" t="s">
        <v>74</v>
      </c>
      <c r="G9778" t="str">
        <f t="shared" si="410"/>
        <v>013VENDELA</v>
      </c>
      <c r="H9778" s="5">
        <v>6000</v>
      </c>
      <c r="I9778" s="6">
        <v>3603.6</v>
      </c>
      <c r="J9778" s="5">
        <v>27296</v>
      </c>
      <c r="K9778" s="6">
        <f t="shared" si="411"/>
        <v>1.665001665001665</v>
      </c>
    </row>
    <row r="9779" spans="1:11" hidden="1">
      <c r="A9779" s="4">
        <v>2026</v>
      </c>
      <c r="B9779">
        <v>38</v>
      </c>
      <c r="C9779" t="s">
        <v>54</v>
      </c>
      <c r="D9779" t="s">
        <v>11</v>
      </c>
      <c r="E9779" t="s">
        <v>23</v>
      </c>
      <c r="F9779" t="s">
        <v>89</v>
      </c>
      <c r="G9779" t="str">
        <f t="shared" si="410"/>
        <v>014STARDUST</v>
      </c>
      <c r="H9779" s="5">
        <v>4600</v>
      </c>
      <c r="I9779" s="6">
        <v>3682.8</v>
      </c>
      <c r="J9779" s="5">
        <v>27900</v>
      </c>
      <c r="K9779" s="6">
        <f t="shared" si="411"/>
        <v>1.2490496361464103</v>
      </c>
    </row>
    <row r="9780" spans="1:11" hidden="1">
      <c r="A9780" s="4">
        <v>2026</v>
      </c>
      <c r="B9780">
        <v>38</v>
      </c>
      <c r="C9780" t="s">
        <v>54</v>
      </c>
      <c r="D9780" t="s">
        <v>11</v>
      </c>
      <c r="E9780" t="s">
        <v>25</v>
      </c>
      <c r="F9780" t="s">
        <v>68</v>
      </c>
      <c r="G9780" t="str">
        <f t="shared" si="410"/>
        <v>015JOCKER</v>
      </c>
      <c r="H9780" s="5">
        <v>2700</v>
      </c>
      <c r="I9780" s="6">
        <v>2376</v>
      </c>
      <c r="J9780" s="5">
        <v>18000</v>
      </c>
      <c r="K9780" s="6">
        <f t="shared" si="411"/>
        <v>1.1363636363636365</v>
      </c>
    </row>
    <row r="9781" spans="1:11" hidden="1">
      <c r="A9781" s="4">
        <v>2026</v>
      </c>
      <c r="B9781">
        <v>38</v>
      </c>
      <c r="C9781" t="s">
        <v>54</v>
      </c>
      <c r="D9781" t="s">
        <v>11</v>
      </c>
      <c r="E9781" t="s">
        <v>27</v>
      </c>
      <c r="F9781" t="s">
        <v>94</v>
      </c>
      <c r="G9781" t="str">
        <f t="shared" si="410"/>
        <v>016DREAM IN PEACH</v>
      </c>
      <c r="H9781" s="5">
        <v>1110</v>
      </c>
      <c r="I9781" s="6">
        <v>950.4</v>
      </c>
      <c r="J9781" s="5">
        <v>7200</v>
      </c>
      <c r="K9781" s="6">
        <f t="shared" si="411"/>
        <v>1.167929292929293</v>
      </c>
    </row>
    <row r="9782" spans="1:11" hidden="1">
      <c r="A9782" s="4">
        <v>2026</v>
      </c>
      <c r="B9782">
        <v>38</v>
      </c>
      <c r="C9782" t="s">
        <v>54</v>
      </c>
      <c r="D9782" t="s">
        <v>11</v>
      </c>
      <c r="E9782" t="s">
        <v>27</v>
      </c>
      <c r="F9782" t="s">
        <v>95</v>
      </c>
      <c r="G9782" t="str">
        <f t="shared" si="410"/>
        <v>016NINA</v>
      </c>
      <c r="H9782" s="5">
        <v>1850</v>
      </c>
      <c r="I9782" s="6">
        <v>1346.4</v>
      </c>
      <c r="J9782" s="5">
        <v>10200</v>
      </c>
      <c r="K9782" s="6">
        <f t="shared" si="411"/>
        <v>1.3740344622697562</v>
      </c>
    </row>
    <row r="9783" spans="1:11" hidden="1">
      <c r="A9783" s="4">
        <v>2026</v>
      </c>
      <c r="B9783">
        <v>38</v>
      </c>
      <c r="C9783" t="s">
        <v>54</v>
      </c>
      <c r="D9783" t="s">
        <v>11</v>
      </c>
      <c r="E9783" t="s">
        <v>30</v>
      </c>
      <c r="F9783" t="s">
        <v>81</v>
      </c>
      <c r="G9783" t="str">
        <f t="shared" si="410"/>
        <v>017FREEDOM</v>
      </c>
      <c r="H9783" s="5">
        <v>4170</v>
      </c>
      <c r="I9783" s="6">
        <v>2851.2</v>
      </c>
      <c r="J9783" s="5">
        <v>21600</v>
      </c>
      <c r="K9783" s="6">
        <f t="shared" si="411"/>
        <v>1.4625420875420876</v>
      </c>
    </row>
    <row r="9784" spans="1:11" hidden="1">
      <c r="A9784" s="4">
        <v>2026</v>
      </c>
      <c r="B9784">
        <v>38</v>
      </c>
      <c r="C9784" t="s">
        <v>54</v>
      </c>
      <c r="D9784" t="s">
        <v>11</v>
      </c>
      <c r="E9784" t="s">
        <v>30</v>
      </c>
      <c r="F9784" t="s">
        <v>73</v>
      </c>
      <c r="G9784" t="str">
        <f t="shared" si="410"/>
        <v>017GOLDFINCH</v>
      </c>
      <c r="H9784" s="5">
        <v>2500</v>
      </c>
      <c r="I9784" s="6">
        <v>2138.4</v>
      </c>
      <c r="J9784" s="5">
        <v>16200</v>
      </c>
      <c r="K9784" s="6">
        <f t="shared" si="411"/>
        <v>1.1690983913206134</v>
      </c>
    </row>
    <row r="9785" spans="1:11" hidden="1">
      <c r="A9785" s="4">
        <v>2026</v>
      </c>
      <c r="B9785">
        <v>38</v>
      </c>
      <c r="C9785" t="s">
        <v>54</v>
      </c>
      <c r="D9785" t="s">
        <v>11</v>
      </c>
      <c r="E9785" t="s">
        <v>32</v>
      </c>
      <c r="F9785" t="s">
        <v>86</v>
      </c>
      <c r="G9785" t="str">
        <f t="shared" si="410"/>
        <v>018BRIGHTON</v>
      </c>
      <c r="H9785" s="5">
        <v>2000</v>
      </c>
      <c r="I9785" s="6">
        <v>963.6</v>
      </c>
      <c r="J9785" s="5">
        <v>7570</v>
      </c>
      <c r="K9785" s="6">
        <f t="shared" si="411"/>
        <v>2.0755500207555002</v>
      </c>
    </row>
    <row r="9786" spans="1:11" hidden="1">
      <c r="A9786" s="4">
        <v>2026</v>
      </c>
      <c r="B9786">
        <v>38</v>
      </c>
      <c r="C9786" t="s">
        <v>54</v>
      </c>
      <c r="D9786" t="s">
        <v>11</v>
      </c>
      <c r="E9786" t="s">
        <v>35</v>
      </c>
      <c r="F9786" t="s">
        <v>86</v>
      </c>
      <c r="G9786" t="str">
        <f t="shared" si="410"/>
        <v>019BRIGHTON</v>
      </c>
      <c r="H9786" s="5">
        <v>6825</v>
      </c>
      <c r="I9786" s="6">
        <v>3168</v>
      </c>
      <c r="J9786" s="5">
        <v>24000</v>
      </c>
      <c r="K9786" s="6">
        <f t="shared" si="411"/>
        <v>2.1543560606060606</v>
      </c>
    </row>
    <row r="9787" spans="1:11" hidden="1">
      <c r="A9787" s="4">
        <v>2026</v>
      </c>
      <c r="B9787">
        <v>38</v>
      </c>
      <c r="C9787" t="s">
        <v>54</v>
      </c>
      <c r="D9787" t="s">
        <v>11</v>
      </c>
      <c r="E9787" t="s">
        <v>35</v>
      </c>
      <c r="F9787" t="s">
        <v>96</v>
      </c>
      <c r="G9787" t="str">
        <f t="shared" si="410"/>
        <v>019TABATHA</v>
      </c>
      <c r="H9787" s="5">
        <v>2130</v>
      </c>
      <c r="I9787" s="6">
        <v>1188</v>
      </c>
      <c r="J9787" s="5">
        <v>9000</v>
      </c>
      <c r="K9787" s="6">
        <f t="shared" si="411"/>
        <v>1.792929292929293</v>
      </c>
    </row>
    <row r="9788" spans="1:11" hidden="1">
      <c r="A9788" s="4">
        <v>2026</v>
      </c>
      <c r="B9788">
        <v>38</v>
      </c>
      <c r="C9788" t="s">
        <v>54</v>
      </c>
      <c r="D9788" t="s">
        <v>11</v>
      </c>
      <c r="E9788" t="s">
        <v>36</v>
      </c>
      <c r="F9788" t="s">
        <v>86</v>
      </c>
      <c r="G9788" t="str">
        <f t="shared" si="410"/>
        <v>020BRIGHTON</v>
      </c>
      <c r="H9788" s="5">
        <v>4925</v>
      </c>
      <c r="I9788" s="6">
        <v>2732.4</v>
      </c>
      <c r="J9788" s="5">
        <v>20700</v>
      </c>
      <c r="K9788" s="6">
        <f t="shared" si="411"/>
        <v>1.8024447372273458</v>
      </c>
    </row>
    <row r="9789" spans="1:11" hidden="1">
      <c r="A9789" s="4">
        <v>2026</v>
      </c>
      <c r="B9789">
        <v>38</v>
      </c>
      <c r="C9789" t="s">
        <v>54</v>
      </c>
      <c r="D9789" t="s">
        <v>11</v>
      </c>
      <c r="E9789" t="s">
        <v>36</v>
      </c>
      <c r="F9789" t="s">
        <v>97</v>
      </c>
      <c r="G9789" t="str">
        <f t="shared" si="410"/>
        <v>020TYCOON</v>
      </c>
      <c r="H9789" s="5">
        <v>1140</v>
      </c>
      <c r="I9789" s="6">
        <v>673.2</v>
      </c>
      <c r="J9789" s="5">
        <v>5100</v>
      </c>
      <c r="K9789" s="6">
        <f t="shared" si="411"/>
        <v>1.6934046345811051</v>
      </c>
    </row>
    <row r="9790" spans="1:11" hidden="1">
      <c r="A9790" s="4">
        <v>2026</v>
      </c>
      <c r="B9790">
        <v>38</v>
      </c>
      <c r="C9790" t="s">
        <v>54</v>
      </c>
      <c r="D9790" t="s">
        <v>11</v>
      </c>
      <c r="E9790" t="s">
        <v>38</v>
      </c>
      <c r="F9790" t="s">
        <v>98</v>
      </c>
      <c r="G9790" t="str">
        <f t="shared" si="410"/>
        <v>021SHOW GIRL</v>
      </c>
      <c r="H9790" s="5">
        <v>2500</v>
      </c>
      <c r="I9790" s="6">
        <v>1100.4749999999999</v>
      </c>
      <c r="J9790" s="5">
        <v>8000</v>
      </c>
      <c r="K9790" s="6">
        <f t="shared" si="411"/>
        <v>2.2717462913741797</v>
      </c>
    </row>
    <row r="9791" spans="1:11" hidden="1">
      <c r="A9791" s="4">
        <v>2026</v>
      </c>
      <c r="B9791">
        <v>38</v>
      </c>
      <c r="C9791" t="s">
        <v>54</v>
      </c>
      <c r="D9791" t="s">
        <v>11</v>
      </c>
      <c r="E9791" t="s">
        <v>43</v>
      </c>
      <c r="F9791" t="s">
        <v>99</v>
      </c>
      <c r="G9791" t="str">
        <f t="shared" si="410"/>
        <v>022CORAL REEF</v>
      </c>
      <c r="H9791" s="5">
        <v>1925</v>
      </c>
      <c r="I9791" s="6">
        <v>1287</v>
      </c>
      <c r="J9791" s="5">
        <v>9400</v>
      </c>
      <c r="K9791" s="6">
        <f t="shared" si="411"/>
        <v>1.4957264957264957</v>
      </c>
    </row>
    <row r="9792" spans="1:11" hidden="1">
      <c r="A9792" s="4">
        <v>2026</v>
      </c>
      <c r="B9792">
        <v>38</v>
      </c>
      <c r="C9792" t="s">
        <v>54</v>
      </c>
      <c r="D9792" t="s">
        <v>11</v>
      </c>
      <c r="E9792" t="s">
        <v>100</v>
      </c>
      <c r="F9792" t="s">
        <v>70</v>
      </c>
      <c r="G9792" t="str">
        <f t="shared" si="410"/>
        <v>023COTOPAXI</v>
      </c>
      <c r="H9792" s="5">
        <v>7590</v>
      </c>
      <c r="I9792" s="6">
        <v>2641.14</v>
      </c>
      <c r="J9792" s="5">
        <v>19200</v>
      </c>
      <c r="K9792" s="6">
        <f t="shared" si="411"/>
        <v>2.873759058588337</v>
      </c>
    </row>
    <row r="9793" spans="1:11" hidden="1">
      <c r="A9793" s="4">
        <v>2026</v>
      </c>
      <c r="B9793">
        <v>38</v>
      </c>
      <c r="C9793" t="s">
        <v>54</v>
      </c>
      <c r="D9793" t="s">
        <v>11</v>
      </c>
      <c r="E9793" t="s">
        <v>100</v>
      </c>
      <c r="F9793" t="s">
        <v>101</v>
      </c>
      <c r="G9793" t="str">
        <f t="shared" si="410"/>
        <v>023FRUTTETO</v>
      </c>
      <c r="H9793" s="5">
        <v>3390</v>
      </c>
      <c r="I9793" s="6">
        <v>2641.14</v>
      </c>
      <c r="J9793" s="5">
        <v>19200</v>
      </c>
      <c r="K9793" s="6">
        <f t="shared" si="411"/>
        <v>1.2835366546264113</v>
      </c>
    </row>
    <row r="9794" spans="1:11" hidden="1">
      <c r="A9794" s="4">
        <v>2026</v>
      </c>
      <c r="B9794">
        <v>38</v>
      </c>
      <c r="C9794" t="s">
        <v>54</v>
      </c>
      <c r="D9794" t="s">
        <v>11</v>
      </c>
      <c r="E9794" t="s">
        <v>102</v>
      </c>
      <c r="F9794" t="s">
        <v>70</v>
      </c>
      <c r="G9794" t="str">
        <f t="shared" si="410"/>
        <v>024COTOPAXI</v>
      </c>
      <c r="H9794" s="5">
        <v>4710</v>
      </c>
      <c r="I9794" s="6">
        <v>1430.6174906250001</v>
      </c>
      <c r="J9794" s="5">
        <v>10400</v>
      </c>
      <c r="K9794" s="6">
        <f t="shared" si="411"/>
        <v>3.2922846469200664</v>
      </c>
    </row>
    <row r="9795" spans="1:11" hidden="1">
      <c r="A9795" s="4">
        <v>2026</v>
      </c>
      <c r="B9795">
        <v>38</v>
      </c>
      <c r="C9795" t="s">
        <v>54</v>
      </c>
      <c r="D9795" t="s">
        <v>11</v>
      </c>
      <c r="E9795" t="s">
        <v>102</v>
      </c>
      <c r="F9795" t="s">
        <v>64</v>
      </c>
      <c r="G9795" t="str">
        <f t="shared" si="410"/>
        <v>024SWEETNESS</v>
      </c>
      <c r="H9795" s="5">
        <v>4140</v>
      </c>
      <c r="I9795" s="6">
        <v>1430.6175000000001</v>
      </c>
      <c r="J9795" s="5">
        <v>10400</v>
      </c>
      <c r="K9795" s="6">
        <f t="shared" si="411"/>
        <v>2.8938552757812621</v>
      </c>
    </row>
    <row r="9796" spans="1:11" hidden="1">
      <c r="A9796" s="4">
        <v>2026</v>
      </c>
      <c r="B9796">
        <v>38</v>
      </c>
      <c r="C9796" t="s">
        <v>54</v>
      </c>
      <c r="D9796" t="s">
        <v>11</v>
      </c>
      <c r="E9796" t="s">
        <v>102</v>
      </c>
      <c r="F9796" t="s">
        <v>97</v>
      </c>
      <c r="G9796" t="str">
        <f t="shared" si="410"/>
        <v>024TYCOON</v>
      </c>
      <c r="H9796" s="5">
        <v>6360</v>
      </c>
      <c r="I9796" s="6">
        <v>2861.2350000000001</v>
      </c>
      <c r="J9796" s="5">
        <v>20800</v>
      </c>
      <c r="K9796" s="6">
        <f t="shared" si="411"/>
        <v>2.2228163712522737</v>
      </c>
    </row>
    <row r="9797" spans="1:11" hidden="1">
      <c r="A9797" s="4">
        <v>2026</v>
      </c>
      <c r="B9797">
        <v>38</v>
      </c>
      <c r="C9797" t="s">
        <v>54</v>
      </c>
      <c r="D9797" t="s">
        <v>11</v>
      </c>
      <c r="E9797" t="s">
        <v>103</v>
      </c>
      <c r="F9797" t="s">
        <v>104</v>
      </c>
      <c r="G9797" t="str">
        <f t="shared" si="410"/>
        <v>025PINK MONDIAL</v>
      </c>
      <c r="H9797" s="5">
        <v>6575</v>
      </c>
      <c r="I9797" s="6">
        <v>3071.9505625000002</v>
      </c>
      <c r="J9797" s="5">
        <v>22400</v>
      </c>
      <c r="K9797" s="6">
        <f t="shared" si="411"/>
        <v>2.1403339234239382</v>
      </c>
    </row>
    <row r="9798" spans="1:11" hidden="1">
      <c r="A9798" s="4">
        <v>2026</v>
      </c>
      <c r="B9798">
        <v>38</v>
      </c>
      <c r="C9798" t="s">
        <v>54</v>
      </c>
      <c r="D9798" t="s">
        <v>11</v>
      </c>
      <c r="E9798" t="s">
        <v>45</v>
      </c>
      <c r="F9798" t="s">
        <v>105</v>
      </c>
      <c r="G9798" t="str">
        <f t="shared" si="410"/>
        <v>026LOLA</v>
      </c>
      <c r="H9798" s="5">
        <v>5050</v>
      </c>
      <c r="I9798" s="6">
        <v>1097.125</v>
      </c>
      <c r="J9798" s="5">
        <v>8000</v>
      </c>
      <c r="K9798" s="6">
        <f t="shared" si="411"/>
        <v>4.6029395009684402</v>
      </c>
    </row>
    <row r="9799" spans="1:11" hidden="1">
      <c r="A9799" s="4">
        <v>2026</v>
      </c>
      <c r="B9799">
        <v>38</v>
      </c>
      <c r="C9799" t="s">
        <v>54</v>
      </c>
      <c r="D9799" t="s">
        <v>11</v>
      </c>
      <c r="E9799" t="s">
        <v>45</v>
      </c>
      <c r="F9799" t="s">
        <v>106</v>
      </c>
      <c r="G9799" t="str">
        <f t="shared" ref="G9799:G9862" si="412">+E9799&amp;F9799</f>
        <v>026PALOMA</v>
      </c>
      <c r="H9799" s="5">
        <v>5975</v>
      </c>
      <c r="I9799" s="6">
        <v>2852.5250000000001</v>
      </c>
      <c r="J9799" s="5">
        <v>20800</v>
      </c>
      <c r="K9799" s="6">
        <f t="shared" si="411"/>
        <v>2.0946354545534218</v>
      </c>
    </row>
    <row r="9800" spans="1:11" hidden="1">
      <c r="A9800" s="4">
        <v>2026</v>
      </c>
      <c r="B9800">
        <v>38</v>
      </c>
      <c r="C9800" t="s">
        <v>54</v>
      </c>
      <c r="D9800" t="s">
        <v>11</v>
      </c>
      <c r="E9800" t="s">
        <v>107</v>
      </c>
      <c r="F9800" t="s">
        <v>108</v>
      </c>
      <c r="G9800" t="str">
        <f t="shared" si="412"/>
        <v>027SATISFACTION</v>
      </c>
      <c r="H9800" s="5">
        <v>4200</v>
      </c>
      <c r="I9800" s="6">
        <v>2633.1</v>
      </c>
      <c r="J9800" s="5">
        <v>19200</v>
      </c>
      <c r="K9800" s="6">
        <f t="shared" si="411"/>
        <v>1.5950780448900537</v>
      </c>
    </row>
    <row r="9801" spans="1:11" hidden="1">
      <c r="A9801" s="4">
        <v>2026</v>
      </c>
      <c r="B9801">
        <v>38</v>
      </c>
      <c r="C9801" t="s">
        <v>54</v>
      </c>
      <c r="D9801" t="s">
        <v>11</v>
      </c>
      <c r="E9801" t="s">
        <v>107</v>
      </c>
      <c r="F9801" t="s">
        <v>109</v>
      </c>
      <c r="G9801" t="str">
        <f t="shared" si="412"/>
        <v>027TIFFANY</v>
      </c>
      <c r="H9801" s="5">
        <v>4920</v>
      </c>
      <c r="I9801" s="6">
        <v>2633.1</v>
      </c>
      <c r="J9801" s="5">
        <v>19200</v>
      </c>
      <c r="K9801" s="6">
        <f t="shared" si="411"/>
        <v>1.8685199954426341</v>
      </c>
    </row>
    <row r="9802" spans="1:11" hidden="1">
      <c r="A9802" s="4">
        <v>2026</v>
      </c>
      <c r="B9802">
        <v>38</v>
      </c>
      <c r="C9802" t="s">
        <v>54</v>
      </c>
      <c r="D9802" t="s">
        <v>11</v>
      </c>
      <c r="E9802" t="s">
        <v>110</v>
      </c>
      <c r="F9802" t="s">
        <v>70</v>
      </c>
      <c r="G9802" t="str">
        <f t="shared" si="412"/>
        <v>028COTOPAXI</v>
      </c>
      <c r="H9802" s="5">
        <v>7620</v>
      </c>
      <c r="I9802" s="6">
        <v>2852.5250000000001</v>
      </c>
      <c r="J9802" s="5">
        <v>20800</v>
      </c>
      <c r="K9802" s="6">
        <f t="shared" si="411"/>
        <v>2.6713175169367491</v>
      </c>
    </row>
    <row r="9803" spans="1:11" hidden="1">
      <c r="A9803" s="4">
        <v>2026</v>
      </c>
      <c r="B9803">
        <v>38</v>
      </c>
      <c r="C9803" t="s">
        <v>54</v>
      </c>
      <c r="D9803" t="s">
        <v>11</v>
      </c>
      <c r="E9803" t="s">
        <v>110</v>
      </c>
      <c r="F9803" t="s">
        <v>67</v>
      </c>
      <c r="G9803" t="str">
        <f t="shared" si="412"/>
        <v>028DEEP PURPLE</v>
      </c>
      <c r="H9803" s="5">
        <v>6210</v>
      </c>
      <c r="I9803" s="6">
        <v>2852.5250000000001</v>
      </c>
      <c r="J9803" s="5">
        <v>20800</v>
      </c>
      <c r="K9803" s="6">
        <f t="shared" ref="K9803:K9841" si="413">+H9803/I9803</f>
        <v>2.1770186063224686</v>
      </c>
    </row>
    <row r="9804" spans="1:11" hidden="1">
      <c r="A9804" s="4">
        <v>2026</v>
      </c>
      <c r="B9804">
        <v>38</v>
      </c>
      <c r="C9804" t="s">
        <v>54</v>
      </c>
      <c r="D9804" t="s">
        <v>11</v>
      </c>
      <c r="E9804" t="s">
        <v>111</v>
      </c>
      <c r="F9804" t="s">
        <v>112</v>
      </c>
      <c r="G9804" t="str">
        <f t="shared" si="412"/>
        <v>029PINK FLOYD</v>
      </c>
      <c r="H9804" s="5">
        <v>2300</v>
      </c>
      <c r="I9804" s="6">
        <v>3071.95</v>
      </c>
      <c r="J9804" s="5">
        <v>22400</v>
      </c>
      <c r="K9804" s="6">
        <f t="shared" si="413"/>
        <v>0.74871010270349458</v>
      </c>
    </row>
    <row r="9805" spans="1:11" hidden="1">
      <c r="A9805" s="4">
        <v>2026</v>
      </c>
      <c r="B9805">
        <v>38</v>
      </c>
      <c r="C9805" t="s">
        <v>54</v>
      </c>
      <c r="D9805" t="s">
        <v>11</v>
      </c>
      <c r="E9805" t="s">
        <v>47</v>
      </c>
      <c r="F9805" t="s">
        <v>57</v>
      </c>
      <c r="G9805" t="str">
        <f t="shared" si="412"/>
        <v>030EXPLORER</v>
      </c>
      <c r="H9805" s="5">
        <v>1825</v>
      </c>
      <c r="I9805" s="6">
        <v>1645.6875</v>
      </c>
      <c r="J9805" s="5">
        <v>12000</v>
      </c>
      <c r="K9805" s="6">
        <f t="shared" si="413"/>
        <v>1.1089590216854659</v>
      </c>
    </row>
    <row r="9806" spans="1:11" hidden="1">
      <c r="A9806" s="4">
        <v>2026</v>
      </c>
      <c r="B9806">
        <v>39</v>
      </c>
      <c r="C9806" t="s">
        <v>10</v>
      </c>
      <c r="D9806" t="s">
        <v>11</v>
      </c>
      <c r="E9806" t="s">
        <v>12</v>
      </c>
      <c r="F9806" t="s">
        <v>13</v>
      </c>
      <c r="G9806" t="str">
        <f t="shared" si="412"/>
        <v>002SOMERSET</v>
      </c>
      <c r="H9806" s="5">
        <v>8760</v>
      </c>
      <c r="I9806" s="6">
        <v>4121.4642855494085</v>
      </c>
      <c r="J9806" s="5">
        <v>31200</v>
      </c>
      <c r="K9806" s="6">
        <f t="shared" si="413"/>
        <v>2.125458185022767</v>
      </c>
    </row>
    <row r="9807" spans="1:11" hidden="1">
      <c r="A9807" s="4">
        <v>2026</v>
      </c>
      <c r="B9807">
        <v>39</v>
      </c>
      <c r="C9807" t="s">
        <v>10</v>
      </c>
      <c r="D9807" t="s">
        <v>11</v>
      </c>
      <c r="E9807" t="s">
        <v>14</v>
      </c>
      <c r="F9807" t="s">
        <v>15</v>
      </c>
      <c r="G9807" t="str">
        <f t="shared" si="412"/>
        <v>004BELLINA</v>
      </c>
      <c r="H9807" s="5">
        <v>1620</v>
      </c>
      <c r="I9807" s="6">
        <v>1056.7857142434418</v>
      </c>
      <c r="J9807" s="5">
        <v>8000</v>
      </c>
      <c r="K9807" s="6">
        <f t="shared" si="413"/>
        <v>1.5329503211157298</v>
      </c>
    </row>
    <row r="9808" spans="1:11" hidden="1">
      <c r="A9808" s="4">
        <v>2026</v>
      </c>
      <c r="B9808">
        <v>39</v>
      </c>
      <c r="C9808" t="s">
        <v>10</v>
      </c>
      <c r="D9808" t="s">
        <v>11</v>
      </c>
      <c r="E9808" t="s">
        <v>16</v>
      </c>
      <c r="F9808" t="s">
        <v>17</v>
      </c>
      <c r="G9808" t="str">
        <f t="shared" si="412"/>
        <v>005ELBA</v>
      </c>
      <c r="H9808" s="5">
        <v>6090</v>
      </c>
      <c r="I9808" s="6">
        <v>2641.9642856076484</v>
      </c>
      <c r="J9808" s="5">
        <v>19996</v>
      </c>
      <c r="K9808" s="6">
        <f t="shared" si="413"/>
        <v>2.3051030754563389</v>
      </c>
    </row>
    <row r="9809" spans="1:11" hidden="1">
      <c r="A9809" s="4">
        <v>2026</v>
      </c>
      <c r="B9809">
        <v>39</v>
      </c>
      <c r="C9809" t="s">
        <v>10</v>
      </c>
      <c r="D9809" t="s">
        <v>11</v>
      </c>
      <c r="E9809" t="s">
        <v>16</v>
      </c>
      <c r="F9809" t="s">
        <v>18</v>
      </c>
      <c r="G9809" t="str">
        <f t="shared" si="412"/>
        <v>005HOT BUBBLES</v>
      </c>
      <c r="H9809" s="5">
        <v>1300</v>
      </c>
      <c r="I9809" s="6">
        <v>528.39285712153003</v>
      </c>
      <c r="J9809" s="5">
        <v>4000</v>
      </c>
      <c r="K9809" s="6">
        <f t="shared" si="413"/>
        <v>2.4602906388286034</v>
      </c>
    </row>
    <row r="9810" spans="1:11" hidden="1">
      <c r="A9810" s="4">
        <v>2026</v>
      </c>
      <c r="B9810">
        <v>39</v>
      </c>
      <c r="C9810" t="s">
        <v>10</v>
      </c>
      <c r="D9810" t="s">
        <v>11</v>
      </c>
      <c r="E9810" t="s">
        <v>16</v>
      </c>
      <c r="F9810" t="s">
        <v>19</v>
      </c>
      <c r="G9810" t="str">
        <f t="shared" si="412"/>
        <v>005SUSPIRO</v>
      </c>
      <c r="H9810" s="5">
        <v>3390</v>
      </c>
      <c r="I9810" s="6">
        <v>1902.2142856375078</v>
      </c>
      <c r="J9810" s="5">
        <v>14400</v>
      </c>
      <c r="K9810" s="6">
        <f t="shared" si="413"/>
        <v>1.7821336037668731</v>
      </c>
    </row>
    <row r="9811" spans="1:11" hidden="1">
      <c r="A9811" s="4">
        <v>2026</v>
      </c>
      <c r="B9811">
        <v>39</v>
      </c>
      <c r="C9811" t="s">
        <v>10</v>
      </c>
      <c r="D9811" t="s">
        <v>11</v>
      </c>
      <c r="E9811" t="s">
        <v>20</v>
      </c>
      <c r="F9811" t="s">
        <v>21</v>
      </c>
      <c r="G9811" t="str">
        <f t="shared" si="412"/>
        <v>007SNOW BUBBLES</v>
      </c>
      <c r="H9811" s="5">
        <v>1160</v>
      </c>
      <c r="I9811" s="6">
        <v>634.05652706821195</v>
      </c>
      <c r="J9811" s="5">
        <v>4800</v>
      </c>
      <c r="K9811" s="6">
        <f t="shared" si="413"/>
        <v>1.8294898806005147</v>
      </c>
    </row>
    <row r="9812" spans="1:11" hidden="1">
      <c r="A9812" s="4">
        <v>2026</v>
      </c>
      <c r="B9812">
        <v>39</v>
      </c>
      <c r="C9812" t="s">
        <v>10</v>
      </c>
      <c r="D9812" t="s">
        <v>11</v>
      </c>
      <c r="E9812" t="s">
        <v>22</v>
      </c>
      <c r="F9812" t="s">
        <v>18</v>
      </c>
      <c r="G9812" t="str">
        <f t="shared" si="412"/>
        <v>009HOT BUBBLES</v>
      </c>
      <c r="H9812" s="5">
        <v>10780</v>
      </c>
      <c r="I9812" s="6">
        <v>4487.9999999102474</v>
      </c>
      <c r="J9812" s="5">
        <v>31740</v>
      </c>
      <c r="K9812" s="6">
        <f t="shared" si="413"/>
        <v>2.4019607843617607</v>
      </c>
    </row>
    <row r="9813" spans="1:11" hidden="1">
      <c r="A9813" s="4">
        <v>2026</v>
      </c>
      <c r="B9813">
        <v>39</v>
      </c>
      <c r="C9813" t="s">
        <v>10</v>
      </c>
      <c r="D9813" t="s">
        <v>11</v>
      </c>
      <c r="E9813" t="s">
        <v>23</v>
      </c>
      <c r="F9813" t="s">
        <v>24</v>
      </c>
      <c r="G9813" t="str">
        <f t="shared" si="412"/>
        <v>014FRUITY BUBBLES</v>
      </c>
      <c r="H9813" s="5">
        <v>2350</v>
      </c>
      <c r="I9813" s="6">
        <v>1702.8</v>
      </c>
      <c r="J9813" s="5">
        <v>12900</v>
      </c>
      <c r="K9813" s="6">
        <f t="shared" si="413"/>
        <v>1.3800798684519615</v>
      </c>
    </row>
    <row r="9814" spans="1:11" hidden="1">
      <c r="A9814" s="4">
        <v>2026</v>
      </c>
      <c r="B9814">
        <v>39</v>
      </c>
      <c r="C9814" t="s">
        <v>10</v>
      </c>
      <c r="D9814" t="s">
        <v>11</v>
      </c>
      <c r="E9814" t="s">
        <v>25</v>
      </c>
      <c r="F9814" t="s">
        <v>26</v>
      </c>
      <c r="G9814" t="str">
        <f t="shared" si="412"/>
        <v>015FELLINI</v>
      </c>
      <c r="H9814" s="5">
        <v>4400</v>
      </c>
      <c r="I9814" s="6">
        <v>3009.6</v>
      </c>
      <c r="J9814" s="5">
        <v>22800</v>
      </c>
      <c r="K9814" s="6">
        <f t="shared" si="413"/>
        <v>1.4619883040935673</v>
      </c>
    </row>
    <row r="9815" spans="1:11" hidden="1">
      <c r="A9815" s="4">
        <v>2026</v>
      </c>
      <c r="B9815">
        <v>39</v>
      </c>
      <c r="C9815" t="s">
        <v>10</v>
      </c>
      <c r="D9815" t="s">
        <v>11</v>
      </c>
      <c r="E9815" t="s">
        <v>27</v>
      </c>
      <c r="F9815" t="s">
        <v>28</v>
      </c>
      <c r="G9815" t="str">
        <f t="shared" si="412"/>
        <v>016GOOD PEACH</v>
      </c>
      <c r="H9815" s="5">
        <v>3300</v>
      </c>
      <c r="I9815" s="6">
        <v>1386</v>
      </c>
      <c r="J9815" s="5">
        <v>10500</v>
      </c>
      <c r="K9815" s="6">
        <f t="shared" si="413"/>
        <v>2.3809523809523809</v>
      </c>
    </row>
    <row r="9816" spans="1:11" hidden="1">
      <c r="A9816" s="4">
        <v>2026</v>
      </c>
      <c r="B9816">
        <v>39</v>
      </c>
      <c r="C9816" t="s">
        <v>10</v>
      </c>
      <c r="D9816" t="s">
        <v>11</v>
      </c>
      <c r="E9816" t="s">
        <v>27</v>
      </c>
      <c r="F9816" t="s">
        <v>29</v>
      </c>
      <c r="G9816" t="str">
        <f t="shared" si="412"/>
        <v>016GOOD YELLOW</v>
      </c>
      <c r="H9816" s="5">
        <v>3300</v>
      </c>
      <c r="I9816" s="6">
        <v>1386</v>
      </c>
      <c r="J9816" s="5">
        <v>10500</v>
      </c>
      <c r="K9816" s="6">
        <f t="shared" si="413"/>
        <v>2.3809523809523809</v>
      </c>
    </row>
    <row r="9817" spans="1:11" hidden="1">
      <c r="A9817" s="4">
        <v>2026</v>
      </c>
      <c r="B9817">
        <v>39</v>
      </c>
      <c r="C9817" t="s">
        <v>10</v>
      </c>
      <c r="D9817" t="s">
        <v>11</v>
      </c>
      <c r="E9817" t="s">
        <v>30</v>
      </c>
      <c r="F9817" t="s">
        <v>31</v>
      </c>
      <c r="G9817" t="str">
        <f t="shared" si="412"/>
        <v>017ORANGE STAR</v>
      </c>
      <c r="H9817" s="5">
        <v>1700</v>
      </c>
      <c r="I9817" s="6">
        <v>1029.5999999999999</v>
      </c>
      <c r="J9817" s="5">
        <v>7800</v>
      </c>
      <c r="K9817" s="6">
        <f t="shared" si="413"/>
        <v>1.6511266511266514</v>
      </c>
    </row>
    <row r="9818" spans="1:11" hidden="1">
      <c r="A9818" s="4">
        <v>2026</v>
      </c>
      <c r="B9818">
        <v>39</v>
      </c>
      <c r="C9818" t="s">
        <v>10</v>
      </c>
      <c r="D9818" t="s">
        <v>11</v>
      </c>
      <c r="E9818" t="s">
        <v>32</v>
      </c>
      <c r="F9818" t="s">
        <v>33</v>
      </c>
      <c r="G9818" t="str">
        <f t="shared" si="412"/>
        <v>018COSMO</v>
      </c>
      <c r="H9818" s="5">
        <v>3650</v>
      </c>
      <c r="I9818" s="6">
        <v>2653.2</v>
      </c>
      <c r="J9818" s="5">
        <v>20100</v>
      </c>
      <c r="K9818" s="6">
        <f t="shared" si="413"/>
        <v>1.3756972712196593</v>
      </c>
    </row>
    <row r="9819" spans="1:11" hidden="1">
      <c r="A9819" s="4">
        <v>2026</v>
      </c>
      <c r="B9819">
        <v>39</v>
      </c>
      <c r="C9819" t="s">
        <v>10</v>
      </c>
      <c r="D9819" t="s">
        <v>11</v>
      </c>
      <c r="E9819" t="s">
        <v>32</v>
      </c>
      <c r="F9819" t="s">
        <v>34</v>
      </c>
      <c r="G9819" t="str">
        <f t="shared" si="412"/>
        <v>018RUBICON</v>
      </c>
      <c r="H9819" s="5">
        <v>4410</v>
      </c>
      <c r="I9819" s="6">
        <v>1768.8</v>
      </c>
      <c r="J9819" s="5">
        <v>13400</v>
      </c>
      <c r="K9819" s="6">
        <f t="shared" si="413"/>
        <v>2.4932157394843961</v>
      </c>
    </row>
    <row r="9820" spans="1:11" hidden="1">
      <c r="A9820" s="4">
        <v>2026</v>
      </c>
      <c r="B9820">
        <v>39</v>
      </c>
      <c r="C9820" t="s">
        <v>10</v>
      </c>
      <c r="D9820" t="s">
        <v>11</v>
      </c>
      <c r="E9820" t="s">
        <v>35</v>
      </c>
      <c r="F9820" t="s">
        <v>15</v>
      </c>
      <c r="G9820" t="str">
        <f t="shared" si="412"/>
        <v>019BELLINA</v>
      </c>
      <c r="H9820" s="5">
        <v>825</v>
      </c>
      <c r="I9820" s="6">
        <v>1029.5999999999999</v>
      </c>
      <c r="J9820" s="5">
        <v>7800</v>
      </c>
      <c r="K9820" s="6">
        <f t="shared" si="413"/>
        <v>0.80128205128205132</v>
      </c>
    </row>
    <row r="9821" spans="1:11" hidden="1">
      <c r="A9821" s="4">
        <v>2026</v>
      </c>
      <c r="B9821">
        <v>39</v>
      </c>
      <c r="C9821" t="s">
        <v>10</v>
      </c>
      <c r="D9821" t="s">
        <v>11</v>
      </c>
      <c r="E9821" t="s">
        <v>36</v>
      </c>
      <c r="F9821" t="s">
        <v>37</v>
      </c>
      <c r="G9821" t="str">
        <f t="shared" si="412"/>
        <v>020SUMMER DANCE</v>
      </c>
      <c r="H9821" s="5">
        <v>2500</v>
      </c>
      <c r="I9821" s="6">
        <v>1346.4</v>
      </c>
      <c r="J9821" s="5">
        <v>10200</v>
      </c>
      <c r="K9821" s="6">
        <f t="shared" si="413"/>
        <v>1.8568033273915625</v>
      </c>
    </row>
    <row r="9822" spans="1:11" hidden="1">
      <c r="A9822" s="4">
        <v>2026</v>
      </c>
      <c r="B9822">
        <v>39</v>
      </c>
      <c r="C9822" t="s">
        <v>10</v>
      </c>
      <c r="D9822" t="s">
        <v>11</v>
      </c>
      <c r="E9822" t="s">
        <v>38</v>
      </c>
      <c r="F9822" t="s">
        <v>39</v>
      </c>
      <c r="G9822" t="str">
        <f t="shared" si="412"/>
        <v>021ELEGANT ROSEVER</v>
      </c>
      <c r="H9822" s="5">
        <v>420</v>
      </c>
      <c r="I9822" s="6">
        <v>440.18999062500001</v>
      </c>
      <c r="J9822" s="5">
        <v>3200</v>
      </c>
      <c r="K9822" s="6">
        <f t="shared" si="413"/>
        <v>0.95413346269792865</v>
      </c>
    </row>
    <row r="9823" spans="1:11" hidden="1">
      <c r="A9823" s="4">
        <v>2026</v>
      </c>
      <c r="B9823">
        <v>39</v>
      </c>
      <c r="C9823" t="s">
        <v>10</v>
      </c>
      <c r="D9823" t="s">
        <v>11</v>
      </c>
      <c r="E9823" t="s">
        <v>38</v>
      </c>
      <c r="F9823" t="s">
        <v>40</v>
      </c>
      <c r="G9823" t="str">
        <f t="shared" si="412"/>
        <v>021FLAME CLUB</v>
      </c>
      <c r="H9823" s="5">
        <v>1650</v>
      </c>
      <c r="I9823" s="6">
        <v>880.38</v>
      </c>
      <c r="J9823" s="5">
        <v>6400</v>
      </c>
      <c r="K9823" s="6">
        <f t="shared" si="413"/>
        <v>1.874190690383698</v>
      </c>
    </row>
    <row r="9824" spans="1:11" hidden="1">
      <c r="A9824" s="4">
        <v>2026</v>
      </c>
      <c r="B9824">
        <v>39</v>
      </c>
      <c r="C9824" t="s">
        <v>10</v>
      </c>
      <c r="D9824" t="s">
        <v>11</v>
      </c>
      <c r="E9824" t="s">
        <v>38</v>
      </c>
      <c r="F9824" t="s">
        <v>41</v>
      </c>
      <c r="G9824" t="str">
        <f t="shared" si="412"/>
        <v>021KELLY</v>
      </c>
      <c r="H9824" s="5">
        <v>675</v>
      </c>
      <c r="I9824" s="6">
        <v>330.14249999999998</v>
      </c>
      <c r="J9824" s="5">
        <v>2400</v>
      </c>
      <c r="K9824" s="6">
        <f t="shared" si="413"/>
        <v>2.0445716622367613</v>
      </c>
    </row>
    <row r="9825" spans="1:11" hidden="1">
      <c r="A9825" s="4">
        <v>2026</v>
      </c>
      <c r="B9825">
        <v>39</v>
      </c>
      <c r="C9825" t="s">
        <v>10</v>
      </c>
      <c r="D9825" t="s">
        <v>11</v>
      </c>
      <c r="E9825" t="s">
        <v>38</v>
      </c>
      <c r="F9825" t="s">
        <v>42</v>
      </c>
      <c r="G9825" t="str">
        <f t="shared" si="412"/>
        <v>021LEILA</v>
      </c>
      <c r="H9825" s="5">
        <v>2800</v>
      </c>
      <c r="I9825" s="6">
        <v>1430.6175000000001</v>
      </c>
      <c r="J9825" s="5">
        <v>10400</v>
      </c>
      <c r="K9825" s="6">
        <f t="shared" si="413"/>
        <v>1.9571968048762161</v>
      </c>
    </row>
    <row r="9826" spans="1:11" hidden="1">
      <c r="A9826" s="4">
        <v>2026</v>
      </c>
      <c r="B9826">
        <v>39</v>
      </c>
      <c r="C9826" t="s">
        <v>10</v>
      </c>
      <c r="D9826" t="s">
        <v>11</v>
      </c>
      <c r="E9826" t="s">
        <v>38</v>
      </c>
      <c r="F9826" t="s">
        <v>115</v>
      </c>
      <c r="G9826" t="str">
        <f t="shared" si="412"/>
        <v>021PISTACHIO KISS</v>
      </c>
      <c r="H9826" s="5">
        <v>0</v>
      </c>
      <c r="I9826" s="6">
        <v>220.095</v>
      </c>
      <c r="J9826" s="5">
        <v>1600</v>
      </c>
      <c r="K9826" s="6">
        <f t="shared" si="413"/>
        <v>0</v>
      </c>
    </row>
    <row r="9827" spans="1:11" hidden="1">
      <c r="A9827" s="4">
        <v>2026</v>
      </c>
      <c r="B9827">
        <v>39</v>
      </c>
      <c r="C9827" t="s">
        <v>10</v>
      </c>
      <c r="D9827" t="s">
        <v>11</v>
      </c>
      <c r="E9827" t="s">
        <v>38</v>
      </c>
      <c r="F9827" t="s">
        <v>21</v>
      </c>
      <c r="G9827" t="str">
        <f t="shared" si="412"/>
        <v>021SNOW BUBBLES</v>
      </c>
      <c r="H9827" s="5">
        <v>2280</v>
      </c>
      <c r="I9827" s="6">
        <v>1287.0000000000018</v>
      </c>
      <c r="J9827" s="5">
        <v>9400</v>
      </c>
      <c r="K9827" s="6">
        <f t="shared" si="413"/>
        <v>1.7715617715617691</v>
      </c>
    </row>
    <row r="9828" spans="1:11" hidden="1">
      <c r="A9828" s="4">
        <v>2026</v>
      </c>
      <c r="B9828">
        <v>39</v>
      </c>
      <c r="C9828" t="s">
        <v>10</v>
      </c>
      <c r="D9828" t="s">
        <v>11</v>
      </c>
      <c r="E9828" t="s">
        <v>43</v>
      </c>
      <c r="F9828" t="s">
        <v>24</v>
      </c>
      <c r="G9828" t="str">
        <f t="shared" si="412"/>
        <v>022FRUITY BUBBLES</v>
      </c>
      <c r="H9828" s="5">
        <v>4350</v>
      </c>
      <c r="I9828" s="6">
        <v>2641.14</v>
      </c>
      <c r="J9828" s="5">
        <v>19200</v>
      </c>
      <c r="K9828" s="6">
        <f t="shared" si="413"/>
        <v>1.6470160612462801</v>
      </c>
    </row>
    <row r="9829" spans="1:11" hidden="1">
      <c r="A9829" s="4">
        <v>2026</v>
      </c>
      <c r="B9829">
        <v>39</v>
      </c>
      <c r="C9829" t="s">
        <v>10</v>
      </c>
      <c r="D9829" t="s">
        <v>11</v>
      </c>
      <c r="E9829" t="s">
        <v>43</v>
      </c>
      <c r="F9829" t="s">
        <v>28</v>
      </c>
      <c r="G9829" t="str">
        <f t="shared" si="412"/>
        <v>022GOOD PEACH</v>
      </c>
      <c r="H9829" s="5">
        <v>2670</v>
      </c>
      <c r="I9829" s="6">
        <v>880.38</v>
      </c>
      <c r="J9829" s="5">
        <v>6400</v>
      </c>
      <c r="K9829" s="6">
        <f t="shared" si="413"/>
        <v>3.0327812989845295</v>
      </c>
    </row>
    <row r="9830" spans="1:11" hidden="1">
      <c r="A9830" s="4">
        <v>2026</v>
      </c>
      <c r="B9830">
        <v>39</v>
      </c>
      <c r="C9830" t="s">
        <v>10</v>
      </c>
      <c r="D9830" t="s">
        <v>11</v>
      </c>
      <c r="E9830" t="s">
        <v>43</v>
      </c>
      <c r="F9830" t="s">
        <v>44</v>
      </c>
      <c r="G9830" t="str">
        <f t="shared" si="412"/>
        <v>022MIRABEL</v>
      </c>
      <c r="H9830" s="5">
        <v>2200</v>
      </c>
      <c r="I9830" s="6">
        <v>880.38</v>
      </c>
      <c r="J9830" s="5">
        <v>6400</v>
      </c>
      <c r="K9830" s="6">
        <f t="shared" si="413"/>
        <v>2.4989209205115972</v>
      </c>
    </row>
    <row r="9831" spans="1:11" hidden="1">
      <c r="A9831" s="4">
        <v>2026</v>
      </c>
      <c r="B9831">
        <v>39</v>
      </c>
      <c r="C9831" t="s">
        <v>10</v>
      </c>
      <c r="D9831" t="s">
        <v>11</v>
      </c>
      <c r="E9831" t="s">
        <v>45</v>
      </c>
      <c r="F9831" t="s">
        <v>46</v>
      </c>
      <c r="G9831" t="str">
        <f t="shared" si="412"/>
        <v>026PURPLE BUBBLY</v>
      </c>
      <c r="H9831" s="5">
        <v>620</v>
      </c>
      <c r="I9831" s="6">
        <v>1755.4</v>
      </c>
      <c r="J9831" s="5">
        <v>12800</v>
      </c>
      <c r="K9831" s="6">
        <f t="shared" si="413"/>
        <v>0.35319585279708327</v>
      </c>
    </row>
    <row r="9832" spans="1:11" hidden="1">
      <c r="A9832" s="4">
        <v>2026</v>
      </c>
      <c r="B9832">
        <v>39</v>
      </c>
      <c r="C9832" t="s">
        <v>10</v>
      </c>
      <c r="D9832" t="s">
        <v>11</v>
      </c>
      <c r="E9832" t="s">
        <v>47</v>
      </c>
      <c r="F9832" t="s">
        <v>44</v>
      </c>
      <c r="G9832" t="str">
        <f t="shared" si="412"/>
        <v>030MIRABEL</v>
      </c>
      <c r="H9832" s="5">
        <v>4560</v>
      </c>
      <c r="I9832" s="6">
        <v>2413.6749943750001</v>
      </c>
      <c r="J9832" s="5">
        <v>17600</v>
      </c>
      <c r="K9832" s="6">
        <f t="shared" si="413"/>
        <v>1.889235299129729</v>
      </c>
    </row>
    <row r="9833" spans="1:11" hidden="1">
      <c r="A9833" s="4">
        <v>2026</v>
      </c>
      <c r="B9833">
        <v>39</v>
      </c>
      <c r="C9833" t="s">
        <v>10</v>
      </c>
      <c r="D9833" t="s">
        <v>11</v>
      </c>
      <c r="E9833" t="s">
        <v>47</v>
      </c>
      <c r="F9833" t="s">
        <v>13</v>
      </c>
      <c r="G9833" t="str">
        <f t="shared" si="412"/>
        <v>030SOMERSET</v>
      </c>
      <c r="H9833" s="5">
        <v>1200</v>
      </c>
      <c r="I9833" s="6">
        <v>1645.6875</v>
      </c>
      <c r="J9833" s="5">
        <v>12000</v>
      </c>
      <c r="K9833" s="6">
        <f t="shared" si="413"/>
        <v>0.72917853480688166</v>
      </c>
    </row>
    <row r="9834" spans="1:11" hidden="1">
      <c r="A9834" s="4">
        <v>2026</v>
      </c>
      <c r="B9834">
        <v>39</v>
      </c>
      <c r="C9834" t="s">
        <v>10</v>
      </c>
      <c r="D9834" t="s">
        <v>11</v>
      </c>
      <c r="E9834" t="s">
        <v>48</v>
      </c>
      <c r="F9834" t="s">
        <v>49</v>
      </c>
      <c r="G9834" t="str">
        <f t="shared" si="412"/>
        <v>03182989</v>
      </c>
      <c r="H9834" s="5">
        <v>2140</v>
      </c>
      <c r="I9834" s="6">
        <v>726.32013058333712</v>
      </c>
      <c r="J9834" s="5">
        <v>5712</v>
      </c>
      <c r="K9834" s="6">
        <f t="shared" si="413"/>
        <v>2.9463592015290549</v>
      </c>
    </row>
    <row r="9835" spans="1:11" hidden="1">
      <c r="A9835" s="4">
        <v>2026</v>
      </c>
      <c r="B9835">
        <v>39</v>
      </c>
      <c r="C9835" t="s">
        <v>10</v>
      </c>
      <c r="D9835" t="s">
        <v>11</v>
      </c>
      <c r="E9835" t="s">
        <v>48</v>
      </c>
      <c r="F9835" t="s">
        <v>34</v>
      </c>
      <c r="G9835" t="str">
        <f t="shared" si="412"/>
        <v>031RUBICON</v>
      </c>
      <c r="H9835" s="5">
        <v>1860</v>
      </c>
      <c r="I9835" s="6">
        <v>924.39958333667107</v>
      </c>
      <c r="J9835" s="5">
        <v>6720</v>
      </c>
      <c r="K9835" s="6">
        <f t="shared" si="413"/>
        <v>2.0121168740537807</v>
      </c>
    </row>
    <row r="9836" spans="1:11" hidden="1">
      <c r="A9836" s="4">
        <v>2026</v>
      </c>
      <c r="B9836">
        <v>39</v>
      </c>
      <c r="C9836" t="s">
        <v>10</v>
      </c>
      <c r="D9836" t="s">
        <v>11</v>
      </c>
      <c r="E9836" t="s">
        <v>48</v>
      </c>
      <c r="F9836" t="s">
        <v>13</v>
      </c>
      <c r="G9836" t="str">
        <f t="shared" si="412"/>
        <v>031SOMERSET</v>
      </c>
      <c r="H9836" s="5">
        <v>2800</v>
      </c>
      <c r="I9836" s="6">
        <v>1122.485208333339</v>
      </c>
      <c r="J9836" s="5">
        <v>8160</v>
      </c>
      <c r="K9836" s="6">
        <f t="shared" si="413"/>
        <v>2.4944649419099494</v>
      </c>
    </row>
    <row r="9837" spans="1:11" hidden="1">
      <c r="A9837" s="4">
        <v>2026</v>
      </c>
      <c r="B9837">
        <v>39</v>
      </c>
      <c r="C9837" t="s">
        <v>10</v>
      </c>
      <c r="D9837" t="s">
        <v>11</v>
      </c>
      <c r="E9837" t="s">
        <v>48</v>
      </c>
      <c r="F9837" t="s">
        <v>50</v>
      </c>
      <c r="G9837" t="str">
        <f t="shared" si="412"/>
        <v>031VELVET BLOSSOMS</v>
      </c>
      <c r="H9837" s="5">
        <v>420</v>
      </c>
      <c r="I9837" s="6">
        <v>396.17125000000198</v>
      </c>
      <c r="J9837" s="5">
        <v>2880</v>
      </c>
      <c r="K9837" s="6">
        <f t="shared" si="413"/>
        <v>1.0601476003117285</v>
      </c>
    </row>
    <row r="9838" spans="1:11" hidden="1">
      <c r="A9838" s="4">
        <v>2026</v>
      </c>
      <c r="B9838">
        <v>39</v>
      </c>
      <c r="C9838" t="s">
        <v>10</v>
      </c>
      <c r="D9838" t="s">
        <v>11</v>
      </c>
      <c r="E9838" t="s">
        <v>51</v>
      </c>
      <c r="F9838" t="s">
        <v>17</v>
      </c>
      <c r="G9838" t="str">
        <f t="shared" si="412"/>
        <v>032ELBA</v>
      </c>
      <c r="H9838" s="5">
        <v>2880</v>
      </c>
      <c r="I9838" s="6">
        <v>1535.9749999999999</v>
      </c>
      <c r="J9838" s="5">
        <v>11200</v>
      </c>
      <c r="K9838" s="6">
        <f t="shared" si="413"/>
        <v>1.8750305180748386</v>
      </c>
    </row>
    <row r="9839" spans="1:11" hidden="1">
      <c r="A9839" s="4">
        <v>2026</v>
      </c>
      <c r="B9839">
        <v>39</v>
      </c>
      <c r="C9839" t="s">
        <v>10</v>
      </c>
      <c r="D9839" t="s">
        <v>11</v>
      </c>
      <c r="E9839" t="s">
        <v>51</v>
      </c>
      <c r="F9839" t="s">
        <v>44</v>
      </c>
      <c r="G9839" t="str">
        <f t="shared" si="412"/>
        <v>032MIRABEL</v>
      </c>
      <c r="H9839" s="5">
        <v>2500</v>
      </c>
      <c r="I9839" s="6">
        <v>1535.9749999999999</v>
      </c>
      <c r="J9839" s="5">
        <v>11200</v>
      </c>
      <c r="K9839" s="6">
        <f t="shared" si="413"/>
        <v>1.6276306580510751</v>
      </c>
    </row>
    <row r="9840" spans="1:11" hidden="1">
      <c r="A9840" s="4">
        <v>2026</v>
      </c>
      <c r="B9840">
        <v>39</v>
      </c>
      <c r="C9840" t="s">
        <v>10</v>
      </c>
      <c r="D9840" t="s">
        <v>11</v>
      </c>
      <c r="E9840" t="s">
        <v>52</v>
      </c>
      <c r="F9840" t="s">
        <v>53</v>
      </c>
      <c r="G9840" t="str">
        <f t="shared" si="412"/>
        <v>033CREAMY FOLIES</v>
      </c>
      <c r="H9840" s="5">
        <v>1590</v>
      </c>
      <c r="I9840" s="6">
        <v>594.25687500000299</v>
      </c>
      <c r="J9840" s="5">
        <v>4320</v>
      </c>
      <c r="K9840" s="6">
        <f t="shared" si="413"/>
        <v>2.675610610310553</v>
      </c>
    </row>
    <row r="9841" spans="1:11" hidden="1">
      <c r="A9841" s="4">
        <v>2026</v>
      </c>
      <c r="B9841">
        <v>39</v>
      </c>
      <c r="C9841" t="s">
        <v>10</v>
      </c>
      <c r="D9841" t="s">
        <v>11</v>
      </c>
      <c r="E9841" t="s">
        <v>52</v>
      </c>
      <c r="F9841" t="s">
        <v>18</v>
      </c>
      <c r="G9841" t="str">
        <f t="shared" si="412"/>
        <v>033HOT BUBBLES</v>
      </c>
      <c r="H9841" s="5">
        <v>4040</v>
      </c>
      <c r="I9841" s="6">
        <v>2575.1131250013459</v>
      </c>
      <c r="J9841" s="5">
        <v>18720</v>
      </c>
      <c r="K9841" s="6">
        <f t="shared" si="413"/>
        <v>1.5688631154788155</v>
      </c>
    </row>
    <row r="9842" spans="1:11" hidden="1">
      <c r="A9842" s="4">
        <v>2026</v>
      </c>
      <c r="B9842">
        <v>39</v>
      </c>
      <c r="C9842" t="s">
        <v>54</v>
      </c>
      <c r="D9842" t="s">
        <v>11</v>
      </c>
      <c r="E9842" t="s">
        <v>55</v>
      </c>
      <c r="F9842" t="s">
        <v>56</v>
      </c>
      <c r="G9842" t="str">
        <f t="shared" si="412"/>
        <v>001BELIEVE IN PINK</v>
      </c>
      <c r="H9842" s="5">
        <v>1050</v>
      </c>
      <c r="I9842" s="6">
        <v>528.37931032368999</v>
      </c>
      <c r="J9842" s="5">
        <v>4000</v>
      </c>
      <c r="K9842" s="6">
        <f t="shared" ref="K9842:K9848" si="414">IFERROR(H9842/I9842,"")</f>
        <v>1.9872087712078665</v>
      </c>
    </row>
    <row r="9843" spans="1:11" hidden="1">
      <c r="A9843" s="4">
        <v>2026</v>
      </c>
      <c r="B9843">
        <v>39</v>
      </c>
      <c r="C9843" t="s">
        <v>54</v>
      </c>
      <c r="D9843" t="s">
        <v>11</v>
      </c>
      <c r="E9843" t="s">
        <v>55</v>
      </c>
      <c r="F9843" t="s">
        <v>57</v>
      </c>
      <c r="G9843" t="str">
        <f t="shared" si="412"/>
        <v>001EXPLORER</v>
      </c>
      <c r="H9843" s="5">
        <v>3150</v>
      </c>
      <c r="I9843" s="6">
        <v>2272.0310343918732</v>
      </c>
      <c r="J9843" s="5">
        <v>17200</v>
      </c>
      <c r="K9843" s="6">
        <f t="shared" si="414"/>
        <v>1.3864247240985077</v>
      </c>
    </row>
    <row r="9844" spans="1:11" hidden="1">
      <c r="A9844" s="4">
        <v>2026</v>
      </c>
      <c r="B9844">
        <v>39</v>
      </c>
      <c r="C9844" t="s">
        <v>54</v>
      </c>
      <c r="D9844" t="s">
        <v>11</v>
      </c>
      <c r="E9844" t="s">
        <v>55</v>
      </c>
      <c r="F9844" t="s">
        <v>58</v>
      </c>
      <c r="G9844" t="str">
        <f t="shared" si="412"/>
        <v>001GRACE KELLY</v>
      </c>
      <c r="H9844" s="5">
        <v>1410</v>
      </c>
      <c r="I9844" s="6">
        <v>1162.4344827121224</v>
      </c>
      <c r="J9844" s="5">
        <v>8800</v>
      </c>
      <c r="K9844" s="6">
        <f t="shared" si="414"/>
        <v>1.2129715876203815</v>
      </c>
    </row>
    <row r="9845" spans="1:11" hidden="1">
      <c r="A9845" s="4">
        <v>2026</v>
      </c>
      <c r="B9845">
        <v>39</v>
      </c>
      <c r="C9845" t="s">
        <v>54</v>
      </c>
      <c r="D9845" t="s">
        <v>11</v>
      </c>
      <c r="E9845" t="s">
        <v>55</v>
      </c>
      <c r="F9845" t="s">
        <v>59</v>
      </c>
      <c r="G9845" t="str">
        <f t="shared" si="412"/>
        <v>001IDOLE</v>
      </c>
      <c r="H9845" s="5">
        <v>700</v>
      </c>
      <c r="I9845" s="6">
        <v>1162.4344827121181</v>
      </c>
      <c r="J9845" s="5">
        <v>8800</v>
      </c>
      <c r="K9845" s="6">
        <f t="shared" si="414"/>
        <v>0.60218447612359582</v>
      </c>
    </row>
    <row r="9846" spans="1:11" hidden="1">
      <c r="A9846" s="4">
        <v>2026</v>
      </c>
      <c r="B9846">
        <v>39</v>
      </c>
      <c r="C9846" t="s">
        <v>54</v>
      </c>
      <c r="D9846" t="s">
        <v>11</v>
      </c>
      <c r="E9846" t="s">
        <v>55</v>
      </c>
      <c r="F9846" t="s">
        <v>60</v>
      </c>
      <c r="G9846" t="str">
        <f t="shared" si="412"/>
        <v>001LIGHT HOUSE</v>
      </c>
      <c r="H9846" s="5">
        <v>1260</v>
      </c>
      <c r="I9846" s="6">
        <v>1056.7586206473827</v>
      </c>
      <c r="J9846" s="5">
        <v>8000</v>
      </c>
      <c r="K9846" s="6">
        <f t="shared" si="414"/>
        <v>1.1923252627247169</v>
      </c>
    </row>
    <row r="9847" spans="1:11" hidden="1">
      <c r="A9847" s="4">
        <v>2026</v>
      </c>
      <c r="B9847">
        <v>39</v>
      </c>
      <c r="C9847" t="s">
        <v>54</v>
      </c>
      <c r="D9847" t="s">
        <v>11</v>
      </c>
      <c r="E9847" t="s">
        <v>55</v>
      </c>
      <c r="F9847" t="s">
        <v>61</v>
      </c>
      <c r="G9847" t="str">
        <f t="shared" si="412"/>
        <v>001LUMIA</v>
      </c>
      <c r="H9847" s="5">
        <v>1320</v>
      </c>
      <c r="I9847" s="6">
        <v>1109.596551679753</v>
      </c>
      <c r="J9847" s="5">
        <v>8400</v>
      </c>
      <c r="K9847" s="6">
        <f t="shared" si="414"/>
        <v>1.1896215773217118</v>
      </c>
    </row>
    <row r="9848" spans="1:11" hidden="1">
      <c r="A9848" s="4">
        <v>2026</v>
      </c>
      <c r="B9848">
        <v>39</v>
      </c>
      <c r="C9848" t="s">
        <v>54</v>
      </c>
      <c r="D9848" t="s">
        <v>11</v>
      </c>
      <c r="E9848" t="s">
        <v>55</v>
      </c>
      <c r="F9848" t="s">
        <v>62</v>
      </c>
      <c r="G9848" t="str">
        <f t="shared" si="412"/>
        <v>001MOMENTUM</v>
      </c>
      <c r="H9848" s="5">
        <v>3300</v>
      </c>
      <c r="I9848" s="6">
        <v>1902.1655171652881</v>
      </c>
      <c r="J9848" s="5">
        <v>14400</v>
      </c>
      <c r="K9848" s="6">
        <f t="shared" si="414"/>
        <v>1.7348648002608322</v>
      </c>
    </row>
    <row r="9849" spans="1:11" hidden="1">
      <c r="A9849" s="4">
        <v>2026</v>
      </c>
      <c r="B9849">
        <v>39</v>
      </c>
      <c r="C9849" t="s">
        <v>54</v>
      </c>
      <c r="D9849" t="s">
        <v>11</v>
      </c>
      <c r="E9849" t="s">
        <v>12</v>
      </c>
      <c r="F9849" t="s">
        <v>63</v>
      </c>
      <c r="G9849" t="str">
        <f t="shared" si="412"/>
        <v>002SUMMER ROMANCE</v>
      </c>
      <c r="H9849" s="5">
        <v>2175</v>
      </c>
      <c r="I9849" s="6">
        <v>951.10714281909407</v>
      </c>
      <c r="J9849" s="5">
        <v>7200</v>
      </c>
      <c r="K9849" s="6">
        <f t="shared" ref="K9849:K9912" si="415">+H9849/I9849</f>
        <v>2.2868086066026918</v>
      </c>
    </row>
    <row r="9850" spans="1:11" hidden="1">
      <c r="A9850" s="4">
        <v>2026</v>
      </c>
      <c r="B9850">
        <v>39</v>
      </c>
      <c r="C9850" t="s">
        <v>54</v>
      </c>
      <c r="D9850" t="s">
        <v>11</v>
      </c>
      <c r="E9850" t="s">
        <v>12</v>
      </c>
      <c r="F9850" t="s">
        <v>64</v>
      </c>
      <c r="G9850" t="str">
        <f t="shared" si="412"/>
        <v>002SWEETNESS</v>
      </c>
      <c r="H9850" s="5">
        <v>8580</v>
      </c>
      <c r="I9850" s="6">
        <v>3804.4285712763772</v>
      </c>
      <c r="J9850" s="5">
        <v>28800</v>
      </c>
      <c r="K9850" s="6">
        <f t="shared" si="415"/>
        <v>2.2552664189254128</v>
      </c>
    </row>
    <row r="9851" spans="1:11" hidden="1">
      <c r="A9851" s="4">
        <v>2026</v>
      </c>
      <c r="B9851">
        <v>39</v>
      </c>
      <c r="C9851" t="s">
        <v>54</v>
      </c>
      <c r="D9851" t="s">
        <v>11</v>
      </c>
      <c r="E9851" t="s">
        <v>65</v>
      </c>
      <c r="F9851" t="s">
        <v>66</v>
      </c>
      <c r="G9851" t="str">
        <f t="shared" si="412"/>
        <v>003CABARET</v>
      </c>
      <c r="H9851" s="5">
        <v>5910</v>
      </c>
      <c r="I9851" s="6">
        <v>2641.8965516184649</v>
      </c>
      <c r="J9851" s="5">
        <v>20000</v>
      </c>
      <c r="K9851" s="6">
        <f t="shared" si="415"/>
        <v>2.2370293024454142</v>
      </c>
    </row>
    <row r="9852" spans="1:11" hidden="1">
      <c r="A9852" s="4">
        <v>2026</v>
      </c>
      <c r="B9852">
        <v>39</v>
      </c>
      <c r="C9852" t="s">
        <v>54</v>
      </c>
      <c r="D9852" t="s">
        <v>11</v>
      </c>
      <c r="E9852" t="s">
        <v>65</v>
      </c>
      <c r="F9852" t="s">
        <v>67</v>
      </c>
      <c r="G9852" t="str">
        <f t="shared" si="412"/>
        <v>003DEEP PURPLE</v>
      </c>
      <c r="H9852" s="5">
        <v>11580</v>
      </c>
      <c r="I9852" s="6">
        <v>3592.9793102010913</v>
      </c>
      <c r="J9852" s="5">
        <v>26044</v>
      </c>
      <c r="K9852" s="6">
        <f t="shared" si="415"/>
        <v>3.2229520406984733</v>
      </c>
    </row>
    <row r="9853" spans="1:11" hidden="1">
      <c r="A9853" s="4">
        <v>2026</v>
      </c>
      <c r="B9853">
        <v>39</v>
      </c>
      <c r="C9853" t="s">
        <v>54</v>
      </c>
      <c r="D9853" t="s">
        <v>11</v>
      </c>
      <c r="E9853" t="s">
        <v>65</v>
      </c>
      <c r="F9853" t="s">
        <v>57</v>
      </c>
      <c r="G9853" t="str">
        <f t="shared" si="412"/>
        <v>003EXPLORER</v>
      </c>
      <c r="H9853" s="5">
        <v>2175</v>
      </c>
      <c r="I9853" s="6">
        <v>1268.1103447768633</v>
      </c>
      <c r="J9853" s="5">
        <v>9600</v>
      </c>
      <c r="K9853" s="6">
        <f t="shared" si="415"/>
        <v>1.7151504275305893</v>
      </c>
    </row>
    <row r="9854" spans="1:11" hidden="1">
      <c r="A9854" s="4">
        <v>2026</v>
      </c>
      <c r="B9854">
        <v>39</v>
      </c>
      <c r="C9854" t="s">
        <v>54</v>
      </c>
      <c r="D9854" t="s">
        <v>11</v>
      </c>
      <c r="E9854" t="s">
        <v>65</v>
      </c>
      <c r="F9854" t="s">
        <v>68</v>
      </c>
      <c r="G9854" t="str">
        <f t="shared" si="412"/>
        <v>003JOCKER</v>
      </c>
      <c r="H9854" s="5">
        <v>700</v>
      </c>
      <c r="I9854" s="6">
        <v>528.37931032368999</v>
      </c>
      <c r="J9854" s="5">
        <v>4000</v>
      </c>
      <c r="K9854" s="6">
        <f t="shared" si="415"/>
        <v>1.3248058474719111</v>
      </c>
    </row>
    <row r="9855" spans="1:11" hidden="1">
      <c r="A9855" s="4">
        <v>2026</v>
      </c>
      <c r="B9855">
        <v>39</v>
      </c>
      <c r="C9855" t="s">
        <v>54</v>
      </c>
      <c r="D9855" t="s">
        <v>11</v>
      </c>
      <c r="E9855" t="s">
        <v>65</v>
      </c>
      <c r="F9855" t="s">
        <v>69</v>
      </c>
      <c r="G9855" t="str">
        <f t="shared" si="412"/>
        <v>003QUICKSAND</v>
      </c>
      <c r="H9855" s="5">
        <v>1350</v>
      </c>
      <c r="I9855" s="6">
        <v>1162.4344827121247</v>
      </c>
      <c r="J9855" s="5">
        <v>8800</v>
      </c>
      <c r="K9855" s="6">
        <f t="shared" si="415"/>
        <v>1.161355775381214</v>
      </c>
    </row>
    <row r="9856" spans="1:11" hidden="1">
      <c r="A9856" s="4">
        <v>2026</v>
      </c>
      <c r="B9856">
        <v>39</v>
      </c>
      <c r="C9856" t="s">
        <v>54</v>
      </c>
      <c r="D9856" t="s">
        <v>11</v>
      </c>
      <c r="E9856" t="s">
        <v>14</v>
      </c>
      <c r="F9856" t="s">
        <v>70</v>
      </c>
      <c r="G9856" t="str">
        <f t="shared" si="412"/>
        <v>004COTOPAXI</v>
      </c>
      <c r="H9856" s="5">
        <v>900</v>
      </c>
      <c r="I9856" s="6">
        <v>528.3915024419166</v>
      </c>
      <c r="J9856" s="5">
        <v>4000</v>
      </c>
      <c r="K9856" s="6">
        <f t="shared" si="415"/>
        <v>1.7032825014042168</v>
      </c>
    </row>
    <row r="9857" spans="1:11" hidden="1">
      <c r="A9857" s="4">
        <v>2026</v>
      </c>
      <c r="B9857">
        <v>39</v>
      </c>
      <c r="C9857" t="s">
        <v>54</v>
      </c>
      <c r="D9857" t="s">
        <v>11</v>
      </c>
      <c r="E9857" t="s">
        <v>14</v>
      </c>
      <c r="F9857" t="s">
        <v>67</v>
      </c>
      <c r="G9857" t="str">
        <f t="shared" si="412"/>
        <v>004DEEP PURPLE</v>
      </c>
      <c r="H9857" s="5">
        <v>11790</v>
      </c>
      <c r="I9857" s="6">
        <v>3910.1071427007282</v>
      </c>
      <c r="J9857" s="5">
        <v>29260</v>
      </c>
      <c r="K9857" s="6">
        <f t="shared" si="415"/>
        <v>3.0152626436360501</v>
      </c>
    </row>
    <row r="9858" spans="1:11" hidden="1">
      <c r="A9858" s="4">
        <v>2026</v>
      </c>
      <c r="B9858">
        <v>39</v>
      </c>
      <c r="C9858" t="s">
        <v>54</v>
      </c>
      <c r="D9858" t="s">
        <v>11</v>
      </c>
      <c r="E9858" t="s">
        <v>14</v>
      </c>
      <c r="F9858" t="s">
        <v>71</v>
      </c>
      <c r="G9858" t="str">
        <f t="shared" si="412"/>
        <v>004HOT EXPLORER</v>
      </c>
      <c r="H9858" s="5">
        <v>3475</v>
      </c>
      <c r="I9858" s="6">
        <v>1902.2142856381945</v>
      </c>
      <c r="J9858" s="5">
        <v>14400</v>
      </c>
      <c r="K9858" s="6">
        <f t="shared" si="415"/>
        <v>1.8268183696423743</v>
      </c>
    </row>
    <row r="9859" spans="1:11" hidden="1">
      <c r="A9859" s="4">
        <v>2026</v>
      </c>
      <c r="B9859">
        <v>39</v>
      </c>
      <c r="C9859" t="s">
        <v>54</v>
      </c>
      <c r="D9859" t="s">
        <v>11</v>
      </c>
      <c r="E9859" t="s">
        <v>14</v>
      </c>
      <c r="F9859" t="s">
        <v>72</v>
      </c>
      <c r="G9859" t="str">
        <f t="shared" si="412"/>
        <v>004HOT MERENGUE</v>
      </c>
      <c r="H9859" s="5">
        <v>2730</v>
      </c>
      <c r="I9859" s="6">
        <v>1162.4642856677858</v>
      </c>
      <c r="J9859" s="5">
        <v>8800</v>
      </c>
      <c r="K9859" s="6">
        <f t="shared" si="415"/>
        <v>2.3484592461537277</v>
      </c>
    </row>
    <row r="9860" spans="1:11" hidden="1">
      <c r="A9860" s="4">
        <v>2026</v>
      </c>
      <c r="B9860">
        <v>39</v>
      </c>
      <c r="C9860" t="s">
        <v>54</v>
      </c>
      <c r="D9860" t="s">
        <v>11</v>
      </c>
      <c r="E9860" t="s">
        <v>14</v>
      </c>
      <c r="F9860" t="s">
        <v>64</v>
      </c>
      <c r="G9860" t="str">
        <f t="shared" si="412"/>
        <v>004SWEETNESS</v>
      </c>
      <c r="H9860" s="5">
        <v>270</v>
      </c>
      <c r="I9860" s="6">
        <v>317.03571427303262</v>
      </c>
      <c r="J9860" s="5">
        <v>2400</v>
      </c>
      <c r="K9860" s="6">
        <f t="shared" si="415"/>
        <v>0.85163906728651639</v>
      </c>
    </row>
    <row r="9861" spans="1:11" hidden="1">
      <c r="A9861" s="4">
        <v>2026</v>
      </c>
      <c r="B9861">
        <v>39</v>
      </c>
      <c r="C9861" t="s">
        <v>54</v>
      </c>
      <c r="D9861" t="s">
        <v>11</v>
      </c>
      <c r="E9861" t="s">
        <v>16</v>
      </c>
      <c r="F9861" t="s">
        <v>57</v>
      </c>
      <c r="G9861" t="str">
        <f t="shared" si="412"/>
        <v>005EXPLORER</v>
      </c>
      <c r="H9861" s="5">
        <v>1675</v>
      </c>
      <c r="I9861" s="6">
        <v>951.10714281875391</v>
      </c>
      <c r="J9861" s="5">
        <v>7200</v>
      </c>
      <c r="K9861" s="6">
        <f t="shared" si="415"/>
        <v>1.7611054786486799</v>
      </c>
    </row>
    <row r="9862" spans="1:11" hidden="1">
      <c r="A9862" s="4">
        <v>2026</v>
      </c>
      <c r="B9862">
        <v>39</v>
      </c>
      <c r="C9862" t="s">
        <v>54</v>
      </c>
      <c r="D9862" t="s">
        <v>11</v>
      </c>
      <c r="E9862" t="s">
        <v>16</v>
      </c>
      <c r="F9862" t="s">
        <v>73</v>
      </c>
      <c r="G9862" t="str">
        <f t="shared" si="412"/>
        <v>005GOLDFINCH</v>
      </c>
      <c r="H9862" s="5">
        <v>1150</v>
      </c>
      <c r="I9862" s="6">
        <v>898.26785710660101</v>
      </c>
      <c r="J9862" s="5">
        <v>6800</v>
      </c>
      <c r="K9862" s="6">
        <f t="shared" si="415"/>
        <v>1.2802417351370561</v>
      </c>
    </row>
    <row r="9863" spans="1:11" hidden="1">
      <c r="A9863" s="4">
        <v>2026</v>
      </c>
      <c r="B9863">
        <v>39</v>
      </c>
      <c r="C9863" t="s">
        <v>54</v>
      </c>
      <c r="D9863" t="s">
        <v>11</v>
      </c>
      <c r="E9863" t="s">
        <v>16</v>
      </c>
      <c r="F9863" t="s">
        <v>68</v>
      </c>
      <c r="G9863" t="str">
        <f t="shared" ref="G9863:G9925" si="416">+E9863&amp;F9863</f>
        <v>005JOCKER</v>
      </c>
      <c r="H9863" s="5">
        <v>2050</v>
      </c>
      <c r="I9863" s="6">
        <v>1162.4642856673661</v>
      </c>
      <c r="J9863" s="5">
        <v>8800</v>
      </c>
      <c r="K9863" s="6">
        <f t="shared" si="415"/>
        <v>1.7634950383212016</v>
      </c>
    </row>
    <row r="9864" spans="1:11" hidden="1">
      <c r="A9864" s="4">
        <v>2026</v>
      </c>
      <c r="B9864">
        <v>39</v>
      </c>
      <c r="C9864" t="s">
        <v>54</v>
      </c>
      <c r="D9864" t="s">
        <v>11</v>
      </c>
      <c r="E9864" t="s">
        <v>16</v>
      </c>
      <c r="F9864" t="s">
        <v>74</v>
      </c>
      <c r="G9864" t="str">
        <f t="shared" si="416"/>
        <v>005VENDELA</v>
      </c>
      <c r="H9864" s="5">
        <v>1560</v>
      </c>
      <c r="I9864" s="6">
        <v>686.91071425798896</v>
      </c>
      <c r="J9864" s="5">
        <v>5200</v>
      </c>
      <c r="K9864" s="6">
        <f t="shared" si="415"/>
        <v>2.271037512764865</v>
      </c>
    </row>
    <row r="9865" spans="1:11" hidden="1">
      <c r="A9865" s="4">
        <v>2026</v>
      </c>
      <c r="B9865">
        <v>39</v>
      </c>
      <c r="C9865" t="s">
        <v>54</v>
      </c>
      <c r="D9865" t="s">
        <v>11</v>
      </c>
      <c r="E9865" t="s">
        <v>75</v>
      </c>
      <c r="F9865" t="s">
        <v>76</v>
      </c>
      <c r="G9865" t="str">
        <f t="shared" si="416"/>
        <v>006ATOMIC</v>
      </c>
      <c r="H9865" s="5">
        <v>1200</v>
      </c>
      <c r="I9865" s="6">
        <v>845.428571394752</v>
      </c>
      <c r="J9865" s="5">
        <v>6400</v>
      </c>
      <c r="K9865" s="6">
        <f t="shared" si="415"/>
        <v>1.4193984454775301</v>
      </c>
    </row>
    <row r="9866" spans="1:11" hidden="1">
      <c r="A9866" s="4">
        <v>2026</v>
      </c>
      <c r="B9866">
        <v>39</v>
      </c>
      <c r="C9866" t="s">
        <v>54</v>
      </c>
      <c r="D9866" t="s">
        <v>11</v>
      </c>
      <c r="E9866" t="s">
        <v>75</v>
      </c>
      <c r="F9866" t="s">
        <v>57</v>
      </c>
      <c r="G9866" t="str">
        <f t="shared" si="416"/>
        <v>006EXPLORER</v>
      </c>
      <c r="H9866" s="5">
        <v>5025</v>
      </c>
      <c r="I9866" s="6">
        <v>3910.1071427007355</v>
      </c>
      <c r="J9866" s="5">
        <v>29600</v>
      </c>
      <c r="K9866" s="6">
        <f t="shared" si="415"/>
        <v>1.2851310249593828</v>
      </c>
    </row>
    <row r="9867" spans="1:11" hidden="1">
      <c r="A9867" s="4">
        <v>2026</v>
      </c>
      <c r="B9867">
        <v>39</v>
      </c>
      <c r="C9867" t="s">
        <v>54</v>
      </c>
      <c r="D9867" t="s">
        <v>11</v>
      </c>
      <c r="E9867" t="s">
        <v>75</v>
      </c>
      <c r="F9867" t="s">
        <v>77</v>
      </c>
      <c r="G9867" t="str">
        <f t="shared" si="416"/>
        <v>006MONDIAL</v>
      </c>
      <c r="H9867" s="5">
        <v>5625</v>
      </c>
      <c r="I9867" s="6">
        <v>4015.7857141250793</v>
      </c>
      <c r="J9867" s="5">
        <v>30400</v>
      </c>
      <c r="K9867" s="6">
        <f t="shared" si="415"/>
        <v>1.4007221501422968</v>
      </c>
    </row>
    <row r="9868" spans="1:11" hidden="1">
      <c r="A9868" s="4">
        <v>2026</v>
      </c>
      <c r="B9868">
        <v>39</v>
      </c>
      <c r="C9868" t="s">
        <v>54</v>
      </c>
      <c r="D9868" t="s">
        <v>11</v>
      </c>
      <c r="E9868" t="s">
        <v>20</v>
      </c>
      <c r="F9868" t="s">
        <v>70</v>
      </c>
      <c r="G9868" t="str">
        <f t="shared" si="416"/>
        <v>007COTOPAXI</v>
      </c>
      <c r="H9868" s="5">
        <v>5790</v>
      </c>
      <c r="I9868" s="6">
        <v>2747.5751230427709</v>
      </c>
      <c r="J9868" s="5">
        <v>20800</v>
      </c>
      <c r="K9868" s="6">
        <f t="shared" si="415"/>
        <v>2.107312717836785</v>
      </c>
    </row>
    <row r="9869" spans="1:11" hidden="1">
      <c r="A9869" s="4">
        <v>2026</v>
      </c>
      <c r="B9869">
        <v>39</v>
      </c>
      <c r="C9869" t="s">
        <v>54</v>
      </c>
      <c r="D9869" t="s">
        <v>11</v>
      </c>
      <c r="E9869" t="s">
        <v>20</v>
      </c>
      <c r="F9869" t="s">
        <v>78</v>
      </c>
      <c r="G9869" t="str">
        <f t="shared" si="416"/>
        <v>007REDIANT</v>
      </c>
      <c r="H9869" s="5">
        <v>1290</v>
      </c>
      <c r="I9869" s="6">
        <v>1056.75862064738</v>
      </c>
      <c r="J9869" s="5">
        <v>9600</v>
      </c>
      <c r="K9869" s="6">
        <f t="shared" si="415"/>
        <v>1.2207139594562608</v>
      </c>
    </row>
    <row r="9870" spans="1:11" hidden="1">
      <c r="A9870" s="4">
        <v>2026</v>
      </c>
      <c r="B9870">
        <v>39</v>
      </c>
      <c r="C9870" t="s">
        <v>54</v>
      </c>
      <c r="D9870" t="s">
        <v>11</v>
      </c>
      <c r="E9870" t="s">
        <v>20</v>
      </c>
      <c r="F9870" t="s">
        <v>63</v>
      </c>
      <c r="G9870" t="str">
        <f t="shared" si="416"/>
        <v>007SUMMER ROMANCE</v>
      </c>
      <c r="H9870" s="5">
        <v>275</v>
      </c>
      <c r="I9870" s="6">
        <v>369.86551722658481</v>
      </c>
      <c r="J9870" s="5">
        <v>3080</v>
      </c>
      <c r="K9870" s="6">
        <f t="shared" si="415"/>
        <v>0.74351348582606891</v>
      </c>
    </row>
    <row r="9871" spans="1:11" hidden="1">
      <c r="A9871" s="4">
        <v>2026</v>
      </c>
      <c r="B9871">
        <v>39</v>
      </c>
      <c r="C9871" t="s">
        <v>54</v>
      </c>
      <c r="D9871" t="s">
        <v>11</v>
      </c>
      <c r="E9871" t="s">
        <v>20</v>
      </c>
      <c r="F9871" t="s">
        <v>74</v>
      </c>
      <c r="G9871" t="str">
        <f t="shared" si="416"/>
        <v>007VENDELA</v>
      </c>
      <c r="H9871" s="5">
        <v>8100</v>
      </c>
      <c r="I9871" s="6">
        <v>3592.9793102011122</v>
      </c>
      <c r="J9871" s="5">
        <v>27820</v>
      </c>
      <c r="K9871" s="6">
        <f t="shared" si="415"/>
        <v>2.2543965051517687</v>
      </c>
    </row>
    <row r="9872" spans="1:11" hidden="1">
      <c r="A9872" s="4">
        <v>2026</v>
      </c>
      <c r="B9872">
        <v>39</v>
      </c>
      <c r="C9872" t="s">
        <v>54</v>
      </c>
      <c r="D9872" t="s">
        <v>11</v>
      </c>
      <c r="E9872" t="s">
        <v>79</v>
      </c>
      <c r="F9872" t="s">
        <v>67</v>
      </c>
      <c r="G9872" t="str">
        <f t="shared" si="416"/>
        <v>008DEEP PURPLE</v>
      </c>
      <c r="H9872" s="5">
        <v>3840</v>
      </c>
      <c r="I9872" s="6">
        <v>1585.2222221588099</v>
      </c>
      <c r="J9872" s="5">
        <v>11490</v>
      </c>
      <c r="K9872" s="6">
        <f t="shared" si="415"/>
        <v>2.4223733091317357</v>
      </c>
    </row>
    <row r="9873" spans="1:11" hidden="1">
      <c r="A9873" s="4">
        <v>2026</v>
      </c>
      <c r="B9873">
        <v>39</v>
      </c>
      <c r="C9873" t="s">
        <v>54</v>
      </c>
      <c r="D9873" t="s">
        <v>11</v>
      </c>
      <c r="E9873" t="s">
        <v>79</v>
      </c>
      <c r="F9873" t="s">
        <v>81</v>
      </c>
      <c r="G9873" t="str">
        <f t="shared" si="416"/>
        <v>008FREEDOM</v>
      </c>
      <c r="H9873" s="5">
        <v>2370</v>
      </c>
      <c r="I9873" s="6">
        <v>2219.311111022334</v>
      </c>
      <c r="J9873" s="5">
        <v>16800</v>
      </c>
      <c r="K9873" s="6">
        <f t="shared" si="415"/>
        <v>1.0678989476641023</v>
      </c>
    </row>
    <row r="9874" spans="1:11" hidden="1">
      <c r="A9874" s="4">
        <v>2026</v>
      </c>
      <c r="B9874">
        <v>39</v>
      </c>
      <c r="C9874" t="s">
        <v>54</v>
      </c>
      <c r="D9874" t="s">
        <v>11</v>
      </c>
      <c r="E9874" t="s">
        <v>79</v>
      </c>
      <c r="F9874" t="s">
        <v>68</v>
      </c>
      <c r="G9874" t="str">
        <f t="shared" si="416"/>
        <v>008JOCKER</v>
      </c>
      <c r="H9874" s="5">
        <v>3400</v>
      </c>
      <c r="I9874" s="6">
        <v>2959.0814813631118</v>
      </c>
      <c r="J9874" s="5">
        <v>22400</v>
      </c>
      <c r="K9874" s="6">
        <f t="shared" si="415"/>
        <v>1.1490051968537809</v>
      </c>
    </row>
    <row r="9875" spans="1:11" hidden="1">
      <c r="A9875" s="4">
        <v>2026</v>
      </c>
      <c r="B9875">
        <v>39</v>
      </c>
      <c r="C9875" t="s">
        <v>54</v>
      </c>
      <c r="D9875" t="s">
        <v>11</v>
      </c>
      <c r="E9875" t="s">
        <v>79</v>
      </c>
      <c r="F9875" t="s">
        <v>61</v>
      </c>
      <c r="G9875" t="str">
        <f t="shared" si="416"/>
        <v>008LUMIA</v>
      </c>
      <c r="H9875" s="5">
        <v>0</v>
      </c>
      <c r="I9875" s="6">
        <v>1796.5851851133182</v>
      </c>
      <c r="J9875" s="5">
        <v>13600</v>
      </c>
      <c r="K9875" s="6">
        <f t="shared" si="415"/>
        <v>0</v>
      </c>
    </row>
    <row r="9876" spans="1:11" hidden="1">
      <c r="A9876" s="4">
        <v>2026</v>
      </c>
      <c r="B9876">
        <v>39</v>
      </c>
      <c r="C9876" t="s">
        <v>54</v>
      </c>
      <c r="D9876" t="s">
        <v>11</v>
      </c>
      <c r="E9876" t="s">
        <v>82</v>
      </c>
      <c r="F9876" t="s">
        <v>83</v>
      </c>
      <c r="G9876" t="str">
        <f t="shared" si="416"/>
        <v>010COOLDOWN</v>
      </c>
      <c r="H9876" s="5">
        <v>2975</v>
      </c>
      <c r="I9876" s="6">
        <v>1912.3542857142861</v>
      </c>
      <c r="J9876" s="5">
        <v>16320</v>
      </c>
      <c r="K9876" s="6">
        <f t="shared" si="415"/>
        <v>1.5556740831047442</v>
      </c>
    </row>
    <row r="9877" spans="1:11" hidden="1">
      <c r="A9877" s="4">
        <v>2026</v>
      </c>
      <c r="B9877">
        <v>39</v>
      </c>
      <c r="C9877" t="s">
        <v>54</v>
      </c>
      <c r="D9877" t="s">
        <v>11</v>
      </c>
      <c r="E9877" t="s">
        <v>82</v>
      </c>
      <c r="F9877" t="s">
        <v>84</v>
      </c>
      <c r="G9877" t="str">
        <f t="shared" si="416"/>
        <v>010VIOLET HILL</v>
      </c>
      <c r="H9877" s="5">
        <v>4280</v>
      </c>
      <c r="I9877" s="6">
        <v>2812.2857142428579</v>
      </c>
      <c r="J9877" s="5">
        <v>20000</v>
      </c>
      <c r="K9877" s="6">
        <f t="shared" si="415"/>
        <v>1.5218937316090908</v>
      </c>
    </row>
    <row r="9878" spans="1:11" hidden="1">
      <c r="A9878" s="4">
        <v>2026</v>
      </c>
      <c r="B9878">
        <v>39</v>
      </c>
      <c r="C9878" t="s">
        <v>54</v>
      </c>
      <c r="D9878" t="s">
        <v>11</v>
      </c>
      <c r="E9878" t="s">
        <v>85</v>
      </c>
      <c r="F9878" t="s">
        <v>86</v>
      </c>
      <c r="G9878" t="str">
        <f t="shared" si="416"/>
        <v>011BRIGHTON</v>
      </c>
      <c r="H9878" s="5">
        <v>1900</v>
      </c>
      <c r="I9878" s="6">
        <v>1768.8376470588223</v>
      </c>
      <c r="J9878" s="5">
        <v>12800</v>
      </c>
      <c r="K9878" s="6">
        <f t="shared" si="415"/>
        <v>1.0741517194408832</v>
      </c>
    </row>
    <row r="9879" spans="1:11" hidden="1">
      <c r="A9879" s="4">
        <v>2026</v>
      </c>
      <c r="B9879">
        <v>39</v>
      </c>
      <c r="C9879" t="s">
        <v>54</v>
      </c>
      <c r="D9879" t="s">
        <v>11</v>
      </c>
      <c r="E9879" t="s">
        <v>85</v>
      </c>
      <c r="F9879" t="s">
        <v>87</v>
      </c>
      <c r="G9879" t="str">
        <f t="shared" si="416"/>
        <v>011CANDLELIGHT</v>
      </c>
      <c r="H9879" s="5">
        <v>3780</v>
      </c>
      <c r="I9879" s="6">
        <v>2263.7999998868127</v>
      </c>
      <c r="J9879" s="5">
        <v>17920</v>
      </c>
      <c r="K9879" s="6">
        <f t="shared" si="415"/>
        <v>1.6697588126994414</v>
      </c>
    </row>
    <row r="9880" spans="1:11" hidden="1">
      <c r="A9880" s="4">
        <v>2026</v>
      </c>
      <c r="B9880">
        <v>39</v>
      </c>
      <c r="C9880" t="s">
        <v>54</v>
      </c>
      <c r="D9880" t="s">
        <v>11</v>
      </c>
      <c r="E9880" t="s">
        <v>85</v>
      </c>
      <c r="F9880" t="s">
        <v>88</v>
      </c>
      <c r="G9880" t="str">
        <f t="shared" si="416"/>
        <v>011CAYENNE</v>
      </c>
      <c r="H9880" s="5">
        <v>990</v>
      </c>
      <c r="I9880" s="6">
        <v>994.97117647058747</v>
      </c>
      <c r="J9880" s="5">
        <v>7200</v>
      </c>
      <c r="K9880" s="6">
        <f t="shared" si="415"/>
        <v>0.99500369800839716</v>
      </c>
    </row>
    <row r="9881" spans="1:11" hidden="1">
      <c r="A9881" s="4">
        <v>2026</v>
      </c>
      <c r="B9881">
        <v>39</v>
      </c>
      <c r="C9881" t="s">
        <v>54</v>
      </c>
      <c r="D9881" t="s">
        <v>11</v>
      </c>
      <c r="E9881" t="s">
        <v>85</v>
      </c>
      <c r="F9881" t="s">
        <v>61</v>
      </c>
      <c r="G9881" t="str">
        <f t="shared" si="416"/>
        <v>011LUMIA</v>
      </c>
      <c r="H9881" s="5">
        <v>1350</v>
      </c>
      <c r="I9881" s="6">
        <v>994.97117647058747</v>
      </c>
      <c r="J9881" s="5">
        <v>7920</v>
      </c>
      <c r="K9881" s="6">
        <f t="shared" si="415"/>
        <v>1.3568232245569052</v>
      </c>
    </row>
    <row r="9882" spans="1:11" hidden="1">
      <c r="A9882" s="4">
        <v>2026</v>
      </c>
      <c r="B9882">
        <v>39</v>
      </c>
      <c r="C9882" t="s">
        <v>54</v>
      </c>
      <c r="D9882" t="s">
        <v>11</v>
      </c>
      <c r="E9882" t="s">
        <v>85</v>
      </c>
      <c r="F9882" t="s">
        <v>89</v>
      </c>
      <c r="G9882" t="str">
        <f t="shared" si="416"/>
        <v>011STARDUST</v>
      </c>
      <c r="H9882" s="5">
        <v>3275</v>
      </c>
      <c r="I9882" s="6">
        <v>2263.7999998868127</v>
      </c>
      <c r="J9882" s="5">
        <v>17920</v>
      </c>
      <c r="K9882" s="6">
        <f t="shared" si="415"/>
        <v>1.4466825692038812</v>
      </c>
    </row>
    <row r="9883" spans="1:11" hidden="1">
      <c r="A9883" s="4">
        <v>2026</v>
      </c>
      <c r="B9883">
        <v>39</v>
      </c>
      <c r="C9883" t="s">
        <v>54</v>
      </c>
      <c r="D9883" t="s">
        <v>11</v>
      </c>
      <c r="E9883" t="s">
        <v>90</v>
      </c>
      <c r="F9883" t="s">
        <v>67</v>
      </c>
      <c r="G9883" t="str">
        <f t="shared" si="416"/>
        <v>012DEEP PURPLE</v>
      </c>
      <c r="H9883" s="5">
        <v>13350</v>
      </c>
      <c r="I9883" s="6">
        <v>6727.0499997982479</v>
      </c>
      <c r="J9883" s="5">
        <v>49210</v>
      </c>
      <c r="K9883" s="6">
        <f t="shared" si="415"/>
        <v>1.9845251633926286</v>
      </c>
    </row>
    <row r="9884" spans="1:11" hidden="1">
      <c r="A9884" s="4">
        <v>2026</v>
      </c>
      <c r="B9884">
        <v>39</v>
      </c>
      <c r="C9884" t="s">
        <v>54</v>
      </c>
      <c r="D9884" t="s">
        <v>11</v>
      </c>
      <c r="E9884" t="s">
        <v>90</v>
      </c>
      <c r="F9884" t="s">
        <v>60</v>
      </c>
      <c r="G9884" t="str">
        <f t="shared" si="416"/>
        <v>012LIGHT HOUSE</v>
      </c>
      <c r="H9884" s="5">
        <v>1260</v>
      </c>
      <c r="I9884" s="6">
        <v>994.95</v>
      </c>
      <c r="J9884" s="5">
        <v>7200</v>
      </c>
      <c r="K9884" s="6">
        <f t="shared" si="415"/>
        <v>1.2663952962460425</v>
      </c>
    </row>
    <row r="9885" spans="1:11" hidden="1">
      <c r="A9885" s="4">
        <v>2026</v>
      </c>
      <c r="B9885">
        <v>39</v>
      </c>
      <c r="C9885" t="s">
        <v>54</v>
      </c>
      <c r="D9885" t="s">
        <v>11</v>
      </c>
      <c r="E9885" t="s">
        <v>91</v>
      </c>
      <c r="F9885" t="s">
        <v>92</v>
      </c>
      <c r="G9885" t="str">
        <f t="shared" si="416"/>
        <v>013COUNTRY BLUES</v>
      </c>
      <c r="H9885" s="5">
        <v>925</v>
      </c>
      <c r="I9885" s="6">
        <v>831.6</v>
      </c>
      <c r="J9885" s="5">
        <v>6300</v>
      </c>
      <c r="K9885" s="6">
        <f t="shared" si="415"/>
        <v>1.1123136123136124</v>
      </c>
    </row>
    <row r="9886" spans="1:11" hidden="1">
      <c r="A9886" s="4">
        <v>2026</v>
      </c>
      <c r="B9886">
        <v>39</v>
      </c>
      <c r="C9886" t="s">
        <v>54</v>
      </c>
      <c r="D9886" t="s">
        <v>11</v>
      </c>
      <c r="E9886" t="s">
        <v>91</v>
      </c>
      <c r="F9886" t="s">
        <v>93</v>
      </c>
      <c r="G9886" t="str">
        <f t="shared" si="416"/>
        <v>013LORRAINE</v>
      </c>
      <c r="H9886" s="5">
        <v>3925</v>
      </c>
      <c r="I9886" s="6">
        <v>1267.2</v>
      </c>
      <c r="J9886" s="5">
        <v>9600</v>
      </c>
      <c r="K9886" s="6">
        <f t="shared" si="415"/>
        <v>3.0973800505050506</v>
      </c>
    </row>
    <row r="9887" spans="1:11" hidden="1">
      <c r="A9887" s="4">
        <v>2026</v>
      </c>
      <c r="B9887">
        <v>39</v>
      </c>
      <c r="C9887" t="s">
        <v>54</v>
      </c>
      <c r="D9887" t="s">
        <v>11</v>
      </c>
      <c r="E9887" t="s">
        <v>91</v>
      </c>
      <c r="F9887" t="s">
        <v>61</v>
      </c>
      <c r="G9887" t="str">
        <f t="shared" si="416"/>
        <v>013LUMIA</v>
      </c>
      <c r="H9887" s="5">
        <v>360</v>
      </c>
      <c r="I9887" s="6">
        <v>316.8</v>
      </c>
      <c r="J9887" s="5">
        <v>2400</v>
      </c>
      <c r="K9887" s="6">
        <f t="shared" si="415"/>
        <v>1.1363636363636362</v>
      </c>
    </row>
    <row r="9888" spans="1:11" hidden="1">
      <c r="A9888" s="4">
        <v>2026</v>
      </c>
      <c r="B9888">
        <v>39</v>
      </c>
      <c r="C9888" t="s">
        <v>54</v>
      </c>
      <c r="D9888" t="s">
        <v>11</v>
      </c>
      <c r="E9888" t="s">
        <v>91</v>
      </c>
      <c r="F9888" t="s">
        <v>74</v>
      </c>
      <c r="G9888" t="str">
        <f t="shared" si="416"/>
        <v>013VENDELA</v>
      </c>
      <c r="H9888" s="5">
        <v>8730</v>
      </c>
      <c r="I9888" s="6">
        <v>3603.6</v>
      </c>
      <c r="J9888" s="5">
        <v>27296</v>
      </c>
      <c r="K9888" s="6">
        <f t="shared" si="415"/>
        <v>2.4225774225774228</v>
      </c>
    </row>
    <row r="9889" spans="1:11" hidden="1">
      <c r="A9889" s="4">
        <v>2026</v>
      </c>
      <c r="B9889">
        <v>39</v>
      </c>
      <c r="C9889" t="s">
        <v>54</v>
      </c>
      <c r="D9889" t="s">
        <v>11</v>
      </c>
      <c r="E9889" t="s">
        <v>23</v>
      </c>
      <c r="F9889" t="s">
        <v>89</v>
      </c>
      <c r="G9889" t="str">
        <f t="shared" si="416"/>
        <v>014STARDUST</v>
      </c>
      <c r="H9889" s="5">
        <v>4450</v>
      </c>
      <c r="I9889" s="6">
        <v>3682.8</v>
      </c>
      <c r="J9889" s="5">
        <v>27900</v>
      </c>
      <c r="K9889" s="6">
        <f t="shared" si="415"/>
        <v>1.2083197567068533</v>
      </c>
    </row>
    <row r="9890" spans="1:11" hidden="1">
      <c r="A9890" s="4">
        <v>2026</v>
      </c>
      <c r="B9890">
        <v>39</v>
      </c>
      <c r="C9890" t="s">
        <v>54</v>
      </c>
      <c r="D9890" t="s">
        <v>11</v>
      </c>
      <c r="E9890" t="s">
        <v>25</v>
      </c>
      <c r="F9890" t="s">
        <v>68</v>
      </c>
      <c r="G9890" t="str">
        <f t="shared" si="416"/>
        <v>015JOCKER</v>
      </c>
      <c r="H9890" s="5">
        <v>3300</v>
      </c>
      <c r="I9890" s="6">
        <v>2376</v>
      </c>
      <c r="J9890" s="5">
        <v>18000</v>
      </c>
      <c r="K9890" s="6">
        <f t="shared" si="415"/>
        <v>1.3888888888888888</v>
      </c>
    </row>
    <row r="9891" spans="1:11" hidden="1">
      <c r="A9891" s="4">
        <v>2026</v>
      </c>
      <c r="B9891">
        <v>39</v>
      </c>
      <c r="C9891" t="s">
        <v>54</v>
      </c>
      <c r="D9891" t="s">
        <v>11</v>
      </c>
      <c r="E9891" t="s">
        <v>27</v>
      </c>
      <c r="F9891" t="s">
        <v>94</v>
      </c>
      <c r="G9891" t="str">
        <f t="shared" si="416"/>
        <v>016DREAM IN PEACH</v>
      </c>
      <c r="H9891" s="5">
        <v>1350</v>
      </c>
      <c r="I9891" s="6">
        <v>950.4</v>
      </c>
      <c r="J9891" s="5">
        <v>7200</v>
      </c>
      <c r="K9891" s="6">
        <f t="shared" si="415"/>
        <v>1.4204545454545454</v>
      </c>
    </row>
    <row r="9892" spans="1:11" hidden="1">
      <c r="A9892" s="4">
        <v>2026</v>
      </c>
      <c r="B9892">
        <v>39</v>
      </c>
      <c r="C9892" t="s">
        <v>54</v>
      </c>
      <c r="D9892" t="s">
        <v>11</v>
      </c>
      <c r="E9892" t="s">
        <v>27</v>
      </c>
      <c r="F9892" t="s">
        <v>95</v>
      </c>
      <c r="G9892" t="str">
        <f t="shared" si="416"/>
        <v>016NINA</v>
      </c>
      <c r="H9892" s="5">
        <v>1375</v>
      </c>
      <c r="I9892" s="6">
        <v>1346.4</v>
      </c>
      <c r="J9892" s="5">
        <v>10200</v>
      </c>
      <c r="K9892" s="6">
        <f t="shared" si="415"/>
        <v>1.0212418300653594</v>
      </c>
    </row>
    <row r="9893" spans="1:11" hidden="1">
      <c r="A9893" s="4">
        <v>2026</v>
      </c>
      <c r="B9893">
        <v>39</v>
      </c>
      <c r="C9893" t="s">
        <v>54</v>
      </c>
      <c r="D9893" t="s">
        <v>11</v>
      </c>
      <c r="E9893" t="s">
        <v>30</v>
      </c>
      <c r="F9893" t="s">
        <v>81</v>
      </c>
      <c r="G9893" t="str">
        <f t="shared" si="416"/>
        <v>017FREEDOM</v>
      </c>
      <c r="H9893" s="5">
        <v>4800</v>
      </c>
      <c r="I9893" s="6">
        <v>2851.2</v>
      </c>
      <c r="J9893" s="5">
        <v>21600</v>
      </c>
      <c r="K9893" s="6">
        <f t="shared" si="415"/>
        <v>1.6835016835016836</v>
      </c>
    </row>
    <row r="9894" spans="1:11" hidden="1">
      <c r="A9894" s="4">
        <v>2026</v>
      </c>
      <c r="B9894">
        <v>39</v>
      </c>
      <c r="C9894" t="s">
        <v>54</v>
      </c>
      <c r="D9894" t="s">
        <v>11</v>
      </c>
      <c r="E9894" t="s">
        <v>30</v>
      </c>
      <c r="F9894" t="s">
        <v>73</v>
      </c>
      <c r="G9894" t="str">
        <f t="shared" si="416"/>
        <v>017GOLDFINCH</v>
      </c>
      <c r="H9894" s="5">
        <v>2700</v>
      </c>
      <c r="I9894" s="6">
        <v>2138.4</v>
      </c>
      <c r="J9894" s="5">
        <v>16200</v>
      </c>
      <c r="K9894" s="6">
        <f t="shared" si="415"/>
        <v>1.2626262626262625</v>
      </c>
    </row>
    <row r="9895" spans="1:11" hidden="1">
      <c r="A9895" s="4">
        <v>2026</v>
      </c>
      <c r="B9895">
        <v>39</v>
      </c>
      <c r="C9895" t="s">
        <v>54</v>
      </c>
      <c r="D9895" t="s">
        <v>11</v>
      </c>
      <c r="E9895" t="s">
        <v>32</v>
      </c>
      <c r="F9895" t="s">
        <v>86</v>
      </c>
      <c r="G9895" t="str">
        <f t="shared" si="416"/>
        <v>018BRIGHTON</v>
      </c>
      <c r="H9895" s="5">
        <v>2000</v>
      </c>
      <c r="I9895" s="6">
        <v>963.6</v>
      </c>
      <c r="J9895" s="5">
        <v>7570</v>
      </c>
      <c r="K9895" s="6">
        <f t="shared" si="415"/>
        <v>2.0755500207555002</v>
      </c>
    </row>
    <row r="9896" spans="1:11" hidden="1">
      <c r="A9896" s="4">
        <v>2026</v>
      </c>
      <c r="B9896">
        <v>39</v>
      </c>
      <c r="C9896" t="s">
        <v>54</v>
      </c>
      <c r="D9896" t="s">
        <v>11</v>
      </c>
      <c r="E9896" t="s">
        <v>35</v>
      </c>
      <c r="F9896" t="s">
        <v>86</v>
      </c>
      <c r="G9896" t="str">
        <f t="shared" si="416"/>
        <v>019BRIGHTON</v>
      </c>
      <c r="H9896" s="5">
        <v>6050</v>
      </c>
      <c r="I9896" s="6">
        <v>3168</v>
      </c>
      <c r="J9896" s="5">
        <v>24000</v>
      </c>
      <c r="K9896" s="6">
        <f t="shared" si="415"/>
        <v>1.9097222222222223</v>
      </c>
    </row>
    <row r="9897" spans="1:11" hidden="1">
      <c r="A9897" s="4">
        <v>2026</v>
      </c>
      <c r="B9897">
        <v>39</v>
      </c>
      <c r="C9897" t="s">
        <v>54</v>
      </c>
      <c r="D9897" t="s">
        <v>11</v>
      </c>
      <c r="E9897" t="s">
        <v>35</v>
      </c>
      <c r="F9897" t="s">
        <v>96</v>
      </c>
      <c r="G9897" t="str">
        <f t="shared" si="416"/>
        <v>019TABATHA</v>
      </c>
      <c r="H9897" s="5">
        <v>2490</v>
      </c>
      <c r="I9897" s="6">
        <v>1188</v>
      </c>
      <c r="J9897" s="5">
        <v>9000</v>
      </c>
      <c r="K9897" s="6">
        <f t="shared" si="415"/>
        <v>2.095959595959596</v>
      </c>
    </row>
    <row r="9898" spans="1:11" hidden="1">
      <c r="A9898" s="4">
        <v>2026</v>
      </c>
      <c r="B9898">
        <v>39</v>
      </c>
      <c r="C9898" t="s">
        <v>54</v>
      </c>
      <c r="D9898" t="s">
        <v>11</v>
      </c>
      <c r="E9898" t="s">
        <v>36</v>
      </c>
      <c r="F9898" t="s">
        <v>86</v>
      </c>
      <c r="G9898" t="str">
        <f t="shared" si="416"/>
        <v>020BRIGHTON</v>
      </c>
      <c r="H9898" s="5">
        <v>4400</v>
      </c>
      <c r="I9898" s="6">
        <v>2732.4</v>
      </c>
      <c r="J9898" s="5">
        <v>20700</v>
      </c>
      <c r="K9898" s="6">
        <f t="shared" si="415"/>
        <v>1.6103059581320451</v>
      </c>
    </row>
    <row r="9899" spans="1:11" hidden="1">
      <c r="A9899" s="4">
        <v>2026</v>
      </c>
      <c r="B9899">
        <v>39</v>
      </c>
      <c r="C9899" t="s">
        <v>54</v>
      </c>
      <c r="D9899" t="s">
        <v>11</v>
      </c>
      <c r="E9899" t="s">
        <v>36</v>
      </c>
      <c r="F9899" t="s">
        <v>97</v>
      </c>
      <c r="G9899" t="str">
        <f t="shared" si="416"/>
        <v>020TYCOON</v>
      </c>
      <c r="H9899" s="5">
        <v>1260</v>
      </c>
      <c r="I9899" s="6">
        <v>673.2</v>
      </c>
      <c r="J9899" s="5">
        <v>5100</v>
      </c>
      <c r="K9899" s="6">
        <f t="shared" si="415"/>
        <v>1.8716577540106951</v>
      </c>
    </row>
    <row r="9900" spans="1:11" hidden="1">
      <c r="A9900" s="4">
        <v>2026</v>
      </c>
      <c r="B9900">
        <v>39</v>
      </c>
      <c r="C9900" t="s">
        <v>54</v>
      </c>
      <c r="D9900" t="s">
        <v>11</v>
      </c>
      <c r="E9900" t="s">
        <v>38</v>
      </c>
      <c r="F9900" t="s">
        <v>98</v>
      </c>
      <c r="G9900" t="str">
        <f t="shared" si="416"/>
        <v>021SHOW GIRL</v>
      </c>
      <c r="H9900" s="5">
        <v>2000</v>
      </c>
      <c r="I9900" s="6">
        <v>1100.4749999999999</v>
      </c>
      <c r="J9900" s="5">
        <v>8000</v>
      </c>
      <c r="K9900" s="6">
        <f t="shared" si="415"/>
        <v>1.8173970330993436</v>
      </c>
    </row>
    <row r="9901" spans="1:11" hidden="1">
      <c r="A9901" s="4">
        <v>2026</v>
      </c>
      <c r="B9901">
        <v>39</v>
      </c>
      <c r="C9901" t="s">
        <v>54</v>
      </c>
      <c r="D9901" t="s">
        <v>11</v>
      </c>
      <c r="E9901" t="s">
        <v>43</v>
      </c>
      <c r="F9901" t="s">
        <v>99</v>
      </c>
      <c r="G9901" t="str">
        <f t="shared" si="416"/>
        <v>022CORAL REEF</v>
      </c>
      <c r="H9901" s="5">
        <v>2750</v>
      </c>
      <c r="I9901" s="6">
        <v>1287</v>
      </c>
      <c r="J9901" s="5">
        <v>9400</v>
      </c>
      <c r="K9901" s="6">
        <f t="shared" si="415"/>
        <v>2.1367521367521367</v>
      </c>
    </row>
    <row r="9902" spans="1:11" hidden="1">
      <c r="A9902" s="4">
        <v>2026</v>
      </c>
      <c r="B9902">
        <v>39</v>
      </c>
      <c r="C9902" t="s">
        <v>54</v>
      </c>
      <c r="D9902" t="s">
        <v>11</v>
      </c>
      <c r="E9902" t="s">
        <v>100</v>
      </c>
      <c r="F9902" t="s">
        <v>70</v>
      </c>
      <c r="G9902" t="str">
        <f t="shared" si="416"/>
        <v>023COTOPAXI</v>
      </c>
      <c r="H9902" s="5">
        <v>6540</v>
      </c>
      <c r="I9902" s="6">
        <v>2641.14</v>
      </c>
      <c r="J9902" s="5">
        <v>19200</v>
      </c>
      <c r="K9902" s="6">
        <f t="shared" si="415"/>
        <v>2.4762034575978555</v>
      </c>
    </row>
    <row r="9903" spans="1:11" hidden="1">
      <c r="A9903" s="4">
        <v>2026</v>
      </c>
      <c r="B9903">
        <v>39</v>
      </c>
      <c r="C9903" t="s">
        <v>54</v>
      </c>
      <c r="D9903" t="s">
        <v>11</v>
      </c>
      <c r="E9903" t="s">
        <v>100</v>
      </c>
      <c r="F9903" t="s">
        <v>101</v>
      </c>
      <c r="G9903" t="str">
        <f t="shared" si="416"/>
        <v>023FRUTTETO</v>
      </c>
      <c r="H9903" s="5">
        <v>4590</v>
      </c>
      <c r="I9903" s="6">
        <v>2641.14</v>
      </c>
      <c r="J9903" s="5">
        <v>19200</v>
      </c>
      <c r="K9903" s="6">
        <f t="shared" si="415"/>
        <v>1.7378859129012472</v>
      </c>
    </row>
    <row r="9904" spans="1:11" hidden="1">
      <c r="A9904" s="4">
        <v>2026</v>
      </c>
      <c r="B9904">
        <v>39</v>
      </c>
      <c r="C9904" t="s">
        <v>54</v>
      </c>
      <c r="D9904" t="s">
        <v>11</v>
      </c>
      <c r="E9904" t="s">
        <v>102</v>
      </c>
      <c r="F9904" t="s">
        <v>70</v>
      </c>
      <c r="G9904" t="str">
        <f t="shared" si="416"/>
        <v>024COTOPAXI</v>
      </c>
      <c r="H9904" s="5">
        <v>4380</v>
      </c>
      <c r="I9904" s="6">
        <v>1430.6174906250001</v>
      </c>
      <c r="J9904" s="5">
        <v>10400</v>
      </c>
      <c r="K9904" s="6">
        <f t="shared" si="415"/>
        <v>3.0616150219766225</v>
      </c>
    </row>
    <row r="9905" spans="1:11" hidden="1">
      <c r="A9905" s="4">
        <v>2026</v>
      </c>
      <c r="B9905">
        <v>39</v>
      </c>
      <c r="C9905" t="s">
        <v>54</v>
      </c>
      <c r="D9905" t="s">
        <v>11</v>
      </c>
      <c r="E9905" t="s">
        <v>102</v>
      </c>
      <c r="F9905" t="s">
        <v>64</v>
      </c>
      <c r="G9905" t="str">
        <f t="shared" si="416"/>
        <v>024SWEETNESS</v>
      </c>
      <c r="H9905" s="5">
        <v>3180</v>
      </c>
      <c r="I9905" s="6">
        <v>1430.6175000000001</v>
      </c>
      <c r="J9905" s="5">
        <v>10400</v>
      </c>
      <c r="K9905" s="6">
        <f t="shared" si="415"/>
        <v>2.2228163712522737</v>
      </c>
    </row>
    <row r="9906" spans="1:11" hidden="1">
      <c r="A9906" s="4">
        <v>2026</v>
      </c>
      <c r="B9906">
        <v>39</v>
      </c>
      <c r="C9906" t="s">
        <v>54</v>
      </c>
      <c r="D9906" t="s">
        <v>11</v>
      </c>
      <c r="E9906" t="s">
        <v>102</v>
      </c>
      <c r="F9906" t="s">
        <v>97</v>
      </c>
      <c r="G9906" t="str">
        <f t="shared" si="416"/>
        <v>024TYCOON</v>
      </c>
      <c r="H9906" s="5">
        <v>6090</v>
      </c>
      <c r="I9906" s="6">
        <v>2861.2350000000001</v>
      </c>
      <c r="J9906" s="5">
        <v>20800</v>
      </c>
      <c r="K9906" s="6">
        <f t="shared" si="415"/>
        <v>2.1284515253028848</v>
      </c>
    </row>
    <row r="9907" spans="1:11" hidden="1">
      <c r="A9907" s="4">
        <v>2026</v>
      </c>
      <c r="B9907">
        <v>39</v>
      </c>
      <c r="C9907" t="s">
        <v>54</v>
      </c>
      <c r="D9907" t="s">
        <v>11</v>
      </c>
      <c r="E9907" t="s">
        <v>103</v>
      </c>
      <c r="F9907" t="s">
        <v>104</v>
      </c>
      <c r="G9907" t="str">
        <f t="shared" si="416"/>
        <v>025PINK MONDIAL</v>
      </c>
      <c r="H9907" s="5">
        <v>5975</v>
      </c>
      <c r="I9907" s="6">
        <v>3071.9505625000002</v>
      </c>
      <c r="J9907" s="5">
        <v>22400</v>
      </c>
      <c r="K9907" s="6">
        <f t="shared" si="415"/>
        <v>1.9450182802217539</v>
      </c>
    </row>
    <row r="9908" spans="1:11" hidden="1">
      <c r="A9908" s="4">
        <v>2026</v>
      </c>
      <c r="B9908">
        <v>39</v>
      </c>
      <c r="C9908" t="s">
        <v>54</v>
      </c>
      <c r="D9908" t="s">
        <v>11</v>
      </c>
      <c r="E9908" t="s">
        <v>45</v>
      </c>
      <c r="F9908" t="s">
        <v>105</v>
      </c>
      <c r="G9908" t="str">
        <f t="shared" si="416"/>
        <v>026LOLA</v>
      </c>
      <c r="H9908" s="5">
        <v>4125</v>
      </c>
      <c r="I9908" s="6">
        <v>1097.125</v>
      </c>
      <c r="J9908" s="5">
        <v>8000</v>
      </c>
      <c r="K9908" s="6">
        <f t="shared" si="415"/>
        <v>3.7598268200979832</v>
      </c>
    </row>
    <row r="9909" spans="1:11" hidden="1">
      <c r="A9909" s="4">
        <v>2026</v>
      </c>
      <c r="B9909">
        <v>39</v>
      </c>
      <c r="C9909" t="s">
        <v>54</v>
      </c>
      <c r="D9909" t="s">
        <v>11</v>
      </c>
      <c r="E9909" t="s">
        <v>45</v>
      </c>
      <c r="F9909" t="s">
        <v>106</v>
      </c>
      <c r="G9909" t="str">
        <f t="shared" si="416"/>
        <v>026PALOMA</v>
      </c>
      <c r="H9909" s="5">
        <v>5150</v>
      </c>
      <c r="I9909" s="6">
        <v>2852.5250000000001</v>
      </c>
      <c r="J9909" s="5">
        <v>20800</v>
      </c>
      <c r="K9909" s="6">
        <f t="shared" si="415"/>
        <v>1.805418006853577</v>
      </c>
    </row>
    <row r="9910" spans="1:11" hidden="1">
      <c r="A9910" s="4">
        <v>2026</v>
      </c>
      <c r="B9910">
        <v>39</v>
      </c>
      <c r="C9910" t="s">
        <v>54</v>
      </c>
      <c r="D9910" t="s">
        <v>11</v>
      </c>
      <c r="E9910" t="s">
        <v>107</v>
      </c>
      <c r="F9910" t="s">
        <v>108</v>
      </c>
      <c r="G9910" t="str">
        <f t="shared" si="416"/>
        <v>027SATISFACTION</v>
      </c>
      <c r="H9910" s="5">
        <v>5970</v>
      </c>
      <c r="I9910" s="6">
        <v>2633.1</v>
      </c>
      <c r="J9910" s="5">
        <v>19200</v>
      </c>
      <c r="K9910" s="6">
        <f t="shared" si="415"/>
        <v>2.2672895066651475</v>
      </c>
    </row>
    <row r="9911" spans="1:11" hidden="1">
      <c r="A9911" s="4">
        <v>2026</v>
      </c>
      <c r="B9911">
        <v>39</v>
      </c>
      <c r="C9911" t="s">
        <v>54</v>
      </c>
      <c r="D9911" t="s">
        <v>11</v>
      </c>
      <c r="E9911" t="s">
        <v>107</v>
      </c>
      <c r="F9911" t="s">
        <v>109</v>
      </c>
      <c r="G9911" t="str">
        <f t="shared" si="416"/>
        <v>027TIFFANY</v>
      </c>
      <c r="H9911" s="5">
        <v>6210</v>
      </c>
      <c r="I9911" s="6">
        <v>2633.1</v>
      </c>
      <c r="J9911" s="5">
        <v>19200</v>
      </c>
      <c r="K9911" s="6">
        <f t="shared" si="415"/>
        <v>2.358436823516008</v>
      </c>
    </row>
    <row r="9912" spans="1:11" hidden="1">
      <c r="A9912" s="4">
        <v>2026</v>
      </c>
      <c r="B9912">
        <v>39</v>
      </c>
      <c r="C9912" t="s">
        <v>54</v>
      </c>
      <c r="D9912" t="s">
        <v>11</v>
      </c>
      <c r="E9912" t="s">
        <v>110</v>
      </c>
      <c r="F9912" t="s">
        <v>70</v>
      </c>
      <c r="G9912" t="str">
        <f t="shared" si="416"/>
        <v>028COTOPAXI</v>
      </c>
      <c r="H9912" s="5">
        <v>7050</v>
      </c>
      <c r="I9912" s="6">
        <v>2852.5250000000001</v>
      </c>
      <c r="J9912" s="5">
        <v>20800</v>
      </c>
      <c r="K9912" s="6">
        <f t="shared" si="415"/>
        <v>2.4714945530714014</v>
      </c>
    </row>
    <row r="9913" spans="1:11" hidden="1">
      <c r="A9913" s="4">
        <v>2026</v>
      </c>
      <c r="B9913">
        <v>39</v>
      </c>
      <c r="C9913" t="s">
        <v>54</v>
      </c>
      <c r="D9913" t="s">
        <v>11</v>
      </c>
      <c r="E9913" t="s">
        <v>110</v>
      </c>
      <c r="F9913" t="s">
        <v>67</v>
      </c>
      <c r="G9913" t="str">
        <f t="shared" si="416"/>
        <v>028DEEP PURPLE</v>
      </c>
      <c r="H9913" s="5">
        <v>6330</v>
      </c>
      <c r="I9913" s="6">
        <v>2852.5250000000001</v>
      </c>
      <c r="J9913" s="5">
        <v>20800</v>
      </c>
      <c r="K9913" s="6">
        <f t="shared" ref="K9913:K9950" si="417">+H9913/I9913</f>
        <v>2.2190865987151733</v>
      </c>
    </row>
    <row r="9914" spans="1:11" hidden="1">
      <c r="A9914" s="4">
        <v>2026</v>
      </c>
      <c r="B9914">
        <v>39</v>
      </c>
      <c r="C9914" t="s">
        <v>54</v>
      </c>
      <c r="D9914" t="s">
        <v>11</v>
      </c>
      <c r="E9914" t="s">
        <v>111</v>
      </c>
      <c r="F9914" t="s">
        <v>112</v>
      </c>
      <c r="G9914" t="str">
        <f t="shared" si="416"/>
        <v>029PINK FLOYD</v>
      </c>
      <c r="H9914" s="5">
        <v>3275</v>
      </c>
      <c r="I9914" s="6">
        <v>3071.95</v>
      </c>
      <c r="J9914" s="5">
        <v>22400</v>
      </c>
      <c r="K9914" s="6">
        <f t="shared" si="417"/>
        <v>1.0660980810234542</v>
      </c>
    </row>
    <row r="9915" spans="1:11" hidden="1">
      <c r="A9915" s="4">
        <v>2026</v>
      </c>
      <c r="B9915">
        <v>39</v>
      </c>
      <c r="C9915" t="s">
        <v>54</v>
      </c>
      <c r="D9915" t="s">
        <v>11</v>
      </c>
      <c r="E9915" t="s">
        <v>47</v>
      </c>
      <c r="F9915" t="s">
        <v>57</v>
      </c>
      <c r="G9915" t="str">
        <f t="shared" si="416"/>
        <v>030EXPLORER</v>
      </c>
      <c r="H9915" s="5">
        <v>1850</v>
      </c>
      <c r="I9915" s="6">
        <v>1645.6875</v>
      </c>
      <c r="J9915" s="5">
        <v>12000</v>
      </c>
      <c r="K9915" s="6">
        <f t="shared" si="417"/>
        <v>1.1241502411606092</v>
      </c>
    </row>
    <row r="9916" spans="1:11">
      <c r="A9916" s="4">
        <v>2026</v>
      </c>
      <c r="B9916">
        <v>40</v>
      </c>
      <c r="C9916" t="s">
        <v>10</v>
      </c>
      <c r="D9916" t="s">
        <v>11</v>
      </c>
      <c r="E9916" t="s">
        <v>12</v>
      </c>
      <c r="F9916" t="s">
        <v>13</v>
      </c>
      <c r="G9916" t="str">
        <f t="shared" si="416"/>
        <v>002SOMERSET</v>
      </c>
      <c r="H9916" s="5">
        <v>9700</v>
      </c>
      <c r="I9916" s="6">
        <v>4121.4642855494085</v>
      </c>
      <c r="J9916" s="5">
        <v>31200</v>
      </c>
      <c r="K9916" s="6">
        <f t="shared" si="417"/>
        <v>2.3535324651507805</v>
      </c>
    </row>
    <row r="9917" spans="1:11">
      <c r="A9917" s="4">
        <v>2026</v>
      </c>
      <c r="B9917">
        <v>40</v>
      </c>
      <c r="C9917" t="s">
        <v>10</v>
      </c>
      <c r="D9917" t="s">
        <v>11</v>
      </c>
      <c r="E9917" t="s">
        <v>14</v>
      </c>
      <c r="F9917" t="s">
        <v>15</v>
      </c>
      <c r="G9917" t="str">
        <f t="shared" si="416"/>
        <v>004BELLINA</v>
      </c>
      <c r="H9917" s="5">
        <v>2040</v>
      </c>
      <c r="I9917" s="6">
        <v>1056.7857142434418</v>
      </c>
      <c r="J9917" s="5">
        <v>8000</v>
      </c>
      <c r="K9917" s="6">
        <f t="shared" si="417"/>
        <v>1.9303818858494375</v>
      </c>
    </row>
    <row r="9918" spans="1:11">
      <c r="A9918" s="4">
        <v>2026</v>
      </c>
      <c r="B9918">
        <v>40</v>
      </c>
      <c r="C9918" t="s">
        <v>10</v>
      </c>
      <c r="D9918" t="s">
        <v>11</v>
      </c>
      <c r="E9918" t="s">
        <v>16</v>
      </c>
      <c r="F9918" t="s">
        <v>17</v>
      </c>
      <c r="G9918" t="str">
        <f t="shared" si="416"/>
        <v>005ELBA</v>
      </c>
      <c r="H9918" s="5">
        <v>7140</v>
      </c>
      <c r="I9918" s="6">
        <v>2641.9642856076484</v>
      </c>
      <c r="J9918" s="5">
        <v>19996</v>
      </c>
      <c r="K9918" s="6">
        <f t="shared" si="417"/>
        <v>2.7025346401901906</v>
      </c>
    </row>
    <row r="9919" spans="1:11">
      <c r="A9919" s="4">
        <v>2026</v>
      </c>
      <c r="B9919">
        <v>40</v>
      </c>
      <c r="C9919" t="s">
        <v>10</v>
      </c>
      <c r="D9919" t="s">
        <v>11</v>
      </c>
      <c r="E9919" t="s">
        <v>16</v>
      </c>
      <c r="F9919" t="s">
        <v>18</v>
      </c>
      <c r="G9919" t="str">
        <f t="shared" si="416"/>
        <v>005HOT BUBBLES</v>
      </c>
      <c r="H9919" s="5">
        <v>1100</v>
      </c>
      <c r="I9919" s="6">
        <v>528.39285712153003</v>
      </c>
      <c r="J9919" s="5">
        <v>4000</v>
      </c>
      <c r="K9919" s="6">
        <f t="shared" si="417"/>
        <v>2.0817843867011256</v>
      </c>
    </row>
    <row r="9920" spans="1:11">
      <c r="A9920" s="4">
        <v>2026</v>
      </c>
      <c r="B9920">
        <v>40</v>
      </c>
      <c r="C9920" t="s">
        <v>10</v>
      </c>
      <c r="D9920" t="s">
        <v>11</v>
      </c>
      <c r="E9920" t="s">
        <v>16</v>
      </c>
      <c r="F9920" t="s">
        <v>19</v>
      </c>
      <c r="G9920" t="str">
        <f t="shared" si="416"/>
        <v>005SUSPIRO</v>
      </c>
      <c r="H9920" s="5">
        <v>4080</v>
      </c>
      <c r="I9920" s="6">
        <v>1902.2142856375078</v>
      </c>
      <c r="J9920" s="5">
        <v>14400</v>
      </c>
      <c r="K9920" s="6">
        <f t="shared" si="417"/>
        <v>2.1448687620557059</v>
      </c>
    </row>
    <row r="9921" spans="1:11">
      <c r="A9921" s="4">
        <v>2026</v>
      </c>
      <c r="B9921">
        <v>40</v>
      </c>
      <c r="C9921" t="s">
        <v>10</v>
      </c>
      <c r="D9921" t="s">
        <v>11</v>
      </c>
      <c r="E9921" t="s">
        <v>22</v>
      </c>
      <c r="F9921" t="s">
        <v>18</v>
      </c>
      <c r="G9921" t="str">
        <f t="shared" si="416"/>
        <v>009HOT BUBBLES</v>
      </c>
      <c r="H9921" s="5">
        <v>9600</v>
      </c>
      <c r="I9921" s="6">
        <v>4487.9999999102474</v>
      </c>
      <c r="J9921" s="5">
        <v>31740</v>
      </c>
      <c r="K9921" s="6">
        <f t="shared" si="417"/>
        <v>2.1390374331978572</v>
      </c>
    </row>
    <row r="9922" spans="1:11">
      <c r="A9922" s="4">
        <v>2026</v>
      </c>
      <c r="B9922">
        <v>40</v>
      </c>
      <c r="C9922" t="s">
        <v>10</v>
      </c>
      <c r="D9922" t="s">
        <v>11</v>
      </c>
      <c r="E9922" t="s">
        <v>23</v>
      </c>
      <c r="F9922" t="s">
        <v>24</v>
      </c>
      <c r="G9922" t="str">
        <f t="shared" si="416"/>
        <v>014FRUITY BUBBLES</v>
      </c>
      <c r="H9922" s="5">
        <v>3375</v>
      </c>
      <c r="I9922" s="6">
        <v>1702.8</v>
      </c>
      <c r="J9922" s="5">
        <v>12900</v>
      </c>
      <c r="K9922" s="6">
        <f t="shared" si="417"/>
        <v>1.9820295983086682</v>
      </c>
    </row>
    <row r="9923" spans="1:11">
      <c r="A9923" s="4">
        <v>2026</v>
      </c>
      <c r="B9923">
        <v>40</v>
      </c>
      <c r="C9923" t="s">
        <v>10</v>
      </c>
      <c r="D9923" t="s">
        <v>11</v>
      </c>
      <c r="E9923" t="s">
        <v>25</v>
      </c>
      <c r="F9923" t="s">
        <v>26</v>
      </c>
      <c r="G9923" t="str">
        <f t="shared" si="416"/>
        <v>015FELLINI</v>
      </c>
      <c r="H9923" s="5">
        <v>5420</v>
      </c>
      <c r="I9923" s="6">
        <v>3009.6</v>
      </c>
      <c r="J9923" s="5">
        <v>22800</v>
      </c>
      <c r="K9923" s="6">
        <f t="shared" si="417"/>
        <v>1.8009037745879852</v>
      </c>
    </row>
    <row r="9924" spans="1:11">
      <c r="A9924" s="4">
        <v>2026</v>
      </c>
      <c r="B9924">
        <v>40</v>
      </c>
      <c r="C9924" t="s">
        <v>10</v>
      </c>
      <c r="D9924" t="s">
        <v>11</v>
      </c>
      <c r="E9924" t="s">
        <v>27</v>
      </c>
      <c r="F9924" t="s">
        <v>28</v>
      </c>
      <c r="G9924" t="str">
        <f t="shared" si="416"/>
        <v>016GOOD PEACH</v>
      </c>
      <c r="H9924" s="5">
        <v>3990</v>
      </c>
      <c r="I9924" s="6">
        <v>1386</v>
      </c>
      <c r="J9924" s="5">
        <v>10500</v>
      </c>
      <c r="K9924" s="6">
        <f t="shared" si="417"/>
        <v>2.8787878787878789</v>
      </c>
    </row>
    <row r="9925" spans="1:11">
      <c r="A9925" s="4">
        <v>2026</v>
      </c>
      <c r="B9925">
        <v>40</v>
      </c>
      <c r="C9925" t="s">
        <v>10</v>
      </c>
      <c r="D9925" t="s">
        <v>11</v>
      </c>
      <c r="E9925" t="s">
        <v>27</v>
      </c>
      <c r="F9925" t="s">
        <v>29</v>
      </c>
      <c r="G9925" t="str">
        <f t="shared" si="416"/>
        <v>016GOOD YELLOW</v>
      </c>
      <c r="H9925" s="5">
        <v>3210</v>
      </c>
      <c r="I9925" s="6">
        <v>1386</v>
      </c>
      <c r="J9925" s="5">
        <v>10500</v>
      </c>
      <c r="K9925" s="6">
        <f t="shared" si="417"/>
        <v>2.3160173160173159</v>
      </c>
    </row>
    <row r="9926" spans="1:11">
      <c r="A9926" s="4">
        <v>2026</v>
      </c>
      <c r="B9926">
        <v>40</v>
      </c>
      <c r="C9926" t="s">
        <v>10</v>
      </c>
      <c r="D9926" t="s">
        <v>11</v>
      </c>
      <c r="E9926" t="s">
        <v>30</v>
      </c>
      <c r="F9926" t="s">
        <v>31</v>
      </c>
      <c r="G9926" t="str">
        <f t="shared" ref="G9926:G9989" si="418">+E9926&amp;F9926</f>
        <v>017ORANGE STAR</v>
      </c>
      <c r="H9926" s="5">
        <v>1800</v>
      </c>
      <c r="I9926" s="6">
        <v>1029.5999999999999</v>
      </c>
      <c r="J9926" s="5">
        <v>7800</v>
      </c>
      <c r="K9926" s="6">
        <f t="shared" si="417"/>
        <v>1.7482517482517483</v>
      </c>
    </row>
    <row r="9927" spans="1:11">
      <c r="A9927" s="4">
        <v>2026</v>
      </c>
      <c r="B9927">
        <v>40</v>
      </c>
      <c r="C9927" t="s">
        <v>10</v>
      </c>
      <c r="D9927" t="s">
        <v>11</v>
      </c>
      <c r="E9927" t="s">
        <v>32</v>
      </c>
      <c r="F9927" t="s">
        <v>33</v>
      </c>
      <c r="G9927" t="str">
        <f t="shared" si="418"/>
        <v>018COSMO</v>
      </c>
      <c r="H9927" s="5">
        <v>3825</v>
      </c>
      <c r="I9927" s="6">
        <v>2653.2</v>
      </c>
      <c r="J9927" s="5">
        <v>20100</v>
      </c>
      <c r="K9927" s="6">
        <f t="shared" si="417"/>
        <v>1.4416553595658075</v>
      </c>
    </row>
    <row r="9928" spans="1:11">
      <c r="A9928" s="4">
        <v>2026</v>
      </c>
      <c r="B9928">
        <v>40</v>
      </c>
      <c r="C9928" t="s">
        <v>10</v>
      </c>
      <c r="D9928" t="s">
        <v>11</v>
      </c>
      <c r="E9928" t="s">
        <v>32</v>
      </c>
      <c r="F9928" t="s">
        <v>34</v>
      </c>
      <c r="G9928" t="str">
        <f t="shared" si="418"/>
        <v>018RUBICON</v>
      </c>
      <c r="H9928" s="5">
        <v>3840</v>
      </c>
      <c r="I9928" s="6">
        <v>1768.8</v>
      </c>
      <c r="J9928" s="5">
        <v>13400</v>
      </c>
      <c r="K9928" s="6">
        <f t="shared" si="417"/>
        <v>2.1709633649932156</v>
      </c>
    </row>
    <row r="9929" spans="1:11">
      <c r="A9929" s="4">
        <v>2026</v>
      </c>
      <c r="B9929">
        <v>40</v>
      </c>
      <c r="C9929" t="s">
        <v>10</v>
      </c>
      <c r="D9929" t="s">
        <v>11</v>
      </c>
      <c r="E9929" t="s">
        <v>35</v>
      </c>
      <c r="F9929" t="s">
        <v>15</v>
      </c>
      <c r="G9929" t="str">
        <f t="shared" si="418"/>
        <v>019BELLINA</v>
      </c>
      <c r="H9929" s="5">
        <v>1095</v>
      </c>
      <c r="I9929" s="6">
        <v>1029.5999999999999</v>
      </c>
      <c r="J9929" s="5">
        <v>7800</v>
      </c>
      <c r="K9929" s="6">
        <f t="shared" si="417"/>
        <v>1.0635198135198136</v>
      </c>
    </row>
    <row r="9930" spans="1:11">
      <c r="A9930" s="4">
        <v>2026</v>
      </c>
      <c r="B9930">
        <v>40</v>
      </c>
      <c r="C9930" t="s">
        <v>10</v>
      </c>
      <c r="D9930" t="s">
        <v>11</v>
      </c>
      <c r="E9930" t="s">
        <v>36</v>
      </c>
      <c r="F9930" t="s">
        <v>37</v>
      </c>
      <c r="G9930" t="str">
        <f t="shared" si="418"/>
        <v>020SUMMER DANCE</v>
      </c>
      <c r="H9930" s="5">
        <v>2700</v>
      </c>
      <c r="I9930" s="6">
        <v>1346.4</v>
      </c>
      <c r="J9930" s="5">
        <v>10200</v>
      </c>
      <c r="K9930" s="6">
        <f t="shared" si="417"/>
        <v>2.0053475935828877</v>
      </c>
    </row>
    <row r="9931" spans="1:11">
      <c r="A9931" s="4">
        <v>2026</v>
      </c>
      <c r="B9931">
        <v>40</v>
      </c>
      <c r="C9931" t="s">
        <v>10</v>
      </c>
      <c r="D9931" t="s">
        <v>11</v>
      </c>
      <c r="E9931" t="s">
        <v>38</v>
      </c>
      <c r="F9931" t="s">
        <v>39</v>
      </c>
      <c r="G9931" t="str">
        <f t="shared" si="418"/>
        <v>021ELEGANT ROSEVER</v>
      </c>
      <c r="H9931" s="5">
        <v>930</v>
      </c>
      <c r="I9931" s="6">
        <v>440.18999062500001</v>
      </c>
      <c r="J9931" s="5">
        <v>3200</v>
      </c>
      <c r="K9931" s="6">
        <f t="shared" si="417"/>
        <v>2.1127240959739848</v>
      </c>
    </row>
    <row r="9932" spans="1:11">
      <c r="A9932" s="4">
        <v>2026</v>
      </c>
      <c r="B9932">
        <v>40</v>
      </c>
      <c r="C9932" t="s">
        <v>10</v>
      </c>
      <c r="D9932" t="s">
        <v>11</v>
      </c>
      <c r="E9932" t="s">
        <v>38</v>
      </c>
      <c r="F9932" t="s">
        <v>40</v>
      </c>
      <c r="G9932" t="str">
        <f t="shared" si="418"/>
        <v>021FLAME CLUB</v>
      </c>
      <c r="H9932" s="5">
        <v>1650</v>
      </c>
      <c r="I9932" s="6">
        <v>880.38</v>
      </c>
      <c r="J9932" s="5">
        <v>6400</v>
      </c>
      <c r="K9932" s="6">
        <f t="shared" si="417"/>
        <v>1.874190690383698</v>
      </c>
    </row>
    <row r="9933" spans="1:11">
      <c r="A9933" s="4">
        <v>2026</v>
      </c>
      <c r="B9933">
        <v>40</v>
      </c>
      <c r="C9933" t="s">
        <v>10</v>
      </c>
      <c r="D9933" t="s">
        <v>11</v>
      </c>
      <c r="E9933" t="s">
        <v>38</v>
      </c>
      <c r="F9933" t="s">
        <v>41</v>
      </c>
      <c r="G9933" t="str">
        <f t="shared" si="418"/>
        <v>021KELLY</v>
      </c>
      <c r="H9933" s="5">
        <v>700</v>
      </c>
      <c r="I9933" s="6">
        <v>330.14249999999998</v>
      </c>
      <c r="J9933" s="5">
        <v>2400</v>
      </c>
      <c r="K9933" s="6">
        <f t="shared" si="417"/>
        <v>2.1202965386159009</v>
      </c>
    </row>
    <row r="9934" spans="1:11">
      <c r="A9934" s="4">
        <v>2026</v>
      </c>
      <c r="B9934">
        <v>40</v>
      </c>
      <c r="C9934" t="s">
        <v>10</v>
      </c>
      <c r="D9934" t="s">
        <v>11</v>
      </c>
      <c r="E9934" t="s">
        <v>38</v>
      </c>
      <c r="F9934" t="s">
        <v>42</v>
      </c>
      <c r="G9934" t="str">
        <f t="shared" si="418"/>
        <v>021LEILA</v>
      </c>
      <c r="H9934" s="5">
        <v>2875</v>
      </c>
      <c r="I9934" s="6">
        <v>1430.6175000000001</v>
      </c>
      <c r="J9934" s="5">
        <v>10400</v>
      </c>
      <c r="K9934" s="6">
        <f t="shared" si="417"/>
        <v>2.009621719292543</v>
      </c>
    </row>
    <row r="9935" spans="1:11">
      <c r="A9935" s="4">
        <v>2026</v>
      </c>
      <c r="B9935">
        <v>40</v>
      </c>
      <c r="C9935" t="s">
        <v>10</v>
      </c>
      <c r="D9935" t="s">
        <v>11</v>
      </c>
      <c r="E9935" t="s">
        <v>38</v>
      </c>
      <c r="F9935" t="s">
        <v>115</v>
      </c>
      <c r="G9935" t="str">
        <f t="shared" si="418"/>
        <v>021PISTACHIO KISS</v>
      </c>
      <c r="H9935" s="5">
        <v>0</v>
      </c>
      <c r="I9935" s="6">
        <v>220.095</v>
      </c>
      <c r="J9935" s="5">
        <v>1600</v>
      </c>
      <c r="K9935" s="6">
        <f t="shared" si="417"/>
        <v>0</v>
      </c>
    </row>
    <row r="9936" spans="1:11">
      <c r="A9936" s="4">
        <v>2026</v>
      </c>
      <c r="B9936">
        <v>40</v>
      </c>
      <c r="C9936" t="s">
        <v>10</v>
      </c>
      <c r="D9936" t="s">
        <v>11</v>
      </c>
      <c r="E9936" t="s">
        <v>38</v>
      </c>
      <c r="F9936" t="s">
        <v>21</v>
      </c>
      <c r="G9936" t="str">
        <f t="shared" si="418"/>
        <v>021SNOW BUBBLES</v>
      </c>
      <c r="H9936" s="5">
        <v>2660</v>
      </c>
      <c r="I9936" s="6">
        <v>1287.0000000000018</v>
      </c>
      <c r="J9936" s="5">
        <v>9400</v>
      </c>
      <c r="K9936" s="6">
        <f t="shared" si="417"/>
        <v>2.066822066822064</v>
      </c>
    </row>
    <row r="9937" spans="1:11">
      <c r="A9937" s="4">
        <v>2026</v>
      </c>
      <c r="B9937">
        <v>40</v>
      </c>
      <c r="C9937" t="s">
        <v>10</v>
      </c>
      <c r="D9937" t="s">
        <v>11</v>
      </c>
      <c r="E9937" t="s">
        <v>43</v>
      </c>
      <c r="F9937" t="s">
        <v>24</v>
      </c>
      <c r="G9937" t="str">
        <f t="shared" si="418"/>
        <v>022FRUITY BUBBLES</v>
      </c>
      <c r="H9937" s="5">
        <v>5050</v>
      </c>
      <c r="I9937" s="6">
        <v>2641.14</v>
      </c>
      <c r="J9937" s="5">
        <v>19200</v>
      </c>
      <c r="K9937" s="6">
        <f t="shared" si="417"/>
        <v>1.9120531285732676</v>
      </c>
    </row>
    <row r="9938" spans="1:11">
      <c r="A9938" s="4">
        <v>2026</v>
      </c>
      <c r="B9938">
        <v>40</v>
      </c>
      <c r="C9938" t="s">
        <v>10</v>
      </c>
      <c r="D9938" t="s">
        <v>11</v>
      </c>
      <c r="E9938" t="s">
        <v>43</v>
      </c>
      <c r="F9938" t="s">
        <v>28</v>
      </c>
      <c r="G9938" t="str">
        <f t="shared" si="418"/>
        <v>022GOOD PEACH</v>
      </c>
      <c r="H9938" s="5">
        <v>3330</v>
      </c>
      <c r="I9938" s="6">
        <v>880.38</v>
      </c>
      <c r="J9938" s="5">
        <v>6400</v>
      </c>
      <c r="K9938" s="6">
        <f t="shared" si="417"/>
        <v>3.7824575751380087</v>
      </c>
    </row>
    <row r="9939" spans="1:11">
      <c r="A9939" s="4">
        <v>2026</v>
      </c>
      <c r="B9939">
        <v>40</v>
      </c>
      <c r="C9939" t="s">
        <v>10</v>
      </c>
      <c r="D9939" t="s">
        <v>11</v>
      </c>
      <c r="E9939" t="s">
        <v>43</v>
      </c>
      <c r="F9939" t="s">
        <v>44</v>
      </c>
      <c r="G9939" t="str">
        <f t="shared" si="418"/>
        <v>022MIRABEL</v>
      </c>
      <c r="H9939" s="5">
        <v>3020</v>
      </c>
      <c r="I9939" s="6">
        <v>880.38</v>
      </c>
      <c r="J9939" s="5">
        <v>6400</v>
      </c>
      <c r="K9939" s="6">
        <f t="shared" si="417"/>
        <v>3.430336899975011</v>
      </c>
    </row>
    <row r="9940" spans="1:11">
      <c r="A9940" s="4">
        <v>2026</v>
      </c>
      <c r="B9940">
        <v>40</v>
      </c>
      <c r="C9940" t="s">
        <v>10</v>
      </c>
      <c r="D9940" t="s">
        <v>11</v>
      </c>
      <c r="E9940" t="s">
        <v>45</v>
      </c>
      <c r="F9940" t="s">
        <v>46</v>
      </c>
      <c r="G9940" t="str">
        <f t="shared" si="418"/>
        <v>026PURPLE BUBBLY</v>
      </c>
      <c r="H9940" s="5">
        <v>520</v>
      </c>
      <c r="I9940" s="6">
        <v>1755.4</v>
      </c>
      <c r="J9940" s="5">
        <v>12800</v>
      </c>
      <c r="K9940" s="6">
        <f t="shared" si="417"/>
        <v>0.29622877976529566</v>
      </c>
    </row>
    <row r="9941" spans="1:11">
      <c r="A9941" s="4">
        <v>2026</v>
      </c>
      <c r="B9941">
        <v>40</v>
      </c>
      <c r="C9941" t="s">
        <v>10</v>
      </c>
      <c r="D9941" t="s">
        <v>11</v>
      </c>
      <c r="E9941" t="s">
        <v>47</v>
      </c>
      <c r="F9941" t="s">
        <v>44</v>
      </c>
      <c r="G9941" t="str">
        <f t="shared" si="418"/>
        <v>030MIRABEL</v>
      </c>
      <c r="H9941" s="5">
        <v>6520</v>
      </c>
      <c r="I9941" s="6">
        <v>2413.6749943750001</v>
      </c>
      <c r="J9941" s="5">
        <v>17600</v>
      </c>
      <c r="K9941" s="6">
        <f t="shared" si="417"/>
        <v>2.7012750329661914</v>
      </c>
    </row>
    <row r="9942" spans="1:11">
      <c r="A9942" s="4">
        <v>2026</v>
      </c>
      <c r="B9942">
        <v>40</v>
      </c>
      <c r="C9942" t="s">
        <v>10</v>
      </c>
      <c r="D9942" t="s">
        <v>11</v>
      </c>
      <c r="E9942" t="s">
        <v>47</v>
      </c>
      <c r="F9942" t="s">
        <v>13</v>
      </c>
      <c r="G9942" t="str">
        <f t="shared" si="418"/>
        <v>030SOMERSET</v>
      </c>
      <c r="H9942" s="5">
        <v>1400</v>
      </c>
      <c r="I9942" s="6">
        <v>1645.6875</v>
      </c>
      <c r="J9942" s="5">
        <v>12000</v>
      </c>
      <c r="K9942" s="6">
        <f t="shared" si="417"/>
        <v>0.85070829060802855</v>
      </c>
    </row>
    <row r="9943" spans="1:11">
      <c r="A9943" s="4">
        <v>2026</v>
      </c>
      <c r="B9943">
        <v>40</v>
      </c>
      <c r="C9943" t="s">
        <v>10</v>
      </c>
      <c r="D9943" t="s">
        <v>11</v>
      </c>
      <c r="E9943" t="s">
        <v>48</v>
      </c>
      <c r="F9943" t="s">
        <v>49</v>
      </c>
      <c r="G9943" t="str">
        <f t="shared" si="418"/>
        <v>03182989</v>
      </c>
      <c r="H9943" s="5">
        <v>1680</v>
      </c>
      <c r="I9943" s="6">
        <v>726.32013058333712</v>
      </c>
      <c r="J9943" s="5">
        <v>5712</v>
      </c>
      <c r="K9943" s="6">
        <f t="shared" si="417"/>
        <v>2.313029653536828</v>
      </c>
    </row>
    <row r="9944" spans="1:11">
      <c r="A9944" s="4">
        <v>2026</v>
      </c>
      <c r="B9944">
        <v>40</v>
      </c>
      <c r="C9944" t="s">
        <v>10</v>
      </c>
      <c r="D9944" t="s">
        <v>11</v>
      </c>
      <c r="E9944" t="s">
        <v>48</v>
      </c>
      <c r="F9944" t="s">
        <v>34</v>
      </c>
      <c r="G9944" t="str">
        <f t="shared" si="418"/>
        <v>031RUBICON</v>
      </c>
      <c r="H9944" s="5">
        <v>2670</v>
      </c>
      <c r="I9944" s="6">
        <v>924.39958333667107</v>
      </c>
      <c r="J9944" s="5">
        <v>6720</v>
      </c>
      <c r="K9944" s="6">
        <f t="shared" si="417"/>
        <v>2.8883613192062336</v>
      </c>
    </row>
    <row r="9945" spans="1:11">
      <c r="A9945" s="4">
        <v>2026</v>
      </c>
      <c r="B9945">
        <v>40</v>
      </c>
      <c r="C9945" t="s">
        <v>10</v>
      </c>
      <c r="D9945" t="s">
        <v>11</v>
      </c>
      <c r="E9945" t="s">
        <v>48</v>
      </c>
      <c r="F9945" t="s">
        <v>13</v>
      </c>
      <c r="G9945" t="str">
        <f t="shared" si="418"/>
        <v>031SOMERSET</v>
      </c>
      <c r="H9945" s="5">
        <v>1580</v>
      </c>
      <c r="I9945" s="6">
        <v>1122.485208333339</v>
      </c>
      <c r="J9945" s="5">
        <v>8160</v>
      </c>
      <c r="K9945" s="6">
        <f t="shared" si="417"/>
        <v>1.4075909315063286</v>
      </c>
    </row>
    <row r="9946" spans="1:11">
      <c r="A9946" s="4">
        <v>2026</v>
      </c>
      <c r="B9946">
        <v>40</v>
      </c>
      <c r="C9946" t="s">
        <v>10</v>
      </c>
      <c r="D9946" t="s">
        <v>11</v>
      </c>
      <c r="E9946" t="s">
        <v>48</v>
      </c>
      <c r="F9946" t="s">
        <v>50</v>
      </c>
      <c r="G9946" t="str">
        <f t="shared" si="418"/>
        <v>031VELVET BLOSSOMS</v>
      </c>
      <c r="H9946" s="5">
        <v>460</v>
      </c>
      <c r="I9946" s="6">
        <v>396.17125000000198</v>
      </c>
      <c r="J9946" s="5">
        <v>2880</v>
      </c>
      <c r="K9946" s="6">
        <f t="shared" si="417"/>
        <v>1.1611140384366552</v>
      </c>
    </row>
    <row r="9947" spans="1:11">
      <c r="A9947" s="4">
        <v>2026</v>
      </c>
      <c r="B9947">
        <v>40</v>
      </c>
      <c r="C9947" t="s">
        <v>10</v>
      </c>
      <c r="D9947" t="s">
        <v>11</v>
      </c>
      <c r="E9947" t="s">
        <v>51</v>
      </c>
      <c r="F9947" t="s">
        <v>17</v>
      </c>
      <c r="G9947" t="str">
        <f t="shared" si="418"/>
        <v>032ELBA</v>
      </c>
      <c r="H9947" s="5">
        <v>3690</v>
      </c>
      <c r="I9947" s="6">
        <v>1535.9749999999999</v>
      </c>
      <c r="J9947" s="5">
        <v>11200</v>
      </c>
      <c r="K9947" s="6">
        <f t="shared" si="417"/>
        <v>2.4023828512833871</v>
      </c>
    </row>
    <row r="9948" spans="1:11">
      <c r="A9948" s="4">
        <v>2026</v>
      </c>
      <c r="B9948">
        <v>40</v>
      </c>
      <c r="C9948" t="s">
        <v>10</v>
      </c>
      <c r="D9948" t="s">
        <v>11</v>
      </c>
      <c r="E9948" t="s">
        <v>51</v>
      </c>
      <c r="F9948" t="s">
        <v>44</v>
      </c>
      <c r="G9948" t="str">
        <f t="shared" si="418"/>
        <v>032MIRABEL</v>
      </c>
      <c r="H9948" s="5">
        <v>3240</v>
      </c>
      <c r="I9948" s="6">
        <v>1535.9749999999999</v>
      </c>
      <c r="J9948" s="5">
        <v>11200</v>
      </c>
      <c r="K9948" s="6">
        <f t="shared" si="417"/>
        <v>2.1094093328341934</v>
      </c>
    </row>
    <row r="9949" spans="1:11">
      <c r="A9949" s="4">
        <v>2026</v>
      </c>
      <c r="B9949">
        <v>40</v>
      </c>
      <c r="C9949" t="s">
        <v>10</v>
      </c>
      <c r="D9949" t="s">
        <v>11</v>
      </c>
      <c r="E9949" t="s">
        <v>52</v>
      </c>
      <c r="F9949" t="s">
        <v>53</v>
      </c>
      <c r="G9949" t="str">
        <f t="shared" si="418"/>
        <v>033CREAMY FOLIES</v>
      </c>
      <c r="H9949" s="5">
        <v>1350</v>
      </c>
      <c r="I9949" s="6">
        <v>594.25687500000299</v>
      </c>
      <c r="J9949" s="5">
        <v>4320</v>
      </c>
      <c r="K9949" s="6">
        <f t="shared" si="417"/>
        <v>2.2717448578108468</v>
      </c>
    </row>
    <row r="9950" spans="1:11">
      <c r="A9950" s="4">
        <v>2026</v>
      </c>
      <c r="B9950">
        <v>40</v>
      </c>
      <c r="C9950" t="s">
        <v>10</v>
      </c>
      <c r="D9950" t="s">
        <v>11</v>
      </c>
      <c r="E9950" t="s">
        <v>52</v>
      </c>
      <c r="F9950" t="s">
        <v>18</v>
      </c>
      <c r="G9950" t="str">
        <f t="shared" si="418"/>
        <v>033HOT BUBBLES</v>
      </c>
      <c r="H9950" s="5">
        <v>4580</v>
      </c>
      <c r="I9950" s="6">
        <v>2575.1131250013459</v>
      </c>
      <c r="J9950" s="5">
        <v>18720</v>
      </c>
      <c r="K9950" s="6">
        <f t="shared" si="417"/>
        <v>1.7785626408150927</v>
      </c>
    </row>
    <row r="9951" spans="1:11">
      <c r="A9951" s="4">
        <v>2026</v>
      </c>
      <c r="B9951">
        <v>40</v>
      </c>
      <c r="C9951" t="s">
        <v>54</v>
      </c>
      <c r="D9951" t="s">
        <v>11</v>
      </c>
      <c r="E9951" t="s">
        <v>55</v>
      </c>
      <c r="F9951" t="s">
        <v>56</v>
      </c>
      <c r="G9951" t="str">
        <f t="shared" si="418"/>
        <v>001BELIEVE IN PINK</v>
      </c>
      <c r="H9951" s="5">
        <v>1680</v>
      </c>
      <c r="I9951" s="6">
        <v>528.37931032368999</v>
      </c>
      <c r="J9951" s="5">
        <v>4000</v>
      </c>
      <c r="K9951" s="6">
        <f t="shared" ref="K9951:K9957" si="419">IFERROR(H9951/I9951,"")</f>
        <v>3.1795340339325864</v>
      </c>
    </row>
    <row r="9952" spans="1:11">
      <c r="A9952" s="4">
        <v>2026</v>
      </c>
      <c r="B9952">
        <v>40</v>
      </c>
      <c r="C9952" t="s">
        <v>54</v>
      </c>
      <c r="D9952" t="s">
        <v>11</v>
      </c>
      <c r="E9952" t="s">
        <v>55</v>
      </c>
      <c r="F9952" t="s">
        <v>57</v>
      </c>
      <c r="G9952" t="str">
        <f t="shared" si="418"/>
        <v>001EXPLORER</v>
      </c>
      <c r="H9952" s="5">
        <v>4500</v>
      </c>
      <c r="I9952" s="6">
        <v>2272.0310343918732</v>
      </c>
      <c r="J9952" s="5">
        <v>17200</v>
      </c>
      <c r="K9952" s="6">
        <f t="shared" si="419"/>
        <v>1.9806067487121539</v>
      </c>
    </row>
    <row r="9953" spans="1:11">
      <c r="A9953" s="4">
        <v>2026</v>
      </c>
      <c r="B9953">
        <v>40</v>
      </c>
      <c r="C9953" t="s">
        <v>54</v>
      </c>
      <c r="D9953" t="s">
        <v>11</v>
      </c>
      <c r="E9953" t="s">
        <v>55</v>
      </c>
      <c r="F9953" t="s">
        <v>58</v>
      </c>
      <c r="G9953" t="str">
        <f t="shared" si="418"/>
        <v>001GRACE KELLY</v>
      </c>
      <c r="H9953" s="5">
        <v>1470</v>
      </c>
      <c r="I9953" s="6">
        <v>1162.4344827121224</v>
      </c>
      <c r="J9953" s="5">
        <v>8800</v>
      </c>
      <c r="K9953" s="6">
        <f t="shared" si="419"/>
        <v>1.2645873998595467</v>
      </c>
    </row>
    <row r="9954" spans="1:11">
      <c r="A9954" s="4">
        <v>2026</v>
      </c>
      <c r="B9954">
        <v>40</v>
      </c>
      <c r="C9954" t="s">
        <v>54</v>
      </c>
      <c r="D9954" t="s">
        <v>11</v>
      </c>
      <c r="E9954" t="s">
        <v>55</v>
      </c>
      <c r="F9954" t="s">
        <v>59</v>
      </c>
      <c r="G9954" t="str">
        <f t="shared" si="418"/>
        <v>001IDOLE</v>
      </c>
      <c r="H9954" s="5">
        <v>700</v>
      </c>
      <c r="I9954" s="6">
        <v>1162.4344827121181</v>
      </c>
      <c r="J9954" s="5">
        <v>8800</v>
      </c>
      <c r="K9954" s="6">
        <f t="shared" si="419"/>
        <v>0.60218447612359582</v>
      </c>
    </row>
    <row r="9955" spans="1:11">
      <c r="A9955" s="4">
        <v>2026</v>
      </c>
      <c r="B9955">
        <v>40</v>
      </c>
      <c r="C9955" t="s">
        <v>54</v>
      </c>
      <c r="D9955" t="s">
        <v>11</v>
      </c>
      <c r="E9955" t="s">
        <v>55</v>
      </c>
      <c r="F9955" t="s">
        <v>60</v>
      </c>
      <c r="G9955" t="str">
        <f t="shared" si="418"/>
        <v>001LIGHT HOUSE</v>
      </c>
      <c r="H9955" s="5">
        <v>2130</v>
      </c>
      <c r="I9955" s="6">
        <v>1056.7586206473827</v>
      </c>
      <c r="J9955" s="5">
        <v>8000</v>
      </c>
      <c r="K9955" s="6">
        <f t="shared" si="419"/>
        <v>2.0155974679394024</v>
      </c>
    </row>
    <row r="9956" spans="1:11">
      <c r="A9956" s="4">
        <v>2026</v>
      </c>
      <c r="B9956">
        <v>40</v>
      </c>
      <c r="C9956" t="s">
        <v>54</v>
      </c>
      <c r="D9956" t="s">
        <v>11</v>
      </c>
      <c r="E9956" t="s">
        <v>55</v>
      </c>
      <c r="F9956" t="s">
        <v>61</v>
      </c>
      <c r="G9956" t="str">
        <f t="shared" si="418"/>
        <v>001LUMIA</v>
      </c>
      <c r="H9956" s="5">
        <v>1920</v>
      </c>
      <c r="I9956" s="6">
        <v>1109.596551679753</v>
      </c>
      <c r="J9956" s="5">
        <v>8400</v>
      </c>
      <c r="K9956" s="6">
        <f t="shared" si="419"/>
        <v>1.7303586579224897</v>
      </c>
    </row>
    <row r="9957" spans="1:11">
      <c r="A9957" s="4">
        <v>2026</v>
      </c>
      <c r="B9957">
        <v>40</v>
      </c>
      <c r="C9957" t="s">
        <v>54</v>
      </c>
      <c r="D9957" t="s">
        <v>11</v>
      </c>
      <c r="E9957" t="s">
        <v>55</v>
      </c>
      <c r="F9957" t="s">
        <v>62</v>
      </c>
      <c r="G9957" t="str">
        <f t="shared" si="418"/>
        <v>001MOMENTUM</v>
      </c>
      <c r="H9957" s="5">
        <v>3925</v>
      </c>
      <c r="I9957" s="6">
        <v>1902.1655171652881</v>
      </c>
      <c r="J9957" s="5">
        <v>14400</v>
      </c>
      <c r="K9957" s="6">
        <f t="shared" si="419"/>
        <v>2.063437679098111</v>
      </c>
    </row>
    <row r="9958" spans="1:11">
      <c r="A9958" s="4">
        <v>2026</v>
      </c>
      <c r="B9958">
        <v>40</v>
      </c>
      <c r="C9958" t="s">
        <v>54</v>
      </c>
      <c r="D9958" t="s">
        <v>11</v>
      </c>
      <c r="E9958" t="s">
        <v>12</v>
      </c>
      <c r="F9958" t="s">
        <v>63</v>
      </c>
      <c r="G9958" t="str">
        <f t="shared" si="418"/>
        <v>002SUMMER ROMANCE</v>
      </c>
      <c r="H9958" s="5">
        <v>1725</v>
      </c>
      <c r="I9958" s="6">
        <v>951.10714281909407</v>
      </c>
      <c r="J9958" s="5">
        <v>7200</v>
      </c>
      <c r="K9958" s="6">
        <f t="shared" ref="K9958:K10021" si="420">+H9958/I9958</f>
        <v>1.8136757914435142</v>
      </c>
    </row>
    <row r="9959" spans="1:11">
      <c r="A9959" s="4">
        <v>2026</v>
      </c>
      <c r="B9959">
        <v>40</v>
      </c>
      <c r="C9959" t="s">
        <v>54</v>
      </c>
      <c r="D9959" t="s">
        <v>11</v>
      </c>
      <c r="E9959" t="s">
        <v>12</v>
      </c>
      <c r="F9959" t="s">
        <v>64</v>
      </c>
      <c r="G9959" t="str">
        <f t="shared" si="418"/>
        <v>002SWEETNESS</v>
      </c>
      <c r="H9959" s="5">
        <v>9450</v>
      </c>
      <c r="I9959" s="6">
        <v>3804.4285712763772</v>
      </c>
      <c r="J9959" s="5">
        <v>28800</v>
      </c>
      <c r="K9959" s="6">
        <f t="shared" si="420"/>
        <v>2.4839472795856818</v>
      </c>
    </row>
    <row r="9960" spans="1:11">
      <c r="A9960" s="4">
        <v>2026</v>
      </c>
      <c r="B9960">
        <v>40</v>
      </c>
      <c r="C9960" t="s">
        <v>54</v>
      </c>
      <c r="D9960" t="s">
        <v>11</v>
      </c>
      <c r="E9960" t="s">
        <v>65</v>
      </c>
      <c r="F9960" t="s">
        <v>66</v>
      </c>
      <c r="G9960" t="str">
        <f t="shared" si="418"/>
        <v>003CABARET</v>
      </c>
      <c r="H9960" s="5">
        <v>7320</v>
      </c>
      <c r="I9960" s="6">
        <v>2641.8965516184649</v>
      </c>
      <c r="J9960" s="5">
        <v>20000</v>
      </c>
      <c r="K9960" s="6">
        <f t="shared" si="420"/>
        <v>2.7707368009983813</v>
      </c>
    </row>
    <row r="9961" spans="1:11">
      <c r="A9961" s="4">
        <v>2026</v>
      </c>
      <c r="B9961">
        <v>40</v>
      </c>
      <c r="C9961" t="s">
        <v>54</v>
      </c>
      <c r="D9961" t="s">
        <v>11</v>
      </c>
      <c r="E9961" t="s">
        <v>65</v>
      </c>
      <c r="F9961" t="s">
        <v>67</v>
      </c>
      <c r="G9961" t="str">
        <f t="shared" si="418"/>
        <v>003DEEP PURPLE</v>
      </c>
      <c r="H9961" s="5">
        <v>14130</v>
      </c>
      <c r="I9961" s="6">
        <v>3592.9793102010913</v>
      </c>
      <c r="J9961" s="5">
        <v>26044</v>
      </c>
      <c r="K9961" s="6">
        <f t="shared" si="420"/>
        <v>3.932669458986997</v>
      </c>
    </row>
    <row r="9962" spans="1:11">
      <c r="A9962" s="4">
        <v>2026</v>
      </c>
      <c r="B9962">
        <v>40</v>
      </c>
      <c r="C9962" t="s">
        <v>54</v>
      </c>
      <c r="D9962" t="s">
        <v>11</v>
      </c>
      <c r="E9962" t="s">
        <v>65</v>
      </c>
      <c r="F9962" t="s">
        <v>57</v>
      </c>
      <c r="G9962" t="str">
        <f t="shared" si="418"/>
        <v>003EXPLORER</v>
      </c>
      <c r="H9962" s="5">
        <v>3075</v>
      </c>
      <c r="I9962" s="6">
        <v>1268.1103447768633</v>
      </c>
      <c r="J9962" s="5">
        <v>9600</v>
      </c>
      <c r="K9962" s="6">
        <f t="shared" si="420"/>
        <v>2.4248678458191089</v>
      </c>
    </row>
    <row r="9963" spans="1:11">
      <c r="A9963" s="4">
        <v>2026</v>
      </c>
      <c r="B9963">
        <v>40</v>
      </c>
      <c r="C9963" t="s">
        <v>54</v>
      </c>
      <c r="D9963" t="s">
        <v>11</v>
      </c>
      <c r="E9963" t="s">
        <v>65</v>
      </c>
      <c r="F9963" t="s">
        <v>68</v>
      </c>
      <c r="G9963" t="str">
        <f t="shared" si="418"/>
        <v>003JOCKER</v>
      </c>
      <c r="H9963" s="5">
        <v>800</v>
      </c>
      <c r="I9963" s="6">
        <v>528.37931032368999</v>
      </c>
      <c r="J9963" s="5">
        <v>4000</v>
      </c>
      <c r="K9963" s="6">
        <f t="shared" si="420"/>
        <v>1.5140638256821841</v>
      </c>
    </row>
    <row r="9964" spans="1:11">
      <c r="A9964" s="4">
        <v>2026</v>
      </c>
      <c r="B9964">
        <v>40</v>
      </c>
      <c r="C9964" t="s">
        <v>54</v>
      </c>
      <c r="D9964" t="s">
        <v>11</v>
      </c>
      <c r="E9964" t="s">
        <v>65</v>
      </c>
      <c r="F9964" t="s">
        <v>69</v>
      </c>
      <c r="G9964" t="str">
        <f t="shared" si="418"/>
        <v>003QUICKSAND</v>
      </c>
      <c r="H9964" s="5">
        <v>1740</v>
      </c>
      <c r="I9964" s="6">
        <v>1162.4344827121247</v>
      </c>
      <c r="J9964" s="5">
        <v>8800</v>
      </c>
      <c r="K9964" s="6">
        <f t="shared" si="420"/>
        <v>1.4968585549357869</v>
      </c>
    </row>
    <row r="9965" spans="1:11">
      <c r="A9965" s="4">
        <v>2026</v>
      </c>
      <c r="B9965">
        <v>40</v>
      </c>
      <c r="C9965" t="s">
        <v>54</v>
      </c>
      <c r="D9965" t="s">
        <v>11</v>
      </c>
      <c r="E9965" t="s">
        <v>14</v>
      </c>
      <c r="F9965" t="s">
        <v>70</v>
      </c>
      <c r="G9965" t="str">
        <f t="shared" si="418"/>
        <v>004COTOPAXI</v>
      </c>
      <c r="H9965" s="5">
        <v>1440</v>
      </c>
      <c r="I9965" s="6">
        <v>528.3915024419166</v>
      </c>
      <c r="J9965" s="5">
        <v>4000</v>
      </c>
      <c r="K9965" s="6">
        <f t="shared" si="420"/>
        <v>2.7252520022467466</v>
      </c>
    </row>
    <row r="9966" spans="1:11">
      <c r="A9966" s="4">
        <v>2026</v>
      </c>
      <c r="B9966">
        <v>40</v>
      </c>
      <c r="C9966" t="s">
        <v>54</v>
      </c>
      <c r="D9966" t="s">
        <v>11</v>
      </c>
      <c r="E9966" t="s">
        <v>14</v>
      </c>
      <c r="F9966" t="s">
        <v>67</v>
      </c>
      <c r="G9966" t="str">
        <f t="shared" si="418"/>
        <v>004DEEP PURPLE</v>
      </c>
      <c r="H9966" s="5">
        <v>15360</v>
      </c>
      <c r="I9966" s="6">
        <v>3910.1071427007282</v>
      </c>
      <c r="J9966" s="5">
        <v>29260</v>
      </c>
      <c r="K9966" s="6">
        <f t="shared" si="420"/>
        <v>3.928281103159434</v>
      </c>
    </row>
    <row r="9967" spans="1:11">
      <c r="A9967" s="4">
        <v>2026</v>
      </c>
      <c r="B9967">
        <v>40</v>
      </c>
      <c r="C9967" t="s">
        <v>54</v>
      </c>
      <c r="D9967" t="s">
        <v>11</v>
      </c>
      <c r="E9967" t="s">
        <v>14</v>
      </c>
      <c r="F9967" t="s">
        <v>71</v>
      </c>
      <c r="G9967" t="str">
        <f t="shared" si="418"/>
        <v>004HOT EXPLORER</v>
      </c>
      <c r="H9967" s="5">
        <v>4225</v>
      </c>
      <c r="I9967" s="6">
        <v>1902.2142856381945</v>
      </c>
      <c r="J9967" s="5">
        <v>14400</v>
      </c>
      <c r="K9967" s="6">
        <f t="shared" si="420"/>
        <v>2.2210957156083544</v>
      </c>
    </row>
    <row r="9968" spans="1:11">
      <c r="A9968" s="4">
        <v>2026</v>
      </c>
      <c r="B9968">
        <v>40</v>
      </c>
      <c r="C9968" t="s">
        <v>54</v>
      </c>
      <c r="D9968" t="s">
        <v>11</v>
      </c>
      <c r="E9968" t="s">
        <v>14</v>
      </c>
      <c r="F9968" t="s">
        <v>72</v>
      </c>
      <c r="G9968" t="str">
        <f t="shared" si="418"/>
        <v>004HOT MERENGUE</v>
      </c>
      <c r="H9968" s="5">
        <v>2790</v>
      </c>
      <c r="I9968" s="6">
        <v>1162.4642856677858</v>
      </c>
      <c r="J9968" s="5">
        <v>8800</v>
      </c>
      <c r="K9968" s="6">
        <f t="shared" si="420"/>
        <v>2.4000737350801833</v>
      </c>
    </row>
    <row r="9969" spans="1:11">
      <c r="A9969" s="4">
        <v>2026</v>
      </c>
      <c r="B9969">
        <v>40</v>
      </c>
      <c r="C9969" t="s">
        <v>54</v>
      </c>
      <c r="D9969" t="s">
        <v>11</v>
      </c>
      <c r="E9969" t="s">
        <v>14</v>
      </c>
      <c r="F9969" t="s">
        <v>64</v>
      </c>
      <c r="G9969" t="str">
        <f t="shared" si="418"/>
        <v>004SWEETNESS</v>
      </c>
      <c r="H9969" s="5">
        <v>510</v>
      </c>
      <c r="I9969" s="6">
        <v>317.03571427303262</v>
      </c>
      <c r="J9969" s="5">
        <v>2400</v>
      </c>
      <c r="K9969" s="6">
        <f t="shared" si="420"/>
        <v>1.6086515715411975</v>
      </c>
    </row>
    <row r="9970" spans="1:11">
      <c r="A9970" s="4">
        <v>2026</v>
      </c>
      <c r="B9970">
        <v>40</v>
      </c>
      <c r="C9970" t="s">
        <v>54</v>
      </c>
      <c r="D9970" t="s">
        <v>11</v>
      </c>
      <c r="E9970" t="s">
        <v>16</v>
      </c>
      <c r="F9970" t="s">
        <v>57</v>
      </c>
      <c r="G9970" t="str">
        <f t="shared" si="418"/>
        <v>005EXPLORER</v>
      </c>
      <c r="H9970" s="5">
        <v>2950</v>
      </c>
      <c r="I9970" s="6">
        <v>951.10714281875391</v>
      </c>
      <c r="J9970" s="5">
        <v>7200</v>
      </c>
      <c r="K9970" s="6">
        <f t="shared" si="420"/>
        <v>3.1016484549334962</v>
      </c>
    </row>
    <row r="9971" spans="1:11">
      <c r="A9971" s="4">
        <v>2026</v>
      </c>
      <c r="B9971">
        <v>40</v>
      </c>
      <c r="C9971" t="s">
        <v>54</v>
      </c>
      <c r="D9971" t="s">
        <v>11</v>
      </c>
      <c r="E9971" t="s">
        <v>16</v>
      </c>
      <c r="F9971" t="s">
        <v>73</v>
      </c>
      <c r="G9971" t="str">
        <f t="shared" si="418"/>
        <v>005GOLDFINCH</v>
      </c>
      <c r="H9971" s="5">
        <v>1100</v>
      </c>
      <c r="I9971" s="6">
        <v>898.26785710660101</v>
      </c>
      <c r="J9971" s="5">
        <v>6800</v>
      </c>
      <c r="K9971" s="6">
        <f t="shared" si="420"/>
        <v>1.2245790510006622</v>
      </c>
    </row>
    <row r="9972" spans="1:11">
      <c r="A9972" s="4">
        <v>2026</v>
      </c>
      <c r="B9972">
        <v>40</v>
      </c>
      <c r="C9972" t="s">
        <v>54</v>
      </c>
      <c r="D9972" t="s">
        <v>11</v>
      </c>
      <c r="E9972" t="s">
        <v>16</v>
      </c>
      <c r="F9972" t="s">
        <v>68</v>
      </c>
      <c r="G9972" t="str">
        <f t="shared" si="418"/>
        <v>005JOCKER</v>
      </c>
      <c r="H9972" s="5">
        <v>2200</v>
      </c>
      <c r="I9972" s="6">
        <v>1162.4642856673661</v>
      </c>
      <c r="J9972" s="5">
        <v>8800</v>
      </c>
      <c r="K9972" s="6">
        <f t="shared" si="420"/>
        <v>1.8925312606373872</v>
      </c>
    </row>
    <row r="9973" spans="1:11">
      <c r="A9973" s="4">
        <v>2026</v>
      </c>
      <c r="B9973">
        <v>40</v>
      </c>
      <c r="C9973" t="s">
        <v>54</v>
      </c>
      <c r="D9973" t="s">
        <v>11</v>
      </c>
      <c r="E9973" t="s">
        <v>16</v>
      </c>
      <c r="F9973" t="s">
        <v>74</v>
      </c>
      <c r="G9973" t="str">
        <f t="shared" si="418"/>
        <v>005VENDELA</v>
      </c>
      <c r="H9973" s="5">
        <v>1710</v>
      </c>
      <c r="I9973" s="6">
        <v>686.91071425798896</v>
      </c>
      <c r="J9973" s="5">
        <v>5200</v>
      </c>
      <c r="K9973" s="6">
        <f t="shared" si="420"/>
        <v>2.4894065043768712</v>
      </c>
    </row>
    <row r="9974" spans="1:11">
      <c r="A9974" s="4">
        <v>2026</v>
      </c>
      <c r="B9974">
        <v>40</v>
      </c>
      <c r="C9974" t="s">
        <v>54</v>
      </c>
      <c r="D9974" t="s">
        <v>11</v>
      </c>
      <c r="E9974" t="s">
        <v>75</v>
      </c>
      <c r="F9974" t="s">
        <v>76</v>
      </c>
      <c r="G9974" t="str">
        <f t="shared" si="418"/>
        <v>006ATOMIC</v>
      </c>
      <c r="H9974" s="5">
        <v>1675</v>
      </c>
      <c r="I9974" s="6">
        <v>845.428571394752</v>
      </c>
      <c r="J9974" s="5">
        <v>6400</v>
      </c>
      <c r="K9974" s="6">
        <f t="shared" si="420"/>
        <v>1.9812436634790522</v>
      </c>
    </row>
    <row r="9975" spans="1:11">
      <c r="A9975" s="4">
        <v>2026</v>
      </c>
      <c r="B9975">
        <v>40</v>
      </c>
      <c r="C9975" t="s">
        <v>54</v>
      </c>
      <c r="D9975" t="s">
        <v>11</v>
      </c>
      <c r="E9975" t="s">
        <v>75</v>
      </c>
      <c r="F9975" t="s">
        <v>57</v>
      </c>
      <c r="G9975" t="str">
        <f t="shared" si="418"/>
        <v>006EXPLORER</v>
      </c>
      <c r="H9975" s="5">
        <v>6700</v>
      </c>
      <c r="I9975" s="6">
        <v>3910.1071427007355</v>
      </c>
      <c r="J9975" s="5">
        <v>29600</v>
      </c>
      <c r="K9975" s="6">
        <f t="shared" si="420"/>
        <v>1.713508033279177</v>
      </c>
    </row>
    <row r="9976" spans="1:11">
      <c r="A9976" s="4">
        <v>2026</v>
      </c>
      <c r="B9976">
        <v>40</v>
      </c>
      <c r="C9976" t="s">
        <v>54</v>
      </c>
      <c r="D9976" t="s">
        <v>11</v>
      </c>
      <c r="E9976" t="s">
        <v>75</v>
      </c>
      <c r="F9976" t="s">
        <v>77</v>
      </c>
      <c r="G9976" t="str">
        <f t="shared" si="418"/>
        <v>006MONDIAL</v>
      </c>
      <c r="H9976" s="5">
        <v>6350</v>
      </c>
      <c r="I9976" s="6">
        <v>4015.7857141250793</v>
      </c>
      <c r="J9976" s="5">
        <v>30400</v>
      </c>
      <c r="K9976" s="6">
        <f t="shared" si="420"/>
        <v>1.5812596717161929</v>
      </c>
    </row>
    <row r="9977" spans="1:11">
      <c r="A9977" s="4">
        <v>2026</v>
      </c>
      <c r="B9977">
        <v>40</v>
      </c>
      <c r="C9977" t="s">
        <v>54</v>
      </c>
      <c r="D9977" t="s">
        <v>11</v>
      </c>
      <c r="E9977" t="s">
        <v>20</v>
      </c>
      <c r="F9977" t="s">
        <v>70</v>
      </c>
      <c r="G9977" t="str">
        <f t="shared" si="418"/>
        <v>007COTOPAXI</v>
      </c>
      <c r="H9977" s="5">
        <v>7020</v>
      </c>
      <c r="I9977" s="6">
        <v>2747.5751230427709</v>
      </c>
      <c r="J9977" s="5">
        <v>20800</v>
      </c>
      <c r="K9977" s="6">
        <f t="shared" si="420"/>
        <v>2.5549801863927857</v>
      </c>
    </row>
    <row r="9978" spans="1:11">
      <c r="A9978" s="4">
        <v>2026</v>
      </c>
      <c r="B9978">
        <v>40</v>
      </c>
      <c r="C9978" t="s">
        <v>54</v>
      </c>
      <c r="D9978" t="s">
        <v>11</v>
      </c>
      <c r="E9978" t="s">
        <v>20</v>
      </c>
      <c r="F9978" t="s">
        <v>78</v>
      </c>
      <c r="G9978" t="str">
        <f t="shared" si="418"/>
        <v>007REDIANT</v>
      </c>
      <c r="H9978" s="5">
        <v>1380</v>
      </c>
      <c r="I9978" s="6">
        <v>1056.75862064738</v>
      </c>
      <c r="J9978" s="5">
        <v>9600</v>
      </c>
      <c r="K9978" s="6">
        <f t="shared" si="420"/>
        <v>1.3058800496508838</v>
      </c>
    </row>
    <row r="9979" spans="1:11">
      <c r="A9979" s="4">
        <v>2026</v>
      </c>
      <c r="B9979">
        <v>40</v>
      </c>
      <c r="C9979" t="s">
        <v>54</v>
      </c>
      <c r="D9979" t="s">
        <v>11</v>
      </c>
      <c r="E9979" t="s">
        <v>20</v>
      </c>
      <c r="F9979" t="s">
        <v>63</v>
      </c>
      <c r="G9979" t="str">
        <f t="shared" si="418"/>
        <v>007SUMMER ROMANCE</v>
      </c>
      <c r="H9979" s="5">
        <v>75</v>
      </c>
      <c r="I9979" s="6">
        <v>369.86551722658481</v>
      </c>
      <c r="J9979" s="5">
        <v>3080</v>
      </c>
      <c r="K9979" s="6">
        <f t="shared" si="420"/>
        <v>0.2027764052252915</v>
      </c>
    </row>
    <row r="9980" spans="1:11">
      <c r="A9980" s="4">
        <v>2026</v>
      </c>
      <c r="B9980">
        <v>40</v>
      </c>
      <c r="C9980" t="s">
        <v>54</v>
      </c>
      <c r="D9980" t="s">
        <v>11</v>
      </c>
      <c r="E9980" t="s">
        <v>20</v>
      </c>
      <c r="F9980" t="s">
        <v>74</v>
      </c>
      <c r="G9980" t="str">
        <f t="shared" si="418"/>
        <v>007VENDELA</v>
      </c>
      <c r="H9980" s="5">
        <v>10110</v>
      </c>
      <c r="I9980" s="6">
        <v>3592.9793102011122</v>
      </c>
      <c r="J9980" s="5">
        <v>27820</v>
      </c>
      <c r="K9980" s="6">
        <f t="shared" si="420"/>
        <v>2.8138208230968371</v>
      </c>
    </row>
    <row r="9981" spans="1:11">
      <c r="A9981" s="4">
        <v>2026</v>
      </c>
      <c r="B9981">
        <v>40</v>
      </c>
      <c r="C9981" t="s">
        <v>54</v>
      </c>
      <c r="D9981" t="s">
        <v>11</v>
      </c>
      <c r="E9981" t="s">
        <v>79</v>
      </c>
      <c r="F9981" t="s">
        <v>67</v>
      </c>
      <c r="G9981" t="str">
        <f t="shared" si="418"/>
        <v>008DEEP PURPLE</v>
      </c>
      <c r="H9981" s="5">
        <v>5010</v>
      </c>
      <c r="I9981" s="6">
        <v>1585.2222221588099</v>
      </c>
      <c r="J9981" s="5">
        <v>11490</v>
      </c>
      <c r="K9981" s="6">
        <f t="shared" si="420"/>
        <v>3.1604401767578114</v>
      </c>
    </row>
    <row r="9982" spans="1:11">
      <c r="A9982" s="4">
        <v>2026</v>
      </c>
      <c r="B9982">
        <v>40</v>
      </c>
      <c r="C9982" t="s">
        <v>54</v>
      </c>
      <c r="D9982" t="s">
        <v>11</v>
      </c>
      <c r="E9982" t="s">
        <v>79</v>
      </c>
      <c r="F9982" t="s">
        <v>81</v>
      </c>
      <c r="G9982" t="str">
        <f t="shared" si="418"/>
        <v>008FREEDOM</v>
      </c>
      <c r="H9982" s="5">
        <v>3090</v>
      </c>
      <c r="I9982" s="6">
        <v>2219.311111022334</v>
      </c>
      <c r="J9982" s="5">
        <v>16800</v>
      </c>
      <c r="K9982" s="6">
        <f t="shared" si="420"/>
        <v>1.3923239444228168</v>
      </c>
    </row>
    <row r="9983" spans="1:11">
      <c r="A9983" s="4">
        <v>2026</v>
      </c>
      <c r="B9983">
        <v>40</v>
      </c>
      <c r="C9983" t="s">
        <v>54</v>
      </c>
      <c r="D9983" t="s">
        <v>11</v>
      </c>
      <c r="E9983" t="s">
        <v>79</v>
      </c>
      <c r="F9983" t="s">
        <v>68</v>
      </c>
      <c r="G9983" t="str">
        <f t="shared" si="418"/>
        <v>008JOCKER</v>
      </c>
      <c r="H9983" s="5">
        <v>4900</v>
      </c>
      <c r="I9983" s="6">
        <v>2959.0814813631118</v>
      </c>
      <c r="J9983" s="5">
        <v>22400</v>
      </c>
      <c r="K9983" s="6">
        <f t="shared" si="420"/>
        <v>1.6559192542892724</v>
      </c>
    </row>
    <row r="9984" spans="1:11">
      <c r="A9984" s="4">
        <v>2026</v>
      </c>
      <c r="B9984">
        <v>40</v>
      </c>
      <c r="C9984" t="s">
        <v>54</v>
      </c>
      <c r="D9984" t="s">
        <v>11</v>
      </c>
      <c r="E9984" t="s">
        <v>79</v>
      </c>
      <c r="F9984" t="s">
        <v>61</v>
      </c>
      <c r="G9984" t="str">
        <f t="shared" si="418"/>
        <v>008LUMIA</v>
      </c>
      <c r="H9984" s="5">
        <v>0</v>
      </c>
      <c r="I9984" s="6">
        <v>1796.5851851133182</v>
      </c>
      <c r="J9984" s="5">
        <v>13600</v>
      </c>
      <c r="K9984" s="6">
        <f t="shared" si="420"/>
        <v>0</v>
      </c>
    </row>
    <row r="9985" spans="1:11">
      <c r="A9985" s="4">
        <v>2026</v>
      </c>
      <c r="B9985">
        <v>40</v>
      </c>
      <c r="C9985" t="s">
        <v>54</v>
      </c>
      <c r="D9985" t="s">
        <v>11</v>
      </c>
      <c r="E9985" t="s">
        <v>82</v>
      </c>
      <c r="F9985" t="s">
        <v>83</v>
      </c>
      <c r="G9985" t="str">
        <f t="shared" si="418"/>
        <v>010COOLDOWN</v>
      </c>
      <c r="H9985" s="5">
        <v>2350</v>
      </c>
      <c r="I9985" s="6">
        <v>1912.3542857142861</v>
      </c>
      <c r="J9985" s="5">
        <v>16320</v>
      </c>
      <c r="K9985" s="6">
        <f t="shared" si="420"/>
        <v>1.2288517967382013</v>
      </c>
    </row>
    <row r="9986" spans="1:11">
      <c r="A9986" s="4">
        <v>2026</v>
      </c>
      <c r="B9986">
        <v>40</v>
      </c>
      <c r="C9986" t="s">
        <v>54</v>
      </c>
      <c r="D9986" t="s">
        <v>11</v>
      </c>
      <c r="E9986" t="s">
        <v>82</v>
      </c>
      <c r="F9986" t="s">
        <v>84</v>
      </c>
      <c r="G9986" t="str">
        <f t="shared" si="418"/>
        <v>010VIOLET HILL</v>
      </c>
      <c r="H9986" s="5">
        <v>4290</v>
      </c>
      <c r="I9986" s="6">
        <v>2812.2857142428579</v>
      </c>
      <c r="J9986" s="5">
        <v>20000</v>
      </c>
      <c r="K9986" s="6">
        <f t="shared" si="420"/>
        <v>1.5254495580848129</v>
      </c>
    </row>
    <row r="9987" spans="1:11">
      <c r="A9987" s="4">
        <v>2026</v>
      </c>
      <c r="B9987">
        <v>40</v>
      </c>
      <c r="C9987" t="s">
        <v>54</v>
      </c>
      <c r="D9987" t="s">
        <v>11</v>
      </c>
      <c r="E9987" t="s">
        <v>85</v>
      </c>
      <c r="F9987" t="s">
        <v>86</v>
      </c>
      <c r="G9987" t="str">
        <f t="shared" si="418"/>
        <v>011BRIGHTON</v>
      </c>
      <c r="H9987" s="5">
        <v>2300</v>
      </c>
      <c r="I9987" s="6">
        <v>1768.8376470588223</v>
      </c>
      <c r="J9987" s="5">
        <v>12800</v>
      </c>
      <c r="K9987" s="6">
        <f t="shared" si="420"/>
        <v>1.3002889235337007</v>
      </c>
    </row>
    <row r="9988" spans="1:11">
      <c r="A9988" s="4">
        <v>2026</v>
      </c>
      <c r="B9988">
        <v>40</v>
      </c>
      <c r="C9988" t="s">
        <v>54</v>
      </c>
      <c r="D9988" t="s">
        <v>11</v>
      </c>
      <c r="E9988" t="s">
        <v>85</v>
      </c>
      <c r="F9988" t="s">
        <v>87</v>
      </c>
      <c r="G9988" t="str">
        <f t="shared" si="418"/>
        <v>011CANDLELIGHT</v>
      </c>
      <c r="H9988" s="5">
        <v>4420</v>
      </c>
      <c r="I9988" s="6">
        <v>2263.7999998868127</v>
      </c>
      <c r="J9988" s="5">
        <v>17920</v>
      </c>
      <c r="K9988" s="6">
        <f t="shared" si="420"/>
        <v>1.952469299505696</v>
      </c>
    </row>
    <row r="9989" spans="1:11">
      <c r="A9989" s="4">
        <v>2026</v>
      </c>
      <c r="B9989">
        <v>40</v>
      </c>
      <c r="C9989" t="s">
        <v>54</v>
      </c>
      <c r="D9989" t="s">
        <v>11</v>
      </c>
      <c r="E9989" t="s">
        <v>85</v>
      </c>
      <c r="F9989" t="s">
        <v>88</v>
      </c>
      <c r="G9989" t="str">
        <f t="shared" si="418"/>
        <v>011CAYENNE</v>
      </c>
      <c r="H9989" s="5">
        <v>1200</v>
      </c>
      <c r="I9989" s="6">
        <v>994.97117647058747</v>
      </c>
      <c r="J9989" s="5">
        <v>7200</v>
      </c>
      <c r="K9989" s="6">
        <f t="shared" si="420"/>
        <v>1.2060650884950268</v>
      </c>
    </row>
    <row r="9990" spans="1:11">
      <c r="A9990" s="4">
        <v>2026</v>
      </c>
      <c r="B9990">
        <v>40</v>
      </c>
      <c r="C9990" t="s">
        <v>54</v>
      </c>
      <c r="D9990" t="s">
        <v>11</v>
      </c>
      <c r="E9990" t="s">
        <v>85</v>
      </c>
      <c r="F9990" t="s">
        <v>61</v>
      </c>
      <c r="G9990" t="str">
        <f t="shared" ref="G9990:G10024" si="421">+E9990&amp;F9990</f>
        <v>011LUMIA</v>
      </c>
      <c r="H9990" s="5">
        <v>1860</v>
      </c>
      <c r="I9990" s="6">
        <v>994.97117647058747</v>
      </c>
      <c r="J9990" s="5">
        <v>7920</v>
      </c>
      <c r="K9990" s="6">
        <f t="shared" si="420"/>
        <v>1.8694008871672916</v>
      </c>
    </row>
    <row r="9991" spans="1:11">
      <c r="A9991" s="4">
        <v>2026</v>
      </c>
      <c r="B9991">
        <v>40</v>
      </c>
      <c r="C9991" t="s">
        <v>54</v>
      </c>
      <c r="D9991" t="s">
        <v>11</v>
      </c>
      <c r="E9991" t="s">
        <v>85</v>
      </c>
      <c r="F9991" t="s">
        <v>89</v>
      </c>
      <c r="G9991" t="str">
        <f t="shared" si="421"/>
        <v>011STARDUST</v>
      </c>
      <c r="H9991" s="5">
        <v>3600</v>
      </c>
      <c r="I9991" s="6">
        <v>2263.7999998868127</v>
      </c>
      <c r="J9991" s="5">
        <v>17920</v>
      </c>
      <c r="K9991" s="6">
        <f t="shared" si="420"/>
        <v>1.5902464882851823</v>
      </c>
    </row>
    <row r="9992" spans="1:11">
      <c r="A9992" s="4">
        <v>2026</v>
      </c>
      <c r="B9992">
        <v>40</v>
      </c>
      <c r="C9992" t="s">
        <v>54</v>
      </c>
      <c r="D9992" t="s">
        <v>11</v>
      </c>
      <c r="E9992" t="s">
        <v>90</v>
      </c>
      <c r="F9992" t="s">
        <v>67</v>
      </c>
      <c r="G9992" t="str">
        <f t="shared" si="421"/>
        <v>012DEEP PURPLE</v>
      </c>
      <c r="H9992" s="5">
        <v>13590</v>
      </c>
      <c r="I9992" s="6">
        <v>6727.0499997982479</v>
      </c>
      <c r="J9992" s="5">
        <v>49210</v>
      </c>
      <c r="K9992" s="6">
        <f t="shared" si="420"/>
        <v>2.0202020202626083</v>
      </c>
    </row>
    <row r="9993" spans="1:11">
      <c r="A9993" s="4">
        <v>2026</v>
      </c>
      <c r="B9993">
        <v>40</v>
      </c>
      <c r="C9993" t="s">
        <v>54</v>
      </c>
      <c r="D9993" t="s">
        <v>11</v>
      </c>
      <c r="E9993" t="s">
        <v>90</v>
      </c>
      <c r="F9993" t="s">
        <v>60</v>
      </c>
      <c r="G9993" t="str">
        <f t="shared" si="421"/>
        <v>012LIGHT HOUSE</v>
      </c>
      <c r="H9993" s="5">
        <v>1770</v>
      </c>
      <c r="I9993" s="6">
        <v>994.95</v>
      </c>
      <c r="J9993" s="5">
        <v>7200</v>
      </c>
      <c r="K9993" s="6">
        <f t="shared" si="420"/>
        <v>1.7789838685361072</v>
      </c>
    </row>
    <row r="9994" spans="1:11">
      <c r="A9994" s="4">
        <v>2026</v>
      </c>
      <c r="B9994">
        <v>40</v>
      </c>
      <c r="C9994" t="s">
        <v>54</v>
      </c>
      <c r="D9994" t="s">
        <v>11</v>
      </c>
      <c r="E9994" t="s">
        <v>91</v>
      </c>
      <c r="F9994" t="s">
        <v>92</v>
      </c>
      <c r="G9994" t="str">
        <f t="shared" si="421"/>
        <v>013COUNTRY BLUES</v>
      </c>
      <c r="H9994" s="5">
        <v>1525</v>
      </c>
      <c r="I9994" s="6">
        <v>831.6</v>
      </c>
      <c r="J9994" s="5">
        <v>6300</v>
      </c>
      <c r="K9994" s="6">
        <f t="shared" si="420"/>
        <v>1.8338143338143338</v>
      </c>
    </row>
    <row r="9995" spans="1:11">
      <c r="A9995" s="4">
        <v>2026</v>
      </c>
      <c r="B9995">
        <v>40</v>
      </c>
      <c r="C9995" t="s">
        <v>54</v>
      </c>
      <c r="D9995" t="s">
        <v>11</v>
      </c>
      <c r="E9995" t="s">
        <v>91</v>
      </c>
      <c r="F9995" t="s">
        <v>93</v>
      </c>
      <c r="G9995" t="str">
        <f t="shared" si="421"/>
        <v>013LORRAINE</v>
      </c>
      <c r="H9995" s="5">
        <v>5950</v>
      </c>
      <c r="I9995" s="6">
        <v>1267.2</v>
      </c>
      <c r="J9995" s="5">
        <v>9600</v>
      </c>
      <c r="K9995" s="6">
        <f t="shared" si="420"/>
        <v>4.6953914141414144</v>
      </c>
    </row>
    <row r="9996" spans="1:11">
      <c r="A9996" s="4">
        <v>2026</v>
      </c>
      <c r="B9996">
        <v>40</v>
      </c>
      <c r="C9996" t="s">
        <v>54</v>
      </c>
      <c r="D9996" t="s">
        <v>11</v>
      </c>
      <c r="E9996" t="s">
        <v>91</v>
      </c>
      <c r="F9996" t="s">
        <v>61</v>
      </c>
      <c r="G9996" t="str">
        <f t="shared" si="421"/>
        <v>013LUMIA</v>
      </c>
      <c r="H9996" s="5">
        <v>1080</v>
      </c>
      <c r="I9996" s="6">
        <v>316.8</v>
      </c>
      <c r="J9996" s="5">
        <v>2400</v>
      </c>
      <c r="K9996" s="6">
        <f t="shared" si="420"/>
        <v>3.4090909090909092</v>
      </c>
    </row>
    <row r="9997" spans="1:11">
      <c r="A9997" s="4">
        <v>2026</v>
      </c>
      <c r="B9997">
        <v>40</v>
      </c>
      <c r="C9997" t="s">
        <v>54</v>
      </c>
      <c r="D9997" t="s">
        <v>11</v>
      </c>
      <c r="E9997" t="s">
        <v>91</v>
      </c>
      <c r="F9997" t="s">
        <v>74</v>
      </c>
      <c r="G9997" t="str">
        <f t="shared" si="421"/>
        <v>013VENDELA</v>
      </c>
      <c r="H9997" s="5">
        <v>10860</v>
      </c>
      <c r="I9997" s="6">
        <v>3603.6</v>
      </c>
      <c r="J9997" s="5">
        <v>27296</v>
      </c>
      <c r="K9997" s="6">
        <f t="shared" si="420"/>
        <v>3.0136530136530135</v>
      </c>
    </row>
    <row r="9998" spans="1:11">
      <c r="A9998" s="4">
        <v>2026</v>
      </c>
      <c r="B9998">
        <v>40</v>
      </c>
      <c r="C9998" t="s">
        <v>54</v>
      </c>
      <c r="D9998" t="s">
        <v>11</v>
      </c>
      <c r="E9998" t="s">
        <v>23</v>
      </c>
      <c r="F9998" t="s">
        <v>89</v>
      </c>
      <c r="G9998" t="str">
        <f t="shared" si="421"/>
        <v>014STARDUST</v>
      </c>
      <c r="H9998" s="5">
        <v>6750</v>
      </c>
      <c r="I9998" s="6">
        <v>3682.8</v>
      </c>
      <c r="J9998" s="5">
        <v>27900</v>
      </c>
      <c r="K9998" s="6">
        <f t="shared" si="420"/>
        <v>1.8328445747800586</v>
      </c>
    </row>
    <row r="9999" spans="1:11">
      <c r="A9999" s="4">
        <v>2026</v>
      </c>
      <c r="B9999">
        <v>40</v>
      </c>
      <c r="C9999" t="s">
        <v>54</v>
      </c>
      <c r="D9999" t="s">
        <v>11</v>
      </c>
      <c r="E9999" t="s">
        <v>25</v>
      </c>
      <c r="F9999" t="s">
        <v>68</v>
      </c>
      <c r="G9999" t="str">
        <f t="shared" si="421"/>
        <v>015JOCKER</v>
      </c>
      <c r="H9999" s="5">
        <v>3950</v>
      </c>
      <c r="I9999" s="6">
        <v>2376</v>
      </c>
      <c r="J9999" s="5">
        <v>18000</v>
      </c>
      <c r="K9999" s="6">
        <f t="shared" si="420"/>
        <v>1.6624579124579124</v>
      </c>
    </row>
    <row r="10000" spans="1:11">
      <c r="A10000" s="4">
        <v>2026</v>
      </c>
      <c r="B10000">
        <v>40</v>
      </c>
      <c r="C10000" t="s">
        <v>54</v>
      </c>
      <c r="D10000" t="s">
        <v>11</v>
      </c>
      <c r="E10000" t="s">
        <v>27</v>
      </c>
      <c r="F10000" t="s">
        <v>94</v>
      </c>
      <c r="G10000" t="str">
        <f t="shared" si="421"/>
        <v>016DREAM IN PEACH</v>
      </c>
      <c r="H10000" s="5">
        <v>1920</v>
      </c>
      <c r="I10000" s="6">
        <v>950.4</v>
      </c>
      <c r="J10000" s="5">
        <v>7200</v>
      </c>
      <c r="K10000" s="6">
        <f t="shared" si="420"/>
        <v>2.0202020202020203</v>
      </c>
    </row>
    <row r="10001" spans="1:11">
      <c r="A10001" s="4">
        <v>2026</v>
      </c>
      <c r="B10001">
        <v>40</v>
      </c>
      <c r="C10001" t="s">
        <v>54</v>
      </c>
      <c r="D10001" t="s">
        <v>11</v>
      </c>
      <c r="E10001" t="s">
        <v>27</v>
      </c>
      <c r="F10001" t="s">
        <v>95</v>
      </c>
      <c r="G10001" t="str">
        <f t="shared" si="421"/>
        <v>016NINA</v>
      </c>
      <c r="H10001" s="5">
        <v>2200</v>
      </c>
      <c r="I10001" s="6">
        <v>1346.4</v>
      </c>
      <c r="J10001" s="5">
        <v>10200</v>
      </c>
      <c r="K10001" s="6">
        <f t="shared" si="420"/>
        <v>1.6339869281045751</v>
      </c>
    </row>
    <row r="10002" spans="1:11">
      <c r="A10002" s="4">
        <v>2026</v>
      </c>
      <c r="B10002">
        <v>40</v>
      </c>
      <c r="C10002" t="s">
        <v>54</v>
      </c>
      <c r="D10002" t="s">
        <v>11</v>
      </c>
      <c r="E10002" t="s">
        <v>30</v>
      </c>
      <c r="F10002" t="s">
        <v>81</v>
      </c>
      <c r="G10002" t="str">
        <f t="shared" si="421"/>
        <v>017FREEDOM</v>
      </c>
      <c r="H10002" s="5">
        <v>5550</v>
      </c>
      <c r="I10002" s="6">
        <v>2851.2</v>
      </c>
      <c r="J10002" s="5">
        <v>21600</v>
      </c>
      <c r="K10002" s="6">
        <f t="shared" si="420"/>
        <v>1.9465488215488216</v>
      </c>
    </row>
    <row r="10003" spans="1:11">
      <c r="A10003" s="4">
        <v>2026</v>
      </c>
      <c r="B10003">
        <v>40</v>
      </c>
      <c r="C10003" t="s">
        <v>54</v>
      </c>
      <c r="D10003" t="s">
        <v>11</v>
      </c>
      <c r="E10003" t="s">
        <v>30</v>
      </c>
      <c r="F10003" t="s">
        <v>73</v>
      </c>
      <c r="G10003" t="str">
        <f t="shared" si="421"/>
        <v>017GOLDFINCH</v>
      </c>
      <c r="H10003" s="5">
        <v>2700</v>
      </c>
      <c r="I10003" s="6">
        <v>2138.4</v>
      </c>
      <c r="J10003" s="5">
        <v>16200</v>
      </c>
      <c r="K10003" s="6">
        <f t="shared" si="420"/>
        <v>1.2626262626262625</v>
      </c>
    </row>
    <row r="10004" spans="1:11">
      <c r="A10004" s="4">
        <v>2026</v>
      </c>
      <c r="B10004">
        <v>40</v>
      </c>
      <c r="C10004" t="s">
        <v>54</v>
      </c>
      <c r="D10004" t="s">
        <v>11</v>
      </c>
      <c r="E10004" t="s">
        <v>32</v>
      </c>
      <c r="F10004" t="s">
        <v>86</v>
      </c>
      <c r="G10004" t="str">
        <f t="shared" si="421"/>
        <v>018BRIGHTON</v>
      </c>
      <c r="H10004" s="5">
        <v>1600</v>
      </c>
      <c r="I10004" s="6">
        <v>963.6</v>
      </c>
      <c r="J10004" s="5">
        <v>7570</v>
      </c>
      <c r="K10004" s="6">
        <f t="shared" si="420"/>
        <v>1.6604400166044002</v>
      </c>
    </row>
    <row r="10005" spans="1:11">
      <c r="A10005" s="4">
        <v>2026</v>
      </c>
      <c r="B10005">
        <v>40</v>
      </c>
      <c r="C10005" t="s">
        <v>54</v>
      </c>
      <c r="D10005" t="s">
        <v>11</v>
      </c>
      <c r="E10005" t="s">
        <v>35</v>
      </c>
      <c r="F10005" t="s">
        <v>86</v>
      </c>
      <c r="G10005" t="str">
        <f t="shared" si="421"/>
        <v>019BRIGHTON</v>
      </c>
      <c r="H10005" s="5">
        <v>6250</v>
      </c>
      <c r="I10005" s="6">
        <v>3168</v>
      </c>
      <c r="J10005" s="5">
        <v>24000</v>
      </c>
      <c r="K10005" s="6">
        <f t="shared" si="420"/>
        <v>1.9728535353535352</v>
      </c>
    </row>
    <row r="10006" spans="1:11">
      <c r="A10006" s="4">
        <v>2026</v>
      </c>
      <c r="B10006">
        <v>40</v>
      </c>
      <c r="C10006" t="s">
        <v>54</v>
      </c>
      <c r="D10006" t="s">
        <v>11</v>
      </c>
      <c r="E10006" t="s">
        <v>35</v>
      </c>
      <c r="F10006" t="s">
        <v>96</v>
      </c>
      <c r="G10006" t="str">
        <f t="shared" si="421"/>
        <v>019TABATHA</v>
      </c>
      <c r="H10006" s="5">
        <v>3000</v>
      </c>
      <c r="I10006" s="6">
        <v>1188</v>
      </c>
      <c r="J10006" s="5">
        <v>9000</v>
      </c>
      <c r="K10006" s="6">
        <f t="shared" si="420"/>
        <v>2.5252525252525251</v>
      </c>
    </row>
    <row r="10007" spans="1:11">
      <c r="A10007" s="4">
        <v>2026</v>
      </c>
      <c r="B10007">
        <v>40</v>
      </c>
      <c r="C10007" t="s">
        <v>54</v>
      </c>
      <c r="D10007" t="s">
        <v>11</v>
      </c>
      <c r="E10007" t="s">
        <v>36</v>
      </c>
      <c r="F10007" t="s">
        <v>86</v>
      </c>
      <c r="G10007" t="str">
        <f t="shared" si="421"/>
        <v>020BRIGHTON</v>
      </c>
      <c r="H10007" s="5">
        <v>4400</v>
      </c>
      <c r="I10007" s="6">
        <v>2732.4</v>
      </c>
      <c r="J10007" s="5">
        <v>20700</v>
      </c>
      <c r="K10007" s="6">
        <f t="shared" si="420"/>
        <v>1.6103059581320451</v>
      </c>
    </row>
    <row r="10008" spans="1:11">
      <c r="A10008" s="4">
        <v>2026</v>
      </c>
      <c r="B10008">
        <v>40</v>
      </c>
      <c r="C10008" t="s">
        <v>54</v>
      </c>
      <c r="D10008" t="s">
        <v>11</v>
      </c>
      <c r="E10008" t="s">
        <v>36</v>
      </c>
      <c r="F10008" t="s">
        <v>97</v>
      </c>
      <c r="G10008" t="str">
        <f t="shared" si="421"/>
        <v>020TYCOON</v>
      </c>
      <c r="H10008" s="5">
        <v>1800</v>
      </c>
      <c r="I10008" s="6">
        <v>673.2</v>
      </c>
      <c r="J10008" s="5">
        <v>5100</v>
      </c>
      <c r="K10008" s="6">
        <f t="shared" si="420"/>
        <v>2.6737967914438503</v>
      </c>
    </row>
    <row r="10009" spans="1:11">
      <c r="A10009" s="4">
        <v>2026</v>
      </c>
      <c r="B10009">
        <v>40</v>
      </c>
      <c r="C10009" t="s">
        <v>54</v>
      </c>
      <c r="D10009" t="s">
        <v>11</v>
      </c>
      <c r="E10009" t="s">
        <v>38</v>
      </c>
      <c r="F10009" t="s">
        <v>98</v>
      </c>
      <c r="G10009" t="str">
        <f t="shared" si="421"/>
        <v>021SHOW GIRL</v>
      </c>
      <c r="H10009" s="5">
        <v>1925</v>
      </c>
      <c r="I10009" s="6">
        <v>1100.4749999999999</v>
      </c>
      <c r="J10009" s="5">
        <v>8000</v>
      </c>
      <c r="K10009" s="6">
        <f t="shared" si="420"/>
        <v>1.7492446443581182</v>
      </c>
    </row>
    <row r="10010" spans="1:11">
      <c r="A10010" s="4">
        <v>2026</v>
      </c>
      <c r="B10010">
        <v>40</v>
      </c>
      <c r="C10010" t="s">
        <v>54</v>
      </c>
      <c r="D10010" t="s">
        <v>11</v>
      </c>
      <c r="E10010" t="s">
        <v>43</v>
      </c>
      <c r="F10010" t="s">
        <v>99</v>
      </c>
      <c r="G10010" t="str">
        <f t="shared" si="421"/>
        <v>022CORAL REEF</v>
      </c>
      <c r="H10010" s="5">
        <v>3350</v>
      </c>
      <c r="I10010" s="6">
        <v>1287</v>
      </c>
      <c r="J10010" s="5">
        <v>9400</v>
      </c>
      <c r="K10010" s="6">
        <f t="shared" si="420"/>
        <v>2.6029526029526031</v>
      </c>
    </row>
    <row r="10011" spans="1:11">
      <c r="A10011" s="4">
        <v>2026</v>
      </c>
      <c r="B10011">
        <v>40</v>
      </c>
      <c r="C10011" t="s">
        <v>54</v>
      </c>
      <c r="D10011" t="s">
        <v>11</v>
      </c>
      <c r="E10011" t="s">
        <v>100</v>
      </c>
      <c r="F10011" t="s">
        <v>70</v>
      </c>
      <c r="G10011" t="str">
        <f t="shared" si="421"/>
        <v>023COTOPAXI</v>
      </c>
      <c r="H10011" s="5">
        <v>8010</v>
      </c>
      <c r="I10011" s="6">
        <v>2641.14</v>
      </c>
      <c r="J10011" s="5">
        <v>19200</v>
      </c>
      <c r="K10011" s="6">
        <f t="shared" si="420"/>
        <v>3.0327812989845295</v>
      </c>
    </row>
    <row r="10012" spans="1:11">
      <c r="A10012" s="4">
        <v>2026</v>
      </c>
      <c r="B10012">
        <v>40</v>
      </c>
      <c r="C10012" t="s">
        <v>54</v>
      </c>
      <c r="D10012" t="s">
        <v>11</v>
      </c>
      <c r="E10012" t="s">
        <v>100</v>
      </c>
      <c r="F10012" t="s">
        <v>101</v>
      </c>
      <c r="G10012" t="str">
        <f t="shared" si="421"/>
        <v>023FRUTTETO</v>
      </c>
      <c r="H10012" s="5">
        <v>8490</v>
      </c>
      <c r="I10012" s="6">
        <v>2641.14</v>
      </c>
      <c r="J10012" s="5">
        <v>19200</v>
      </c>
      <c r="K10012" s="6">
        <f t="shared" si="420"/>
        <v>3.2145210022944637</v>
      </c>
    </row>
    <row r="10013" spans="1:11">
      <c r="A10013" s="4">
        <v>2026</v>
      </c>
      <c r="B10013">
        <v>40</v>
      </c>
      <c r="C10013" t="s">
        <v>54</v>
      </c>
      <c r="D10013" t="s">
        <v>11</v>
      </c>
      <c r="E10013" t="s">
        <v>102</v>
      </c>
      <c r="F10013" t="s">
        <v>70</v>
      </c>
      <c r="G10013" t="str">
        <f t="shared" si="421"/>
        <v>024COTOPAXI</v>
      </c>
      <c r="H10013" s="5">
        <v>4680</v>
      </c>
      <c r="I10013" s="6">
        <v>1430.6174906250001</v>
      </c>
      <c r="J10013" s="5">
        <v>10400</v>
      </c>
      <c r="K10013" s="6">
        <f t="shared" si="420"/>
        <v>3.2713146810161171</v>
      </c>
    </row>
    <row r="10014" spans="1:11">
      <c r="A10014" s="4">
        <v>2026</v>
      </c>
      <c r="B10014">
        <v>40</v>
      </c>
      <c r="C10014" t="s">
        <v>54</v>
      </c>
      <c r="D10014" t="s">
        <v>11</v>
      </c>
      <c r="E10014" t="s">
        <v>102</v>
      </c>
      <c r="F10014" t="s">
        <v>64</v>
      </c>
      <c r="G10014" t="str">
        <f t="shared" si="421"/>
        <v>024SWEETNESS</v>
      </c>
      <c r="H10014" s="5">
        <v>3060</v>
      </c>
      <c r="I10014" s="6">
        <v>1430.6175000000001</v>
      </c>
      <c r="J10014" s="5">
        <v>10400</v>
      </c>
      <c r="K10014" s="6">
        <f t="shared" si="420"/>
        <v>2.1389365081861502</v>
      </c>
    </row>
    <row r="10015" spans="1:11">
      <c r="A10015" s="4">
        <v>2026</v>
      </c>
      <c r="B10015">
        <v>40</v>
      </c>
      <c r="C10015" t="s">
        <v>54</v>
      </c>
      <c r="D10015" t="s">
        <v>11</v>
      </c>
      <c r="E10015" t="s">
        <v>102</v>
      </c>
      <c r="F10015" t="s">
        <v>97</v>
      </c>
      <c r="G10015" t="str">
        <f t="shared" si="421"/>
        <v>024TYCOON</v>
      </c>
      <c r="H10015" s="5">
        <v>5100</v>
      </c>
      <c r="I10015" s="6">
        <v>2861.2350000000001</v>
      </c>
      <c r="J10015" s="5">
        <v>20800</v>
      </c>
      <c r="K10015" s="6">
        <f t="shared" si="420"/>
        <v>1.7824470901551253</v>
      </c>
    </row>
    <row r="10016" spans="1:11">
      <c r="A10016" s="4">
        <v>2026</v>
      </c>
      <c r="B10016">
        <v>40</v>
      </c>
      <c r="C10016" t="s">
        <v>54</v>
      </c>
      <c r="D10016" t="s">
        <v>11</v>
      </c>
      <c r="E10016" t="s">
        <v>103</v>
      </c>
      <c r="F10016" t="s">
        <v>104</v>
      </c>
      <c r="G10016" t="str">
        <f t="shared" si="421"/>
        <v>025PINK MONDIAL</v>
      </c>
      <c r="H10016" s="5">
        <v>6675</v>
      </c>
      <c r="I10016" s="6">
        <v>3071.9505625000002</v>
      </c>
      <c r="J10016" s="5">
        <v>22400</v>
      </c>
      <c r="K10016" s="6">
        <f t="shared" si="420"/>
        <v>2.1728865306243024</v>
      </c>
    </row>
    <row r="10017" spans="1:11">
      <c r="A10017" s="4">
        <v>2026</v>
      </c>
      <c r="B10017">
        <v>40</v>
      </c>
      <c r="C10017" t="s">
        <v>54</v>
      </c>
      <c r="D10017" t="s">
        <v>11</v>
      </c>
      <c r="E10017" t="s">
        <v>45</v>
      </c>
      <c r="F10017" t="s">
        <v>105</v>
      </c>
      <c r="G10017" t="str">
        <f t="shared" si="421"/>
        <v>026LOLA</v>
      </c>
      <c r="H10017" s="5">
        <v>4925</v>
      </c>
      <c r="I10017" s="6">
        <v>1097.125</v>
      </c>
      <c r="J10017" s="5">
        <v>8000</v>
      </c>
      <c r="K10017" s="6">
        <f t="shared" si="420"/>
        <v>4.4890053549048652</v>
      </c>
    </row>
    <row r="10018" spans="1:11">
      <c r="A10018" s="4">
        <v>2026</v>
      </c>
      <c r="B10018">
        <v>40</v>
      </c>
      <c r="C10018" t="s">
        <v>54</v>
      </c>
      <c r="D10018" t="s">
        <v>11</v>
      </c>
      <c r="E10018" t="s">
        <v>45</v>
      </c>
      <c r="F10018" t="s">
        <v>106</v>
      </c>
      <c r="G10018" t="str">
        <f t="shared" si="421"/>
        <v>026PALOMA</v>
      </c>
      <c r="H10018" s="5">
        <v>6200</v>
      </c>
      <c r="I10018" s="6">
        <v>2852.5250000000001</v>
      </c>
      <c r="J10018" s="5">
        <v>20800</v>
      </c>
      <c r="K10018" s="6">
        <f t="shared" si="420"/>
        <v>2.1735129402897431</v>
      </c>
    </row>
    <row r="10019" spans="1:11">
      <c r="A10019" s="4">
        <v>2026</v>
      </c>
      <c r="B10019">
        <v>40</v>
      </c>
      <c r="C10019" t="s">
        <v>54</v>
      </c>
      <c r="D10019" t="s">
        <v>11</v>
      </c>
      <c r="E10019" t="s">
        <v>107</v>
      </c>
      <c r="F10019" t="s">
        <v>108</v>
      </c>
      <c r="G10019" t="str">
        <f t="shared" si="421"/>
        <v>027SATISFACTION</v>
      </c>
      <c r="H10019" s="5">
        <v>5280</v>
      </c>
      <c r="I10019" s="6">
        <v>2633.1</v>
      </c>
      <c r="J10019" s="5">
        <v>19200</v>
      </c>
      <c r="K10019" s="6">
        <f t="shared" si="420"/>
        <v>2.0052409707189245</v>
      </c>
    </row>
    <row r="10020" spans="1:11">
      <c r="A10020" s="4">
        <v>2026</v>
      </c>
      <c r="B10020">
        <v>40</v>
      </c>
      <c r="C10020" t="s">
        <v>54</v>
      </c>
      <c r="D10020" t="s">
        <v>11</v>
      </c>
      <c r="E10020" t="s">
        <v>107</v>
      </c>
      <c r="F10020" t="s">
        <v>109</v>
      </c>
      <c r="G10020" t="str">
        <f t="shared" si="421"/>
        <v>027TIFFANY</v>
      </c>
      <c r="H10020" s="5">
        <v>5220</v>
      </c>
      <c r="I10020" s="6">
        <v>2633.1</v>
      </c>
      <c r="J10020" s="5">
        <v>19200</v>
      </c>
      <c r="K10020" s="6">
        <f t="shared" si="420"/>
        <v>1.9824541415062096</v>
      </c>
    </row>
    <row r="10021" spans="1:11">
      <c r="A10021" s="4">
        <v>2026</v>
      </c>
      <c r="B10021">
        <v>40</v>
      </c>
      <c r="C10021" t="s">
        <v>54</v>
      </c>
      <c r="D10021" t="s">
        <v>11</v>
      </c>
      <c r="E10021" t="s">
        <v>110</v>
      </c>
      <c r="F10021" t="s">
        <v>70</v>
      </c>
      <c r="G10021" t="str">
        <f t="shared" si="421"/>
        <v>028COTOPAXI</v>
      </c>
      <c r="H10021" s="5">
        <v>5580</v>
      </c>
      <c r="I10021" s="6">
        <v>2852.5250000000001</v>
      </c>
      <c r="J10021" s="5">
        <v>20800</v>
      </c>
      <c r="K10021" s="6">
        <f t="shared" si="420"/>
        <v>1.9561616462607689</v>
      </c>
    </row>
    <row r="10022" spans="1:11">
      <c r="A10022" s="4">
        <v>2026</v>
      </c>
      <c r="B10022">
        <v>40</v>
      </c>
      <c r="C10022" t="s">
        <v>54</v>
      </c>
      <c r="D10022" t="s">
        <v>11</v>
      </c>
      <c r="E10022" t="s">
        <v>110</v>
      </c>
      <c r="F10022" t="s">
        <v>67</v>
      </c>
      <c r="G10022" t="str">
        <f t="shared" si="421"/>
        <v>028DEEP PURPLE</v>
      </c>
      <c r="H10022" s="5">
        <v>7050</v>
      </c>
      <c r="I10022" s="6">
        <v>2852.5250000000001</v>
      </c>
      <c r="J10022" s="5">
        <v>20800</v>
      </c>
      <c r="K10022" s="6">
        <f t="shared" ref="K10022:K10024" si="422">+H10022/I10022</f>
        <v>2.4714945530714014</v>
      </c>
    </row>
    <row r="10023" spans="1:11">
      <c r="A10023" s="4">
        <v>2026</v>
      </c>
      <c r="B10023">
        <v>40</v>
      </c>
      <c r="C10023" t="s">
        <v>54</v>
      </c>
      <c r="D10023" t="s">
        <v>11</v>
      </c>
      <c r="E10023" t="s">
        <v>111</v>
      </c>
      <c r="F10023" t="s">
        <v>112</v>
      </c>
      <c r="G10023" t="str">
        <f t="shared" si="421"/>
        <v>029PINK FLOYD</v>
      </c>
      <c r="H10023" s="5">
        <v>3900</v>
      </c>
      <c r="I10023" s="6">
        <v>3071.95</v>
      </c>
      <c r="J10023" s="5">
        <v>22400</v>
      </c>
      <c r="K10023" s="6">
        <f t="shared" si="422"/>
        <v>1.2695519132798385</v>
      </c>
    </row>
    <row r="10024" spans="1:11">
      <c r="A10024" s="4">
        <v>2026</v>
      </c>
      <c r="B10024">
        <v>40</v>
      </c>
      <c r="C10024" t="s">
        <v>54</v>
      </c>
      <c r="D10024" t="s">
        <v>11</v>
      </c>
      <c r="E10024" t="s">
        <v>47</v>
      </c>
      <c r="F10024" t="s">
        <v>57</v>
      </c>
      <c r="G10024" t="str">
        <f t="shared" si="421"/>
        <v>030EXPLORER</v>
      </c>
      <c r="H10024" s="5">
        <v>2550</v>
      </c>
      <c r="I10024" s="6">
        <v>1645.6875</v>
      </c>
      <c r="J10024" s="5">
        <v>12000</v>
      </c>
      <c r="K10024" s="6">
        <f t="shared" si="422"/>
        <v>1.5495043864646234</v>
      </c>
    </row>
  </sheetData>
  <autoFilter ref="A1:K9915">
    <filterColumn colId="0"/>
    <filterColumn colId="1">
      <filters>
        <filter val="40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2026-09-02T17:46:04Z</dcterms:modified>
</cp:coreProperties>
</file>