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28680" yWindow="-120" windowWidth="20730" windowHeight="11760"/>
  </bookViews>
  <sheets>
    <sheet name="Astroflores" sheetId="1" r:id="rId1"/>
  </sheets>
  <definedNames>
    <definedName name="_xlnm._FilterDatabase" localSheetId="0" hidden="1">Astroflores!$A$1:$K$110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1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110" l="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</calcChain>
</file>

<file path=xl/sharedStrings.xml><?xml version="1.0" encoding="utf-8"?>
<sst xmlns="http://schemas.openxmlformats.org/spreadsheetml/2006/main" count="447" uniqueCount="112">
  <si>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</si>
  <si>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</si>
  <si>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</si>
  <si>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</si>
  <si>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</si>
  <si>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</si>
  <si>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</si>
  <si>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</si>
  <si>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</si>
  <si>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</si>
  <si>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</si>
  <si>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</si>
  <si>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</si>
  <si>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</si>
  <si>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</si>
  <si>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</si>
  <si>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</si>
  <si>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</si>
  <si>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</si>
  <si>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</si>
  <si>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</si>
  <si>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</si>
  <si>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</si>
  <si>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</si>
  <si>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</si>
  <si>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</si>
  <si>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</si>
  <si>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</si>
  <si>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</si>
  <si>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</si>
  <si>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</si>
  <si>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</si>
  <si>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</si>
  <si>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</si>
  <si>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</si>
  <si>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</si>
  <si>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</si>
  <si>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</si>
  <si>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</si>
  <si>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</si>
  <si>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</si>
  <si>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</si>
  <si>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</si>
  <si>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</si>
  <si>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</si>
  <si>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</si>
  <si>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</si>
  <si>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</si>
  <si>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</si>
  <si>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</si>
  <si>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</si>
  <si>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</si>
  <si>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</si>
  <si>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</si>
  <si>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</si>
  <si>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</si>
  <si>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</si>
  <si>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</si>
  <si>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</si>
  <si>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</si>
  <si>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</si>
  <si>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</si>
  <si>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</si>
  <si>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</si>
  <si>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</si>
  <si>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</si>
  <si>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</si>
  <si>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</si>
  <si>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</si>
  <si>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</si>
  <si>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</si>
  <si>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</si>
  <si>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</si>
  <si>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</si>
  <si>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</si>
  <si>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</si>
  <si>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</si>
  <si>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</si>
  <si>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</si>
  <si>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</si>
  <si>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</si>
  <si>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</si>
  <si>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</si>
  <si>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</si>
  <si>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</si>
  <si>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</si>
  <si>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</si>
  <si>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</si>
  <si>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</si>
  <si>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</si>
  <si>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</si>
  <si>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</si>
  <si>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</si>
  <si>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</si>
  <si>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</si>
  <si>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</si>
  <si>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</si>
  <si>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</si>
  <si>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</si>
  <si>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</si>
  <si>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</si>
  <si>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</si>
  <si>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</si>
  <si>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</si>
  <si>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</si>
  <si>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</si>
  <si>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</si>
  <si>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</si>
  <si>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</si>
  <si>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</si>
  <si>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</si>
  <si>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Bloque&amp;Varied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</si>
</sst>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0" fontId="2" fillId="0" borderId="2" xfId="1" applyNumberFormat="1" applyFont="1" applyBorder="1"/>
    <xf numFmtId="43" fontId="0" fillId="0" borderId="0" xfId="1" applyFont="1"/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K110"/>
  <sheetViews>
    <sheetView tabSelected="1" workbookViewId="0">
      <pane xSplit="1" ySplit="1" topLeftCell="B88" activePane="bottomRight" state="frozen"/>
      <selection pane="topRight" activeCell="E1" sqref="E1"/>
      <selection pane="bottomLeft" activeCell="A3" sqref="A3"/>
      <selection pane="bottomRight" activeCell="G111" sqref="G111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1" ht="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22</v>
      </c>
      <c r="I1" s="1" t="s">
        <v>23</v>
      </c>
      <c r="J1" s="1" t="s">
        <v>6</v>
      </c>
      <c r="K1" s="3" t="s">
        <v>21</v>
      </c>
    </row>
    <row r="2" spans="1:11">
      <c r="A2" s="2">
        <v>2026</v>
      </c>
      <c r="B2" s="2">
        <v>30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+E2&amp;F2</f>
        <v>002SOMERSET</v>
      </c>
      <c r="H2" s="2">
        <v>8520</v>
      </c>
      <c r="I2" s="2">
        <v>4121.4642855494149</v>
      </c>
      <c r="J2" s="2">
        <v>31200</v>
      </c>
      <c r="K2" s="5">
        <f>+H2/I2</f>
        <v>2.0672264539262493</v>
      </c>
    </row>
    <row r="3" spans="1:11">
      <c r="A3" s="2">
        <v>2026</v>
      </c>
      <c r="B3" s="2">
        <v>30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0">+E3&amp;F3</f>
        <v>004BELLINA</v>
      </c>
      <c r="H3" s="2">
        <v>2370</v>
      </c>
      <c r="I3" s="2">
        <v>1056.785714243442</v>
      </c>
      <c r="J3" s="2">
        <v>8000</v>
      </c>
      <c r="K3" s="5">
        <f t="shared" ref="K3:K21" si="1">+H3/I3</f>
        <v>2.2426495438544931</v>
      </c>
    </row>
    <row r="4" spans="1:11">
      <c r="A4" s="2">
        <v>2026</v>
      </c>
      <c r="B4" s="2">
        <v>30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0"/>
        <v>005ELBA</v>
      </c>
      <c r="H4" s="2">
        <v>7080</v>
      </c>
      <c r="I4" s="2">
        <v>2641.9642856076453</v>
      </c>
      <c r="J4" s="2">
        <v>19996</v>
      </c>
      <c r="K4" s="5">
        <f t="shared" si="1"/>
        <v>2.6798242650625452</v>
      </c>
    </row>
    <row r="5" spans="1:11">
      <c r="A5" s="2">
        <v>2026</v>
      </c>
      <c r="B5" s="2">
        <v>30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0"/>
        <v>005HOT BUBBLES</v>
      </c>
      <c r="H5" s="2">
        <v>1280</v>
      </c>
      <c r="I5" s="2">
        <v>528.39285712153003</v>
      </c>
      <c r="J5" s="2">
        <v>4000</v>
      </c>
      <c r="K5" s="5">
        <f t="shared" si="1"/>
        <v>2.4224400136158555</v>
      </c>
    </row>
    <row r="6" spans="1:11">
      <c r="A6" s="2">
        <v>2026</v>
      </c>
      <c r="B6" s="2">
        <v>30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0"/>
        <v>005SUSPIRO</v>
      </c>
      <c r="H6" s="2">
        <v>3660</v>
      </c>
      <c r="I6" s="2">
        <v>1902.2142856375083</v>
      </c>
      <c r="J6" s="2">
        <v>14400</v>
      </c>
      <c r="K6" s="5">
        <f t="shared" si="1"/>
        <v>1.9240734483146766</v>
      </c>
    </row>
    <row r="7" spans="1:11">
      <c r="A7" s="2">
        <v>2026</v>
      </c>
      <c r="B7" s="2">
        <v>30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0"/>
        <v>007SNOW BUBBLES</v>
      </c>
      <c r="H7" s="2">
        <v>1500</v>
      </c>
      <c r="I7" s="2">
        <v>634.05652706821184</v>
      </c>
      <c r="J7" s="2">
        <v>4800</v>
      </c>
      <c r="K7" s="5">
        <f t="shared" si="1"/>
        <v>2.3657196731903212</v>
      </c>
    </row>
    <row r="8" spans="1:11">
      <c r="A8" s="2">
        <v>2026</v>
      </c>
      <c r="B8" s="2">
        <v>30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0"/>
        <v>009HOT BUBBLES</v>
      </c>
      <c r="H8" s="2">
        <v>8520</v>
      </c>
      <c r="I8" s="2">
        <v>4487.9999999102447</v>
      </c>
      <c r="J8" s="2">
        <v>31740</v>
      </c>
      <c r="K8" s="5">
        <f t="shared" si="1"/>
        <v>1.8983957219630996</v>
      </c>
    </row>
    <row r="9" spans="1:11">
      <c r="A9" s="2">
        <v>2026</v>
      </c>
      <c r="B9" s="2">
        <v>30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0"/>
        <v>014FRUITY BUBBLES</v>
      </c>
      <c r="H9" s="2">
        <v>3975</v>
      </c>
      <c r="I9" s="2">
        <v>1702.799999999999</v>
      </c>
      <c r="J9" s="2">
        <v>12900</v>
      </c>
      <c r="K9" s="5">
        <f t="shared" si="1"/>
        <v>2.3343904157857658</v>
      </c>
    </row>
    <row r="10" spans="1:11">
      <c r="A10" s="2">
        <v>2026</v>
      </c>
      <c r="B10" s="2">
        <v>30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0"/>
        <v>015FELLINI</v>
      </c>
      <c r="H10" s="2">
        <v>6660</v>
      </c>
      <c r="I10" s="2">
        <v>3009.5999999999958</v>
      </c>
      <c r="J10" s="2">
        <v>22800</v>
      </c>
      <c r="K10" s="5">
        <f t="shared" si="1"/>
        <v>2.2129186602870843</v>
      </c>
    </row>
    <row r="11" spans="1:11">
      <c r="A11" s="2">
        <v>2026</v>
      </c>
      <c r="B11" s="2">
        <v>30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0"/>
        <v>016GOOD PEACH</v>
      </c>
      <c r="H11" s="2">
        <v>3270</v>
      </c>
      <c r="I11" s="2">
        <v>1385.9999999999995</v>
      </c>
      <c r="J11" s="2">
        <v>10500</v>
      </c>
      <c r="K11" s="5">
        <f t="shared" si="1"/>
        <v>2.3593073593073601</v>
      </c>
    </row>
    <row r="12" spans="1:11">
      <c r="A12" s="2">
        <v>2026</v>
      </c>
      <c r="B12" s="2">
        <v>30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0"/>
        <v>016GOOD YELLOW</v>
      </c>
      <c r="H12" s="2">
        <v>4050</v>
      </c>
      <c r="I12" s="2">
        <v>1385.9999999999995</v>
      </c>
      <c r="J12" s="2">
        <v>10500</v>
      </c>
      <c r="K12" s="5">
        <f t="shared" si="1"/>
        <v>2.9220779220779232</v>
      </c>
    </row>
    <row r="13" spans="1:11">
      <c r="A13" s="2">
        <v>2026</v>
      </c>
      <c r="B13" s="2">
        <v>30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0"/>
        <v>017ORANGE STAR</v>
      </c>
      <c r="H13" s="2">
        <v>1475</v>
      </c>
      <c r="I13" s="2">
        <v>1029.6000000000004</v>
      </c>
      <c r="J13" s="2">
        <v>7900</v>
      </c>
      <c r="K13" s="5">
        <f t="shared" si="1"/>
        <v>1.4325951825951821</v>
      </c>
    </row>
    <row r="14" spans="1:11">
      <c r="A14" s="2">
        <v>2026</v>
      </c>
      <c r="B14" s="2">
        <v>30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0"/>
        <v>018COSMO</v>
      </c>
      <c r="H14" s="2">
        <v>4625</v>
      </c>
      <c r="I14" s="2">
        <v>2653.1999999999966</v>
      </c>
      <c r="J14" s="2">
        <v>20100</v>
      </c>
      <c r="K14" s="5">
        <f t="shared" si="1"/>
        <v>1.7431780491482005</v>
      </c>
    </row>
    <row r="15" spans="1:11">
      <c r="A15" s="2">
        <v>2026</v>
      </c>
      <c r="B15" s="2">
        <v>30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0"/>
        <v>018RUBICON</v>
      </c>
      <c r="H15" s="2">
        <v>3510</v>
      </c>
      <c r="I15" s="2">
        <v>1768.7999999999988</v>
      </c>
      <c r="J15" s="2">
        <v>13400</v>
      </c>
      <c r="K15" s="5">
        <f t="shared" si="1"/>
        <v>1.9843962008141125</v>
      </c>
    </row>
    <row r="16" spans="1:11">
      <c r="A16" s="2">
        <v>2026</v>
      </c>
      <c r="B16" s="2">
        <v>30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0"/>
        <v>019BELLINA</v>
      </c>
      <c r="H16" s="2">
        <v>2190</v>
      </c>
      <c r="I16" s="2">
        <v>1029.6000000000004</v>
      </c>
      <c r="J16" s="2">
        <v>7800</v>
      </c>
      <c r="K16" s="5">
        <f t="shared" si="1"/>
        <v>2.1270396270396263</v>
      </c>
    </row>
    <row r="17" spans="1:11">
      <c r="A17" s="2">
        <v>2026</v>
      </c>
      <c r="B17" s="2">
        <v>30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0"/>
        <v>020SUMMER DANCE</v>
      </c>
      <c r="H17" s="2">
        <v>3625</v>
      </c>
      <c r="I17" s="2">
        <v>1346.3999999999996</v>
      </c>
      <c r="J17" s="2">
        <v>10200</v>
      </c>
      <c r="K17" s="5">
        <f t="shared" si="1"/>
        <v>2.6923648247177665</v>
      </c>
    </row>
    <row r="18" spans="1:11">
      <c r="A18" s="2">
        <v>2026</v>
      </c>
      <c r="B18" s="2">
        <v>30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0"/>
        <v>021ELEGANT ROSEVER</v>
      </c>
      <c r="H18" s="2">
        <v>1020</v>
      </c>
      <c r="I18" s="2">
        <v>440.18999062500001</v>
      </c>
      <c r="J18" s="2">
        <v>3200</v>
      </c>
      <c r="K18" s="5">
        <f t="shared" si="1"/>
        <v>2.3171812665521125</v>
      </c>
    </row>
    <row r="19" spans="1:11">
      <c r="A19" s="2">
        <v>2026</v>
      </c>
      <c r="B19" s="2">
        <v>30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0"/>
        <v>021FLAME CLUB</v>
      </c>
      <c r="H19" s="2">
        <v>1425</v>
      </c>
      <c r="I19" s="2">
        <v>880.37999999999977</v>
      </c>
      <c r="J19" s="2">
        <v>6400</v>
      </c>
      <c r="K19" s="5">
        <f t="shared" si="1"/>
        <v>1.6186192326041031</v>
      </c>
    </row>
    <row r="20" spans="1:11">
      <c r="A20" s="2">
        <v>2026</v>
      </c>
      <c r="B20" s="2">
        <v>30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0"/>
        <v>021KELLY</v>
      </c>
      <c r="H20" s="2">
        <v>475</v>
      </c>
      <c r="I20" s="2">
        <v>330.14249999999998</v>
      </c>
      <c r="J20" s="2">
        <v>2400</v>
      </c>
      <c r="K20" s="5">
        <f t="shared" si="1"/>
        <v>1.4387726512036469</v>
      </c>
    </row>
    <row r="21" spans="1:11">
      <c r="A21" s="2">
        <v>2026</v>
      </c>
      <c r="B21" s="2">
        <v>30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0"/>
        <v>021LEILA</v>
      </c>
      <c r="H21" s="2">
        <v>875</v>
      </c>
      <c r="I21" s="2">
        <v>770.33249999999975</v>
      </c>
      <c r="J21" s="2">
        <v>5600</v>
      </c>
      <c r="K21" s="5">
        <f t="shared" si="1"/>
        <v>1.1358731456870901</v>
      </c>
    </row>
    <row r="22" spans="1:11">
      <c r="A22" s="2">
        <v>2026</v>
      </c>
      <c r="B22" s="2">
        <v>30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0"/>
        <v>021PISTACHIO KISS</v>
      </c>
      <c r="H22" s="2">
        <v>600</v>
      </c>
      <c r="I22" s="2">
        <v>880.37999999999965</v>
      </c>
      <c r="J22" s="2">
        <v>6400</v>
      </c>
      <c r="K22" s="5">
        <f t="shared" ref="K22:K85" si="2">+H22/I22</f>
        <v>0.68152388741225411</v>
      </c>
    </row>
    <row r="23" spans="1:11">
      <c r="A23" s="2">
        <v>2026</v>
      </c>
      <c r="B23" s="2">
        <v>30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0"/>
        <v>021SNOW BUBBLES</v>
      </c>
      <c r="H23" s="2">
        <v>2720</v>
      </c>
      <c r="I23" s="2">
        <v>1287.0000000000018</v>
      </c>
      <c r="J23" s="2">
        <v>9400</v>
      </c>
      <c r="K23" s="5">
        <f t="shared" si="2"/>
        <v>2.1134421134421104</v>
      </c>
    </row>
    <row r="24" spans="1:11">
      <c r="A24" s="2">
        <v>2026</v>
      </c>
      <c r="B24" s="2">
        <v>30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0"/>
        <v>022FRUITY BUBBLES</v>
      </c>
      <c r="H24" s="2">
        <v>5000</v>
      </c>
      <c r="I24" s="2">
        <v>2641.1399999999994</v>
      </c>
      <c r="J24" s="2">
        <v>19200</v>
      </c>
      <c r="K24" s="5">
        <f t="shared" si="2"/>
        <v>1.8931219094784832</v>
      </c>
    </row>
    <row r="25" spans="1:11">
      <c r="A25" s="2">
        <v>2026</v>
      </c>
      <c r="B25" s="2">
        <v>30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0"/>
        <v>022GOOD PEACH</v>
      </c>
      <c r="H25" s="2">
        <v>2190</v>
      </c>
      <c r="I25" s="2">
        <v>880.37999999999965</v>
      </c>
      <c r="J25" s="2">
        <v>6400</v>
      </c>
      <c r="K25" s="5">
        <f t="shared" si="2"/>
        <v>2.4875621890547275</v>
      </c>
    </row>
    <row r="26" spans="1:11">
      <c r="A26" s="2">
        <v>2026</v>
      </c>
      <c r="B26" s="2">
        <v>30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0"/>
        <v>022MIRABEL</v>
      </c>
      <c r="H26" s="2">
        <v>2380</v>
      </c>
      <c r="I26" s="2">
        <v>880.37999999999965</v>
      </c>
      <c r="J26" s="2">
        <v>6400</v>
      </c>
      <c r="K26" s="5">
        <f t="shared" si="2"/>
        <v>2.7033780867352744</v>
      </c>
    </row>
    <row r="27" spans="1:11">
      <c r="A27" s="2">
        <v>2026</v>
      </c>
      <c r="B27" s="2">
        <v>30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0"/>
        <v>030MIRABEL</v>
      </c>
      <c r="H27" s="2">
        <v>6960</v>
      </c>
      <c r="I27" s="2">
        <v>2413.6749943750001</v>
      </c>
      <c r="J27" s="2">
        <v>17600</v>
      </c>
      <c r="K27" s="5">
        <f t="shared" si="2"/>
        <v>2.8835696670927442</v>
      </c>
    </row>
    <row r="28" spans="1:11">
      <c r="A28" s="2">
        <v>2026</v>
      </c>
      <c r="B28" s="2">
        <v>30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0"/>
        <v>030SOMERSET</v>
      </c>
      <c r="H28" s="2">
        <v>3720</v>
      </c>
      <c r="I28" s="2">
        <v>1645.6875000000009</v>
      </c>
      <c r="J28" s="2">
        <v>12000</v>
      </c>
      <c r="K28" s="5">
        <f t="shared" si="2"/>
        <v>2.2604534579013316</v>
      </c>
    </row>
    <row r="29" spans="1:11">
      <c r="A29" s="2">
        <v>2026</v>
      </c>
      <c r="B29" s="2">
        <v>30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0"/>
        <v>03182989</v>
      </c>
      <c r="H29" s="2">
        <v>720</v>
      </c>
      <c r="I29" s="2">
        <v>726.32013058333712</v>
      </c>
      <c r="J29" s="2">
        <v>5712</v>
      </c>
      <c r="K29" s="5">
        <f t="shared" si="2"/>
        <v>0.99129842294435488</v>
      </c>
    </row>
    <row r="30" spans="1:11">
      <c r="A30" s="2">
        <v>2026</v>
      </c>
      <c r="B30" s="2">
        <v>30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0"/>
        <v>031RUBICON</v>
      </c>
      <c r="H30" s="2">
        <v>2400</v>
      </c>
      <c r="I30" s="2">
        <v>924.39958333667118</v>
      </c>
      <c r="J30" s="2">
        <v>6720</v>
      </c>
      <c r="K30" s="5">
        <f t="shared" si="2"/>
        <v>2.596279837488749</v>
      </c>
    </row>
    <row r="31" spans="1:11">
      <c r="A31" s="2">
        <v>2026</v>
      </c>
      <c r="B31" s="2">
        <v>30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0"/>
        <v>031SOMERSET</v>
      </c>
      <c r="H31" s="2">
        <v>900</v>
      </c>
      <c r="I31" s="2">
        <v>1122.4852083333392</v>
      </c>
      <c r="J31" s="2">
        <v>8160</v>
      </c>
      <c r="K31" s="5">
        <f t="shared" si="2"/>
        <v>0.80179230275676938</v>
      </c>
    </row>
    <row r="32" spans="1:11">
      <c r="A32" s="2">
        <v>2026</v>
      </c>
      <c r="B32" s="2">
        <v>30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0"/>
        <v>031VELVET BLOSSOMS</v>
      </c>
      <c r="H32" s="2">
        <v>1020</v>
      </c>
      <c r="I32" s="2">
        <v>396.17125000000203</v>
      </c>
      <c r="J32" s="2">
        <v>2880</v>
      </c>
      <c r="K32" s="5">
        <f t="shared" si="2"/>
        <v>2.5746441721856264</v>
      </c>
    </row>
    <row r="33" spans="1:11">
      <c r="A33" s="2">
        <v>2026</v>
      </c>
      <c r="B33" s="2">
        <v>30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0"/>
        <v>032ELBA</v>
      </c>
      <c r="H33" s="2">
        <v>3090</v>
      </c>
      <c r="I33" s="2">
        <v>1535.9749999999995</v>
      </c>
      <c r="J33" s="2">
        <v>11200</v>
      </c>
      <c r="K33" s="5">
        <f t="shared" si="2"/>
        <v>2.0117514933511296</v>
      </c>
    </row>
    <row r="34" spans="1:11">
      <c r="A34" s="2">
        <v>2026</v>
      </c>
      <c r="B34" s="2">
        <v>30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0"/>
        <v>032MIRABEL</v>
      </c>
      <c r="H34" s="2">
        <v>2100</v>
      </c>
      <c r="I34" s="2">
        <v>1535.9749999999995</v>
      </c>
      <c r="J34" s="2">
        <v>11200</v>
      </c>
      <c r="K34" s="5">
        <f t="shared" si="2"/>
        <v>1.3672097527629035</v>
      </c>
    </row>
    <row r="35" spans="1:11">
      <c r="A35" s="2">
        <v>2026</v>
      </c>
      <c r="B35" s="2">
        <v>30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0"/>
        <v>033CREAMY FOLIES</v>
      </c>
      <c r="H35" s="2">
        <v>1170</v>
      </c>
      <c r="I35" s="2">
        <v>594.25687500000311</v>
      </c>
      <c r="J35" s="2">
        <v>4320</v>
      </c>
      <c r="K35" s="5">
        <f t="shared" si="2"/>
        <v>1.968845543436067</v>
      </c>
    </row>
    <row r="36" spans="1:11">
      <c r="A36" s="2">
        <v>2026</v>
      </c>
      <c r="B36" s="2">
        <v>30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0"/>
        <v>033HOT BUBBLES</v>
      </c>
      <c r="H36" s="2">
        <v>4920</v>
      </c>
      <c r="I36" s="2">
        <v>2575.1131250013464</v>
      </c>
      <c r="J36" s="2">
        <v>18720</v>
      </c>
      <c r="K36" s="5">
        <f t="shared" si="2"/>
        <v>1.910595675286082</v>
      </c>
    </row>
    <row r="37" spans="1:11">
      <c r="A37" s="2">
        <v>2026</v>
      </c>
      <c r="B37" s="2">
        <v>30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0"/>
        <v>001BELIEVE IN PINK</v>
      </c>
      <c r="H37" s="2">
        <v>1470</v>
      </c>
      <c r="I37" s="2">
        <v>1690.8137930358068</v>
      </c>
      <c r="J37" s="2">
        <v>12800</v>
      </c>
      <c r="K37" s="5">
        <f t="shared" si="2"/>
        <v>0.86940383740344218</v>
      </c>
    </row>
    <row r="38" spans="1:11">
      <c r="A38" s="2">
        <v>2026</v>
      </c>
      <c r="B38" s="2">
        <v>30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0"/>
        <v>001EXPLORER</v>
      </c>
      <c r="H38" s="2">
        <v>3875</v>
      </c>
      <c r="I38" s="2">
        <v>2272.0310343918727</v>
      </c>
      <c r="J38" s="2">
        <v>17200</v>
      </c>
      <c r="K38" s="5">
        <f t="shared" si="2"/>
        <v>1.7055224780576885</v>
      </c>
    </row>
    <row r="39" spans="1:11">
      <c r="A39" s="2">
        <v>2026</v>
      </c>
      <c r="B39" s="2">
        <v>30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0"/>
        <v>001GRACE KELLY</v>
      </c>
      <c r="H39" s="2">
        <v>2310</v>
      </c>
      <c r="I39" s="2">
        <v>1162.434482712122</v>
      </c>
      <c r="J39" s="2">
        <v>8800</v>
      </c>
      <c r="K39" s="5">
        <f t="shared" si="2"/>
        <v>1.9872087712078599</v>
      </c>
    </row>
    <row r="40" spans="1:11">
      <c r="A40" s="2">
        <v>2026</v>
      </c>
      <c r="B40" s="2">
        <v>30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0"/>
        <v>001LIGHT HOUSE</v>
      </c>
      <c r="H40" s="2">
        <v>2040</v>
      </c>
      <c r="I40" s="2">
        <v>1056.7586206473825</v>
      </c>
      <c r="J40" s="2">
        <v>8000</v>
      </c>
      <c r="K40" s="5">
        <f t="shared" si="2"/>
        <v>1.9304313777447801</v>
      </c>
    </row>
    <row r="41" spans="1:11">
      <c r="A41" s="2">
        <v>2026</v>
      </c>
      <c r="B41" s="2">
        <v>30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0"/>
        <v>001LUMIA</v>
      </c>
      <c r="H41" s="2">
        <v>3510</v>
      </c>
      <c r="I41" s="2">
        <v>1109.5965516797528</v>
      </c>
      <c r="J41" s="2">
        <v>8400</v>
      </c>
      <c r="K41" s="5">
        <f t="shared" si="2"/>
        <v>3.1633119215145524</v>
      </c>
    </row>
    <row r="42" spans="1:11">
      <c r="A42" s="2">
        <v>2026</v>
      </c>
      <c r="B42" s="2">
        <v>30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0"/>
        <v>001MOMENTUM</v>
      </c>
      <c r="H42" s="2">
        <v>4525</v>
      </c>
      <c r="I42" s="2">
        <v>1902.1655171652869</v>
      </c>
      <c r="J42" s="2">
        <v>14400</v>
      </c>
      <c r="K42" s="5">
        <f t="shared" si="2"/>
        <v>2.3788676427819002</v>
      </c>
    </row>
    <row r="43" spans="1:11">
      <c r="A43" s="2">
        <v>2026</v>
      </c>
      <c r="B43" s="2">
        <v>30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0"/>
        <v>002SUMMER ROMANCE</v>
      </c>
      <c r="H43" s="2">
        <v>1500</v>
      </c>
      <c r="I43" s="2">
        <v>951.10714281909407</v>
      </c>
      <c r="J43" s="2">
        <v>7200</v>
      </c>
      <c r="K43" s="5">
        <f t="shared" si="2"/>
        <v>1.5771093838639254</v>
      </c>
    </row>
    <row r="44" spans="1:11">
      <c r="A44" s="2">
        <v>2026</v>
      </c>
      <c r="B44" s="2">
        <v>30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0"/>
        <v>002SWEETNESS</v>
      </c>
      <c r="H44" s="2">
        <v>6870</v>
      </c>
      <c r="I44" s="2">
        <v>3804.4285712763835</v>
      </c>
      <c r="J44" s="2">
        <v>28800</v>
      </c>
      <c r="K44" s="5">
        <f t="shared" si="2"/>
        <v>1.8057902445241911</v>
      </c>
    </row>
    <row r="45" spans="1:11">
      <c r="A45" s="2">
        <v>2026</v>
      </c>
      <c r="B45" s="2">
        <v>30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0"/>
        <v>003CABARET</v>
      </c>
      <c r="H45" s="2">
        <v>6450</v>
      </c>
      <c r="I45" s="2">
        <v>2641.8965516184676</v>
      </c>
      <c r="J45" s="2">
        <v>20000</v>
      </c>
      <c r="K45" s="5">
        <f t="shared" si="2"/>
        <v>2.4414279189125057</v>
      </c>
    </row>
    <row r="46" spans="1:11">
      <c r="A46" s="2">
        <v>2026</v>
      </c>
      <c r="B46" s="2">
        <v>30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0"/>
        <v>003DEEP PURPLE</v>
      </c>
      <c r="H46" s="2">
        <v>10170</v>
      </c>
      <c r="I46" s="2">
        <v>3592.9793102010885</v>
      </c>
      <c r="J46" s="2">
        <v>26044</v>
      </c>
      <c r="K46" s="5">
        <f t="shared" si="2"/>
        <v>2.8305200564683504</v>
      </c>
    </row>
    <row r="47" spans="1:11">
      <c r="A47" s="2">
        <v>2026</v>
      </c>
      <c r="B47" s="2">
        <v>30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0"/>
        <v>003EXPLORER</v>
      </c>
      <c r="H47" s="2">
        <v>2125</v>
      </c>
      <c r="I47" s="2">
        <v>1268.1103447768635</v>
      </c>
      <c r="J47" s="2">
        <v>9600</v>
      </c>
      <c r="K47" s="5">
        <f t="shared" si="2"/>
        <v>1.6757216820701157</v>
      </c>
    </row>
    <row r="48" spans="1:11">
      <c r="A48" s="2">
        <v>2026</v>
      </c>
      <c r="B48" s="2">
        <v>30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0"/>
        <v>003JOCKER</v>
      </c>
      <c r="H48" s="2">
        <v>1300</v>
      </c>
      <c r="I48" s="2">
        <v>528.37931032368999</v>
      </c>
      <c r="J48" s="2">
        <v>4000</v>
      </c>
      <c r="K48" s="5">
        <f t="shared" si="2"/>
        <v>2.460353716733549</v>
      </c>
    </row>
    <row r="49" spans="1:11">
      <c r="A49" s="2">
        <v>2026</v>
      </c>
      <c r="B49" s="2">
        <v>30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0"/>
        <v>003QUICKSAND</v>
      </c>
      <c r="H49" s="2">
        <v>2220</v>
      </c>
      <c r="I49" s="2">
        <v>1162.4344827121247</v>
      </c>
      <c r="J49" s="2">
        <v>8800</v>
      </c>
      <c r="K49" s="5">
        <f t="shared" si="2"/>
        <v>1.9097850528491076</v>
      </c>
    </row>
    <row r="50" spans="1:11">
      <c r="A50" s="2">
        <v>2026</v>
      </c>
      <c r="B50" s="2">
        <v>30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0"/>
        <v>004COTOPAXI</v>
      </c>
      <c r="H50" s="2">
        <v>1440</v>
      </c>
      <c r="I50" s="2">
        <v>528.3915024419166</v>
      </c>
      <c r="J50" s="2">
        <v>4000</v>
      </c>
      <c r="K50" s="5">
        <f t="shared" si="2"/>
        <v>2.7252520022467466</v>
      </c>
    </row>
    <row r="51" spans="1:11">
      <c r="A51" s="2">
        <v>2026</v>
      </c>
      <c r="B51" s="2">
        <v>30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0"/>
        <v>004DEEP PURPLE</v>
      </c>
      <c r="H51" s="2">
        <v>12150</v>
      </c>
      <c r="I51" s="2">
        <v>3910.1071427007341</v>
      </c>
      <c r="J51" s="2">
        <v>29260</v>
      </c>
      <c r="K51" s="5">
        <f t="shared" si="2"/>
        <v>3.1073317319913447</v>
      </c>
    </row>
    <row r="52" spans="1:11">
      <c r="A52" s="2">
        <v>2026</v>
      </c>
      <c r="B52" s="2">
        <v>30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0"/>
        <v>004HOT EXPLORER</v>
      </c>
      <c r="H52" s="2">
        <v>1375</v>
      </c>
      <c r="I52" s="2">
        <v>1902.2142856381952</v>
      </c>
      <c r="J52" s="2">
        <v>14400</v>
      </c>
      <c r="K52" s="5">
        <f t="shared" si="2"/>
        <v>0.72284180093762984</v>
      </c>
    </row>
    <row r="53" spans="1:11">
      <c r="A53" s="2">
        <v>2026</v>
      </c>
      <c r="B53" s="2">
        <v>30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0"/>
        <v>004HOT MERENGUE</v>
      </c>
      <c r="H53" s="2">
        <v>2400</v>
      </c>
      <c r="I53" s="2">
        <v>1162.464285667786</v>
      </c>
      <c r="J53" s="2">
        <v>8800</v>
      </c>
      <c r="K53" s="5">
        <f t="shared" si="2"/>
        <v>2.0645795570582219</v>
      </c>
    </row>
    <row r="54" spans="1:11">
      <c r="A54" s="2">
        <v>2026</v>
      </c>
      <c r="B54" s="2">
        <v>30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0"/>
        <v>004SWEETNESS</v>
      </c>
      <c r="H54" s="2">
        <v>690</v>
      </c>
      <c r="I54" s="2">
        <v>317.03571427303262</v>
      </c>
      <c r="J54" s="2">
        <v>2400</v>
      </c>
      <c r="K54" s="5">
        <f t="shared" si="2"/>
        <v>2.1764109497322086</v>
      </c>
    </row>
    <row r="55" spans="1:11">
      <c r="A55" s="2">
        <v>2026</v>
      </c>
      <c r="B55" s="2">
        <v>30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0"/>
        <v>005EXPLORER</v>
      </c>
      <c r="H55" s="2">
        <v>1650</v>
      </c>
      <c r="I55" s="2">
        <v>951.10714281875414</v>
      </c>
      <c r="J55" s="2">
        <v>7200</v>
      </c>
      <c r="K55" s="5">
        <f t="shared" si="2"/>
        <v>1.734820322250938</v>
      </c>
    </row>
    <row r="56" spans="1:11">
      <c r="A56" s="2">
        <v>2026</v>
      </c>
      <c r="B56" s="2">
        <v>30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0"/>
        <v>005GOLDFINCH</v>
      </c>
      <c r="H56" s="2">
        <v>900</v>
      </c>
      <c r="I56" s="2">
        <v>898.26785710660113</v>
      </c>
      <c r="J56" s="2">
        <v>6800</v>
      </c>
      <c r="K56" s="5">
        <f t="shared" si="2"/>
        <v>1.0019283144550872</v>
      </c>
    </row>
    <row r="57" spans="1:11">
      <c r="A57" s="2">
        <v>2026</v>
      </c>
      <c r="B57" s="2">
        <v>30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0"/>
        <v>005JOCKER</v>
      </c>
      <c r="H57" s="2">
        <v>3150</v>
      </c>
      <c r="I57" s="2">
        <v>1162.4642856673661</v>
      </c>
      <c r="J57" s="2">
        <v>8800</v>
      </c>
      <c r="K57" s="5">
        <f t="shared" si="2"/>
        <v>2.7097606686398952</v>
      </c>
    </row>
    <row r="58" spans="1:11">
      <c r="A58" s="2">
        <v>2026</v>
      </c>
      <c r="B58" s="2">
        <v>30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0"/>
        <v>005VENDELA</v>
      </c>
      <c r="H58" s="2">
        <v>2100</v>
      </c>
      <c r="I58" s="2">
        <v>686.91071425798907</v>
      </c>
      <c r="J58" s="2">
        <v>5200</v>
      </c>
      <c r="K58" s="5">
        <f t="shared" si="2"/>
        <v>3.0571658825680865</v>
      </c>
    </row>
    <row r="59" spans="1:11">
      <c r="A59" s="2">
        <v>2026</v>
      </c>
      <c r="B59" s="2">
        <v>30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0"/>
        <v>006ATOMIC</v>
      </c>
      <c r="H59" s="2">
        <v>900</v>
      </c>
      <c r="I59" s="2">
        <v>845.428571394752</v>
      </c>
      <c r="J59" s="2">
        <v>6400</v>
      </c>
      <c r="K59" s="5">
        <f t="shared" si="2"/>
        <v>1.0645488341081475</v>
      </c>
    </row>
    <row r="60" spans="1:11">
      <c r="A60" s="2">
        <v>2026</v>
      </c>
      <c r="B60" s="2">
        <v>30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0"/>
        <v>006EXPLORER</v>
      </c>
      <c r="H60" s="2">
        <v>6075</v>
      </c>
      <c r="I60" s="2">
        <v>3910.1071427007359</v>
      </c>
      <c r="J60" s="2">
        <v>29600</v>
      </c>
      <c r="K60" s="5">
        <f t="shared" si="2"/>
        <v>1.5536658659956717</v>
      </c>
    </row>
    <row r="61" spans="1:11">
      <c r="A61" s="2">
        <v>2026</v>
      </c>
      <c r="B61" s="2">
        <v>30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0"/>
        <v>006MONDIAL</v>
      </c>
      <c r="H61" s="2">
        <v>10650</v>
      </c>
      <c r="I61" s="2">
        <v>4015.7857141250802</v>
      </c>
      <c r="J61" s="2">
        <v>30400</v>
      </c>
      <c r="K61" s="5">
        <f t="shared" si="2"/>
        <v>2.6520339376027482</v>
      </c>
    </row>
    <row r="62" spans="1:11">
      <c r="A62" s="2">
        <v>2026</v>
      </c>
      <c r="B62" s="2">
        <v>30</v>
      </c>
      <c r="C62" s="2" t="s">
        <v>10</v>
      </c>
      <c r="D62" s="2" t="s">
        <v>8</v>
      </c>
      <c r="E62" s="2" t="s">
        <v>32</v>
      </c>
      <c r="F62" s="2" t="s">
        <v>65</v>
      </c>
      <c r="G62" s="2" t="str">
        <f t="shared" si="0"/>
        <v>007BELIEVE IN PINK</v>
      </c>
      <c r="H62" s="2">
        <v>0</v>
      </c>
      <c r="I62" s="2">
        <v>964.29224134073957</v>
      </c>
      <c r="J62" s="2">
        <v>7300</v>
      </c>
      <c r="K62" s="5">
        <f t="shared" si="2"/>
        <v>0</v>
      </c>
    </row>
    <row r="63" spans="1:11">
      <c r="A63" s="2">
        <v>2026</v>
      </c>
      <c r="B63" s="2">
        <v>30</v>
      </c>
      <c r="C63" s="2" t="s">
        <v>10</v>
      </c>
      <c r="D63" s="2" t="s">
        <v>8</v>
      </c>
      <c r="E63" s="2" t="s">
        <v>32</v>
      </c>
      <c r="F63" s="2" t="s">
        <v>18</v>
      </c>
      <c r="G63" s="2" t="str">
        <f t="shared" si="0"/>
        <v>007COTOPAXI</v>
      </c>
      <c r="H63" s="2">
        <v>6060</v>
      </c>
      <c r="I63" s="2">
        <v>2747.5751230427736</v>
      </c>
      <c r="J63" s="2">
        <v>20800</v>
      </c>
      <c r="K63" s="5">
        <f t="shared" si="2"/>
        <v>2.2055811865441974</v>
      </c>
    </row>
    <row r="64" spans="1:11">
      <c r="A64" s="2">
        <v>2026</v>
      </c>
      <c r="B64" s="2">
        <v>30</v>
      </c>
      <c r="C64" s="2" t="s">
        <v>10</v>
      </c>
      <c r="D64" s="2" t="s">
        <v>8</v>
      </c>
      <c r="E64" s="2" t="s">
        <v>32</v>
      </c>
      <c r="F64" s="2" t="s">
        <v>84</v>
      </c>
      <c r="G64" s="2" t="str">
        <f t="shared" si="0"/>
        <v>007REDIANT</v>
      </c>
      <c r="H64" s="2">
        <v>2070</v>
      </c>
      <c r="I64" s="2">
        <v>1056.7586206473795</v>
      </c>
      <c r="J64" s="2">
        <v>9600</v>
      </c>
      <c r="K64" s="5">
        <f t="shared" si="2"/>
        <v>1.9588200744763264</v>
      </c>
    </row>
    <row r="65" spans="1:11">
      <c r="A65" s="2">
        <v>2026</v>
      </c>
      <c r="B65" s="2">
        <v>30</v>
      </c>
      <c r="C65" s="2" t="s">
        <v>10</v>
      </c>
      <c r="D65" s="2" t="s">
        <v>8</v>
      </c>
      <c r="E65" s="2" t="s">
        <v>32</v>
      </c>
      <c r="F65" s="2" t="s">
        <v>71</v>
      </c>
      <c r="G65" s="2" t="str">
        <f t="shared" si="0"/>
        <v>007SUMMER ROMANCE</v>
      </c>
      <c r="H65" s="2">
        <v>575</v>
      </c>
      <c r="I65" s="2">
        <v>317.02758619421576</v>
      </c>
      <c r="J65" s="2">
        <v>2640</v>
      </c>
      <c r="K65" s="5">
        <f t="shared" si="2"/>
        <v>1.813722291181773</v>
      </c>
    </row>
    <row r="66" spans="1:11">
      <c r="A66" s="2">
        <v>2026</v>
      </c>
      <c r="B66" s="2">
        <v>30</v>
      </c>
      <c r="C66" s="2" t="s">
        <v>10</v>
      </c>
      <c r="D66" s="2" t="s">
        <v>8</v>
      </c>
      <c r="E66" s="2" t="s">
        <v>32</v>
      </c>
      <c r="F66" s="2" t="s">
        <v>80</v>
      </c>
      <c r="G66" s="2" t="str">
        <f t="shared" si="0"/>
        <v>007VENDELA</v>
      </c>
      <c r="H66" s="2">
        <v>11430</v>
      </c>
      <c r="I66" s="2">
        <v>3592.9793102011167</v>
      </c>
      <c r="J66" s="2">
        <v>27820</v>
      </c>
      <c r="K66" s="5">
        <f t="shared" si="2"/>
        <v>3.1812039572697142</v>
      </c>
    </row>
    <row r="67" spans="1:11">
      <c r="A67" s="2">
        <v>2026</v>
      </c>
      <c r="B67" s="2">
        <v>30</v>
      </c>
      <c r="C67" s="2" t="s">
        <v>10</v>
      </c>
      <c r="D67" s="2" t="s">
        <v>8</v>
      </c>
      <c r="E67" s="2" t="s">
        <v>85</v>
      </c>
      <c r="F67" s="2" t="s">
        <v>19</v>
      </c>
      <c r="G67" s="2" t="str">
        <f t="shared" ref="G67:G110" si="3">+E67&amp;F67</f>
        <v>008DEEP PURPLE</v>
      </c>
      <c r="H67" s="2">
        <v>5880</v>
      </c>
      <c r="I67" s="2">
        <v>1585.2222221588088</v>
      </c>
      <c r="J67" s="2">
        <v>11490</v>
      </c>
      <c r="K67" s="5">
        <f t="shared" si="2"/>
        <v>3.7092591296079731</v>
      </c>
    </row>
    <row r="68" spans="1:11">
      <c r="A68" s="2">
        <v>2026</v>
      </c>
      <c r="B68" s="2">
        <v>30</v>
      </c>
      <c r="C68" s="2" t="s">
        <v>10</v>
      </c>
      <c r="D68" s="2" t="s">
        <v>8</v>
      </c>
      <c r="E68" s="2" t="s">
        <v>85</v>
      </c>
      <c r="F68" s="2" t="s">
        <v>86</v>
      </c>
      <c r="G68" s="2" t="str">
        <f t="shared" si="3"/>
        <v>008FREEDOM</v>
      </c>
      <c r="H68" s="2">
        <v>5070</v>
      </c>
      <c r="I68" s="2">
        <v>2219.3111110223322</v>
      </c>
      <c r="J68" s="2">
        <v>16800</v>
      </c>
      <c r="K68" s="5">
        <f t="shared" si="2"/>
        <v>2.2844926855092837</v>
      </c>
    </row>
    <row r="69" spans="1:11">
      <c r="A69" s="2">
        <v>2026</v>
      </c>
      <c r="B69" s="2">
        <v>30</v>
      </c>
      <c r="C69" s="2" t="s">
        <v>10</v>
      </c>
      <c r="D69" s="2" t="s">
        <v>8</v>
      </c>
      <c r="E69" s="2" t="s">
        <v>85</v>
      </c>
      <c r="F69" s="2" t="s">
        <v>75</v>
      </c>
      <c r="G69" s="2" t="str">
        <f t="shared" si="3"/>
        <v>008JOCKER</v>
      </c>
      <c r="H69" s="2">
        <v>5550</v>
      </c>
      <c r="I69" s="2">
        <v>2959.0814813631118</v>
      </c>
      <c r="J69" s="2">
        <v>22400</v>
      </c>
      <c r="K69" s="5">
        <f t="shared" si="2"/>
        <v>1.875582012511319</v>
      </c>
    </row>
    <row r="70" spans="1:11">
      <c r="A70" s="2">
        <v>2026</v>
      </c>
      <c r="B70" s="2">
        <v>30</v>
      </c>
      <c r="C70" s="2" t="s">
        <v>10</v>
      </c>
      <c r="D70" s="2" t="s">
        <v>8</v>
      </c>
      <c r="E70" s="2" t="s">
        <v>85</v>
      </c>
      <c r="F70" s="2" t="s">
        <v>69</v>
      </c>
      <c r="G70" s="2" t="str">
        <f t="shared" si="3"/>
        <v>008LUMIA</v>
      </c>
      <c r="H70" s="2">
        <v>2490</v>
      </c>
      <c r="I70" s="2">
        <v>1796.5851851133164</v>
      </c>
      <c r="J70" s="2">
        <v>13600</v>
      </c>
      <c r="K70" s="5">
        <f t="shared" si="2"/>
        <v>1.3859626699765688</v>
      </c>
    </row>
    <row r="71" spans="1:11">
      <c r="A71" s="2">
        <v>2026</v>
      </c>
      <c r="B71" s="2">
        <v>30</v>
      </c>
      <c r="C71" s="2" t="s">
        <v>10</v>
      </c>
      <c r="D71" s="2" t="s">
        <v>8</v>
      </c>
      <c r="E71" s="2" t="s">
        <v>87</v>
      </c>
      <c r="F71" s="2" t="s">
        <v>88</v>
      </c>
      <c r="G71" s="2" t="str">
        <f t="shared" si="3"/>
        <v>010COOLDOWN</v>
      </c>
      <c r="H71" s="2">
        <v>4225</v>
      </c>
      <c r="I71" s="2">
        <v>1912.3542857142854</v>
      </c>
      <c r="J71" s="2">
        <v>16320</v>
      </c>
      <c r="K71" s="5">
        <f t="shared" si="2"/>
        <v>2.2093186558378308</v>
      </c>
    </row>
    <row r="72" spans="1:11">
      <c r="A72" s="2">
        <v>2026</v>
      </c>
      <c r="B72" s="2">
        <v>30</v>
      </c>
      <c r="C72" s="2" t="s">
        <v>10</v>
      </c>
      <c r="D72" s="2" t="s">
        <v>8</v>
      </c>
      <c r="E72" s="2" t="s">
        <v>87</v>
      </c>
      <c r="F72" s="2" t="s">
        <v>89</v>
      </c>
      <c r="G72" s="2" t="str">
        <f t="shared" si="3"/>
        <v>010VIOLET HILL</v>
      </c>
      <c r="H72" s="2">
        <v>5040</v>
      </c>
      <c r="I72" s="2">
        <v>2812.2857142428566</v>
      </c>
      <c r="J72" s="2">
        <v>20000</v>
      </c>
      <c r="K72" s="5">
        <f t="shared" si="2"/>
        <v>1.7921365437639769</v>
      </c>
    </row>
    <row r="73" spans="1:11">
      <c r="A73" s="2">
        <v>2026</v>
      </c>
      <c r="B73" s="2">
        <v>30</v>
      </c>
      <c r="C73" s="2" t="s">
        <v>10</v>
      </c>
      <c r="D73" s="2" t="s">
        <v>8</v>
      </c>
      <c r="E73" s="2" t="s">
        <v>90</v>
      </c>
      <c r="F73" s="2" t="s">
        <v>91</v>
      </c>
      <c r="G73" s="2" t="str">
        <f t="shared" si="3"/>
        <v>011BRIGHTON</v>
      </c>
      <c r="H73" s="2">
        <v>4000</v>
      </c>
      <c r="I73" s="2">
        <v>1768.8376470588221</v>
      </c>
      <c r="J73" s="2">
        <v>12800</v>
      </c>
      <c r="K73" s="5">
        <f t="shared" si="2"/>
        <v>2.2613720409281752</v>
      </c>
    </row>
    <row r="74" spans="1:11">
      <c r="A74" s="2">
        <v>2026</v>
      </c>
      <c r="B74" s="2">
        <v>30</v>
      </c>
      <c r="C74" s="2" t="s">
        <v>10</v>
      </c>
      <c r="D74" s="2" t="s">
        <v>8</v>
      </c>
      <c r="E74" s="2" t="s">
        <v>90</v>
      </c>
      <c r="F74" s="2" t="s">
        <v>92</v>
      </c>
      <c r="G74" s="2" t="str">
        <f t="shared" si="3"/>
        <v>011CANDLELIGHT</v>
      </c>
      <c r="H74" s="2">
        <v>3860</v>
      </c>
      <c r="I74" s="2">
        <v>2263.799999886814</v>
      </c>
      <c r="J74" s="2">
        <v>17920</v>
      </c>
      <c r="K74" s="5">
        <f t="shared" si="2"/>
        <v>1.7050976235502222</v>
      </c>
    </row>
    <row r="75" spans="1:11">
      <c r="A75" s="2">
        <v>2026</v>
      </c>
      <c r="B75" s="2">
        <v>30</v>
      </c>
      <c r="C75" s="2" t="s">
        <v>10</v>
      </c>
      <c r="D75" s="2" t="s">
        <v>8</v>
      </c>
      <c r="E75" s="2" t="s">
        <v>90</v>
      </c>
      <c r="F75" s="2" t="s">
        <v>93</v>
      </c>
      <c r="G75" s="2" t="str">
        <f t="shared" si="3"/>
        <v>011CAYENNE</v>
      </c>
      <c r="H75" s="2">
        <v>1410</v>
      </c>
      <c r="I75" s="2">
        <v>994.97117647058758</v>
      </c>
      <c r="J75" s="2">
        <v>7200</v>
      </c>
      <c r="K75" s="5">
        <f t="shared" si="2"/>
        <v>1.4171264789816562</v>
      </c>
    </row>
    <row r="76" spans="1:11">
      <c r="A76" s="2">
        <v>2026</v>
      </c>
      <c r="B76" s="2">
        <v>30</v>
      </c>
      <c r="C76" s="2" t="s">
        <v>10</v>
      </c>
      <c r="D76" s="2" t="s">
        <v>8</v>
      </c>
      <c r="E76" s="2" t="s">
        <v>90</v>
      </c>
      <c r="F76" s="2" t="s">
        <v>69</v>
      </c>
      <c r="G76" s="2" t="str">
        <f t="shared" si="3"/>
        <v>011LUMIA</v>
      </c>
      <c r="H76" s="2">
        <v>1950</v>
      </c>
      <c r="I76" s="2">
        <v>994.97117647058769</v>
      </c>
      <c r="J76" s="2">
        <v>7920</v>
      </c>
      <c r="K76" s="5">
        <f t="shared" si="2"/>
        <v>1.959855768804418</v>
      </c>
    </row>
    <row r="77" spans="1:11">
      <c r="A77" s="2">
        <v>2026</v>
      </c>
      <c r="B77" s="2">
        <v>30</v>
      </c>
      <c r="C77" s="2" t="s">
        <v>10</v>
      </c>
      <c r="D77" s="2" t="s">
        <v>8</v>
      </c>
      <c r="E77" s="2" t="s">
        <v>90</v>
      </c>
      <c r="F77" s="2" t="s">
        <v>94</v>
      </c>
      <c r="G77" s="2" t="str">
        <f t="shared" si="3"/>
        <v>011STARDUST</v>
      </c>
      <c r="H77" s="2">
        <v>4175</v>
      </c>
      <c r="I77" s="2">
        <v>2263.799999886814</v>
      </c>
      <c r="J77" s="2">
        <v>17920</v>
      </c>
      <c r="K77" s="5">
        <f t="shared" si="2"/>
        <v>1.8442441912751757</v>
      </c>
    </row>
    <row r="78" spans="1:11">
      <c r="A78" s="2">
        <v>2026</v>
      </c>
      <c r="B78" s="2">
        <v>30</v>
      </c>
      <c r="C78" s="2" t="s">
        <v>10</v>
      </c>
      <c r="D78" s="2" t="s">
        <v>8</v>
      </c>
      <c r="E78" s="2" t="s">
        <v>95</v>
      </c>
      <c r="F78" s="2" t="s">
        <v>19</v>
      </c>
      <c r="G78" s="2" t="str">
        <f t="shared" si="3"/>
        <v>012DEEP PURPLE</v>
      </c>
      <c r="H78" s="2">
        <v>21930</v>
      </c>
      <c r="I78" s="2">
        <v>6727.0499997982633</v>
      </c>
      <c r="J78" s="2">
        <v>49210</v>
      </c>
      <c r="K78" s="5">
        <f t="shared" si="2"/>
        <v>3.2599727964944005</v>
      </c>
    </row>
    <row r="79" spans="1:11">
      <c r="A79" s="2">
        <v>2026</v>
      </c>
      <c r="B79" s="2">
        <v>30</v>
      </c>
      <c r="C79" s="2" t="s">
        <v>10</v>
      </c>
      <c r="D79" s="2" t="s">
        <v>8</v>
      </c>
      <c r="E79" s="2" t="s">
        <v>95</v>
      </c>
      <c r="F79" s="2" t="s">
        <v>68</v>
      </c>
      <c r="G79" s="2" t="str">
        <f t="shared" si="3"/>
        <v>012LIGHT HOUSE</v>
      </c>
      <c r="H79" s="2">
        <v>1590</v>
      </c>
      <c r="I79" s="2">
        <v>994.9499999999997</v>
      </c>
      <c r="J79" s="2">
        <v>7200</v>
      </c>
      <c r="K79" s="5">
        <f t="shared" si="2"/>
        <v>1.5980702547866732</v>
      </c>
    </row>
    <row r="80" spans="1:11">
      <c r="A80" s="2">
        <v>2026</v>
      </c>
      <c r="B80" s="2">
        <v>30</v>
      </c>
      <c r="C80" s="2" t="s">
        <v>10</v>
      </c>
      <c r="D80" s="2" t="s">
        <v>8</v>
      </c>
      <c r="E80" s="2" t="s">
        <v>96</v>
      </c>
      <c r="F80" s="2" t="s">
        <v>97</v>
      </c>
      <c r="G80" s="2" t="str">
        <f t="shared" si="3"/>
        <v>013COUNTRY BLUES</v>
      </c>
      <c r="H80" s="2">
        <v>1400</v>
      </c>
      <c r="I80" s="2">
        <v>831.60000000000025</v>
      </c>
      <c r="J80" s="2">
        <v>6300</v>
      </c>
      <c r="K80" s="5">
        <f t="shared" si="2"/>
        <v>1.6835016835016829</v>
      </c>
    </row>
    <row r="81" spans="1:11">
      <c r="A81" s="2">
        <v>2026</v>
      </c>
      <c r="B81" s="2">
        <v>30</v>
      </c>
      <c r="C81" s="2" t="s">
        <v>10</v>
      </c>
      <c r="D81" s="2" t="s">
        <v>8</v>
      </c>
      <c r="E81" s="2" t="s">
        <v>96</v>
      </c>
      <c r="F81" s="2" t="s">
        <v>98</v>
      </c>
      <c r="G81" s="2" t="str">
        <f t="shared" si="3"/>
        <v>013LORRAINE</v>
      </c>
      <c r="H81" s="2">
        <v>4250</v>
      </c>
      <c r="I81" s="2">
        <v>1267.1999999999998</v>
      </c>
      <c r="J81" s="2">
        <v>9600</v>
      </c>
      <c r="K81" s="5">
        <f t="shared" si="2"/>
        <v>3.3538510101010104</v>
      </c>
    </row>
    <row r="82" spans="1:11">
      <c r="A82" s="2">
        <v>2026</v>
      </c>
      <c r="B82" s="2">
        <v>30</v>
      </c>
      <c r="C82" s="2" t="s">
        <v>10</v>
      </c>
      <c r="D82" s="2" t="s">
        <v>8</v>
      </c>
      <c r="E82" s="2" t="s">
        <v>96</v>
      </c>
      <c r="F82" s="2" t="s">
        <v>69</v>
      </c>
      <c r="G82" s="2" t="str">
        <f t="shared" si="3"/>
        <v>013LUMIA</v>
      </c>
      <c r="H82" s="2">
        <v>840</v>
      </c>
      <c r="I82" s="2">
        <v>316.8</v>
      </c>
      <c r="J82" s="2">
        <v>2400</v>
      </c>
      <c r="K82" s="5">
        <f t="shared" si="2"/>
        <v>2.6515151515151514</v>
      </c>
    </row>
    <row r="83" spans="1:11">
      <c r="A83" s="2">
        <v>2026</v>
      </c>
      <c r="B83" s="2">
        <v>30</v>
      </c>
      <c r="C83" s="2" t="s">
        <v>10</v>
      </c>
      <c r="D83" s="2" t="s">
        <v>8</v>
      </c>
      <c r="E83" s="2" t="s">
        <v>96</v>
      </c>
      <c r="F83" s="2" t="s">
        <v>80</v>
      </c>
      <c r="G83" s="2" t="str">
        <f t="shared" si="3"/>
        <v>013VENDELA</v>
      </c>
      <c r="H83" s="2">
        <v>12840</v>
      </c>
      <c r="I83" s="2">
        <v>3603.5999999999945</v>
      </c>
      <c r="J83" s="2">
        <v>27296</v>
      </c>
      <c r="K83" s="5">
        <f t="shared" si="2"/>
        <v>3.5631035631035686</v>
      </c>
    </row>
    <row r="84" spans="1:11">
      <c r="A84" s="2">
        <v>2026</v>
      </c>
      <c r="B84" s="2">
        <v>30</v>
      </c>
      <c r="C84" s="2" t="s">
        <v>10</v>
      </c>
      <c r="D84" s="2" t="s">
        <v>8</v>
      </c>
      <c r="E84" s="2" t="s">
        <v>35</v>
      </c>
      <c r="F84" s="2" t="s">
        <v>94</v>
      </c>
      <c r="G84" s="2" t="str">
        <f t="shared" si="3"/>
        <v>014STARDUST</v>
      </c>
      <c r="H84" s="2">
        <v>7775</v>
      </c>
      <c r="I84" s="2">
        <v>3682.7999999999943</v>
      </c>
      <c r="J84" s="2">
        <v>27900</v>
      </c>
      <c r="K84" s="5">
        <f t="shared" si="2"/>
        <v>2.111165417617034</v>
      </c>
    </row>
    <row r="85" spans="1:11">
      <c r="A85" s="2">
        <v>2026</v>
      </c>
      <c r="B85" s="2">
        <v>30</v>
      </c>
      <c r="C85" s="2" t="s">
        <v>10</v>
      </c>
      <c r="D85" s="2" t="s">
        <v>8</v>
      </c>
      <c r="E85" s="2" t="s">
        <v>37</v>
      </c>
      <c r="F85" s="2" t="s">
        <v>75</v>
      </c>
      <c r="G85" s="2" t="str">
        <f t="shared" si="3"/>
        <v>015JOCKER</v>
      </c>
      <c r="H85" s="2">
        <v>6175</v>
      </c>
      <c r="I85" s="2">
        <v>2375.9999999999973</v>
      </c>
      <c r="J85" s="2">
        <v>18000</v>
      </c>
      <c r="K85" s="5">
        <f t="shared" si="2"/>
        <v>2.5989057239057267</v>
      </c>
    </row>
    <row r="86" spans="1:11">
      <c r="A86" s="2">
        <v>2026</v>
      </c>
      <c r="B86" s="2">
        <v>30</v>
      </c>
      <c r="C86" s="2" t="s">
        <v>10</v>
      </c>
      <c r="D86" s="2" t="s">
        <v>8</v>
      </c>
      <c r="E86" s="2" t="s">
        <v>39</v>
      </c>
      <c r="F86" s="2" t="s">
        <v>99</v>
      </c>
      <c r="G86" s="2" t="str">
        <f t="shared" si="3"/>
        <v>016DREAM IN PEACH</v>
      </c>
      <c r="H86" s="2">
        <v>1770</v>
      </c>
      <c r="I86" s="2">
        <v>950.40000000000032</v>
      </c>
      <c r="J86" s="2">
        <v>7200</v>
      </c>
      <c r="K86" s="5">
        <f t="shared" ref="K86:K109" si="4">+H86/I86</f>
        <v>1.8623737373737368</v>
      </c>
    </row>
    <row r="87" spans="1:11">
      <c r="A87" s="2">
        <v>2026</v>
      </c>
      <c r="B87" s="2">
        <v>30</v>
      </c>
      <c r="C87" s="2" t="s">
        <v>10</v>
      </c>
      <c r="D87" s="2" t="s">
        <v>8</v>
      </c>
      <c r="E87" s="2" t="s">
        <v>39</v>
      </c>
      <c r="F87" s="2" t="s">
        <v>100</v>
      </c>
      <c r="G87" s="2" t="str">
        <f t="shared" si="3"/>
        <v>016NINA</v>
      </c>
      <c r="H87" s="2">
        <v>3750</v>
      </c>
      <c r="I87" s="2">
        <v>1346.3999999999996</v>
      </c>
      <c r="J87" s="2">
        <v>10200</v>
      </c>
      <c r="K87" s="5">
        <f t="shared" si="4"/>
        <v>2.7852049910873449</v>
      </c>
    </row>
    <row r="88" spans="1:11">
      <c r="A88" s="2">
        <v>2026</v>
      </c>
      <c r="B88" s="2">
        <v>30</v>
      </c>
      <c r="C88" s="2" t="s">
        <v>10</v>
      </c>
      <c r="D88" s="2" t="s">
        <v>8</v>
      </c>
      <c r="E88" s="2" t="s">
        <v>42</v>
      </c>
      <c r="F88" s="2" t="s">
        <v>86</v>
      </c>
      <c r="G88" s="2" t="str">
        <f t="shared" si="3"/>
        <v>017FREEDOM</v>
      </c>
      <c r="H88" s="2">
        <v>6990</v>
      </c>
      <c r="I88" s="2">
        <v>2851.1999999999962</v>
      </c>
      <c r="J88" s="2">
        <v>21600</v>
      </c>
      <c r="K88" s="5">
        <f t="shared" si="4"/>
        <v>2.4515993265993297</v>
      </c>
    </row>
    <row r="89" spans="1:11">
      <c r="A89" s="2">
        <v>2026</v>
      </c>
      <c r="B89" s="2">
        <v>30</v>
      </c>
      <c r="C89" s="2" t="s">
        <v>10</v>
      </c>
      <c r="D89" s="2" t="s">
        <v>8</v>
      </c>
      <c r="E89" s="2" t="s">
        <v>42</v>
      </c>
      <c r="F89" s="2" t="s">
        <v>79</v>
      </c>
      <c r="G89" s="2" t="str">
        <f t="shared" si="3"/>
        <v>017GOLDFINCH</v>
      </c>
      <c r="H89" s="2">
        <v>4350</v>
      </c>
      <c r="I89" s="2">
        <v>2138.3999999999978</v>
      </c>
      <c r="J89" s="2">
        <v>16200</v>
      </c>
      <c r="K89" s="5">
        <f t="shared" si="4"/>
        <v>2.0342312008978696</v>
      </c>
    </row>
    <row r="90" spans="1:11">
      <c r="A90" s="2">
        <v>2026</v>
      </c>
      <c r="B90" s="2">
        <v>30</v>
      </c>
      <c r="C90" s="2" t="s">
        <v>10</v>
      </c>
      <c r="D90" s="2" t="s">
        <v>8</v>
      </c>
      <c r="E90" s="2" t="s">
        <v>44</v>
      </c>
      <c r="F90" s="2" t="s">
        <v>91</v>
      </c>
      <c r="G90" s="2" t="str">
        <f t="shared" si="3"/>
        <v>018BRIGHTON</v>
      </c>
      <c r="H90" s="2">
        <v>2400</v>
      </c>
      <c r="I90" s="2">
        <v>963.60000000000036</v>
      </c>
      <c r="J90" s="2">
        <v>7570</v>
      </c>
      <c r="K90" s="5">
        <f t="shared" si="4"/>
        <v>2.4906600249065991</v>
      </c>
    </row>
    <row r="91" spans="1:11">
      <c r="A91" s="2">
        <v>2026</v>
      </c>
      <c r="B91" s="2">
        <v>30</v>
      </c>
      <c r="C91" s="2" t="s">
        <v>10</v>
      </c>
      <c r="D91" s="2" t="s">
        <v>8</v>
      </c>
      <c r="E91" s="2" t="s">
        <v>47</v>
      </c>
      <c r="F91" s="2" t="s">
        <v>91</v>
      </c>
      <c r="G91" s="2" t="str">
        <f t="shared" si="3"/>
        <v>019BRIGHTON</v>
      </c>
      <c r="H91" s="2">
        <v>7875</v>
      </c>
      <c r="I91" s="2">
        <v>3167.9999999999955</v>
      </c>
      <c r="J91" s="2">
        <v>24000</v>
      </c>
      <c r="K91" s="5">
        <f t="shared" si="4"/>
        <v>2.4857954545454581</v>
      </c>
    </row>
    <row r="92" spans="1:11">
      <c r="A92" s="2">
        <v>2026</v>
      </c>
      <c r="B92" s="2">
        <v>30</v>
      </c>
      <c r="C92" s="2" t="s">
        <v>10</v>
      </c>
      <c r="D92" s="2" t="s">
        <v>8</v>
      </c>
      <c r="E92" s="2" t="s">
        <v>47</v>
      </c>
      <c r="F92" s="2" t="s">
        <v>101</v>
      </c>
      <c r="G92" s="2" t="str">
        <f t="shared" si="3"/>
        <v>019TABATHA</v>
      </c>
      <c r="H92" s="2">
        <v>3600</v>
      </c>
      <c r="I92" s="2">
        <v>1188</v>
      </c>
      <c r="J92" s="2">
        <v>9000</v>
      </c>
      <c r="K92" s="5">
        <f t="shared" si="4"/>
        <v>3.0303030303030303</v>
      </c>
    </row>
    <row r="93" spans="1:11">
      <c r="A93" s="2">
        <v>2026</v>
      </c>
      <c r="B93" s="2">
        <v>30</v>
      </c>
      <c r="C93" s="2" t="s">
        <v>10</v>
      </c>
      <c r="D93" s="2" t="s">
        <v>8</v>
      </c>
      <c r="E93" s="2" t="s">
        <v>48</v>
      </c>
      <c r="F93" s="2" t="s">
        <v>91</v>
      </c>
      <c r="G93" s="2" t="str">
        <f t="shared" si="3"/>
        <v>020BRIGHTON</v>
      </c>
      <c r="H93" s="2">
        <v>6625</v>
      </c>
      <c r="I93" s="2">
        <v>2732.3999999999965</v>
      </c>
      <c r="J93" s="2">
        <v>20700</v>
      </c>
      <c r="K93" s="5">
        <f t="shared" si="4"/>
        <v>2.4246084028692754</v>
      </c>
    </row>
    <row r="94" spans="1:11">
      <c r="A94" s="2">
        <v>2026</v>
      </c>
      <c r="B94" s="2">
        <v>30</v>
      </c>
      <c r="C94" s="2" t="s">
        <v>10</v>
      </c>
      <c r="D94" s="2" t="s">
        <v>8</v>
      </c>
      <c r="E94" s="2" t="s">
        <v>48</v>
      </c>
      <c r="F94" s="2" t="s">
        <v>102</v>
      </c>
      <c r="G94" s="2" t="str">
        <f t="shared" si="3"/>
        <v>020TYCOON</v>
      </c>
      <c r="H94" s="2">
        <v>1200</v>
      </c>
      <c r="I94" s="2">
        <v>673.2</v>
      </c>
      <c r="J94" s="2">
        <v>5100</v>
      </c>
      <c r="K94" s="5">
        <f t="shared" si="4"/>
        <v>1.7825311942959001</v>
      </c>
    </row>
    <row r="95" spans="1:11">
      <c r="A95" s="2">
        <v>2026</v>
      </c>
      <c r="B95" s="2">
        <v>30</v>
      </c>
      <c r="C95" s="2" t="s">
        <v>10</v>
      </c>
      <c r="D95" s="2" t="s">
        <v>8</v>
      </c>
      <c r="E95" s="2" t="s">
        <v>50</v>
      </c>
      <c r="F95" s="2" t="s">
        <v>103</v>
      </c>
      <c r="G95" s="2" t="str">
        <f t="shared" si="3"/>
        <v>021SHOW GIRL</v>
      </c>
      <c r="H95" s="2">
        <v>1375</v>
      </c>
      <c r="I95" s="2">
        <v>1100.4749999999997</v>
      </c>
      <c r="J95" s="2">
        <v>8000</v>
      </c>
      <c r="K95" s="5">
        <f t="shared" si="4"/>
        <v>1.249460460255799</v>
      </c>
    </row>
    <row r="96" spans="1:11">
      <c r="A96" s="2">
        <v>2026</v>
      </c>
      <c r="B96" s="2">
        <v>30</v>
      </c>
      <c r="C96" s="2" t="s">
        <v>10</v>
      </c>
      <c r="D96" s="2" t="s">
        <v>8</v>
      </c>
      <c r="E96" s="2" t="s">
        <v>55</v>
      </c>
      <c r="F96" s="2" t="s">
        <v>104</v>
      </c>
      <c r="G96" s="2" t="str">
        <f t="shared" si="3"/>
        <v>022CORAL REEF</v>
      </c>
      <c r="H96" s="2">
        <v>2475</v>
      </c>
      <c r="I96" s="2">
        <v>1287</v>
      </c>
      <c r="J96" s="2">
        <v>9400</v>
      </c>
      <c r="K96" s="5">
        <f t="shared" si="4"/>
        <v>1.9230769230769231</v>
      </c>
    </row>
    <row r="97" spans="1:11">
      <c r="A97" s="2">
        <v>2026</v>
      </c>
      <c r="B97" s="2">
        <v>30</v>
      </c>
      <c r="C97" s="2" t="s">
        <v>10</v>
      </c>
      <c r="D97" s="2" t="s">
        <v>8</v>
      </c>
      <c r="E97" s="2" t="s">
        <v>105</v>
      </c>
      <c r="F97" s="2" t="s">
        <v>18</v>
      </c>
      <c r="G97" s="2" t="str">
        <f t="shared" si="3"/>
        <v>023COTOPAXI</v>
      </c>
      <c r="H97" s="2">
        <v>7980</v>
      </c>
      <c r="I97" s="2">
        <v>2641.139999999999</v>
      </c>
      <c r="J97" s="2">
        <v>19200</v>
      </c>
      <c r="K97" s="5">
        <f t="shared" si="4"/>
        <v>3.0214225675276598</v>
      </c>
    </row>
    <row r="98" spans="1:11">
      <c r="A98" s="2">
        <v>2026</v>
      </c>
      <c r="B98" s="2">
        <v>30</v>
      </c>
      <c r="C98" s="2" t="s">
        <v>10</v>
      </c>
      <c r="D98" s="2" t="s">
        <v>8</v>
      </c>
      <c r="E98" s="2" t="s">
        <v>105</v>
      </c>
      <c r="F98" s="2" t="s">
        <v>106</v>
      </c>
      <c r="G98" s="2" t="str">
        <f t="shared" si="3"/>
        <v>023FRUTTETO</v>
      </c>
      <c r="H98" s="2">
        <v>6630</v>
      </c>
      <c r="I98" s="2">
        <v>2641.139999999999</v>
      </c>
      <c r="J98" s="2">
        <v>19200</v>
      </c>
      <c r="K98" s="5">
        <f t="shared" si="4"/>
        <v>2.5102796519684691</v>
      </c>
    </row>
    <row r="99" spans="1:11">
      <c r="A99" s="2">
        <v>2026</v>
      </c>
      <c r="B99" s="2">
        <v>30</v>
      </c>
      <c r="C99" s="2" t="s">
        <v>10</v>
      </c>
      <c r="D99" s="2" t="s">
        <v>8</v>
      </c>
      <c r="E99" s="2" t="s">
        <v>107</v>
      </c>
      <c r="F99" s="2" t="s">
        <v>18</v>
      </c>
      <c r="G99" s="2" t="str">
        <f t="shared" si="3"/>
        <v>024COTOPAXI</v>
      </c>
      <c r="H99" s="2">
        <v>5430</v>
      </c>
      <c r="I99" s="2">
        <v>1430.6174906250001</v>
      </c>
      <c r="J99" s="2">
        <v>10400</v>
      </c>
      <c r="K99" s="5">
        <f t="shared" si="4"/>
        <v>3.7955638286148536</v>
      </c>
    </row>
    <row r="100" spans="1:11">
      <c r="A100" s="2">
        <v>2026</v>
      </c>
      <c r="B100" s="2">
        <v>30</v>
      </c>
      <c r="C100" s="2" t="s">
        <v>10</v>
      </c>
      <c r="D100" s="2" t="s">
        <v>8</v>
      </c>
      <c r="E100" s="2" t="s">
        <v>107</v>
      </c>
      <c r="F100" s="2" t="s">
        <v>72</v>
      </c>
      <c r="G100" s="2" t="str">
        <f t="shared" si="3"/>
        <v>024SWEETNESS</v>
      </c>
      <c r="H100" s="2">
        <v>2400</v>
      </c>
      <c r="I100" s="2">
        <v>1430.6174999999998</v>
      </c>
      <c r="J100" s="2">
        <v>10400</v>
      </c>
      <c r="K100" s="5">
        <f t="shared" si="4"/>
        <v>1.677597261322471</v>
      </c>
    </row>
    <row r="101" spans="1:11">
      <c r="A101" s="2">
        <v>2026</v>
      </c>
      <c r="B101" s="2">
        <v>30</v>
      </c>
      <c r="C101" s="2" t="s">
        <v>10</v>
      </c>
      <c r="D101" s="2" t="s">
        <v>8</v>
      </c>
      <c r="E101" s="2" t="s">
        <v>107</v>
      </c>
      <c r="F101" s="2" t="s">
        <v>102</v>
      </c>
      <c r="G101" s="2" t="str">
        <f t="shared" si="3"/>
        <v>024TYCOON</v>
      </c>
      <c r="H101" s="2">
        <v>4500</v>
      </c>
      <c r="I101" s="2">
        <v>2861.2349999999983</v>
      </c>
      <c r="J101" s="2">
        <v>20800</v>
      </c>
      <c r="K101" s="5">
        <f t="shared" si="4"/>
        <v>1.5727474324898174</v>
      </c>
    </row>
    <row r="102" spans="1:11">
      <c r="A102" s="2">
        <v>2026</v>
      </c>
      <c r="B102" s="2">
        <v>30</v>
      </c>
      <c r="C102" s="2" t="s">
        <v>10</v>
      </c>
      <c r="D102" s="2" t="s">
        <v>8</v>
      </c>
      <c r="E102" s="2" t="s">
        <v>11</v>
      </c>
      <c r="F102" s="2" t="s">
        <v>12</v>
      </c>
      <c r="G102" s="2" t="str">
        <f t="shared" si="3"/>
        <v>025PINK MONDIAL</v>
      </c>
      <c r="H102" s="2">
        <v>8675</v>
      </c>
      <c r="I102" s="2">
        <v>3071.9505624999979</v>
      </c>
      <c r="J102" s="2">
        <v>22400</v>
      </c>
      <c r="K102" s="5">
        <f t="shared" si="4"/>
        <v>2.8239386746315862</v>
      </c>
    </row>
    <row r="103" spans="1:11">
      <c r="A103" s="2">
        <v>2026</v>
      </c>
      <c r="B103" s="2">
        <v>30</v>
      </c>
      <c r="C103" s="2" t="s">
        <v>10</v>
      </c>
      <c r="D103" s="2" t="s">
        <v>8</v>
      </c>
      <c r="E103" s="2" t="s">
        <v>9</v>
      </c>
      <c r="F103" s="2" t="s">
        <v>13</v>
      </c>
      <c r="G103" s="2" t="str">
        <f t="shared" si="3"/>
        <v>026LOLA</v>
      </c>
      <c r="H103" s="2">
        <v>3600</v>
      </c>
      <c r="I103" s="2">
        <v>2852.5249999999992</v>
      </c>
      <c r="J103" s="2">
        <v>20800</v>
      </c>
      <c r="K103" s="5">
        <f t="shared" si="4"/>
        <v>1.2620397717811416</v>
      </c>
    </row>
    <row r="104" spans="1:11">
      <c r="A104" s="2">
        <v>2026</v>
      </c>
      <c r="B104" s="2">
        <v>30</v>
      </c>
      <c r="C104" s="2" t="s">
        <v>10</v>
      </c>
      <c r="D104" s="2" t="s">
        <v>8</v>
      </c>
      <c r="E104" s="2" t="s">
        <v>9</v>
      </c>
      <c r="F104" s="2" t="s">
        <v>14</v>
      </c>
      <c r="G104" s="2" t="str">
        <f t="shared" si="3"/>
        <v>026PALOMA</v>
      </c>
      <c r="H104" s="2">
        <v>4750</v>
      </c>
      <c r="I104" s="2">
        <v>2852.5249999999992</v>
      </c>
      <c r="J104" s="2">
        <v>20800</v>
      </c>
      <c r="K104" s="5">
        <f t="shared" si="4"/>
        <v>1.6651913655445618</v>
      </c>
    </row>
    <row r="105" spans="1:11">
      <c r="A105" s="2">
        <v>2026</v>
      </c>
      <c r="B105" s="2">
        <v>30</v>
      </c>
      <c r="C105" s="2" t="s">
        <v>10</v>
      </c>
      <c r="D105" s="2" t="s">
        <v>8</v>
      </c>
      <c r="E105" s="2" t="s">
        <v>15</v>
      </c>
      <c r="F105" s="2" t="s">
        <v>16</v>
      </c>
      <c r="G105" s="2" t="str">
        <f t="shared" si="3"/>
        <v>027SATISFACTION</v>
      </c>
      <c r="H105" s="2">
        <v>6120</v>
      </c>
      <c r="I105" s="2">
        <v>2633.0999999999995</v>
      </c>
      <c r="J105" s="2">
        <v>19200</v>
      </c>
      <c r="K105" s="5">
        <f t="shared" si="4"/>
        <v>2.3242565796969354</v>
      </c>
    </row>
    <row r="106" spans="1:11">
      <c r="A106" s="2">
        <v>2026</v>
      </c>
      <c r="B106" s="2">
        <v>30</v>
      </c>
      <c r="C106" s="2" t="s">
        <v>10</v>
      </c>
      <c r="D106" s="2" t="s">
        <v>8</v>
      </c>
      <c r="E106" s="2" t="s">
        <v>15</v>
      </c>
      <c r="F106" s="2" t="s">
        <v>20</v>
      </c>
      <c r="G106" s="2" t="str">
        <f t="shared" si="3"/>
        <v>027TIFFANY</v>
      </c>
      <c r="H106" s="2">
        <v>6570</v>
      </c>
      <c r="I106" s="2">
        <v>2633.0999999999995</v>
      </c>
      <c r="J106" s="2">
        <v>19200</v>
      </c>
      <c r="K106" s="5">
        <f t="shared" si="4"/>
        <v>2.4951577987922984</v>
      </c>
    </row>
    <row r="107" spans="1:11">
      <c r="A107" s="2">
        <v>2026</v>
      </c>
      <c r="B107" s="2">
        <v>30</v>
      </c>
      <c r="C107" s="2" t="s">
        <v>10</v>
      </c>
      <c r="D107" s="2" t="s">
        <v>8</v>
      </c>
      <c r="E107" s="2" t="s">
        <v>17</v>
      </c>
      <c r="F107" s="2" t="s">
        <v>18</v>
      </c>
      <c r="G107" s="2" t="str">
        <f t="shared" si="3"/>
        <v>028COTOPAXI</v>
      </c>
      <c r="H107" s="2">
        <v>6930</v>
      </c>
      <c r="I107" s="2">
        <v>2852.5249999999987</v>
      </c>
      <c r="J107" s="2">
        <v>20800</v>
      </c>
      <c r="K107" s="5">
        <f t="shared" si="4"/>
        <v>2.429426560678698</v>
      </c>
    </row>
    <row r="108" spans="1:11">
      <c r="A108" s="2">
        <v>2026</v>
      </c>
      <c r="B108" s="2">
        <v>30</v>
      </c>
      <c r="C108" s="2" t="s">
        <v>10</v>
      </c>
      <c r="D108" s="2" t="s">
        <v>8</v>
      </c>
      <c r="E108" s="2" t="s">
        <v>17</v>
      </c>
      <c r="F108" s="2" t="s">
        <v>19</v>
      </c>
      <c r="G108" s="2" t="str">
        <f t="shared" si="3"/>
        <v>028DEEP PURPLE</v>
      </c>
      <c r="H108" s="2">
        <v>9450</v>
      </c>
      <c r="I108" s="2">
        <v>2852.5249999999987</v>
      </c>
      <c r="J108" s="2">
        <v>20800</v>
      </c>
      <c r="K108" s="5">
        <f t="shared" si="4"/>
        <v>3.3128544009254974</v>
      </c>
    </row>
    <row r="109" spans="1:11">
      <c r="A109" s="2">
        <v>2026</v>
      </c>
      <c r="B109" s="2">
        <v>30</v>
      </c>
      <c r="C109" s="2" t="s">
        <v>10</v>
      </c>
      <c r="D109" s="2" t="s">
        <v>8</v>
      </c>
      <c r="E109" s="2" t="s">
        <v>108</v>
      </c>
      <c r="F109" s="2" t="s">
        <v>109</v>
      </c>
      <c r="G109" s="2" t="str">
        <f t="shared" si="3"/>
        <v>029PINK FLOYD</v>
      </c>
      <c r="H109" s="2">
        <v>4350</v>
      </c>
      <c r="I109" s="2">
        <v>3071.949999999998</v>
      </c>
      <c r="J109" s="2">
        <v>22400</v>
      </c>
      <c r="K109" s="5">
        <f t="shared" si="4"/>
        <v>1.4160386725044363</v>
      </c>
    </row>
    <row r="110" spans="1:11">
      <c r="A110" s="2">
        <v>2026</v>
      </c>
      <c r="B110" s="2">
        <v>30</v>
      </c>
      <c r="C110" s="2" t="s">
        <v>10</v>
      </c>
      <c r="D110" s="2" t="s">
        <v>8</v>
      </c>
      <c r="E110" s="2" t="s">
        <v>57</v>
      </c>
      <c r="F110" s="2" t="s">
        <v>66</v>
      </c>
      <c r="G110" s="2" t="str">
        <f t="shared" si="3"/>
        <v>030EXPLORER</v>
      </c>
      <c r="H110" s="2">
        <v>3025</v>
      </c>
      <c r="I110" s="2">
        <v>1645.6875000000009</v>
      </c>
      <c r="J110" s="2">
        <v>12000</v>
      </c>
      <c r="K110" s="5">
        <f>+H110/I110</f>
        <v>1.8381375564923463</v>
      </c>
    </row>
  </sheetData>
  <autoFilter ref="A1:K110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Estadística Denmar</dc:creator>
  <cp:keywords/>
  <dc:description/>
  <cp:lastModifiedBy>SGuerra</cp:lastModifiedBy>
  <cp:revision/>
  <dcterms:created xsi:type="dcterms:W3CDTF">2025-10-30T14:37:34Z</dcterms:created>
  <dcterms:modified xsi:type="dcterms:W3CDTF">2026-07-29T02:50:33Z</dcterms:modified>
  <cp:category/>
  <cp:contentStatus/>
</cp:coreProperties>
</file>