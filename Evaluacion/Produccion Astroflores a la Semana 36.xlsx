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10245" yWindow="-15" windowWidth="10290" windowHeight="7995"/>
  </bookViews>
  <sheets>
    <sheet name="Astroflores" sheetId="1" r:id="rId1"/>
  </sheets>
  <definedNames>
    <definedName name="_xlnm._FilterDatabase" localSheetId="0" hidden="1">Astroflores!$A$1:$K$107</definedName>
    <definedName name="_xlnm.Print_Titles" localSheetId="0">Astroflores!#REF!,Astroflores!#REF!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108" l="1"/>
  <c r="K109"/>
  <c r="K110"/>
  <c r="K107" l="1"/>
  <c r="K106"/>
  <c r="K57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</calcChain>
</file>

<file path=xl/sharedStrings.xml><?xml version="1.0" encoding="utf-8"?>
<sst xmlns="http://schemas.openxmlformats.org/spreadsheetml/2006/main" count="439" uniqueCount="111">
  <si>
    <t>Anio</t>
  </si>
  <si>
    <t>Semana</t>
  </si>
  <si>
    <t>Producto</t>
  </si>
  <si>
    <t>Finca</t>
  </si>
  <si>
    <t>Bloque</t>
  </si>
  <si>
    <t>Variedad</t>
  </si>
  <si>
    <t>Plantas</t>
  </si>
  <si>
    <t>SPRAY</t>
  </si>
  <si>
    <t>ASTROFLORES</t>
  </si>
  <si>
    <t>026</t>
  </si>
  <si>
    <t>STANDARD</t>
  </si>
  <si>
    <t>025</t>
  </si>
  <si>
    <t>PINK MONDIAL</t>
  </si>
  <si>
    <t>LOLA</t>
  </si>
  <si>
    <t>PALOMA</t>
  </si>
  <si>
    <t>027</t>
  </si>
  <si>
    <t>SATISFACTION</t>
  </si>
  <si>
    <t>028</t>
  </si>
  <si>
    <t>COTOPAXI</t>
  </si>
  <si>
    <t>DEEP PURPLE</t>
  </si>
  <si>
    <t>TIFFANY</t>
  </si>
  <si>
    <t>Tallos/m2</t>
  </si>
  <si>
    <t>Produccion</t>
  </si>
  <si>
    <t>m2Variedad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</si>
  <si>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</si>
  <si>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</si>
  <si>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</si>
  <si>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</si>
  <si>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</si>
  <si>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</si>
  <si>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</si>
  <si>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</si>
  <si>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</si>
  <si>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</si>
  <si>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</si>
  <si>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</si>
  <si>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</si>
  <si>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</si>
  <si>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</si>
  <si>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</si>
  <si>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</si>
  <si>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</si>
  <si>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</si>
  <si>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</si>
  <si>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</si>
  <si>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</si>
  <si>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</si>
  <si>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</si>
  <si>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</si>
  <si>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</si>
  <si>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</si>
  <si>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</si>
  <si>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</si>
  <si>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</si>
  <si>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</si>
  <si>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</si>
  <si>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</si>
  <si>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030</t>
  </si>
  <si>
    <t>031</t>
  </si>
  <si>
    <t>82989</t>
  </si>
  <si>
    <t>VELVET BLOSSOMS</t>
  </si>
  <si>
    <t>032</t>
  </si>
  <si>
    <t>033</t>
  </si>
  <si>
    <t>CREAMY FOLIES</t>
  </si>
  <si>
    <t>001</t>
  </si>
  <si>
    <t>BELIEVE IN PINK</t>
  </si>
  <si>
    <t>EXPLORER</t>
  </si>
  <si>
    <t>GRACE KELLY</t>
  </si>
  <si>
    <t>LIGHT HOUSE</t>
  </si>
  <si>
    <t>LUMIA</t>
  </si>
  <si>
    <t>MOMENTUM</t>
  </si>
  <si>
    <t>SUMMER ROMANCE</t>
  </si>
  <si>
    <t>SWEETNESS</t>
  </si>
  <si>
    <t>003</t>
  </si>
  <si>
    <t>CABARET</t>
  </si>
  <si>
    <t>JOCKER</t>
  </si>
  <si>
    <t>QUICKSAND</t>
  </si>
  <si>
    <t>HOT EXPLORER</t>
  </si>
  <si>
    <t>HOT MERENGUE</t>
  </si>
  <si>
    <t>GOLDFINCH</t>
  </si>
  <si>
    <t>VENDELA</t>
  </si>
  <si>
    <t>006</t>
  </si>
  <si>
    <t>MONDIAL</t>
  </si>
  <si>
    <t>REDIANT</t>
  </si>
  <si>
    <t>008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</si>
  <si>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</si>
  <si>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</si>
  <si>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</si>
  <si>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</si>
  <si>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</si>
  <si>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</si>
  <si>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</si>
  <si>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</si>
  <si>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</si>
  <si>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</si>
  <si>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</si>
  <si>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</si>
  <si>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</si>
  <si>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</si>
  <si>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</si>
  <si>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</si>
  <si>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</si>
  <si>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</si>
  <si>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</si>
  <si>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</si>
  <si>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</si>
  <si>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</si>
  <si>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029</t>
  </si>
  <si>
    <t>PINK FLOYD</t>
  </si>
  <si>
    <t>PISTACHIO KISS</t>
  </si>
  <si>
    <t>Bloque&amp;Varid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</si>
</sst>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2" fillId="0" borderId="1" xfId="33" applyNumberFormat="1" applyFont="1" applyBorder="1"/>
    <xf numFmtId="0" fontId="2" fillId="0" borderId="2" xfId="1" applyNumberFormat="1" applyFont="1" applyBorder="1"/>
    <xf numFmtId="43" fontId="0" fillId="0" borderId="0" xfId="1" applyFont="1"/>
  </cellXfs>
  <cellStyles count="34">
    <cellStyle name="Millares" xfId="1" builtinId="3"/>
    <cellStyle name="Millares 2" xfId="4"/>
    <cellStyle name="Millares 3" xfId="18"/>
    <cellStyle name="Millares 3 2" xfId="23"/>
    <cellStyle name="Millares 3 2 2" xfId="30"/>
    <cellStyle name="Millares 3 3" xfId="31"/>
    <cellStyle name="Millares 3 4" xfId="28"/>
    <cellStyle name="Millares 4" xfId="33"/>
    <cellStyle name="Millares 5" xfId="10"/>
    <cellStyle name="Normal" xfId="0" builtinId="0"/>
    <cellStyle name="Normal 10" xfId="25"/>
    <cellStyle name="Normal 11" xfId="32"/>
    <cellStyle name="Normal 12" xfId="2"/>
    <cellStyle name="Normal 2" xfId="3"/>
    <cellStyle name="Normal 3" xfId="5"/>
    <cellStyle name="Normal 3 2" xfId="6"/>
    <cellStyle name="Normal 4" xfId="7"/>
    <cellStyle name="Normal 4 2" xfId="15"/>
    <cellStyle name="Normal 4 3" xfId="21"/>
    <cellStyle name="Normal 4 4" xfId="26"/>
    <cellStyle name="Normal 5" xfId="9"/>
    <cellStyle name="Normal 5 2" xfId="17"/>
    <cellStyle name="Normal 6" xfId="11"/>
    <cellStyle name="Normal 6 2" xfId="19"/>
    <cellStyle name="Normal 6 3" xfId="24"/>
    <cellStyle name="Normal 6 4" xfId="29"/>
    <cellStyle name="Normal 7" xfId="14"/>
    <cellStyle name="Normal 8" xfId="13"/>
    <cellStyle name="Normal 9" xfId="20"/>
    <cellStyle name="Porcentaje 2" xfId="8"/>
    <cellStyle name="Porcentaje 2 2" xfId="16"/>
    <cellStyle name="Porcentaje 2 3" xfId="22"/>
    <cellStyle name="Porcentaje 2 4" xfId="27"/>
    <cellStyle name="Porcentaje 3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K110"/>
  <sheetViews>
    <sheetView tabSelected="1" workbookViewId="0">
      <pane xSplit="1" ySplit="1" topLeftCell="D88" activePane="bottomRight" state="frozen"/>
      <selection pane="topRight" activeCell="E1" sqref="E1"/>
      <selection pane="bottomLeft" activeCell="A3" sqref="A3"/>
      <selection pane="bottomRight" activeCell="G109" sqref="G109"/>
    </sheetView>
  </sheetViews>
  <sheetFormatPr baseColWidth="10" defaultColWidth="11.5" defaultRowHeight="14.25"/>
  <cols>
    <col min="1" max="1" width="11.5" style="2"/>
    <col min="2" max="2" width="10.25" style="2" customWidth="1"/>
    <col min="3" max="3" width="12" style="2" customWidth="1"/>
    <col min="4" max="4" width="15.25" style="2" customWidth="1"/>
    <col min="5" max="5" width="11.75" style="2" customWidth="1"/>
    <col min="6" max="6" width="17.5" style="2" bestFit="1" customWidth="1"/>
    <col min="7" max="7" width="17.5" style="2" customWidth="1"/>
    <col min="8" max="10" width="11.5" style="2"/>
    <col min="11" max="11" width="12.5" style="2" customWidth="1"/>
    <col min="12" max="16384" width="11.5" style="2"/>
  </cols>
  <sheetData>
    <row r="1" spans="1:11" ht="1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110</v>
      </c>
      <c r="H1" s="1" t="s">
        <v>22</v>
      </c>
      <c r="I1" s="1" t="s">
        <v>23</v>
      </c>
      <c r="J1" s="1" t="s">
        <v>6</v>
      </c>
      <c r="K1" s="3" t="s">
        <v>21</v>
      </c>
    </row>
    <row r="2" spans="1:11">
      <c r="A2" s="2">
        <v>2026</v>
      </c>
      <c r="B2" s="2">
        <v>36</v>
      </c>
      <c r="C2" s="2" t="s">
        <v>7</v>
      </c>
      <c r="D2" s="2" t="s">
        <v>8</v>
      </c>
      <c r="E2" s="2" t="s">
        <v>24</v>
      </c>
      <c r="F2" s="2" t="s">
        <v>25</v>
      </c>
      <c r="G2" s="2" t="str">
        <f>+B2&amp;E2&amp;F2</f>
        <v>36002SOMERSET</v>
      </c>
      <c r="H2" s="2">
        <v>7560</v>
      </c>
      <c r="I2" s="2">
        <v>4121.4642855494149</v>
      </c>
      <c r="J2" s="2">
        <v>31200</v>
      </c>
      <c r="K2" s="5">
        <f t="shared" ref="K2:K17" si="0">+H2/I2</f>
        <v>1.8342995295401932</v>
      </c>
    </row>
    <row r="3" spans="1:11">
      <c r="A3" s="2">
        <v>2026</v>
      </c>
      <c r="B3" s="2">
        <v>36</v>
      </c>
      <c r="C3" s="2" t="s">
        <v>7</v>
      </c>
      <c r="D3" s="2" t="s">
        <v>8</v>
      </c>
      <c r="E3" s="2" t="s">
        <v>26</v>
      </c>
      <c r="F3" s="2" t="s">
        <v>27</v>
      </c>
      <c r="G3" s="2" t="str">
        <f t="shared" ref="G3:G66" si="1">+B3&amp;E3&amp;F3</f>
        <v>36004BELLINA</v>
      </c>
      <c r="H3" s="2">
        <v>1065</v>
      </c>
      <c r="I3" s="2">
        <v>1056.785714243442</v>
      </c>
      <c r="J3" s="2">
        <v>8000</v>
      </c>
      <c r="K3" s="5">
        <f t="shared" si="0"/>
        <v>1.0077728962890444</v>
      </c>
    </row>
    <row r="4" spans="1:11">
      <c r="A4" s="2">
        <v>2026</v>
      </c>
      <c r="B4" s="2">
        <v>36</v>
      </c>
      <c r="C4" s="2" t="s">
        <v>7</v>
      </c>
      <c r="D4" s="2" t="s">
        <v>8</v>
      </c>
      <c r="E4" s="2" t="s">
        <v>28</v>
      </c>
      <c r="F4" s="2" t="s">
        <v>29</v>
      </c>
      <c r="G4" s="2" t="str">
        <f t="shared" si="1"/>
        <v>36005ELBA</v>
      </c>
      <c r="H4" s="2">
        <v>6600</v>
      </c>
      <c r="I4" s="2">
        <v>2641.9642856076448</v>
      </c>
      <c r="J4" s="2">
        <v>19996</v>
      </c>
      <c r="K4" s="5">
        <f t="shared" si="0"/>
        <v>2.4981412640413558</v>
      </c>
    </row>
    <row r="5" spans="1:11">
      <c r="A5" s="2">
        <v>2026</v>
      </c>
      <c r="B5" s="2">
        <v>36</v>
      </c>
      <c r="C5" s="2" t="s">
        <v>7</v>
      </c>
      <c r="D5" s="2" t="s">
        <v>8</v>
      </c>
      <c r="E5" s="2" t="s">
        <v>28</v>
      </c>
      <c r="F5" s="2" t="s">
        <v>30</v>
      </c>
      <c r="G5" s="2" t="str">
        <f t="shared" si="1"/>
        <v>36005HOT BUBBLES</v>
      </c>
      <c r="H5" s="2">
        <v>1040</v>
      </c>
      <c r="I5" s="2">
        <v>528.39285712153003</v>
      </c>
      <c r="J5" s="2">
        <v>4000</v>
      </c>
      <c r="K5" s="5">
        <f t="shared" si="0"/>
        <v>1.9682325110628827</v>
      </c>
    </row>
    <row r="6" spans="1:11">
      <c r="A6" s="2">
        <v>2026</v>
      </c>
      <c r="B6" s="2">
        <v>36</v>
      </c>
      <c r="C6" s="2" t="s">
        <v>7</v>
      </c>
      <c r="D6" s="2" t="s">
        <v>8</v>
      </c>
      <c r="E6" s="2" t="s">
        <v>28</v>
      </c>
      <c r="F6" s="2" t="s">
        <v>31</v>
      </c>
      <c r="G6" s="2" t="str">
        <f t="shared" si="1"/>
        <v>36005SUSPIRO</v>
      </c>
      <c r="H6" s="2">
        <v>3870</v>
      </c>
      <c r="I6" s="2">
        <v>1902.2142856375083</v>
      </c>
      <c r="J6" s="2">
        <v>14400</v>
      </c>
      <c r="K6" s="5">
        <f t="shared" si="0"/>
        <v>2.0344711051851911</v>
      </c>
    </row>
    <row r="7" spans="1:11">
      <c r="A7" s="2">
        <v>2026</v>
      </c>
      <c r="B7" s="2">
        <v>36</v>
      </c>
      <c r="C7" s="2" t="s">
        <v>7</v>
      </c>
      <c r="D7" s="2" t="s">
        <v>8</v>
      </c>
      <c r="E7" s="2" t="s">
        <v>34</v>
      </c>
      <c r="F7" s="2" t="s">
        <v>30</v>
      </c>
      <c r="G7" s="2" t="str">
        <f t="shared" si="1"/>
        <v>36009HOT BUBBLES</v>
      </c>
      <c r="H7" s="2">
        <v>6360</v>
      </c>
      <c r="I7" s="2">
        <v>4487.9999999102447</v>
      </c>
      <c r="J7" s="2">
        <v>31740</v>
      </c>
      <c r="K7" s="5">
        <f t="shared" si="0"/>
        <v>1.4171122994935814</v>
      </c>
    </row>
    <row r="8" spans="1:11">
      <c r="A8" s="2">
        <v>2026</v>
      </c>
      <c r="B8" s="2">
        <v>36</v>
      </c>
      <c r="C8" s="2" t="s">
        <v>7</v>
      </c>
      <c r="D8" s="2" t="s">
        <v>8</v>
      </c>
      <c r="E8" s="2" t="s">
        <v>35</v>
      </c>
      <c r="F8" s="2" t="s">
        <v>36</v>
      </c>
      <c r="G8" s="2" t="str">
        <f t="shared" si="1"/>
        <v>36014FRUITY BUBBLES</v>
      </c>
      <c r="H8" s="2">
        <v>1025</v>
      </c>
      <c r="I8" s="2">
        <v>1702.7999999999986</v>
      </c>
      <c r="J8" s="2">
        <v>12900</v>
      </c>
      <c r="K8" s="5">
        <f t="shared" si="0"/>
        <v>0.60194972985670714</v>
      </c>
    </row>
    <row r="9" spans="1:11">
      <c r="A9" s="2">
        <v>2026</v>
      </c>
      <c r="B9" s="2">
        <v>36</v>
      </c>
      <c r="C9" s="2" t="s">
        <v>7</v>
      </c>
      <c r="D9" s="2" t="s">
        <v>8</v>
      </c>
      <c r="E9" s="2" t="s">
        <v>37</v>
      </c>
      <c r="F9" s="2" t="s">
        <v>38</v>
      </c>
      <c r="G9" s="2" t="str">
        <f t="shared" si="1"/>
        <v>36015FELLINI</v>
      </c>
      <c r="H9" s="2">
        <v>5080</v>
      </c>
      <c r="I9" s="2">
        <v>3009.5999999999958</v>
      </c>
      <c r="J9" s="2">
        <v>22800</v>
      </c>
      <c r="K9" s="5">
        <f t="shared" si="0"/>
        <v>1.6879319510898483</v>
      </c>
    </row>
    <row r="10" spans="1:11">
      <c r="A10" s="2">
        <v>2026</v>
      </c>
      <c r="B10" s="2">
        <v>36</v>
      </c>
      <c r="C10" s="2" t="s">
        <v>7</v>
      </c>
      <c r="D10" s="2" t="s">
        <v>8</v>
      </c>
      <c r="E10" s="2" t="s">
        <v>39</v>
      </c>
      <c r="F10" s="2" t="s">
        <v>40</v>
      </c>
      <c r="G10" s="2" t="str">
        <f t="shared" si="1"/>
        <v>36016GOOD PEACH</v>
      </c>
      <c r="H10" s="2">
        <v>1920</v>
      </c>
      <c r="I10" s="2">
        <v>1385.9999999999995</v>
      </c>
      <c r="J10" s="2">
        <v>10500</v>
      </c>
      <c r="K10" s="5">
        <f t="shared" si="0"/>
        <v>1.3852813852813857</v>
      </c>
    </row>
    <row r="11" spans="1:11">
      <c r="A11" s="2">
        <v>2026</v>
      </c>
      <c r="B11" s="2">
        <v>36</v>
      </c>
      <c r="C11" s="2" t="s">
        <v>7</v>
      </c>
      <c r="D11" s="2" t="s">
        <v>8</v>
      </c>
      <c r="E11" s="2" t="s">
        <v>39</v>
      </c>
      <c r="F11" s="2" t="s">
        <v>41</v>
      </c>
      <c r="G11" s="2" t="str">
        <f t="shared" si="1"/>
        <v>36016GOOD YELLOW</v>
      </c>
      <c r="H11" s="2">
        <v>2580</v>
      </c>
      <c r="I11" s="2">
        <v>1385.9999999999995</v>
      </c>
      <c r="J11" s="2">
        <v>10500</v>
      </c>
      <c r="K11" s="5">
        <f t="shared" si="0"/>
        <v>1.8614718614718622</v>
      </c>
    </row>
    <row r="12" spans="1:11">
      <c r="A12" s="2">
        <v>2026</v>
      </c>
      <c r="B12" s="2">
        <v>36</v>
      </c>
      <c r="C12" s="2" t="s">
        <v>7</v>
      </c>
      <c r="D12" s="2" t="s">
        <v>8</v>
      </c>
      <c r="E12" s="2" t="s">
        <v>42</v>
      </c>
      <c r="F12" s="2" t="s">
        <v>43</v>
      </c>
      <c r="G12" s="2" t="str">
        <f t="shared" si="1"/>
        <v>36017ORANGE STAR</v>
      </c>
      <c r="H12" s="2">
        <v>1375</v>
      </c>
      <c r="I12" s="2">
        <v>1029.6000000000004</v>
      </c>
      <c r="J12" s="2">
        <v>7900</v>
      </c>
      <c r="K12" s="5">
        <f t="shared" si="0"/>
        <v>1.3354700854700849</v>
      </c>
    </row>
    <row r="13" spans="1:11">
      <c r="A13" s="2">
        <v>2026</v>
      </c>
      <c r="B13" s="2">
        <v>36</v>
      </c>
      <c r="C13" s="2" t="s">
        <v>7</v>
      </c>
      <c r="D13" s="2" t="s">
        <v>8</v>
      </c>
      <c r="E13" s="2" t="s">
        <v>44</v>
      </c>
      <c r="F13" s="2" t="s">
        <v>45</v>
      </c>
      <c r="G13" s="2" t="str">
        <f t="shared" si="1"/>
        <v>36018COSMO</v>
      </c>
      <c r="H13" s="2">
        <v>2925</v>
      </c>
      <c r="I13" s="2">
        <v>2653.1999999999966</v>
      </c>
      <c r="J13" s="2">
        <v>20100</v>
      </c>
      <c r="K13" s="5">
        <f t="shared" si="0"/>
        <v>1.1024423337856188</v>
      </c>
    </row>
    <row r="14" spans="1:11">
      <c r="A14" s="2">
        <v>2026</v>
      </c>
      <c r="B14" s="2">
        <v>36</v>
      </c>
      <c r="C14" s="2" t="s">
        <v>7</v>
      </c>
      <c r="D14" s="2" t="s">
        <v>8</v>
      </c>
      <c r="E14" s="2" t="s">
        <v>44</v>
      </c>
      <c r="F14" s="2" t="s">
        <v>46</v>
      </c>
      <c r="G14" s="2" t="str">
        <f t="shared" si="1"/>
        <v>36018RUBICON</v>
      </c>
      <c r="H14" s="2">
        <v>3150</v>
      </c>
      <c r="I14" s="2">
        <v>1768.7999999999988</v>
      </c>
      <c r="J14" s="2">
        <v>13400</v>
      </c>
      <c r="K14" s="5">
        <f t="shared" si="0"/>
        <v>1.7808683853459986</v>
      </c>
    </row>
    <row r="15" spans="1:11">
      <c r="A15" s="2">
        <v>2026</v>
      </c>
      <c r="B15" s="2">
        <v>36</v>
      </c>
      <c r="C15" s="2" t="s">
        <v>7</v>
      </c>
      <c r="D15" s="2" t="s">
        <v>8</v>
      </c>
      <c r="E15" s="2" t="s">
        <v>47</v>
      </c>
      <c r="F15" s="2" t="s">
        <v>27</v>
      </c>
      <c r="G15" s="2" t="str">
        <f t="shared" si="1"/>
        <v>36019BELLINA</v>
      </c>
      <c r="H15" s="2">
        <v>1365</v>
      </c>
      <c r="I15" s="2">
        <v>1029.6000000000004</v>
      </c>
      <c r="J15" s="2">
        <v>7800</v>
      </c>
      <c r="K15" s="5">
        <f t="shared" si="0"/>
        <v>1.3257575757575752</v>
      </c>
    </row>
    <row r="16" spans="1:11">
      <c r="A16" s="2">
        <v>2026</v>
      </c>
      <c r="B16" s="2">
        <v>36</v>
      </c>
      <c r="C16" s="2" t="s">
        <v>7</v>
      </c>
      <c r="D16" s="2" t="s">
        <v>8</v>
      </c>
      <c r="E16" s="2" t="s">
        <v>48</v>
      </c>
      <c r="F16" s="2" t="s">
        <v>49</v>
      </c>
      <c r="G16" s="2" t="str">
        <f t="shared" si="1"/>
        <v>36020SUMMER DANCE</v>
      </c>
      <c r="H16" s="2">
        <v>2100</v>
      </c>
      <c r="I16" s="2">
        <v>1346.3999999999999</v>
      </c>
      <c r="J16" s="2">
        <v>10200</v>
      </c>
      <c r="K16" s="5">
        <f t="shared" si="0"/>
        <v>1.5597147950089127</v>
      </c>
    </row>
    <row r="17" spans="1:11">
      <c r="A17" s="2">
        <v>2026</v>
      </c>
      <c r="B17" s="2">
        <v>36</v>
      </c>
      <c r="C17" s="2" t="s">
        <v>7</v>
      </c>
      <c r="D17" s="2" t="s">
        <v>8</v>
      </c>
      <c r="E17" s="2" t="s">
        <v>50</v>
      </c>
      <c r="F17" s="2" t="s">
        <v>51</v>
      </c>
      <c r="G17" s="2" t="str">
        <f t="shared" si="1"/>
        <v>36021ELEGANT ROSEVER</v>
      </c>
      <c r="H17" s="2">
        <v>420</v>
      </c>
      <c r="I17" s="2">
        <v>440.18999062500001</v>
      </c>
      <c r="J17" s="2">
        <v>3200</v>
      </c>
      <c r="K17" s="5">
        <f t="shared" si="0"/>
        <v>0.95413346269792865</v>
      </c>
    </row>
    <row r="18" spans="1:11">
      <c r="A18" s="2">
        <v>2026</v>
      </c>
      <c r="B18" s="2">
        <v>36</v>
      </c>
      <c r="C18" s="2" t="s">
        <v>7</v>
      </c>
      <c r="D18" s="2" t="s">
        <v>8</v>
      </c>
      <c r="E18" s="2" t="s">
        <v>50</v>
      </c>
      <c r="F18" s="2" t="s">
        <v>52</v>
      </c>
      <c r="G18" s="2" t="str">
        <f t="shared" si="1"/>
        <v>36021FLAME CLUB</v>
      </c>
      <c r="H18" s="2">
        <v>1400</v>
      </c>
      <c r="I18" s="2">
        <v>880.37999999999965</v>
      </c>
      <c r="J18" s="2">
        <v>6400</v>
      </c>
      <c r="K18" s="5">
        <f t="shared" ref="K18:K79" si="2">+H18/I18</f>
        <v>1.5902224039619262</v>
      </c>
    </row>
    <row r="19" spans="1:11">
      <c r="A19" s="2">
        <v>2026</v>
      </c>
      <c r="B19" s="2">
        <v>36</v>
      </c>
      <c r="C19" s="2" t="s">
        <v>7</v>
      </c>
      <c r="D19" s="2" t="s">
        <v>8</v>
      </c>
      <c r="E19" s="2" t="s">
        <v>50</v>
      </c>
      <c r="F19" s="2" t="s">
        <v>53</v>
      </c>
      <c r="G19" s="2" t="str">
        <f t="shared" si="1"/>
        <v>36021KELLY</v>
      </c>
      <c r="H19" s="2">
        <v>500</v>
      </c>
      <c r="I19" s="2">
        <v>330.14249999999998</v>
      </c>
      <c r="J19" s="2">
        <v>2400</v>
      </c>
      <c r="K19" s="5">
        <f t="shared" si="2"/>
        <v>1.5144975275827863</v>
      </c>
    </row>
    <row r="20" spans="1:11">
      <c r="A20" s="2">
        <v>2026</v>
      </c>
      <c r="B20" s="2">
        <v>36</v>
      </c>
      <c r="C20" s="2" t="s">
        <v>7</v>
      </c>
      <c r="D20" s="2" t="s">
        <v>8</v>
      </c>
      <c r="E20" s="2" t="s">
        <v>50</v>
      </c>
      <c r="F20" s="2" t="s">
        <v>54</v>
      </c>
      <c r="G20" s="2" t="str">
        <f t="shared" si="1"/>
        <v>36021LEILA</v>
      </c>
      <c r="H20" s="2">
        <v>1075</v>
      </c>
      <c r="I20" s="2">
        <v>770.33249999999975</v>
      </c>
      <c r="J20" s="2">
        <v>5600</v>
      </c>
      <c r="K20" s="5">
        <f t="shared" si="2"/>
        <v>1.3955012932727107</v>
      </c>
    </row>
    <row r="21" spans="1:11">
      <c r="A21" s="2">
        <v>2026</v>
      </c>
      <c r="B21" s="2">
        <v>36</v>
      </c>
      <c r="C21" s="2" t="s">
        <v>7</v>
      </c>
      <c r="D21" s="2" t="s">
        <v>8</v>
      </c>
      <c r="E21" s="2" t="s">
        <v>50</v>
      </c>
      <c r="F21" s="2" t="s">
        <v>109</v>
      </c>
      <c r="G21" s="2" t="str">
        <f t="shared" si="1"/>
        <v>36021PISTACHIO KISS</v>
      </c>
      <c r="H21" s="2">
        <v>600</v>
      </c>
      <c r="I21" s="2">
        <v>880.37999999999965</v>
      </c>
      <c r="J21" s="2">
        <v>6400</v>
      </c>
      <c r="K21" s="5">
        <f t="shared" si="2"/>
        <v>0.68152388741225411</v>
      </c>
    </row>
    <row r="22" spans="1:11">
      <c r="A22" s="2">
        <v>2026</v>
      </c>
      <c r="B22" s="2">
        <v>36</v>
      </c>
      <c r="C22" s="2" t="s">
        <v>7</v>
      </c>
      <c r="D22" s="2" t="s">
        <v>8</v>
      </c>
      <c r="E22" s="2" t="s">
        <v>50</v>
      </c>
      <c r="F22" s="2" t="s">
        <v>33</v>
      </c>
      <c r="G22" s="2" t="str">
        <f t="shared" si="1"/>
        <v>36021SNOW BUBBLES</v>
      </c>
      <c r="H22" s="2">
        <v>1200</v>
      </c>
      <c r="I22" s="2">
        <v>1287.0000000000018</v>
      </c>
      <c r="J22" s="2">
        <v>9400</v>
      </c>
      <c r="K22" s="5">
        <f t="shared" si="2"/>
        <v>0.93240093240093114</v>
      </c>
    </row>
    <row r="23" spans="1:11">
      <c r="A23" s="2">
        <v>2026</v>
      </c>
      <c r="B23" s="2">
        <v>36</v>
      </c>
      <c r="C23" s="2" t="s">
        <v>7</v>
      </c>
      <c r="D23" s="2" t="s">
        <v>8</v>
      </c>
      <c r="E23" s="2" t="s">
        <v>55</v>
      </c>
      <c r="F23" s="2" t="s">
        <v>36</v>
      </c>
      <c r="G23" s="2" t="str">
        <f t="shared" si="1"/>
        <v>36022FRUITY BUBBLES</v>
      </c>
      <c r="H23" s="2">
        <v>2175</v>
      </c>
      <c r="I23" s="2">
        <v>2641.139999999999</v>
      </c>
      <c r="J23" s="2">
        <v>19200</v>
      </c>
      <c r="K23" s="5">
        <f t="shared" si="2"/>
        <v>0.82350803062314037</v>
      </c>
    </row>
    <row r="24" spans="1:11">
      <c r="A24" s="2">
        <v>2026</v>
      </c>
      <c r="B24" s="2">
        <v>36</v>
      </c>
      <c r="C24" s="2" t="s">
        <v>7</v>
      </c>
      <c r="D24" s="2" t="s">
        <v>8</v>
      </c>
      <c r="E24" s="2" t="s">
        <v>55</v>
      </c>
      <c r="F24" s="2" t="s">
        <v>40</v>
      </c>
      <c r="G24" s="2" t="str">
        <f t="shared" si="1"/>
        <v>36022GOOD PEACH</v>
      </c>
      <c r="H24" s="2">
        <v>1740</v>
      </c>
      <c r="I24" s="2">
        <v>880.37999999999965</v>
      </c>
      <c r="J24" s="2">
        <v>6400</v>
      </c>
      <c r="K24" s="5">
        <f t="shared" si="2"/>
        <v>1.9764192734955368</v>
      </c>
    </row>
    <row r="25" spans="1:11">
      <c r="A25" s="2">
        <v>2026</v>
      </c>
      <c r="B25" s="2">
        <v>36</v>
      </c>
      <c r="C25" s="2" t="s">
        <v>7</v>
      </c>
      <c r="D25" s="2" t="s">
        <v>8</v>
      </c>
      <c r="E25" s="2" t="s">
        <v>55</v>
      </c>
      <c r="F25" s="2" t="s">
        <v>56</v>
      </c>
      <c r="G25" s="2" t="str">
        <f t="shared" si="1"/>
        <v>36022MIRABEL</v>
      </c>
      <c r="H25" s="2">
        <v>1080</v>
      </c>
      <c r="I25" s="2">
        <v>880.37999999999965</v>
      </c>
      <c r="J25" s="2">
        <v>6400</v>
      </c>
      <c r="K25" s="5">
        <f t="shared" si="2"/>
        <v>1.2267429973420574</v>
      </c>
    </row>
    <row r="26" spans="1:11">
      <c r="A26" s="2">
        <v>2026</v>
      </c>
      <c r="B26" s="2">
        <v>36</v>
      </c>
      <c r="C26" s="2" t="s">
        <v>7</v>
      </c>
      <c r="D26" s="2" t="s">
        <v>8</v>
      </c>
      <c r="E26" s="2" t="s">
        <v>57</v>
      </c>
      <c r="F26" s="2" t="s">
        <v>56</v>
      </c>
      <c r="G26" s="2" t="str">
        <f t="shared" si="1"/>
        <v>36030MIRABEL</v>
      </c>
      <c r="H26" s="2">
        <v>3100</v>
      </c>
      <c r="I26" s="2">
        <v>2413.6749943750001</v>
      </c>
      <c r="J26" s="2">
        <v>17600</v>
      </c>
      <c r="K26" s="5">
        <f t="shared" si="2"/>
        <v>1.2843485586188947</v>
      </c>
    </row>
    <row r="27" spans="1:11">
      <c r="A27" s="2">
        <v>2026</v>
      </c>
      <c r="B27" s="2">
        <v>36</v>
      </c>
      <c r="C27" s="2" t="s">
        <v>7</v>
      </c>
      <c r="D27" s="2" t="s">
        <v>8</v>
      </c>
      <c r="E27" s="2" t="s">
        <v>57</v>
      </c>
      <c r="F27" s="2" t="s">
        <v>25</v>
      </c>
      <c r="G27" s="2" t="str">
        <f t="shared" si="1"/>
        <v>36030SOMERSET</v>
      </c>
      <c r="H27" s="2">
        <v>2080</v>
      </c>
      <c r="I27" s="2">
        <v>1645.6875000000009</v>
      </c>
      <c r="J27" s="2">
        <v>12000</v>
      </c>
      <c r="K27" s="5">
        <f t="shared" si="2"/>
        <v>1.2639094603319274</v>
      </c>
    </row>
    <row r="28" spans="1:11">
      <c r="A28" s="2">
        <v>2026</v>
      </c>
      <c r="B28" s="2">
        <v>36</v>
      </c>
      <c r="C28" s="2" t="s">
        <v>7</v>
      </c>
      <c r="D28" s="2" t="s">
        <v>8</v>
      </c>
      <c r="E28" s="2" t="s">
        <v>58</v>
      </c>
      <c r="F28" s="2" t="s">
        <v>59</v>
      </c>
      <c r="G28" s="2" t="str">
        <f t="shared" si="1"/>
        <v>3603182989</v>
      </c>
      <c r="H28" s="2">
        <v>980</v>
      </c>
      <c r="I28" s="2">
        <v>771.27968200030421</v>
      </c>
      <c r="J28" s="2">
        <v>5712</v>
      </c>
      <c r="K28" s="5">
        <f t="shared" si="2"/>
        <v>1.270615605299471</v>
      </c>
    </row>
    <row r="29" spans="1:11">
      <c r="A29" s="2">
        <v>2026</v>
      </c>
      <c r="B29" s="2">
        <v>36</v>
      </c>
      <c r="C29" s="2" t="s">
        <v>7</v>
      </c>
      <c r="D29" s="2" t="s">
        <v>8</v>
      </c>
      <c r="E29" s="2" t="s">
        <v>58</v>
      </c>
      <c r="F29" s="2" t="s">
        <v>46</v>
      </c>
      <c r="G29" s="2" t="str">
        <f t="shared" si="1"/>
        <v>36031RUBICON</v>
      </c>
      <c r="H29" s="2">
        <v>1500</v>
      </c>
      <c r="I29" s="2">
        <v>907.38786117682764</v>
      </c>
      <c r="J29" s="2">
        <v>6720</v>
      </c>
      <c r="K29" s="5">
        <f t="shared" si="2"/>
        <v>1.6530968334253335</v>
      </c>
    </row>
    <row r="30" spans="1:11">
      <c r="A30" s="2">
        <v>2026</v>
      </c>
      <c r="B30" s="2">
        <v>36</v>
      </c>
      <c r="C30" s="2" t="s">
        <v>7</v>
      </c>
      <c r="D30" s="2" t="s">
        <v>8</v>
      </c>
      <c r="E30" s="2" t="s">
        <v>58</v>
      </c>
      <c r="F30" s="2" t="s">
        <v>25</v>
      </c>
      <c r="G30" s="2" t="str">
        <f t="shared" si="1"/>
        <v>36031SOMERSET</v>
      </c>
      <c r="H30" s="2">
        <v>3040</v>
      </c>
      <c r="I30" s="2">
        <v>1101.8281171432909</v>
      </c>
      <c r="J30" s="2">
        <v>8160</v>
      </c>
      <c r="K30" s="5">
        <f t="shared" si="2"/>
        <v>2.7590510286502816</v>
      </c>
    </row>
    <row r="31" spans="1:11">
      <c r="A31" s="2">
        <v>2026</v>
      </c>
      <c r="B31" s="2">
        <v>36</v>
      </c>
      <c r="C31" s="2" t="s">
        <v>7</v>
      </c>
      <c r="D31" s="2" t="s">
        <v>8</v>
      </c>
      <c r="E31" s="2" t="s">
        <v>58</v>
      </c>
      <c r="F31" s="2" t="s">
        <v>60</v>
      </c>
      <c r="G31" s="2" t="str">
        <f t="shared" si="1"/>
        <v>36031VELVET BLOSSOMS</v>
      </c>
      <c r="H31" s="2">
        <v>480</v>
      </c>
      <c r="I31" s="2">
        <v>388.88051193292625</v>
      </c>
      <c r="J31" s="2">
        <v>2880</v>
      </c>
      <c r="K31" s="5">
        <f t="shared" si="2"/>
        <v>1.2343123022909155</v>
      </c>
    </row>
    <row r="32" spans="1:11">
      <c r="A32" s="2">
        <v>2026</v>
      </c>
      <c r="B32" s="2">
        <v>36</v>
      </c>
      <c r="C32" s="2" t="s">
        <v>7</v>
      </c>
      <c r="D32" s="2" t="s">
        <v>8</v>
      </c>
      <c r="E32" s="2" t="s">
        <v>61</v>
      </c>
      <c r="F32" s="2" t="s">
        <v>29</v>
      </c>
      <c r="G32" s="2" t="str">
        <f t="shared" si="1"/>
        <v>36032ELBA</v>
      </c>
      <c r="H32" s="2">
        <v>3210</v>
      </c>
      <c r="I32" s="2">
        <v>1535.9749999999995</v>
      </c>
      <c r="J32" s="2">
        <v>11200</v>
      </c>
      <c r="K32" s="5">
        <f t="shared" si="2"/>
        <v>2.0898777649375813</v>
      </c>
    </row>
    <row r="33" spans="1:11">
      <c r="A33" s="2">
        <v>2026</v>
      </c>
      <c r="B33" s="2">
        <v>36</v>
      </c>
      <c r="C33" s="2" t="s">
        <v>7</v>
      </c>
      <c r="D33" s="2" t="s">
        <v>8</v>
      </c>
      <c r="E33" s="2" t="s">
        <v>61</v>
      </c>
      <c r="F33" s="2" t="s">
        <v>56</v>
      </c>
      <c r="G33" s="2" t="str">
        <f t="shared" si="1"/>
        <v>36032MIRABEL</v>
      </c>
      <c r="H33" s="2">
        <v>2300</v>
      </c>
      <c r="I33" s="2">
        <v>1535.9749999999995</v>
      </c>
      <c r="J33" s="2">
        <v>11200</v>
      </c>
      <c r="K33" s="5">
        <f t="shared" si="2"/>
        <v>1.4974202054069896</v>
      </c>
    </row>
    <row r="34" spans="1:11">
      <c r="A34" s="2">
        <v>2026</v>
      </c>
      <c r="B34" s="2">
        <v>36</v>
      </c>
      <c r="C34" s="2" t="s">
        <v>7</v>
      </c>
      <c r="D34" s="2" t="s">
        <v>8</v>
      </c>
      <c r="E34" s="2" t="s">
        <v>62</v>
      </c>
      <c r="F34" s="2" t="s">
        <v>63</v>
      </c>
      <c r="G34" s="2" t="str">
        <f t="shared" si="1"/>
        <v>36033CREAMY FOLIES</v>
      </c>
      <c r="H34" s="2">
        <v>1470</v>
      </c>
      <c r="I34" s="2">
        <v>594.25687500000311</v>
      </c>
      <c r="J34" s="2">
        <v>4320</v>
      </c>
      <c r="K34" s="5">
        <f t="shared" si="2"/>
        <v>2.4736777340606992</v>
      </c>
    </row>
    <row r="35" spans="1:11">
      <c r="A35" s="2">
        <v>2026</v>
      </c>
      <c r="B35" s="2">
        <v>36</v>
      </c>
      <c r="C35" s="2" t="s">
        <v>7</v>
      </c>
      <c r="D35" s="2" t="s">
        <v>8</v>
      </c>
      <c r="E35" s="2" t="s">
        <v>62</v>
      </c>
      <c r="F35" s="2" t="s">
        <v>30</v>
      </c>
      <c r="G35" s="2" t="str">
        <f t="shared" si="1"/>
        <v>36033HOT BUBBLES</v>
      </c>
      <c r="H35" s="2">
        <v>3220</v>
      </c>
      <c r="I35" s="2">
        <v>2575.1131250013464</v>
      </c>
      <c r="J35" s="2">
        <v>18720</v>
      </c>
      <c r="K35" s="5">
        <f t="shared" si="2"/>
        <v>1.2504305029311349</v>
      </c>
    </row>
    <row r="36" spans="1:11">
      <c r="A36" s="2">
        <v>2026</v>
      </c>
      <c r="B36" s="2">
        <v>36</v>
      </c>
      <c r="C36" s="2" t="s">
        <v>10</v>
      </c>
      <c r="D36" s="2" t="s">
        <v>8</v>
      </c>
      <c r="E36" s="2" t="s">
        <v>64</v>
      </c>
      <c r="F36" s="2" t="s">
        <v>65</v>
      </c>
      <c r="G36" s="2" t="str">
        <f t="shared" si="1"/>
        <v>36001BELIEVE IN PINK</v>
      </c>
      <c r="H36" s="2">
        <v>1110</v>
      </c>
      <c r="I36" s="2">
        <v>1690.8137930358068</v>
      </c>
      <c r="J36" s="2">
        <v>12800</v>
      </c>
      <c r="K36" s="5">
        <f t="shared" si="2"/>
        <v>0.6564886119168849</v>
      </c>
    </row>
    <row r="37" spans="1:11">
      <c r="A37" s="2">
        <v>2026</v>
      </c>
      <c r="B37" s="2">
        <v>36</v>
      </c>
      <c r="C37" s="2" t="s">
        <v>10</v>
      </c>
      <c r="D37" s="2" t="s">
        <v>8</v>
      </c>
      <c r="E37" s="2" t="s">
        <v>64</v>
      </c>
      <c r="F37" s="2" t="s">
        <v>66</v>
      </c>
      <c r="G37" s="2" t="str">
        <f t="shared" si="1"/>
        <v>36001EXPLORER</v>
      </c>
      <c r="H37" s="2">
        <v>3800</v>
      </c>
      <c r="I37" s="2">
        <v>2272.0310343918723</v>
      </c>
      <c r="J37" s="2">
        <v>17200</v>
      </c>
      <c r="K37" s="5">
        <f t="shared" si="2"/>
        <v>1.6725123655791529</v>
      </c>
    </row>
    <row r="38" spans="1:11">
      <c r="A38" s="2">
        <v>2026</v>
      </c>
      <c r="B38" s="2">
        <v>36</v>
      </c>
      <c r="C38" s="2" t="s">
        <v>10</v>
      </c>
      <c r="D38" s="2" t="s">
        <v>8</v>
      </c>
      <c r="E38" s="2" t="s">
        <v>64</v>
      </c>
      <c r="F38" s="2" t="s">
        <v>67</v>
      </c>
      <c r="G38" s="2" t="str">
        <f t="shared" si="1"/>
        <v>36001GRACE KELLY</v>
      </c>
      <c r="H38" s="2">
        <v>1350</v>
      </c>
      <c r="I38" s="2">
        <v>1162.434482712122</v>
      </c>
      <c r="J38" s="2">
        <v>8800</v>
      </c>
      <c r="K38" s="5">
        <f t="shared" si="2"/>
        <v>1.1613557753812167</v>
      </c>
    </row>
    <row r="39" spans="1:11">
      <c r="A39" s="2">
        <v>2026</v>
      </c>
      <c r="B39" s="2">
        <v>36</v>
      </c>
      <c r="C39" s="2" t="s">
        <v>10</v>
      </c>
      <c r="D39" s="2" t="s">
        <v>8</v>
      </c>
      <c r="E39" s="2" t="s">
        <v>64</v>
      </c>
      <c r="F39" s="2" t="s">
        <v>68</v>
      </c>
      <c r="G39" s="2" t="str">
        <f t="shared" si="1"/>
        <v>36001LIGHT HOUSE</v>
      </c>
      <c r="H39" s="2">
        <v>2130</v>
      </c>
      <c r="I39" s="2">
        <v>1056.7586206473823</v>
      </c>
      <c r="J39" s="2">
        <v>8000</v>
      </c>
      <c r="K39" s="5">
        <f t="shared" si="2"/>
        <v>2.0155974679394033</v>
      </c>
    </row>
    <row r="40" spans="1:11">
      <c r="A40" s="2">
        <v>2026</v>
      </c>
      <c r="B40" s="2">
        <v>36</v>
      </c>
      <c r="C40" s="2" t="s">
        <v>10</v>
      </c>
      <c r="D40" s="2" t="s">
        <v>8</v>
      </c>
      <c r="E40" s="2" t="s">
        <v>64</v>
      </c>
      <c r="F40" s="2" t="s">
        <v>69</v>
      </c>
      <c r="G40" s="2" t="str">
        <f t="shared" si="1"/>
        <v>36001LUMIA</v>
      </c>
      <c r="H40" s="2">
        <v>1140</v>
      </c>
      <c r="I40" s="2">
        <v>1109.5965516797528</v>
      </c>
      <c r="J40" s="2">
        <v>8400</v>
      </c>
      <c r="K40" s="5">
        <f t="shared" si="2"/>
        <v>1.0274004531414784</v>
      </c>
    </row>
    <row r="41" spans="1:11">
      <c r="A41" s="2">
        <v>2026</v>
      </c>
      <c r="B41" s="2">
        <v>36</v>
      </c>
      <c r="C41" s="2" t="s">
        <v>10</v>
      </c>
      <c r="D41" s="2" t="s">
        <v>8</v>
      </c>
      <c r="E41" s="2" t="s">
        <v>64</v>
      </c>
      <c r="F41" s="2" t="s">
        <v>70</v>
      </c>
      <c r="G41" s="2" t="str">
        <f t="shared" si="1"/>
        <v>36001MOMENTUM</v>
      </c>
      <c r="H41" s="2">
        <v>2400</v>
      </c>
      <c r="I41" s="2">
        <v>1902.1655171652874</v>
      </c>
      <c r="J41" s="2">
        <v>14400</v>
      </c>
      <c r="K41" s="5">
        <f t="shared" si="2"/>
        <v>1.2617198547351511</v>
      </c>
    </row>
    <row r="42" spans="1:11">
      <c r="A42" s="2">
        <v>2026</v>
      </c>
      <c r="B42" s="2">
        <v>36</v>
      </c>
      <c r="C42" s="2" t="s">
        <v>10</v>
      </c>
      <c r="D42" s="2" t="s">
        <v>8</v>
      </c>
      <c r="E42" s="2" t="s">
        <v>24</v>
      </c>
      <c r="F42" s="2" t="s">
        <v>71</v>
      </c>
      <c r="G42" s="2" t="str">
        <f t="shared" si="1"/>
        <v>36002SUMMER ROMANCE</v>
      </c>
      <c r="H42" s="2">
        <v>1450</v>
      </c>
      <c r="I42" s="2">
        <v>951.10714281909407</v>
      </c>
      <c r="J42" s="2">
        <v>7200</v>
      </c>
      <c r="K42" s="5">
        <f t="shared" si="2"/>
        <v>1.5245390710684612</v>
      </c>
    </row>
    <row r="43" spans="1:11">
      <c r="A43" s="2">
        <v>2026</v>
      </c>
      <c r="B43" s="2">
        <v>36</v>
      </c>
      <c r="C43" s="2" t="s">
        <v>10</v>
      </c>
      <c r="D43" s="2" t="s">
        <v>8</v>
      </c>
      <c r="E43" s="2" t="s">
        <v>24</v>
      </c>
      <c r="F43" s="2" t="s">
        <v>72</v>
      </c>
      <c r="G43" s="2" t="str">
        <f t="shared" si="1"/>
        <v>36002SWEETNESS</v>
      </c>
      <c r="H43" s="2">
        <v>4410</v>
      </c>
      <c r="I43" s="2">
        <v>3804.4285712763835</v>
      </c>
      <c r="J43" s="2">
        <v>28800</v>
      </c>
      <c r="K43" s="5">
        <f t="shared" si="2"/>
        <v>1.159175397139983</v>
      </c>
    </row>
    <row r="44" spans="1:11">
      <c r="A44" s="2">
        <v>2026</v>
      </c>
      <c r="B44" s="2">
        <v>36</v>
      </c>
      <c r="C44" s="2" t="s">
        <v>10</v>
      </c>
      <c r="D44" s="2" t="s">
        <v>8</v>
      </c>
      <c r="E44" s="2" t="s">
        <v>73</v>
      </c>
      <c r="F44" s="2" t="s">
        <v>74</v>
      </c>
      <c r="G44" s="2" t="str">
        <f t="shared" si="1"/>
        <v>36003CABARET</v>
      </c>
      <c r="H44" s="2">
        <v>5310</v>
      </c>
      <c r="I44" s="2">
        <v>2641.8965516184676</v>
      </c>
      <c r="J44" s="2">
        <v>20000</v>
      </c>
      <c r="K44" s="5">
        <f t="shared" si="2"/>
        <v>2.0099197285930859</v>
      </c>
    </row>
    <row r="45" spans="1:11">
      <c r="A45" s="2">
        <v>2026</v>
      </c>
      <c r="B45" s="2">
        <v>36</v>
      </c>
      <c r="C45" s="2" t="s">
        <v>10</v>
      </c>
      <c r="D45" s="2" t="s">
        <v>8</v>
      </c>
      <c r="E45" s="2" t="s">
        <v>73</v>
      </c>
      <c r="F45" s="2" t="s">
        <v>19</v>
      </c>
      <c r="G45" s="2" t="str">
        <f t="shared" si="1"/>
        <v>36003DEEP PURPLE</v>
      </c>
      <c r="H45" s="2">
        <v>7320</v>
      </c>
      <c r="I45" s="2">
        <v>3592.9793102010881</v>
      </c>
      <c r="J45" s="2">
        <v>26044</v>
      </c>
      <c r="K45" s="5">
        <f t="shared" si="2"/>
        <v>2.0373064713223528</v>
      </c>
    </row>
    <row r="46" spans="1:11">
      <c r="A46" s="2">
        <v>2026</v>
      </c>
      <c r="B46" s="2">
        <v>36</v>
      </c>
      <c r="C46" s="2" t="s">
        <v>10</v>
      </c>
      <c r="D46" s="2" t="s">
        <v>8</v>
      </c>
      <c r="E46" s="2" t="s">
        <v>73</v>
      </c>
      <c r="F46" s="2" t="s">
        <v>66</v>
      </c>
      <c r="G46" s="2" t="str">
        <f t="shared" si="1"/>
        <v>36003EXPLORER</v>
      </c>
      <c r="H46" s="2">
        <v>1675</v>
      </c>
      <c r="I46" s="2">
        <v>1268.1103447768635</v>
      </c>
      <c r="J46" s="2">
        <v>9600</v>
      </c>
      <c r="K46" s="5">
        <f t="shared" si="2"/>
        <v>1.3208629729258559</v>
      </c>
    </row>
    <row r="47" spans="1:11">
      <c r="A47" s="2">
        <v>2026</v>
      </c>
      <c r="B47" s="2">
        <v>36</v>
      </c>
      <c r="C47" s="2" t="s">
        <v>10</v>
      </c>
      <c r="D47" s="2" t="s">
        <v>8</v>
      </c>
      <c r="E47" s="2" t="s">
        <v>73</v>
      </c>
      <c r="F47" s="2" t="s">
        <v>75</v>
      </c>
      <c r="G47" s="2" t="str">
        <f t="shared" si="1"/>
        <v>36003JOCKER</v>
      </c>
      <c r="H47" s="2">
        <v>525</v>
      </c>
      <c r="I47" s="2">
        <v>528.37931032368999</v>
      </c>
      <c r="J47" s="2">
        <v>4000</v>
      </c>
      <c r="K47" s="5">
        <f t="shared" si="2"/>
        <v>0.99360438560393327</v>
      </c>
    </row>
    <row r="48" spans="1:11">
      <c r="A48" s="2">
        <v>2026</v>
      </c>
      <c r="B48" s="2">
        <v>36</v>
      </c>
      <c r="C48" s="2" t="s">
        <v>10</v>
      </c>
      <c r="D48" s="2" t="s">
        <v>8</v>
      </c>
      <c r="E48" s="2" t="s">
        <v>73</v>
      </c>
      <c r="F48" s="2" t="s">
        <v>76</v>
      </c>
      <c r="G48" s="2" t="str">
        <f t="shared" si="1"/>
        <v>36003QUICKSAND</v>
      </c>
      <c r="H48" s="2">
        <v>1200</v>
      </c>
      <c r="I48" s="2">
        <v>1162.4344827121247</v>
      </c>
      <c r="J48" s="2">
        <v>8800</v>
      </c>
      <c r="K48" s="5">
        <f t="shared" si="2"/>
        <v>1.0323162447833014</v>
      </c>
    </row>
    <row r="49" spans="1:11">
      <c r="A49" s="2">
        <v>2026</v>
      </c>
      <c r="B49" s="2">
        <v>36</v>
      </c>
      <c r="C49" s="2" t="s">
        <v>10</v>
      </c>
      <c r="D49" s="2" t="s">
        <v>8</v>
      </c>
      <c r="E49" s="2" t="s">
        <v>26</v>
      </c>
      <c r="F49" s="2" t="s">
        <v>18</v>
      </c>
      <c r="G49" s="2" t="str">
        <f t="shared" si="1"/>
        <v>36004COTOPAXI</v>
      </c>
      <c r="H49" s="2">
        <v>720</v>
      </c>
      <c r="I49" s="2">
        <v>528.3915024419166</v>
      </c>
      <c r="J49" s="2">
        <v>4000</v>
      </c>
      <c r="K49" s="5">
        <f t="shared" si="2"/>
        <v>1.3626260011233733</v>
      </c>
    </row>
    <row r="50" spans="1:11">
      <c r="A50" s="2">
        <v>2026</v>
      </c>
      <c r="B50" s="2">
        <v>36</v>
      </c>
      <c r="C50" s="2" t="s">
        <v>10</v>
      </c>
      <c r="D50" s="2" t="s">
        <v>8</v>
      </c>
      <c r="E50" s="2" t="s">
        <v>26</v>
      </c>
      <c r="F50" s="2" t="s">
        <v>19</v>
      </c>
      <c r="G50" s="2" t="str">
        <f t="shared" si="1"/>
        <v>36004DEEP PURPLE</v>
      </c>
      <c r="H50" s="2">
        <v>11040</v>
      </c>
      <c r="I50" s="2">
        <v>3910.1071427007341</v>
      </c>
      <c r="J50" s="2">
        <v>29260</v>
      </c>
      <c r="K50" s="5">
        <f t="shared" si="2"/>
        <v>2.823452042895839</v>
      </c>
    </row>
    <row r="51" spans="1:11">
      <c r="A51" s="2">
        <v>2026</v>
      </c>
      <c r="B51" s="2">
        <v>36</v>
      </c>
      <c r="C51" s="2" t="s">
        <v>10</v>
      </c>
      <c r="D51" s="2" t="s">
        <v>8</v>
      </c>
      <c r="E51" s="2" t="s">
        <v>26</v>
      </c>
      <c r="F51" s="2" t="s">
        <v>77</v>
      </c>
      <c r="G51" s="2" t="str">
        <f t="shared" si="1"/>
        <v>36004HOT EXPLORER</v>
      </c>
      <c r="H51" s="2">
        <v>3150</v>
      </c>
      <c r="I51" s="2">
        <v>1902.2142856381952</v>
      </c>
      <c r="J51" s="2">
        <v>14400</v>
      </c>
      <c r="K51" s="5">
        <f t="shared" si="2"/>
        <v>1.6559648530571156</v>
      </c>
    </row>
    <row r="52" spans="1:11">
      <c r="A52" s="2">
        <v>2026</v>
      </c>
      <c r="B52" s="2">
        <v>36</v>
      </c>
      <c r="C52" s="2" t="s">
        <v>10</v>
      </c>
      <c r="D52" s="2" t="s">
        <v>8</v>
      </c>
      <c r="E52" s="2" t="s">
        <v>26</v>
      </c>
      <c r="F52" s="2" t="s">
        <v>78</v>
      </c>
      <c r="G52" s="2" t="str">
        <f t="shared" si="1"/>
        <v>36004HOT MERENGUE</v>
      </c>
      <c r="H52" s="2">
        <v>3690</v>
      </c>
      <c r="I52" s="2">
        <v>1162.464285667786</v>
      </c>
      <c r="J52" s="2">
        <v>8800</v>
      </c>
      <c r="K52" s="5">
        <f t="shared" si="2"/>
        <v>3.1742910689770163</v>
      </c>
    </row>
    <row r="53" spans="1:11">
      <c r="A53" s="2">
        <v>2026</v>
      </c>
      <c r="B53" s="2">
        <v>36</v>
      </c>
      <c r="C53" s="2" t="s">
        <v>10</v>
      </c>
      <c r="D53" s="2" t="s">
        <v>8</v>
      </c>
      <c r="E53" s="2" t="s">
        <v>26</v>
      </c>
      <c r="F53" s="2" t="s">
        <v>72</v>
      </c>
      <c r="G53" s="2" t="str">
        <f t="shared" si="1"/>
        <v>36004SWEETNESS</v>
      </c>
      <c r="H53" s="2">
        <v>480</v>
      </c>
      <c r="I53" s="2">
        <v>317.03571427303262</v>
      </c>
      <c r="J53" s="2">
        <v>2400</v>
      </c>
      <c r="K53" s="5">
        <f t="shared" si="2"/>
        <v>1.5140250085093623</v>
      </c>
    </row>
    <row r="54" spans="1:11">
      <c r="A54" s="2">
        <v>2026</v>
      </c>
      <c r="B54" s="2">
        <v>36</v>
      </c>
      <c r="C54" s="2" t="s">
        <v>10</v>
      </c>
      <c r="D54" s="2" t="s">
        <v>8</v>
      </c>
      <c r="E54" s="2" t="s">
        <v>28</v>
      </c>
      <c r="F54" s="2" t="s">
        <v>66</v>
      </c>
      <c r="G54" s="2" t="str">
        <f t="shared" si="1"/>
        <v>36005EXPLORER</v>
      </c>
      <c r="H54" s="2">
        <v>1375</v>
      </c>
      <c r="I54" s="2">
        <v>951.10714281875414</v>
      </c>
      <c r="J54" s="2">
        <v>7200</v>
      </c>
      <c r="K54" s="5">
        <f t="shared" si="2"/>
        <v>1.4456836018757817</v>
      </c>
    </row>
    <row r="55" spans="1:11">
      <c r="A55" s="2">
        <v>2026</v>
      </c>
      <c r="B55" s="2">
        <v>36</v>
      </c>
      <c r="C55" s="2" t="s">
        <v>10</v>
      </c>
      <c r="D55" s="2" t="s">
        <v>8</v>
      </c>
      <c r="E55" s="2" t="s">
        <v>28</v>
      </c>
      <c r="F55" s="2" t="s">
        <v>79</v>
      </c>
      <c r="G55" s="2" t="str">
        <f t="shared" si="1"/>
        <v>36005GOLDFINCH</v>
      </c>
      <c r="H55" s="2">
        <v>1200</v>
      </c>
      <c r="I55" s="2">
        <v>898.26785710660113</v>
      </c>
      <c r="J55" s="2">
        <v>6800</v>
      </c>
      <c r="K55" s="5">
        <f t="shared" si="2"/>
        <v>1.3359044192734497</v>
      </c>
    </row>
    <row r="56" spans="1:11">
      <c r="A56" s="2">
        <v>2026</v>
      </c>
      <c r="B56" s="2">
        <v>36</v>
      </c>
      <c r="C56" s="2" t="s">
        <v>10</v>
      </c>
      <c r="D56" s="2" t="s">
        <v>8</v>
      </c>
      <c r="E56" s="2" t="s">
        <v>28</v>
      </c>
      <c r="F56" s="2" t="s">
        <v>75</v>
      </c>
      <c r="G56" s="2" t="str">
        <f t="shared" si="1"/>
        <v>36005JOCKER</v>
      </c>
      <c r="H56" s="2">
        <v>1925</v>
      </c>
      <c r="I56" s="2">
        <v>1162.4642856673661</v>
      </c>
      <c r="J56" s="2">
        <v>8800</v>
      </c>
      <c r="K56" s="5">
        <f t="shared" si="2"/>
        <v>1.6559648530577138</v>
      </c>
    </row>
    <row r="57" spans="1:11">
      <c r="A57" s="2">
        <v>2026</v>
      </c>
      <c r="B57" s="2">
        <v>36</v>
      </c>
      <c r="C57" s="2" t="s">
        <v>10</v>
      </c>
      <c r="D57" s="2" t="s">
        <v>8</v>
      </c>
      <c r="E57" s="2" t="s">
        <v>28</v>
      </c>
      <c r="F57" s="2" t="s">
        <v>80</v>
      </c>
      <c r="G57" s="2" t="str">
        <f t="shared" si="1"/>
        <v>36005VENDELA</v>
      </c>
      <c r="H57" s="2">
        <v>1200</v>
      </c>
      <c r="I57" s="2">
        <v>686.91071425798907</v>
      </c>
      <c r="J57" s="2">
        <v>5200</v>
      </c>
      <c r="K57" s="5">
        <f>+H57/I57</f>
        <v>1.7469519328960497</v>
      </c>
    </row>
    <row r="58" spans="1:11">
      <c r="A58" s="2">
        <v>2026</v>
      </c>
      <c r="B58" s="2">
        <v>36</v>
      </c>
      <c r="C58" s="2" t="s">
        <v>10</v>
      </c>
      <c r="D58" s="2" t="s">
        <v>8</v>
      </c>
      <c r="E58" s="2" t="s">
        <v>81</v>
      </c>
      <c r="F58" s="2" t="s">
        <v>66</v>
      </c>
      <c r="G58" s="2" t="str">
        <f t="shared" si="1"/>
        <v>36006EXPLORER</v>
      </c>
      <c r="H58" s="2">
        <v>5300</v>
      </c>
      <c r="I58" s="2">
        <v>3910.1071427007359</v>
      </c>
      <c r="J58" s="2">
        <v>29600</v>
      </c>
      <c r="K58" s="5">
        <f t="shared" si="2"/>
        <v>1.3554615785641251</v>
      </c>
    </row>
    <row r="59" spans="1:11">
      <c r="A59" s="2">
        <v>2026</v>
      </c>
      <c r="B59" s="2">
        <v>36</v>
      </c>
      <c r="C59" s="2" t="s">
        <v>10</v>
      </c>
      <c r="D59" s="2" t="s">
        <v>8</v>
      </c>
      <c r="E59" s="2" t="s">
        <v>81</v>
      </c>
      <c r="F59" s="2" t="s">
        <v>82</v>
      </c>
      <c r="G59" s="2" t="str">
        <f t="shared" si="1"/>
        <v>36006MONDIAL</v>
      </c>
      <c r="H59" s="2">
        <v>6475</v>
      </c>
      <c r="I59" s="2">
        <v>4015.7857141250802</v>
      </c>
      <c r="J59" s="2">
        <v>30400</v>
      </c>
      <c r="K59" s="5">
        <f t="shared" si="2"/>
        <v>1.6123868306082436</v>
      </c>
    </row>
    <row r="60" spans="1:11">
      <c r="A60" s="2">
        <v>2026</v>
      </c>
      <c r="B60" s="2">
        <v>36</v>
      </c>
      <c r="C60" s="2" t="s">
        <v>10</v>
      </c>
      <c r="D60" s="2" t="s">
        <v>8</v>
      </c>
      <c r="E60" s="2" t="s">
        <v>32</v>
      </c>
      <c r="F60" s="2" t="s">
        <v>65</v>
      </c>
      <c r="G60" s="2" t="str">
        <f t="shared" si="1"/>
        <v>36007BELIEVE IN PINK</v>
      </c>
      <c r="H60" s="2">
        <v>0</v>
      </c>
      <c r="I60" s="2">
        <v>1124.0306005750626</v>
      </c>
      <c r="J60" s="2">
        <v>8800</v>
      </c>
      <c r="K60" s="5">
        <f t="shared" si="2"/>
        <v>0</v>
      </c>
    </row>
    <row r="61" spans="1:11">
      <c r="A61" s="2">
        <v>2026</v>
      </c>
      <c r="B61" s="2">
        <v>36</v>
      </c>
      <c r="C61" s="2" t="s">
        <v>10</v>
      </c>
      <c r="D61" s="2" t="s">
        <v>8</v>
      </c>
      <c r="E61" s="2" t="s">
        <v>32</v>
      </c>
      <c r="F61" s="2" t="s">
        <v>18</v>
      </c>
      <c r="G61" s="2" t="str">
        <f t="shared" si="1"/>
        <v>36007COTOPAXI</v>
      </c>
      <c r="H61" s="2">
        <v>4110</v>
      </c>
      <c r="I61" s="2">
        <v>2656.7996013592365</v>
      </c>
      <c r="J61" s="2">
        <v>20800</v>
      </c>
      <c r="K61" s="5">
        <f t="shared" si="2"/>
        <v>1.5469740351877863</v>
      </c>
    </row>
    <row r="62" spans="1:11">
      <c r="A62" s="2">
        <v>2026</v>
      </c>
      <c r="B62" s="2">
        <v>36</v>
      </c>
      <c r="C62" s="2" t="s">
        <v>10</v>
      </c>
      <c r="D62" s="2" t="s">
        <v>8</v>
      </c>
      <c r="E62" s="2" t="s">
        <v>32</v>
      </c>
      <c r="F62" s="2" t="s">
        <v>83</v>
      </c>
      <c r="G62" s="2" t="str">
        <f t="shared" si="1"/>
        <v>36007REDIANT</v>
      </c>
      <c r="H62" s="2">
        <v>1650</v>
      </c>
      <c r="I62" s="2">
        <v>1226.2152006273423</v>
      </c>
      <c r="J62" s="2">
        <v>9600</v>
      </c>
      <c r="K62" s="5">
        <f t="shared" si="2"/>
        <v>1.3456039357168674</v>
      </c>
    </row>
    <row r="63" spans="1:11">
      <c r="A63" s="2">
        <v>2026</v>
      </c>
      <c r="B63" s="2">
        <v>36</v>
      </c>
      <c r="C63" s="2" t="s">
        <v>10</v>
      </c>
      <c r="D63" s="2" t="s">
        <v>8</v>
      </c>
      <c r="E63" s="2" t="s">
        <v>32</v>
      </c>
      <c r="F63" s="2" t="s">
        <v>71</v>
      </c>
      <c r="G63" s="2" t="str">
        <f t="shared" si="1"/>
        <v>36007SUMMER ROMANCE</v>
      </c>
      <c r="H63" s="2">
        <v>875</v>
      </c>
      <c r="I63" s="2">
        <v>337.20918017251921</v>
      </c>
      <c r="J63" s="2">
        <v>2640</v>
      </c>
      <c r="K63" s="5">
        <f t="shared" si="2"/>
        <v>2.5948285261757769</v>
      </c>
    </row>
    <row r="64" spans="1:11">
      <c r="A64" s="2">
        <v>2026</v>
      </c>
      <c r="B64" s="2">
        <v>36</v>
      </c>
      <c r="C64" s="2" t="s">
        <v>10</v>
      </c>
      <c r="D64" s="2" t="s">
        <v>8</v>
      </c>
      <c r="E64" s="2" t="s">
        <v>32</v>
      </c>
      <c r="F64" s="2" t="s">
        <v>80</v>
      </c>
      <c r="G64" s="2" t="str">
        <f t="shared" si="1"/>
        <v>36007VENDELA</v>
      </c>
      <c r="H64" s="2">
        <v>9450</v>
      </c>
      <c r="I64" s="2">
        <v>3553.4694668179782</v>
      </c>
      <c r="J64" s="2">
        <v>27820</v>
      </c>
      <c r="K64" s="5">
        <f t="shared" si="2"/>
        <v>2.6593727871432034</v>
      </c>
    </row>
    <row r="65" spans="1:11">
      <c r="A65" s="2">
        <v>2026</v>
      </c>
      <c r="B65" s="2">
        <v>36</v>
      </c>
      <c r="C65" s="2" t="s">
        <v>10</v>
      </c>
      <c r="D65" s="2" t="s">
        <v>8</v>
      </c>
      <c r="E65" s="2" t="s">
        <v>84</v>
      </c>
      <c r="F65" s="2" t="s">
        <v>19</v>
      </c>
      <c r="G65" s="2" t="str">
        <f t="shared" si="1"/>
        <v>36008DEEP PURPLE</v>
      </c>
      <c r="H65" s="2">
        <v>4050</v>
      </c>
      <c r="I65" s="2">
        <v>1585.2222221588088</v>
      </c>
      <c r="J65" s="2">
        <v>11490</v>
      </c>
      <c r="K65" s="5">
        <f t="shared" si="2"/>
        <v>2.5548468494748793</v>
      </c>
    </row>
    <row r="66" spans="1:11">
      <c r="A66" s="2">
        <v>2026</v>
      </c>
      <c r="B66" s="2">
        <v>36</v>
      </c>
      <c r="C66" s="2" t="s">
        <v>10</v>
      </c>
      <c r="D66" s="2" t="s">
        <v>8</v>
      </c>
      <c r="E66" s="2" t="s">
        <v>84</v>
      </c>
      <c r="F66" s="2" t="s">
        <v>85</v>
      </c>
      <c r="G66" s="2" t="str">
        <f t="shared" si="1"/>
        <v>36008FREEDOM</v>
      </c>
      <c r="H66" s="2">
        <v>4740</v>
      </c>
      <c r="I66" s="2">
        <v>2219.3111110223322</v>
      </c>
      <c r="J66" s="2">
        <v>16800</v>
      </c>
      <c r="K66" s="5">
        <f t="shared" si="2"/>
        <v>2.1357978953282064</v>
      </c>
    </row>
    <row r="67" spans="1:11">
      <c r="A67" s="2">
        <v>2026</v>
      </c>
      <c r="B67" s="2">
        <v>36</v>
      </c>
      <c r="C67" s="2" t="s">
        <v>10</v>
      </c>
      <c r="D67" s="2" t="s">
        <v>8</v>
      </c>
      <c r="E67" s="2" t="s">
        <v>84</v>
      </c>
      <c r="F67" s="2" t="s">
        <v>75</v>
      </c>
      <c r="G67" s="2" t="str">
        <f t="shared" ref="G67:G108" si="3">+B67&amp;E67&amp;F67</f>
        <v>36008JOCKER</v>
      </c>
      <c r="H67" s="2">
        <v>3500</v>
      </c>
      <c r="I67" s="2">
        <v>2959.0814813631118</v>
      </c>
      <c r="J67" s="2">
        <v>22400</v>
      </c>
      <c r="K67" s="5">
        <f t="shared" si="2"/>
        <v>1.1827994673494804</v>
      </c>
    </row>
    <row r="68" spans="1:11">
      <c r="A68" s="2">
        <v>2026</v>
      </c>
      <c r="B68" s="2">
        <v>36</v>
      </c>
      <c r="C68" s="2" t="s">
        <v>10</v>
      </c>
      <c r="D68" s="2" t="s">
        <v>8</v>
      </c>
      <c r="E68" s="2" t="s">
        <v>84</v>
      </c>
      <c r="F68" s="2" t="s">
        <v>69</v>
      </c>
      <c r="G68" s="2" t="str">
        <f t="shared" si="3"/>
        <v>36008LUMIA</v>
      </c>
      <c r="H68" s="2">
        <v>2400</v>
      </c>
      <c r="I68" s="2">
        <v>1796.5851851133164</v>
      </c>
      <c r="J68" s="2">
        <v>13600</v>
      </c>
      <c r="K68" s="5">
        <f t="shared" si="2"/>
        <v>1.3358676337123554</v>
      </c>
    </row>
    <row r="69" spans="1:11">
      <c r="A69" s="2">
        <v>2026</v>
      </c>
      <c r="B69" s="2">
        <v>36</v>
      </c>
      <c r="C69" s="2" t="s">
        <v>10</v>
      </c>
      <c r="D69" s="2" t="s">
        <v>8</v>
      </c>
      <c r="E69" s="2" t="s">
        <v>86</v>
      </c>
      <c r="F69" s="2" t="s">
        <v>87</v>
      </c>
      <c r="G69" s="2" t="str">
        <f t="shared" si="3"/>
        <v>36010COOLDOWN</v>
      </c>
      <c r="H69" s="2">
        <v>3500</v>
      </c>
      <c r="I69" s="2">
        <v>2122.9659912130287</v>
      </c>
      <c r="J69" s="2">
        <v>16320</v>
      </c>
      <c r="K69" s="5">
        <f t="shared" si="2"/>
        <v>1.6486368667640108</v>
      </c>
    </row>
    <row r="70" spans="1:11">
      <c r="A70" s="2">
        <v>2026</v>
      </c>
      <c r="B70" s="2">
        <v>36</v>
      </c>
      <c r="C70" s="2" t="s">
        <v>10</v>
      </c>
      <c r="D70" s="2" t="s">
        <v>8</v>
      </c>
      <c r="E70" s="2" t="s">
        <v>86</v>
      </c>
      <c r="F70" s="2" t="s">
        <v>88</v>
      </c>
      <c r="G70" s="2" t="str">
        <f t="shared" si="3"/>
        <v>36010VIOLET HILL</v>
      </c>
      <c r="H70" s="2">
        <v>3870</v>
      </c>
      <c r="I70" s="2">
        <v>2601.6740087869721</v>
      </c>
      <c r="J70" s="2">
        <v>20000</v>
      </c>
      <c r="K70" s="5">
        <f t="shared" si="2"/>
        <v>1.4875038098275748</v>
      </c>
    </row>
    <row r="71" spans="1:11">
      <c r="A71" s="2">
        <v>2026</v>
      </c>
      <c r="B71" s="2">
        <v>36</v>
      </c>
      <c r="C71" s="2" t="s">
        <v>10</v>
      </c>
      <c r="D71" s="2" t="s">
        <v>8</v>
      </c>
      <c r="E71" s="2" t="s">
        <v>89</v>
      </c>
      <c r="F71" s="2" t="s">
        <v>90</v>
      </c>
      <c r="G71" s="2" t="str">
        <f t="shared" si="3"/>
        <v>36011BRIGHTON</v>
      </c>
      <c r="H71" s="2">
        <v>3350</v>
      </c>
      <c r="I71" s="2">
        <v>1768.8376470588212</v>
      </c>
      <c r="J71" s="2">
        <v>12800</v>
      </c>
      <c r="K71" s="5">
        <f t="shared" si="2"/>
        <v>1.8938990842773478</v>
      </c>
    </row>
    <row r="72" spans="1:11">
      <c r="A72" s="2">
        <v>2026</v>
      </c>
      <c r="B72" s="2">
        <v>36</v>
      </c>
      <c r="C72" s="2" t="s">
        <v>10</v>
      </c>
      <c r="D72" s="2" t="s">
        <v>8</v>
      </c>
      <c r="E72" s="2" t="s">
        <v>89</v>
      </c>
      <c r="F72" s="2" t="s">
        <v>91</v>
      </c>
      <c r="G72" s="2" t="str">
        <f t="shared" si="3"/>
        <v>36011CANDLELIGHT</v>
      </c>
      <c r="H72" s="2">
        <v>5020</v>
      </c>
      <c r="I72" s="2">
        <v>2263.799999886814</v>
      </c>
      <c r="J72" s="2">
        <v>17920</v>
      </c>
      <c r="K72" s="5">
        <f t="shared" si="2"/>
        <v>2.2175103808865586</v>
      </c>
    </row>
    <row r="73" spans="1:11">
      <c r="A73" s="2">
        <v>2026</v>
      </c>
      <c r="B73" s="2">
        <v>36</v>
      </c>
      <c r="C73" s="2" t="s">
        <v>10</v>
      </c>
      <c r="D73" s="2" t="s">
        <v>8</v>
      </c>
      <c r="E73" s="2" t="s">
        <v>89</v>
      </c>
      <c r="F73" s="2" t="s">
        <v>92</v>
      </c>
      <c r="G73" s="2" t="str">
        <f t="shared" si="3"/>
        <v>36011CAYENNE</v>
      </c>
      <c r="H73" s="2">
        <v>1470</v>
      </c>
      <c r="I73" s="2">
        <v>994.97117647058758</v>
      </c>
      <c r="J73" s="2">
        <v>7200</v>
      </c>
      <c r="K73" s="5">
        <f t="shared" si="2"/>
        <v>1.4774297334064077</v>
      </c>
    </row>
    <row r="74" spans="1:11">
      <c r="A74" s="2">
        <v>2026</v>
      </c>
      <c r="B74" s="2">
        <v>36</v>
      </c>
      <c r="C74" s="2" t="s">
        <v>10</v>
      </c>
      <c r="D74" s="2" t="s">
        <v>8</v>
      </c>
      <c r="E74" s="2" t="s">
        <v>89</v>
      </c>
      <c r="F74" s="2" t="s">
        <v>69</v>
      </c>
      <c r="G74" s="2" t="str">
        <f t="shared" si="3"/>
        <v>36011LUMIA</v>
      </c>
      <c r="H74" s="2">
        <v>1680</v>
      </c>
      <c r="I74" s="2">
        <v>994.97117647058769</v>
      </c>
      <c r="J74" s="2">
        <v>7920</v>
      </c>
      <c r="K74" s="5">
        <f t="shared" si="2"/>
        <v>1.6884911238930371</v>
      </c>
    </row>
    <row r="75" spans="1:11">
      <c r="A75" s="2">
        <v>2026</v>
      </c>
      <c r="B75" s="2">
        <v>36</v>
      </c>
      <c r="C75" s="2" t="s">
        <v>10</v>
      </c>
      <c r="D75" s="2" t="s">
        <v>8</v>
      </c>
      <c r="E75" s="2" t="s">
        <v>89</v>
      </c>
      <c r="F75" s="2" t="s">
        <v>93</v>
      </c>
      <c r="G75" s="2" t="str">
        <f t="shared" si="3"/>
        <v>36011STARDUST</v>
      </c>
      <c r="H75" s="2">
        <v>2850</v>
      </c>
      <c r="I75" s="2">
        <v>2263.799999886814</v>
      </c>
      <c r="J75" s="2">
        <v>17920</v>
      </c>
      <c r="K75" s="5">
        <f t="shared" si="2"/>
        <v>1.258945136559102</v>
      </c>
    </row>
    <row r="76" spans="1:11">
      <c r="A76" s="2">
        <v>2026</v>
      </c>
      <c r="B76" s="2">
        <v>36</v>
      </c>
      <c r="C76" s="2" t="s">
        <v>10</v>
      </c>
      <c r="D76" s="2" t="s">
        <v>8</v>
      </c>
      <c r="E76" s="2" t="s">
        <v>94</v>
      </c>
      <c r="F76" s="2" t="s">
        <v>19</v>
      </c>
      <c r="G76" s="2" t="str">
        <f t="shared" si="3"/>
        <v>36012DEEP PURPLE</v>
      </c>
      <c r="H76" s="2">
        <v>13770</v>
      </c>
      <c r="I76" s="2">
        <v>6727.0499997982643</v>
      </c>
      <c r="J76" s="2">
        <v>49210</v>
      </c>
      <c r="K76" s="5">
        <f t="shared" si="2"/>
        <v>2.0469596629150884</v>
      </c>
    </row>
    <row r="77" spans="1:11">
      <c r="A77" s="2">
        <v>2026</v>
      </c>
      <c r="B77" s="2">
        <v>36</v>
      </c>
      <c r="C77" s="2" t="s">
        <v>10</v>
      </c>
      <c r="D77" s="2" t="s">
        <v>8</v>
      </c>
      <c r="E77" s="2" t="s">
        <v>94</v>
      </c>
      <c r="F77" s="2" t="s">
        <v>68</v>
      </c>
      <c r="G77" s="2" t="str">
        <f t="shared" si="3"/>
        <v>36012LIGHT HOUSE</v>
      </c>
      <c r="H77" s="2">
        <v>1170</v>
      </c>
      <c r="I77" s="2">
        <v>994.9499999999997</v>
      </c>
      <c r="J77" s="2">
        <v>7200</v>
      </c>
      <c r="K77" s="5">
        <f t="shared" si="2"/>
        <v>1.1759384893713256</v>
      </c>
    </row>
    <row r="78" spans="1:11">
      <c r="A78" s="2">
        <v>2026</v>
      </c>
      <c r="B78" s="2">
        <v>36</v>
      </c>
      <c r="C78" s="2" t="s">
        <v>10</v>
      </c>
      <c r="D78" s="2" t="s">
        <v>8</v>
      </c>
      <c r="E78" s="2" t="s">
        <v>95</v>
      </c>
      <c r="F78" s="2" t="s">
        <v>96</v>
      </c>
      <c r="G78" s="2" t="str">
        <f t="shared" si="3"/>
        <v>36013COUNTRY BLUES</v>
      </c>
      <c r="H78" s="2">
        <v>980</v>
      </c>
      <c r="I78" s="2">
        <v>831.60000000000025</v>
      </c>
      <c r="J78" s="2">
        <v>6300</v>
      </c>
      <c r="K78" s="5">
        <f t="shared" si="2"/>
        <v>1.1784511784511782</v>
      </c>
    </row>
    <row r="79" spans="1:11">
      <c r="A79" s="2">
        <v>2026</v>
      </c>
      <c r="B79" s="2">
        <v>36</v>
      </c>
      <c r="C79" s="2" t="s">
        <v>10</v>
      </c>
      <c r="D79" s="2" t="s">
        <v>8</v>
      </c>
      <c r="E79" s="2" t="s">
        <v>95</v>
      </c>
      <c r="F79" s="2" t="s">
        <v>97</v>
      </c>
      <c r="G79" s="2" t="str">
        <f t="shared" si="3"/>
        <v>36013LORRAINE</v>
      </c>
      <c r="H79" s="2">
        <v>1900</v>
      </c>
      <c r="I79" s="2">
        <v>1267.1999999999998</v>
      </c>
      <c r="J79" s="2">
        <v>9600</v>
      </c>
      <c r="K79" s="5">
        <f t="shared" si="2"/>
        <v>1.4993686868686871</v>
      </c>
    </row>
    <row r="80" spans="1:11">
      <c r="A80" s="2">
        <v>2026</v>
      </c>
      <c r="B80" s="2">
        <v>36</v>
      </c>
      <c r="C80" s="2" t="s">
        <v>10</v>
      </c>
      <c r="D80" s="2" t="s">
        <v>8</v>
      </c>
      <c r="E80" s="2" t="s">
        <v>95</v>
      </c>
      <c r="F80" s="2" t="s">
        <v>69</v>
      </c>
      <c r="G80" s="2" t="str">
        <f t="shared" si="3"/>
        <v>36013LUMIA</v>
      </c>
      <c r="H80" s="2">
        <v>570</v>
      </c>
      <c r="I80" s="2">
        <v>316.8</v>
      </c>
      <c r="J80" s="2">
        <v>2400</v>
      </c>
      <c r="K80" s="5">
        <f t="shared" ref="K80:K110" si="4">+H80/I80</f>
        <v>1.7992424242424241</v>
      </c>
    </row>
    <row r="81" spans="1:11">
      <c r="A81" s="2">
        <v>2026</v>
      </c>
      <c r="B81" s="2">
        <v>36</v>
      </c>
      <c r="C81" s="2" t="s">
        <v>10</v>
      </c>
      <c r="D81" s="2" t="s">
        <v>8</v>
      </c>
      <c r="E81" s="2" t="s">
        <v>95</v>
      </c>
      <c r="F81" s="2" t="s">
        <v>80</v>
      </c>
      <c r="G81" s="2" t="str">
        <f t="shared" si="3"/>
        <v>36013VENDELA</v>
      </c>
      <c r="H81" s="2">
        <v>9960</v>
      </c>
      <c r="I81" s="2">
        <v>3603.5999999999949</v>
      </c>
      <c r="J81" s="2">
        <v>27296</v>
      </c>
      <c r="K81" s="5">
        <f t="shared" si="4"/>
        <v>2.763902763902768</v>
      </c>
    </row>
    <row r="82" spans="1:11">
      <c r="A82" s="2">
        <v>2026</v>
      </c>
      <c r="B82" s="2">
        <v>36</v>
      </c>
      <c r="C82" s="2" t="s">
        <v>10</v>
      </c>
      <c r="D82" s="2" t="s">
        <v>8</v>
      </c>
      <c r="E82" s="2" t="s">
        <v>35</v>
      </c>
      <c r="F82" s="2" t="s">
        <v>93</v>
      </c>
      <c r="G82" s="2" t="str">
        <f t="shared" si="3"/>
        <v>36014STARDUST</v>
      </c>
      <c r="H82" s="2">
        <v>3825</v>
      </c>
      <c r="I82" s="2">
        <v>3682.7999999999943</v>
      </c>
      <c r="J82" s="2">
        <v>27900</v>
      </c>
      <c r="K82" s="5">
        <f t="shared" si="4"/>
        <v>1.0386119257087014</v>
      </c>
    </row>
    <row r="83" spans="1:11">
      <c r="A83" s="2">
        <v>2026</v>
      </c>
      <c r="B83" s="2">
        <v>36</v>
      </c>
      <c r="C83" s="2" t="s">
        <v>10</v>
      </c>
      <c r="D83" s="2" t="s">
        <v>8</v>
      </c>
      <c r="E83" s="2" t="s">
        <v>37</v>
      </c>
      <c r="F83" s="2" t="s">
        <v>75</v>
      </c>
      <c r="G83" s="2" t="str">
        <f t="shared" si="3"/>
        <v>36015JOCKER</v>
      </c>
      <c r="H83" s="2">
        <v>2925</v>
      </c>
      <c r="I83" s="2">
        <v>2375.9999999999973</v>
      </c>
      <c r="J83" s="2">
        <v>18000</v>
      </c>
      <c r="K83" s="5">
        <f t="shared" si="4"/>
        <v>1.2310606060606075</v>
      </c>
    </row>
    <row r="84" spans="1:11">
      <c r="A84" s="2">
        <v>2026</v>
      </c>
      <c r="B84" s="2">
        <v>36</v>
      </c>
      <c r="C84" s="2" t="s">
        <v>10</v>
      </c>
      <c r="D84" s="2" t="s">
        <v>8</v>
      </c>
      <c r="E84" s="2" t="s">
        <v>39</v>
      </c>
      <c r="F84" s="2" t="s">
        <v>98</v>
      </c>
      <c r="G84" s="2" t="str">
        <f t="shared" si="3"/>
        <v>36016DREAM IN PEACH</v>
      </c>
      <c r="H84" s="2">
        <v>1230</v>
      </c>
      <c r="I84" s="2">
        <v>950.40000000000032</v>
      </c>
      <c r="J84" s="2">
        <v>7200</v>
      </c>
      <c r="K84" s="5">
        <f t="shared" si="4"/>
        <v>1.2941919191919187</v>
      </c>
    </row>
    <row r="85" spans="1:11">
      <c r="A85" s="2">
        <v>2026</v>
      </c>
      <c r="B85" s="2">
        <v>36</v>
      </c>
      <c r="C85" s="2" t="s">
        <v>10</v>
      </c>
      <c r="D85" s="2" t="s">
        <v>8</v>
      </c>
      <c r="E85" s="2" t="s">
        <v>39</v>
      </c>
      <c r="F85" s="2" t="s">
        <v>99</v>
      </c>
      <c r="G85" s="2" t="str">
        <f t="shared" si="3"/>
        <v>36016NINA</v>
      </c>
      <c r="H85" s="2">
        <v>2400</v>
      </c>
      <c r="I85" s="2">
        <v>1346.3999999999996</v>
      </c>
      <c r="J85" s="2">
        <v>10200</v>
      </c>
      <c r="K85" s="5">
        <f t="shared" si="4"/>
        <v>1.7825311942959006</v>
      </c>
    </row>
    <row r="86" spans="1:11">
      <c r="A86" s="2">
        <v>2026</v>
      </c>
      <c r="B86" s="2">
        <v>36</v>
      </c>
      <c r="C86" s="2" t="s">
        <v>10</v>
      </c>
      <c r="D86" s="2" t="s">
        <v>8</v>
      </c>
      <c r="E86" s="2" t="s">
        <v>42</v>
      </c>
      <c r="F86" s="2" t="s">
        <v>85</v>
      </c>
      <c r="G86" s="2" t="str">
        <f t="shared" si="3"/>
        <v>36017FREEDOM</v>
      </c>
      <c r="H86" s="2">
        <v>6600</v>
      </c>
      <c r="I86" s="2">
        <v>2851.1999999999962</v>
      </c>
      <c r="J86" s="2">
        <v>21600</v>
      </c>
      <c r="K86" s="5">
        <f t="shared" si="4"/>
        <v>2.314814814814818</v>
      </c>
    </row>
    <row r="87" spans="1:11">
      <c r="A87" s="2">
        <v>2026</v>
      </c>
      <c r="B87" s="2">
        <v>36</v>
      </c>
      <c r="C87" s="2" t="s">
        <v>10</v>
      </c>
      <c r="D87" s="2" t="s">
        <v>8</v>
      </c>
      <c r="E87" s="2" t="s">
        <v>42</v>
      </c>
      <c r="F87" s="2" t="s">
        <v>79</v>
      </c>
      <c r="G87" s="2" t="str">
        <f t="shared" si="3"/>
        <v>36017GOLDFINCH</v>
      </c>
      <c r="H87" s="2">
        <v>1900</v>
      </c>
      <c r="I87" s="2">
        <v>2138.3999999999983</v>
      </c>
      <c r="J87" s="2">
        <v>16200</v>
      </c>
      <c r="K87" s="5">
        <f t="shared" si="4"/>
        <v>0.88851477740366702</v>
      </c>
    </row>
    <row r="88" spans="1:11">
      <c r="A88" s="2">
        <v>2026</v>
      </c>
      <c r="B88" s="2">
        <v>36</v>
      </c>
      <c r="C88" s="2" t="s">
        <v>10</v>
      </c>
      <c r="D88" s="2" t="s">
        <v>8</v>
      </c>
      <c r="E88" s="2" t="s">
        <v>44</v>
      </c>
      <c r="F88" s="2" t="s">
        <v>90</v>
      </c>
      <c r="G88" s="2" t="str">
        <f t="shared" si="3"/>
        <v>36018BRIGHTON</v>
      </c>
      <c r="H88" s="2">
        <v>1375</v>
      </c>
      <c r="I88" s="2">
        <v>963.60000000000036</v>
      </c>
      <c r="J88" s="2">
        <v>7570</v>
      </c>
      <c r="K88" s="5">
        <f t="shared" si="4"/>
        <v>1.426940639269406</v>
      </c>
    </row>
    <row r="89" spans="1:11">
      <c r="A89" s="2">
        <v>2026</v>
      </c>
      <c r="B89" s="2">
        <v>36</v>
      </c>
      <c r="C89" s="2" t="s">
        <v>10</v>
      </c>
      <c r="D89" s="2" t="s">
        <v>8</v>
      </c>
      <c r="E89" s="2" t="s">
        <v>47</v>
      </c>
      <c r="F89" s="2" t="s">
        <v>90</v>
      </c>
      <c r="G89" s="2" t="str">
        <f t="shared" si="3"/>
        <v>36019BRIGHTON</v>
      </c>
      <c r="H89" s="2">
        <v>5875</v>
      </c>
      <c r="I89" s="2">
        <v>3167.9999999999959</v>
      </c>
      <c r="J89" s="2">
        <v>24000</v>
      </c>
      <c r="K89" s="5">
        <f t="shared" si="4"/>
        <v>1.8544823232323255</v>
      </c>
    </row>
    <row r="90" spans="1:11">
      <c r="A90" s="2">
        <v>2026</v>
      </c>
      <c r="B90" s="2">
        <v>36</v>
      </c>
      <c r="C90" s="2" t="s">
        <v>10</v>
      </c>
      <c r="D90" s="2" t="s">
        <v>8</v>
      </c>
      <c r="E90" s="2" t="s">
        <v>47</v>
      </c>
      <c r="F90" s="2" t="s">
        <v>100</v>
      </c>
      <c r="G90" s="2" t="str">
        <f t="shared" si="3"/>
        <v>36019TABATHA</v>
      </c>
      <c r="H90" s="2">
        <v>2340</v>
      </c>
      <c r="I90" s="2">
        <v>1188</v>
      </c>
      <c r="J90" s="2">
        <v>9000</v>
      </c>
      <c r="K90" s="5">
        <f t="shared" si="4"/>
        <v>1.9696969696969697</v>
      </c>
    </row>
    <row r="91" spans="1:11">
      <c r="A91" s="2">
        <v>2026</v>
      </c>
      <c r="B91" s="2">
        <v>36</v>
      </c>
      <c r="C91" s="2" t="s">
        <v>10</v>
      </c>
      <c r="D91" s="2" t="s">
        <v>8</v>
      </c>
      <c r="E91" s="2" t="s">
        <v>48</v>
      </c>
      <c r="F91" s="2" t="s">
        <v>90</v>
      </c>
      <c r="G91" s="2" t="str">
        <f t="shared" si="3"/>
        <v>36020BRIGHTON</v>
      </c>
      <c r="H91" s="2">
        <v>3900</v>
      </c>
      <c r="I91" s="2">
        <v>2732.3999999999965</v>
      </c>
      <c r="J91" s="2">
        <v>20700</v>
      </c>
      <c r="K91" s="5">
        <f t="shared" si="4"/>
        <v>1.4273166447079508</v>
      </c>
    </row>
    <row r="92" spans="1:11">
      <c r="A92" s="2">
        <v>2026</v>
      </c>
      <c r="B92" s="2">
        <v>36</v>
      </c>
      <c r="C92" s="2" t="s">
        <v>10</v>
      </c>
      <c r="D92" s="2" t="s">
        <v>8</v>
      </c>
      <c r="E92" s="2" t="s">
        <v>48</v>
      </c>
      <c r="F92" s="2" t="s">
        <v>101</v>
      </c>
      <c r="G92" s="2" t="str">
        <f t="shared" si="3"/>
        <v>36020TYCOON</v>
      </c>
      <c r="H92" s="2">
        <v>810</v>
      </c>
      <c r="I92" s="2">
        <v>673.20000000000027</v>
      </c>
      <c r="J92" s="2">
        <v>5100</v>
      </c>
      <c r="K92" s="5">
        <f t="shared" si="4"/>
        <v>1.2032085561497321</v>
      </c>
    </row>
    <row r="93" spans="1:11">
      <c r="A93" s="2">
        <v>2026</v>
      </c>
      <c r="B93" s="2">
        <v>36</v>
      </c>
      <c r="C93" s="2" t="s">
        <v>10</v>
      </c>
      <c r="D93" s="2" t="s">
        <v>8</v>
      </c>
      <c r="E93" s="2" t="s">
        <v>50</v>
      </c>
      <c r="F93" s="2" t="s">
        <v>102</v>
      </c>
      <c r="G93" s="2" t="str">
        <f t="shared" si="3"/>
        <v>36021SHOW GIRL</v>
      </c>
      <c r="H93" s="2">
        <v>1175</v>
      </c>
      <c r="I93" s="2">
        <v>1100.4749999999997</v>
      </c>
      <c r="J93" s="2">
        <v>8000</v>
      </c>
      <c r="K93" s="5">
        <f t="shared" si="4"/>
        <v>1.0677207569458647</v>
      </c>
    </row>
    <row r="94" spans="1:11">
      <c r="A94" s="2">
        <v>2026</v>
      </c>
      <c r="B94" s="2">
        <v>36</v>
      </c>
      <c r="C94" s="2" t="s">
        <v>10</v>
      </c>
      <c r="D94" s="2" t="s">
        <v>8</v>
      </c>
      <c r="E94" s="2" t="s">
        <v>55</v>
      </c>
      <c r="F94" s="2" t="s">
        <v>103</v>
      </c>
      <c r="G94" s="2" t="str">
        <f t="shared" si="3"/>
        <v>36022CORAL REEF</v>
      </c>
      <c r="H94" s="2">
        <v>2000</v>
      </c>
      <c r="I94" s="2">
        <v>1287</v>
      </c>
      <c r="J94" s="2">
        <v>9400</v>
      </c>
      <c r="K94" s="5">
        <f t="shared" si="4"/>
        <v>1.5540015540015539</v>
      </c>
    </row>
    <row r="95" spans="1:11">
      <c r="A95" s="2">
        <v>2026</v>
      </c>
      <c r="B95" s="2">
        <v>36</v>
      </c>
      <c r="C95" s="2" t="s">
        <v>10</v>
      </c>
      <c r="D95" s="2" t="s">
        <v>8</v>
      </c>
      <c r="E95" s="2" t="s">
        <v>104</v>
      </c>
      <c r="F95" s="2" t="s">
        <v>18</v>
      </c>
      <c r="G95" s="2" t="str">
        <f t="shared" si="3"/>
        <v>36023COTOPAXI</v>
      </c>
      <c r="H95" s="2">
        <v>4830</v>
      </c>
      <c r="I95" s="2">
        <v>2641.139999999999</v>
      </c>
      <c r="J95" s="2">
        <v>19200</v>
      </c>
      <c r="K95" s="5">
        <f t="shared" si="4"/>
        <v>1.8287557645562151</v>
      </c>
    </row>
    <row r="96" spans="1:11">
      <c r="A96" s="2">
        <v>2026</v>
      </c>
      <c r="B96" s="2">
        <v>36</v>
      </c>
      <c r="C96" s="2" t="s">
        <v>10</v>
      </c>
      <c r="D96" s="2" t="s">
        <v>8</v>
      </c>
      <c r="E96" s="2" t="s">
        <v>104</v>
      </c>
      <c r="F96" s="2" t="s">
        <v>105</v>
      </c>
      <c r="G96" s="2" t="str">
        <f t="shared" si="3"/>
        <v>36023FRUTTETO</v>
      </c>
      <c r="H96" s="2">
        <v>6630</v>
      </c>
      <c r="I96" s="2">
        <v>2641.139999999999</v>
      </c>
      <c r="J96" s="2">
        <v>19200</v>
      </c>
      <c r="K96" s="5">
        <f t="shared" si="4"/>
        <v>2.5102796519684691</v>
      </c>
    </row>
    <row r="97" spans="1:11">
      <c r="A97" s="2">
        <v>2026</v>
      </c>
      <c r="B97" s="2">
        <v>36</v>
      </c>
      <c r="C97" s="2" t="s">
        <v>10</v>
      </c>
      <c r="D97" s="2" t="s">
        <v>8</v>
      </c>
      <c r="E97" s="2" t="s">
        <v>106</v>
      </c>
      <c r="F97" s="2" t="s">
        <v>18</v>
      </c>
      <c r="G97" s="2" t="str">
        <f t="shared" si="3"/>
        <v>36024COTOPAXI</v>
      </c>
      <c r="H97" s="2">
        <v>2700</v>
      </c>
      <c r="I97" s="2">
        <v>1430.6174906250001</v>
      </c>
      <c r="J97" s="2">
        <v>10400</v>
      </c>
      <c r="K97" s="5">
        <f t="shared" si="4"/>
        <v>1.8872969313554522</v>
      </c>
    </row>
    <row r="98" spans="1:11">
      <c r="A98" s="2">
        <v>2026</v>
      </c>
      <c r="B98" s="2">
        <v>36</v>
      </c>
      <c r="C98" s="2" t="s">
        <v>10</v>
      </c>
      <c r="D98" s="2" t="s">
        <v>8</v>
      </c>
      <c r="E98" s="2" t="s">
        <v>106</v>
      </c>
      <c r="F98" s="2" t="s">
        <v>72</v>
      </c>
      <c r="G98" s="2" t="str">
        <f t="shared" si="3"/>
        <v>36024SWEETNESS</v>
      </c>
      <c r="H98" s="2">
        <v>1680</v>
      </c>
      <c r="I98" s="2">
        <v>1430.6174999999998</v>
      </c>
      <c r="J98" s="2">
        <v>10400</v>
      </c>
      <c r="K98" s="5">
        <f t="shared" si="4"/>
        <v>1.1743180829257298</v>
      </c>
    </row>
    <row r="99" spans="1:11">
      <c r="A99" s="2">
        <v>2026</v>
      </c>
      <c r="B99" s="2">
        <v>36</v>
      </c>
      <c r="C99" s="2" t="s">
        <v>10</v>
      </c>
      <c r="D99" s="2" t="s">
        <v>8</v>
      </c>
      <c r="E99" s="2" t="s">
        <v>106</v>
      </c>
      <c r="F99" s="2" t="s">
        <v>101</v>
      </c>
      <c r="G99" s="2" t="str">
        <f t="shared" si="3"/>
        <v>36024TYCOON</v>
      </c>
      <c r="H99" s="2">
        <v>3870</v>
      </c>
      <c r="I99" s="2">
        <v>2861.2349999999983</v>
      </c>
      <c r="J99" s="2">
        <v>20800</v>
      </c>
      <c r="K99" s="5">
        <f t="shared" si="4"/>
        <v>1.3525627919412428</v>
      </c>
    </row>
    <row r="100" spans="1:11">
      <c r="A100" s="2">
        <v>2026</v>
      </c>
      <c r="B100" s="2">
        <v>36</v>
      </c>
      <c r="C100" s="2" t="s">
        <v>10</v>
      </c>
      <c r="D100" s="2" t="s">
        <v>8</v>
      </c>
      <c r="E100" s="2" t="s">
        <v>11</v>
      </c>
      <c r="F100" s="2" t="s">
        <v>12</v>
      </c>
      <c r="G100" s="2" t="str">
        <f t="shared" si="3"/>
        <v>36025PINK MONDIAL</v>
      </c>
      <c r="H100" s="2">
        <v>4875</v>
      </c>
      <c r="I100" s="2">
        <v>3071.9505624999979</v>
      </c>
      <c r="J100" s="2">
        <v>22400</v>
      </c>
      <c r="K100" s="5">
        <f t="shared" si="4"/>
        <v>1.5869396010177501</v>
      </c>
    </row>
    <row r="101" spans="1:11">
      <c r="A101" s="2">
        <v>2026</v>
      </c>
      <c r="B101" s="2">
        <v>36</v>
      </c>
      <c r="C101" s="2" t="s">
        <v>10</v>
      </c>
      <c r="D101" s="2" t="s">
        <v>8</v>
      </c>
      <c r="E101" s="2" t="s">
        <v>9</v>
      </c>
      <c r="F101" s="2" t="s">
        <v>13</v>
      </c>
      <c r="G101" s="2" t="str">
        <f t="shared" si="3"/>
        <v>36026LOLA</v>
      </c>
      <c r="H101" s="2">
        <v>5925</v>
      </c>
      <c r="I101" s="2">
        <v>2852.5249999999992</v>
      </c>
      <c r="J101" s="2">
        <v>20800</v>
      </c>
      <c r="K101" s="5">
        <f t="shared" si="4"/>
        <v>2.0771071243897956</v>
      </c>
    </row>
    <row r="102" spans="1:11">
      <c r="A102" s="2">
        <v>2026</v>
      </c>
      <c r="B102" s="2">
        <v>36</v>
      </c>
      <c r="C102" s="2" t="s">
        <v>10</v>
      </c>
      <c r="D102" s="2" t="s">
        <v>8</v>
      </c>
      <c r="E102" s="2" t="s">
        <v>9</v>
      </c>
      <c r="F102" s="2" t="s">
        <v>14</v>
      </c>
      <c r="G102" s="2" t="str">
        <f t="shared" si="3"/>
        <v>36026PALOMA</v>
      </c>
      <c r="H102" s="2">
        <v>4950</v>
      </c>
      <c r="I102" s="2">
        <v>2852.5249999999992</v>
      </c>
      <c r="J102" s="2">
        <v>20800</v>
      </c>
      <c r="K102" s="5">
        <f t="shared" si="4"/>
        <v>1.7353046861990697</v>
      </c>
    </row>
    <row r="103" spans="1:11">
      <c r="A103" s="2">
        <v>2026</v>
      </c>
      <c r="B103" s="2">
        <v>36</v>
      </c>
      <c r="C103" s="2" t="s">
        <v>10</v>
      </c>
      <c r="D103" s="2" t="s">
        <v>8</v>
      </c>
      <c r="E103" s="2" t="s">
        <v>15</v>
      </c>
      <c r="F103" s="2" t="s">
        <v>16</v>
      </c>
      <c r="G103" s="2" t="str">
        <f t="shared" si="3"/>
        <v>36027SATISFACTION</v>
      </c>
      <c r="H103" s="2">
        <v>4920</v>
      </c>
      <c r="I103" s="2">
        <v>2633.0999999999995</v>
      </c>
      <c r="J103" s="2">
        <v>19200</v>
      </c>
      <c r="K103" s="5">
        <f t="shared" si="4"/>
        <v>1.8685199954426346</v>
      </c>
    </row>
    <row r="104" spans="1:11">
      <c r="A104" s="2">
        <v>2026</v>
      </c>
      <c r="B104" s="2">
        <v>36</v>
      </c>
      <c r="C104" s="2" t="s">
        <v>10</v>
      </c>
      <c r="D104" s="2" t="s">
        <v>8</v>
      </c>
      <c r="E104" s="2" t="s">
        <v>15</v>
      </c>
      <c r="F104" s="2" t="s">
        <v>20</v>
      </c>
      <c r="G104" s="2" t="str">
        <f t="shared" si="3"/>
        <v>36027TIFFANY</v>
      </c>
      <c r="H104" s="2">
        <v>5520</v>
      </c>
      <c r="I104" s="2">
        <v>2633.0999999999995</v>
      </c>
      <c r="J104" s="2">
        <v>19200</v>
      </c>
      <c r="K104" s="5">
        <f t="shared" si="4"/>
        <v>2.096388287569785</v>
      </c>
    </row>
    <row r="105" spans="1:11">
      <c r="A105" s="2">
        <v>2026</v>
      </c>
      <c r="B105" s="2">
        <v>36</v>
      </c>
      <c r="C105" s="2" t="s">
        <v>10</v>
      </c>
      <c r="D105" s="2" t="s">
        <v>8</v>
      </c>
      <c r="E105" s="2" t="s">
        <v>17</v>
      </c>
      <c r="F105" s="2" t="s">
        <v>18</v>
      </c>
      <c r="G105" s="2" t="str">
        <f t="shared" si="3"/>
        <v>36028COTOPAXI</v>
      </c>
      <c r="H105" s="2">
        <v>3690</v>
      </c>
      <c r="I105" s="2">
        <v>2852.5249999999987</v>
      </c>
      <c r="J105" s="2">
        <v>20800</v>
      </c>
      <c r="K105" s="5">
        <f t="shared" si="4"/>
        <v>1.2935907660756705</v>
      </c>
    </row>
    <row r="106" spans="1:11">
      <c r="A106" s="2">
        <v>2026</v>
      </c>
      <c r="B106" s="2">
        <v>36</v>
      </c>
      <c r="C106" s="2" t="s">
        <v>10</v>
      </c>
      <c r="D106" s="2" t="s">
        <v>8</v>
      </c>
      <c r="E106" s="2" t="s">
        <v>17</v>
      </c>
      <c r="F106" s="2" t="s">
        <v>19</v>
      </c>
      <c r="G106" s="2" t="str">
        <f t="shared" si="3"/>
        <v>36028DEEP PURPLE</v>
      </c>
      <c r="H106" s="2">
        <v>5400</v>
      </c>
      <c r="I106" s="2">
        <v>2852.5249999999987</v>
      </c>
      <c r="J106" s="2">
        <v>20800</v>
      </c>
      <c r="K106" s="5">
        <f t="shared" si="4"/>
        <v>1.8930596576717127</v>
      </c>
    </row>
    <row r="107" spans="1:11">
      <c r="A107" s="2">
        <v>2026</v>
      </c>
      <c r="B107" s="2">
        <v>36</v>
      </c>
      <c r="C107" s="2" t="s">
        <v>10</v>
      </c>
      <c r="D107" s="2" t="s">
        <v>8</v>
      </c>
      <c r="E107" s="2" t="s">
        <v>107</v>
      </c>
      <c r="F107" s="2" t="s">
        <v>108</v>
      </c>
      <c r="G107" s="2" t="str">
        <f t="shared" si="3"/>
        <v>36029PINK FLOYD</v>
      </c>
      <c r="H107" s="2">
        <v>3275</v>
      </c>
      <c r="I107" s="2">
        <v>3071.949999999998</v>
      </c>
      <c r="J107" s="2">
        <v>22400</v>
      </c>
      <c r="K107" s="5">
        <f t="shared" si="4"/>
        <v>1.0660980810234548</v>
      </c>
    </row>
    <row r="108" spans="1:11">
      <c r="A108" s="2">
        <v>2026</v>
      </c>
      <c r="B108" s="2">
        <v>36</v>
      </c>
      <c r="C108" s="2" t="s">
        <v>10</v>
      </c>
      <c r="D108" s="2" t="s">
        <v>8</v>
      </c>
      <c r="E108" s="2" t="s">
        <v>57</v>
      </c>
      <c r="F108" s="2" t="s">
        <v>66</v>
      </c>
      <c r="G108" s="2" t="str">
        <f t="shared" si="3"/>
        <v>36030EXPLORER</v>
      </c>
      <c r="H108" s="2">
        <v>1550</v>
      </c>
      <c r="I108" s="2">
        <v>1645.6875000000009</v>
      </c>
      <c r="J108" s="2">
        <v>12000</v>
      </c>
      <c r="K108" s="5">
        <f t="shared" si="4"/>
        <v>0.94185560745888819</v>
      </c>
    </row>
    <row r="109" spans="1:11">
      <c r="A109" s="2">
        <v>2026</v>
      </c>
      <c r="B109" s="2">
        <v>36</v>
      </c>
      <c r="K109" s="5" t="e">
        <f t="shared" si="4"/>
        <v>#DIV/0!</v>
      </c>
    </row>
    <row r="110" spans="1:11">
      <c r="A110" s="2">
        <v>2026</v>
      </c>
      <c r="B110" s="2">
        <v>36</v>
      </c>
      <c r="K110" s="5" t="e">
        <f t="shared" si="4"/>
        <v>#DIV/0!</v>
      </c>
    </row>
  </sheetData>
  <autoFilter ref="A1:K107">
    <filterColumn colId="6"/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2026-09-14T20:18:46Z</dcterms:modified>
</cp:coreProperties>
</file>