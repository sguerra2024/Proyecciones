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815" yWindow="-30" windowWidth="9855" windowHeight="7980"/>
  </bookViews>
  <sheets>
    <sheet name="Estimado_modelo" sheetId="1" r:id="rId1"/>
  </sheets>
  <calcPr calcId="125725"/>
</workbook>
</file>

<file path=xl/calcChain.xml><?xml version="1.0" encoding="utf-8"?>
<calcChain xmlns="http://schemas.openxmlformats.org/spreadsheetml/2006/main">
  <c r="G421" i="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</calcChain>
</file>

<file path=xl/sharedStrings.xml><?xml version="1.0" encoding="utf-8"?>
<sst xmlns="http://schemas.openxmlformats.org/spreadsheetml/2006/main" count="1690" uniqueCount="109">
  <si>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</si>
  <si>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</si>
  <si>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</si>
  <si>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</si>
  <si>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</si>
  <si>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</si>
  <si>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</si>
  <si>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</si>
  <si>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SPRAY</t>
  </si>
  <si>
    <t>ASTROFLORES</t>
  </si>
  <si>
    <t>SOMERSET</t>
  </si>
  <si>
    <t>BELLINA</t>
  </si>
  <si>
    <t>ELBA</t>
  </si>
  <si>
    <t>HOT BUBBLES</t>
  </si>
  <si>
    <t>SUSPIRO</t>
  </si>
  <si>
    <t>SNOW BUBBLES</t>
  </si>
  <si>
    <t>FRUITY BUBBLES</t>
  </si>
  <si>
    <t>FELLINI</t>
  </si>
  <si>
    <t>GOOD PEACH</t>
  </si>
  <si>
    <t>GOOD YELLOW</t>
  </si>
  <si>
    <t>ORANGE STAR</t>
  </si>
  <si>
    <t>COSMO</t>
  </si>
  <si>
    <t>RUBICON</t>
  </si>
  <si>
    <t>SUMMER DANCE</t>
  </si>
  <si>
    <t>ELEGANT ROSEVER</t>
  </si>
  <si>
    <t>FLAME CLUB</t>
  </si>
  <si>
    <t>KELLY</t>
  </si>
  <si>
    <t>LEILA</t>
  </si>
  <si>
    <t>MIRABEL</t>
  </si>
  <si>
    <t>82989</t>
  </si>
  <si>
    <t>VELVET BLOSSOMS</t>
  </si>
  <si>
    <t>CREAMY FOLIES</t>
  </si>
  <si>
    <t>STANDARD</t>
  </si>
  <si>
    <t>BELIEVE IN PINK</t>
  </si>
  <si>
    <t>EXPLORER</t>
  </si>
  <si>
    <t>GRACE KELLY</t>
  </si>
  <si>
    <t>LIGHT HOUSE</t>
  </si>
  <si>
    <t>LUMIA</t>
  </si>
  <si>
    <t>MOMENTUM</t>
  </si>
  <si>
    <t>SWEETNESS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</si>
  <si>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</si>
  <si>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</si>
  <si>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</si>
  <si>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</si>
  <si>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</si>
  <si>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</si>
  <si>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</si>
  <si>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</si>
  <si>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</si>
  <si>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ATOMIC</t>
  </si>
  <si>
    <t>MONDIAL</t>
  </si>
  <si>
    <t>REDIANT</t>
  </si>
  <si>
    <t>FREEDOM</t>
  </si>
  <si>
    <t>COOLDOWN</t>
  </si>
  <si>
    <t>VIOLET HILL</t>
  </si>
  <si>
    <t>BRIGHTON</t>
  </si>
  <si>
    <t>CANDLELIGHT</t>
  </si>
  <si>
    <t>CAYENNE</t>
  </si>
  <si>
    <t>STARDUST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</si>
  <si>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</si>
  <si>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</si>
  <si>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</si>
  <si>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</si>
  <si>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</si>
  <si>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</si>
  <si>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</si>
  <si>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</si>
  <si>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FRUTTETO</t>
  </si>
  <si>
    <t>PINK MONDIAL</t>
  </si>
  <si>
    <t>LOLA</t>
  </si>
  <si>
    <t>PALOMA</t>
  </si>
  <si>
    <t>SATISFACTION</t>
  </si>
  <si>
    <t>TIFFANY</t>
  </si>
  <si>
    <t>PINK FLOYD</t>
  </si>
  <si>
    <t>Produccion</t>
  </si>
  <si>
    <t>%Dif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</si>
  <si>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</si>
  <si>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</si>
  <si>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</si>
  <si>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</si>
  <si>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</si>
  <si>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</si>
  <si>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</si>
  <si>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</si>
  <si>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</si>
  <si>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</si>
  <si>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</si>
  <si>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</si>
  <si>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</si>
  <si>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</si>
  <si>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030</t>
  </si>
  <si>
    <t>031</t>
  </si>
  <si>
    <t>032</t>
  </si>
  <si>
    <t>033</t>
  </si>
  <si>
    <t>001</t>
  </si>
  <si>
    <t>003</t>
  </si>
  <si>
    <t>006</t>
  </si>
  <si>
    <t>008</t>
  </si>
  <si>
    <t>010</t>
  </si>
  <si>
    <t>011</t>
  </si>
  <si>
    <t>012</t>
  </si>
  <si>
    <t>013</t>
  </si>
  <si>
    <t>023</t>
  </si>
  <si>
    <t>024</t>
  </si>
  <si>
    <t>025</t>
  </si>
  <si>
    <t>026</t>
  </si>
  <si>
    <t>027</t>
  </si>
  <si>
    <t>028</t>
  </si>
  <si>
    <t>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</si>
</sst>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1"/>
  <sheetViews>
    <sheetView tabSelected="1" topLeftCell="C414" workbookViewId="0">
      <selection activeCell="C2" sqref="C2"/>
    </sheetView>
  </sheetViews>
  <sheetFormatPr baseColWidth="10" defaultColWidth="9.140625" defaultRowHeight="15"/>
  <cols>
    <col min="7" max="7" width="20.5703125" bestFit="1" customWidth="1"/>
    <col min="8" max="8" width="17.140625" bestFit="1" customWidth="1"/>
    <col min="9" max="9" width="10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74</v>
      </c>
      <c r="J1" s="2" t="s">
        <v>75</v>
      </c>
    </row>
    <row r="2" spans="1:10">
      <c r="A2">
        <v>2026</v>
      </c>
      <c r="B2">
        <v>29</v>
      </c>
      <c r="C2" t="s">
        <v>8</v>
      </c>
      <c r="D2" t="s">
        <v>9</v>
      </c>
      <c r="E2" t="s">
        <v>76</v>
      </c>
      <c r="F2" t="s">
        <v>10</v>
      </c>
      <c r="G2" t="str">
        <f>+B2&amp;E2&amp;F2</f>
        <v>29002SOMERSET</v>
      </c>
      <c r="H2">
        <v>7248</v>
      </c>
      <c r="I2">
        <v>8440</v>
      </c>
      <c r="J2">
        <f>+(I2-H2)/I2</f>
        <v>0.14123222748815165</v>
      </c>
    </row>
    <row r="3" spans="1:10">
      <c r="A3">
        <v>2026</v>
      </c>
      <c r="B3">
        <v>29</v>
      </c>
      <c r="C3" t="s">
        <v>8</v>
      </c>
      <c r="D3" t="s">
        <v>9</v>
      </c>
      <c r="E3" t="s">
        <v>77</v>
      </c>
      <c r="F3" t="s">
        <v>11</v>
      </c>
      <c r="G3" t="str">
        <f t="shared" ref="G3:G66" si="0">+B3&amp;E3&amp;F3</f>
        <v>29004BELLINA</v>
      </c>
      <c r="H3">
        <v>1477</v>
      </c>
      <c r="I3">
        <v>1965</v>
      </c>
      <c r="J3">
        <f t="shared" ref="J3:J66" si="1">+(I3-H3)/I3</f>
        <v>0.24834605597964376</v>
      </c>
    </row>
    <row r="4" spans="1:10">
      <c r="A4">
        <v>2026</v>
      </c>
      <c r="B4">
        <v>29</v>
      </c>
      <c r="C4" t="s">
        <v>8</v>
      </c>
      <c r="D4" t="s">
        <v>9</v>
      </c>
      <c r="E4" t="s">
        <v>78</v>
      </c>
      <c r="F4" t="s">
        <v>12</v>
      </c>
      <c r="G4" t="str">
        <f t="shared" si="0"/>
        <v>29005ELBA</v>
      </c>
      <c r="H4">
        <v>4832</v>
      </c>
      <c r="I4">
        <v>5700</v>
      </c>
      <c r="J4">
        <f t="shared" si="1"/>
        <v>0.15228070175438596</v>
      </c>
    </row>
    <row r="5" spans="1:10">
      <c r="A5">
        <v>2026</v>
      </c>
      <c r="B5">
        <v>29</v>
      </c>
      <c r="C5" t="s">
        <v>8</v>
      </c>
      <c r="D5" t="s">
        <v>9</v>
      </c>
      <c r="E5" t="s">
        <v>78</v>
      </c>
      <c r="F5" t="s">
        <v>13</v>
      </c>
      <c r="G5" t="str">
        <f t="shared" si="0"/>
        <v>29005HOT BUBBLES</v>
      </c>
      <c r="H5">
        <v>878</v>
      </c>
      <c r="I5">
        <v>1080</v>
      </c>
      <c r="J5">
        <f t="shared" si="1"/>
        <v>0.18703703703703703</v>
      </c>
    </row>
    <row r="6" spans="1:10">
      <c r="A6">
        <v>2026</v>
      </c>
      <c r="B6">
        <v>29</v>
      </c>
      <c r="C6" t="s">
        <v>8</v>
      </c>
      <c r="D6" t="s">
        <v>9</v>
      </c>
      <c r="E6" t="s">
        <v>78</v>
      </c>
      <c r="F6" t="s">
        <v>14</v>
      </c>
      <c r="G6" t="str">
        <f t="shared" si="0"/>
        <v>29005SUSPIRO</v>
      </c>
      <c r="H6">
        <v>3078</v>
      </c>
      <c r="I6">
        <v>3090</v>
      </c>
      <c r="J6">
        <f t="shared" si="1"/>
        <v>3.8834951456310678E-3</v>
      </c>
    </row>
    <row r="7" spans="1:10">
      <c r="A7">
        <v>2026</v>
      </c>
      <c r="B7">
        <v>29</v>
      </c>
      <c r="C7" t="s">
        <v>8</v>
      </c>
      <c r="D7" t="s">
        <v>9</v>
      </c>
      <c r="E7" t="s">
        <v>79</v>
      </c>
      <c r="F7" t="s">
        <v>15</v>
      </c>
      <c r="G7" t="str">
        <f t="shared" si="0"/>
        <v>29007SNOW BUBBLES</v>
      </c>
      <c r="H7">
        <v>547</v>
      </c>
      <c r="I7">
        <v>1580</v>
      </c>
      <c r="J7">
        <f t="shared" si="1"/>
        <v>0.65379746835443042</v>
      </c>
    </row>
    <row r="8" spans="1:10">
      <c r="A8">
        <v>2026</v>
      </c>
      <c r="B8">
        <v>29</v>
      </c>
      <c r="C8" t="s">
        <v>8</v>
      </c>
      <c r="D8" t="s">
        <v>9</v>
      </c>
      <c r="E8" t="s">
        <v>80</v>
      </c>
      <c r="F8" t="s">
        <v>13</v>
      </c>
      <c r="G8" t="str">
        <f t="shared" si="0"/>
        <v>29009HOT BUBBLES</v>
      </c>
      <c r="H8">
        <v>6649</v>
      </c>
      <c r="I8">
        <v>7400</v>
      </c>
      <c r="J8">
        <f t="shared" si="1"/>
        <v>0.10148648648648649</v>
      </c>
    </row>
    <row r="9" spans="1:10">
      <c r="A9">
        <v>2026</v>
      </c>
      <c r="B9">
        <v>29</v>
      </c>
      <c r="C9" t="s">
        <v>8</v>
      </c>
      <c r="D9" t="s">
        <v>9</v>
      </c>
      <c r="E9" t="s">
        <v>81</v>
      </c>
      <c r="F9" t="s">
        <v>16</v>
      </c>
      <c r="G9" t="str">
        <f t="shared" si="0"/>
        <v>29014FRUITY BUBBLES</v>
      </c>
      <c r="H9">
        <v>2955</v>
      </c>
      <c r="I9">
        <v>4425</v>
      </c>
      <c r="J9">
        <f t="shared" si="1"/>
        <v>0.33220338983050846</v>
      </c>
    </row>
    <row r="10" spans="1:10">
      <c r="A10">
        <v>2026</v>
      </c>
      <c r="B10">
        <v>29</v>
      </c>
      <c r="C10" t="s">
        <v>8</v>
      </c>
      <c r="D10" t="s">
        <v>9</v>
      </c>
      <c r="E10" t="s">
        <v>82</v>
      </c>
      <c r="F10" t="s">
        <v>17</v>
      </c>
      <c r="G10" t="str">
        <f t="shared" si="0"/>
        <v>29015FELLINI</v>
      </c>
      <c r="H10">
        <v>4368</v>
      </c>
      <c r="I10">
        <v>7680</v>
      </c>
      <c r="J10">
        <f t="shared" si="1"/>
        <v>0.43125000000000002</v>
      </c>
    </row>
    <row r="11" spans="1:10">
      <c r="A11">
        <v>2026</v>
      </c>
      <c r="B11">
        <v>29</v>
      </c>
      <c r="C11" t="s">
        <v>8</v>
      </c>
      <c r="D11" t="s">
        <v>9</v>
      </c>
      <c r="E11" t="s">
        <v>83</v>
      </c>
      <c r="F11" t="s">
        <v>18</v>
      </c>
      <c r="G11" t="str">
        <f t="shared" si="0"/>
        <v>29016GOOD PEACH</v>
      </c>
      <c r="H11">
        <v>2343</v>
      </c>
      <c r="I11">
        <v>3360</v>
      </c>
      <c r="J11">
        <f t="shared" si="1"/>
        <v>0.30267857142857141</v>
      </c>
    </row>
    <row r="12" spans="1:10">
      <c r="A12">
        <v>2026</v>
      </c>
      <c r="B12">
        <v>29</v>
      </c>
      <c r="C12" t="s">
        <v>8</v>
      </c>
      <c r="D12" t="s">
        <v>9</v>
      </c>
      <c r="E12" t="s">
        <v>83</v>
      </c>
      <c r="F12" t="s">
        <v>19</v>
      </c>
      <c r="G12" t="str">
        <f t="shared" si="0"/>
        <v>29016GOOD YELLOW</v>
      </c>
      <c r="H12">
        <v>2354</v>
      </c>
      <c r="I12">
        <v>4680</v>
      </c>
      <c r="J12">
        <f t="shared" si="1"/>
        <v>0.49700854700854702</v>
      </c>
    </row>
    <row r="13" spans="1:10">
      <c r="A13">
        <v>2026</v>
      </c>
      <c r="B13">
        <v>29</v>
      </c>
      <c r="C13" t="s">
        <v>8</v>
      </c>
      <c r="D13" t="s">
        <v>9</v>
      </c>
      <c r="E13" t="s">
        <v>84</v>
      </c>
      <c r="F13" t="s">
        <v>20</v>
      </c>
      <c r="G13" t="str">
        <f t="shared" si="0"/>
        <v>29017ORANGE STAR</v>
      </c>
      <c r="H13">
        <v>1629</v>
      </c>
      <c r="I13">
        <v>1800</v>
      </c>
      <c r="J13">
        <f t="shared" si="1"/>
        <v>9.5000000000000001E-2</v>
      </c>
    </row>
    <row r="14" spans="1:10">
      <c r="A14">
        <v>2026</v>
      </c>
      <c r="B14">
        <v>29</v>
      </c>
      <c r="C14" t="s">
        <v>8</v>
      </c>
      <c r="D14" t="s">
        <v>9</v>
      </c>
      <c r="E14" t="s">
        <v>85</v>
      </c>
      <c r="F14" t="s">
        <v>21</v>
      </c>
      <c r="G14" t="str">
        <f t="shared" si="0"/>
        <v>29018COSMO</v>
      </c>
      <c r="H14">
        <v>3571</v>
      </c>
      <c r="I14">
        <v>5275</v>
      </c>
      <c r="J14">
        <f t="shared" si="1"/>
        <v>0.32303317535545023</v>
      </c>
    </row>
    <row r="15" spans="1:10">
      <c r="A15">
        <v>2026</v>
      </c>
      <c r="B15">
        <v>29</v>
      </c>
      <c r="C15" t="s">
        <v>8</v>
      </c>
      <c r="D15" t="s">
        <v>9</v>
      </c>
      <c r="E15" t="s">
        <v>85</v>
      </c>
      <c r="F15" t="s">
        <v>22</v>
      </c>
      <c r="G15" t="str">
        <f t="shared" si="0"/>
        <v>29018RUBICON</v>
      </c>
      <c r="H15">
        <v>3970</v>
      </c>
      <c r="I15">
        <v>3540</v>
      </c>
      <c r="J15">
        <f t="shared" si="1"/>
        <v>-0.12146892655367232</v>
      </c>
    </row>
    <row r="16" spans="1:10">
      <c r="A16">
        <v>2026</v>
      </c>
      <c r="B16">
        <v>29</v>
      </c>
      <c r="C16" t="s">
        <v>8</v>
      </c>
      <c r="D16" t="s">
        <v>9</v>
      </c>
      <c r="E16" t="s">
        <v>86</v>
      </c>
      <c r="F16" t="s">
        <v>11</v>
      </c>
      <c r="G16" t="str">
        <f t="shared" si="0"/>
        <v>29019BELLINA</v>
      </c>
      <c r="H16">
        <v>1530</v>
      </c>
      <c r="I16">
        <v>1740</v>
      </c>
      <c r="J16">
        <f t="shared" si="1"/>
        <v>0.1206896551724138</v>
      </c>
    </row>
    <row r="17" spans="1:10">
      <c r="A17">
        <v>2026</v>
      </c>
      <c r="B17">
        <v>29</v>
      </c>
      <c r="C17" t="s">
        <v>8</v>
      </c>
      <c r="D17" t="s">
        <v>9</v>
      </c>
      <c r="E17" t="s">
        <v>87</v>
      </c>
      <c r="F17" t="s">
        <v>23</v>
      </c>
      <c r="G17" t="str">
        <f t="shared" si="0"/>
        <v>29020SUMMER DANCE</v>
      </c>
      <c r="H17">
        <v>2650</v>
      </c>
      <c r="I17">
        <v>3675</v>
      </c>
      <c r="J17">
        <f t="shared" si="1"/>
        <v>0.27891156462585032</v>
      </c>
    </row>
    <row r="18" spans="1:10">
      <c r="A18">
        <v>2026</v>
      </c>
      <c r="B18">
        <v>29</v>
      </c>
      <c r="C18" t="s">
        <v>8</v>
      </c>
      <c r="D18" t="s">
        <v>9</v>
      </c>
      <c r="E18" t="s">
        <v>88</v>
      </c>
      <c r="F18" t="s">
        <v>24</v>
      </c>
      <c r="G18" t="str">
        <f t="shared" si="0"/>
        <v>29021ELEGANT ROSEVER</v>
      </c>
      <c r="H18">
        <v>471</v>
      </c>
      <c r="I18">
        <v>540</v>
      </c>
      <c r="J18">
        <f t="shared" si="1"/>
        <v>0.12777777777777777</v>
      </c>
    </row>
    <row r="19" spans="1:10">
      <c r="A19">
        <v>2026</v>
      </c>
      <c r="B19">
        <v>29</v>
      </c>
      <c r="C19" t="s">
        <v>8</v>
      </c>
      <c r="D19" t="s">
        <v>9</v>
      </c>
      <c r="E19" t="s">
        <v>88</v>
      </c>
      <c r="F19" t="s">
        <v>25</v>
      </c>
      <c r="G19" t="str">
        <f t="shared" si="0"/>
        <v>29021FLAME CLUB</v>
      </c>
      <c r="H19">
        <v>1505</v>
      </c>
      <c r="I19">
        <v>1450</v>
      </c>
      <c r="J19">
        <f t="shared" si="1"/>
        <v>-3.793103448275862E-2</v>
      </c>
    </row>
    <row r="20" spans="1:10">
      <c r="A20">
        <v>2026</v>
      </c>
      <c r="B20">
        <v>29</v>
      </c>
      <c r="C20" t="s">
        <v>8</v>
      </c>
      <c r="D20" t="s">
        <v>9</v>
      </c>
      <c r="E20" t="s">
        <v>88</v>
      </c>
      <c r="F20" t="s">
        <v>26</v>
      </c>
      <c r="G20" t="str">
        <f t="shared" si="0"/>
        <v>29021KELLY</v>
      </c>
      <c r="H20">
        <v>587</v>
      </c>
      <c r="I20">
        <v>450</v>
      </c>
      <c r="J20">
        <f t="shared" si="1"/>
        <v>-0.30444444444444446</v>
      </c>
    </row>
    <row r="21" spans="1:10">
      <c r="A21">
        <v>2026</v>
      </c>
      <c r="B21">
        <v>29</v>
      </c>
      <c r="C21" t="s">
        <v>8</v>
      </c>
      <c r="D21" t="s">
        <v>9</v>
      </c>
      <c r="E21" t="s">
        <v>88</v>
      </c>
      <c r="F21" t="s">
        <v>27</v>
      </c>
      <c r="G21" t="str">
        <f t="shared" si="0"/>
        <v>29021LEILA</v>
      </c>
      <c r="H21">
        <v>2510</v>
      </c>
      <c r="I21">
        <v>700</v>
      </c>
      <c r="J21">
        <f t="shared" si="1"/>
        <v>-2.5857142857142859</v>
      </c>
    </row>
    <row r="22" spans="1:10">
      <c r="A22">
        <v>2026</v>
      </c>
      <c r="B22">
        <v>29</v>
      </c>
      <c r="C22" t="s">
        <v>8</v>
      </c>
      <c r="D22" t="s">
        <v>9</v>
      </c>
      <c r="E22" t="s">
        <v>88</v>
      </c>
      <c r="F22" t="s">
        <v>15</v>
      </c>
      <c r="G22" t="str">
        <f t="shared" si="0"/>
        <v>29021SNOW BUBBLES</v>
      </c>
      <c r="H22">
        <v>1359</v>
      </c>
      <c r="I22">
        <v>2440</v>
      </c>
      <c r="J22">
        <f t="shared" si="1"/>
        <v>0.44303278688524589</v>
      </c>
    </row>
    <row r="23" spans="1:10">
      <c r="A23">
        <v>2026</v>
      </c>
      <c r="B23">
        <v>29</v>
      </c>
      <c r="C23" t="s">
        <v>8</v>
      </c>
      <c r="D23" t="s">
        <v>9</v>
      </c>
      <c r="E23" t="s">
        <v>89</v>
      </c>
      <c r="F23" t="s">
        <v>16</v>
      </c>
      <c r="G23" t="str">
        <f t="shared" si="0"/>
        <v>29022FRUITY BUBBLES</v>
      </c>
      <c r="H23">
        <v>4330</v>
      </c>
      <c r="I23">
        <v>4650</v>
      </c>
      <c r="J23">
        <f t="shared" si="1"/>
        <v>6.8817204301075269E-2</v>
      </c>
    </row>
    <row r="24" spans="1:10">
      <c r="A24">
        <v>2026</v>
      </c>
      <c r="B24">
        <v>29</v>
      </c>
      <c r="C24" t="s">
        <v>8</v>
      </c>
      <c r="D24" t="s">
        <v>9</v>
      </c>
      <c r="E24" t="s">
        <v>89</v>
      </c>
      <c r="F24" t="s">
        <v>18</v>
      </c>
      <c r="G24" t="str">
        <f t="shared" si="0"/>
        <v>29022GOOD PEACH</v>
      </c>
      <c r="H24">
        <v>1689</v>
      </c>
      <c r="I24">
        <v>2070</v>
      </c>
      <c r="J24">
        <f t="shared" si="1"/>
        <v>0.18405797101449275</v>
      </c>
    </row>
    <row r="25" spans="1:10">
      <c r="A25">
        <v>2026</v>
      </c>
      <c r="B25">
        <v>29</v>
      </c>
      <c r="C25" t="s">
        <v>8</v>
      </c>
      <c r="D25" t="s">
        <v>9</v>
      </c>
      <c r="E25" t="s">
        <v>89</v>
      </c>
      <c r="F25" t="s">
        <v>28</v>
      </c>
      <c r="G25" t="str">
        <f t="shared" si="0"/>
        <v>29022MIRABEL</v>
      </c>
      <c r="H25">
        <v>1181</v>
      </c>
      <c r="I25">
        <v>2180</v>
      </c>
      <c r="J25">
        <f t="shared" si="1"/>
        <v>0.45825688073394494</v>
      </c>
    </row>
    <row r="26" spans="1:10">
      <c r="A26">
        <v>2026</v>
      </c>
      <c r="B26">
        <v>29</v>
      </c>
      <c r="C26" t="s">
        <v>8</v>
      </c>
      <c r="D26" t="s">
        <v>9</v>
      </c>
      <c r="E26" t="s">
        <v>90</v>
      </c>
      <c r="F26" t="s">
        <v>28</v>
      </c>
      <c r="G26" t="str">
        <f t="shared" si="0"/>
        <v>29030MIRABEL</v>
      </c>
      <c r="H26">
        <v>2816</v>
      </c>
      <c r="I26">
        <v>4980</v>
      </c>
      <c r="J26">
        <f t="shared" si="1"/>
        <v>0.43453815261044176</v>
      </c>
    </row>
    <row r="27" spans="1:10">
      <c r="A27">
        <v>2026</v>
      </c>
      <c r="B27">
        <v>29</v>
      </c>
      <c r="C27" t="s">
        <v>8</v>
      </c>
      <c r="D27" t="s">
        <v>9</v>
      </c>
      <c r="E27" t="s">
        <v>90</v>
      </c>
      <c r="F27" t="s">
        <v>10</v>
      </c>
      <c r="G27" t="str">
        <f t="shared" si="0"/>
        <v>29030SOMERSET</v>
      </c>
      <c r="H27">
        <v>2709</v>
      </c>
      <c r="I27">
        <v>4000</v>
      </c>
      <c r="J27">
        <f t="shared" si="1"/>
        <v>0.32274999999999998</v>
      </c>
    </row>
    <row r="28" spans="1:10">
      <c r="A28">
        <v>2026</v>
      </c>
      <c r="B28">
        <v>29</v>
      </c>
      <c r="C28" t="s">
        <v>8</v>
      </c>
      <c r="D28" t="s">
        <v>9</v>
      </c>
      <c r="E28" t="s">
        <v>91</v>
      </c>
      <c r="F28" t="s">
        <v>29</v>
      </c>
      <c r="G28" t="str">
        <f t="shared" si="0"/>
        <v>2903182989</v>
      </c>
      <c r="H28">
        <v>823</v>
      </c>
      <c r="I28">
        <v>780</v>
      </c>
      <c r="J28">
        <f t="shared" si="1"/>
        <v>-5.5128205128205127E-2</v>
      </c>
    </row>
    <row r="29" spans="1:10">
      <c r="A29">
        <v>2026</v>
      </c>
      <c r="B29">
        <v>29</v>
      </c>
      <c r="C29" t="s">
        <v>8</v>
      </c>
      <c r="D29" t="s">
        <v>9</v>
      </c>
      <c r="E29" t="s">
        <v>91</v>
      </c>
      <c r="F29" t="s">
        <v>22</v>
      </c>
      <c r="G29" t="str">
        <f t="shared" si="0"/>
        <v>29031RUBICON</v>
      </c>
      <c r="H29">
        <v>2258</v>
      </c>
      <c r="I29">
        <v>2700</v>
      </c>
      <c r="J29">
        <f t="shared" si="1"/>
        <v>0.16370370370370371</v>
      </c>
    </row>
    <row r="30" spans="1:10">
      <c r="A30">
        <v>2026</v>
      </c>
      <c r="B30">
        <v>29</v>
      </c>
      <c r="C30" t="s">
        <v>8</v>
      </c>
      <c r="D30" t="s">
        <v>9</v>
      </c>
      <c r="E30" t="s">
        <v>91</v>
      </c>
      <c r="F30" t="s">
        <v>10</v>
      </c>
      <c r="G30" t="str">
        <f t="shared" si="0"/>
        <v>29031SOMERSET</v>
      </c>
      <c r="H30">
        <v>971</v>
      </c>
      <c r="I30">
        <v>960</v>
      </c>
      <c r="J30">
        <f t="shared" si="1"/>
        <v>-1.1458333333333333E-2</v>
      </c>
    </row>
    <row r="31" spans="1:10">
      <c r="A31">
        <v>2026</v>
      </c>
      <c r="B31">
        <v>29</v>
      </c>
      <c r="C31" t="s">
        <v>8</v>
      </c>
      <c r="D31" t="s">
        <v>9</v>
      </c>
      <c r="E31" t="s">
        <v>91</v>
      </c>
      <c r="F31" t="s">
        <v>30</v>
      </c>
      <c r="G31" t="str">
        <f t="shared" si="0"/>
        <v>29031VELVET BLOSSOMS</v>
      </c>
      <c r="H31">
        <v>313</v>
      </c>
      <c r="I31">
        <v>760</v>
      </c>
      <c r="J31">
        <f t="shared" si="1"/>
        <v>0.5881578947368421</v>
      </c>
    </row>
    <row r="32" spans="1:10">
      <c r="A32">
        <v>2026</v>
      </c>
      <c r="B32">
        <v>29</v>
      </c>
      <c r="C32" t="s">
        <v>8</v>
      </c>
      <c r="D32" t="s">
        <v>9</v>
      </c>
      <c r="E32" t="s">
        <v>92</v>
      </c>
      <c r="F32" t="s">
        <v>12</v>
      </c>
      <c r="G32" t="str">
        <f t="shared" si="0"/>
        <v>29032ELBA</v>
      </c>
      <c r="H32">
        <v>1993</v>
      </c>
      <c r="I32">
        <v>3090</v>
      </c>
      <c r="J32">
        <f t="shared" si="1"/>
        <v>0.35501618122977346</v>
      </c>
    </row>
    <row r="33" spans="1:10">
      <c r="A33">
        <v>2026</v>
      </c>
      <c r="B33">
        <v>29</v>
      </c>
      <c r="C33" t="s">
        <v>8</v>
      </c>
      <c r="D33" t="s">
        <v>9</v>
      </c>
      <c r="E33" t="s">
        <v>92</v>
      </c>
      <c r="F33" t="s">
        <v>28</v>
      </c>
      <c r="G33" t="str">
        <f t="shared" si="0"/>
        <v>29032MIRABEL</v>
      </c>
      <c r="H33">
        <v>1538</v>
      </c>
      <c r="I33">
        <v>1880</v>
      </c>
      <c r="J33">
        <f t="shared" si="1"/>
        <v>0.18191489361702129</v>
      </c>
    </row>
    <row r="34" spans="1:10">
      <c r="A34">
        <v>2026</v>
      </c>
      <c r="B34">
        <v>29</v>
      </c>
      <c r="C34" t="s">
        <v>8</v>
      </c>
      <c r="D34" t="s">
        <v>9</v>
      </c>
      <c r="E34" t="s">
        <v>93</v>
      </c>
      <c r="F34" t="s">
        <v>31</v>
      </c>
      <c r="G34" t="str">
        <f t="shared" si="0"/>
        <v>29033CREAMY FOLIES</v>
      </c>
      <c r="H34">
        <v>809</v>
      </c>
      <c r="I34">
        <v>780</v>
      </c>
      <c r="J34">
        <f t="shared" si="1"/>
        <v>-3.7179487179487179E-2</v>
      </c>
    </row>
    <row r="35" spans="1:10">
      <c r="A35">
        <v>2026</v>
      </c>
      <c r="B35">
        <v>29</v>
      </c>
      <c r="C35" t="s">
        <v>8</v>
      </c>
      <c r="D35" t="s">
        <v>9</v>
      </c>
      <c r="E35" t="s">
        <v>93</v>
      </c>
      <c r="F35" t="s">
        <v>13</v>
      </c>
      <c r="G35" t="str">
        <f t="shared" si="0"/>
        <v>29033HOT BUBBLES</v>
      </c>
      <c r="H35">
        <v>2523</v>
      </c>
      <c r="I35">
        <v>5780</v>
      </c>
      <c r="J35">
        <f t="shared" si="1"/>
        <v>0.56349480968858134</v>
      </c>
    </row>
    <row r="36" spans="1:10">
      <c r="A36">
        <v>2026</v>
      </c>
      <c r="B36">
        <v>29</v>
      </c>
      <c r="C36" t="s">
        <v>32</v>
      </c>
      <c r="D36" t="s">
        <v>9</v>
      </c>
      <c r="E36" t="s">
        <v>94</v>
      </c>
      <c r="F36" t="s">
        <v>33</v>
      </c>
      <c r="G36" t="str">
        <f t="shared" si="0"/>
        <v>29001BELIEVE IN PINK</v>
      </c>
      <c r="H36">
        <v>1668</v>
      </c>
      <c r="I36">
        <v>1350</v>
      </c>
      <c r="J36">
        <f t="shared" si="1"/>
        <v>-0.23555555555555555</v>
      </c>
    </row>
    <row r="37" spans="1:10">
      <c r="A37">
        <v>2026</v>
      </c>
      <c r="B37">
        <v>29</v>
      </c>
      <c r="C37" t="s">
        <v>32</v>
      </c>
      <c r="D37" t="s">
        <v>9</v>
      </c>
      <c r="E37" t="s">
        <v>94</v>
      </c>
      <c r="F37" t="s">
        <v>34</v>
      </c>
      <c r="G37" t="str">
        <f t="shared" si="0"/>
        <v>29001EXPLORER</v>
      </c>
      <c r="H37">
        <v>3072</v>
      </c>
      <c r="I37">
        <v>4000</v>
      </c>
      <c r="J37">
        <f t="shared" si="1"/>
        <v>0.23200000000000001</v>
      </c>
    </row>
    <row r="38" spans="1:10">
      <c r="A38">
        <v>2026</v>
      </c>
      <c r="B38">
        <v>29</v>
      </c>
      <c r="C38" t="s">
        <v>32</v>
      </c>
      <c r="D38" t="s">
        <v>9</v>
      </c>
      <c r="E38" t="s">
        <v>94</v>
      </c>
      <c r="F38" t="s">
        <v>35</v>
      </c>
      <c r="G38" t="str">
        <f t="shared" si="0"/>
        <v>29001GRACE KELLY</v>
      </c>
      <c r="H38">
        <v>1695</v>
      </c>
      <c r="I38">
        <v>2430</v>
      </c>
      <c r="J38">
        <f t="shared" si="1"/>
        <v>0.30246913580246915</v>
      </c>
    </row>
    <row r="39" spans="1:10">
      <c r="A39">
        <v>2026</v>
      </c>
      <c r="B39">
        <v>29</v>
      </c>
      <c r="C39" t="s">
        <v>32</v>
      </c>
      <c r="D39" t="s">
        <v>9</v>
      </c>
      <c r="E39" t="s">
        <v>94</v>
      </c>
      <c r="F39" t="s">
        <v>36</v>
      </c>
      <c r="G39" t="str">
        <f t="shared" si="0"/>
        <v>29001LIGHT HOUSE</v>
      </c>
      <c r="H39">
        <v>1895</v>
      </c>
      <c r="I39">
        <v>2850</v>
      </c>
      <c r="J39">
        <f t="shared" si="1"/>
        <v>0.3350877192982456</v>
      </c>
    </row>
    <row r="40" spans="1:10">
      <c r="A40">
        <v>2026</v>
      </c>
      <c r="B40">
        <v>29</v>
      </c>
      <c r="C40" t="s">
        <v>32</v>
      </c>
      <c r="D40" t="s">
        <v>9</v>
      </c>
      <c r="E40" t="s">
        <v>94</v>
      </c>
      <c r="F40" t="s">
        <v>37</v>
      </c>
      <c r="G40" t="str">
        <f t="shared" si="0"/>
        <v>29001LUMIA</v>
      </c>
      <c r="H40">
        <v>1911</v>
      </c>
      <c r="I40">
        <v>3300</v>
      </c>
      <c r="J40">
        <f t="shared" si="1"/>
        <v>0.4209090909090909</v>
      </c>
    </row>
    <row r="41" spans="1:10">
      <c r="A41">
        <v>2026</v>
      </c>
      <c r="B41">
        <v>29</v>
      </c>
      <c r="C41" t="s">
        <v>32</v>
      </c>
      <c r="D41" t="s">
        <v>9</v>
      </c>
      <c r="E41" t="s">
        <v>94</v>
      </c>
      <c r="F41" t="s">
        <v>38</v>
      </c>
      <c r="G41" t="str">
        <f t="shared" si="0"/>
        <v>29001MOMENTUM</v>
      </c>
      <c r="H41">
        <v>3061</v>
      </c>
      <c r="I41">
        <v>5275</v>
      </c>
      <c r="J41">
        <f t="shared" si="1"/>
        <v>0.41971563981042653</v>
      </c>
    </row>
    <row r="42" spans="1:10">
      <c r="A42">
        <v>2026</v>
      </c>
      <c r="B42">
        <v>29</v>
      </c>
      <c r="C42" t="s">
        <v>32</v>
      </c>
      <c r="D42" t="s">
        <v>9</v>
      </c>
      <c r="E42" t="s">
        <v>76</v>
      </c>
      <c r="F42" t="s">
        <v>39</v>
      </c>
      <c r="G42" t="str">
        <f t="shared" si="0"/>
        <v>29002SWEETNESS</v>
      </c>
      <c r="H42">
        <v>4440</v>
      </c>
      <c r="I42">
        <v>6870</v>
      </c>
      <c r="J42">
        <f t="shared" si="1"/>
        <v>0.35371179039301309</v>
      </c>
    </row>
    <row r="43" spans="1:10">
      <c r="A43">
        <v>2026</v>
      </c>
      <c r="B43">
        <v>29</v>
      </c>
      <c r="C43" t="s">
        <v>32</v>
      </c>
      <c r="D43" t="s">
        <v>9</v>
      </c>
      <c r="E43" t="s">
        <v>95</v>
      </c>
      <c r="F43" t="s">
        <v>40</v>
      </c>
      <c r="G43" t="str">
        <f t="shared" si="0"/>
        <v>29003CABARET</v>
      </c>
      <c r="H43">
        <v>7262</v>
      </c>
      <c r="I43">
        <v>6870</v>
      </c>
      <c r="J43">
        <f t="shared" si="1"/>
        <v>-5.7059679767103348E-2</v>
      </c>
    </row>
    <row r="44" spans="1:10">
      <c r="A44">
        <v>2026</v>
      </c>
      <c r="B44">
        <v>29</v>
      </c>
      <c r="C44" t="s">
        <v>32</v>
      </c>
      <c r="D44" t="s">
        <v>9</v>
      </c>
      <c r="E44" t="s">
        <v>95</v>
      </c>
      <c r="F44" t="s">
        <v>41</v>
      </c>
      <c r="G44" t="str">
        <f t="shared" si="0"/>
        <v>29003DEEP PURPLE</v>
      </c>
      <c r="H44">
        <v>17839</v>
      </c>
      <c r="I44">
        <v>8820</v>
      </c>
      <c r="J44">
        <f t="shared" si="1"/>
        <v>-1.0225623582766441</v>
      </c>
    </row>
    <row r="45" spans="1:10">
      <c r="A45">
        <v>2026</v>
      </c>
      <c r="B45">
        <v>29</v>
      </c>
      <c r="C45" t="s">
        <v>32</v>
      </c>
      <c r="D45" t="s">
        <v>9</v>
      </c>
      <c r="E45" t="s">
        <v>95</v>
      </c>
      <c r="F45" t="s">
        <v>34</v>
      </c>
      <c r="G45" t="str">
        <f t="shared" si="0"/>
        <v>29003EXPLORER</v>
      </c>
      <c r="H45">
        <v>1627</v>
      </c>
      <c r="I45">
        <v>2125</v>
      </c>
      <c r="J45">
        <f t="shared" si="1"/>
        <v>0.2343529411764706</v>
      </c>
    </row>
    <row r="46" spans="1:10">
      <c r="A46">
        <v>2026</v>
      </c>
      <c r="B46">
        <v>29</v>
      </c>
      <c r="C46" t="s">
        <v>32</v>
      </c>
      <c r="D46" t="s">
        <v>9</v>
      </c>
      <c r="E46" t="s">
        <v>95</v>
      </c>
      <c r="F46" t="s">
        <v>42</v>
      </c>
      <c r="G46" t="str">
        <f t="shared" si="0"/>
        <v>29003JOCKER</v>
      </c>
      <c r="H46">
        <v>776</v>
      </c>
      <c r="I46">
        <v>1125</v>
      </c>
      <c r="J46">
        <f t="shared" si="1"/>
        <v>0.31022222222222223</v>
      </c>
    </row>
    <row r="47" spans="1:10">
      <c r="A47">
        <v>2026</v>
      </c>
      <c r="B47">
        <v>29</v>
      </c>
      <c r="C47" t="s">
        <v>32</v>
      </c>
      <c r="D47" t="s">
        <v>9</v>
      </c>
      <c r="E47" t="s">
        <v>95</v>
      </c>
      <c r="F47" t="s">
        <v>43</v>
      </c>
      <c r="G47" t="str">
        <f t="shared" si="0"/>
        <v>29003QUICKSAND</v>
      </c>
      <c r="H47">
        <v>1531</v>
      </c>
      <c r="I47">
        <v>1860</v>
      </c>
      <c r="J47">
        <f t="shared" si="1"/>
        <v>0.17688172043010753</v>
      </c>
    </row>
    <row r="48" spans="1:10">
      <c r="A48">
        <v>2026</v>
      </c>
      <c r="B48">
        <v>29</v>
      </c>
      <c r="C48" t="s">
        <v>32</v>
      </c>
      <c r="D48" t="s">
        <v>9</v>
      </c>
      <c r="E48" t="s">
        <v>77</v>
      </c>
      <c r="F48" t="s">
        <v>44</v>
      </c>
      <c r="G48" t="str">
        <f t="shared" si="0"/>
        <v>29004COTOPAXI</v>
      </c>
      <c r="H48">
        <v>1026</v>
      </c>
      <c r="I48">
        <v>900</v>
      </c>
      <c r="J48">
        <f t="shared" si="1"/>
        <v>-0.14000000000000001</v>
      </c>
    </row>
    <row r="49" spans="1:10">
      <c r="A49">
        <v>2026</v>
      </c>
      <c r="B49">
        <v>29</v>
      </c>
      <c r="C49" t="s">
        <v>32</v>
      </c>
      <c r="D49" t="s">
        <v>9</v>
      </c>
      <c r="E49" t="s">
        <v>77</v>
      </c>
      <c r="F49" t="s">
        <v>41</v>
      </c>
      <c r="G49" t="str">
        <f t="shared" si="0"/>
        <v>29004DEEP PURPLE</v>
      </c>
      <c r="H49">
        <v>20002</v>
      </c>
      <c r="I49">
        <v>12060</v>
      </c>
      <c r="J49">
        <f t="shared" si="1"/>
        <v>-0.65854063018242126</v>
      </c>
    </row>
    <row r="50" spans="1:10">
      <c r="A50">
        <v>2026</v>
      </c>
      <c r="B50">
        <v>29</v>
      </c>
      <c r="C50" t="s">
        <v>32</v>
      </c>
      <c r="D50" t="s">
        <v>9</v>
      </c>
      <c r="E50" t="s">
        <v>77</v>
      </c>
      <c r="F50" t="s">
        <v>45</v>
      </c>
      <c r="G50" t="str">
        <f t="shared" si="0"/>
        <v>29004HOT EXPLORER</v>
      </c>
      <c r="H50">
        <v>2179</v>
      </c>
      <c r="I50">
        <v>1675</v>
      </c>
      <c r="J50">
        <f t="shared" si="1"/>
        <v>-0.30089552238805972</v>
      </c>
    </row>
    <row r="51" spans="1:10">
      <c r="A51">
        <v>2026</v>
      </c>
      <c r="B51">
        <v>29</v>
      </c>
      <c r="C51" t="s">
        <v>32</v>
      </c>
      <c r="D51" t="s">
        <v>9</v>
      </c>
      <c r="E51" t="s">
        <v>77</v>
      </c>
      <c r="F51" t="s">
        <v>46</v>
      </c>
      <c r="G51" t="str">
        <f t="shared" si="0"/>
        <v>29004HOT MERENGUE</v>
      </c>
      <c r="H51">
        <v>2494</v>
      </c>
      <c r="I51">
        <v>2610</v>
      </c>
      <c r="J51">
        <f t="shared" si="1"/>
        <v>4.4444444444444446E-2</v>
      </c>
    </row>
    <row r="52" spans="1:10">
      <c r="A52">
        <v>2026</v>
      </c>
      <c r="B52">
        <v>29</v>
      </c>
      <c r="C52" t="s">
        <v>32</v>
      </c>
      <c r="D52" t="s">
        <v>9</v>
      </c>
      <c r="E52" t="s">
        <v>77</v>
      </c>
      <c r="F52" t="s">
        <v>39</v>
      </c>
      <c r="G52" t="str">
        <f t="shared" si="0"/>
        <v>29004SWEETNESS</v>
      </c>
      <c r="H52">
        <v>681</v>
      </c>
      <c r="I52">
        <v>540</v>
      </c>
      <c r="J52">
        <f t="shared" si="1"/>
        <v>-0.26111111111111113</v>
      </c>
    </row>
    <row r="53" spans="1:10">
      <c r="A53">
        <v>2026</v>
      </c>
      <c r="B53">
        <v>29</v>
      </c>
      <c r="C53" t="s">
        <v>32</v>
      </c>
      <c r="D53" t="s">
        <v>9</v>
      </c>
      <c r="E53" t="s">
        <v>78</v>
      </c>
      <c r="F53" t="s">
        <v>34</v>
      </c>
      <c r="G53" t="str">
        <f t="shared" si="0"/>
        <v>29005EXPLORER</v>
      </c>
      <c r="H53">
        <v>1115</v>
      </c>
      <c r="I53">
        <v>1425</v>
      </c>
      <c r="J53">
        <f t="shared" si="1"/>
        <v>0.21754385964912282</v>
      </c>
    </row>
    <row r="54" spans="1:10">
      <c r="A54">
        <v>2026</v>
      </c>
      <c r="B54">
        <v>29</v>
      </c>
      <c r="C54" t="s">
        <v>32</v>
      </c>
      <c r="D54" t="s">
        <v>9</v>
      </c>
      <c r="E54" t="s">
        <v>78</v>
      </c>
      <c r="F54" t="s">
        <v>47</v>
      </c>
      <c r="G54" t="str">
        <f t="shared" si="0"/>
        <v>29005GOLDFINCH</v>
      </c>
      <c r="H54">
        <v>1220</v>
      </c>
      <c r="I54">
        <v>900</v>
      </c>
      <c r="J54">
        <f t="shared" si="1"/>
        <v>-0.35555555555555557</v>
      </c>
    </row>
    <row r="55" spans="1:10">
      <c r="A55">
        <v>2026</v>
      </c>
      <c r="B55">
        <v>29</v>
      </c>
      <c r="C55" t="s">
        <v>32</v>
      </c>
      <c r="D55" t="s">
        <v>9</v>
      </c>
      <c r="E55" t="s">
        <v>78</v>
      </c>
      <c r="F55" t="s">
        <v>42</v>
      </c>
      <c r="G55" t="str">
        <f t="shared" si="0"/>
        <v>29005JOCKER</v>
      </c>
      <c r="H55">
        <v>1638</v>
      </c>
      <c r="I55">
        <v>2375</v>
      </c>
      <c r="J55">
        <f t="shared" si="1"/>
        <v>0.31031578947368421</v>
      </c>
    </row>
    <row r="56" spans="1:10">
      <c r="A56">
        <v>2026</v>
      </c>
      <c r="B56">
        <v>29</v>
      </c>
      <c r="C56" t="s">
        <v>32</v>
      </c>
      <c r="D56" t="s">
        <v>9</v>
      </c>
      <c r="E56" t="s">
        <v>78</v>
      </c>
      <c r="F56" t="s">
        <v>48</v>
      </c>
      <c r="G56" t="str">
        <f t="shared" si="0"/>
        <v>29005VENDELA</v>
      </c>
      <c r="H56">
        <v>1569</v>
      </c>
      <c r="I56">
        <v>1710</v>
      </c>
      <c r="J56">
        <f t="shared" si="1"/>
        <v>8.24561403508772E-2</v>
      </c>
    </row>
    <row r="57" spans="1:10">
      <c r="A57">
        <v>2026</v>
      </c>
      <c r="B57">
        <v>29</v>
      </c>
      <c r="C57" t="s">
        <v>32</v>
      </c>
      <c r="D57" t="s">
        <v>9</v>
      </c>
      <c r="E57" t="s">
        <v>96</v>
      </c>
      <c r="F57" t="s">
        <v>49</v>
      </c>
      <c r="G57" t="str">
        <f t="shared" si="0"/>
        <v>29006ATOMIC</v>
      </c>
      <c r="H57">
        <v>1607</v>
      </c>
      <c r="I57">
        <v>950</v>
      </c>
      <c r="J57">
        <f t="shared" si="1"/>
        <v>-0.69157894736842107</v>
      </c>
    </row>
    <row r="58" spans="1:10">
      <c r="A58">
        <v>2026</v>
      </c>
      <c r="B58">
        <v>29</v>
      </c>
      <c r="C58" t="s">
        <v>32</v>
      </c>
      <c r="D58" t="s">
        <v>9</v>
      </c>
      <c r="E58" t="s">
        <v>96</v>
      </c>
      <c r="F58" t="s">
        <v>34</v>
      </c>
      <c r="G58" t="str">
        <f t="shared" si="0"/>
        <v>29006EXPLORER</v>
      </c>
      <c r="H58">
        <v>5331</v>
      </c>
      <c r="I58">
        <v>5100</v>
      </c>
      <c r="J58">
        <f t="shared" si="1"/>
        <v>-4.5294117647058825E-2</v>
      </c>
    </row>
    <row r="59" spans="1:10">
      <c r="A59">
        <v>2026</v>
      </c>
      <c r="B59">
        <v>29</v>
      </c>
      <c r="C59" t="s">
        <v>32</v>
      </c>
      <c r="D59" t="s">
        <v>9</v>
      </c>
      <c r="E59" t="s">
        <v>96</v>
      </c>
      <c r="F59" t="s">
        <v>50</v>
      </c>
      <c r="G59" t="str">
        <f t="shared" si="0"/>
        <v>29006MONDIAL</v>
      </c>
      <c r="H59">
        <v>5459</v>
      </c>
      <c r="I59">
        <v>9500</v>
      </c>
      <c r="J59">
        <f t="shared" si="1"/>
        <v>0.42536842105263156</v>
      </c>
    </row>
    <row r="60" spans="1:10">
      <c r="A60">
        <v>2026</v>
      </c>
      <c r="B60">
        <v>29</v>
      </c>
      <c r="C60" t="s">
        <v>32</v>
      </c>
      <c r="D60" t="s">
        <v>9</v>
      </c>
      <c r="E60" t="s">
        <v>79</v>
      </c>
      <c r="F60" t="s">
        <v>44</v>
      </c>
      <c r="G60" t="str">
        <f t="shared" si="0"/>
        <v>29007COTOPAXI</v>
      </c>
      <c r="H60">
        <v>6528</v>
      </c>
      <c r="I60">
        <v>5850</v>
      </c>
      <c r="J60">
        <f t="shared" si="1"/>
        <v>-0.1158974358974359</v>
      </c>
    </row>
    <row r="61" spans="1:10">
      <c r="A61">
        <v>2026</v>
      </c>
      <c r="B61">
        <v>29</v>
      </c>
      <c r="C61" t="s">
        <v>32</v>
      </c>
      <c r="D61" t="s">
        <v>9</v>
      </c>
      <c r="E61" t="s">
        <v>79</v>
      </c>
      <c r="F61" t="s">
        <v>51</v>
      </c>
      <c r="G61" t="str">
        <f t="shared" si="0"/>
        <v>29007REDIANT</v>
      </c>
      <c r="H61">
        <v>1115</v>
      </c>
      <c r="I61">
        <v>2160</v>
      </c>
      <c r="J61">
        <f t="shared" si="1"/>
        <v>0.48379629629629628</v>
      </c>
    </row>
    <row r="62" spans="1:10">
      <c r="A62">
        <v>2026</v>
      </c>
      <c r="B62">
        <v>29</v>
      </c>
      <c r="C62" t="s">
        <v>32</v>
      </c>
      <c r="D62" t="s">
        <v>9</v>
      </c>
      <c r="E62" t="s">
        <v>79</v>
      </c>
      <c r="F62" t="s">
        <v>48</v>
      </c>
      <c r="G62" t="str">
        <f t="shared" si="0"/>
        <v>29007VENDELA</v>
      </c>
      <c r="H62">
        <v>9468</v>
      </c>
      <c r="I62">
        <v>10650</v>
      </c>
      <c r="J62">
        <f t="shared" si="1"/>
        <v>0.11098591549295775</v>
      </c>
    </row>
    <row r="63" spans="1:10">
      <c r="A63">
        <v>2026</v>
      </c>
      <c r="B63">
        <v>29</v>
      </c>
      <c r="C63" t="s">
        <v>32</v>
      </c>
      <c r="D63" t="s">
        <v>9</v>
      </c>
      <c r="E63" t="s">
        <v>97</v>
      </c>
      <c r="F63" t="s">
        <v>41</v>
      </c>
      <c r="G63" t="str">
        <f t="shared" si="0"/>
        <v>29008DEEP PURPLE</v>
      </c>
      <c r="H63">
        <v>7862</v>
      </c>
      <c r="I63">
        <v>5670</v>
      </c>
      <c r="J63">
        <f t="shared" si="1"/>
        <v>-0.38659611992945325</v>
      </c>
    </row>
    <row r="64" spans="1:10">
      <c r="A64">
        <v>2026</v>
      </c>
      <c r="B64">
        <v>29</v>
      </c>
      <c r="C64" t="s">
        <v>32</v>
      </c>
      <c r="D64" t="s">
        <v>9</v>
      </c>
      <c r="E64" t="s">
        <v>97</v>
      </c>
      <c r="F64" t="s">
        <v>52</v>
      </c>
      <c r="G64" t="str">
        <f t="shared" si="0"/>
        <v>29008FREEDOM</v>
      </c>
      <c r="H64">
        <v>4872</v>
      </c>
      <c r="I64">
        <v>2610</v>
      </c>
      <c r="J64">
        <f t="shared" si="1"/>
        <v>-0.8666666666666667</v>
      </c>
    </row>
    <row r="65" spans="1:10">
      <c r="A65">
        <v>2026</v>
      </c>
      <c r="B65">
        <v>29</v>
      </c>
      <c r="C65" t="s">
        <v>32</v>
      </c>
      <c r="D65" t="s">
        <v>9</v>
      </c>
      <c r="E65" t="s">
        <v>97</v>
      </c>
      <c r="F65" t="s">
        <v>42</v>
      </c>
      <c r="G65" t="str">
        <f t="shared" si="0"/>
        <v>29008JOCKER</v>
      </c>
      <c r="H65">
        <v>3779</v>
      </c>
      <c r="I65">
        <v>5750</v>
      </c>
      <c r="J65">
        <f t="shared" si="1"/>
        <v>0.34278260869565219</v>
      </c>
    </row>
    <row r="66" spans="1:10">
      <c r="A66">
        <v>2026</v>
      </c>
      <c r="B66">
        <v>29</v>
      </c>
      <c r="C66" t="s">
        <v>32</v>
      </c>
      <c r="D66" t="s">
        <v>9</v>
      </c>
      <c r="E66" t="s">
        <v>98</v>
      </c>
      <c r="F66" t="s">
        <v>53</v>
      </c>
      <c r="G66" t="str">
        <f t="shared" si="0"/>
        <v>29010COOLDOWN</v>
      </c>
      <c r="H66">
        <v>1176</v>
      </c>
      <c r="I66">
        <v>3825</v>
      </c>
      <c r="J66">
        <f t="shared" si="1"/>
        <v>0.6925490196078431</v>
      </c>
    </row>
    <row r="67" spans="1:10">
      <c r="A67">
        <v>2026</v>
      </c>
      <c r="B67">
        <v>29</v>
      </c>
      <c r="C67" t="s">
        <v>32</v>
      </c>
      <c r="D67" t="s">
        <v>9</v>
      </c>
      <c r="E67" t="s">
        <v>98</v>
      </c>
      <c r="F67" t="s">
        <v>54</v>
      </c>
      <c r="G67" t="str">
        <f t="shared" ref="G67:G130" si="2">+B67&amp;E67&amp;F67</f>
        <v>29010VIOLET HILL</v>
      </c>
      <c r="H67">
        <v>1821</v>
      </c>
      <c r="I67">
        <v>5850</v>
      </c>
      <c r="J67">
        <f t="shared" ref="J67:J130" si="3">+(I67-H67)/I67</f>
        <v>0.68871794871794867</v>
      </c>
    </row>
    <row r="68" spans="1:10">
      <c r="A68">
        <v>2026</v>
      </c>
      <c r="B68">
        <v>29</v>
      </c>
      <c r="C68" t="s">
        <v>32</v>
      </c>
      <c r="D68" t="s">
        <v>9</v>
      </c>
      <c r="E68" t="s">
        <v>99</v>
      </c>
      <c r="F68" t="s">
        <v>55</v>
      </c>
      <c r="G68" t="str">
        <f t="shared" si="2"/>
        <v>29011BRIGHTON</v>
      </c>
      <c r="H68">
        <v>2643</v>
      </c>
      <c r="I68">
        <v>3550</v>
      </c>
      <c r="J68">
        <f t="shared" si="3"/>
        <v>0.2554929577464789</v>
      </c>
    </row>
    <row r="69" spans="1:10">
      <c r="A69">
        <v>2026</v>
      </c>
      <c r="B69">
        <v>29</v>
      </c>
      <c r="C69" t="s">
        <v>32</v>
      </c>
      <c r="D69" t="s">
        <v>9</v>
      </c>
      <c r="E69" t="s">
        <v>99</v>
      </c>
      <c r="F69" t="s">
        <v>56</v>
      </c>
      <c r="G69" t="str">
        <f t="shared" si="2"/>
        <v>29011CANDLELIGHT</v>
      </c>
      <c r="H69">
        <v>3744</v>
      </c>
      <c r="I69">
        <v>4640</v>
      </c>
      <c r="J69">
        <f t="shared" si="3"/>
        <v>0.19310344827586207</v>
      </c>
    </row>
    <row r="70" spans="1:10">
      <c r="A70">
        <v>2026</v>
      </c>
      <c r="B70">
        <v>29</v>
      </c>
      <c r="C70" t="s">
        <v>32</v>
      </c>
      <c r="D70" t="s">
        <v>9</v>
      </c>
      <c r="E70" t="s">
        <v>99</v>
      </c>
      <c r="F70" t="s">
        <v>57</v>
      </c>
      <c r="G70" t="str">
        <f t="shared" si="2"/>
        <v>29011CAYENNE</v>
      </c>
      <c r="H70">
        <v>1457</v>
      </c>
      <c r="I70">
        <v>1530</v>
      </c>
      <c r="J70">
        <f t="shared" si="3"/>
        <v>4.7712418300653592E-2</v>
      </c>
    </row>
    <row r="71" spans="1:10">
      <c r="A71">
        <v>2026</v>
      </c>
      <c r="B71">
        <v>29</v>
      </c>
      <c r="C71" t="s">
        <v>32</v>
      </c>
      <c r="D71" t="s">
        <v>9</v>
      </c>
      <c r="E71" t="s">
        <v>99</v>
      </c>
      <c r="F71" t="s">
        <v>37</v>
      </c>
      <c r="G71" t="str">
        <f t="shared" si="2"/>
        <v>29011LUMIA</v>
      </c>
      <c r="H71">
        <v>1648</v>
      </c>
      <c r="I71">
        <v>2640</v>
      </c>
      <c r="J71">
        <f t="shared" si="3"/>
        <v>0.37575757575757573</v>
      </c>
    </row>
    <row r="72" spans="1:10">
      <c r="A72">
        <v>2026</v>
      </c>
      <c r="B72">
        <v>29</v>
      </c>
      <c r="C72" t="s">
        <v>32</v>
      </c>
      <c r="D72" t="s">
        <v>9</v>
      </c>
      <c r="E72" t="s">
        <v>99</v>
      </c>
      <c r="F72" t="s">
        <v>58</v>
      </c>
      <c r="G72" t="str">
        <f t="shared" si="2"/>
        <v>29011STARDUST</v>
      </c>
      <c r="H72">
        <v>3691</v>
      </c>
      <c r="I72">
        <v>4525</v>
      </c>
      <c r="J72">
        <f t="shared" si="3"/>
        <v>0.18430939226519338</v>
      </c>
    </row>
    <row r="73" spans="1:10">
      <c r="A73">
        <v>2026</v>
      </c>
      <c r="B73">
        <v>29</v>
      </c>
      <c r="C73" t="s">
        <v>32</v>
      </c>
      <c r="D73" t="s">
        <v>9</v>
      </c>
      <c r="E73" t="s">
        <v>100</v>
      </c>
      <c r="F73" t="s">
        <v>41</v>
      </c>
      <c r="G73" t="str">
        <f t="shared" si="2"/>
        <v>29012DEEP PURPLE</v>
      </c>
      <c r="H73">
        <v>17878</v>
      </c>
      <c r="I73">
        <v>19410</v>
      </c>
      <c r="J73">
        <f t="shared" si="3"/>
        <v>7.8928387429160224E-2</v>
      </c>
    </row>
    <row r="74" spans="1:10">
      <c r="A74">
        <v>2026</v>
      </c>
      <c r="B74">
        <v>29</v>
      </c>
      <c r="C74" t="s">
        <v>32</v>
      </c>
      <c r="D74" t="s">
        <v>9</v>
      </c>
      <c r="E74" t="s">
        <v>100</v>
      </c>
      <c r="F74" t="s">
        <v>36</v>
      </c>
      <c r="G74" t="str">
        <f t="shared" si="2"/>
        <v>29012LIGHT HOUSE</v>
      </c>
      <c r="H74">
        <v>1529</v>
      </c>
      <c r="I74">
        <v>2100</v>
      </c>
      <c r="J74">
        <f t="shared" si="3"/>
        <v>0.27190476190476193</v>
      </c>
    </row>
    <row r="75" spans="1:10">
      <c r="A75">
        <v>2026</v>
      </c>
      <c r="B75">
        <v>29</v>
      </c>
      <c r="C75" t="s">
        <v>32</v>
      </c>
      <c r="D75" t="s">
        <v>9</v>
      </c>
      <c r="E75" t="s">
        <v>101</v>
      </c>
      <c r="F75" t="s">
        <v>59</v>
      </c>
      <c r="G75" t="str">
        <f t="shared" si="2"/>
        <v>29013COUNTRY BLUES</v>
      </c>
      <c r="H75">
        <v>1441</v>
      </c>
      <c r="I75">
        <v>1400</v>
      </c>
      <c r="J75">
        <f t="shared" si="3"/>
        <v>-2.9285714285714286E-2</v>
      </c>
    </row>
    <row r="76" spans="1:10">
      <c r="A76">
        <v>2026</v>
      </c>
      <c r="B76">
        <v>29</v>
      </c>
      <c r="C76" t="s">
        <v>32</v>
      </c>
      <c r="D76" t="s">
        <v>9</v>
      </c>
      <c r="E76" t="s">
        <v>101</v>
      </c>
      <c r="F76" t="s">
        <v>60</v>
      </c>
      <c r="G76" t="str">
        <f t="shared" si="2"/>
        <v>29013LORRAINE</v>
      </c>
      <c r="H76">
        <v>2980</v>
      </c>
      <c r="I76">
        <v>4025</v>
      </c>
      <c r="J76">
        <f t="shared" si="3"/>
        <v>0.25962732919254661</v>
      </c>
    </row>
    <row r="77" spans="1:10">
      <c r="A77">
        <v>2026</v>
      </c>
      <c r="B77">
        <v>29</v>
      </c>
      <c r="C77" t="s">
        <v>32</v>
      </c>
      <c r="D77" t="s">
        <v>9</v>
      </c>
      <c r="E77" t="s">
        <v>101</v>
      </c>
      <c r="F77" t="s">
        <v>37</v>
      </c>
      <c r="G77" t="str">
        <f t="shared" si="2"/>
        <v>29013LUMIA</v>
      </c>
      <c r="H77">
        <v>687</v>
      </c>
      <c r="I77">
        <v>960</v>
      </c>
      <c r="J77">
        <f t="shared" si="3"/>
        <v>0.28437499999999999</v>
      </c>
    </row>
    <row r="78" spans="1:10">
      <c r="A78">
        <v>2026</v>
      </c>
      <c r="B78">
        <v>29</v>
      </c>
      <c r="C78" t="s">
        <v>32</v>
      </c>
      <c r="D78" t="s">
        <v>9</v>
      </c>
      <c r="E78" t="s">
        <v>101</v>
      </c>
      <c r="F78" t="s">
        <v>48</v>
      </c>
      <c r="G78" t="str">
        <f t="shared" si="2"/>
        <v>29013VENDELA</v>
      </c>
      <c r="H78">
        <v>9212</v>
      </c>
      <c r="I78">
        <v>12150</v>
      </c>
      <c r="J78">
        <f t="shared" si="3"/>
        <v>0.24181069958847737</v>
      </c>
    </row>
    <row r="79" spans="1:10">
      <c r="A79">
        <v>2026</v>
      </c>
      <c r="B79">
        <v>29</v>
      </c>
      <c r="C79" t="s">
        <v>32</v>
      </c>
      <c r="D79" t="s">
        <v>9</v>
      </c>
      <c r="E79" t="s">
        <v>81</v>
      </c>
      <c r="F79" t="s">
        <v>58</v>
      </c>
      <c r="G79" t="str">
        <f t="shared" si="2"/>
        <v>29014STARDUST</v>
      </c>
      <c r="H79">
        <v>6572</v>
      </c>
      <c r="I79">
        <v>8575</v>
      </c>
      <c r="J79">
        <f t="shared" si="3"/>
        <v>0.2335860058309038</v>
      </c>
    </row>
    <row r="80" spans="1:10">
      <c r="A80">
        <v>2026</v>
      </c>
      <c r="B80">
        <v>29</v>
      </c>
      <c r="C80" t="s">
        <v>32</v>
      </c>
      <c r="D80" t="s">
        <v>9</v>
      </c>
      <c r="E80" t="s">
        <v>82</v>
      </c>
      <c r="F80" t="s">
        <v>42</v>
      </c>
      <c r="G80" t="str">
        <f t="shared" si="2"/>
        <v>29015JOCKER</v>
      </c>
      <c r="H80">
        <v>3730</v>
      </c>
      <c r="I80">
        <v>6750</v>
      </c>
      <c r="J80">
        <f t="shared" si="3"/>
        <v>0.44740740740740742</v>
      </c>
    </row>
    <row r="81" spans="1:10">
      <c r="A81">
        <v>2026</v>
      </c>
      <c r="B81">
        <v>29</v>
      </c>
      <c r="C81" t="s">
        <v>32</v>
      </c>
      <c r="D81" t="s">
        <v>9</v>
      </c>
      <c r="E81" t="s">
        <v>83</v>
      </c>
      <c r="F81" t="s">
        <v>61</v>
      </c>
      <c r="G81" t="str">
        <f t="shared" si="2"/>
        <v>29016DREAM IN PEACH</v>
      </c>
      <c r="H81">
        <v>1511</v>
      </c>
      <c r="I81">
        <v>1800</v>
      </c>
      <c r="J81">
        <f t="shared" si="3"/>
        <v>0.16055555555555556</v>
      </c>
    </row>
    <row r="82" spans="1:10">
      <c r="A82">
        <v>2026</v>
      </c>
      <c r="B82">
        <v>29</v>
      </c>
      <c r="C82" t="s">
        <v>32</v>
      </c>
      <c r="D82" t="s">
        <v>9</v>
      </c>
      <c r="E82" t="s">
        <v>83</v>
      </c>
      <c r="F82" t="s">
        <v>62</v>
      </c>
      <c r="G82" t="str">
        <f t="shared" si="2"/>
        <v>29016NINA</v>
      </c>
      <c r="H82">
        <v>2700</v>
      </c>
      <c r="I82">
        <v>3300</v>
      </c>
      <c r="J82">
        <f t="shared" si="3"/>
        <v>0.18181818181818182</v>
      </c>
    </row>
    <row r="83" spans="1:10">
      <c r="A83">
        <v>2026</v>
      </c>
      <c r="B83">
        <v>29</v>
      </c>
      <c r="C83" t="s">
        <v>32</v>
      </c>
      <c r="D83" t="s">
        <v>9</v>
      </c>
      <c r="E83" t="s">
        <v>84</v>
      </c>
      <c r="F83" t="s">
        <v>52</v>
      </c>
      <c r="G83" t="str">
        <f t="shared" si="2"/>
        <v>29017FREEDOM</v>
      </c>
      <c r="H83">
        <v>6563</v>
      </c>
      <c r="I83">
        <v>5400</v>
      </c>
      <c r="J83">
        <f t="shared" si="3"/>
        <v>-0.21537037037037038</v>
      </c>
    </row>
    <row r="84" spans="1:10">
      <c r="A84">
        <v>2026</v>
      </c>
      <c r="B84">
        <v>29</v>
      </c>
      <c r="C84" t="s">
        <v>32</v>
      </c>
      <c r="D84" t="s">
        <v>9</v>
      </c>
      <c r="E84" t="s">
        <v>84</v>
      </c>
      <c r="F84" t="s">
        <v>47</v>
      </c>
      <c r="G84" t="str">
        <f t="shared" si="2"/>
        <v>29017GOLDFINCH</v>
      </c>
      <c r="H84">
        <v>2997</v>
      </c>
      <c r="I84">
        <v>3725</v>
      </c>
      <c r="J84">
        <f t="shared" si="3"/>
        <v>0.19543624161073825</v>
      </c>
    </row>
    <row r="85" spans="1:10">
      <c r="A85">
        <v>2026</v>
      </c>
      <c r="B85">
        <v>29</v>
      </c>
      <c r="C85" t="s">
        <v>32</v>
      </c>
      <c r="D85" t="s">
        <v>9</v>
      </c>
      <c r="E85" t="s">
        <v>85</v>
      </c>
      <c r="F85" t="s">
        <v>55</v>
      </c>
      <c r="G85" t="str">
        <f t="shared" si="2"/>
        <v>29018BRIGHTON</v>
      </c>
      <c r="H85">
        <v>2421</v>
      </c>
      <c r="I85">
        <v>2475</v>
      </c>
      <c r="J85">
        <f t="shared" si="3"/>
        <v>2.181818181818182E-2</v>
      </c>
    </row>
    <row r="86" spans="1:10">
      <c r="A86">
        <v>2026</v>
      </c>
      <c r="B86">
        <v>29</v>
      </c>
      <c r="C86" t="s">
        <v>32</v>
      </c>
      <c r="D86" t="s">
        <v>9</v>
      </c>
      <c r="E86" t="s">
        <v>86</v>
      </c>
      <c r="F86" t="s">
        <v>55</v>
      </c>
      <c r="G86" t="str">
        <f t="shared" si="2"/>
        <v>29019BRIGHTON</v>
      </c>
      <c r="H86">
        <v>8494</v>
      </c>
      <c r="I86">
        <v>9375</v>
      </c>
      <c r="J86">
        <f t="shared" si="3"/>
        <v>9.3973333333333339E-2</v>
      </c>
    </row>
    <row r="87" spans="1:10">
      <c r="A87">
        <v>2026</v>
      </c>
      <c r="B87">
        <v>29</v>
      </c>
      <c r="C87" t="s">
        <v>32</v>
      </c>
      <c r="D87" t="s">
        <v>9</v>
      </c>
      <c r="E87" t="s">
        <v>86</v>
      </c>
      <c r="F87" t="s">
        <v>63</v>
      </c>
      <c r="G87" t="str">
        <f t="shared" si="2"/>
        <v>29019TABATHA</v>
      </c>
      <c r="H87">
        <v>2625</v>
      </c>
      <c r="I87">
        <v>2490</v>
      </c>
      <c r="J87">
        <f t="shared" si="3"/>
        <v>-5.4216867469879519E-2</v>
      </c>
    </row>
    <row r="88" spans="1:10">
      <c r="A88">
        <v>2026</v>
      </c>
      <c r="B88">
        <v>29</v>
      </c>
      <c r="C88" t="s">
        <v>32</v>
      </c>
      <c r="D88" t="s">
        <v>9</v>
      </c>
      <c r="E88" t="s">
        <v>87</v>
      </c>
      <c r="F88" t="s">
        <v>55</v>
      </c>
      <c r="G88" t="str">
        <f t="shared" si="2"/>
        <v>29020BRIGHTON</v>
      </c>
      <c r="H88">
        <v>5497</v>
      </c>
      <c r="I88">
        <v>5500</v>
      </c>
      <c r="J88">
        <f t="shared" si="3"/>
        <v>5.4545454545454548E-4</v>
      </c>
    </row>
    <row r="89" spans="1:10">
      <c r="A89">
        <v>2026</v>
      </c>
      <c r="B89">
        <v>29</v>
      </c>
      <c r="C89" t="s">
        <v>32</v>
      </c>
      <c r="D89" t="s">
        <v>9</v>
      </c>
      <c r="E89" t="s">
        <v>87</v>
      </c>
      <c r="F89" t="s">
        <v>64</v>
      </c>
      <c r="G89" t="str">
        <f t="shared" si="2"/>
        <v>29020TYCOON</v>
      </c>
      <c r="H89">
        <v>1073</v>
      </c>
      <c r="I89">
        <v>1350</v>
      </c>
      <c r="J89">
        <f t="shared" si="3"/>
        <v>0.20518518518518519</v>
      </c>
    </row>
    <row r="90" spans="1:10">
      <c r="A90">
        <v>2026</v>
      </c>
      <c r="B90">
        <v>29</v>
      </c>
      <c r="C90" t="s">
        <v>32</v>
      </c>
      <c r="D90" t="s">
        <v>9</v>
      </c>
      <c r="E90" t="s">
        <v>88</v>
      </c>
      <c r="F90" t="s">
        <v>65</v>
      </c>
      <c r="G90" t="str">
        <f t="shared" si="2"/>
        <v>29021SHOW GIRL</v>
      </c>
      <c r="H90">
        <v>1179</v>
      </c>
      <c r="I90">
        <v>1200</v>
      </c>
      <c r="J90">
        <f t="shared" si="3"/>
        <v>1.7500000000000002E-2</v>
      </c>
    </row>
    <row r="91" spans="1:10">
      <c r="A91">
        <v>2026</v>
      </c>
      <c r="B91">
        <v>29</v>
      </c>
      <c r="C91" t="s">
        <v>32</v>
      </c>
      <c r="D91" t="s">
        <v>9</v>
      </c>
      <c r="E91" t="s">
        <v>89</v>
      </c>
      <c r="F91" t="s">
        <v>66</v>
      </c>
      <c r="G91" t="str">
        <f t="shared" si="2"/>
        <v>29022CORAL REEF</v>
      </c>
      <c r="H91">
        <v>2216</v>
      </c>
      <c r="I91">
        <v>2375</v>
      </c>
      <c r="J91">
        <f t="shared" si="3"/>
        <v>6.694736842105263E-2</v>
      </c>
    </row>
    <row r="92" spans="1:10">
      <c r="A92">
        <v>2026</v>
      </c>
      <c r="B92">
        <v>29</v>
      </c>
      <c r="C92" t="s">
        <v>32</v>
      </c>
      <c r="D92" t="s">
        <v>9</v>
      </c>
      <c r="E92" t="s">
        <v>102</v>
      </c>
      <c r="F92" t="s">
        <v>44</v>
      </c>
      <c r="G92" t="str">
        <f t="shared" si="2"/>
        <v>29023COTOPAXI</v>
      </c>
      <c r="H92">
        <v>6263</v>
      </c>
      <c r="I92">
        <v>6330</v>
      </c>
      <c r="J92">
        <f t="shared" si="3"/>
        <v>1.0584518167456557E-2</v>
      </c>
    </row>
    <row r="93" spans="1:10">
      <c r="A93">
        <v>2026</v>
      </c>
      <c r="B93">
        <v>29</v>
      </c>
      <c r="C93" t="s">
        <v>32</v>
      </c>
      <c r="D93" t="s">
        <v>9</v>
      </c>
      <c r="E93" t="s">
        <v>102</v>
      </c>
      <c r="F93" t="s">
        <v>67</v>
      </c>
      <c r="G93" t="str">
        <f t="shared" si="2"/>
        <v>29023FRUTTETO</v>
      </c>
      <c r="H93">
        <v>7346</v>
      </c>
      <c r="I93">
        <v>6960</v>
      </c>
      <c r="J93">
        <f t="shared" si="3"/>
        <v>-5.5459770114942526E-2</v>
      </c>
    </row>
    <row r="94" spans="1:10">
      <c r="A94">
        <v>2026</v>
      </c>
      <c r="B94">
        <v>29</v>
      </c>
      <c r="C94" t="s">
        <v>32</v>
      </c>
      <c r="D94" t="s">
        <v>9</v>
      </c>
      <c r="E94" t="s">
        <v>103</v>
      </c>
      <c r="F94" t="s">
        <v>44</v>
      </c>
      <c r="G94" t="str">
        <f t="shared" si="2"/>
        <v>29024COTOPAXI</v>
      </c>
      <c r="H94">
        <v>3040</v>
      </c>
      <c r="I94">
        <v>4440</v>
      </c>
      <c r="J94">
        <f t="shared" si="3"/>
        <v>0.31531531531531531</v>
      </c>
    </row>
    <row r="95" spans="1:10">
      <c r="A95">
        <v>2026</v>
      </c>
      <c r="B95">
        <v>29</v>
      </c>
      <c r="C95" t="s">
        <v>32</v>
      </c>
      <c r="D95" t="s">
        <v>9</v>
      </c>
      <c r="E95" t="s">
        <v>103</v>
      </c>
      <c r="F95" t="s">
        <v>39</v>
      </c>
      <c r="G95" t="str">
        <f t="shared" si="2"/>
        <v>29024SWEETNESS</v>
      </c>
      <c r="H95">
        <v>1344</v>
      </c>
      <c r="I95">
        <v>2220</v>
      </c>
      <c r="J95">
        <f t="shared" si="3"/>
        <v>0.39459459459459462</v>
      </c>
    </row>
    <row r="96" spans="1:10">
      <c r="A96">
        <v>2026</v>
      </c>
      <c r="B96">
        <v>29</v>
      </c>
      <c r="C96" t="s">
        <v>32</v>
      </c>
      <c r="D96" t="s">
        <v>9</v>
      </c>
      <c r="E96" t="s">
        <v>103</v>
      </c>
      <c r="F96" t="s">
        <v>64</v>
      </c>
      <c r="G96" t="str">
        <f t="shared" si="2"/>
        <v>29024TYCOON</v>
      </c>
      <c r="H96">
        <v>3702</v>
      </c>
      <c r="I96">
        <v>5070</v>
      </c>
      <c r="J96">
        <f t="shared" si="3"/>
        <v>0.26982248520710062</v>
      </c>
    </row>
    <row r="97" spans="1:10">
      <c r="A97">
        <v>2026</v>
      </c>
      <c r="B97">
        <v>29</v>
      </c>
      <c r="C97" t="s">
        <v>32</v>
      </c>
      <c r="D97" t="s">
        <v>9</v>
      </c>
      <c r="E97" t="s">
        <v>104</v>
      </c>
      <c r="F97" t="s">
        <v>68</v>
      </c>
      <c r="G97" t="str">
        <f t="shared" si="2"/>
        <v>29025PINK MONDIAL</v>
      </c>
      <c r="H97">
        <v>4323</v>
      </c>
      <c r="I97">
        <v>7400</v>
      </c>
      <c r="J97">
        <f t="shared" si="3"/>
        <v>0.41581081081081084</v>
      </c>
    </row>
    <row r="98" spans="1:10">
      <c r="A98">
        <v>2026</v>
      </c>
      <c r="B98">
        <v>29</v>
      </c>
      <c r="C98" t="s">
        <v>32</v>
      </c>
      <c r="D98" t="s">
        <v>9</v>
      </c>
      <c r="E98" t="s">
        <v>105</v>
      </c>
      <c r="F98" t="s">
        <v>69</v>
      </c>
      <c r="G98" t="str">
        <f t="shared" si="2"/>
        <v>29026LOLA</v>
      </c>
      <c r="H98">
        <v>5404</v>
      </c>
      <c r="I98">
        <v>3400</v>
      </c>
      <c r="J98">
        <f t="shared" si="3"/>
        <v>-0.5894117647058823</v>
      </c>
    </row>
    <row r="99" spans="1:10">
      <c r="A99">
        <v>2026</v>
      </c>
      <c r="B99">
        <v>29</v>
      </c>
      <c r="C99" t="s">
        <v>32</v>
      </c>
      <c r="D99" t="s">
        <v>9</v>
      </c>
      <c r="E99" t="s">
        <v>105</v>
      </c>
      <c r="F99" t="s">
        <v>70</v>
      </c>
      <c r="G99" t="str">
        <f t="shared" si="2"/>
        <v>29026PALOMA</v>
      </c>
      <c r="H99">
        <v>5294</v>
      </c>
      <c r="I99">
        <v>4675</v>
      </c>
      <c r="J99">
        <f t="shared" si="3"/>
        <v>-0.13240641711229947</v>
      </c>
    </row>
    <row r="100" spans="1:10">
      <c r="A100">
        <v>2026</v>
      </c>
      <c r="B100">
        <v>29</v>
      </c>
      <c r="C100" t="s">
        <v>32</v>
      </c>
      <c r="D100" t="s">
        <v>9</v>
      </c>
      <c r="E100" t="s">
        <v>106</v>
      </c>
      <c r="F100" t="s">
        <v>71</v>
      </c>
      <c r="G100" t="str">
        <f t="shared" si="2"/>
        <v>29027SATISFACTION</v>
      </c>
      <c r="H100">
        <v>3111</v>
      </c>
      <c r="I100">
        <v>7230</v>
      </c>
      <c r="J100">
        <f t="shared" si="3"/>
        <v>0.5697095435684647</v>
      </c>
    </row>
    <row r="101" spans="1:10">
      <c r="A101">
        <v>2026</v>
      </c>
      <c r="B101">
        <v>29</v>
      </c>
      <c r="C101" t="s">
        <v>32</v>
      </c>
      <c r="D101" t="s">
        <v>9</v>
      </c>
      <c r="E101" t="s">
        <v>106</v>
      </c>
      <c r="F101" t="s">
        <v>72</v>
      </c>
      <c r="G101" t="str">
        <f t="shared" si="2"/>
        <v>29027TIFFANY</v>
      </c>
      <c r="H101">
        <v>2772</v>
      </c>
      <c r="I101">
        <v>6360</v>
      </c>
      <c r="J101">
        <f t="shared" si="3"/>
        <v>0.5641509433962264</v>
      </c>
    </row>
    <row r="102" spans="1:10">
      <c r="A102">
        <v>2026</v>
      </c>
      <c r="B102">
        <v>29</v>
      </c>
      <c r="C102" t="s">
        <v>32</v>
      </c>
      <c r="D102" t="s">
        <v>9</v>
      </c>
      <c r="E102" t="s">
        <v>107</v>
      </c>
      <c r="F102" t="s">
        <v>44</v>
      </c>
      <c r="G102" t="str">
        <f t="shared" si="2"/>
        <v>29028COTOPAXI</v>
      </c>
      <c r="H102">
        <v>3648</v>
      </c>
      <c r="I102">
        <v>5010</v>
      </c>
      <c r="J102">
        <f t="shared" si="3"/>
        <v>0.27185628742514972</v>
      </c>
    </row>
    <row r="103" spans="1:10">
      <c r="A103">
        <v>2026</v>
      </c>
      <c r="B103">
        <v>29</v>
      </c>
      <c r="C103" t="s">
        <v>32</v>
      </c>
      <c r="D103" t="s">
        <v>9</v>
      </c>
      <c r="E103" t="s">
        <v>107</v>
      </c>
      <c r="F103" t="s">
        <v>41</v>
      </c>
      <c r="G103" t="str">
        <f t="shared" si="2"/>
        <v>29028DEEP PURPLE</v>
      </c>
      <c r="H103">
        <v>8298</v>
      </c>
      <c r="I103">
        <v>7260</v>
      </c>
      <c r="J103">
        <f t="shared" si="3"/>
        <v>-0.14297520661157026</v>
      </c>
    </row>
    <row r="104" spans="1:10">
      <c r="A104">
        <v>2026</v>
      </c>
      <c r="B104">
        <v>29</v>
      </c>
      <c r="C104" t="s">
        <v>32</v>
      </c>
      <c r="D104" t="s">
        <v>9</v>
      </c>
      <c r="E104" t="s">
        <v>108</v>
      </c>
      <c r="F104" t="s">
        <v>73</v>
      </c>
      <c r="G104" t="str">
        <f t="shared" si="2"/>
        <v>29029PINK FLOYD</v>
      </c>
      <c r="H104">
        <v>3452</v>
      </c>
      <c r="I104">
        <v>4350</v>
      </c>
      <c r="J104">
        <f t="shared" si="3"/>
        <v>0.2064367816091954</v>
      </c>
    </row>
    <row r="105" spans="1:10">
      <c r="A105">
        <v>2026</v>
      </c>
      <c r="B105">
        <v>29</v>
      </c>
      <c r="C105" t="s">
        <v>32</v>
      </c>
      <c r="D105" t="s">
        <v>9</v>
      </c>
      <c r="E105" t="s">
        <v>90</v>
      </c>
      <c r="F105" t="s">
        <v>34</v>
      </c>
      <c r="G105" t="str">
        <f t="shared" si="2"/>
        <v>29030EXPLORER</v>
      </c>
      <c r="H105">
        <v>2164</v>
      </c>
      <c r="I105">
        <v>2600</v>
      </c>
      <c r="J105">
        <f t="shared" si="3"/>
        <v>0.1676923076923077</v>
      </c>
    </row>
    <row r="106" spans="1:10">
      <c r="A106">
        <v>2026</v>
      </c>
      <c r="B106">
        <v>30</v>
      </c>
      <c r="C106" t="s">
        <v>8</v>
      </c>
      <c r="D106" t="s">
        <v>9</v>
      </c>
      <c r="E106" t="s">
        <v>76</v>
      </c>
      <c r="F106" t="s">
        <v>10</v>
      </c>
      <c r="G106" t="str">
        <f t="shared" si="2"/>
        <v>30002SOMERSET</v>
      </c>
      <c r="H106">
        <v>12147</v>
      </c>
      <c r="I106">
        <v>8440</v>
      </c>
      <c r="J106">
        <f t="shared" si="3"/>
        <v>-0.43921800947867301</v>
      </c>
    </row>
    <row r="107" spans="1:10">
      <c r="A107">
        <v>2026</v>
      </c>
      <c r="B107">
        <v>30</v>
      </c>
      <c r="C107" t="s">
        <v>8</v>
      </c>
      <c r="D107" t="s">
        <v>9</v>
      </c>
      <c r="E107" t="s">
        <v>77</v>
      </c>
      <c r="F107" t="s">
        <v>11</v>
      </c>
      <c r="G107" t="str">
        <f t="shared" si="2"/>
        <v>30004BELLINA</v>
      </c>
      <c r="H107">
        <v>2006</v>
      </c>
      <c r="I107">
        <v>1965</v>
      </c>
      <c r="J107">
        <f t="shared" si="3"/>
        <v>-2.0865139949109414E-2</v>
      </c>
    </row>
    <row r="108" spans="1:10">
      <c r="A108">
        <v>2026</v>
      </c>
      <c r="B108">
        <v>30</v>
      </c>
      <c r="C108" t="s">
        <v>8</v>
      </c>
      <c r="D108" t="s">
        <v>9</v>
      </c>
      <c r="E108" t="s">
        <v>78</v>
      </c>
      <c r="F108" t="s">
        <v>12</v>
      </c>
      <c r="G108" t="str">
        <f t="shared" si="2"/>
        <v>30005ELBA</v>
      </c>
      <c r="H108">
        <v>6970</v>
      </c>
      <c r="I108">
        <v>5700</v>
      </c>
      <c r="J108">
        <f t="shared" si="3"/>
        <v>-0.22280701754385965</v>
      </c>
    </row>
    <row r="109" spans="1:10">
      <c r="A109">
        <v>2026</v>
      </c>
      <c r="B109">
        <v>30</v>
      </c>
      <c r="C109" t="s">
        <v>8</v>
      </c>
      <c r="D109" t="s">
        <v>9</v>
      </c>
      <c r="E109" t="s">
        <v>78</v>
      </c>
      <c r="F109" t="s">
        <v>13</v>
      </c>
      <c r="G109" t="str">
        <f t="shared" si="2"/>
        <v>30005HOT BUBBLES</v>
      </c>
      <c r="H109">
        <v>988</v>
      </c>
      <c r="I109">
        <v>1080</v>
      </c>
      <c r="J109">
        <f t="shared" si="3"/>
        <v>8.5185185185185183E-2</v>
      </c>
    </row>
    <row r="110" spans="1:10">
      <c r="A110">
        <v>2026</v>
      </c>
      <c r="B110">
        <v>30</v>
      </c>
      <c r="C110" t="s">
        <v>8</v>
      </c>
      <c r="D110" t="s">
        <v>9</v>
      </c>
      <c r="E110" t="s">
        <v>78</v>
      </c>
      <c r="F110" t="s">
        <v>14</v>
      </c>
      <c r="G110" t="str">
        <f t="shared" si="2"/>
        <v>30005SUSPIRO</v>
      </c>
      <c r="H110">
        <v>3359</v>
      </c>
      <c r="I110">
        <v>3090</v>
      </c>
      <c r="J110">
        <f t="shared" si="3"/>
        <v>-8.705501618122978E-2</v>
      </c>
    </row>
    <row r="111" spans="1:10">
      <c r="A111">
        <v>2026</v>
      </c>
      <c r="B111">
        <v>30</v>
      </c>
      <c r="C111" t="s">
        <v>8</v>
      </c>
      <c r="D111" t="s">
        <v>9</v>
      </c>
      <c r="E111" t="s">
        <v>79</v>
      </c>
      <c r="F111" t="s">
        <v>15</v>
      </c>
      <c r="G111" t="str">
        <f t="shared" si="2"/>
        <v>30007SNOW BUBBLES</v>
      </c>
      <c r="H111">
        <v>750</v>
      </c>
      <c r="I111">
        <v>1580</v>
      </c>
      <c r="J111">
        <f t="shared" si="3"/>
        <v>0.52531645569620256</v>
      </c>
    </row>
    <row r="112" spans="1:10">
      <c r="A112">
        <v>2026</v>
      </c>
      <c r="B112">
        <v>30</v>
      </c>
      <c r="C112" t="s">
        <v>8</v>
      </c>
      <c r="D112" t="s">
        <v>9</v>
      </c>
      <c r="E112" t="s">
        <v>80</v>
      </c>
      <c r="F112" t="s">
        <v>13</v>
      </c>
      <c r="G112" t="str">
        <f t="shared" si="2"/>
        <v>30009HOT BUBBLES</v>
      </c>
      <c r="H112">
        <v>7606</v>
      </c>
      <c r="I112">
        <v>7400</v>
      </c>
      <c r="J112">
        <f t="shared" si="3"/>
        <v>-2.7837837837837838E-2</v>
      </c>
    </row>
    <row r="113" spans="1:10">
      <c r="A113">
        <v>2026</v>
      </c>
      <c r="B113">
        <v>30</v>
      </c>
      <c r="C113" t="s">
        <v>8</v>
      </c>
      <c r="D113" t="s">
        <v>9</v>
      </c>
      <c r="E113" t="s">
        <v>81</v>
      </c>
      <c r="F113" t="s">
        <v>16</v>
      </c>
      <c r="G113" t="str">
        <f t="shared" si="2"/>
        <v>30014FRUITY BUBBLES</v>
      </c>
      <c r="H113">
        <v>3469</v>
      </c>
      <c r="I113">
        <v>4425</v>
      </c>
      <c r="J113">
        <f t="shared" si="3"/>
        <v>0.21604519774011299</v>
      </c>
    </row>
    <row r="114" spans="1:10">
      <c r="A114">
        <v>2026</v>
      </c>
      <c r="B114">
        <v>30</v>
      </c>
      <c r="C114" t="s">
        <v>8</v>
      </c>
      <c r="D114" t="s">
        <v>9</v>
      </c>
      <c r="E114" t="s">
        <v>82</v>
      </c>
      <c r="F114" t="s">
        <v>17</v>
      </c>
      <c r="G114" t="str">
        <f t="shared" si="2"/>
        <v>30015FELLINI</v>
      </c>
      <c r="H114">
        <v>5859</v>
      </c>
      <c r="I114">
        <v>7680</v>
      </c>
      <c r="J114">
        <f t="shared" si="3"/>
        <v>0.23710937500000001</v>
      </c>
    </row>
    <row r="115" spans="1:10">
      <c r="A115">
        <v>2026</v>
      </c>
      <c r="B115">
        <v>30</v>
      </c>
      <c r="C115" t="s">
        <v>8</v>
      </c>
      <c r="D115" t="s">
        <v>9</v>
      </c>
      <c r="E115" t="s">
        <v>83</v>
      </c>
      <c r="F115" t="s">
        <v>18</v>
      </c>
      <c r="G115" t="str">
        <f t="shared" si="2"/>
        <v>30016GOOD PEACH</v>
      </c>
      <c r="H115">
        <v>2922</v>
      </c>
      <c r="I115">
        <v>3360</v>
      </c>
      <c r="J115">
        <f t="shared" si="3"/>
        <v>0.13035714285714287</v>
      </c>
    </row>
    <row r="116" spans="1:10">
      <c r="A116">
        <v>2026</v>
      </c>
      <c r="B116">
        <v>30</v>
      </c>
      <c r="C116" t="s">
        <v>8</v>
      </c>
      <c r="D116" t="s">
        <v>9</v>
      </c>
      <c r="E116" t="s">
        <v>83</v>
      </c>
      <c r="F116" t="s">
        <v>19</v>
      </c>
      <c r="G116" t="str">
        <f t="shared" si="2"/>
        <v>30016GOOD YELLOW</v>
      </c>
      <c r="H116">
        <v>2931</v>
      </c>
      <c r="I116">
        <v>4680</v>
      </c>
      <c r="J116">
        <f t="shared" si="3"/>
        <v>0.37371794871794872</v>
      </c>
    </row>
    <row r="117" spans="1:10">
      <c r="A117">
        <v>2026</v>
      </c>
      <c r="B117">
        <v>30</v>
      </c>
      <c r="C117" t="s">
        <v>8</v>
      </c>
      <c r="D117" t="s">
        <v>9</v>
      </c>
      <c r="E117" t="s">
        <v>84</v>
      </c>
      <c r="F117" t="s">
        <v>20</v>
      </c>
      <c r="G117" t="str">
        <f t="shared" si="2"/>
        <v>30017ORANGE STAR</v>
      </c>
      <c r="H117">
        <v>2020</v>
      </c>
      <c r="I117">
        <v>1800</v>
      </c>
      <c r="J117">
        <f t="shared" si="3"/>
        <v>-0.12222222222222222</v>
      </c>
    </row>
    <row r="118" spans="1:10">
      <c r="A118">
        <v>2026</v>
      </c>
      <c r="B118">
        <v>30</v>
      </c>
      <c r="C118" t="s">
        <v>8</v>
      </c>
      <c r="D118" t="s">
        <v>9</v>
      </c>
      <c r="E118" t="s">
        <v>85</v>
      </c>
      <c r="F118" t="s">
        <v>21</v>
      </c>
      <c r="G118" t="str">
        <f t="shared" si="2"/>
        <v>30018COSMO</v>
      </c>
      <c r="H118">
        <v>4540</v>
      </c>
      <c r="I118">
        <v>5275</v>
      </c>
      <c r="J118">
        <f t="shared" si="3"/>
        <v>0.13933649289099526</v>
      </c>
    </row>
    <row r="119" spans="1:10">
      <c r="A119">
        <v>2026</v>
      </c>
      <c r="B119">
        <v>30</v>
      </c>
      <c r="C119" t="s">
        <v>8</v>
      </c>
      <c r="D119" t="s">
        <v>9</v>
      </c>
      <c r="E119" t="s">
        <v>85</v>
      </c>
      <c r="F119" t="s">
        <v>22</v>
      </c>
      <c r="G119" t="str">
        <f t="shared" si="2"/>
        <v>30018RUBICON</v>
      </c>
      <c r="H119">
        <v>4301</v>
      </c>
      <c r="I119">
        <v>3540</v>
      </c>
      <c r="J119">
        <f t="shared" si="3"/>
        <v>-0.21497175141242938</v>
      </c>
    </row>
    <row r="120" spans="1:10">
      <c r="A120">
        <v>2026</v>
      </c>
      <c r="B120">
        <v>30</v>
      </c>
      <c r="C120" t="s">
        <v>8</v>
      </c>
      <c r="D120" t="s">
        <v>9</v>
      </c>
      <c r="E120" t="s">
        <v>86</v>
      </c>
      <c r="F120" t="s">
        <v>11</v>
      </c>
      <c r="G120" t="str">
        <f t="shared" si="2"/>
        <v>30019BELLINA</v>
      </c>
      <c r="H120">
        <v>2087</v>
      </c>
      <c r="I120">
        <v>1740</v>
      </c>
      <c r="J120">
        <f t="shared" si="3"/>
        <v>-0.19942528735632184</v>
      </c>
    </row>
    <row r="121" spans="1:10">
      <c r="A121">
        <v>2026</v>
      </c>
      <c r="B121">
        <v>30</v>
      </c>
      <c r="C121" t="s">
        <v>8</v>
      </c>
      <c r="D121" t="s">
        <v>9</v>
      </c>
      <c r="E121" t="s">
        <v>87</v>
      </c>
      <c r="F121" t="s">
        <v>23</v>
      </c>
      <c r="G121" t="str">
        <f t="shared" si="2"/>
        <v>30020SUMMER DANCE</v>
      </c>
      <c r="H121">
        <v>3924</v>
      </c>
      <c r="I121">
        <v>3675</v>
      </c>
      <c r="J121">
        <f t="shared" si="3"/>
        <v>-6.775510204081632E-2</v>
      </c>
    </row>
    <row r="122" spans="1:10">
      <c r="A122">
        <v>2026</v>
      </c>
      <c r="B122">
        <v>30</v>
      </c>
      <c r="C122" t="s">
        <v>8</v>
      </c>
      <c r="D122" t="s">
        <v>9</v>
      </c>
      <c r="E122" t="s">
        <v>88</v>
      </c>
      <c r="F122" t="s">
        <v>24</v>
      </c>
      <c r="G122" t="str">
        <f t="shared" si="2"/>
        <v>30021ELEGANT ROSEVER</v>
      </c>
      <c r="H122">
        <v>847</v>
      </c>
      <c r="I122">
        <v>540</v>
      </c>
      <c r="J122">
        <f t="shared" si="3"/>
        <v>-0.56851851851851853</v>
      </c>
    </row>
    <row r="123" spans="1:10">
      <c r="A123">
        <v>2026</v>
      </c>
      <c r="B123">
        <v>30</v>
      </c>
      <c r="C123" t="s">
        <v>8</v>
      </c>
      <c r="D123" t="s">
        <v>9</v>
      </c>
      <c r="E123" t="s">
        <v>88</v>
      </c>
      <c r="F123" t="s">
        <v>25</v>
      </c>
      <c r="G123" t="str">
        <f t="shared" si="2"/>
        <v>30021FLAME CLUB</v>
      </c>
      <c r="H123">
        <v>1953</v>
      </c>
      <c r="I123">
        <v>1450</v>
      </c>
      <c r="J123">
        <f t="shared" si="3"/>
        <v>-0.34689655172413791</v>
      </c>
    </row>
    <row r="124" spans="1:10">
      <c r="A124">
        <v>2026</v>
      </c>
      <c r="B124">
        <v>30</v>
      </c>
      <c r="C124" t="s">
        <v>8</v>
      </c>
      <c r="D124" t="s">
        <v>9</v>
      </c>
      <c r="E124" t="s">
        <v>88</v>
      </c>
      <c r="F124" t="s">
        <v>26</v>
      </c>
      <c r="G124" t="str">
        <f t="shared" si="2"/>
        <v>30021KELLY</v>
      </c>
      <c r="H124">
        <v>626</v>
      </c>
      <c r="I124">
        <v>450</v>
      </c>
      <c r="J124">
        <f t="shared" si="3"/>
        <v>-0.39111111111111113</v>
      </c>
    </row>
    <row r="125" spans="1:10">
      <c r="A125">
        <v>2026</v>
      </c>
      <c r="B125">
        <v>30</v>
      </c>
      <c r="C125" t="s">
        <v>8</v>
      </c>
      <c r="D125" t="s">
        <v>9</v>
      </c>
      <c r="E125" t="s">
        <v>88</v>
      </c>
      <c r="F125" t="s">
        <v>27</v>
      </c>
      <c r="G125" t="str">
        <f t="shared" si="2"/>
        <v>30021LEILA</v>
      </c>
      <c r="H125">
        <v>2843</v>
      </c>
      <c r="I125">
        <v>700</v>
      </c>
      <c r="J125">
        <f t="shared" si="3"/>
        <v>-3.0614285714285714</v>
      </c>
    </row>
    <row r="126" spans="1:10">
      <c r="A126">
        <v>2026</v>
      </c>
      <c r="B126">
        <v>30</v>
      </c>
      <c r="C126" t="s">
        <v>8</v>
      </c>
      <c r="D126" t="s">
        <v>9</v>
      </c>
      <c r="E126" t="s">
        <v>88</v>
      </c>
      <c r="F126" t="s">
        <v>15</v>
      </c>
      <c r="G126" t="str">
        <f t="shared" si="2"/>
        <v>30021SNOW BUBBLES</v>
      </c>
      <c r="H126">
        <v>1897</v>
      </c>
      <c r="I126">
        <v>2440</v>
      </c>
      <c r="J126">
        <f t="shared" si="3"/>
        <v>0.22254098360655739</v>
      </c>
    </row>
    <row r="127" spans="1:10">
      <c r="A127">
        <v>2026</v>
      </c>
      <c r="B127">
        <v>30</v>
      </c>
      <c r="C127" t="s">
        <v>8</v>
      </c>
      <c r="D127" t="s">
        <v>9</v>
      </c>
      <c r="E127" t="s">
        <v>89</v>
      </c>
      <c r="F127" t="s">
        <v>16</v>
      </c>
      <c r="G127" t="str">
        <f t="shared" si="2"/>
        <v>30022FRUITY BUBBLES</v>
      </c>
      <c r="H127">
        <v>4956</v>
      </c>
      <c r="I127">
        <v>4650</v>
      </c>
      <c r="J127">
        <f t="shared" si="3"/>
        <v>-6.580645161290323E-2</v>
      </c>
    </row>
    <row r="128" spans="1:10">
      <c r="A128">
        <v>2026</v>
      </c>
      <c r="B128">
        <v>30</v>
      </c>
      <c r="C128" t="s">
        <v>8</v>
      </c>
      <c r="D128" t="s">
        <v>9</v>
      </c>
      <c r="E128" t="s">
        <v>89</v>
      </c>
      <c r="F128" t="s">
        <v>18</v>
      </c>
      <c r="G128" t="str">
        <f t="shared" si="2"/>
        <v>30022GOOD PEACH</v>
      </c>
      <c r="H128">
        <v>2113</v>
      </c>
      <c r="I128">
        <v>2070</v>
      </c>
      <c r="J128">
        <f t="shared" si="3"/>
        <v>-2.0772946859903382E-2</v>
      </c>
    </row>
    <row r="129" spans="1:10">
      <c r="A129">
        <v>2026</v>
      </c>
      <c r="B129">
        <v>30</v>
      </c>
      <c r="C129" t="s">
        <v>8</v>
      </c>
      <c r="D129" t="s">
        <v>9</v>
      </c>
      <c r="E129" t="s">
        <v>89</v>
      </c>
      <c r="F129" t="s">
        <v>28</v>
      </c>
      <c r="G129" t="str">
        <f t="shared" si="2"/>
        <v>30022MIRABEL</v>
      </c>
      <c r="H129">
        <v>1148</v>
      </c>
      <c r="I129">
        <v>2180</v>
      </c>
      <c r="J129">
        <f t="shared" si="3"/>
        <v>0.47339449541284406</v>
      </c>
    </row>
    <row r="130" spans="1:10">
      <c r="A130">
        <v>2026</v>
      </c>
      <c r="B130">
        <v>30</v>
      </c>
      <c r="C130" t="s">
        <v>8</v>
      </c>
      <c r="D130" t="s">
        <v>9</v>
      </c>
      <c r="E130" t="s">
        <v>90</v>
      </c>
      <c r="F130" t="s">
        <v>28</v>
      </c>
      <c r="G130" t="str">
        <f t="shared" si="2"/>
        <v>30030MIRABEL</v>
      </c>
      <c r="H130">
        <v>3017</v>
      </c>
      <c r="I130">
        <v>4980</v>
      </c>
      <c r="J130">
        <f t="shared" si="3"/>
        <v>0.39417670682730926</v>
      </c>
    </row>
    <row r="131" spans="1:10">
      <c r="A131">
        <v>2026</v>
      </c>
      <c r="B131">
        <v>30</v>
      </c>
      <c r="C131" t="s">
        <v>8</v>
      </c>
      <c r="D131" t="s">
        <v>9</v>
      </c>
      <c r="E131" t="s">
        <v>90</v>
      </c>
      <c r="F131" t="s">
        <v>10</v>
      </c>
      <c r="G131" t="str">
        <f t="shared" ref="G131:G194" si="4">+B131&amp;E131&amp;F131</f>
        <v>30030SOMERSET</v>
      </c>
      <c r="H131">
        <v>4493</v>
      </c>
      <c r="I131">
        <v>4000</v>
      </c>
      <c r="J131">
        <f t="shared" ref="J131:J194" si="5">+(I131-H131)/I131</f>
        <v>-0.12325</v>
      </c>
    </row>
    <row r="132" spans="1:10">
      <c r="A132">
        <v>2026</v>
      </c>
      <c r="B132">
        <v>30</v>
      </c>
      <c r="C132" t="s">
        <v>8</v>
      </c>
      <c r="D132" t="s">
        <v>9</v>
      </c>
      <c r="E132" t="s">
        <v>91</v>
      </c>
      <c r="F132" t="s">
        <v>29</v>
      </c>
      <c r="G132" t="str">
        <f t="shared" si="4"/>
        <v>3003182989</v>
      </c>
      <c r="H132">
        <v>1054</v>
      </c>
      <c r="I132">
        <v>780</v>
      </c>
      <c r="J132">
        <f t="shared" si="5"/>
        <v>-0.35128205128205126</v>
      </c>
    </row>
    <row r="133" spans="1:10">
      <c r="A133">
        <v>2026</v>
      </c>
      <c r="B133">
        <v>30</v>
      </c>
      <c r="C133" t="s">
        <v>8</v>
      </c>
      <c r="D133" t="s">
        <v>9</v>
      </c>
      <c r="E133" t="s">
        <v>91</v>
      </c>
      <c r="F133" t="s">
        <v>22</v>
      </c>
      <c r="G133" t="str">
        <f t="shared" si="4"/>
        <v>30031RUBICON</v>
      </c>
      <c r="H133">
        <v>2353</v>
      </c>
      <c r="I133">
        <v>2700</v>
      </c>
      <c r="J133">
        <f t="shared" si="5"/>
        <v>0.12851851851851853</v>
      </c>
    </row>
    <row r="134" spans="1:10">
      <c r="A134">
        <v>2026</v>
      </c>
      <c r="B134">
        <v>30</v>
      </c>
      <c r="C134" t="s">
        <v>8</v>
      </c>
      <c r="D134" t="s">
        <v>9</v>
      </c>
      <c r="E134" t="s">
        <v>91</v>
      </c>
      <c r="F134" t="s">
        <v>10</v>
      </c>
      <c r="G134" t="str">
        <f t="shared" si="4"/>
        <v>30031SOMERSET</v>
      </c>
      <c r="H134">
        <v>1003</v>
      </c>
      <c r="I134">
        <v>960</v>
      </c>
      <c r="J134">
        <f t="shared" si="5"/>
        <v>-4.4791666666666667E-2</v>
      </c>
    </row>
    <row r="135" spans="1:10">
      <c r="A135">
        <v>2026</v>
      </c>
      <c r="B135">
        <v>30</v>
      </c>
      <c r="C135" t="s">
        <v>8</v>
      </c>
      <c r="D135" t="s">
        <v>9</v>
      </c>
      <c r="E135" t="s">
        <v>91</v>
      </c>
      <c r="F135" t="s">
        <v>30</v>
      </c>
      <c r="G135" t="str">
        <f t="shared" si="4"/>
        <v>30031VELVET BLOSSOMS</v>
      </c>
      <c r="H135">
        <v>321</v>
      </c>
      <c r="I135">
        <v>760</v>
      </c>
      <c r="J135">
        <f t="shared" si="5"/>
        <v>0.57763157894736838</v>
      </c>
    </row>
    <row r="136" spans="1:10">
      <c r="A136">
        <v>2026</v>
      </c>
      <c r="B136">
        <v>30</v>
      </c>
      <c r="C136" t="s">
        <v>8</v>
      </c>
      <c r="D136" t="s">
        <v>9</v>
      </c>
      <c r="E136" t="s">
        <v>92</v>
      </c>
      <c r="F136" t="s">
        <v>12</v>
      </c>
      <c r="G136" t="str">
        <f t="shared" si="4"/>
        <v>30032ELBA</v>
      </c>
      <c r="H136">
        <v>2739</v>
      </c>
      <c r="I136">
        <v>3090</v>
      </c>
      <c r="J136">
        <f t="shared" si="5"/>
        <v>0.11359223300970873</v>
      </c>
    </row>
    <row r="137" spans="1:10">
      <c r="A137">
        <v>2026</v>
      </c>
      <c r="B137">
        <v>30</v>
      </c>
      <c r="C137" t="s">
        <v>8</v>
      </c>
      <c r="D137" t="s">
        <v>9</v>
      </c>
      <c r="E137" t="s">
        <v>92</v>
      </c>
      <c r="F137" t="s">
        <v>28</v>
      </c>
      <c r="G137" t="str">
        <f t="shared" si="4"/>
        <v>30032MIRABEL</v>
      </c>
      <c r="H137">
        <v>1625</v>
      </c>
      <c r="I137">
        <v>1880</v>
      </c>
      <c r="J137">
        <f t="shared" si="5"/>
        <v>0.13563829787234041</v>
      </c>
    </row>
    <row r="138" spans="1:10">
      <c r="A138">
        <v>2026</v>
      </c>
      <c r="B138">
        <v>30</v>
      </c>
      <c r="C138" t="s">
        <v>8</v>
      </c>
      <c r="D138" t="s">
        <v>9</v>
      </c>
      <c r="E138" t="s">
        <v>93</v>
      </c>
      <c r="F138" t="s">
        <v>31</v>
      </c>
      <c r="G138" t="str">
        <f t="shared" si="4"/>
        <v>30033CREAMY FOLIES</v>
      </c>
      <c r="H138">
        <v>1079</v>
      </c>
      <c r="I138">
        <v>780</v>
      </c>
      <c r="J138">
        <f t="shared" si="5"/>
        <v>-0.38333333333333336</v>
      </c>
    </row>
    <row r="139" spans="1:10">
      <c r="A139">
        <v>2026</v>
      </c>
      <c r="B139">
        <v>30</v>
      </c>
      <c r="C139" t="s">
        <v>8</v>
      </c>
      <c r="D139" t="s">
        <v>9</v>
      </c>
      <c r="E139" t="s">
        <v>93</v>
      </c>
      <c r="F139" t="s">
        <v>13</v>
      </c>
      <c r="G139" t="str">
        <f t="shared" si="4"/>
        <v>30033HOT BUBBLES</v>
      </c>
      <c r="H139">
        <v>2831</v>
      </c>
      <c r="I139">
        <v>5780</v>
      </c>
      <c r="J139">
        <f t="shared" si="5"/>
        <v>0.51020761245674739</v>
      </c>
    </row>
    <row r="140" spans="1:10">
      <c r="A140">
        <v>2026</v>
      </c>
      <c r="B140">
        <v>30</v>
      </c>
      <c r="C140" t="s">
        <v>32</v>
      </c>
      <c r="D140" t="s">
        <v>9</v>
      </c>
      <c r="E140" t="s">
        <v>94</v>
      </c>
      <c r="F140" t="s">
        <v>33</v>
      </c>
      <c r="G140" t="str">
        <f t="shared" si="4"/>
        <v>30001BELIEVE IN PINK</v>
      </c>
      <c r="H140">
        <v>1649</v>
      </c>
      <c r="I140">
        <v>1350</v>
      </c>
      <c r="J140">
        <f t="shared" si="5"/>
        <v>-0.22148148148148147</v>
      </c>
    </row>
    <row r="141" spans="1:10">
      <c r="A141">
        <v>2026</v>
      </c>
      <c r="B141">
        <v>30</v>
      </c>
      <c r="C141" t="s">
        <v>32</v>
      </c>
      <c r="D141" t="s">
        <v>9</v>
      </c>
      <c r="E141" t="s">
        <v>94</v>
      </c>
      <c r="F141" t="s">
        <v>34</v>
      </c>
      <c r="G141" t="str">
        <f t="shared" si="4"/>
        <v>30001EXPLORER</v>
      </c>
      <c r="H141">
        <v>4018</v>
      </c>
      <c r="I141">
        <v>4000</v>
      </c>
      <c r="J141">
        <f t="shared" si="5"/>
        <v>-4.4999999999999997E-3</v>
      </c>
    </row>
    <row r="142" spans="1:10">
      <c r="A142">
        <v>2026</v>
      </c>
      <c r="B142">
        <v>30</v>
      </c>
      <c r="C142" t="s">
        <v>32</v>
      </c>
      <c r="D142" t="s">
        <v>9</v>
      </c>
      <c r="E142" t="s">
        <v>94</v>
      </c>
      <c r="F142" t="s">
        <v>35</v>
      </c>
      <c r="G142" t="str">
        <f t="shared" si="4"/>
        <v>30001GRACE KELLY</v>
      </c>
      <c r="H142">
        <v>2081</v>
      </c>
      <c r="I142">
        <v>2430</v>
      </c>
      <c r="J142">
        <f t="shared" si="5"/>
        <v>0.14362139917695474</v>
      </c>
    </row>
    <row r="143" spans="1:10">
      <c r="A143">
        <v>2026</v>
      </c>
      <c r="B143">
        <v>30</v>
      </c>
      <c r="C143" t="s">
        <v>32</v>
      </c>
      <c r="D143" t="s">
        <v>9</v>
      </c>
      <c r="E143" t="s">
        <v>94</v>
      </c>
      <c r="F143" t="s">
        <v>36</v>
      </c>
      <c r="G143" t="str">
        <f t="shared" si="4"/>
        <v>30001LIGHT HOUSE</v>
      </c>
      <c r="H143">
        <v>2484</v>
      </c>
      <c r="I143">
        <v>2850</v>
      </c>
      <c r="J143">
        <f t="shared" si="5"/>
        <v>0.12842105263157894</v>
      </c>
    </row>
    <row r="144" spans="1:10">
      <c r="A144">
        <v>2026</v>
      </c>
      <c r="B144">
        <v>30</v>
      </c>
      <c r="C144" t="s">
        <v>32</v>
      </c>
      <c r="D144" t="s">
        <v>9</v>
      </c>
      <c r="E144" t="s">
        <v>94</v>
      </c>
      <c r="F144" t="s">
        <v>37</v>
      </c>
      <c r="G144" t="str">
        <f t="shared" si="4"/>
        <v>30001LUMIA</v>
      </c>
      <c r="H144">
        <v>2487</v>
      </c>
      <c r="I144">
        <v>3300</v>
      </c>
      <c r="J144">
        <f t="shared" si="5"/>
        <v>0.24636363636363637</v>
      </c>
    </row>
    <row r="145" spans="1:10">
      <c r="A145">
        <v>2026</v>
      </c>
      <c r="B145">
        <v>30</v>
      </c>
      <c r="C145" t="s">
        <v>32</v>
      </c>
      <c r="D145" t="s">
        <v>9</v>
      </c>
      <c r="E145" t="s">
        <v>94</v>
      </c>
      <c r="F145" t="s">
        <v>38</v>
      </c>
      <c r="G145" t="str">
        <f t="shared" si="4"/>
        <v>30001MOMENTUM</v>
      </c>
      <c r="H145">
        <v>3750</v>
      </c>
      <c r="I145">
        <v>5275</v>
      </c>
      <c r="J145">
        <f t="shared" si="5"/>
        <v>0.2890995260663507</v>
      </c>
    </row>
    <row r="146" spans="1:10">
      <c r="A146">
        <v>2026</v>
      </c>
      <c r="B146">
        <v>30</v>
      </c>
      <c r="C146" t="s">
        <v>32</v>
      </c>
      <c r="D146" t="s">
        <v>9</v>
      </c>
      <c r="E146" t="s">
        <v>76</v>
      </c>
      <c r="F146" t="s">
        <v>39</v>
      </c>
      <c r="G146" t="str">
        <f t="shared" si="4"/>
        <v>30002SWEETNESS</v>
      </c>
      <c r="H146">
        <v>5688</v>
      </c>
      <c r="I146">
        <v>6870</v>
      </c>
      <c r="J146">
        <f t="shared" si="5"/>
        <v>0.1720524017467249</v>
      </c>
    </row>
    <row r="147" spans="1:10">
      <c r="A147">
        <v>2026</v>
      </c>
      <c r="B147">
        <v>30</v>
      </c>
      <c r="C147" t="s">
        <v>32</v>
      </c>
      <c r="D147" t="s">
        <v>9</v>
      </c>
      <c r="E147" t="s">
        <v>95</v>
      </c>
      <c r="F147" t="s">
        <v>40</v>
      </c>
      <c r="G147" t="str">
        <f t="shared" si="4"/>
        <v>30003CABARET</v>
      </c>
      <c r="H147">
        <v>8316</v>
      </c>
      <c r="I147">
        <v>6870</v>
      </c>
      <c r="J147">
        <f t="shared" si="5"/>
        <v>-0.21048034934497817</v>
      </c>
    </row>
    <row r="148" spans="1:10">
      <c r="A148">
        <v>2026</v>
      </c>
      <c r="B148">
        <v>30</v>
      </c>
      <c r="C148" t="s">
        <v>32</v>
      </c>
      <c r="D148" t="s">
        <v>9</v>
      </c>
      <c r="E148" t="s">
        <v>95</v>
      </c>
      <c r="F148" t="s">
        <v>41</v>
      </c>
      <c r="G148" t="str">
        <f t="shared" si="4"/>
        <v>30003DEEP PURPLE</v>
      </c>
      <c r="H148">
        <v>16323</v>
      </c>
      <c r="I148">
        <v>8820</v>
      </c>
      <c r="J148">
        <f t="shared" si="5"/>
        <v>-0.85068027210884356</v>
      </c>
    </row>
    <row r="149" spans="1:10">
      <c r="A149">
        <v>2026</v>
      </c>
      <c r="B149">
        <v>30</v>
      </c>
      <c r="C149" t="s">
        <v>32</v>
      </c>
      <c r="D149" t="s">
        <v>9</v>
      </c>
      <c r="E149" t="s">
        <v>95</v>
      </c>
      <c r="F149" t="s">
        <v>34</v>
      </c>
      <c r="G149" t="str">
        <f t="shared" si="4"/>
        <v>30003EXPLORER</v>
      </c>
      <c r="H149">
        <v>2199</v>
      </c>
      <c r="I149">
        <v>2125</v>
      </c>
      <c r="J149">
        <f t="shared" si="5"/>
        <v>-3.4823529411764705E-2</v>
      </c>
    </row>
    <row r="150" spans="1:10">
      <c r="A150">
        <v>2026</v>
      </c>
      <c r="B150">
        <v>30</v>
      </c>
      <c r="C150" t="s">
        <v>32</v>
      </c>
      <c r="D150" t="s">
        <v>9</v>
      </c>
      <c r="E150" t="s">
        <v>95</v>
      </c>
      <c r="F150" t="s">
        <v>42</v>
      </c>
      <c r="G150" t="str">
        <f t="shared" si="4"/>
        <v>30003JOCKER</v>
      </c>
      <c r="H150">
        <v>1054</v>
      </c>
      <c r="I150">
        <v>1125</v>
      </c>
      <c r="J150">
        <f t="shared" si="5"/>
        <v>6.3111111111111118E-2</v>
      </c>
    </row>
    <row r="151" spans="1:10">
      <c r="A151">
        <v>2026</v>
      </c>
      <c r="B151">
        <v>30</v>
      </c>
      <c r="C151" t="s">
        <v>32</v>
      </c>
      <c r="D151" t="s">
        <v>9</v>
      </c>
      <c r="E151" t="s">
        <v>95</v>
      </c>
      <c r="F151" t="s">
        <v>43</v>
      </c>
      <c r="G151" t="str">
        <f t="shared" si="4"/>
        <v>30003QUICKSAND</v>
      </c>
      <c r="H151">
        <v>2111</v>
      </c>
      <c r="I151">
        <v>1860</v>
      </c>
      <c r="J151">
        <f t="shared" si="5"/>
        <v>-0.13494623655913979</v>
      </c>
    </row>
    <row r="152" spans="1:10">
      <c r="A152">
        <v>2026</v>
      </c>
      <c r="B152">
        <v>30</v>
      </c>
      <c r="C152" t="s">
        <v>32</v>
      </c>
      <c r="D152" t="s">
        <v>9</v>
      </c>
      <c r="E152" t="s">
        <v>77</v>
      </c>
      <c r="F152" t="s">
        <v>44</v>
      </c>
      <c r="G152" t="str">
        <f t="shared" si="4"/>
        <v>30004COTOPAXI</v>
      </c>
      <c r="H152">
        <v>1063</v>
      </c>
      <c r="I152">
        <v>900</v>
      </c>
      <c r="J152">
        <f t="shared" si="5"/>
        <v>-0.18111111111111111</v>
      </c>
    </row>
    <row r="153" spans="1:10">
      <c r="A153">
        <v>2026</v>
      </c>
      <c r="B153">
        <v>30</v>
      </c>
      <c r="C153" t="s">
        <v>32</v>
      </c>
      <c r="D153" t="s">
        <v>9</v>
      </c>
      <c r="E153" t="s">
        <v>77</v>
      </c>
      <c r="F153" t="s">
        <v>41</v>
      </c>
      <c r="G153" t="str">
        <f t="shared" si="4"/>
        <v>30004DEEP PURPLE</v>
      </c>
      <c r="H153">
        <v>18435</v>
      </c>
      <c r="I153">
        <v>12060</v>
      </c>
      <c r="J153">
        <f t="shared" si="5"/>
        <v>-0.52860696517412931</v>
      </c>
    </row>
    <row r="154" spans="1:10">
      <c r="A154">
        <v>2026</v>
      </c>
      <c r="B154">
        <v>30</v>
      </c>
      <c r="C154" t="s">
        <v>32</v>
      </c>
      <c r="D154" t="s">
        <v>9</v>
      </c>
      <c r="E154" t="s">
        <v>77</v>
      </c>
      <c r="F154" t="s">
        <v>45</v>
      </c>
      <c r="G154" t="str">
        <f t="shared" si="4"/>
        <v>30004HOT EXPLORER</v>
      </c>
      <c r="H154">
        <v>2569</v>
      </c>
      <c r="I154">
        <v>1675</v>
      </c>
      <c r="J154">
        <f t="shared" si="5"/>
        <v>-0.53373134328358207</v>
      </c>
    </row>
    <row r="155" spans="1:10">
      <c r="A155">
        <v>2026</v>
      </c>
      <c r="B155">
        <v>30</v>
      </c>
      <c r="C155" t="s">
        <v>32</v>
      </c>
      <c r="D155" t="s">
        <v>9</v>
      </c>
      <c r="E155" t="s">
        <v>77</v>
      </c>
      <c r="F155" t="s">
        <v>46</v>
      </c>
      <c r="G155" t="str">
        <f t="shared" si="4"/>
        <v>30004HOT MERENGUE</v>
      </c>
      <c r="H155">
        <v>3144</v>
      </c>
      <c r="I155">
        <v>2610</v>
      </c>
      <c r="J155">
        <f t="shared" si="5"/>
        <v>-0.2045977011494253</v>
      </c>
    </row>
    <row r="156" spans="1:10">
      <c r="A156">
        <v>2026</v>
      </c>
      <c r="B156">
        <v>30</v>
      </c>
      <c r="C156" t="s">
        <v>32</v>
      </c>
      <c r="D156" t="s">
        <v>9</v>
      </c>
      <c r="E156" t="s">
        <v>77</v>
      </c>
      <c r="F156" t="s">
        <v>39</v>
      </c>
      <c r="G156" t="str">
        <f t="shared" si="4"/>
        <v>30004SWEETNESS</v>
      </c>
      <c r="H156">
        <v>730</v>
      </c>
      <c r="I156">
        <v>540</v>
      </c>
      <c r="J156">
        <f t="shared" si="5"/>
        <v>-0.35185185185185186</v>
      </c>
    </row>
    <row r="157" spans="1:10">
      <c r="A157">
        <v>2026</v>
      </c>
      <c r="B157">
        <v>30</v>
      </c>
      <c r="C157" t="s">
        <v>32</v>
      </c>
      <c r="D157" t="s">
        <v>9</v>
      </c>
      <c r="E157" t="s">
        <v>78</v>
      </c>
      <c r="F157" t="s">
        <v>34</v>
      </c>
      <c r="G157" t="str">
        <f t="shared" si="4"/>
        <v>30005EXPLORER</v>
      </c>
      <c r="H157">
        <v>1343</v>
      </c>
      <c r="I157">
        <v>1425</v>
      </c>
      <c r="J157">
        <f t="shared" si="5"/>
        <v>5.7543859649122807E-2</v>
      </c>
    </row>
    <row r="158" spans="1:10">
      <c r="A158">
        <v>2026</v>
      </c>
      <c r="B158">
        <v>30</v>
      </c>
      <c r="C158" t="s">
        <v>32</v>
      </c>
      <c r="D158" t="s">
        <v>9</v>
      </c>
      <c r="E158" t="s">
        <v>78</v>
      </c>
      <c r="F158" t="s">
        <v>47</v>
      </c>
      <c r="G158" t="str">
        <f t="shared" si="4"/>
        <v>30005GOLDFINCH</v>
      </c>
      <c r="H158">
        <v>1485</v>
      </c>
      <c r="I158">
        <v>900</v>
      </c>
      <c r="J158">
        <f t="shared" si="5"/>
        <v>-0.65</v>
      </c>
    </row>
    <row r="159" spans="1:10">
      <c r="A159">
        <v>2026</v>
      </c>
      <c r="B159">
        <v>30</v>
      </c>
      <c r="C159" t="s">
        <v>32</v>
      </c>
      <c r="D159" t="s">
        <v>9</v>
      </c>
      <c r="E159" t="s">
        <v>78</v>
      </c>
      <c r="F159" t="s">
        <v>42</v>
      </c>
      <c r="G159" t="str">
        <f t="shared" si="4"/>
        <v>30005JOCKER</v>
      </c>
      <c r="H159">
        <v>2378</v>
      </c>
      <c r="I159">
        <v>2375</v>
      </c>
      <c r="J159">
        <f t="shared" si="5"/>
        <v>-1.2631578947368421E-3</v>
      </c>
    </row>
    <row r="160" spans="1:10">
      <c r="A160">
        <v>2026</v>
      </c>
      <c r="B160">
        <v>30</v>
      </c>
      <c r="C160" t="s">
        <v>32</v>
      </c>
      <c r="D160" t="s">
        <v>9</v>
      </c>
      <c r="E160" t="s">
        <v>78</v>
      </c>
      <c r="F160" t="s">
        <v>48</v>
      </c>
      <c r="G160" t="str">
        <f t="shared" si="4"/>
        <v>30005VENDELA</v>
      </c>
      <c r="H160">
        <v>2287</v>
      </c>
      <c r="I160">
        <v>1710</v>
      </c>
      <c r="J160">
        <f t="shared" si="5"/>
        <v>-0.3374269005847953</v>
      </c>
    </row>
    <row r="161" spans="1:10">
      <c r="A161">
        <v>2026</v>
      </c>
      <c r="B161">
        <v>30</v>
      </c>
      <c r="C161" t="s">
        <v>32</v>
      </c>
      <c r="D161" t="s">
        <v>9</v>
      </c>
      <c r="E161" t="s">
        <v>96</v>
      </c>
      <c r="F161" t="s">
        <v>49</v>
      </c>
      <c r="G161" t="str">
        <f t="shared" si="4"/>
        <v>30006ATOMIC</v>
      </c>
      <c r="H161">
        <v>1559</v>
      </c>
      <c r="I161">
        <v>950</v>
      </c>
      <c r="J161">
        <f t="shared" si="5"/>
        <v>-0.64105263157894732</v>
      </c>
    </row>
    <row r="162" spans="1:10">
      <c r="A162">
        <v>2026</v>
      </c>
      <c r="B162">
        <v>30</v>
      </c>
      <c r="C162" t="s">
        <v>32</v>
      </c>
      <c r="D162" t="s">
        <v>9</v>
      </c>
      <c r="E162" t="s">
        <v>96</v>
      </c>
      <c r="F162" t="s">
        <v>34</v>
      </c>
      <c r="G162" t="str">
        <f t="shared" si="4"/>
        <v>30006EXPLORER</v>
      </c>
      <c r="H162">
        <v>6221</v>
      </c>
      <c r="I162">
        <v>5100</v>
      </c>
      <c r="J162">
        <f t="shared" si="5"/>
        <v>-0.21980392156862746</v>
      </c>
    </row>
    <row r="163" spans="1:10">
      <c r="A163">
        <v>2026</v>
      </c>
      <c r="B163">
        <v>30</v>
      </c>
      <c r="C163" t="s">
        <v>32</v>
      </c>
      <c r="D163" t="s">
        <v>9</v>
      </c>
      <c r="E163" t="s">
        <v>96</v>
      </c>
      <c r="F163" t="s">
        <v>50</v>
      </c>
      <c r="G163" t="str">
        <f t="shared" si="4"/>
        <v>30006MONDIAL</v>
      </c>
      <c r="H163">
        <v>7576</v>
      </c>
      <c r="I163">
        <v>9500</v>
      </c>
      <c r="J163">
        <f t="shared" si="5"/>
        <v>0.20252631578947369</v>
      </c>
    </row>
    <row r="164" spans="1:10">
      <c r="A164">
        <v>2026</v>
      </c>
      <c r="B164">
        <v>30</v>
      </c>
      <c r="C164" t="s">
        <v>32</v>
      </c>
      <c r="D164" t="s">
        <v>9</v>
      </c>
      <c r="E164" t="s">
        <v>79</v>
      </c>
      <c r="F164" t="s">
        <v>44</v>
      </c>
      <c r="G164" t="str">
        <f t="shared" si="4"/>
        <v>30007COTOPAXI</v>
      </c>
      <c r="H164">
        <v>6540</v>
      </c>
      <c r="I164">
        <v>5850</v>
      </c>
      <c r="J164">
        <f t="shared" si="5"/>
        <v>-0.11794871794871795</v>
      </c>
    </row>
    <row r="165" spans="1:10">
      <c r="A165">
        <v>2026</v>
      </c>
      <c r="B165">
        <v>30</v>
      </c>
      <c r="C165" t="s">
        <v>32</v>
      </c>
      <c r="D165" t="s">
        <v>9</v>
      </c>
      <c r="E165" t="s">
        <v>79</v>
      </c>
      <c r="F165" t="s">
        <v>51</v>
      </c>
      <c r="G165" t="str">
        <f t="shared" si="4"/>
        <v>30007REDIANT</v>
      </c>
      <c r="H165">
        <v>1498</v>
      </c>
      <c r="I165">
        <v>2160</v>
      </c>
      <c r="J165">
        <f t="shared" si="5"/>
        <v>0.30648148148148147</v>
      </c>
    </row>
    <row r="166" spans="1:10">
      <c r="A166">
        <v>2026</v>
      </c>
      <c r="B166">
        <v>30</v>
      </c>
      <c r="C166" t="s">
        <v>32</v>
      </c>
      <c r="D166" t="s">
        <v>9</v>
      </c>
      <c r="E166" t="s">
        <v>79</v>
      </c>
      <c r="F166" t="s">
        <v>48</v>
      </c>
      <c r="G166" t="str">
        <f t="shared" si="4"/>
        <v>30007VENDELA</v>
      </c>
      <c r="H166">
        <v>12406</v>
      </c>
      <c r="I166">
        <v>10650</v>
      </c>
      <c r="J166">
        <f t="shared" si="5"/>
        <v>-0.16488262910798121</v>
      </c>
    </row>
    <row r="167" spans="1:10">
      <c r="A167">
        <v>2026</v>
      </c>
      <c r="B167">
        <v>30</v>
      </c>
      <c r="C167" t="s">
        <v>32</v>
      </c>
      <c r="D167" t="s">
        <v>9</v>
      </c>
      <c r="E167" t="s">
        <v>97</v>
      </c>
      <c r="F167" t="s">
        <v>41</v>
      </c>
      <c r="G167" t="str">
        <f t="shared" si="4"/>
        <v>30008DEEP PURPLE</v>
      </c>
      <c r="H167">
        <v>8425</v>
      </c>
      <c r="I167">
        <v>5670</v>
      </c>
      <c r="J167">
        <f t="shared" si="5"/>
        <v>-0.48589065255731922</v>
      </c>
    </row>
    <row r="168" spans="1:10">
      <c r="A168">
        <v>2026</v>
      </c>
      <c r="B168">
        <v>30</v>
      </c>
      <c r="C168" t="s">
        <v>32</v>
      </c>
      <c r="D168" t="s">
        <v>9</v>
      </c>
      <c r="E168" t="s">
        <v>97</v>
      </c>
      <c r="F168" t="s">
        <v>52</v>
      </c>
      <c r="G168" t="str">
        <f t="shared" si="4"/>
        <v>30008FREEDOM</v>
      </c>
      <c r="H168">
        <v>5557</v>
      </c>
      <c r="I168">
        <v>2610</v>
      </c>
      <c r="J168">
        <f t="shared" si="5"/>
        <v>-1.1291187739463602</v>
      </c>
    </row>
    <row r="169" spans="1:10">
      <c r="A169">
        <v>2026</v>
      </c>
      <c r="B169">
        <v>30</v>
      </c>
      <c r="C169" t="s">
        <v>32</v>
      </c>
      <c r="D169" t="s">
        <v>9</v>
      </c>
      <c r="E169" t="s">
        <v>97</v>
      </c>
      <c r="F169" t="s">
        <v>42</v>
      </c>
      <c r="G169" t="str">
        <f t="shared" si="4"/>
        <v>30008JOCKER</v>
      </c>
      <c r="H169">
        <v>5513</v>
      </c>
      <c r="I169">
        <v>5750</v>
      </c>
      <c r="J169">
        <f t="shared" si="5"/>
        <v>4.1217391304347824E-2</v>
      </c>
    </row>
    <row r="170" spans="1:10">
      <c r="A170">
        <v>2026</v>
      </c>
      <c r="B170">
        <v>30</v>
      </c>
      <c r="C170" t="s">
        <v>32</v>
      </c>
      <c r="D170" t="s">
        <v>9</v>
      </c>
      <c r="E170" t="s">
        <v>98</v>
      </c>
      <c r="F170" t="s">
        <v>53</v>
      </c>
      <c r="G170" t="str">
        <f t="shared" si="4"/>
        <v>30010COOLDOWN</v>
      </c>
      <c r="H170">
        <v>1877</v>
      </c>
      <c r="I170">
        <v>3825</v>
      </c>
      <c r="J170">
        <f t="shared" si="5"/>
        <v>0.50928104575163402</v>
      </c>
    </row>
    <row r="171" spans="1:10">
      <c r="A171">
        <v>2026</v>
      </c>
      <c r="B171">
        <v>30</v>
      </c>
      <c r="C171" t="s">
        <v>32</v>
      </c>
      <c r="D171" t="s">
        <v>9</v>
      </c>
      <c r="E171" t="s">
        <v>98</v>
      </c>
      <c r="F171" t="s">
        <v>54</v>
      </c>
      <c r="G171" t="str">
        <f t="shared" si="4"/>
        <v>30010VIOLET HILL</v>
      </c>
      <c r="H171">
        <v>2038</v>
      </c>
      <c r="I171">
        <v>5850</v>
      </c>
      <c r="J171">
        <f t="shared" si="5"/>
        <v>0.65162393162393162</v>
      </c>
    </row>
    <row r="172" spans="1:10">
      <c r="A172">
        <v>2026</v>
      </c>
      <c r="B172">
        <v>30</v>
      </c>
      <c r="C172" t="s">
        <v>32</v>
      </c>
      <c r="D172" t="s">
        <v>9</v>
      </c>
      <c r="E172" t="s">
        <v>99</v>
      </c>
      <c r="F172" t="s">
        <v>55</v>
      </c>
      <c r="G172" t="str">
        <f t="shared" si="4"/>
        <v>30011BRIGHTON</v>
      </c>
      <c r="H172">
        <v>4026</v>
      </c>
      <c r="I172">
        <v>3550</v>
      </c>
      <c r="J172">
        <f t="shared" si="5"/>
        <v>-0.13408450704225353</v>
      </c>
    </row>
    <row r="173" spans="1:10">
      <c r="A173">
        <v>2026</v>
      </c>
      <c r="B173">
        <v>30</v>
      </c>
      <c r="C173" t="s">
        <v>32</v>
      </c>
      <c r="D173" t="s">
        <v>9</v>
      </c>
      <c r="E173" t="s">
        <v>99</v>
      </c>
      <c r="F173" t="s">
        <v>56</v>
      </c>
      <c r="G173" t="str">
        <f t="shared" si="4"/>
        <v>30011CANDLELIGHT</v>
      </c>
      <c r="H173">
        <v>5059</v>
      </c>
      <c r="I173">
        <v>4640</v>
      </c>
      <c r="J173">
        <f t="shared" si="5"/>
        <v>-9.0301724137931028E-2</v>
      </c>
    </row>
    <row r="174" spans="1:10">
      <c r="A174">
        <v>2026</v>
      </c>
      <c r="B174">
        <v>30</v>
      </c>
      <c r="C174" t="s">
        <v>32</v>
      </c>
      <c r="D174" t="s">
        <v>9</v>
      </c>
      <c r="E174" t="s">
        <v>99</v>
      </c>
      <c r="F174" t="s">
        <v>57</v>
      </c>
      <c r="G174" t="str">
        <f t="shared" si="4"/>
        <v>30011CAYENNE</v>
      </c>
      <c r="H174">
        <v>1990</v>
      </c>
      <c r="I174">
        <v>1530</v>
      </c>
      <c r="J174">
        <f t="shared" si="5"/>
        <v>-0.30065359477124182</v>
      </c>
    </row>
    <row r="175" spans="1:10">
      <c r="A175">
        <v>2026</v>
      </c>
      <c r="B175">
        <v>30</v>
      </c>
      <c r="C175" t="s">
        <v>32</v>
      </c>
      <c r="D175" t="s">
        <v>9</v>
      </c>
      <c r="E175" t="s">
        <v>99</v>
      </c>
      <c r="F175" t="s">
        <v>37</v>
      </c>
      <c r="G175" t="str">
        <f t="shared" si="4"/>
        <v>30011LUMIA</v>
      </c>
      <c r="H175">
        <v>2151</v>
      </c>
      <c r="I175">
        <v>2640</v>
      </c>
      <c r="J175">
        <f t="shared" si="5"/>
        <v>0.18522727272727274</v>
      </c>
    </row>
    <row r="176" spans="1:10">
      <c r="A176">
        <v>2026</v>
      </c>
      <c r="B176">
        <v>30</v>
      </c>
      <c r="C176" t="s">
        <v>32</v>
      </c>
      <c r="D176" t="s">
        <v>9</v>
      </c>
      <c r="E176" t="s">
        <v>99</v>
      </c>
      <c r="F176" t="s">
        <v>58</v>
      </c>
      <c r="G176" t="str">
        <f t="shared" si="4"/>
        <v>30011STARDUST</v>
      </c>
      <c r="H176">
        <v>4587</v>
      </c>
      <c r="I176">
        <v>4525</v>
      </c>
      <c r="J176">
        <f t="shared" si="5"/>
        <v>-1.3701657458563535E-2</v>
      </c>
    </row>
    <row r="177" spans="1:10">
      <c r="A177">
        <v>2026</v>
      </c>
      <c r="B177">
        <v>30</v>
      </c>
      <c r="C177" t="s">
        <v>32</v>
      </c>
      <c r="D177" t="s">
        <v>9</v>
      </c>
      <c r="E177" t="s">
        <v>100</v>
      </c>
      <c r="F177" t="s">
        <v>41</v>
      </c>
      <c r="G177" t="str">
        <f t="shared" si="4"/>
        <v>30012DEEP PURPLE</v>
      </c>
      <c r="H177">
        <v>21486</v>
      </c>
      <c r="I177">
        <v>19410</v>
      </c>
      <c r="J177">
        <f t="shared" si="5"/>
        <v>-0.10695517774343122</v>
      </c>
    </row>
    <row r="178" spans="1:10">
      <c r="A178">
        <v>2026</v>
      </c>
      <c r="B178">
        <v>30</v>
      </c>
      <c r="C178" t="s">
        <v>32</v>
      </c>
      <c r="D178" t="s">
        <v>9</v>
      </c>
      <c r="E178" t="s">
        <v>100</v>
      </c>
      <c r="F178" t="s">
        <v>36</v>
      </c>
      <c r="G178" t="str">
        <f t="shared" si="4"/>
        <v>30012LIGHT HOUSE</v>
      </c>
      <c r="H178">
        <v>1991</v>
      </c>
      <c r="I178">
        <v>2100</v>
      </c>
      <c r="J178">
        <f t="shared" si="5"/>
        <v>5.1904761904761905E-2</v>
      </c>
    </row>
    <row r="179" spans="1:10">
      <c r="A179">
        <v>2026</v>
      </c>
      <c r="B179">
        <v>30</v>
      </c>
      <c r="C179" t="s">
        <v>32</v>
      </c>
      <c r="D179" t="s">
        <v>9</v>
      </c>
      <c r="E179" t="s">
        <v>101</v>
      </c>
      <c r="F179" t="s">
        <v>59</v>
      </c>
      <c r="G179" t="str">
        <f t="shared" si="4"/>
        <v>30013COUNTRY BLUES</v>
      </c>
      <c r="H179">
        <v>1781</v>
      </c>
      <c r="I179">
        <v>1400</v>
      </c>
      <c r="J179">
        <f t="shared" si="5"/>
        <v>-0.27214285714285713</v>
      </c>
    </row>
    <row r="180" spans="1:10">
      <c r="A180">
        <v>2026</v>
      </c>
      <c r="B180">
        <v>30</v>
      </c>
      <c r="C180" t="s">
        <v>32</v>
      </c>
      <c r="D180" t="s">
        <v>9</v>
      </c>
      <c r="E180" t="s">
        <v>101</v>
      </c>
      <c r="F180" t="s">
        <v>60</v>
      </c>
      <c r="G180" t="str">
        <f t="shared" si="4"/>
        <v>30013LORRAINE</v>
      </c>
      <c r="H180">
        <v>3799</v>
      </c>
      <c r="I180">
        <v>4025</v>
      </c>
      <c r="J180">
        <f t="shared" si="5"/>
        <v>5.6149068322981367E-2</v>
      </c>
    </row>
    <row r="181" spans="1:10">
      <c r="A181">
        <v>2026</v>
      </c>
      <c r="B181">
        <v>30</v>
      </c>
      <c r="C181" t="s">
        <v>32</v>
      </c>
      <c r="D181" t="s">
        <v>9</v>
      </c>
      <c r="E181" t="s">
        <v>101</v>
      </c>
      <c r="F181" t="s">
        <v>37</v>
      </c>
      <c r="G181" t="str">
        <f t="shared" si="4"/>
        <v>30013LUMIA</v>
      </c>
      <c r="H181">
        <v>896</v>
      </c>
      <c r="I181">
        <v>960</v>
      </c>
      <c r="J181">
        <f t="shared" si="5"/>
        <v>6.6666666666666666E-2</v>
      </c>
    </row>
    <row r="182" spans="1:10">
      <c r="A182">
        <v>2026</v>
      </c>
      <c r="B182">
        <v>30</v>
      </c>
      <c r="C182" t="s">
        <v>32</v>
      </c>
      <c r="D182" t="s">
        <v>9</v>
      </c>
      <c r="E182" t="s">
        <v>101</v>
      </c>
      <c r="F182" t="s">
        <v>48</v>
      </c>
      <c r="G182" t="str">
        <f t="shared" si="4"/>
        <v>30013VENDELA</v>
      </c>
      <c r="H182">
        <v>11771</v>
      </c>
      <c r="I182">
        <v>12150</v>
      </c>
      <c r="J182">
        <f t="shared" si="5"/>
        <v>3.1193415637860083E-2</v>
      </c>
    </row>
    <row r="183" spans="1:10">
      <c r="A183">
        <v>2026</v>
      </c>
      <c r="B183">
        <v>30</v>
      </c>
      <c r="C183" t="s">
        <v>32</v>
      </c>
      <c r="D183" t="s">
        <v>9</v>
      </c>
      <c r="E183" t="s">
        <v>81</v>
      </c>
      <c r="F183" t="s">
        <v>58</v>
      </c>
      <c r="G183" t="str">
        <f t="shared" si="4"/>
        <v>30014STARDUST</v>
      </c>
      <c r="H183">
        <v>8534</v>
      </c>
      <c r="I183">
        <v>8575</v>
      </c>
      <c r="J183">
        <f t="shared" si="5"/>
        <v>4.78134110787172E-3</v>
      </c>
    </row>
    <row r="184" spans="1:10">
      <c r="A184">
        <v>2026</v>
      </c>
      <c r="B184">
        <v>30</v>
      </c>
      <c r="C184" t="s">
        <v>32</v>
      </c>
      <c r="D184" t="s">
        <v>9</v>
      </c>
      <c r="E184" t="s">
        <v>82</v>
      </c>
      <c r="F184" t="s">
        <v>42</v>
      </c>
      <c r="G184" t="str">
        <f t="shared" si="4"/>
        <v>30015JOCKER</v>
      </c>
      <c r="H184">
        <v>5802</v>
      </c>
      <c r="I184">
        <v>6750</v>
      </c>
      <c r="J184">
        <f t="shared" si="5"/>
        <v>0.14044444444444446</v>
      </c>
    </row>
    <row r="185" spans="1:10">
      <c r="A185">
        <v>2026</v>
      </c>
      <c r="B185">
        <v>30</v>
      </c>
      <c r="C185" t="s">
        <v>32</v>
      </c>
      <c r="D185" t="s">
        <v>9</v>
      </c>
      <c r="E185" t="s">
        <v>83</v>
      </c>
      <c r="F185" t="s">
        <v>61</v>
      </c>
      <c r="G185" t="str">
        <f t="shared" si="4"/>
        <v>30016DREAM IN PEACH</v>
      </c>
      <c r="H185">
        <v>2056</v>
      </c>
      <c r="I185">
        <v>1800</v>
      </c>
      <c r="J185">
        <f t="shared" si="5"/>
        <v>-0.14222222222222222</v>
      </c>
    </row>
    <row r="186" spans="1:10">
      <c r="A186">
        <v>2026</v>
      </c>
      <c r="B186">
        <v>30</v>
      </c>
      <c r="C186" t="s">
        <v>32</v>
      </c>
      <c r="D186" t="s">
        <v>9</v>
      </c>
      <c r="E186" t="s">
        <v>83</v>
      </c>
      <c r="F186" t="s">
        <v>62</v>
      </c>
      <c r="G186" t="str">
        <f t="shared" si="4"/>
        <v>30016NINA</v>
      </c>
      <c r="H186">
        <v>3491</v>
      </c>
      <c r="I186">
        <v>3300</v>
      </c>
      <c r="J186">
        <f t="shared" si="5"/>
        <v>-5.7878787878787877E-2</v>
      </c>
    </row>
    <row r="187" spans="1:10">
      <c r="A187">
        <v>2026</v>
      </c>
      <c r="B187">
        <v>30</v>
      </c>
      <c r="C187" t="s">
        <v>32</v>
      </c>
      <c r="D187" t="s">
        <v>9</v>
      </c>
      <c r="E187" t="s">
        <v>84</v>
      </c>
      <c r="F187" t="s">
        <v>52</v>
      </c>
      <c r="G187" t="str">
        <f t="shared" si="4"/>
        <v>30017FREEDOM</v>
      </c>
      <c r="H187">
        <v>7452</v>
      </c>
      <c r="I187">
        <v>5400</v>
      </c>
      <c r="J187">
        <f t="shared" si="5"/>
        <v>-0.38</v>
      </c>
    </row>
    <row r="188" spans="1:10">
      <c r="A188">
        <v>2026</v>
      </c>
      <c r="B188">
        <v>30</v>
      </c>
      <c r="C188" t="s">
        <v>32</v>
      </c>
      <c r="D188" t="s">
        <v>9</v>
      </c>
      <c r="E188" t="s">
        <v>84</v>
      </c>
      <c r="F188" t="s">
        <v>47</v>
      </c>
      <c r="G188" t="str">
        <f t="shared" si="4"/>
        <v>30017GOLDFINCH</v>
      </c>
      <c r="H188">
        <v>3612</v>
      </c>
      <c r="I188">
        <v>3725</v>
      </c>
      <c r="J188">
        <f t="shared" si="5"/>
        <v>3.0335570469798658E-2</v>
      </c>
    </row>
    <row r="189" spans="1:10">
      <c r="A189">
        <v>2026</v>
      </c>
      <c r="B189">
        <v>30</v>
      </c>
      <c r="C189" t="s">
        <v>32</v>
      </c>
      <c r="D189" t="s">
        <v>9</v>
      </c>
      <c r="E189" t="s">
        <v>85</v>
      </c>
      <c r="F189" t="s">
        <v>55</v>
      </c>
      <c r="G189" t="str">
        <f t="shared" si="4"/>
        <v>30018BRIGHTON</v>
      </c>
      <c r="H189">
        <v>2697</v>
      </c>
      <c r="I189">
        <v>2475</v>
      </c>
      <c r="J189">
        <f t="shared" si="5"/>
        <v>-8.9696969696969692E-2</v>
      </c>
    </row>
    <row r="190" spans="1:10">
      <c r="A190">
        <v>2026</v>
      </c>
      <c r="B190">
        <v>30</v>
      </c>
      <c r="C190" t="s">
        <v>32</v>
      </c>
      <c r="D190" t="s">
        <v>9</v>
      </c>
      <c r="E190" t="s">
        <v>86</v>
      </c>
      <c r="F190" t="s">
        <v>55</v>
      </c>
      <c r="G190" t="str">
        <f t="shared" si="4"/>
        <v>30019BRIGHTON</v>
      </c>
      <c r="H190">
        <v>9574</v>
      </c>
      <c r="I190">
        <v>9375</v>
      </c>
      <c r="J190">
        <f t="shared" si="5"/>
        <v>-2.1226666666666668E-2</v>
      </c>
    </row>
    <row r="191" spans="1:10">
      <c r="A191">
        <v>2026</v>
      </c>
      <c r="B191">
        <v>30</v>
      </c>
      <c r="C191" t="s">
        <v>32</v>
      </c>
      <c r="D191" t="s">
        <v>9</v>
      </c>
      <c r="E191" t="s">
        <v>86</v>
      </c>
      <c r="F191" t="s">
        <v>63</v>
      </c>
      <c r="G191" t="str">
        <f t="shared" si="4"/>
        <v>30019TABATHA</v>
      </c>
      <c r="H191">
        <v>3253</v>
      </c>
      <c r="I191">
        <v>2490</v>
      </c>
      <c r="J191">
        <f t="shared" si="5"/>
        <v>-0.30642570281124498</v>
      </c>
    </row>
    <row r="192" spans="1:10">
      <c r="A192">
        <v>2026</v>
      </c>
      <c r="B192">
        <v>30</v>
      </c>
      <c r="C192" t="s">
        <v>32</v>
      </c>
      <c r="D192" t="s">
        <v>9</v>
      </c>
      <c r="E192" t="s">
        <v>87</v>
      </c>
      <c r="F192" t="s">
        <v>55</v>
      </c>
      <c r="G192" t="str">
        <f t="shared" si="4"/>
        <v>30020BRIGHTON</v>
      </c>
      <c r="H192">
        <v>6408</v>
      </c>
      <c r="I192">
        <v>5500</v>
      </c>
      <c r="J192">
        <f t="shared" si="5"/>
        <v>-0.16509090909090909</v>
      </c>
    </row>
    <row r="193" spans="1:10">
      <c r="A193">
        <v>2026</v>
      </c>
      <c r="B193">
        <v>30</v>
      </c>
      <c r="C193" t="s">
        <v>32</v>
      </c>
      <c r="D193" t="s">
        <v>9</v>
      </c>
      <c r="E193" t="s">
        <v>87</v>
      </c>
      <c r="F193" t="s">
        <v>64</v>
      </c>
      <c r="G193" t="str">
        <f t="shared" si="4"/>
        <v>30020TYCOON</v>
      </c>
      <c r="H193">
        <v>1110</v>
      </c>
      <c r="I193">
        <v>1350</v>
      </c>
      <c r="J193">
        <f t="shared" si="5"/>
        <v>0.17777777777777778</v>
      </c>
    </row>
    <row r="194" spans="1:10">
      <c r="A194">
        <v>2026</v>
      </c>
      <c r="B194">
        <v>30</v>
      </c>
      <c r="C194" t="s">
        <v>32</v>
      </c>
      <c r="D194" t="s">
        <v>9</v>
      </c>
      <c r="E194" t="s">
        <v>88</v>
      </c>
      <c r="F194" t="s">
        <v>65</v>
      </c>
      <c r="G194" t="str">
        <f t="shared" si="4"/>
        <v>30021SHOW GIRL</v>
      </c>
      <c r="H194">
        <v>1452</v>
      </c>
      <c r="I194">
        <v>1200</v>
      </c>
      <c r="J194">
        <f t="shared" si="5"/>
        <v>-0.21</v>
      </c>
    </row>
    <row r="195" spans="1:10">
      <c r="A195">
        <v>2026</v>
      </c>
      <c r="B195">
        <v>30</v>
      </c>
      <c r="C195" t="s">
        <v>32</v>
      </c>
      <c r="D195" t="s">
        <v>9</v>
      </c>
      <c r="E195" t="s">
        <v>89</v>
      </c>
      <c r="F195" t="s">
        <v>66</v>
      </c>
      <c r="G195" t="str">
        <f t="shared" ref="G195:G258" si="6">+B195&amp;E195&amp;F195</f>
        <v>30022CORAL REEF</v>
      </c>
      <c r="H195">
        <v>2850</v>
      </c>
      <c r="I195">
        <v>2375</v>
      </c>
      <c r="J195">
        <f t="shared" ref="J195:J258" si="7">+(I195-H195)/I195</f>
        <v>-0.2</v>
      </c>
    </row>
    <row r="196" spans="1:10">
      <c r="A196">
        <v>2026</v>
      </c>
      <c r="B196">
        <v>30</v>
      </c>
      <c r="C196" t="s">
        <v>32</v>
      </c>
      <c r="D196" t="s">
        <v>9</v>
      </c>
      <c r="E196" t="s">
        <v>102</v>
      </c>
      <c r="F196" t="s">
        <v>44</v>
      </c>
      <c r="G196" t="str">
        <f t="shared" si="6"/>
        <v>30023COTOPAXI</v>
      </c>
      <c r="H196">
        <v>6265</v>
      </c>
      <c r="I196">
        <v>6330</v>
      </c>
      <c r="J196">
        <f t="shared" si="7"/>
        <v>1.0268562401263823E-2</v>
      </c>
    </row>
    <row r="197" spans="1:10">
      <c r="A197">
        <v>2026</v>
      </c>
      <c r="B197">
        <v>30</v>
      </c>
      <c r="C197" t="s">
        <v>32</v>
      </c>
      <c r="D197" t="s">
        <v>9</v>
      </c>
      <c r="E197" t="s">
        <v>102</v>
      </c>
      <c r="F197" t="s">
        <v>67</v>
      </c>
      <c r="G197" t="str">
        <f t="shared" si="6"/>
        <v>30023FRUTTETO</v>
      </c>
      <c r="H197">
        <v>7768</v>
      </c>
      <c r="I197">
        <v>6960</v>
      </c>
      <c r="J197">
        <f t="shared" si="7"/>
        <v>-0.11609195402298851</v>
      </c>
    </row>
    <row r="198" spans="1:10">
      <c r="A198">
        <v>2026</v>
      </c>
      <c r="B198">
        <v>30</v>
      </c>
      <c r="C198" t="s">
        <v>32</v>
      </c>
      <c r="D198" t="s">
        <v>9</v>
      </c>
      <c r="E198" t="s">
        <v>103</v>
      </c>
      <c r="F198" t="s">
        <v>44</v>
      </c>
      <c r="G198" t="str">
        <f t="shared" si="6"/>
        <v>30024COTOPAXI</v>
      </c>
      <c r="H198">
        <v>3298</v>
      </c>
      <c r="I198">
        <v>4440</v>
      </c>
      <c r="J198">
        <f t="shared" si="7"/>
        <v>0.25720720720720719</v>
      </c>
    </row>
    <row r="199" spans="1:10">
      <c r="A199">
        <v>2026</v>
      </c>
      <c r="B199">
        <v>30</v>
      </c>
      <c r="C199" t="s">
        <v>32</v>
      </c>
      <c r="D199" t="s">
        <v>9</v>
      </c>
      <c r="E199" t="s">
        <v>103</v>
      </c>
      <c r="F199" t="s">
        <v>39</v>
      </c>
      <c r="G199" t="str">
        <f t="shared" si="6"/>
        <v>30024SWEETNESS</v>
      </c>
      <c r="H199">
        <v>1597</v>
      </c>
      <c r="I199">
        <v>2220</v>
      </c>
      <c r="J199">
        <f t="shared" si="7"/>
        <v>0.28063063063063065</v>
      </c>
    </row>
    <row r="200" spans="1:10">
      <c r="A200">
        <v>2026</v>
      </c>
      <c r="B200">
        <v>30</v>
      </c>
      <c r="C200" t="s">
        <v>32</v>
      </c>
      <c r="D200" t="s">
        <v>9</v>
      </c>
      <c r="E200" t="s">
        <v>103</v>
      </c>
      <c r="F200" t="s">
        <v>64</v>
      </c>
      <c r="G200" t="str">
        <f t="shared" si="6"/>
        <v>30024TYCOON</v>
      </c>
      <c r="H200">
        <v>3702</v>
      </c>
      <c r="I200">
        <v>5070</v>
      </c>
      <c r="J200">
        <f t="shared" si="7"/>
        <v>0.26982248520710062</v>
      </c>
    </row>
    <row r="201" spans="1:10">
      <c r="A201">
        <v>2026</v>
      </c>
      <c r="B201">
        <v>30</v>
      </c>
      <c r="C201" t="s">
        <v>32</v>
      </c>
      <c r="D201" t="s">
        <v>9</v>
      </c>
      <c r="E201" t="s">
        <v>104</v>
      </c>
      <c r="F201" t="s">
        <v>68</v>
      </c>
      <c r="G201" t="str">
        <f t="shared" si="6"/>
        <v>30025PINK MONDIAL</v>
      </c>
      <c r="H201">
        <v>5559</v>
      </c>
      <c r="I201">
        <v>7400</v>
      </c>
      <c r="J201">
        <f t="shared" si="7"/>
        <v>0.2487837837837838</v>
      </c>
    </row>
    <row r="202" spans="1:10">
      <c r="A202">
        <v>2026</v>
      </c>
      <c r="B202">
        <v>30</v>
      </c>
      <c r="C202" t="s">
        <v>32</v>
      </c>
      <c r="D202" t="s">
        <v>9</v>
      </c>
      <c r="E202" t="s">
        <v>105</v>
      </c>
      <c r="F202" t="s">
        <v>69</v>
      </c>
      <c r="G202" t="str">
        <f t="shared" si="6"/>
        <v>30026LOLA</v>
      </c>
      <c r="H202">
        <v>5801</v>
      </c>
      <c r="I202">
        <v>3400</v>
      </c>
      <c r="J202">
        <f t="shared" si="7"/>
        <v>-0.70617647058823529</v>
      </c>
    </row>
    <row r="203" spans="1:10">
      <c r="A203">
        <v>2026</v>
      </c>
      <c r="B203">
        <v>30</v>
      </c>
      <c r="C203" t="s">
        <v>32</v>
      </c>
      <c r="D203" t="s">
        <v>9</v>
      </c>
      <c r="E203" t="s">
        <v>105</v>
      </c>
      <c r="F203" t="s">
        <v>70</v>
      </c>
      <c r="G203" t="str">
        <f t="shared" si="6"/>
        <v>30026PALOMA</v>
      </c>
      <c r="H203">
        <v>6611</v>
      </c>
      <c r="I203">
        <v>4675</v>
      </c>
      <c r="J203">
        <f t="shared" si="7"/>
        <v>-0.41411764705882353</v>
      </c>
    </row>
    <row r="204" spans="1:10">
      <c r="A204">
        <v>2026</v>
      </c>
      <c r="B204">
        <v>30</v>
      </c>
      <c r="C204" t="s">
        <v>32</v>
      </c>
      <c r="D204" t="s">
        <v>9</v>
      </c>
      <c r="E204" t="s">
        <v>106</v>
      </c>
      <c r="F204" t="s">
        <v>71</v>
      </c>
      <c r="G204" t="str">
        <f t="shared" si="6"/>
        <v>30027SATISFACTION</v>
      </c>
      <c r="H204">
        <v>4545</v>
      </c>
      <c r="I204">
        <v>7230</v>
      </c>
      <c r="J204">
        <f t="shared" si="7"/>
        <v>0.37136929460580914</v>
      </c>
    </row>
    <row r="205" spans="1:10">
      <c r="A205">
        <v>2026</v>
      </c>
      <c r="B205">
        <v>30</v>
      </c>
      <c r="C205" t="s">
        <v>32</v>
      </c>
      <c r="D205" t="s">
        <v>9</v>
      </c>
      <c r="E205" t="s">
        <v>106</v>
      </c>
      <c r="F205" t="s">
        <v>72</v>
      </c>
      <c r="G205" t="str">
        <f t="shared" si="6"/>
        <v>30027TIFFANY</v>
      </c>
      <c r="H205">
        <v>3983</v>
      </c>
      <c r="I205">
        <v>6360</v>
      </c>
      <c r="J205">
        <f t="shared" si="7"/>
        <v>0.37374213836477987</v>
      </c>
    </row>
    <row r="206" spans="1:10">
      <c r="A206">
        <v>2026</v>
      </c>
      <c r="B206">
        <v>30</v>
      </c>
      <c r="C206" t="s">
        <v>32</v>
      </c>
      <c r="D206" t="s">
        <v>9</v>
      </c>
      <c r="E206" t="s">
        <v>107</v>
      </c>
      <c r="F206" t="s">
        <v>44</v>
      </c>
      <c r="G206" t="str">
        <f t="shared" si="6"/>
        <v>30028COTOPAXI</v>
      </c>
      <c r="H206">
        <v>3475</v>
      </c>
      <c r="I206">
        <v>5010</v>
      </c>
      <c r="J206">
        <f t="shared" si="7"/>
        <v>0.30638722554890219</v>
      </c>
    </row>
    <row r="207" spans="1:10">
      <c r="A207">
        <v>2026</v>
      </c>
      <c r="B207">
        <v>30</v>
      </c>
      <c r="C207" t="s">
        <v>32</v>
      </c>
      <c r="D207" t="s">
        <v>9</v>
      </c>
      <c r="E207" t="s">
        <v>107</v>
      </c>
      <c r="F207" t="s">
        <v>41</v>
      </c>
      <c r="G207" t="str">
        <f t="shared" si="6"/>
        <v>30028DEEP PURPLE</v>
      </c>
      <c r="H207">
        <v>9828</v>
      </c>
      <c r="I207">
        <v>7260</v>
      </c>
      <c r="J207">
        <f t="shared" si="7"/>
        <v>-0.35371900826446279</v>
      </c>
    </row>
    <row r="208" spans="1:10">
      <c r="A208">
        <v>2026</v>
      </c>
      <c r="B208">
        <v>30</v>
      </c>
      <c r="C208" t="s">
        <v>32</v>
      </c>
      <c r="D208" t="s">
        <v>9</v>
      </c>
      <c r="E208" t="s">
        <v>108</v>
      </c>
      <c r="F208" t="s">
        <v>73</v>
      </c>
      <c r="G208" t="str">
        <f t="shared" si="6"/>
        <v>30029PINK FLOYD</v>
      </c>
      <c r="H208">
        <v>4743</v>
      </c>
      <c r="I208">
        <v>4350</v>
      </c>
      <c r="J208">
        <f t="shared" si="7"/>
        <v>-9.0344827586206891E-2</v>
      </c>
    </row>
    <row r="209" spans="1:10">
      <c r="A209">
        <v>2026</v>
      </c>
      <c r="B209">
        <v>30</v>
      </c>
      <c r="C209" t="s">
        <v>32</v>
      </c>
      <c r="D209" t="s">
        <v>9</v>
      </c>
      <c r="E209" t="s">
        <v>90</v>
      </c>
      <c r="F209" t="s">
        <v>34</v>
      </c>
      <c r="G209" t="str">
        <f t="shared" si="6"/>
        <v>30030EXPLORER</v>
      </c>
      <c r="H209">
        <v>2228</v>
      </c>
      <c r="I209">
        <v>2600</v>
      </c>
      <c r="J209">
        <f t="shared" si="7"/>
        <v>0.14307692307692307</v>
      </c>
    </row>
    <row r="210" spans="1:10">
      <c r="A210">
        <v>2026</v>
      </c>
      <c r="B210">
        <v>31</v>
      </c>
      <c r="C210" t="s">
        <v>8</v>
      </c>
      <c r="D210" t="s">
        <v>9</v>
      </c>
      <c r="E210" t="s">
        <v>76</v>
      </c>
      <c r="F210" t="s">
        <v>10</v>
      </c>
      <c r="G210" t="str">
        <f t="shared" si="6"/>
        <v>31002SOMERSET</v>
      </c>
      <c r="H210">
        <v>11506</v>
      </c>
      <c r="I210">
        <v>8440</v>
      </c>
      <c r="J210">
        <f t="shared" si="7"/>
        <v>-0.36327014218009479</v>
      </c>
    </row>
    <row r="211" spans="1:10">
      <c r="A211">
        <v>2026</v>
      </c>
      <c r="B211">
        <v>31</v>
      </c>
      <c r="C211" t="s">
        <v>8</v>
      </c>
      <c r="D211" t="s">
        <v>9</v>
      </c>
      <c r="E211" t="s">
        <v>77</v>
      </c>
      <c r="F211" t="s">
        <v>11</v>
      </c>
      <c r="G211" t="str">
        <f t="shared" si="6"/>
        <v>31004BELLINA</v>
      </c>
      <c r="H211">
        <v>2220</v>
      </c>
      <c r="I211">
        <v>1965</v>
      </c>
      <c r="J211">
        <f t="shared" si="7"/>
        <v>-0.12977099236641221</v>
      </c>
    </row>
    <row r="212" spans="1:10">
      <c r="A212">
        <v>2026</v>
      </c>
      <c r="B212">
        <v>31</v>
      </c>
      <c r="C212" t="s">
        <v>8</v>
      </c>
      <c r="D212" t="s">
        <v>9</v>
      </c>
      <c r="E212" t="s">
        <v>78</v>
      </c>
      <c r="F212" t="s">
        <v>12</v>
      </c>
      <c r="G212" t="str">
        <f t="shared" si="6"/>
        <v>31005ELBA</v>
      </c>
      <c r="H212">
        <v>8629</v>
      </c>
      <c r="I212">
        <v>5700</v>
      </c>
      <c r="J212">
        <f t="shared" si="7"/>
        <v>-0.51385964912280702</v>
      </c>
    </row>
    <row r="213" spans="1:10">
      <c r="A213">
        <v>2026</v>
      </c>
      <c r="B213">
        <v>31</v>
      </c>
      <c r="C213" t="s">
        <v>8</v>
      </c>
      <c r="D213" t="s">
        <v>9</v>
      </c>
      <c r="E213" t="s">
        <v>78</v>
      </c>
      <c r="F213" t="s">
        <v>13</v>
      </c>
      <c r="G213" t="str">
        <f t="shared" si="6"/>
        <v>31005HOT BUBBLES</v>
      </c>
      <c r="H213">
        <v>1241</v>
      </c>
      <c r="I213">
        <v>1080</v>
      </c>
      <c r="J213">
        <f t="shared" si="7"/>
        <v>-0.14907407407407408</v>
      </c>
    </row>
    <row r="214" spans="1:10">
      <c r="A214">
        <v>2026</v>
      </c>
      <c r="B214">
        <v>31</v>
      </c>
      <c r="C214" t="s">
        <v>8</v>
      </c>
      <c r="D214" t="s">
        <v>9</v>
      </c>
      <c r="E214" t="s">
        <v>78</v>
      </c>
      <c r="F214" t="s">
        <v>14</v>
      </c>
      <c r="G214" t="str">
        <f t="shared" si="6"/>
        <v>31005SUSPIRO</v>
      </c>
      <c r="H214">
        <v>3543</v>
      </c>
      <c r="I214">
        <v>3090</v>
      </c>
      <c r="J214">
        <f t="shared" si="7"/>
        <v>-0.14660194174757282</v>
      </c>
    </row>
    <row r="215" spans="1:10">
      <c r="A215">
        <v>2026</v>
      </c>
      <c r="B215">
        <v>31</v>
      </c>
      <c r="C215" t="s">
        <v>8</v>
      </c>
      <c r="D215" t="s">
        <v>9</v>
      </c>
      <c r="E215" t="s">
        <v>79</v>
      </c>
      <c r="F215" t="s">
        <v>15</v>
      </c>
      <c r="G215" t="str">
        <f t="shared" si="6"/>
        <v>31007SNOW BUBBLES</v>
      </c>
      <c r="H215">
        <v>1261</v>
      </c>
      <c r="I215">
        <v>1580</v>
      </c>
      <c r="J215">
        <f t="shared" si="7"/>
        <v>0.20189873417721518</v>
      </c>
    </row>
    <row r="216" spans="1:10">
      <c r="A216">
        <v>2026</v>
      </c>
      <c r="B216">
        <v>31</v>
      </c>
      <c r="C216" t="s">
        <v>8</v>
      </c>
      <c r="D216" t="s">
        <v>9</v>
      </c>
      <c r="E216" t="s">
        <v>80</v>
      </c>
      <c r="F216" t="s">
        <v>13</v>
      </c>
      <c r="G216" t="str">
        <f t="shared" si="6"/>
        <v>31009HOT BUBBLES</v>
      </c>
      <c r="H216">
        <v>9606</v>
      </c>
      <c r="I216">
        <v>7400</v>
      </c>
      <c r="J216">
        <f t="shared" si="7"/>
        <v>-0.29810810810810812</v>
      </c>
    </row>
    <row r="217" spans="1:10">
      <c r="A217">
        <v>2026</v>
      </c>
      <c r="B217">
        <v>31</v>
      </c>
      <c r="C217" t="s">
        <v>8</v>
      </c>
      <c r="D217" t="s">
        <v>9</v>
      </c>
      <c r="E217" t="s">
        <v>81</v>
      </c>
      <c r="F217" t="s">
        <v>16</v>
      </c>
      <c r="G217" t="str">
        <f t="shared" si="6"/>
        <v>31014FRUITY BUBBLES</v>
      </c>
      <c r="H217">
        <v>3687</v>
      </c>
      <c r="I217">
        <v>4425</v>
      </c>
      <c r="J217">
        <f t="shared" si="7"/>
        <v>0.16677966101694916</v>
      </c>
    </row>
    <row r="218" spans="1:10">
      <c r="A218">
        <v>2026</v>
      </c>
      <c r="B218">
        <v>31</v>
      </c>
      <c r="C218" t="s">
        <v>8</v>
      </c>
      <c r="D218" t="s">
        <v>9</v>
      </c>
      <c r="E218" t="s">
        <v>82</v>
      </c>
      <c r="F218" t="s">
        <v>17</v>
      </c>
      <c r="G218" t="str">
        <f t="shared" si="6"/>
        <v>31015FELLINI</v>
      </c>
      <c r="H218">
        <v>7005</v>
      </c>
      <c r="I218">
        <v>7680</v>
      </c>
      <c r="J218">
        <f t="shared" si="7"/>
        <v>8.7890625E-2</v>
      </c>
    </row>
    <row r="219" spans="1:10">
      <c r="A219">
        <v>2026</v>
      </c>
      <c r="B219">
        <v>31</v>
      </c>
      <c r="C219" t="s">
        <v>8</v>
      </c>
      <c r="D219" t="s">
        <v>9</v>
      </c>
      <c r="E219" t="s">
        <v>83</v>
      </c>
      <c r="F219" t="s">
        <v>18</v>
      </c>
      <c r="G219" t="str">
        <f t="shared" si="6"/>
        <v>31016GOOD PEACH</v>
      </c>
      <c r="H219">
        <v>2694</v>
      </c>
      <c r="I219">
        <v>3360</v>
      </c>
      <c r="J219">
        <f t="shared" si="7"/>
        <v>0.1982142857142857</v>
      </c>
    </row>
    <row r="220" spans="1:10">
      <c r="A220">
        <v>2026</v>
      </c>
      <c r="B220">
        <v>31</v>
      </c>
      <c r="C220" t="s">
        <v>8</v>
      </c>
      <c r="D220" t="s">
        <v>9</v>
      </c>
      <c r="E220" t="s">
        <v>83</v>
      </c>
      <c r="F220" t="s">
        <v>19</v>
      </c>
      <c r="G220" t="str">
        <f t="shared" si="6"/>
        <v>31016GOOD YELLOW</v>
      </c>
      <c r="H220">
        <v>3063</v>
      </c>
      <c r="I220">
        <v>4680</v>
      </c>
      <c r="J220">
        <f t="shared" si="7"/>
        <v>0.34551282051282051</v>
      </c>
    </row>
    <row r="221" spans="1:10">
      <c r="A221">
        <v>2026</v>
      </c>
      <c r="B221">
        <v>31</v>
      </c>
      <c r="C221" t="s">
        <v>8</v>
      </c>
      <c r="D221" t="s">
        <v>9</v>
      </c>
      <c r="E221" t="s">
        <v>84</v>
      </c>
      <c r="F221" t="s">
        <v>20</v>
      </c>
      <c r="G221" t="str">
        <f t="shared" si="6"/>
        <v>31017ORANGE STAR</v>
      </c>
      <c r="H221">
        <v>2200</v>
      </c>
      <c r="I221">
        <v>1800</v>
      </c>
      <c r="J221">
        <f t="shared" si="7"/>
        <v>-0.22222222222222221</v>
      </c>
    </row>
    <row r="222" spans="1:10">
      <c r="A222">
        <v>2026</v>
      </c>
      <c r="B222">
        <v>31</v>
      </c>
      <c r="C222" t="s">
        <v>8</v>
      </c>
      <c r="D222" t="s">
        <v>9</v>
      </c>
      <c r="E222" t="s">
        <v>85</v>
      </c>
      <c r="F222" t="s">
        <v>21</v>
      </c>
      <c r="G222" t="str">
        <f t="shared" si="6"/>
        <v>31018COSMO</v>
      </c>
      <c r="H222">
        <v>5336</v>
      </c>
      <c r="I222">
        <v>5275</v>
      </c>
      <c r="J222">
        <f t="shared" si="7"/>
        <v>-1.1563981042654029E-2</v>
      </c>
    </row>
    <row r="223" spans="1:10">
      <c r="A223">
        <v>2026</v>
      </c>
      <c r="B223">
        <v>31</v>
      </c>
      <c r="C223" t="s">
        <v>8</v>
      </c>
      <c r="D223" t="s">
        <v>9</v>
      </c>
      <c r="E223" t="s">
        <v>85</v>
      </c>
      <c r="F223" t="s">
        <v>22</v>
      </c>
      <c r="G223" t="str">
        <f t="shared" si="6"/>
        <v>31018RUBICON</v>
      </c>
      <c r="H223">
        <v>4843</v>
      </c>
      <c r="I223">
        <v>3540</v>
      </c>
      <c r="J223">
        <f t="shared" si="7"/>
        <v>-0.36807909604519773</v>
      </c>
    </row>
    <row r="224" spans="1:10">
      <c r="A224">
        <v>2026</v>
      </c>
      <c r="B224">
        <v>31</v>
      </c>
      <c r="C224" t="s">
        <v>8</v>
      </c>
      <c r="D224" t="s">
        <v>9</v>
      </c>
      <c r="E224" t="s">
        <v>86</v>
      </c>
      <c r="F224" t="s">
        <v>11</v>
      </c>
      <c r="G224" t="str">
        <f t="shared" si="6"/>
        <v>31019BELLINA</v>
      </c>
      <c r="H224">
        <v>2410</v>
      </c>
      <c r="I224">
        <v>1740</v>
      </c>
      <c r="J224">
        <f t="shared" si="7"/>
        <v>-0.38505747126436779</v>
      </c>
    </row>
    <row r="225" spans="1:10">
      <c r="A225">
        <v>2026</v>
      </c>
      <c r="B225">
        <v>31</v>
      </c>
      <c r="C225" t="s">
        <v>8</v>
      </c>
      <c r="D225" t="s">
        <v>9</v>
      </c>
      <c r="E225" t="s">
        <v>87</v>
      </c>
      <c r="F225" t="s">
        <v>23</v>
      </c>
      <c r="G225" t="str">
        <f t="shared" si="6"/>
        <v>31020SUMMER DANCE</v>
      </c>
      <c r="H225">
        <v>4118</v>
      </c>
      <c r="I225">
        <v>3675</v>
      </c>
      <c r="J225">
        <f t="shared" si="7"/>
        <v>-0.12054421768707484</v>
      </c>
    </row>
    <row r="226" spans="1:10">
      <c r="A226">
        <v>2026</v>
      </c>
      <c r="B226">
        <v>31</v>
      </c>
      <c r="C226" t="s">
        <v>8</v>
      </c>
      <c r="D226" t="s">
        <v>9</v>
      </c>
      <c r="E226" t="s">
        <v>88</v>
      </c>
      <c r="F226" t="s">
        <v>24</v>
      </c>
      <c r="G226" t="str">
        <f t="shared" si="6"/>
        <v>31021ELEGANT ROSEVER</v>
      </c>
      <c r="H226">
        <v>720</v>
      </c>
      <c r="I226">
        <v>540</v>
      </c>
      <c r="J226">
        <f t="shared" si="7"/>
        <v>-0.33333333333333331</v>
      </c>
    </row>
    <row r="227" spans="1:10">
      <c r="A227">
        <v>2026</v>
      </c>
      <c r="B227">
        <v>31</v>
      </c>
      <c r="C227" t="s">
        <v>8</v>
      </c>
      <c r="D227" t="s">
        <v>9</v>
      </c>
      <c r="E227" t="s">
        <v>88</v>
      </c>
      <c r="F227" t="s">
        <v>25</v>
      </c>
      <c r="G227" t="str">
        <f t="shared" si="6"/>
        <v>31021FLAME CLUB</v>
      </c>
      <c r="H227">
        <v>1909</v>
      </c>
      <c r="I227">
        <v>1450</v>
      </c>
      <c r="J227">
        <f t="shared" si="7"/>
        <v>-0.31655172413793103</v>
      </c>
    </row>
    <row r="228" spans="1:10">
      <c r="A228">
        <v>2026</v>
      </c>
      <c r="B228">
        <v>31</v>
      </c>
      <c r="C228" t="s">
        <v>8</v>
      </c>
      <c r="D228" t="s">
        <v>9</v>
      </c>
      <c r="E228" t="s">
        <v>88</v>
      </c>
      <c r="F228" t="s">
        <v>26</v>
      </c>
      <c r="G228" t="str">
        <f t="shared" si="6"/>
        <v>31021KELLY</v>
      </c>
      <c r="H228">
        <v>702</v>
      </c>
      <c r="I228">
        <v>450</v>
      </c>
      <c r="J228">
        <f t="shared" si="7"/>
        <v>-0.56000000000000005</v>
      </c>
    </row>
    <row r="229" spans="1:10">
      <c r="A229">
        <v>2026</v>
      </c>
      <c r="B229">
        <v>31</v>
      </c>
      <c r="C229" t="s">
        <v>8</v>
      </c>
      <c r="D229" t="s">
        <v>9</v>
      </c>
      <c r="E229" t="s">
        <v>88</v>
      </c>
      <c r="F229" t="s">
        <v>27</v>
      </c>
      <c r="G229" t="str">
        <f t="shared" si="6"/>
        <v>31021LEILA</v>
      </c>
      <c r="H229">
        <v>2458</v>
      </c>
      <c r="I229">
        <v>700</v>
      </c>
      <c r="J229">
        <f t="shared" si="7"/>
        <v>-2.5114285714285716</v>
      </c>
    </row>
    <row r="230" spans="1:10">
      <c r="A230">
        <v>2026</v>
      </c>
      <c r="B230">
        <v>31</v>
      </c>
      <c r="C230" t="s">
        <v>8</v>
      </c>
      <c r="D230" t="s">
        <v>9</v>
      </c>
      <c r="E230" t="s">
        <v>88</v>
      </c>
      <c r="F230" t="s">
        <v>15</v>
      </c>
      <c r="G230" t="str">
        <f t="shared" si="6"/>
        <v>31021SNOW BUBBLES</v>
      </c>
      <c r="H230">
        <v>3175</v>
      </c>
      <c r="I230">
        <v>2440</v>
      </c>
      <c r="J230">
        <f t="shared" si="7"/>
        <v>-0.30122950819672129</v>
      </c>
    </row>
    <row r="231" spans="1:10">
      <c r="A231">
        <v>2026</v>
      </c>
      <c r="B231">
        <v>31</v>
      </c>
      <c r="C231" t="s">
        <v>8</v>
      </c>
      <c r="D231" t="s">
        <v>9</v>
      </c>
      <c r="E231" t="s">
        <v>89</v>
      </c>
      <c r="F231" t="s">
        <v>16</v>
      </c>
      <c r="G231" t="str">
        <f t="shared" si="6"/>
        <v>31022FRUITY BUBBLES</v>
      </c>
      <c r="H231">
        <v>5366</v>
      </c>
      <c r="I231">
        <v>4650</v>
      </c>
      <c r="J231">
        <f t="shared" si="7"/>
        <v>-0.15397849462365593</v>
      </c>
    </row>
    <row r="232" spans="1:10">
      <c r="A232">
        <v>2026</v>
      </c>
      <c r="B232">
        <v>31</v>
      </c>
      <c r="C232" t="s">
        <v>8</v>
      </c>
      <c r="D232" t="s">
        <v>9</v>
      </c>
      <c r="E232" t="s">
        <v>89</v>
      </c>
      <c r="F232" t="s">
        <v>18</v>
      </c>
      <c r="G232" t="str">
        <f t="shared" si="6"/>
        <v>31022GOOD PEACH</v>
      </c>
      <c r="H232">
        <v>1920</v>
      </c>
      <c r="I232">
        <v>2070</v>
      </c>
      <c r="J232">
        <f t="shared" si="7"/>
        <v>7.2463768115942032E-2</v>
      </c>
    </row>
    <row r="233" spans="1:10">
      <c r="A233">
        <v>2026</v>
      </c>
      <c r="B233">
        <v>31</v>
      </c>
      <c r="C233" t="s">
        <v>8</v>
      </c>
      <c r="D233" t="s">
        <v>9</v>
      </c>
      <c r="E233" t="s">
        <v>89</v>
      </c>
      <c r="F233" t="s">
        <v>28</v>
      </c>
      <c r="G233" t="str">
        <f t="shared" si="6"/>
        <v>31022MIRABEL</v>
      </c>
      <c r="H233">
        <v>1399</v>
      </c>
      <c r="I233">
        <v>2180</v>
      </c>
      <c r="J233">
        <f t="shared" si="7"/>
        <v>0.35825688073394496</v>
      </c>
    </row>
    <row r="234" spans="1:10">
      <c r="A234">
        <v>2026</v>
      </c>
      <c r="B234">
        <v>31</v>
      </c>
      <c r="C234" t="s">
        <v>8</v>
      </c>
      <c r="D234" t="s">
        <v>9</v>
      </c>
      <c r="E234" t="s">
        <v>90</v>
      </c>
      <c r="F234" t="s">
        <v>28</v>
      </c>
      <c r="G234" t="str">
        <f t="shared" si="6"/>
        <v>31030MIRABEL</v>
      </c>
      <c r="H234">
        <v>3739</v>
      </c>
      <c r="I234">
        <v>4980</v>
      </c>
      <c r="J234">
        <f t="shared" si="7"/>
        <v>0.24919678714859439</v>
      </c>
    </row>
    <row r="235" spans="1:10">
      <c r="A235">
        <v>2026</v>
      </c>
      <c r="B235">
        <v>31</v>
      </c>
      <c r="C235" t="s">
        <v>8</v>
      </c>
      <c r="D235" t="s">
        <v>9</v>
      </c>
      <c r="E235" t="s">
        <v>90</v>
      </c>
      <c r="F235" t="s">
        <v>10</v>
      </c>
      <c r="G235" t="str">
        <f t="shared" si="6"/>
        <v>31030SOMERSET</v>
      </c>
      <c r="H235">
        <v>4362</v>
      </c>
      <c r="I235">
        <v>4000</v>
      </c>
      <c r="J235">
        <f t="shared" si="7"/>
        <v>-9.0499999999999997E-2</v>
      </c>
    </row>
    <row r="236" spans="1:10">
      <c r="A236">
        <v>2026</v>
      </c>
      <c r="B236">
        <v>31</v>
      </c>
      <c r="C236" t="s">
        <v>8</v>
      </c>
      <c r="D236" t="s">
        <v>9</v>
      </c>
      <c r="E236" t="s">
        <v>91</v>
      </c>
      <c r="F236" t="s">
        <v>29</v>
      </c>
      <c r="G236" t="str">
        <f t="shared" si="6"/>
        <v>3103182989</v>
      </c>
      <c r="H236">
        <v>1217</v>
      </c>
      <c r="I236">
        <v>780</v>
      </c>
      <c r="J236">
        <f t="shared" si="7"/>
        <v>-0.56025641025641026</v>
      </c>
    </row>
    <row r="237" spans="1:10">
      <c r="A237">
        <v>2026</v>
      </c>
      <c r="B237">
        <v>31</v>
      </c>
      <c r="C237" t="s">
        <v>8</v>
      </c>
      <c r="D237" t="s">
        <v>9</v>
      </c>
      <c r="E237" t="s">
        <v>91</v>
      </c>
      <c r="F237" t="s">
        <v>22</v>
      </c>
      <c r="G237" t="str">
        <f t="shared" si="6"/>
        <v>31031RUBICON</v>
      </c>
      <c r="H237">
        <v>2584</v>
      </c>
      <c r="I237">
        <v>2700</v>
      </c>
      <c r="J237">
        <f t="shared" si="7"/>
        <v>4.296296296296296E-2</v>
      </c>
    </row>
    <row r="238" spans="1:10">
      <c r="A238">
        <v>2026</v>
      </c>
      <c r="B238">
        <v>31</v>
      </c>
      <c r="C238" t="s">
        <v>8</v>
      </c>
      <c r="D238" t="s">
        <v>9</v>
      </c>
      <c r="E238" t="s">
        <v>91</v>
      </c>
      <c r="F238" t="s">
        <v>10</v>
      </c>
      <c r="G238" t="str">
        <f t="shared" si="6"/>
        <v>31031SOMERSET</v>
      </c>
      <c r="H238">
        <v>2313</v>
      </c>
      <c r="I238">
        <v>960</v>
      </c>
      <c r="J238">
        <f t="shared" si="7"/>
        <v>-1.409375</v>
      </c>
    </row>
    <row r="239" spans="1:10">
      <c r="A239">
        <v>2026</v>
      </c>
      <c r="B239">
        <v>31</v>
      </c>
      <c r="C239" t="s">
        <v>8</v>
      </c>
      <c r="D239" t="s">
        <v>9</v>
      </c>
      <c r="E239" t="s">
        <v>91</v>
      </c>
      <c r="F239" t="s">
        <v>30</v>
      </c>
      <c r="G239" t="str">
        <f t="shared" si="6"/>
        <v>31031VELVET BLOSSOMS</v>
      </c>
      <c r="H239">
        <v>337</v>
      </c>
      <c r="I239">
        <v>760</v>
      </c>
      <c r="J239">
        <f t="shared" si="7"/>
        <v>0.55657894736842106</v>
      </c>
    </row>
    <row r="240" spans="1:10">
      <c r="A240">
        <v>2026</v>
      </c>
      <c r="B240">
        <v>31</v>
      </c>
      <c r="C240" t="s">
        <v>8</v>
      </c>
      <c r="D240" t="s">
        <v>9</v>
      </c>
      <c r="E240" t="s">
        <v>92</v>
      </c>
      <c r="F240" t="s">
        <v>12</v>
      </c>
      <c r="G240" t="str">
        <f t="shared" si="6"/>
        <v>31032ELBA</v>
      </c>
      <c r="H240">
        <v>3454</v>
      </c>
      <c r="I240">
        <v>3090</v>
      </c>
      <c r="J240">
        <f t="shared" si="7"/>
        <v>-0.11779935275080906</v>
      </c>
    </row>
    <row r="241" spans="1:10">
      <c r="A241">
        <v>2026</v>
      </c>
      <c r="B241">
        <v>31</v>
      </c>
      <c r="C241" t="s">
        <v>8</v>
      </c>
      <c r="D241" t="s">
        <v>9</v>
      </c>
      <c r="E241" t="s">
        <v>92</v>
      </c>
      <c r="F241" t="s">
        <v>28</v>
      </c>
      <c r="G241" t="str">
        <f t="shared" si="6"/>
        <v>31032MIRABEL</v>
      </c>
      <c r="H241">
        <v>1948</v>
      </c>
      <c r="I241">
        <v>1880</v>
      </c>
      <c r="J241">
        <f t="shared" si="7"/>
        <v>-3.6170212765957444E-2</v>
      </c>
    </row>
    <row r="242" spans="1:10">
      <c r="A242">
        <v>2026</v>
      </c>
      <c r="B242">
        <v>31</v>
      </c>
      <c r="C242" t="s">
        <v>8</v>
      </c>
      <c r="D242" t="s">
        <v>9</v>
      </c>
      <c r="E242" t="s">
        <v>93</v>
      </c>
      <c r="F242" t="s">
        <v>31</v>
      </c>
      <c r="G242" t="str">
        <f t="shared" si="6"/>
        <v>31033CREAMY FOLIES</v>
      </c>
      <c r="H242">
        <v>1146</v>
      </c>
      <c r="I242">
        <v>780</v>
      </c>
      <c r="J242">
        <f t="shared" si="7"/>
        <v>-0.46923076923076923</v>
      </c>
    </row>
    <row r="243" spans="1:10">
      <c r="A243">
        <v>2026</v>
      </c>
      <c r="B243">
        <v>31</v>
      </c>
      <c r="C243" t="s">
        <v>8</v>
      </c>
      <c r="D243" t="s">
        <v>9</v>
      </c>
      <c r="E243" t="s">
        <v>93</v>
      </c>
      <c r="F243" t="s">
        <v>13</v>
      </c>
      <c r="G243" t="str">
        <f t="shared" si="6"/>
        <v>31033HOT BUBBLES</v>
      </c>
      <c r="H243">
        <v>3166</v>
      </c>
      <c r="I243">
        <v>5780</v>
      </c>
      <c r="J243">
        <f t="shared" si="7"/>
        <v>0.45224913494809688</v>
      </c>
    </row>
    <row r="244" spans="1:10">
      <c r="A244">
        <v>2026</v>
      </c>
      <c r="B244">
        <v>31</v>
      </c>
      <c r="C244" t="s">
        <v>32</v>
      </c>
      <c r="D244" t="s">
        <v>9</v>
      </c>
      <c r="E244" t="s">
        <v>94</v>
      </c>
      <c r="F244" t="s">
        <v>33</v>
      </c>
      <c r="G244" t="str">
        <f t="shared" si="6"/>
        <v>31001BELIEVE IN PINK</v>
      </c>
      <c r="H244">
        <v>1596</v>
      </c>
      <c r="I244">
        <v>1350</v>
      </c>
      <c r="J244">
        <f t="shared" si="7"/>
        <v>-0.18222222222222223</v>
      </c>
    </row>
    <row r="245" spans="1:10">
      <c r="A245">
        <v>2026</v>
      </c>
      <c r="B245">
        <v>31</v>
      </c>
      <c r="C245" t="s">
        <v>32</v>
      </c>
      <c r="D245" t="s">
        <v>9</v>
      </c>
      <c r="E245" t="s">
        <v>94</v>
      </c>
      <c r="F245" t="s">
        <v>34</v>
      </c>
      <c r="G245" t="str">
        <f t="shared" si="6"/>
        <v>31001EXPLORER</v>
      </c>
      <c r="H245">
        <v>4201</v>
      </c>
      <c r="I245">
        <v>4000</v>
      </c>
      <c r="J245">
        <f t="shared" si="7"/>
        <v>-5.0250000000000003E-2</v>
      </c>
    </row>
    <row r="246" spans="1:10">
      <c r="A246">
        <v>2026</v>
      </c>
      <c r="B246">
        <v>31</v>
      </c>
      <c r="C246" t="s">
        <v>32</v>
      </c>
      <c r="D246" t="s">
        <v>9</v>
      </c>
      <c r="E246" t="s">
        <v>94</v>
      </c>
      <c r="F246" t="s">
        <v>35</v>
      </c>
      <c r="G246" t="str">
        <f t="shared" si="6"/>
        <v>31001GRACE KELLY</v>
      </c>
      <c r="H246">
        <v>2178</v>
      </c>
      <c r="I246">
        <v>2430</v>
      </c>
      <c r="J246">
        <f t="shared" si="7"/>
        <v>0.1037037037037037</v>
      </c>
    </row>
    <row r="247" spans="1:10">
      <c r="A247">
        <v>2026</v>
      </c>
      <c r="B247">
        <v>31</v>
      </c>
      <c r="C247" t="s">
        <v>32</v>
      </c>
      <c r="D247" t="s">
        <v>9</v>
      </c>
      <c r="E247" t="s">
        <v>94</v>
      </c>
      <c r="F247" t="s">
        <v>36</v>
      </c>
      <c r="G247" t="str">
        <f t="shared" si="6"/>
        <v>31001LIGHT HOUSE</v>
      </c>
      <c r="H247">
        <v>2275</v>
      </c>
      <c r="I247">
        <v>2850</v>
      </c>
      <c r="J247">
        <f t="shared" si="7"/>
        <v>0.20175438596491227</v>
      </c>
    </row>
    <row r="248" spans="1:10">
      <c r="A248">
        <v>2026</v>
      </c>
      <c r="B248">
        <v>31</v>
      </c>
      <c r="C248" t="s">
        <v>32</v>
      </c>
      <c r="D248" t="s">
        <v>9</v>
      </c>
      <c r="E248" t="s">
        <v>94</v>
      </c>
      <c r="F248" t="s">
        <v>37</v>
      </c>
      <c r="G248" t="str">
        <f t="shared" si="6"/>
        <v>31001LUMIA</v>
      </c>
      <c r="H248">
        <v>3178</v>
      </c>
      <c r="I248">
        <v>3300</v>
      </c>
      <c r="J248">
        <f t="shared" si="7"/>
        <v>3.6969696969696972E-2</v>
      </c>
    </row>
    <row r="249" spans="1:10">
      <c r="A249">
        <v>2026</v>
      </c>
      <c r="B249">
        <v>31</v>
      </c>
      <c r="C249" t="s">
        <v>32</v>
      </c>
      <c r="D249" t="s">
        <v>9</v>
      </c>
      <c r="E249" t="s">
        <v>94</v>
      </c>
      <c r="F249" t="s">
        <v>38</v>
      </c>
      <c r="G249" t="str">
        <f t="shared" si="6"/>
        <v>31001MOMENTUM</v>
      </c>
      <c r="H249">
        <v>4367</v>
      </c>
      <c r="I249">
        <v>5275</v>
      </c>
      <c r="J249">
        <f t="shared" si="7"/>
        <v>0.17213270142180095</v>
      </c>
    </row>
    <row r="250" spans="1:10">
      <c r="A250">
        <v>2026</v>
      </c>
      <c r="B250">
        <v>31</v>
      </c>
      <c r="C250" t="s">
        <v>32</v>
      </c>
      <c r="D250" t="s">
        <v>9</v>
      </c>
      <c r="E250" t="s">
        <v>76</v>
      </c>
      <c r="F250" t="s">
        <v>39</v>
      </c>
      <c r="G250" t="str">
        <f t="shared" si="6"/>
        <v>31002SWEETNESS</v>
      </c>
      <c r="H250">
        <v>7390</v>
      </c>
      <c r="I250">
        <v>6870</v>
      </c>
      <c r="J250">
        <f t="shared" si="7"/>
        <v>-7.5691411935953426E-2</v>
      </c>
    </row>
    <row r="251" spans="1:10">
      <c r="A251">
        <v>2026</v>
      </c>
      <c r="B251">
        <v>31</v>
      </c>
      <c r="C251" t="s">
        <v>32</v>
      </c>
      <c r="D251" t="s">
        <v>9</v>
      </c>
      <c r="E251" t="s">
        <v>95</v>
      </c>
      <c r="F251" t="s">
        <v>40</v>
      </c>
      <c r="G251" t="str">
        <f t="shared" si="6"/>
        <v>31003CABARET</v>
      </c>
      <c r="H251">
        <v>8155</v>
      </c>
      <c r="I251">
        <v>6870</v>
      </c>
      <c r="J251">
        <f t="shared" si="7"/>
        <v>-0.18704512372634644</v>
      </c>
    </row>
    <row r="252" spans="1:10">
      <c r="A252">
        <v>2026</v>
      </c>
      <c r="B252">
        <v>31</v>
      </c>
      <c r="C252" t="s">
        <v>32</v>
      </c>
      <c r="D252" t="s">
        <v>9</v>
      </c>
      <c r="E252" t="s">
        <v>95</v>
      </c>
      <c r="F252" t="s">
        <v>41</v>
      </c>
      <c r="G252" t="str">
        <f t="shared" si="6"/>
        <v>31003DEEP PURPLE</v>
      </c>
      <c r="H252">
        <v>15788</v>
      </c>
      <c r="I252">
        <v>8820</v>
      </c>
      <c r="J252">
        <f t="shared" si="7"/>
        <v>-0.7900226757369615</v>
      </c>
    </row>
    <row r="253" spans="1:10">
      <c r="A253">
        <v>2026</v>
      </c>
      <c r="B253">
        <v>31</v>
      </c>
      <c r="C253" t="s">
        <v>32</v>
      </c>
      <c r="D253" t="s">
        <v>9</v>
      </c>
      <c r="E253" t="s">
        <v>95</v>
      </c>
      <c r="F253" t="s">
        <v>34</v>
      </c>
      <c r="G253" t="str">
        <f t="shared" si="6"/>
        <v>31003EXPLORER</v>
      </c>
      <c r="H253">
        <v>2330</v>
      </c>
      <c r="I253">
        <v>2125</v>
      </c>
      <c r="J253">
        <f t="shared" si="7"/>
        <v>-9.6470588235294114E-2</v>
      </c>
    </row>
    <row r="254" spans="1:10">
      <c r="A254">
        <v>2026</v>
      </c>
      <c r="B254">
        <v>31</v>
      </c>
      <c r="C254" t="s">
        <v>32</v>
      </c>
      <c r="D254" t="s">
        <v>9</v>
      </c>
      <c r="E254" t="s">
        <v>95</v>
      </c>
      <c r="F254" t="s">
        <v>42</v>
      </c>
      <c r="G254" t="str">
        <f t="shared" si="6"/>
        <v>31003JOCKER</v>
      </c>
      <c r="H254">
        <v>1413</v>
      </c>
      <c r="I254">
        <v>1125</v>
      </c>
      <c r="J254">
        <f t="shared" si="7"/>
        <v>-0.25600000000000001</v>
      </c>
    </row>
    <row r="255" spans="1:10">
      <c r="A255">
        <v>2026</v>
      </c>
      <c r="B255">
        <v>31</v>
      </c>
      <c r="C255" t="s">
        <v>32</v>
      </c>
      <c r="D255" t="s">
        <v>9</v>
      </c>
      <c r="E255" t="s">
        <v>95</v>
      </c>
      <c r="F255" t="s">
        <v>43</v>
      </c>
      <c r="G255" t="str">
        <f t="shared" si="6"/>
        <v>31003QUICKSAND</v>
      </c>
      <c r="H255">
        <v>2216</v>
      </c>
      <c r="I255">
        <v>1860</v>
      </c>
      <c r="J255">
        <f t="shared" si="7"/>
        <v>-0.1913978494623656</v>
      </c>
    </row>
    <row r="256" spans="1:10">
      <c r="A256">
        <v>2026</v>
      </c>
      <c r="B256">
        <v>31</v>
      </c>
      <c r="C256" t="s">
        <v>32</v>
      </c>
      <c r="D256" t="s">
        <v>9</v>
      </c>
      <c r="E256" t="s">
        <v>77</v>
      </c>
      <c r="F256" t="s">
        <v>44</v>
      </c>
      <c r="G256" t="str">
        <f t="shared" si="6"/>
        <v>31004COTOPAXI</v>
      </c>
      <c r="H256">
        <v>1174</v>
      </c>
      <c r="I256">
        <v>900</v>
      </c>
      <c r="J256">
        <f t="shared" si="7"/>
        <v>-0.30444444444444446</v>
      </c>
    </row>
    <row r="257" spans="1:10">
      <c r="A257">
        <v>2026</v>
      </c>
      <c r="B257">
        <v>31</v>
      </c>
      <c r="C257" t="s">
        <v>32</v>
      </c>
      <c r="D257" t="s">
        <v>9</v>
      </c>
      <c r="E257" t="s">
        <v>77</v>
      </c>
      <c r="F257" t="s">
        <v>41</v>
      </c>
      <c r="G257" t="str">
        <f t="shared" si="6"/>
        <v>31004DEEP PURPLE</v>
      </c>
      <c r="H257">
        <v>17860</v>
      </c>
      <c r="I257">
        <v>12060</v>
      </c>
      <c r="J257">
        <f t="shared" si="7"/>
        <v>-0.48092868988391374</v>
      </c>
    </row>
    <row r="258" spans="1:10">
      <c r="A258">
        <v>2026</v>
      </c>
      <c r="B258">
        <v>31</v>
      </c>
      <c r="C258" t="s">
        <v>32</v>
      </c>
      <c r="D258" t="s">
        <v>9</v>
      </c>
      <c r="E258" t="s">
        <v>77</v>
      </c>
      <c r="F258" t="s">
        <v>45</v>
      </c>
      <c r="G258" t="str">
        <f t="shared" si="6"/>
        <v>31004HOT EXPLORER</v>
      </c>
      <c r="H258">
        <v>3144</v>
      </c>
      <c r="I258">
        <v>1675</v>
      </c>
      <c r="J258">
        <f t="shared" si="7"/>
        <v>-0.8770149253731343</v>
      </c>
    </row>
    <row r="259" spans="1:10">
      <c r="A259">
        <v>2026</v>
      </c>
      <c r="B259">
        <v>31</v>
      </c>
      <c r="C259" t="s">
        <v>32</v>
      </c>
      <c r="D259" t="s">
        <v>9</v>
      </c>
      <c r="E259" t="s">
        <v>77</v>
      </c>
      <c r="F259" t="s">
        <v>46</v>
      </c>
      <c r="G259" t="str">
        <f t="shared" ref="G259:G322" si="8">+B259&amp;E259&amp;F259</f>
        <v>31004HOT MERENGUE</v>
      </c>
      <c r="H259">
        <v>2986</v>
      </c>
      <c r="I259">
        <v>2610</v>
      </c>
      <c r="J259">
        <f t="shared" ref="J259:J322" si="9">+(I259-H259)/I259</f>
        <v>-0.14406130268199233</v>
      </c>
    </row>
    <row r="260" spans="1:10">
      <c r="A260">
        <v>2026</v>
      </c>
      <c r="B260">
        <v>31</v>
      </c>
      <c r="C260" t="s">
        <v>32</v>
      </c>
      <c r="D260" t="s">
        <v>9</v>
      </c>
      <c r="E260" t="s">
        <v>77</v>
      </c>
      <c r="F260" t="s">
        <v>39</v>
      </c>
      <c r="G260" t="str">
        <f t="shared" si="8"/>
        <v>31004SWEETNESS</v>
      </c>
      <c r="H260">
        <v>951</v>
      </c>
      <c r="I260">
        <v>540</v>
      </c>
      <c r="J260">
        <f t="shared" si="9"/>
        <v>-0.76111111111111107</v>
      </c>
    </row>
    <row r="261" spans="1:10">
      <c r="A261">
        <v>2026</v>
      </c>
      <c r="B261">
        <v>31</v>
      </c>
      <c r="C261" t="s">
        <v>32</v>
      </c>
      <c r="D261" t="s">
        <v>9</v>
      </c>
      <c r="E261" t="s">
        <v>78</v>
      </c>
      <c r="F261" t="s">
        <v>34</v>
      </c>
      <c r="G261" t="str">
        <f t="shared" si="8"/>
        <v>31005EXPLORER</v>
      </c>
      <c r="H261">
        <v>1533</v>
      </c>
      <c r="I261">
        <v>1425</v>
      </c>
      <c r="J261">
        <f t="shared" si="9"/>
        <v>-7.5789473684210532E-2</v>
      </c>
    </row>
    <row r="262" spans="1:10">
      <c r="A262">
        <v>2026</v>
      </c>
      <c r="B262">
        <v>31</v>
      </c>
      <c r="C262" t="s">
        <v>32</v>
      </c>
      <c r="D262" t="s">
        <v>9</v>
      </c>
      <c r="E262" t="s">
        <v>78</v>
      </c>
      <c r="F262" t="s">
        <v>47</v>
      </c>
      <c r="G262" t="str">
        <f t="shared" si="8"/>
        <v>31005GOLDFINCH</v>
      </c>
      <c r="H262">
        <v>1203</v>
      </c>
      <c r="I262">
        <v>900</v>
      </c>
      <c r="J262">
        <f t="shared" si="9"/>
        <v>-0.33666666666666667</v>
      </c>
    </row>
    <row r="263" spans="1:10">
      <c r="A263">
        <v>2026</v>
      </c>
      <c r="B263">
        <v>31</v>
      </c>
      <c r="C263" t="s">
        <v>32</v>
      </c>
      <c r="D263" t="s">
        <v>9</v>
      </c>
      <c r="E263" t="s">
        <v>78</v>
      </c>
      <c r="F263" t="s">
        <v>42</v>
      </c>
      <c r="G263" t="str">
        <f t="shared" si="8"/>
        <v>31005JOCKER</v>
      </c>
      <c r="H263">
        <v>3082</v>
      </c>
      <c r="I263">
        <v>2375</v>
      </c>
      <c r="J263">
        <f t="shared" si="9"/>
        <v>-0.29768421052631577</v>
      </c>
    </row>
    <row r="264" spans="1:10">
      <c r="A264">
        <v>2026</v>
      </c>
      <c r="B264">
        <v>31</v>
      </c>
      <c r="C264" t="s">
        <v>32</v>
      </c>
      <c r="D264" t="s">
        <v>9</v>
      </c>
      <c r="E264" t="s">
        <v>78</v>
      </c>
      <c r="F264" t="s">
        <v>48</v>
      </c>
      <c r="G264" t="str">
        <f t="shared" si="8"/>
        <v>31005VENDELA</v>
      </c>
      <c r="H264">
        <v>2261</v>
      </c>
      <c r="I264">
        <v>1710</v>
      </c>
      <c r="J264">
        <f t="shared" si="9"/>
        <v>-0.32222222222222224</v>
      </c>
    </row>
    <row r="265" spans="1:10">
      <c r="A265">
        <v>2026</v>
      </c>
      <c r="B265">
        <v>31</v>
      </c>
      <c r="C265" t="s">
        <v>32</v>
      </c>
      <c r="D265" t="s">
        <v>9</v>
      </c>
      <c r="E265" t="s">
        <v>96</v>
      </c>
      <c r="F265" t="s">
        <v>49</v>
      </c>
      <c r="G265" t="str">
        <f t="shared" si="8"/>
        <v>31006ATOMIC</v>
      </c>
      <c r="H265">
        <v>1518</v>
      </c>
      <c r="I265">
        <v>950</v>
      </c>
      <c r="J265">
        <f t="shared" si="9"/>
        <v>-0.59789473684210526</v>
      </c>
    </row>
    <row r="266" spans="1:10">
      <c r="A266">
        <v>2026</v>
      </c>
      <c r="B266">
        <v>31</v>
      </c>
      <c r="C266" t="s">
        <v>32</v>
      </c>
      <c r="D266" t="s">
        <v>9</v>
      </c>
      <c r="E266" t="s">
        <v>96</v>
      </c>
      <c r="F266" t="s">
        <v>34</v>
      </c>
      <c r="G266" t="str">
        <f t="shared" si="8"/>
        <v>31006EXPLORER</v>
      </c>
      <c r="H266">
        <v>6816</v>
      </c>
      <c r="I266">
        <v>5100</v>
      </c>
      <c r="J266">
        <f t="shared" si="9"/>
        <v>-0.33647058823529413</v>
      </c>
    </row>
    <row r="267" spans="1:10">
      <c r="A267">
        <v>2026</v>
      </c>
      <c r="B267">
        <v>31</v>
      </c>
      <c r="C267" t="s">
        <v>32</v>
      </c>
      <c r="D267" t="s">
        <v>9</v>
      </c>
      <c r="E267" t="s">
        <v>96</v>
      </c>
      <c r="F267" t="s">
        <v>50</v>
      </c>
      <c r="G267" t="str">
        <f t="shared" si="8"/>
        <v>31006MONDIAL</v>
      </c>
      <c r="H267">
        <v>8332</v>
      </c>
      <c r="I267">
        <v>9500</v>
      </c>
      <c r="J267">
        <f t="shared" si="9"/>
        <v>0.12294736842105264</v>
      </c>
    </row>
    <row r="268" spans="1:10">
      <c r="A268">
        <v>2026</v>
      </c>
      <c r="B268">
        <v>31</v>
      </c>
      <c r="C268" t="s">
        <v>32</v>
      </c>
      <c r="D268" t="s">
        <v>9</v>
      </c>
      <c r="E268" t="s">
        <v>79</v>
      </c>
      <c r="F268" t="s">
        <v>44</v>
      </c>
      <c r="G268" t="str">
        <f t="shared" si="8"/>
        <v>31007COTOPAXI</v>
      </c>
      <c r="H268">
        <v>6797</v>
      </c>
      <c r="I268">
        <v>5850</v>
      </c>
      <c r="J268">
        <f t="shared" si="9"/>
        <v>-0.16188034188034189</v>
      </c>
    </row>
    <row r="269" spans="1:10">
      <c r="A269">
        <v>2026</v>
      </c>
      <c r="B269">
        <v>31</v>
      </c>
      <c r="C269" t="s">
        <v>32</v>
      </c>
      <c r="D269" t="s">
        <v>9</v>
      </c>
      <c r="E269" t="s">
        <v>79</v>
      </c>
      <c r="F269" t="s">
        <v>51</v>
      </c>
      <c r="G269" t="str">
        <f t="shared" si="8"/>
        <v>31007REDIANT</v>
      </c>
      <c r="H269">
        <v>1752</v>
      </c>
      <c r="I269">
        <v>2160</v>
      </c>
      <c r="J269">
        <f t="shared" si="9"/>
        <v>0.18888888888888888</v>
      </c>
    </row>
    <row r="270" spans="1:10">
      <c r="A270">
        <v>2026</v>
      </c>
      <c r="B270">
        <v>31</v>
      </c>
      <c r="C270" t="s">
        <v>32</v>
      </c>
      <c r="D270" t="s">
        <v>9</v>
      </c>
      <c r="E270" t="s">
        <v>79</v>
      </c>
      <c r="F270" t="s">
        <v>48</v>
      </c>
      <c r="G270" t="str">
        <f t="shared" si="8"/>
        <v>31007VENDELA</v>
      </c>
      <c r="H270">
        <v>12761</v>
      </c>
      <c r="I270">
        <v>10650</v>
      </c>
      <c r="J270">
        <f t="shared" si="9"/>
        <v>-0.19821596244131456</v>
      </c>
    </row>
    <row r="271" spans="1:10">
      <c r="A271">
        <v>2026</v>
      </c>
      <c r="B271">
        <v>31</v>
      </c>
      <c r="C271" t="s">
        <v>32</v>
      </c>
      <c r="D271" t="s">
        <v>9</v>
      </c>
      <c r="E271" t="s">
        <v>97</v>
      </c>
      <c r="F271" t="s">
        <v>41</v>
      </c>
      <c r="G271" t="str">
        <f t="shared" si="8"/>
        <v>31008DEEP PURPLE</v>
      </c>
      <c r="H271">
        <v>8155</v>
      </c>
      <c r="I271">
        <v>5670</v>
      </c>
      <c r="J271">
        <f t="shared" si="9"/>
        <v>-0.43827160493827161</v>
      </c>
    </row>
    <row r="272" spans="1:10">
      <c r="A272">
        <v>2026</v>
      </c>
      <c r="B272">
        <v>31</v>
      </c>
      <c r="C272" t="s">
        <v>32</v>
      </c>
      <c r="D272" t="s">
        <v>9</v>
      </c>
      <c r="E272" t="s">
        <v>97</v>
      </c>
      <c r="F272" t="s">
        <v>52</v>
      </c>
      <c r="G272" t="str">
        <f t="shared" si="8"/>
        <v>31008FREEDOM</v>
      </c>
      <c r="H272">
        <v>4704</v>
      </c>
      <c r="I272">
        <v>2610</v>
      </c>
      <c r="J272">
        <f t="shared" si="9"/>
        <v>-0.80229885057471262</v>
      </c>
    </row>
    <row r="273" spans="1:10">
      <c r="A273">
        <v>2026</v>
      </c>
      <c r="B273">
        <v>31</v>
      </c>
      <c r="C273" t="s">
        <v>32</v>
      </c>
      <c r="D273" t="s">
        <v>9</v>
      </c>
      <c r="E273" t="s">
        <v>97</v>
      </c>
      <c r="F273" t="s">
        <v>42</v>
      </c>
      <c r="G273" t="str">
        <f t="shared" si="8"/>
        <v>31008JOCKER</v>
      </c>
      <c r="H273">
        <v>7326</v>
      </c>
      <c r="I273">
        <v>5750</v>
      </c>
      <c r="J273">
        <f t="shared" si="9"/>
        <v>-0.27408695652173914</v>
      </c>
    </row>
    <row r="274" spans="1:10">
      <c r="A274">
        <v>2026</v>
      </c>
      <c r="B274">
        <v>31</v>
      </c>
      <c r="C274" t="s">
        <v>32</v>
      </c>
      <c r="D274" t="s">
        <v>9</v>
      </c>
      <c r="E274" t="s">
        <v>98</v>
      </c>
      <c r="F274" t="s">
        <v>53</v>
      </c>
      <c r="G274" t="str">
        <f t="shared" si="8"/>
        <v>31010COOLDOWN</v>
      </c>
      <c r="H274">
        <v>2074</v>
      </c>
      <c r="I274">
        <v>3825</v>
      </c>
      <c r="J274">
        <f t="shared" si="9"/>
        <v>0.45777777777777778</v>
      </c>
    </row>
    <row r="275" spans="1:10">
      <c r="A275">
        <v>2026</v>
      </c>
      <c r="B275">
        <v>31</v>
      </c>
      <c r="C275" t="s">
        <v>32</v>
      </c>
      <c r="D275" t="s">
        <v>9</v>
      </c>
      <c r="E275" t="s">
        <v>98</v>
      </c>
      <c r="F275" t="s">
        <v>54</v>
      </c>
      <c r="G275" t="str">
        <f t="shared" si="8"/>
        <v>31010VIOLET HILL</v>
      </c>
      <c r="H275">
        <v>3657</v>
      </c>
      <c r="I275">
        <v>5850</v>
      </c>
      <c r="J275">
        <f t="shared" si="9"/>
        <v>0.37487179487179489</v>
      </c>
    </row>
    <row r="276" spans="1:10">
      <c r="A276">
        <v>2026</v>
      </c>
      <c r="B276">
        <v>31</v>
      </c>
      <c r="C276" t="s">
        <v>32</v>
      </c>
      <c r="D276" t="s">
        <v>9</v>
      </c>
      <c r="E276" t="s">
        <v>99</v>
      </c>
      <c r="F276" t="s">
        <v>55</v>
      </c>
      <c r="G276" t="str">
        <f t="shared" si="8"/>
        <v>31011BRIGHTON</v>
      </c>
      <c r="H276">
        <v>5126</v>
      </c>
      <c r="I276">
        <v>3550</v>
      </c>
      <c r="J276">
        <f t="shared" si="9"/>
        <v>-0.44394366197183099</v>
      </c>
    </row>
    <row r="277" spans="1:10">
      <c r="A277">
        <v>2026</v>
      </c>
      <c r="B277">
        <v>31</v>
      </c>
      <c r="C277" t="s">
        <v>32</v>
      </c>
      <c r="D277" t="s">
        <v>9</v>
      </c>
      <c r="E277" t="s">
        <v>99</v>
      </c>
      <c r="F277" t="s">
        <v>56</v>
      </c>
      <c r="G277" t="str">
        <f t="shared" si="8"/>
        <v>31011CANDLELIGHT</v>
      </c>
      <c r="H277">
        <v>5924</v>
      </c>
      <c r="I277">
        <v>4640</v>
      </c>
      <c r="J277">
        <f t="shared" si="9"/>
        <v>-0.27672413793103451</v>
      </c>
    </row>
    <row r="278" spans="1:10">
      <c r="A278">
        <v>2026</v>
      </c>
      <c r="B278">
        <v>31</v>
      </c>
      <c r="C278" t="s">
        <v>32</v>
      </c>
      <c r="D278" t="s">
        <v>9</v>
      </c>
      <c r="E278" t="s">
        <v>99</v>
      </c>
      <c r="F278" t="s">
        <v>57</v>
      </c>
      <c r="G278" t="str">
        <f t="shared" si="8"/>
        <v>31011CAYENNE</v>
      </c>
      <c r="H278">
        <v>2243</v>
      </c>
      <c r="I278">
        <v>1530</v>
      </c>
      <c r="J278">
        <f t="shared" si="9"/>
        <v>-0.46601307189542485</v>
      </c>
    </row>
    <row r="279" spans="1:10">
      <c r="A279">
        <v>2026</v>
      </c>
      <c r="B279">
        <v>31</v>
      </c>
      <c r="C279" t="s">
        <v>32</v>
      </c>
      <c r="D279" t="s">
        <v>9</v>
      </c>
      <c r="E279" t="s">
        <v>99</v>
      </c>
      <c r="F279" t="s">
        <v>37</v>
      </c>
      <c r="G279" t="str">
        <f t="shared" si="8"/>
        <v>31011LUMIA</v>
      </c>
      <c r="H279">
        <v>2805</v>
      </c>
      <c r="I279">
        <v>2640</v>
      </c>
      <c r="J279">
        <f t="shared" si="9"/>
        <v>-6.25E-2</v>
      </c>
    </row>
    <row r="280" spans="1:10">
      <c r="A280">
        <v>2026</v>
      </c>
      <c r="B280">
        <v>31</v>
      </c>
      <c r="C280" t="s">
        <v>32</v>
      </c>
      <c r="D280" t="s">
        <v>9</v>
      </c>
      <c r="E280" t="s">
        <v>99</v>
      </c>
      <c r="F280" t="s">
        <v>58</v>
      </c>
      <c r="G280" t="str">
        <f t="shared" si="8"/>
        <v>31011STARDUST</v>
      </c>
      <c r="H280">
        <v>4821</v>
      </c>
      <c r="I280">
        <v>4525</v>
      </c>
      <c r="J280">
        <f t="shared" si="9"/>
        <v>-6.5414364640883974E-2</v>
      </c>
    </row>
    <row r="281" spans="1:10">
      <c r="A281">
        <v>2026</v>
      </c>
      <c r="B281">
        <v>31</v>
      </c>
      <c r="C281" t="s">
        <v>32</v>
      </c>
      <c r="D281" t="s">
        <v>9</v>
      </c>
      <c r="E281" t="s">
        <v>100</v>
      </c>
      <c r="F281" t="s">
        <v>41</v>
      </c>
      <c r="G281" t="str">
        <f t="shared" si="8"/>
        <v>31012DEEP PURPLE</v>
      </c>
      <c r="H281">
        <v>24550</v>
      </c>
      <c r="I281">
        <v>19410</v>
      </c>
      <c r="J281">
        <f t="shared" si="9"/>
        <v>-0.26481195260175167</v>
      </c>
    </row>
    <row r="282" spans="1:10">
      <c r="A282">
        <v>2026</v>
      </c>
      <c r="B282">
        <v>31</v>
      </c>
      <c r="C282" t="s">
        <v>32</v>
      </c>
      <c r="D282" t="s">
        <v>9</v>
      </c>
      <c r="E282" t="s">
        <v>100</v>
      </c>
      <c r="F282" t="s">
        <v>36</v>
      </c>
      <c r="G282" t="str">
        <f t="shared" si="8"/>
        <v>31012LIGHT HOUSE</v>
      </c>
      <c r="H282">
        <v>1880</v>
      </c>
      <c r="I282">
        <v>2100</v>
      </c>
      <c r="J282">
        <f t="shared" si="9"/>
        <v>0.10476190476190476</v>
      </c>
    </row>
    <row r="283" spans="1:10">
      <c r="A283">
        <v>2026</v>
      </c>
      <c r="B283">
        <v>31</v>
      </c>
      <c r="C283" t="s">
        <v>32</v>
      </c>
      <c r="D283" t="s">
        <v>9</v>
      </c>
      <c r="E283" t="s">
        <v>101</v>
      </c>
      <c r="F283" t="s">
        <v>59</v>
      </c>
      <c r="G283" t="str">
        <f t="shared" si="8"/>
        <v>31013COUNTRY BLUES</v>
      </c>
      <c r="H283">
        <v>1770</v>
      </c>
      <c r="I283">
        <v>1400</v>
      </c>
      <c r="J283">
        <f t="shared" si="9"/>
        <v>-0.26428571428571429</v>
      </c>
    </row>
    <row r="284" spans="1:10">
      <c r="A284">
        <v>2026</v>
      </c>
      <c r="B284">
        <v>31</v>
      </c>
      <c r="C284" t="s">
        <v>32</v>
      </c>
      <c r="D284" t="s">
        <v>9</v>
      </c>
      <c r="E284" t="s">
        <v>101</v>
      </c>
      <c r="F284" t="s">
        <v>60</v>
      </c>
      <c r="G284" t="str">
        <f t="shared" si="8"/>
        <v>31013LORRAINE</v>
      </c>
      <c r="H284">
        <v>4357</v>
      </c>
      <c r="I284">
        <v>4025</v>
      </c>
      <c r="J284">
        <f t="shared" si="9"/>
        <v>-8.2484472049689436E-2</v>
      </c>
    </row>
    <row r="285" spans="1:10">
      <c r="A285">
        <v>2026</v>
      </c>
      <c r="B285">
        <v>31</v>
      </c>
      <c r="C285" t="s">
        <v>32</v>
      </c>
      <c r="D285" t="s">
        <v>9</v>
      </c>
      <c r="E285" t="s">
        <v>101</v>
      </c>
      <c r="F285" t="s">
        <v>37</v>
      </c>
      <c r="G285" t="str">
        <f t="shared" si="8"/>
        <v>31013LUMIA</v>
      </c>
      <c r="H285">
        <v>1296</v>
      </c>
      <c r="I285">
        <v>960</v>
      </c>
      <c r="J285">
        <f t="shared" si="9"/>
        <v>-0.35</v>
      </c>
    </row>
    <row r="286" spans="1:10">
      <c r="A286">
        <v>2026</v>
      </c>
      <c r="B286">
        <v>31</v>
      </c>
      <c r="C286" t="s">
        <v>32</v>
      </c>
      <c r="D286" t="s">
        <v>9</v>
      </c>
      <c r="E286" t="s">
        <v>101</v>
      </c>
      <c r="F286" t="s">
        <v>48</v>
      </c>
      <c r="G286" t="str">
        <f t="shared" si="8"/>
        <v>31013VENDELA</v>
      </c>
      <c r="H286">
        <v>12021</v>
      </c>
      <c r="I286">
        <v>12150</v>
      </c>
      <c r="J286">
        <f t="shared" si="9"/>
        <v>1.0617283950617284E-2</v>
      </c>
    </row>
    <row r="287" spans="1:10">
      <c r="A287">
        <v>2026</v>
      </c>
      <c r="B287">
        <v>31</v>
      </c>
      <c r="C287" t="s">
        <v>32</v>
      </c>
      <c r="D287" t="s">
        <v>9</v>
      </c>
      <c r="E287" t="s">
        <v>81</v>
      </c>
      <c r="F287" t="s">
        <v>58</v>
      </c>
      <c r="G287" t="str">
        <f t="shared" si="8"/>
        <v>31014STARDUST</v>
      </c>
      <c r="H287">
        <v>8900</v>
      </c>
      <c r="I287">
        <v>8575</v>
      </c>
      <c r="J287">
        <f t="shared" si="9"/>
        <v>-3.7900874635568516E-2</v>
      </c>
    </row>
    <row r="288" spans="1:10">
      <c r="A288">
        <v>2026</v>
      </c>
      <c r="B288">
        <v>31</v>
      </c>
      <c r="C288" t="s">
        <v>32</v>
      </c>
      <c r="D288" t="s">
        <v>9</v>
      </c>
      <c r="E288" t="s">
        <v>82</v>
      </c>
      <c r="F288" t="s">
        <v>42</v>
      </c>
      <c r="G288" t="str">
        <f t="shared" si="8"/>
        <v>31015JOCKER</v>
      </c>
      <c r="H288">
        <v>7797</v>
      </c>
      <c r="I288">
        <v>6750</v>
      </c>
      <c r="J288">
        <f t="shared" si="9"/>
        <v>-0.15511111111111112</v>
      </c>
    </row>
    <row r="289" spans="1:10">
      <c r="A289">
        <v>2026</v>
      </c>
      <c r="B289">
        <v>31</v>
      </c>
      <c r="C289" t="s">
        <v>32</v>
      </c>
      <c r="D289" t="s">
        <v>9</v>
      </c>
      <c r="E289" t="s">
        <v>83</v>
      </c>
      <c r="F289" t="s">
        <v>61</v>
      </c>
      <c r="G289" t="str">
        <f t="shared" si="8"/>
        <v>31016DREAM IN PEACH</v>
      </c>
      <c r="H289">
        <v>1646</v>
      </c>
      <c r="I289">
        <v>1800</v>
      </c>
      <c r="J289">
        <f t="shared" si="9"/>
        <v>8.5555555555555551E-2</v>
      </c>
    </row>
    <row r="290" spans="1:10">
      <c r="A290">
        <v>2026</v>
      </c>
      <c r="B290">
        <v>31</v>
      </c>
      <c r="C290" t="s">
        <v>32</v>
      </c>
      <c r="D290" t="s">
        <v>9</v>
      </c>
      <c r="E290" t="s">
        <v>83</v>
      </c>
      <c r="F290" t="s">
        <v>62</v>
      </c>
      <c r="G290" t="str">
        <f t="shared" si="8"/>
        <v>31016NINA</v>
      </c>
      <c r="H290">
        <v>4063</v>
      </c>
      <c r="I290">
        <v>3300</v>
      </c>
      <c r="J290">
        <f t="shared" si="9"/>
        <v>-0.2312121212121212</v>
      </c>
    </row>
    <row r="291" spans="1:10">
      <c r="A291">
        <v>2026</v>
      </c>
      <c r="B291">
        <v>31</v>
      </c>
      <c r="C291" t="s">
        <v>32</v>
      </c>
      <c r="D291" t="s">
        <v>9</v>
      </c>
      <c r="E291" t="s">
        <v>84</v>
      </c>
      <c r="F291" t="s">
        <v>52</v>
      </c>
      <c r="G291" t="str">
        <f t="shared" si="8"/>
        <v>31017FREEDOM</v>
      </c>
      <c r="H291">
        <v>6169</v>
      </c>
      <c r="I291">
        <v>5400</v>
      </c>
      <c r="J291">
        <f t="shared" si="9"/>
        <v>-0.1424074074074074</v>
      </c>
    </row>
    <row r="292" spans="1:10">
      <c r="A292">
        <v>2026</v>
      </c>
      <c r="B292">
        <v>31</v>
      </c>
      <c r="C292" t="s">
        <v>32</v>
      </c>
      <c r="D292" t="s">
        <v>9</v>
      </c>
      <c r="E292" t="s">
        <v>84</v>
      </c>
      <c r="F292" t="s">
        <v>47</v>
      </c>
      <c r="G292" t="str">
        <f t="shared" si="8"/>
        <v>31017GOLDFINCH</v>
      </c>
      <c r="H292">
        <v>3056</v>
      </c>
      <c r="I292">
        <v>3725</v>
      </c>
      <c r="J292">
        <f t="shared" si="9"/>
        <v>0.17959731543624161</v>
      </c>
    </row>
    <row r="293" spans="1:10">
      <c r="A293">
        <v>2026</v>
      </c>
      <c r="B293">
        <v>31</v>
      </c>
      <c r="C293" t="s">
        <v>32</v>
      </c>
      <c r="D293" t="s">
        <v>9</v>
      </c>
      <c r="E293" t="s">
        <v>85</v>
      </c>
      <c r="F293" t="s">
        <v>55</v>
      </c>
      <c r="G293" t="str">
        <f t="shared" si="8"/>
        <v>31018BRIGHTON</v>
      </c>
      <c r="H293">
        <v>2335</v>
      </c>
      <c r="I293">
        <v>2475</v>
      </c>
      <c r="J293">
        <f t="shared" si="9"/>
        <v>5.6565656565656569E-2</v>
      </c>
    </row>
    <row r="294" spans="1:10">
      <c r="A294">
        <v>2026</v>
      </c>
      <c r="B294">
        <v>31</v>
      </c>
      <c r="C294" t="s">
        <v>32</v>
      </c>
      <c r="D294" t="s">
        <v>9</v>
      </c>
      <c r="E294" t="s">
        <v>86</v>
      </c>
      <c r="F294" t="s">
        <v>55</v>
      </c>
      <c r="G294" t="str">
        <f t="shared" si="8"/>
        <v>31019BRIGHTON</v>
      </c>
      <c r="H294">
        <v>8352</v>
      </c>
      <c r="I294">
        <v>9375</v>
      </c>
      <c r="J294">
        <f t="shared" si="9"/>
        <v>0.10911999999999999</v>
      </c>
    </row>
    <row r="295" spans="1:10">
      <c r="A295">
        <v>2026</v>
      </c>
      <c r="B295">
        <v>31</v>
      </c>
      <c r="C295" t="s">
        <v>32</v>
      </c>
      <c r="D295" t="s">
        <v>9</v>
      </c>
      <c r="E295" t="s">
        <v>86</v>
      </c>
      <c r="F295" t="s">
        <v>63</v>
      </c>
      <c r="G295" t="str">
        <f t="shared" si="8"/>
        <v>31019TABATHA</v>
      </c>
      <c r="H295">
        <v>3348</v>
      </c>
      <c r="I295">
        <v>2490</v>
      </c>
      <c r="J295">
        <f t="shared" si="9"/>
        <v>-0.34457831325301203</v>
      </c>
    </row>
    <row r="296" spans="1:10">
      <c r="A296">
        <v>2026</v>
      </c>
      <c r="B296">
        <v>31</v>
      </c>
      <c r="C296" t="s">
        <v>32</v>
      </c>
      <c r="D296" t="s">
        <v>9</v>
      </c>
      <c r="E296" t="s">
        <v>87</v>
      </c>
      <c r="F296" t="s">
        <v>55</v>
      </c>
      <c r="G296" t="str">
        <f t="shared" si="8"/>
        <v>31020BRIGHTON</v>
      </c>
      <c r="H296">
        <v>5400</v>
      </c>
      <c r="I296">
        <v>5500</v>
      </c>
      <c r="J296">
        <f t="shared" si="9"/>
        <v>1.8181818181818181E-2</v>
      </c>
    </row>
    <row r="297" spans="1:10">
      <c r="A297">
        <v>2026</v>
      </c>
      <c r="B297">
        <v>31</v>
      </c>
      <c r="C297" t="s">
        <v>32</v>
      </c>
      <c r="D297" t="s">
        <v>9</v>
      </c>
      <c r="E297" t="s">
        <v>87</v>
      </c>
      <c r="F297" t="s">
        <v>64</v>
      </c>
      <c r="G297" t="str">
        <f t="shared" si="8"/>
        <v>31020TYCOON</v>
      </c>
      <c r="H297">
        <v>1014</v>
      </c>
      <c r="I297">
        <v>1350</v>
      </c>
      <c r="J297">
        <f t="shared" si="9"/>
        <v>0.24888888888888888</v>
      </c>
    </row>
    <row r="298" spans="1:10">
      <c r="A298">
        <v>2026</v>
      </c>
      <c r="B298">
        <v>31</v>
      </c>
      <c r="C298" t="s">
        <v>32</v>
      </c>
      <c r="D298" t="s">
        <v>9</v>
      </c>
      <c r="E298" t="s">
        <v>88</v>
      </c>
      <c r="F298" t="s">
        <v>65</v>
      </c>
      <c r="G298" t="str">
        <f t="shared" si="8"/>
        <v>31021SHOW GIRL</v>
      </c>
      <c r="H298">
        <v>1726</v>
      </c>
      <c r="I298">
        <v>1200</v>
      </c>
      <c r="J298">
        <f t="shared" si="9"/>
        <v>-0.43833333333333335</v>
      </c>
    </row>
    <row r="299" spans="1:10">
      <c r="A299">
        <v>2026</v>
      </c>
      <c r="B299">
        <v>31</v>
      </c>
      <c r="C299" t="s">
        <v>32</v>
      </c>
      <c r="D299" t="s">
        <v>9</v>
      </c>
      <c r="E299" t="s">
        <v>89</v>
      </c>
      <c r="F299" t="s">
        <v>66</v>
      </c>
      <c r="G299" t="str">
        <f t="shared" si="8"/>
        <v>31022CORAL REEF</v>
      </c>
      <c r="H299">
        <v>2625</v>
      </c>
      <c r="I299">
        <v>2375</v>
      </c>
      <c r="J299">
        <f t="shared" si="9"/>
        <v>-0.10526315789473684</v>
      </c>
    </row>
    <row r="300" spans="1:10">
      <c r="A300">
        <v>2026</v>
      </c>
      <c r="B300">
        <v>31</v>
      </c>
      <c r="C300" t="s">
        <v>32</v>
      </c>
      <c r="D300" t="s">
        <v>9</v>
      </c>
      <c r="E300" t="s">
        <v>102</v>
      </c>
      <c r="F300" t="s">
        <v>44</v>
      </c>
      <c r="G300" t="str">
        <f t="shared" si="8"/>
        <v>31023COTOPAXI</v>
      </c>
      <c r="H300">
        <v>6494</v>
      </c>
      <c r="I300">
        <v>6330</v>
      </c>
      <c r="J300">
        <f t="shared" si="9"/>
        <v>-2.5908372827804109E-2</v>
      </c>
    </row>
    <row r="301" spans="1:10">
      <c r="A301">
        <v>2026</v>
      </c>
      <c r="B301">
        <v>31</v>
      </c>
      <c r="C301" t="s">
        <v>32</v>
      </c>
      <c r="D301" t="s">
        <v>9</v>
      </c>
      <c r="E301" t="s">
        <v>102</v>
      </c>
      <c r="F301" t="s">
        <v>67</v>
      </c>
      <c r="G301" t="str">
        <f t="shared" si="8"/>
        <v>31023FRUTTETO</v>
      </c>
      <c r="H301">
        <v>8000</v>
      </c>
      <c r="I301">
        <v>6960</v>
      </c>
      <c r="J301">
        <f t="shared" si="9"/>
        <v>-0.14942528735632185</v>
      </c>
    </row>
    <row r="302" spans="1:10">
      <c r="A302">
        <v>2026</v>
      </c>
      <c r="B302">
        <v>31</v>
      </c>
      <c r="C302" t="s">
        <v>32</v>
      </c>
      <c r="D302" t="s">
        <v>9</v>
      </c>
      <c r="E302" t="s">
        <v>103</v>
      </c>
      <c r="F302" t="s">
        <v>44</v>
      </c>
      <c r="G302" t="str">
        <f t="shared" si="8"/>
        <v>31024COTOPAXI</v>
      </c>
      <c r="H302">
        <v>3133</v>
      </c>
      <c r="I302">
        <v>4440</v>
      </c>
      <c r="J302">
        <f t="shared" si="9"/>
        <v>0.29436936936936936</v>
      </c>
    </row>
    <row r="303" spans="1:10">
      <c r="A303">
        <v>2026</v>
      </c>
      <c r="B303">
        <v>31</v>
      </c>
      <c r="C303" t="s">
        <v>32</v>
      </c>
      <c r="D303" t="s">
        <v>9</v>
      </c>
      <c r="E303" t="s">
        <v>103</v>
      </c>
      <c r="F303" t="s">
        <v>39</v>
      </c>
      <c r="G303" t="str">
        <f t="shared" si="8"/>
        <v>31024SWEETNESS</v>
      </c>
      <c r="H303">
        <v>2142</v>
      </c>
      <c r="I303">
        <v>2220</v>
      </c>
      <c r="J303">
        <f t="shared" si="9"/>
        <v>3.5135135135135137E-2</v>
      </c>
    </row>
    <row r="304" spans="1:10">
      <c r="A304">
        <v>2026</v>
      </c>
      <c r="B304">
        <v>31</v>
      </c>
      <c r="C304" t="s">
        <v>32</v>
      </c>
      <c r="D304" t="s">
        <v>9</v>
      </c>
      <c r="E304" t="s">
        <v>103</v>
      </c>
      <c r="F304" t="s">
        <v>64</v>
      </c>
      <c r="G304" t="str">
        <f t="shared" si="8"/>
        <v>31024TYCOON</v>
      </c>
      <c r="H304">
        <v>3439</v>
      </c>
      <c r="I304">
        <v>5070</v>
      </c>
      <c r="J304">
        <f t="shared" si="9"/>
        <v>0.32169625246548322</v>
      </c>
    </row>
    <row r="305" spans="1:10">
      <c r="A305">
        <v>2026</v>
      </c>
      <c r="B305">
        <v>31</v>
      </c>
      <c r="C305" t="s">
        <v>32</v>
      </c>
      <c r="D305" t="s">
        <v>9</v>
      </c>
      <c r="E305" t="s">
        <v>104</v>
      </c>
      <c r="F305" t="s">
        <v>68</v>
      </c>
      <c r="G305" t="str">
        <f t="shared" si="8"/>
        <v>31025PINK MONDIAL</v>
      </c>
      <c r="H305">
        <v>5714</v>
      </c>
      <c r="I305">
        <v>7400</v>
      </c>
      <c r="J305">
        <f t="shared" si="9"/>
        <v>0.22783783783783784</v>
      </c>
    </row>
    <row r="306" spans="1:10">
      <c r="A306">
        <v>2026</v>
      </c>
      <c r="B306">
        <v>31</v>
      </c>
      <c r="C306" t="s">
        <v>32</v>
      </c>
      <c r="D306" t="s">
        <v>9</v>
      </c>
      <c r="E306" t="s">
        <v>105</v>
      </c>
      <c r="F306" t="s">
        <v>69</v>
      </c>
      <c r="G306" t="str">
        <f t="shared" si="8"/>
        <v>31026LOLA</v>
      </c>
      <c r="H306">
        <v>5485</v>
      </c>
      <c r="I306">
        <v>3400</v>
      </c>
      <c r="J306">
        <f t="shared" si="9"/>
        <v>-0.6132352941176471</v>
      </c>
    </row>
    <row r="307" spans="1:10">
      <c r="A307">
        <v>2026</v>
      </c>
      <c r="B307">
        <v>31</v>
      </c>
      <c r="C307" t="s">
        <v>32</v>
      </c>
      <c r="D307" t="s">
        <v>9</v>
      </c>
      <c r="E307" t="s">
        <v>105</v>
      </c>
      <c r="F307" t="s">
        <v>70</v>
      </c>
      <c r="G307" t="str">
        <f t="shared" si="8"/>
        <v>31026PALOMA</v>
      </c>
      <c r="H307">
        <v>6644</v>
      </c>
      <c r="I307">
        <v>4675</v>
      </c>
      <c r="J307">
        <f t="shared" si="9"/>
        <v>-0.42117647058823532</v>
      </c>
    </row>
    <row r="308" spans="1:10">
      <c r="A308">
        <v>2026</v>
      </c>
      <c r="B308">
        <v>31</v>
      </c>
      <c r="C308" t="s">
        <v>32</v>
      </c>
      <c r="D308" t="s">
        <v>9</v>
      </c>
      <c r="E308" t="s">
        <v>106</v>
      </c>
      <c r="F308" t="s">
        <v>71</v>
      </c>
      <c r="G308" t="str">
        <f t="shared" si="8"/>
        <v>31027SATISFACTION</v>
      </c>
      <c r="H308">
        <v>6330</v>
      </c>
      <c r="I308">
        <v>7230</v>
      </c>
      <c r="J308">
        <f t="shared" si="9"/>
        <v>0.12448132780082988</v>
      </c>
    </row>
    <row r="309" spans="1:10">
      <c r="A309">
        <v>2026</v>
      </c>
      <c r="B309">
        <v>31</v>
      </c>
      <c r="C309" t="s">
        <v>32</v>
      </c>
      <c r="D309" t="s">
        <v>9</v>
      </c>
      <c r="E309" t="s">
        <v>106</v>
      </c>
      <c r="F309" t="s">
        <v>72</v>
      </c>
      <c r="G309" t="str">
        <f t="shared" si="8"/>
        <v>31027TIFFANY</v>
      </c>
      <c r="H309">
        <v>5818</v>
      </c>
      <c r="I309">
        <v>6360</v>
      </c>
      <c r="J309">
        <f t="shared" si="9"/>
        <v>8.5220125786163517E-2</v>
      </c>
    </row>
    <row r="310" spans="1:10">
      <c r="A310">
        <v>2026</v>
      </c>
      <c r="B310">
        <v>31</v>
      </c>
      <c r="C310" t="s">
        <v>32</v>
      </c>
      <c r="D310" t="s">
        <v>9</v>
      </c>
      <c r="E310" t="s">
        <v>107</v>
      </c>
      <c r="F310" t="s">
        <v>44</v>
      </c>
      <c r="G310" t="str">
        <f t="shared" si="8"/>
        <v>31028COTOPAXI</v>
      </c>
      <c r="H310">
        <v>4352</v>
      </c>
      <c r="I310">
        <v>5010</v>
      </c>
      <c r="J310">
        <f t="shared" si="9"/>
        <v>0.1313373253493014</v>
      </c>
    </row>
    <row r="311" spans="1:10">
      <c r="A311">
        <v>2026</v>
      </c>
      <c r="B311">
        <v>31</v>
      </c>
      <c r="C311" t="s">
        <v>32</v>
      </c>
      <c r="D311" t="s">
        <v>9</v>
      </c>
      <c r="E311" t="s">
        <v>107</v>
      </c>
      <c r="F311" t="s">
        <v>41</v>
      </c>
      <c r="G311" t="str">
        <f t="shared" si="8"/>
        <v>31028DEEP PURPLE</v>
      </c>
      <c r="H311">
        <v>11527</v>
      </c>
      <c r="I311">
        <v>7260</v>
      </c>
      <c r="J311">
        <f t="shared" si="9"/>
        <v>-0.58774104683195594</v>
      </c>
    </row>
    <row r="312" spans="1:10">
      <c r="A312">
        <v>2026</v>
      </c>
      <c r="B312">
        <v>31</v>
      </c>
      <c r="C312" t="s">
        <v>32</v>
      </c>
      <c r="D312" t="s">
        <v>9</v>
      </c>
      <c r="E312" t="s">
        <v>108</v>
      </c>
      <c r="F312" t="s">
        <v>73</v>
      </c>
      <c r="G312" t="str">
        <f t="shared" si="8"/>
        <v>31029PINK FLOYD</v>
      </c>
      <c r="H312">
        <v>5375</v>
      </c>
      <c r="I312">
        <v>4350</v>
      </c>
      <c r="J312">
        <f t="shared" si="9"/>
        <v>-0.23563218390804597</v>
      </c>
    </row>
    <row r="313" spans="1:10">
      <c r="A313">
        <v>2026</v>
      </c>
      <c r="B313">
        <v>31</v>
      </c>
      <c r="C313" t="s">
        <v>32</v>
      </c>
      <c r="D313" t="s">
        <v>9</v>
      </c>
      <c r="E313" t="s">
        <v>90</v>
      </c>
      <c r="F313" t="s">
        <v>34</v>
      </c>
      <c r="G313" t="str">
        <f t="shared" si="8"/>
        <v>31030EXPLORER</v>
      </c>
      <c r="H313">
        <v>2402</v>
      </c>
      <c r="I313">
        <v>2600</v>
      </c>
      <c r="J313">
        <f t="shared" si="9"/>
        <v>7.6153846153846155E-2</v>
      </c>
    </row>
    <row r="314" spans="1:10">
      <c r="A314">
        <v>2026</v>
      </c>
      <c r="B314">
        <v>32</v>
      </c>
      <c r="C314" t="s">
        <v>8</v>
      </c>
      <c r="D314" t="s">
        <v>9</v>
      </c>
      <c r="E314" t="s">
        <v>76</v>
      </c>
      <c r="F314" t="s">
        <v>10</v>
      </c>
      <c r="G314" t="str">
        <f t="shared" si="8"/>
        <v>32002SOMERSET</v>
      </c>
      <c r="H314">
        <v>10049</v>
      </c>
      <c r="I314">
        <v>8440</v>
      </c>
      <c r="J314">
        <f t="shared" si="9"/>
        <v>-0.1906398104265403</v>
      </c>
    </row>
    <row r="315" spans="1:10">
      <c r="A315">
        <v>2026</v>
      </c>
      <c r="B315">
        <v>32</v>
      </c>
      <c r="C315" t="s">
        <v>8</v>
      </c>
      <c r="D315" t="s">
        <v>9</v>
      </c>
      <c r="E315" t="s">
        <v>77</v>
      </c>
      <c r="F315" t="s">
        <v>11</v>
      </c>
      <c r="G315" t="str">
        <f t="shared" si="8"/>
        <v>32004BELLINA</v>
      </c>
      <c r="H315">
        <v>1684</v>
      </c>
      <c r="I315">
        <v>1965</v>
      </c>
      <c r="J315">
        <f t="shared" si="9"/>
        <v>0.14300254452926209</v>
      </c>
    </row>
    <row r="316" spans="1:10">
      <c r="A316">
        <v>2026</v>
      </c>
      <c r="B316">
        <v>32</v>
      </c>
      <c r="C316" t="s">
        <v>8</v>
      </c>
      <c r="D316" t="s">
        <v>9</v>
      </c>
      <c r="E316" t="s">
        <v>78</v>
      </c>
      <c r="F316" t="s">
        <v>12</v>
      </c>
      <c r="G316" t="str">
        <f t="shared" si="8"/>
        <v>32005ELBA</v>
      </c>
      <c r="H316">
        <v>7136</v>
      </c>
      <c r="I316">
        <v>5700</v>
      </c>
      <c r="J316">
        <f t="shared" si="9"/>
        <v>-0.2519298245614035</v>
      </c>
    </row>
    <row r="317" spans="1:10">
      <c r="A317">
        <v>2026</v>
      </c>
      <c r="B317">
        <v>32</v>
      </c>
      <c r="C317" t="s">
        <v>8</v>
      </c>
      <c r="D317" t="s">
        <v>9</v>
      </c>
      <c r="E317" t="s">
        <v>78</v>
      </c>
      <c r="F317" t="s">
        <v>13</v>
      </c>
      <c r="G317" t="str">
        <f t="shared" si="8"/>
        <v>32005HOT BUBBLES</v>
      </c>
      <c r="H317">
        <v>1198</v>
      </c>
      <c r="I317">
        <v>1080</v>
      </c>
      <c r="J317">
        <f t="shared" si="9"/>
        <v>-0.10925925925925926</v>
      </c>
    </row>
    <row r="318" spans="1:10">
      <c r="A318">
        <v>2026</v>
      </c>
      <c r="B318">
        <v>32</v>
      </c>
      <c r="C318" t="s">
        <v>8</v>
      </c>
      <c r="D318" t="s">
        <v>9</v>
      </c>
      <c r="E318" t="s">
        <v>78</v>
      </c>
      <c r="F318" t="s">
        <v>14</v>
      </c>
      <c r="G318" t="str">
        <f t="shared" si="8"/>
        <v>32005SUSPIRO</v>
      </c>
      <c r="H318">
        <v>2937</v>
      </c>
      <c r="I318">
        <v>3090</v>
      </c>
      <c r="J318">
        <f t="shared" si="9"/>
        <v>4.9514563106796118E-2</v>
      </c>
    </row>
    <row r="319" spans="1:10">
      <c r="A319">
        <v>2026</v>
      </c>
      <c r="B319">
        <v>32</v>
      </c>
      <c r="C319" t="s">
        <v>8</v>
      </c>
      <c r="D319" t="s">
        <v>9</v>
      </c>
      <c r="E319" t="s">
        <v>79</v>
      </c>
      <c r="F319" t="s">
        <v>15</v>
      </c>
      <c r="G319" t="str">
        <f t="shared" si="8"/>
        <v>32007SNOW BUBBLES</v>
      </c>
      <c r="H319">
        <v>1343</v>
      </c>
      <c r="I319">
        <v>1580</v>
      </c>
      <c r="J319">
        <f t="shared" si="9"/>
        <v>0.15</v>
      </c>
    </row>
    <row r="320" spans="1:10">
      <c r="A320">
        <v>2026</v>
      </c>
      <c r="B320">
        <v>32</v>
      </c>
      <c r="C320" t="s">
        <v>8</v>
      </c>
      <c r="D320" t="s">
        <v>9</v>
      </c>
      <c r="E320" t="s">
        <v>80</v>
      </c>
      <c r="F320" t="s">
        <v>13</v>
      </c>
      <c r="G320" t="str">
        <f t="shared" si="8"/>
        <v>32009HOT BUBBLES</v>
      </c>
      <c r="H320">
        <v>9358</v>
      </c>
      <c r="I320">
        <v>7400</v>
      </c>
      <c r="J320">
        <f t="shared" si="9"/>
        <v>-0.26459459459459461</v>
      </c>
    </row>
    <row r="321" spans="1:10">
      <c r="A321">
        <v>2026</v>
      </c>
      <c r="B321">
        <v>32</v>
      </c>
      <c r="C321" t="s">
        <v>8</v>
      </c>
      <c r="D321" t="s">
        <v>9</v>
      </c>
      <c r="E321" t="s">
        <v>81</v>
      </c>
      <c r="F321" t="s">
        <v>16</v>
      </c>
      <c r="G321" t="str">
        <f t="shared" si="8"/>
        <v>32014FRUITY BUBBLES</v>
      </c>
      <c r="H321">
        <v>3693</v>
      </c>
      <c r="I321">
        <v>4425</v>
      </c>
      <c r="J321">
        <f t="shared" si="9"/>
        <v>0.16542372881355932</v>
      </c>
    </row>
    <row r="322" spans="1:10">
      <c r="A322">
        <v>2026</v>
      </c>
      <c r="B322">
        <v>32</v>
      </c>
      <c r="C322" t="s">
        <v>8</v>
      </c>
      <c r="D322" t="s">
        <v>9</v>
      </c>
      <c r="E322" t="s">
        <v>82</v>
      </c>
      <c r="F322" t="s">
        <v>17</v>
      </c>
      <c r="G322" t="str">
        <f t="shared" si="8"/>
        <v>32015FELLINI</v>
      </c>
      <c r="H322">
        <v>5958</v>
      </c>
      <c r="I322">
        <v>7680</v>
      </c>
      <c r="J322">
        <f t="shared" si="9"/>
        <v>0.22421874999999999</v>
      </c>
    </row>
    <row r="323" spans="1:10">
      <c r="A323">
        <v>2026</v>
      </c>
      <c r="B323">
        <v>32</v>
      </c>
      <c r="C323" t="s">
        <v>8</v>
      </c>
      <c r="D323" t="s">
        <v>9</v>
      </c>
      <c r="E323" t="s">
        <v>83</v>
      </c>
      <c r="F323" t="s">
        <v>18</v>
      </c>
      <c r="G323" t="str">
        <f t="shared" ref="G323:G386" si="10">+B323&amp;E323&amp;F323</f>
        <v>32016GOOD PEACH</v>
      </c>
      <c r="H323">
        <v>2828</v>
      </c>
      <c r="I323">
        <v>3360</v>
      </c>
      <c r="J323">
        <f t="shared" ref="J323:J386" si="11">+(I323-H323)/I323</f>
        <v>0.15833333333333333</v>
      </c>
    </row>
    <row r="324" spans="1:10">
      <c r="A324">
        <v>2026</v>
      </c>
      <c r="B324">
        <v>32</v>
      </c>
      <c r="C324" t="s">
        <v>8</v>
      </c>
      <c r="D324" t="s">
        <v>9</v>
      </c>
      <c r="E324" t="s">
        <v>83</v>
      </c>
      <c r="F324" t="s">
        <v>19</v>
      </c>
      <c r="G324" t="str">
        <f t="shared" si="10"/>
        <v>32016GOOD YELLOW</v>
      </c>
      <c r="H324">
        <v>2903</v>
      </c>
      <c r="I324">
        <v>4680</v>
      </c>
      <c r="J324">
        <f t="shared" si="11"/>
        <v>0.37970085470085468</v>
      </c>
    </row>
    <row r="325" spans="1:10">
      <c r="A325">
        <v>2026</v>
      </c>
      <c r="B325">
        <v>32</v>
      </c>
      <c r="C325" t="s">
        <v>8</v>
      </c>
      <c r="D325" t="s">
        <v>9</v>
      </c>
      <c r="E325" t="s">
        <v>84</v>
      </c>
      <c r="F325" t="s">
        <v>20</v>
      </c>
      <c r="G325" t="str">
        <f t="shared" si="10"/>
        <v>32017ORANGE STAR</v>
      </c>
      <c r="H325">
        <v>1676</v>
      </c>
      <c r="I325">
        <v>1800</v>
      </c>
      <c r="J325">
        <f t="shared" si="11"/>
        <v>6.8888888888888888E-2</v>
      </c>
    </row>
    <row r="326" spans="1:10">
      <c r="A326">
        <v>2026</v>
      </c>
      <c r="B326">
        <v>32</v>
      </c>
      <c r="C326" t="s">
        <v>8</v>
      </c>
      <c r="D326" t="s">
        <v>9</v>
      </c>
      <c r="E326" t="s">
        <v>85</v>
      </c>
      <c r="F326" t="s">
        <v>21</v>
      </c>
      <c r="G326" t="str">
        <f t="shared" si="10"/>
        <v>32018COSMO</v>
      </c>
      <c r="H326">
        <v>4708</v>
      </c>
      <c r="I326">
        <v>5275</v>
      </c>
      <c r="J326">
        <f t="shared" si="11"/>
        <v>0.10748815165876777</v>
      </c>
    </row>
    <row r="327" spans="1:10">
      <c r="A327">
        <v>2026</v>
      </c>
      <c r="B327">
        <v>32</v>
      </c>
      <c r="C327" t="s">
        <v>8</v>
      </c>
      <c r="D327" t="s">
        <v>9</v>
      </c>
      <c r="E327" t="s">
        <v>85</v>
      </c>
      <c r="F327" t="s">
        <v>22</v>
      </c>
      <c r="G327" t="str">
        <f t="shared" si="10"/>
        <v>32018RUBICON</v>
      </c>
      <c r="H327">
        <v>4397</v>
      </c>
      <c r="I327">
        <v>3540</v>
      </c>
      <c r="J327">
        <f t="shared" si="11"/>
        <v>-0.24209039548022598</v>
      </c>
    </row>
    <row r="328" spans="1:10">
      <c r="A328">
        <v>2026</v>
      </c>
      <c r="B328">
        <v>32</v>
      </c>
      <c r="C328" t="s">
        <v>8</v>
      </c>
      <c r="D328" t="s">
        <v>9</v>
      </c>
      <c r="E328" t="s">
        <v>86</v>
      </c>
      <c r="F328" t="s">
        <v>11</v>
      </c>
      <c r="G328" t="str">
        <f t="shared" si="10"/>
        <v>32019BELLINA</v>
      </c>
      <c r="H328">
        <v>1808</v>
      </c>
      <c r="I328">
        <v>1740</v>
      </c>
      <c r="J328">
        <f t="shared" si="11"/>
        <v>-3.9080459770114942E-2</v>
      </c>
    </row>
    <row r="329" spans="1:10">
      <c r="A329">
        <v>2026</v>
      </c>
      <c r="B329">
        <v>32</v>
      </c>
      <c r="C329" t="s">
        <v>8</v>
      </c>
      <c r="D329" t="s">
        <v>9</v>
      </c>
      <c r="E329" t="s">
        <v>87</v>
      </c>
      <c r="F329" t="s">
        <v>23</v>
      </c>
      <c r="G329" t="str">
        <f t="shared" si="10"/>
        <v>32020SUMMER DANCE</v>
      </c>
      <c r="H329">
        <v>3869</v>
      </c>
      <c r="I329">
        <v>3675</v>
      </c>
      <c r="J329">
        <f t="shared" si="11"/>
        <v>-5.2789115646258503E-2</v>
      </c>
    </row>
    <row r="330" spans="1:10">
      <c r="A330">
        <v>2026</v>
      </c>
      <c r="B330">
        <v>32</v>
      </c>
      <c r="C330" t="s">
        <v>8</v>
      </c>
      <c r="D330" t="s">
        <v>9</v>
      </c>
      <c r="E330" t="s">
        <v>88</v>
      </c>
      <c r="F330" t="s">
        <v>24</v>
      </c>
      <c r="G330" t="str">
        <f t="shared" si="10"/>
        <v>32021ELEGANT ROSEVER</v>
      </c>
      <c r="H330">
        <v>631</v>
      </c>
      <c r="I330">
        <v>540</v>
      </c>
      <c r="J330">
        <f t="shared" si="11"/>
        <v>-0.16851851851851851</v>
      </c>
    </row>
    <row r="331" spans="1:10">
      <c r="A331">
        <v>2026</v>
      </c>
      <c r="B331">
        <v>32</v>
      </c>
      <c r="C331" t="s">
        <v>8</v>
      </c>
      <c r="D331" t="s">
        <v>9</v>
      </c>
      <c r="E331" t="s">
        <v>88</v>
      </c>
      <c r="F331" t="s">
        <v>25</v>
      </c>
      <c r="G331" t="str">
        <f t="shared" si="10"/>
        <v>32021FLAME CLUB</v>
      </c>
      <c r="H331">
        <v>1876</v>
      </c>
      <c r="I331">
        <v>1450</v>
      </c>
      <c r="J331">
        <f t="shared" si="11"/>
        <v>-0.29379310344827586</v>
      </c>
    </row>
    <row r="332" spans="1:10">
      <c r="A332">
        <v>2026</v>
      </c>
      <c r="B332">
        <v>32</v>
      </c>
      <c r="C332" t="s">
        <v>8</v>
      </c>
      <c r="D332" t="s">
        <v>9</v>
      </c>
      <c r="E332" t="s">
        <v>88</v>
      </c>
      <c r="F332" t="s">
        <v>26</v>
      </c>
      <c r="G332" t="str">
        <f t="shared" si="10"/>
        <v>32021KELLY</v>
      </c>
      <c r="H332">
        <v>627</v>
      </c>
      <c r="I332">
        <v>450</v>
      </c>
      <c r="J332">
        <f t="shared" si="11"/>
        <v>-0.39333333333333331</v>
      </c>
    </row>
    <row r="333" spans="1:10">
      <c r="A333">
        <v>2026</v>
      </c>
      <c r="B333">
        <v>32</v>
      </c>
      <c r="C333" t="s">
        <v>8</v>
      </c>
      <c r="D333" t="s">
        <v>9</v>
      </c>
      <c r="E333" t="s">
        <v>88</v>
      </c>
      <c r="F333" t="s">
        <v>27</v>
      </c>
      <c r="G333" t="str">
        <f t="shared" si="10"/>
        <v>32021LEILA</v>
      </c>
      <c r="H333">
        <v>2132</v>
      </c>
      <c r="I333">
        <v>700</v>
      </c>
      <c r="J333">
        <f t="shared" si="11"/>
        <v>-2.0457142857142858</v>
      </c>
    </row>
    <row r="334" spans="1:10">
      <c r="A334">
        <v>2026</v>
      </c>
      <c r="B334">
        <v>32</v>
      </c>
      <c r="C334" t="s">
        <v>8</v>
      </c>
      <c r="D334" t="s">
        <v>9</v>
      </c>
      <c r="E334" t="s">
        <v>88</v>
      </c>
      <c r="F334" t="s">
        <v>15</v>
      </c>
      <c r="G334" t="str">
        <f t="shared" si="10"/>
        <v>32021SNOW BUBBLES</v>
      </c>
      <c r="H334">
        <v>3491</v>
      </c>
      <c r="I334">
        <v>2440</v>
      </c>
      <c r="J334">
        <f t="shared" si="11"/>
        <v>-0.43073770491803276</v>
      </c>
    </row>
    <row r="335" spans="1:10">
      <c r="A335">
        <v>2026</v>
      </c>
      <c r="B335">
        <v>32</v>
      </c>
      <c r="C335" t="s">
        <v>8</v>
      </c>
      <c r="D335" t="s">
        <v>9</v>
      </c>
      <c r="E335" t="s">
        <v>89</v>
      </c>
      <c r="F335" t="s">
        <v>16</v>
      </c>
      <c r="G335" t="str">
        <f t="shared" si="10"/>
        <v>32022FRUITY BUBBLES</v>
      </c>
      <c r="H335">
        <v>5713</v>
      </c>
      <c r="I335">
        <v>4650</v>
      </c>
      <c r="J335">
        <f t="shared" si="11"/>
        <v>-0.22860215053763441</v>
      </c>
    </row>
    <row r="336" spans="1:10">
      <c r="A336">
        <v>2026</v>
      </c>
      <c r="B336">
        <v>32</v>
      </c>
      <c r="C336" t="s">
        <v>8</v>
      </c>
      <c r="D336" t="s">
        <v>9</v>
      </c>
      <c r="E336" t="s">
        <v>89</v>
      </c>
      <c r="F336" t="s">
        <v>18</v>
      </c>
      <c r="G336" t="str">
        <f t="shared" si="10"/>
        <v>32022GOOD PEACH</v>
      </c>
      <c r="H336">
        <v>2052</v>
      </c>
      <c r="I336">
        <v>2070</v>
      </c>
      <c r="J336">
        <f t="shared" si="11"/>
        <v>8.6956521739130436E-3</v>
      </c>
    </row>
    <row r="337" spans="1:10">
      <c r="A337">
        <v>2026</v>
      </c>
      <c r="B337">
        <v>32</v>
      </c>
      <c r="C337" t="s">
        <v>8</v>
      </c>
      <c r="D337" t="s">
        <v>9</v>
      </c>
      <c r="E337" t="s">
        <v>89</v>
      </c>
      <c r="F337" t="s">
        <v>28</v>
      </c>
      <c r="G337" t="str">
        <f t="shared" si="10"/>
        <v>32022MIRABEL</v>
      </c>
      <c r="H337">
        <v>1657</v>
      </c>
      <c r="I337">
        <v>2180</v>
      </c>
      <c r="J337">
        <f t="shared" si="11"/>
        <v>0.23990825688073394</v>
      </c>
    </row>
    <row r="338" spans="1:10">
      <c r="A338">
        <v>2026</v>
      </c>
      <c r="B338">
        <v>32</v>
      </c>
      <c r="C338" t="s">
        <v>8</v>
      </c>
      <c r="D338" t="s">
        <v>9</v>
      </c>
      <c r="E338" t="s">
        <v>90</v>
      </c>
      <c r="F338" t="s">
        <v>28</v>
      </c>
      <c r="G338" t="str">
        <f t="shared" si="10"/>
        <v>32030MIRABEL</v>
      </c>
      <c r="H338">
        <v>3938</v>
      </c>
      <c r="I338">
        <v>4980</v>
      </c>
      <c r="J338">
        <f t="shared" si="11"/>
        <v>0.20923694779116467</v>
      </c>
    </row>
    <row r="339" spans="1:10">
      <c r="A339">
        <v>2026</v>
      </c>
      <c r="B339">
        <v>32</v>
      </c>
      <c r="C339" t="s">
        <v>8</v>
      </c>
      <c r="D339" t="s">
        <v>9</v>
      </c>
      <c r="E339" t="s">
        <v>90</v>
      </c>
      <c r="F339" t="s">
        <v>10</v>
      </c>
      <c r="G339" t="str">
        <f t="shared" si="10"/>
        <v>32030SOMERSET</v>
      </c>
      <c r="H339">
        <v>3749</v>
      </c>
      <c r="I339">
        <v>4000</v>
      </c>
      <c r="J339">
        <f t="shared" si="11"/>
        <v>6.275E-2</v>
      </c>
    </row>
    <row r="340" spans="1:10">
      <c r="A340">
        <v>2026</v>
      </c>
      <c r="B340">
        <v>32</v>
      </c>
      <c r="C340" t="s">
        <v>8</v>
      </c>
      <c r="D340" t="s">
        <v>9</v>
      </c>
      <c r="E340" t="s">
        <v>91</v>
      </c>
      <c r="F340" t="s">
        <v>29</v>
      </c>
      <c r="G340" t="str">
        <f t="shared" si="10"/>
        <v>3203182989</v>
      </c>
      <c r="H340">
        <v>1601</v>
      </c>
      <c r="I340">
        <v>780</v>
      </c>
      <c r="J340">
        <f t="shared" si="11"/>
        <v>-1.0525641025641026</v>
      </c>
    </row>
    <row r="341" spans="1:10">
      <c r="A341">
        <v>2026</v>
      </c>
      <c r="B341">
        <v>32</v>
      </c>
      <c r="C341" t="s">
        <v>8</v>
      </c>
      <c r="D341" t="s">
        <v>9</v>
      </c>
      <c r="E341" t="s">
        <v>91</v>
      </c>
      <c r="F341" t="s">
        <v>22</v>
      </c>
      <c r="G341" t="str">
        <f t="shared" si="10"/>
        <v>32031RUBICON</v>
      </c>
      <c r="H341">
        <v>2345</v>
      </c>
      <c r="I341">
        <v>2700</v>
      </c>
      <c r="J341">
        <f t="shared" si="11"/>
        <v>0.13148148148148148</v>
      </c>
    </row>
    <row r="342" spans="1:10">
      <c r="A342">
        <v>2026</v>
      </c>
      <c r="B342">
        <v>32</v>
      </c>
      <c r="C342" t="s">
        <v>8</v>
      </c>
      <c r="D342" t="s">
        <v>9</v>
      </c>
      <c r="E342" t="s">
        <v>91</v>
      </c>
      <c r="F342" t="s">
        <v>10</v>
      </c>
      <c r="G342" t="str">
        <f t="shared" si="10"/>
        <v>32031SOMERSET</v>
      </c>
      <c r="H342">
        <v>2480</v>
      </c>
      <c r="I342">
        <v>960</v>
      </c>
      <c r="J342">
        <f t="shared" si="11"/>
        <v>-1.5833333333333333</v>
      </c>
    </row>
    <row r="343" spans="1:10">
      <c r="A343">
        <v>2026</v>
      </c>
      <c r="B343">
        <v>32</v>
      </c>
      <c r="C343" t="s">
        <v>8</v>
      </c>
      <c r="D343" t="s">
        <v>9</v>
      </c>
      <c r="E343" t="s">
        <v>91</v>
      </c>
      <c r="F343" t="s">
        <v>30</v>
      </c>
      <c r="G343" t="str">
        <f t="shared" si="10"/>
        <v>32031VELVET BLOSSOMS</v>
      </c>
      <c r="H343">
        <v>513</v>
      </c>
      <c r="I343">
        <v>760</v>
      </c>
      <c r="J343">
        <f t="shared" si="11"/>
        <v>0.32500000000000001</v>
      </c>
    </row>
    <row r="344" spans="1:10">
      <c r="A344">
        <v>2026</v>
      </c>
      <c r="B344">
        <v>32</v>
      </c>
      <c r="C344" t="s">
        <v>8</v>
      </c>
      <c r="D344" t="s">
        <v>9</v>
      </c>
      <c r="E344" t="s">
        <v>92</v>
      </c>
      <c r="F344" t="s">
        <v>12</v>
      </c>
      <c r="G344" t="str">
        <f t="shared" si="10"/>
        <v>32032ELBA</v>
      </c>
      <c r="H344">
        <v>2912</v>
      </c>
      <c r="I344">
        <v>3090</v>
      </c>
      <c r="J344">
        <f t="shared" si="11"/>
        <v>5.7605177993527511E-2</v>
      </c>
    </row>
    <row r="345" spans="1:10">
      <c r="A345">
        <v>2026</v>
      </c>
      <c r="B345">
        <v>32</v>
      </c>
      <c r="C345" t="s">
        <v>8</v>
      </c>
      <c r="D345" t="s">
        <v>9</v>
      </c>
      <c r="E345" t="s">
        <v>92</v>
      </c>
      <c r="F345" t="s">
        <v>28</v>
      </c>
      <c r="G345" t="str">
        <f t="shared" si="10"/>
        <v>32032MIRABEL</v>
      </c>
      <c r="H345">
        <v>2118</v>
      </c>
      <c r="I345">
        <v>1880</v>
      </c>
      <c r="J345">
        <f t="shared" si="11"/>
        <v>-0.12659574468085105</v>
      </c>
    </row>
    <row r="346" spans="1:10">
      <c r="A346">
        <v>2026</v>
      </c>
      <c r="B346">
        <v>32</v>
      </c>
      <c r="C346" t="s">
        <v>8</v>
      </c>
      <c r="D346" t="s">
        <v>9</v>
      </c>
      <c r="E346" t="s">
        <v>93</v>
      </c>
      <c r="F346" t="s">
        <v>31</v>
      </c>
      <c r="G346" t="str">
        <f t="shared" si="10"/>
        <v>32033CREAMY FOLIES</v>
      </c>
      <c r="H346">
        <v>1205</v>
      </c>
      <c r="I346">
        <v>780</v>
      </c>
      <c r="J346">
        <f t="shared" si="11"/>
        <v>-0.54487179487179482</v>
      </c>
    </row>
    <row r="347" spans="1:10">
      <c r="A347">
        <v>2026</v>
      </c>
      <c r="B347">
        <v>32</v>
      </c>
      <c r="C347" t="s">
        <v>8</v>
      </c>
      <c r="D347" t="s">
        <v>9</v>
      </c>
      <c r="E347" t="s">
        <v>93</v>
      </c>
      <c r="F347" t="s">
        <v>13</v>
      </c>
      <c r="G347" t="str">
        <f t="shared" si="10"/>
        <v>32033HOT BUBBLES</v>
      </c>
      <c r="H347">
        <v>3370</v>
      </c>
      <c r="I347">
        <v>5780</v>
      </c>
      <c r="J347">
        <f t="shared" si="11"/>
        <v>0.41695501730103807</v>
      </c>
    </row>
    <row r="348" spans="1:10">
      <c r="A348">
        <v>2026</v>
      </c>
      <c r="B348">
        <v>32</v>
      </c>
      <c r="C348" t="s">
        <v>32</v>
      </c>
      <c r="D348" t="s">
        <v>9</v>
      </c>
      <c r="E348" t="s">
        <v>94</v>
      </c>
      <c r="F348" t="s">
        <v>33</v>
      </c>
      <c r="G348" t="str">
        <f t="shared" si="10"/>
        <v>32001BELIEVE IN PINK</v>
      </c>
      <c r="H348">
        <v>1316</v>
      </c>
      <c r="I348">
        <v>1350</v>
      </c>
      <c r="J348">
        <f t="shared" si="11"/>
        <v>2.5185185185185185E-2</v>
      </c>
    </row>
    <row r="349" spans="1:10">
      <c r="A349">
        <v>2026</v>
      </c>
      <c r="B349">
        <v>32</v>
      </c>
      <c r="C349" t="s">
        <v>32</v>
      </c>
      <c r="D349" t="s">
        <v>9</v>
      </c>
      <c r="E349" t="s">
        <v>94</v>
      </c>
      <c r="F349" t="s">
        <v>34</v>
      </c>
      <c r="G349" t="str">
        <f t="shared" si="10"/>
        <v>32001EXPLORER</v>
      </c>
      <c r="H349">
        <v>3575</v>
      </c>
      <c r="I349">
        <v>4000</v>
      </c>
      <c r="J349">
        <f t="shared" si="11"/>
        <v>0.10625</v>
      </c>
    </row>
    <row r="350" spans="1:10">
      <c r="A350">
        <v>2026</v>
      </c>
      <c r="B350">
        <v>32</v>
      </c>
      <c r="C350" t="s">
        <v>32</v>
      </c>
      <c r="D350" t="s">
        <v>9</v>
      </c>
      <c r="E350" t="s">
        <v>94</v>
      </c>
      <c r="F350" t="s">
        <v>35</v>
      </c>
      <c r="G350" t="str">
        <f t="shared" si="10"/>
        <v>32001GRACE KELLY</v>
      </c>
      <c r="H350">
        <v>1674</v>
      </c>
      <c r="I350">
        <v>2430</v>
      </c>
      <c r="J350">
        <f t="shared" si="11"/>
        <v>0.31111111111111112</v>
      </c>
    </row>
    <row r="351" spans="1:10">
      <c r="A351">
        <v>2026</v>
      </c>
      <c r="B351">
        <v>32</v>
      </c>
      <c r="C351" t="s">
        <v>32</v>
      </c>
      <c r="D351" t="s">
        <v>9</v>
      </c>
      <c r="E351" t="s">
        <v>94</v>
      </c>
      <c r="F351" t="s">
        <v>36</v>
      </c>
      <c r="G351" t="str">
        <f t="shared" si="10"/>
        <v>32001LIGHT HOUSE</v>
      </c>
      <c r="H351">
        <v>1822</v>
      </c>
      <c r="I351">
        <v>2850</v>
      </c>
      <c r="J351">
        <f t="shared" si="11"/>
        <v>0.36070175438596491</v>
      </c>
    </row>
    <row r="352" spans="1:10">
      <c r="A352">
        <v>2026</v>
      </c>
      <c r="B352">
        <v>32</v>
      </c>
      <c r="C352" t="s">
        <v>32</v>
      </c>
      <c r="D352" t="s">
        <v>9</v>
      </c>
      <c r="E352" t="s">
        <v>94</v>
      </c>
      <c r="F352" t="s">
        <v>37</v>
      </c>
      <c r="G352" t="str">
        <f t="shared" si="10"/>
        <v>32001LUMIA</v>
      </c>
      <c r="H352">
        <v>3335</v>
      </c>
      <c r="I352">
        <v>3300</v>
      </c>
      <c r="J352">
        <f t="shared" si="11"/>
        <v>-1.0606060606060607E-2</v>
      </c>
    </row>
    <row r="353" spans="1:10">
      <c r="A353">
        <v>2026</v>
      </c>
      <c r="B353">
        <v>32</v>
      </c>
      <c r="C353" t="s">
        <v>32</v>
      </c>
      <c r="D353" t="s">
        <v>9</v>
      </c>
      <c r="E353" t="s">
        <v>94</v>
      </c>
      <c r="F353" t="s">
        <v>38</v>
      </c>
      <c r="G353" t="str">
        <f t="shared" si="10"/>
        <v>32001MOMENTUM</v>
      </c>
      <c r="H353">
        <v>3894</v>
      </c>
      <c r="I353">
        <v>5275</v>
      </c>
      <c r="J353">
        <f t="shared" si="11"/>
        <v>0.26180094786729857</v>
      </c>
    </row>
    <row r="354" spans="1:10">
      <c r="A354">
        <v>2026</v>
      </c>
      <c r="B354">
        <v>32</v>
      </c>
      <c r="C354" t="s">
        <v>32</v>
      </c>
      <c r="D354" t="s">
        <v>9</v>
      </c>
      <c r="E354" t="s">
        <v>76</v>
      </c>
      <c r="F354" t="s">
        <v>39</v>
      </c>
      <c r="G354" t="str">
        <f t="shared" si="10"/>
        <v>32002SWEETNESS</v>
      </c>
      <c r="H354">
        <v>6514</v>
      </c>
      <c r="I354">
        <v>6870</v>
      </c>
      <c r="J354">
        <f t="shared" si="11"/>
        <v>5.1819505094614263E-2</v>
      </c>
    </row>
    <row r="355" spans="1:10">
      <c r="A355">
        <v>2026</v>
      </c>
      <c r="B355">
        <v>32</v>
      </c>
      <c r="C355" t="s">
        <v>32</v>
      </c>
      <c r="D355" t="s">
        <v>9</v>
      </c>
      <c r="E355" t="s">
        <v>95</v>
      </c>
      <c r="F355" t="s">
        <v>40</v>
      </c>
      <c r="G355" t="str">
        <f t="shared" si="10"/>
        <v>32003CABARET</v>
      </c>
      <c r="H355">
        <v>5116</v>
      </c>
      <c r="I355">
        <v>6870</v>
      </c>
      <c r="J355">
        <f t="shared" si="11"/>
        <v>0.25531295487627365</v>
      </c>
    </row>
    <row r="356" spans="1:10">
      <c r="A356">
        <v>2026</v>
      </c>
      <c r="B356">
        <v>32</v>
      </c>
      <c r="C356" t="s">
        <v>32</v>
      </c>
      <c r="D356" t="s">
        <v>9</v>
      </c>
      <c r="E356" t="s">
        <v>95</v>
      </c>
      <c r="F356" t="s">
        <v>41</v>
      </c>
      <c r="G356" t="str">
        <f t="shared" si="10"/>
        <v>32003DEEP PURPLE</v>
      </c>
      <c r="H356">
        <v>10514</v>
      </c>
      <c r="I356">
        <v>8820</v>
      </c>
      <c r="J356">
        <f t="shared" si="11"/>
        <v>-0.19206349206349208</v>
      </c>
    </row>
    <row r="357" spans="1:10">
      <c r="A357">
        <v>2026</v>
      </c>
      <c r="B357">
        <v>32</v>
      </c>
      <c r="C357" t="s">
        <v>32</v>
      </c>
      <c r="D357" t="s">
        <v>9</v>
      </c>
      <c r="E357" t="s">
        <v>95</v>
      </c>
      <c r="F357" t="s">
        <v>34</v>
      </c>
      <c r="G357" t="str">
        <f t="shared" si="10"/>
        <v>32003EXPLORER</v>
      </c>
      <c r="H357">
        <v>1953</v>
      </c>
      <c r="I357">
        <v>2125</v>
      </c>
      <c r="J357">
        <f t="shared" si="11"/>
        <v>8.0941176470588239E-2</v>
      </c>
    </row>
    <row r="358" spans="1:10">
      <c r="A358">
        <v>2026</v>
      </c>
      <c r="B358">
        <v>32</v>
      </c>
      <c r="C358" t="s">
        <v>32</v>
      </c>
      <c r="D358" t="s">
        <v>9</v>
      </c>
      <c r="E358" t="s">
        <v>95</v>
      </c>
      <c r="F358" t="s">
        <v>42</v>
      </c>
      <c r="G358" t="str">
        <f t="shared" si="10"/>
        <v>32003JOCKER</v>
      </c>
      <c r="H358">
        <v>1044</v>
      </c>
      <c r="I358">
        <v>1125</v>
      </c>
      <c r="J358">
        <f t="shared" si="11"/>
        <v>7.1999999999999995E-2</v>
      </c>
    </row>
    <row r="359" spans="1:10">
      <c r="A359">
        <v>2026</v>
      </c>
      <c r="B359">
        <v>32</v>
      </c>
      <c r="C359" t="s">
        <v>32</v>
      </c>
      <c r="D359" t="s">
        <v>9</v>
      </c>
      <c r="E359" t="s">
        <v>95</v>
      </c>
      <c r="F359" t="s">
        <v>43</v>
      </c>
      <c r="G359" t="str">
        <f t="shared" si="10"/>
        <v>32003QUICKSAND</v>
      </c>
      <c r="H359">
        <v>1998</v>
      </c>
      <c r="I359">
        <v>1860</v>
      </c>
      <c r="J359">
        <f t="shared" si="11"/>
        <v>-7.4193548387096769E-2</v>
      </c>
    </row>
    <row r="360" spans="1:10">
      <c r="A360">
        <v>2026</v>
      </c>
      <c r="B360">
        <v>32</v>
      </c>
      <c r="C360" t="s">
        <v>32</v>
      </c>
      <c r="D360" t="s">
        <v>9</v>
      </c>
      <c r="E360" t="s">
        <v>77</v>
      </c>
      <c r="F360" t="s">
        <v>44</v>
      </c>
      <c r="G360" t="str">
        <f t="shared" si="10"/>
        <v>32004COTOPAXI</v>
      </c>
      <c r="H360">
        <v>1185</v>
      </c>
      <c r="I360">
        <v>900</v>
      </c>
      <c r="J360">
        <f t="shared" si="11"/>
        <v>-0.31666666666666665</v>
      </c>
    </row>
    <row r="361" spans="1:10">
      <c r="A361">
        <v>2026</v>
      </c>
      <c r="B361">
        <v>32</v>
      </c>
      <c r="C361" t="s">
        <v>32</v>
      </c>
      <c r="D361" t="s">
        <v>9</v>
      </c>
      <c r="E361" t="s">
        <v>77</v>
      </c>
      <c r="F361" t="s">
        <v>41</v>
      </c>
      <c r="G361" t="str">
        <f t="shared" si="10"/>
        <v>32004DEEP PURPLE</v>
      </c>
      <c r="H361">
        <v>11914</v>
      </c>
      <c r="I361">
        <v>12060</v>
      </c>
      <c r="J361">
        <f t="shared" si="11"/>
        <v>1.2106135986733001E-2</v>
      </c>
    </row>
    <row r="362" spans="1:10">
      <c r="A362">
        <v>2026</v>
      </c>
      <c r="B362">
        <v>32</v>
      </c>
      <c r="C362" t="s">
        <v>32</v>
      </c>
      <c r="D362" t="s">
        <v>9</v>
      </c>
      <c r="E362" t="s">
        <v>77</v>
      </c>
      <c r="F362" t="s">
        <v>45</v>
      </c>
      <c r="G362" t="str">
        <f t="shared" si="10"/>
        <v>32004HOT EXPLORER</v>
      </c>
      <c r="H362">
        <v>2543</v>
      </c>
      <c r="I362">
        <v>1675</v>
      </c>
      <c r="J362">
        <f t="shared" si="11"/>
        <v>-0.51820895522388055</v>
      </c>
    </row>
    <row r="363" spans="1:10">
      <c r="A363">
        <v>2026</v>
      </c>
      <c r="B363">
        <v>32</v>
      </c>
      <c r="C363" t="s">
        <v>32</v>
      </c>
      <c r="D363" t="s">
        <v>9</v>
      </c>
      <c r="E363" t="s">
        <v>77</v>
      </c>
      <c r="F363" t="s">
        <v>46</v>
      </c>
      <c r="G363" t="str">
        <f t="shared" si="10"/>
        <v>32004HOT MERENGUE</v>
      </c>
      <c r="H363">
        <v>2461</v>
      </c>
      <c r="I363">
        <v>2610</v>
      </c>
      <c r="J363">
        <f t="shared" si="11"/>
        <v>5.7088122605363986E-2</v>
      </c>
    </row>
    <row r="364" spans="1:10">
      <c r="A364">
        <v>2026</v>
      </c>
      <c r="B364">
        <v>32</v>
      </c>
      <c r="C364" t="s">
        <v>32</v>
      </c>
      <c r="D364" t="s">
        <v>9</v>
      </c>
      <c r="E364" t="s">
        <v>77</v>
      </c>
      <c r="F364" t="s">
        <v>39</v>
      </c>
      <c r="G364" t="str">
        <f t="shared" si="10"/>
        <v>32004SWEETNESS</v>
      </c>
      <c r="H364">
        <v>755</v>
      </c>
      <c r="I364">
        <v>540</v>
      </c>
      <c r="J364">
        <f t="shared" si="11"/>
        <v>-0.39814814814814814</v>
      </c>
    </row>
    <row r="365" spans="1:10">
      <c r="A365">
        <v>2026</v>
      </c>
      <c r="B365">
        <v>32</v>
      </c>
      <c r="C365" t="s">
        <v>32</v>
      </c>
      <c r="D365" t="s">
        <v>9</v>
      </c>
      <c r="E365" t="s">
        <v>78</v>
      </c>
      <c r="F365" t="s">
        <v>34</v>
      </c>
      <c r="G365" t="str">
        <f t="shared" si="10"/>
        <v>32005EXPLORER</v>
      </c>
      <c r="H365">
        <v>1215</v>
      </c>
      <c r="I365">
        <v>1425</v>
      </c>
      <c r="J365">
        <f t="shared" si="11"/>
        <v>0.14736842105263157</v>
      </c>
    </row>
    <row r="366" spans="1:10">
      <c r="A366">
        <v>2026</v>
      </c>
      <c r="B366">
        <v>32</v>
      </c>
      <c r="C366" t="s">
        <v>32</v>
      </c>
      <c r="D366" t="s">
        <v>9</v>
      </c>
      <c r="E366" t="s">
        <v>78</v>
      </c>
      <c r="F366" t="s">
        <v>47</v>
      </c>
      <c r="G366" t="str">
        <f t="shared" si="10"/>
        <v>32005GOLDFINCH</v>
      </c>
      <c r="H366">
        <v>936</v>
      </c>
      <c r="I366">
        <v>900</v>
      </c>
      <c r="J366">
        <f t="shared" si="11"/>
        <v>-0.04</v>
      </c>
    </row>
    <row r="367" spans="1:10">
      <c r="A367">
        <v>2026</v>
      </c>
      <c r="B367">
        <v>32</v>
      </c>
      <c r="C367" t="s">
        <v>32</v>
      </c>
      <c r="D367" t="s">
        <v>9</v>
      </c>
      <c r="E367" t="s">
        <v>78</v>
      </c>
      <c r="F367" t="s">
        <v>42</v>
      </c>
      <c r="G367" t="str">
        <f t="shared" si="10"/>
        <v>32005JOCKER</v>
      </c>
      <c r="H367">
        <v>2026</v>
      </c>
      <c r="I367">
        <v>2375</v>
      </c>
      <c r="J367">
        <f t="shared" si="11"/>
        <v>0.14694736842105263</v>
      </c>
    </row>
    <row r="368" spans="1:10">
      <c r="A368">
        <v>2026</v>
      </c>
      <c r="B368">
        <v>32</v>
      </c>
      <c r="C368" t="s">
        <v>32</v>
      </c>
      <c r="D368" t="s">
        <v>9</v>
      </c>
      <c r="E368" t="s">
        <v>78</v>
      </c>
      <c r="F368" t="s">
        <v>48</v>
      </c>
      <c r="G368" t="str">
        <f t="shared" si="10"/>
        <v>32005VENDELA</v>
      </c>
      <c r="H368">
        <v>2159</v>
      </c>
      <c r="I368">
        <v>1710</v>
      </c>
      <c r="J368">
        <f t="shared" si="11"/>
        <v>-0.26257309941520468</v>
      </c>
    </row>
    <row r="369" spans="1:10">
      <c r="A369">
        <v>2026</v>
      </c>
      <c r="B369">
        <v>32</v>
      </c>
      <c r="C369" t="s">
        <v>32</v>
      </c>
      <c r="D369" t="s">
        <v>9</v>
      </c>
      <c r="E369" t="s">
        <v>96</v>
      </c>
      <c r="F369" t="s">
        <v>49</v>
      </c>
      <c r="G369" t="str">
        <f t="shared" si="10"/>
        <v>32006ATOMIC</v>
      </c>
      <c r="H369">
        <v>1088</v>
      </c>
      <c r="I369">
        <v>950</v>
      </c>
      <c r="J369">
        <f t="shared" si="11"/>
        <v>-0.14526315789473684</v>
      </c>
    </row>
    <row r="370" spans="1:10">
      <c r="A370">
        <v>2026</v>
      </c>
      <c r="B370">
        <v>32</v>
      </c>
      <c r="C370" t="s">
        <v>32</v>
      </c>
      <c r="D370" t="s">
        <v>9</v>
      </c>
      <c r="E370" t="s">
        <v>96</v>
      </c>
      <c r="F370" t="s">
        <v>34</v>
      </c>
      <c r="G370" t="str">
        <f t="shared" si="10"/>
        <v>32006EXPLORER</v>
      </c>
      <c r="H370">
        <v>5658</v>
      </c>
      <c r="I370">
        <v>5100</v>
      </c>
      <c r="J370">
        <f t="shared" si="11"/>
        <v>-0.10941176470588235</v>
      </c>
    </row>
    <row r="371" spans="1:10">
      <c r="A371">
        <v>2026</v>
      </c>
      <c r="B371">
        <v>32</v>
      </c>
      <c r="C371" t="s">
        <v>32</v>
      </c>
      <c r="D371" t="s">
        <v>9</v>
      </c>
      <c r="E371" t="s">
        <v>96</v>
      </c>
      <c r="F371" t="s">
        <v>50</v>
      </c>
      <c r="G371" t="str">
        <f t="shared" si="10"/>
        <v>32006MONDIAL</v>
      </c>
      <c r="H371">
        <v>6266</v>
      </c>
      <c r="I371">
        <v>9500</v>
      </c>
      <c r="J371">
        <f t="shared" si="11"/>
        <v>0.34042105263157896</v>
      </c>
    </row>
    <row r="372" spans="1:10">
      <c r="A372">
        <v>2026</v>
      </c>
      <c r="B372">
        <v>32</v>
      </c>
      <c r="C372" t="s">
        <v>32</v>
      </c>
      <c r="D372" t="s">
        <v>9</v>
      </c>
      <c r="E372" t="s">
        <v>79</v>
      </c>
      <c r="F372" t="s">
        <v>44</v>
      </c>
      <c r="G372" t="str">
        <f t="shared" si="10"/>
        <v>32007COTOPAXI</v>
      </c>
      <c r="H372">
        <v>6492</v>
      </c>
      <c r="I372">
        <v>5850</v>
      </c>
      <c r="J372">
        <f t="shared" si="11"/>
        <v>-0.10974358974358975</v>
      </c>
    </row>
    <row r="373" spans="1:10">
      <c r="A373">
        <v>2026</v>
      </c>
      <c r="B373">
        <v>32</v>
      </c>
      <c r="C373" t="s">
        <v>32</v>
      </c>
      <c r="D373" t="s">
        <v>9</v>
      </c>
      <c r="E373" t="s">
        <v>79</v>
      </c>
      <c r="F373" t="s">
        <v>51</v>
      </c>
      <c r="G373" t="str">
        <f t="shared" si="10"/>
        <v>32007REDIANT</v>
      </c>
      <c r="H373">
        <v>1383</v>
      </c>
      <c r="I373">
        <v>2160</v>
      </c>
      <c r="J373">
        <f t="shared" si="11"/>
        <v>0.35972222222222222</v>
      </c>
    </row>
    <row r="374" spans="1:10">
      <c r="A374">
        <v>2026</v>
      </c>
      <c r="B374">
        <v>32</v>
      </c>
      <c r="C374" t="s">
        <v>32</v>
      </c>
      <c r="D374" t="s">
        <v>9</v>
      </c>
      <c r="E374" t="s">
        <v>79</v>
      </c>
      <c r="F374" t="s">
        <v>48</v>
      </c>
      <c r="G374" t="str">
        <f t="shared" si="10"/>
        <v>32007VENDELA</v>
      </c>
      <c r="H374">
        <v>13641</v>
      </c>
      <c r="I374">
        <v>10650</v>
      </c>
      <c r="J374">
        <f t="shared" si="11"/>
        <v>-0.2808450704225352</v>
      </c>
    </row>
    <row r="375" spans="1:10">
      <c r="A375">
        <v>2026</v>
      </c>
      <c r="B375">
        <v>32</v>
      </c>
      <c r="C375" t="s">
        <v>32</v>
      </c>
      <c r="D375" t="s">
        <v>9</v>
      </c>
      <c r="E375" t="s">
        <v>97</v>
      </c>
      <c r="F375" t="s">
        <v>41</v>
      </c>
      <c r="G375" t="str">
        <f t="shared" si="10"/>
        <v>32008DEEP PURPLE</v>
      </c>
      <c r="H375">
        <v>5519</v>
      </c>
      <c r="I375">
        <v>5670</v>
      </c>
      <c r="J375">
        <f t="shared" si="11"/>
        <v>2.6631393298059965E-2</v>
      </c>
    </row>
    <row r="376" spans="1:10">
      <c r="A376">
        <v>2026</v>
      </c>
      <c r="B376">
        <v>32</v>
      </c>
      <c r="C376" t="s">
        <v>32</v>
      </c>
      <c r="D376" t="s">
        <v>9</v>
      </c>
      <c r="E376" t="s">
        <v>97</v>
      </c>
      <c r="F376" t="s">
        <v>52</v>
      </c>
      <c r="G376" t="str">
        <f t="shared" si="10"/>
        <v>32008FREEDOM</v>
      </c>
      <c r="H376">
        <v>3614</v>
      </c>
      <c r="I376">
        <v>2610</v>
      </c>
      <c r="J376">
        <f t="shared" si="11"/>
        <v>-0.38467432950191571</v>
      </c>
    </row>
    <row r="377" spans="1:10">
      <c r="A377">
        <v>2026</v>
      </c>
      <c r="B377">
        <v>32</v>
      </c>
      <c r="C377" t="s">
        <v>32</v>
      </c>
      <c r="D377" t="s">
        <v>9</v>
      </c>
      <c r="E377" t="s">
        <v>97</v>
      </c>
      <c r="F377" t="s">
        <v>42</v>
      </c>
      <c r="G377" t="str">
        <f t="shared" si="10"/>
        <v>32008JOCKER</v>
      </c>
      <c r="H377">
        <v>4772</v>
      </c>
      <c r="I377">
        <v>5750</v>
      </c>
      <c r="J377">
        <f t="shared" si="11"/>
        <v>0.17008695652173914</v>
      </c>
    </row>
    <row r="378" spans="1:10">
      <c r="A378">
        <v>2026</v>
      </c>
      <c r="B378">
        <v>32</v>
      </c>
      <c r="C378" t="s">
        <v>32</v>
      </c>
      <c r="D378" t="s">
        <v>9</v>
      </c>
      <c r="E378" t="s">
        <v>98</v>
      </c>
      <c r="F378" t="s">
        <v>53</v>
      </c>
      <c r="G378" t="str">
        <f t="shared" si="10"/>
        <v>32010COOLDOWN</v>
      </c>
      <c r="H378">
        <v>1799</v>
      </c>
      <c r="I378">
        <v>3825</v>
      </c>
      <c r="J378">
        <f t="shared" si="11"/>
        <v>0.52967320261437911</v>
      </c>
    </row>
    <row r="379" spans="1:10">
      <c r="A379">
        <v>2026</v>
      </c>
      <c r="B379">
        <v>32</v>
      </c>
      <c r="C379" t="s">
        <v>32</v>
      </c>
      <c r="D379" t="s">
        <v>9</v>
      </c>
      <c r="E379" t="s">
        <v>98</v>
      </c>
      <c r="F379" t="s">
        <v>54</v>
      </c>
      <c r="G379" t="str">
        <f t="shared" si="10"/>
        <v>32010VIOLET HILL</v>
      </c>
      <c r="H379">
        <v>2917</v>
      </c>
      <c r="I379">
        <v>5850</v>
      </c>
      <c r="J379">
        <f t="shared" si="11"/>
        <v>0.50136752136752138</v>
      </c>
    </row>
    <row r="380" spans="1:10">
      <c r="A380">
        <v>2026</v>
      </c>
      <c r="B380">
        <v>32</v>
      </c>
      <c r="C380" t="s">
        <v>32</v>
      </c>
      <c r="D380" t="s">
        <v>9</v>
      </c>
      <c r="E380" t="s">
        <v>99</v>
      </c>
      <c r="F380" t="s">
        <v>55</v>
      </c>
      <c r="G380" t="str">
        <f t="shared" si="10"/>
        <v>32011BRIGHTON</v>
      </c>
      <c r="H380">
        <v>3632</v>
      </c>
      <c r="I380">
        <v>3550</v>
      </c>
      <c r="J380">
        <f t="shared" si="11"/>
        <v>-2.3098591549295774E-2</v>
      </c>
    </row>
    <row r="381" spans="1:10">
      <c r="A381">
        <v>2026</v>
      </c>
      <c r="B381">
        <v>32</v>
      </c>
      <c r="C381" t="s">
        <v>32</v>
      </c>
      <c r="D381" t="s">
        <v>9</v>
      </c>
      <c r="E381" t="s">
        <v>99</v>
      </c>
      <c r="F381" t="s">
        <v>56</v>
      </c>
      <c r="G381" t="str">
        <f t="shared" si="10"/>
        <v>32011CANDLELIGHT</v>
      </c>
      <c r="H381">
        <v>3976</v>
      </c>
      <c r="I381">
        <v>4640</v>
      </c>
      <c r="J381">
        <f t="shared" si="11"/>
        <v>0.14310344827586208</v>
      </c>
    </row>
    <row r="382" spans="1:10">
      <c r="A382">
        <v>2026</v>
      </c>
      <c r="B382">
        <v>32</v>
      </c>
      <c r="C382" t="s">
        <v>32</v>
      </c>
      <c r="D382" t="s">
        <v>9</v>
      </c>
      <c r="E382" t="s">
        <v>99</v>
      </c>
      <c r="F382" t="s">
        <v>57</v>
      </c>
      <c r="G382" t="str">
        <f t="shared" si="10"/>
        <v>32011CAYENNE</v>
      </c>
      <c r="H382">
        <v>1186</v>
      </c>
      <c r="I382">
        <v>1530</v>
      </c>
      <c r="J382">
        <f t="shared" si="11"/>
        <v>0.22483660130718955</v>
      </c>
    </row>
    <row r="383" spans="1:10">
      <c r="A383">
        <v>2026</v>
      </c>
      <c r="B383">
        <v>32</v>
      </c>
      <c r="C383" t="s">
        <v>32</v>
      </c>
      <c r="D383" t="s">
        <v>9</v>
      </c>
      <c r="E383" t="s">
        <v>99</v>
      </c>
      <c r="F383" t="s">
        <v>37</v>
      </c>
      <c r="G383" t="str">
        <f t="shared" si="10"/>
        <v>32011LUMIA</v>
      </c>
      <c r="H383">
        <v>2932</v>
      </c>
      <c r="I383">
        <v>2640</v>
      </c>
      <c r="J383">
        <f t="shared" si="11"/>
        <v>-0.11060606060606061</v>
      </c>
    </row>
    <row r="384" spans="1:10">
      <c r="A384">
        <v>2026</v>
      </c>
      <c r="B384">
        <v>32</v>
      </c>
      <c r="C384" t="s">
        <v>32</v>
      </c>
      <c r="D384" t="s">
        <v>9</v>
      </c>
      <c r="E384" t="s">
        <v>99</v>
      </c>
      <c r="F384" t="s">
        <v>58</v>
      </c>
      <c r="G384" t="str">
        <f t="shared" si="10"/>
        <v>32011STARDUST</v>
      </c>
      <c r="H384">
        <v>3074</v>
      </c>
      <c r="I384">
        <v>4525</v>
      </c>
      <c r="J384">
        <f t="shared" si="11"/>
        <v>0.32066298342541438</v>
      </c>
    </row>
    <row r="385" spans="1:10">
      <c r="A385">
        <v>2026</v>
      </c>
      <c r="B385">
        <v>32</v>
      </c>
      <c r="C385" t="s">
        <v>32</v>
      </c>
      <c r="D385" t="s">
        <v>9</v>
      </c>
      <c r="E385" t="s">
        <v>100</v>
      </c>
      <c r="F385" t="s">
        <v>41</v>
      </c>
      <c r="G385" t="str">
        <f t="shared" si="10"/>
        <v>32012DEEP PURPLE</v>
      </c>
      <c r="H385">
        <v>17690</v>
      </c>
      <c r="I385">
        <v>19410</v>
      </c>
      <c r="J385">
        <f t="shared" si="11"/>
        <v>8.8614116434827403E-2</v>
      </c>
    </row>
    <row r="386" spans="1:10">
      <c r="A386">
        <v>2026</v>
      </c>
      <c r="B386">
        <v>32</v>
      </c>
      <c r="C386" t="s">
        <v>32</v>
      </c>
      <c r="D386" t="s">
        <v>9</v>
      </c>
      <c r="E386" t="s">
        <v>100</v>
      </c>
      <c r="F386" t="s">
        <v>36</v>
      </c>
      <c r="G386" t="str">
        <f t="shared" si="10"/>
        <v>32012LIGHT HOUSE</v>
      </c>
      <c r="H386">
        <v>1524</v>
      </c>
      <c r="I386">
        <v>2100</v>
      </c>
      <c r="J386">
        <f t="shared" si="11"/>
        <v>0.2742857142857143</v>
      </c>
    </row>
    <row r="387" spans="1:10">
      <c r="A387">
        <v>2026</v>
      </c>
      <c r="B387">
        <v>32</v>
      </c>
      <c r="C387" t="s">
        <v>32</v>
      </c>
      <c r="D387" t="s">
        <v>9</v>
      </c>
      <c r="E387" t="s">
        <v>101</v>
      </c>
      <c r="F387" t="s">
        <v>59</v>
      </c>
      <c r="G387" t="str">
        <f t="shared" ref="G387:G421" si="12">+B387&amp;E387&amp;F387</f>
        <v>32013COUNTRY BLUES</v>
      </c>
      <c r="H387">
        <v>1314</v>
      </c>
      <c r="I387">
        <v>1400</v>
      </c>
      <c r="J387">
        <f t="shared" ref="J387:J421" si="13">+(I387-H387)/I387</f>
        <v>6.142857142857143E-2</v>
      </c>
    </row>
    <row r="388" spans="1:10">
      <c r="A388">
        <v>2026</v>
      </c>
      <c r="B388">
        <v>32</v>
      </c>
      <c r="C388" t="s">
        <v>32</v>
      </c>
      <c r="D388" t="s">
        <v>9</v>
      </c>
      <c r="E388" t="s">
        <v>101</v>
      </c>
      <c r="F388" t="s">
        <v>60</v>
      </c>
      <c r="G388" t="str">
        <f t="shared" si="12"/>
        <v>32013LORRAINE</v>
      </c>
      <c r="H388">
        <v>3768</v>
      </c>
      <c r="I388">
        <v>4025</v>
      </c>
      <c r="J388">
        <f t="shared" si="13"/>
        <v>6.3850931677018635E-2</v>
      </c>
    </row>
    <row r="389" spans="1:10">
      <c r="A389">
        <v>2026</v>
      </c>
      <c r="B389">
        <v>32</v>
      </c>
      <c r="C389" t="s">
        <v>32</v>
      </c>
      <c r="D389" t="s">
        <v>9</v>
      </c>
      <c r="E389" t="s">
        <v>101</v>
      </c>
      <c r="F389" t="s">
        <v>37</v>
      </c>
      <c r="G389" t="str">
        <f t="shared" si="12"/>
        <v>32013LUMIA</v>
      </c>
      <c r="H389">
        <v>1075</v>
      </c>
      <c r="I389">
        <v>960</v>
      </c>
      <c r="J389">
        <f t="shared" si="13"/>
        <v>-0.11979166666666667</v>
      </c>
    </row>
    <row r="390" spans="1:10">
      <c r="A390">
        <v>2026</v>
      </c>
      <c r="B390">
        <v>32</v>
      </c>
      <c r="C390" t="s">
        <v>32</v>
      </c>
      <c r="D390" t="s">
        <v>9</v>
      </c>
      <c r="E390" t="s">
        <v>101</v>
      </c>
      <c r="F390" t="s">
        <v>48</v>
      </c>
      <c r="G390" t="str">
        <f t="shared" si="12"/>
        <v>32013VENDELA</v>
      </c>
      <c r="H390">
        <v>12686</v>
      </c>
      <c r="I390">
        <v>12150</v>
      </c>
      <c r="J390">
        <f t="shared" si="13"/>
        <v>-4.4115226337448563E-2</v>
      </c>
    </row>
    <row r="391" spans="1:10">
      <c r="A391">
        <v>2026</v>
      </c>
      <c r="B391">
        <v>32</v>
      </c>
      <c r="C391" t="s">
        <v>32</v>
      </c>
      <c r="D391" t="s">
        <v>9</v>
      </c>
      <c r="E391" t="s">
        <v>81</v>
      </c>
      <c r="F391" t="s">
        <v>58</v>
      </c>
      <c r="G391" t="str">
        <f t="shared" si="12"/>
        <v>32014STARDUST</v>
      </c>
      <c r="H391">
        <v>5475</v>
      </c>
      <c r="I391">
        <v>8575</v>
      </c>
      <c r="J391">
        <f t="shared" si="13"/>
        <v>0.36151603498542273</v>
      </c>
    </row>
    <row r="392" spans="1:10">
      <c r="A392">
        <v>2026</v>
      </c>
      <c r="B392">
        <v>32</v>
      </c>
      <c r="C392" t="s">
        <v>32</v>
      </c>
      <c r="D392" t="s">
        <v>9</v>
      </c>
      <c r="E392" t="s">
        <v>82</v>
      </c>
      <c r="F392" t="s">
        <v>42</v>
      </c>
      <c r="G392" t="str">
        <f t="shared" si="12"/>
        <v>32015JOCKER</v>
      </c>
      <c r="H392">
        <v>4398</v>
      </c>
      <c r="I392">
        <v>6750</v>
      </c>
      <c r="J392">
        <f t="shared" si="13"/>
        <v>0.34844444444444445</v>
      </c>
    </row>
    <row r="393" spans="1:10">
      <c r="A393">
        <v>2026</v>
      </c>
      <c r="B393">
        <v>32</v>
      </c>
      <c r="C393" t="s">
        <v>32</v>
      </c>
      <c r="D393" t="s">
        <v>9</v>
      </c>
      <c r="E393" t="s">
        <v>83</v>
      </c>
      <c r="F393" t="s">
        <v>61</v>
      </c>
      <c r="G393" t="str">
        <f t="shared" si="12"/>
        <v>32016DREAM IN PEACH</v>
      </c>
      <c r="H393">
        <v>1058</v>
      </c>
      <c r="I393">
        <v>1800</v>
      </c>
      <c r="J393">
        <f t="shared" si="13"/>
        <v>0.41222222222222221</v>
      </c>
    </row>
    <row r="394" spans="1:10">
      <c r="A394">
        <v>2026</v>
      </c>
      <c r="B394">
        <v>32</v>
      </c>
      <c r="C394" t="s">
        <v>32</v>
      </c>
      <c r="D394" t="s">
        <v>9</v>
      </c>
      <c r="E394" t="s">
        <v>83</v>
      </c>
      <c r="F394" t="s">
        <v>62</v>
      </c>
      <c r="G394" t="str">
        <f t="shared" si="12"/>
        <v>32016NINA</v>
      </c>
      <c r="H394">
        <v>3028</v>
      </c>
      <c r="I394">
        <v>3300</v>
      </c>
      <c r="J394">
        <f t="shared" si="13"/>
        <v>8.2424242424242428E-2</v>
      </c>
    </row>
    <row r="395" spans="1:10">
      <c r="A395">
        <v>2026</v>
      </c>
      <c r="B395">
        <v>32</v>
      </c>
      <c r="C395" t="s">
        <v>32</v>
      </c>
      <c r="D395" t="s">
        <v>9</v>
      </c>
      <c r="E395" t="s">
        <v>84</v>
      </c>
      <c r="F395" t="s">
        <v>52</v>
      </c>
      <c r="G395" t="str">
        <f t="shared" si="12"/>
        <v>32017FREEDOM</v>
      </c>
      <c r="H395">
        <v>4837</v>
      </c>
      <c r="I395">
        <v>5400</v>
      </c>
      <c r="J395">
        <f t="shared" si="13"/>
        <v>0.10425925925925926</v>
      </c>
    </row>
    <row r="396" spans="1:10">
      <c r="A396">
        <v>2026</v>
      </c>
      <c r="B396">
        <v>32</v>
      </c>
      <c r="C396" t="s">
        <v>32</v>
      </c>
      <c r="D396" t="s">
        <v>9</v>
      </c>
      <c r="E396" t="s">
        <v>84</v>
      </c>
      <c r="F396" t="s">
        <v>47</v>
      </c>
      <c r="G396" t="str">
        <f t="shared" si="12"/>
        <v>32017GOLDFINCH</v>
      </c>
      <c r="H396">
        <v>2362</v>
      </c>
      <c r="I396">
        <v>3725</v>
      </c>
      <c r="J396">
        <f t="shared" si="13"/>
        <v>0.36590604026845636</v>
      </c>
    </row>
    <row r="397" spans="1:10">
      <c r="A397">
        <v>2026</v>
      </c>
      <c r="B397">
        <v>32</v>
      </c>
      <c r="C397" t="s">
        <v>32</v>
      </c>
      <c r="D397" t="s">
        <v>9</v>
      </c>
      <c r="E397" t="s">
        <v>85</v>
      </c>
      <c r="F397" t="s">
        <v>55</v>
      </c>
      <c r="G397" t="str">
        <f t="shared" si="12"/>
        <v>32018BRIGHTON</v>
      </c>
      <c r="H397">
        <v>1745</v>
      </c>
      <c r="I397">
        <v>2475</v>
      </c>
      <c r="J397">
        <f t="shared" si="13"/>
        <v>0.29494949494949496</v>
      </c>
    </row>
    <row r="398" spans="1:10">
      <c r="A398">
        <v>2026</v>
      </c>
      <c r="B398">
        <v>32</v>
      </c>
      <c r="C398" t="s">
        <v>32</v>
      </c>
      <c r="D398" t="s">
        <v>9</v>
      </c>
      <c r="E398" t="s">
        <v>86</v>
      </c>
      <c r="F398" t="s">
        <v>55</v>
      </c>
      <c r="G398" t="str">
        <f t="shared" si="12"/>
        <v>32019BRIGHTON</v>
      </c>
      <c r="H398">
        <v>6196</v>
      </c>
      <c r="I398">
        <v>9375</v>
      </c>
      <c r="J398">
        <f t="shared" si="13"/>
        <v>0.33909333333333336</v>
      </c>
    </row>
    <row r="399" spans="1:10">
      <c r="A399">
        <v>2026</v>
      </c>
      <c r="B399">
        <v>32</v>
      </c>
      <c r="C399" t="s">
        <v>32</v>
      </c>
      <c r="D399" t="s">
        <v>9</v>
      </c>
      <c r="E399" t="s">
        <v>86</v>
      </c>
      <c r="F399" t="s">
        <v>63</v>
      </c>
      <c r="G399" t="str">
        <f t="shared" si="12"/>
        <v>32019TABATHA</v>
      </c>
      <c r="H399">
        <v>2372</v>
      </c>
      <c r="I399">
        <v>2490</v>
      </c>
      <c r="J399">
        <f t="shared" si="13"/>
        <v>4.7389558232931728E-2</v>
      </c>
    </row>
    <row r="400" spans="1:10">
      <c r="A400">
        <v>2026</v>
      </c>
      <c r="B400">
        <v>32</v>
      </c>
      <c r="C400" t="s">
        <v>32</v>
      </c>
      <c r="D400" t="s">
        <v>9</v>
      </c>
      <c r="E400" t="s">
        <v>87</v>
      </c>
      <c r="F400" t="s">
        <v>55</v>
      </c>
      <c r="G400" t="str">
        <f t="shared" si="12"/>
        <v>32020BRIGHTON</v>
      </c>
      <c r="H400">
        <v>4296</v>
      </c>
      <c r="I400">
        <v>5500</v>
      </c>
      <c r="J400">
        <f t="shared" si="13"/>
        <v>0.21890909090909091</v>
      </c>
    </row>
    <row r="401" spans="1:10">
      <c r="A401">
        <v>2026</v>
      </c>
      <c r="B401">
        <v>32</v>
      </c>
      <c r="C401" t="s">
        <v>32</v>
      </c>
      <c r="D401" t="s">
        <v>9</v>
      </c>
      <c r="E401" t="s">
        <v>87</v>
      </c>
      <c r="F401" t="s">
        <v>64</v>
      </c>
      <c r="G401" t="str">
        <f t="shared" si="12"/>
        <v>32020TYCOON</v>
      </c>
      <c r="H401">
        <v>704</v>
      </c>
      <c r="I401">
        <v>1350</v>
      </c>
      <c r="J401">
        <f t="shared" si="13"/>
        <v>0.47851851851851851</v>
      </c>
    </row>
    <row r="402" spans="1:10">
      <c r="A402">
        <v>2026</v>
      </c>
      <c r="B402">
        <v>32</v>
      </c>
      <c r="C402" t="s">
        <v>32</v>
      </c>
      <c r="D402" t="s">
        <v>9</v>
      </c>
      <c r="E402" t="s">
        <v>88</v>
      </c>
      <c r="F402" t="s">
        <v>65</v>
      </c>
      <c r="G402" t="str">
        <f t="shared" si="12"/>
        <v>32021SHOW GIRL</v>
      </c>
      <c r="H402">
        <v>1544</v>
      </c>
      <c r="I402">
        <v>1200</v>
      </c>
      <c r="J402">
        <f t="shared" si="13"/>
        <v>-0.28666666666666668</v>
      </c>
    </row>
    <row r="403" spans="1:10">
      <c r="A403">
        <v>2026</v>
      </c>
      <c r="B403">
        <v>32</v>
      </c>
      <c r="C403" t="s">
        <v>32</v>
      </c>
      <c r="D403" t="s">
        <v>9</v>
      </c>
      <c r="E403" t="s">
        <v>89</v>
      </c>
      <c r="F403" t="s">
        <v>66</v>
      </c>
      <c r="G403" t="str">
        <f t="shared" si="12"/>
        <v>32022CORAL REEF</v>
      </c>
      <c r="H403">
        <v>2189</v>
      </c>
      <c r="I403">
        <v>2375</v>
      </c>
      <c r="J403">
        <f t="shared" si="13"/>
        <v>7.8315789473684214E-2</v>
      </c>
    </row>
    <row r="404" spans="1:10">
      <c r="A404">
        <v>2026</v>
      </c>
      <c r="B404">
        <v>32</v>
      </c>
      <c r="C404" t="s">
        <v>32</v>
      </c>
      <c r="D404" t="s">
        <v>9</v>
      </c>
      <c r="E404" t="s">
        <v>102</v>
      </c>
      <c r="F404" t="s">
        <v>44</v>
      </c>
      <c r="G404" t="str">
        <f t="shared" si="12"/>
        <v>32023COTOPAXI</v>
      </c>
      <c r="H404">
        <v>6489</v>
      </c>
      <c r="I404">
        <v>6330</v>
      </c>
      <c r="J404">
        <f t="shared" si="13"/>
        <v>-2.5118483412322274E-2</v>
      </c>
    </row>
    <row r="405" spans="1:10">
      <c r="A405">
        <v>2026</v>
      </c>
      <c r="B405">
        <v>32</v>
      </c>
      <c r="C405" t="s">
        <v>32</v>
      </c>
      <c r="D405" t="s">
        <v>9</v>
      </c>
      <c r="E405" t="s">
        <v>102</v>
      </c>
      <c r="F405" t="s">
        <v>67</v>
      </c>
      <c r="G405" t="str">
        <f t="shared" si="12"/>
        <v>32023FRUTTETO</v>
      </c>
      <c r="H405">
        <v>5088</v>
      </c>
      <c r="I405">
        <v>6960</v>
      </c>
      <c r="J405">
        <f t="shared" si="13"/>
        <v>0.26896551724137929</v>
      </c>
    </row>
    <row r="406" spans="1:10">
      <c r="A406">
        <v>2026</v>
      </c>
      <c r="B406">
        <v>32</v>
      </c>
      <c r="C406" t="s">
        <v>32</v>
      </c>
      <c r="D406" t="s">
        <v>9</v>
      </c>
      <c r="E406" t="s">
        <v>103</v>
      </c>
      <c r="F406" t="s">
        <v>44</v>
      </c>
      <c r="G406" t="str">
        <f t="shared" si="12"/>
        <v>32024COTOPAXI</v>
      </c>
      <c r="H406">
        <v>3100</v>
      </c>
      <c r="I406">
        <v>4440</v>
      </c>
      <c r="J406">
        <f t="shared" si="13"/>
        <v>0.30180180180180183</v>
      </c>
    </row>
    <row r="407" spans="1:10">
      <c r="A407">
        <v>2026</v>
      </c>
      <c r="B407">
        <v>32</v>
      </c>
      <c r="C407" t="s">
        <v>32</v>
      </c>
      <c r="D407" t="s">
        <v>9</v>
      </c>
      <c r="E407" t="s">
        <v>103</v>
      </c>
      <c r="F407" t="s">
        <v>39</v>
      </c>
      <c r="G407" t="str">
        <f t="shared" si="12"/>
        <v>32024SWEETNESS</v>
      </c>
      <c r="H407">
        <v>1903</v>
      </c>
      <c r="I407">
        <v>2220</v>
      </c>
      <c r="J407">
        <f t="shared" si="13"/>
        <v>0.14279279279279281</v>
      </c>
    </row>
    <row r="408" spans="1:10">
      <c r="A408">
        <v>2026</v>
      </c>
      <c r="B408">
        <v>32</v>
      </c>
      <c r="C408" t="s">
        <v>32</v>
      </c>
      <c r="D408" t="s">
        <v>9</v>
      </c>
      <c r="E408" t="s">
        <v>103</v>
      </c>
      <c r="F408" t="s">
        <v>64</v>
      </c>
      <c r="G408" t="str">
        <f t="shared" si="12"/>
        <v>32024TYCOON</v>
      </c>
      <c r="H408">
        <v>2485</v>
      </c>
      <c r="I408">
        <v>5070</v>
      </c>
      <c r="J408">
        <f t="shared" si="13"/>
        <v>0.50986193293885607</v>
      </c>
    </row>
    <row r="409" spans="1:10">
      <c r="A409">
        <v>2026</v>
      </c>
      <c r="B409">
        <v>32</v>
      </c>
      <c r="C409" t="s">
        <v>32</v>
      </c>
      <c r="D409" t="s">
        <v>9</v>
      </c>
      <c r="E409" t="s">
        <v>104</v>
      </c>
      <c r="F409" t="s">
        <v>68</v>
      </c>
      <c r="G409" t="str">
        <f t="shared" si="12"/>
        <v>32025PINK MONDIAL</v>
      </c>
      <c r="H409">
        <v>4634</v>
      </c>
      <c r="I409">
        <v>7400</v>
      </c>
      <c r="J409">
        <f t="shared" si="13"/>
        <v>0.3737837837837838</v>
      </c>
    </row>
    <row r="410" spans="1:10">
      <c r="A410">
        <v>2026</v>
      </c>
      <c r="B410">
        <v>32</v>
      </c>
      <c r="C410" t="s">
        <v>32</v>
      </c>
      <c r="D410" t="s">
        <v>9</v>
      </c>
      <c r="E410" t="s">
        <v>105</v>
      </c>
      <c r="F410" t="s">
        <v>69</v>
      </c>
      <c r="G410" t="str">
        <f t="shared" si="12"/>
        <v>32026LOLA</v>
      </c>
      <c r="H410">
        <v>4603</v>
      </c>
      <c r="I410">
        <v>3400</v>
      </c>
      <c r="J410">
        <f t="shared" si="13"/>
        <v>-0.3538235294117647</v>
      </c>
    </row>
    <row r="411" spans="1:10">
      <c r="A411">
        <v>2026</v>
      </c>
      <c r="B411">
        <v>32</v>
      </c>
      <c r="C411" t="s">
        <v>32</v>
      </c>
      <c r="D411" t="s">
        <v>9</v>
      </c>
      <c r="E411" t="s">
        <v>105</v>
      </c>
      <c r="F411" t="s">
        <v>70</v>
      </c>
      <c r="G411" t="str">
        <f t="shared" si="12"/>
        <v>32026PALOMA</v>
      </c>
      <c r="H411">
        <v>4775</v>
      </c>
      <c r="I411">
        <v>4675</v>
      </c>
      <c r="J411">
        <f t="shared" si="13"/>
        <v>-2.1390374331550801E-2</v>
      </c>
    </row>
    <row r="412" spans="1:10">
      <c r="A412">
        <v>2026</v>
      </c>
      <c r="B412">
        <v>32</v>
      </c>
      <c r="C412" t="s">
        <v>32</v>
      </c>
      <c r="D412" t="s">
        <v>9</v>
      </c>
      <c r="E412" t="s">
        <v>106</v>
      </c>
      <c r="F412" t="s">
        <v>71</v>
      </c>
      <c r="G412" t="str">
        <f t="shared" si="12"/>
        <v>32027SATISFACTION</v>
      </c>
      <c r="H412">
        <v>4572</v>
      </c>
      <c r="I412">
        <v>7230</v>
      </c>
      <c r="J412">
        <f t="shared" si="13"/>
        <v>0.36763485477178426</v>
      </c>
    </row>
    <row r="413" spans="1:10">
      <c r="A413">
        <v>2026</v>
      </c>
      <c r="B413">
        <v>32</v>
      </c>
      <c r="C413" t="s">
        <v>32</v>
      </c>
      <c r="D413" t="s">
        <v>9</v>
      </c>
      <c r="E413" t="s">
        <v>106</v>
      </c>
      <c r="F413" t="s">
        <v>72</v>
      </c>
      <c r="G413" t="str">
        <f t="shared" si="12"/>
        <v>32027TIFFANY</v>
      </c>
      <c r="H413">
        <v>4300</v>
      </c>
      <c r="I413">
        <v>6360</v>
      </c>
      <c r="J413">
        <f t="shared" si="13"/>
        <v>0.32389937106918237</v>
      </c>
    </row>
    <row r="414" spans="1:10">
      <c r="A414">
        <v>2026</v>
      </c>
      <c r="B414">
        <v>32</v>
      </c>
      <c r="C414" t="s">
        <v>32</v>
      </c>
      <c r="D414" t="s">
        <v>9</v>
      </c>
      <c r="E414" t="s">
        <v>107</v>
      </c>
      <c r="F414" t="s">
        <v>44</v>
      </c>
      <c r="G414" t="str">
        <f t="shared" si="12"/>
        <v>32028COTOPAXI</v>
      </c>
      <c r="H414">
        <v>5552</v>
      </c>
      <c r="I414">
        <v>5010</v>
      </c>
      <c r="J414">
        <f t="shared" si="13"/>
        <v>-0.10818363273453094</v>
      </c>
    </row>
    <row r="415" spans="1:10">
      <c r="A415">
        <v>2026</v>
      </c>
      <c r="B415">
        <v>32</v>
      </c>
      <c r="C415" t="s">
        <v>32</v>
      </c>
      <c r="D415" t="s">
        <v>9</v>
      </c>
      <c r="E415" t="s">
        <v>107</v>
      </c>
      <c r="F415" t="s">
        <v>41</v>
      </c>
      <c r="G415" t="str">
        <f t="shared" si="12"/>
        <v>32028DEEP PURPLE</v>
      </c>
      <c r="H415">
        <v>8355</v>
      </c>
      <c r="I415">
        <v>7260</v>
      </c>
      <c r="J415">
        <f t="shared" si="13"/>
        <v>-0.15082644628099173</v>
      </c>
    </row>
    <row r="416" spans="1:10">
      <c r="A416">
        <v>2026</v>
      </c>
      <c r="B416">
        <v>32</v>
      </c>
      <c r="C416" t="s">
        <v>32</v>
      </c>
      <c r="D416" t="s">
        <v>9</v>
      </c>
      <c r="E416" t="s">
        <v>108</v>
      </c>
      <c r="F416" t="s">
        <v>73</v>
      </c>
      <c r="G416" t="str">
        <f t="shared" si="12"/>
        <v>32029PINK FLOYD</v>
      </c>
      <c r="H416">
        <v>4267</v>
      </c>
      <c r="I416">
        <v>4350</v>
      </c>
      <c r="J416">
        <f t="shared" si="13"/>
        <v>1.9080459770114942E-2</v>
      </c>
    </row>
    <row r="417" spans="1:10">
      <c r="A417">
        <v>2026</v>
      </c>
      <c r="B417">
        <v>32</v>
      </c>
      <c r="C417" t="s">
        <v>32</v>
      </c>
      <c r="D417" t="s">
        <v>9</v>
      </c>
      <c r="E417" t="s">
        <v>90</v>
      </c>
      <c r="F417" t="s">
        <v>34</v>
      </c>
      <c r="G417" t="str">
        <f t="shared" si="12"/>
        <v>32030EXPLORER</v>
      </c>
      <c r="H417">
        <v>2004</v>
      </c>
      <c r="I417">
        <v>2600</v>
      </c>
      <c r="J417">
        <f t="shared" si="13"/>
        <v>0.22923076923076924</v>
      </c>
    </row>
    <row r="418" spans="1:10">
      <c r="A418">
        <v>2026</v>
      </c>
      <c r="B418">
        <v>29</v>
      </c>
      <c r="C418" t="s">
        <v>32</v>
      </c>
      <c r="D418" t="s">
        <v>9</v>
      </c>
      <c r="E418" t="s">
        <v>97</v>
      </c>
      <c r="F418" t="s">
        <v>37</v>
      </c>
      <c r="G418" t="str">
        <f t="shared" si="12"/>
        <v>29008LUMIA</v>
      </c>
      <c r="H418">
        <v>2834</v>
      </c>
      <c r="I418">
        <v>2850</v>
      </c>
      <c r="J418">
        <f t="shared" si="13"/>
        <v>5.6140350877192978E-3</v>
      </c>
    </row>
    <row r="419" spans="1:10">
      <c r="A419">
        <v>2026</v>
      </c>
      <c r="B419">
        <v>30</v>
      </c>
      <c r="C419" t="s">
        <v>32</v>
      </c>
      <c r="D419" t="s">
        <v>9</v>
      </c>
      <c r="E419" t="s">
        <v>97</v>
      </c>
      <c r="F419" t="s">
        <v>37</v>
      </c>
      <c r="G419" t="str">
        <f t="shared" si="12"/>
        <v>30008LUMIA</v>
      </c>
      <c r="H419">
        <v>1797</v>
      </c>
      <c r="I419">
        <v>2850</v>
      </c>
      <c r="J419">
        <f t="shared" si="13"/>
        <v>0.36947368421052634</v>
      </c>
    </row>
    <row r="420" spans="1:10">
      <c r="A420">
        <v>2026</v>
      </c>
      <c r="B420">
        <v>31</v>
      </c>
      <c r="C420" t="s">
        <v>32</v>
      </c>
      <c r="D420" t="s">
        <v>9</v>
      </c>
      <c r="E420" t="s">
        <v>97</v>
      </c>
      <c r="F420" t="s">
        <v>37</v>
      </c>
      <c r="G420" t="str">
        <f t="shared" si="12"/>
        <v>31008LUMIA</v>
      </c>
      <c r="H420">
        <v>1403</v>
      </c>
      <c r="I420">
        <v>2850</v>
      </c>
      <c r="J420">
        <f t="shared" si="13"/>
        <v>0.50771929824561401</v>
      </c>
    </row>
    <row r="421" spans="1:10">
      <c r="A421">
        <v>2026</v>
      </c>
      <c r="B421">
        <v>32</v>
      </c>
      <c r="C421" t="s">
        <v>32</v>
      </c>
      <c r="D421" t="s">
        <v>9</v>
      </c>
      <c r="E421" t="s">
        <v>97</v>
      </c>
      <c r="F421" t="s">
        <v>37</v>
      </c>
      <c r="G421" t="str">
        <f t="shared" si="12"/>
        <v>32008LUMIA</v>
      </c>
      <c r="H421">
        <v>1703</v>
      </c>
      <c r="I421">
        <v>2850</v>
      </c>
      <c r="J421">
        <f t="shared" si="13"/>
        <v>0.40245614035087718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Estimado_modelo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2026-07-02T22:45:12Z</dcterms:created>
  <dcterms:modified xsi:type="dcterms:W3CDTF">2026-07-24T00:32:55Z</dcterms:modified>
</cp:coreProperties>
</file>