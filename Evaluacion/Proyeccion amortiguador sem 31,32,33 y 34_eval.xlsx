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10260" windowHeight="7995"/>
  </bookViews>
  <sheets>
    <sheet name="Estimado_modelo" sheetId="1" r:id="rId1"/>
    <sheet name="MSE_por_BloqueVarid" sheetId="2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H423" i="1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J66" s="1"/>
  <c r="H65"/>
  <c r="J65" s="1"/>
  <c r="H64"/>
  <c r="H63"/>
  <c r="H62"/>
  <c r="H61"/>
  <c r="H60"/>
  <c r="H59"/>
  <c r="H58"/>
  <c r="J58" s="1"/>
  <c r="H57"/>
  <c r="J57" s="1"/>
  <c r="H56"/>
  <c r="H55"/>
  <c r="H54"/>
  <c r="H53"/>
  <c r="J53" s="1"/>
  <c r="H52"/>
  <c r="H51"/>
  <c r="H50"/>
  <c r="J50" s="1"/>
  <c r="H49"/>
  <c r="H48"/>
  <c r="H47"/>
  <c r="H46"/>
  <c r="H45"/>
  <c r="J45" s="1"/>
  <c r="H44"/>
  <c r="J44" s="1"/>
  <c r="H43"/>
  <c r="H42"/>
  <c r="J42" s="1"/>
  <c r="H41"/>
  <c r="J41" s="1"/>
  <c r="H40"/>
  <c r="H39"/>
  <c r="H38"/>
  <c r="H37"/>
  <c r="J37" s="1"/>
  <c r="H36"/>
  <c r="J36" s="1"/>
  <c r="H35"/>
  <c r="H34"/>
  <c r="J34" s="1"/>
  <c r="H33"/>
  <c r="J33" s="1"/>
  <c r="H32"/>
  <c r="H31"/>
  <c r="H30"/>
  <c r="H29"/>
  <c r="J29" s="1"/>
  <c r="H28"/>
  <c r="J28" s="1"/>
  <c r="H27"/>
  <c r="H26"/>
  <c r="J26" s="1"/>
  <c r="H25"/>
  <c r="J25" s="1"/>
  <c r="H24"/>
  <c r="H23"/>
  <c r="H22"/>
  <c r="H21"/>
  <c r="J21" s="1"/>
  <c r="H20"/>
  <c r="J20" s="1"/>
  <c r="H19"/>
  <c r="H18"/>
  <c r="J18" s="1"/>
  <c r="H17"/>
  <c r="J17" s="1"/>
  <c r="H16"/>
  <c r="H15"/>
  <c r="H14"/>
  <c r="H13"/>
  <c r="J13" s="1"/>
  <c r="H12"/>
  <c r="J12" s="1"/>
  <c r="H11"/>
  <c r="H10"/>
  <c r="J10" s="1"/>
  <c r="H9"/>
  <c r="J9" s="1"/>
  <c r="H8"/>
  <c r="H7"/>
  <c r="H6"/>
  <c r="J6" s="1"/>
  <c r="H5"/>
  <c r="J5" s="1"/>
  <c r="H4"/>
  <c r="J4" s="1"/>
  <c r="H3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4"/>
  <c r="J63"/>
  <c r="J62"/>
  <c r="J61"/>
  <c r="J60"/>
  <c r="J59"/>
  <c r="J56"/>
  <c r="J55"/>
  <c r="J54"/>
  <c r="J52"/>
  <c r="J51"/>
  <c r="J49"/>
  <c r="J48"/>
  <c r="J47"/>
  <c r="J46"/>
  <c r="J43"/>
  <c r="J40"/>
  <c r="J39"/>
  <c r="J38"/>
  <c r="J35"/>
  <c r="J32"/>
  <c r="J31"/>
  <c r="J30"/>
  <c r="J27"/>
  <c r="J24"/>
  <c r="J23"/>
  <c r="J22"/>
  <c r="J19"/>
  <c r="J16"/>
  <c r="J15"/>
  <c r="J14"/>
  <c r="J11"/>
  <c r="J8"/>
  <c r="J7"/>
  <c r="J3"/>
  <c r="J2"/>
  <c r="H2"/>
  <c r="G423" l="1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<sst xmlns="http://schemas.openxmlformats.org/spreadsheetml/2006/main" count="1809" uniqueCount="221">
  <si>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</si>
  <si>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</si>
  <si>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</si>
  <si>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</si>
  <si>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</si>
  <si>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</si>
  <si>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</si>
  <si>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</si>
  <si>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</si>
  <si>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</si>
  <si>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</si>
  <si>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</si>
  <si>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</si>
  <si>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</si>
  <si>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</si>
  <si>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</si>
  <si>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</si>
  <si>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</si>
  <si>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</si>
  <si>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</si>
  <si>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</si>
  <si>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</si>
  <si>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</si>
  <si>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</si>
  <si>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</si>
  <si>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</si>
  <si>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</si>
  <si>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</si>
  <si>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</si>
  <si>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</si>
  <si>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</si>
  <si>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</si>
  <si>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</si>
  <si>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</si>
  <si>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</si>
  <si>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</si>
  <si>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</si>
  <si>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</si>
  <si>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</si>
  <si>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</si>
  <si>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</si>
  <si>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</si>
  <si>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</si>
  <si>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</si>
  <si>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</si>
  <si>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</si>
  <si>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</si>
  <si>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</si>
  <si>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</si>
  <si>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</si>
  <si>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</si>
  <si>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</si>
  <si>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</si>
  <si>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</si>
  <si>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</si>
  <si>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</si>
  <si>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</si>
  <si>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</si>
  <si>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</si>
  <si>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</si>
  <si>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</si>
  <si>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</si>
  <si>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</si>
  <si>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</si>
  <si>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</si>
  <si>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</si>
  <si>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</si>
  <si>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</si>
  <si>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</si>
  <si>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</si>
  <si>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</si>
  <si>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</si>
  <si>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</si>
  <si>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</si>
  <si>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</si>
  <si>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</si>
  <si>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</si>
  <si>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</si>
  <si>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</si>
  <si>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</si>
  <si>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</si>
  <si>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</si>
  <si>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</si>
  <si>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</si>
  <si>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</si>
  <si>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</si>
  <si>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</si>
  <si>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</si>
  <si>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</si>
  <si>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</si>
  <si>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</si>
  <si>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</si>
  <si>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</si>
  <si>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</si>
  <si>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</si>
  <si>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</si>
  <si>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</si>
  <si>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</si>
  <si>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</si>
  <si>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</si>
  <si>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</si>
  <si>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</si>
  <si>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</si>
  <si>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</si>
  <si>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</si>
  <si>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</si>
  <si>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</si>
  <si>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</si>
  <si>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</si>
  <si>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</si>
  <si>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</si>
  <si>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</si>
  <si>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</si>
  <si>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</si>
  <si>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</si>
  <si>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</si>
  <si>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</si>
  <si>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</si>
  <si>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</si>
  <si>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</si>
  <si>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</si>
  <si>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</si>
  <si>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</si>
  <si>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</si>
  <si>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</si>
  <si>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</si>
  <si>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</si>
  <si>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</si>
  <si>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</si>
  <si>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</si>
  <si>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</si>
  <si>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</si>
  <si>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</si>
  <si>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</si>
  <si>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</si>
  <si>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</si>
  <si>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</si>
  <si>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</si>
  <si>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</si>
  <si>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</si>
  <si>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</si>
  <si>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</si>
  <si>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</si>
  <si>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</si>
  <si>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</si>
  <si>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</si>
  <si>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</si>
  <si>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</si>
  <si>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</si>
  <si>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</si>
  <si>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</si>
  <si>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</si>
  <si>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</si>
  <si>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</si>
  <si>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</si>
  <si>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</si>
  <si>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</si>
  <si>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</si>
  <si>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</si>
  <si>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</si>
  <si>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</si>
  <si>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</si>
  <si>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</si>
  <si>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</si>
  <si>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</si>
  <si>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</si>
  <si>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</si>
  <si>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</si>
  <si>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</si>
  <si>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</si>
  <si>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</si>
  <si>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</si>
  <si>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</si>
  <si>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</si>
  <si>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</si>
  <si>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</si>
  <si>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</si>
  <si>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</si>
  <si>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</si>
  <si>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</si>
  <si>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IDOLE</t>
  </si>
  <si>
    <t>001IDOLE</t>
  </si>
  <si>
    <t>MSE</t>
  </si>
  <si>
    <t>MSE_proy_patron</t>
  </si>
  <si>
    <t>S/N</t>
  </si>
  <si>
    <t>008FREE SPIRIT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</si>
  <si>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</si>
  <si>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</si>
  <si>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</si>
  <si>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</si>
  <si>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</si>
  <si>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</si>
  <si>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</si>
  <si>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</si>
  <si>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</si>
  <si>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</si>
  <si>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</si>
  <si>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</si>
  <si>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</si>
  <si>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</si>
  <si>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</si>
  <si>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</si>
  <si>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</si>
  <si>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</si>
  <si>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</si>
  <si>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</si>
  <si>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</si>
  <si>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</si>
  <si>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</si>
  <si>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</si>
  <si>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</si>
  <si>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</si>
  <si>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</si>
  <si>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</si>
  <si>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</si>
  <si>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026</t>
  </si>
  <si>
    <t>027</t>
  </si>
  <si>
    <t>028</t>
  </si>
  <si>
    <t>029</t>
  </si>
  <si>
    <t>Produccion</t>
  </si>
  <si>
    <t>%dif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</si>
</sst>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yecto_todas_variedades%20(2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yeccion_original"/>
      <sheetName val="Analisis_avanzado"/>
    </sheetNames>
    <sheetDataSet>
      <sheetData sheetId="0">
        <row r="2">
          <cell r="G2" t="str">
            <v>31002SOMERSET</v>
          </cell>
          <cell r="H2">
            <v>9562</v>
          </cell>
        </row>
        <row r="3">
          <cell r="G3" t="str">
            <v>31004BELLINA</v>
          </cell>
          <cell r="H3">
            <v>1790</v>
          </cell>
        </row>
        <row r="4">
          <cell r="G4" t="str">
            <v>31005ELBA</v>
          </cell>
          <cell r="H4">
            <v>8879</v>
          </cell>
        </row>
        <row r="5">
          <cell r="G5" t="str">
            <v>31005HOT BUBBLES</v>
          </cell>
          <cell r="H5">
            <v>1200</v>
          </cell>
        </row>
        <row r="6">
          <cell r="G6" t="str">
            <v>31005SUSPIRO</v>
          </cell>
          <cell r="H6">
            <v>3701</v>
          </cell>
        </row>
        <row r="7">
          <cell r="G7" t="str">
            <v>31007SNOW BUBBLES</v>
          </cell>
          <cell r="H7">
            <v>1189</v>
          </cell>
        </row>
        <row r="8">
          <cell r="G8" t="str">
            <v>31009HOT BUBBLES</v>
          </cell>
          <cell r="H8">
            <v>8926</v>
          </cell>
        </row>
        <row r="9">
          <cell r="G9" t="str">
            <v>31014FRUITY BUBBLES</v>
          </cell>
          <cell r="H9">
            <v>5073</v>
          </cell>
        </row>
        <row r="10">
          <cell r="G10" t="str">
            <v>31015FELLINI</v>
          </cell>
          <cell r="H10">
            <v>7377</v>
          </cell>
        </row>
        <row r="11">
          <cell r="G11" t="str">
            <v>31016GOOD PEACH</v>
          </cell>
          <cell r="H11">
            <v>3007</v>
          </cell>
        </row>
        <row r="12">
          <cell r="G12" t="str">
            <v>31016GOOD YELLOW</v>
          </cell>
          <cell r="H12">
            <v>2760</v>
          </cell>
        </row>
        <row r="13">
          <cell r="G13" t="str">
            <v>31017ORANGE STAR</v>
          </cell>
          <cell r="H13">
            <v>2151</v>
          </cell>
        </row>
        <row r="14">
          <cell r="G14" t="str">
            <v>31018COSMO</v>
          </cell>
          <cell r="H14">
            <v>7116</v>
          </cell>
        </row>
        <row r="15">
          <cell r="G15" t="str">
            <v>31018RUBICON</v>
          </cell>
          <cell r="H15">
            <v>5397</v>
          </cell>
        </row>
        <row r="16">
          <cell r="G16" t="str">
            <v>31019BELLINA</v>
          </cell>
          <cell r="H16">
            <v>1903</v>
          </cell>
        </row>
        <row r="17">
          <cell r="G17" t="str">
            <v>31020SUMMER DANCE</v>
          </cell>
          <cell r="H17">
            <v>4568</v>
          </cell>
        </row>
        <row r="18">
          <cell r="G18" t="str">
            <v>31021ELEGANT ROSEVER</v>
          </cell>
          <cell r="H18">
            <v>807</v>
          </cell>
        </row>
        <row r="19">
          <cell r="G19" t="str">
            <v>31021FLAME CLUB</v>
          </cell>
          <cell r="H19">
            <v>2077</v>
          </cell>
        </row>
        <row r="20">
          <cell r="G20" t="str">
            <v>31021KELLY</v>
          </cell>
          <cell r="H20">
            <v>479</v>
          </cell>
        </row>
        <row r="21">
          <cell r="G21" t="str">
            <v>31021LEILA</v>
          </cell>
          <cell r="H21">
            <v>2634</v>
          </cell>
        </row>
        <row r="22">
          <cell r="G22" t="str">
            <v>31021SNOW BUBBLES</v>
          </cell>
          <cell r="H22">
            <v>3140</v>
          </cell>
        </row>
        <row r="23">
          <cell r="G23" t="str">
            <v>31022FRUITY BUBBLES</v>
          </cell>
          <cell r="H23">
            <v>4782</v>
          </cell>
        </row>
        <row r="24">
          <cell r="G24" t="str">
            <v>31022GOOD PEACH</v>
          </cell>
          <cell r="H24">
            <v>1753</v>
          </cell>
        </row>
        <row r="25">
          <cell r="G25" t="str">
            <v>31022MIRABEL</v>
          </cell>
          <cell r="H25">
            <v>1247</v>
          </cell>
        </row>
        <row r="26">
          <cell r="G26" t="str">
            <v>31026PURPLE BUBBLY</v>
          </cell>
          <cell r="H26">
            <v>550</v>
          </cell>
        </row>
        <row r="27">
          <cell r="G27" t="str">
            <v>31030MIRABEL</v>
          </cell>
          <cell r="H27">
            <v>4088</v>
          </cell>
        </row>
        <row r="28">
          <cell r="G28" t="str">
            <v>31030SOMERSET</v>
          </cell>
          <cell r="H28">
            <v>3393</v>
          </cell>
        </row>
        <row r="29">
          <cell r="G29" t="str">
            <v>3103182989</v>
          </cell>
          <cell r="H29">
            <v>1226</v>
          </cell>
        </row>
        <row r="30">
          <cell r="G30" t="str">
            <v>31031RUBICON</v>
          </cell>
          <cell r="H30">
            <v>2698</v>
          </cell>
        </row>
        <row r="31">
          <cell r="G31" t="str">
            <v>31031SOMERSET</v>
          </cell>
          <cell r="H31">
            <v>1571</v>
          </cell>
        </row>
        <row r="32">
          <cell r="G32" t="str">
            <v>31031VELVET BLOSSOMS</v>
          </cell>
          <cell r="H32">
            <v>577</v>
          </cell>
        </row>
        <row r="33">
          <cell r="G33" t="str">
            <v>31032ELBA</v>
          </cell>
          <cell r="H33">
            <v>3332</v>
          </cell>
        </row>
        <row r="34">
          <cell r="G34" t="str">
            <v>31032MIRABEL</v>
          </cell>
          <cell r="H34">
            <v>1420</v>
          </cell>
        </row>
        <row r="35">
          <cell r="G35" t="str">
            <v>31033CREAMY FOLIES</v>
          </cell>
          <cell r="H35">
            <v>1105</v>
          </cell>
        </row>
        <row r="36">
          <cell r="G36" t="str">
            <v>31033HOT BUBBLES</v>
          </cell>
          <cell r="H36">
            <v>2507</v>
          </cell>
        </row>
        <row r="37">
          <cell r="G37" t="str">
            <v>31001BELIEVE IN PINK</v>
          </cell>
          <cell r="H37">
            <v>1947</v>
          </cell>
        </row>
        <row r="38">
          <cell r="G38" t="str">
            <v>31001EXPLORER</v>
          </cell>
          <cell r="H38">
            <v>3427</v>
          </cell>
        </row>
        <row r="39">
          <cell r="G39" t="str">
            <v>31001GRACE KELLY</v>
          </cell>
          <cell r="H39">
            <v>2337</v>
          </cell>
        </row>
        <row r="40">
          <cell r="G40" t="str">
            <v>31001LIGHT HOUSE</v>
          </cell>
          <cell r="H40">
            <v>1708</v>
          </cell>
        </row>
        <row r="41">
          <cell r="G41" t="str">
            <v>31001LUMIA</v>
          </cell>
          <cell r="H41">
            <v>2632</v>
          </cell>
        </row>
        <row r="42">
          <cell r="G42" t="str">
            <v>31001MOMENTUM</v>
          </cell>
          <cell r="H42">
            <v>4455</v>
          </cell>
        </row>
        <row r="43">
          <cell r="G43" t="str">
            <v>31002SUMMER ROMANCE</v>
          </cell>
          <cell r="H43">
            <v>1476</v>
          </cell>
        </row>
        <row r="44">
          <cell r="G44" t="str">
            <v>31002SWEETNESS</v>
          </cell>
          <cell r="H44">
            <v>9700</v>
          </cell>
        </row>
        <row r="45">
          <cell r="G45" t="str">
            <v>31003CABARET</v>
          </cell>
          <cell r="H45">
            <v>7872</v>
          </cell>
        </row>
        <row r="46">
          <cell r="G46" t="str">
            <v>31003DEEP PURPLE</v>
          </cell>
          <cell r="H46">
            <v>12759</v>
          </cell>
        </row>
        <row r="47">
          <cell r="G47" t="str">
            <v>31003EXPLORER</v>
          </cell>
          <cell r="H47">
            <v>2314</v>
          </cell>
        </row>
        <row r="48">
          <cell r="G48" t="str">
            <v>31003JOCKER</v>
          </cell>
          <cell r="H48">
            <v>1169</v>
          </cell>
        </row>
        <row r="49">
          <cell r="G49" t="str">
            <v>31003QUICKSAND</v>
          </cell>
          <cell r="H49">
            <v>1945</v>
          </cell>
        </row>
        <row r="50">
          <cell r="G50" t="str">
            <v>31004COTOPAXI</v>
          </cell>
          <cell r="H50">
            <v>1207</v>
          </cell>
        </row>
        <row r="51">
          <cell r="G51" t="str">
            <v>31004DEEP PURPLE</v>
          </cell>
          <cell r="H51">
            <v>15453</v>
          </cell>
        </row>
        <row r="52">
          <cell r="G52" t="str">
            <v>31004HOT EXPLORER</v>
          </cell>
          <cell r="H52">
            <v>2921</v>
          </cell>
        </row>
        <row r="53">
          <cell r="G53" t="str">
            <v>31004HOT MERENGUE</v>
          </cell>
          <cell r="H53">
            <v>2879</v>
          </cell>
        </row>
        <row r="54">
          <cell r="G54" t="str">
            <v>31004SWEETNESS</v>
          </cell>
          <cell r="H54">
            <v>1020</v>
          </cell>
        </row>
        <row r="55">
          <cell r="G55" t="str">
            <v>31005EXPLORER</v>
          </cell>
          <cell r="H55">
            <v>1073</v>
          </cell>
        </row>
        <row r="56">
          <cell r="G56" t="str">
            <v>31005GOLDFINCH</v>
          </cell>
          <cell r="H56">
            <v>1220</v>
          </cell>
        </row>
        <row r="57">
          <cell r="G57" t="str">
            <v>31005JOCKER</v>
          </cell>
          <cell r="H57">
            <v>2731</v>
          </cell>
        </row>
        <row r="58">
          <cell r="G58" t="str">
            <v>31005VENDELA</v>
          </cell>
          <cell r="H58">
            <v>2023</v>
          </cell>
        </row>
        <row r="59">
          <cell r="G59" t="str">
            <v>31006ATOMIC</v>
          </cell>
          <cell r="H59">
            <v>1382</v>
          </cell>
        </row>
        <row r="60">
          <cell r="G60" t="str">
            <v>31006EXPLORER</v>
          </cell>
          <cell r="H60">
            <v>5455</v>
          </cell>
        </row>
        <row r="61">
          <cell r="G61" t="str">
            <v>31006MONDIAL</v>
          </cell>
          <cell r="H61">
            <v>7504</v>
          </cell>
        </row>
        <row r="62">
          <cell r="G62" t="str">
            <v>31007COTOPAXI</v>
          </cell>
          <cell r="H62">
            <v>6993</v>
          </cell>
        </row>
        <row r="63">
          <cell r="G63" t="str">
            <v>31007REDIANT</v>
          </cell>
          <cell r="H63">
            <v>1613</v>
          </cell>
        </row>
        <row r="64">
          <cell r="G64" t="str">
            <v>31007VENDELA</v>
          </cell>
          <cell r="H64">
            <v>14720</v>
          </cell>
        </row>
        <row r="65">
          <cell r="G65" t="str">
            <v>31008DEEP PURPLE</v>
          </cell>
          <cell r="H65">
            <v>5208</v>
          </cell>
        </row>
        <row r="66">
          <cell r="G66" t="str">
            <v>31008FREEDOM</v>
          </cell>
          <cell r="H66">
            <v>4642</v>
          </cell>
        </row>
        <row r="67">
          <cell r="G67" t="str">
            <v>31008JOCKER</v>
          </cell>
          <cell r="H67">
            <v>6048</v>
          </cell>
        </row>
        <row r="68">
          <cell r="G68" t="str">
            <v>31010COOLDOWN</v>
          </cell>
          <cell r="H68">
            <v>2583</v>
          </cell>
        </row>
        <row r="69">
          <cell r="G69" t="str">
            <v>31010VIOLET HILL</v>
          </cell>
          <cell r="H69">
            <v>3168</v>
          </cell>
        </row>
        <row r="70">
          <cell r="G70" t="str">
            <v>31011BRIGHTON</v>
          </cell>
          <cell r="H70">
            <v>5295</v>
          </cell>
        </row>
        <row r="71">
          <cell r="G71" t="str">
            <v>31011CANDLELIGHT</v>
          </cell>
          <cell r="H71">
            <v>5506</v>
          </cell>
        </row>
        <row r="72">
          <cell r="G72" t="str">
            <v>31011CAYENNE</v>
          </cell>
          <cell r="H72">
            <v>1757</v>
          </cell>
        </row>
        <row r="73">
          <cell r="G73" t="str">
            <v>31011LUMIA</v>
          </cell>
          <cell r="H73">
            <v>2232</v>
          </cell>
        </row>
        <row r="74">
          <cell r="G74" t="str">
            <v>31011STARDUST</v>
          </cell>
          <cell r="H74">
            <v>3602</v>
          </cell>
        </row>
        <row r="75">
          <cell r="G75" t="str">
            <v>31012DEEP PURPLE</v>
          </cell>
          <cell r="H75">
            <v>18390</v>
          </cell>
        </row>
        <row r="76">
          <cell r="G76" t="str">
            <v>31012LIGHT HOUSE</v>
          </cell>
          <cell r="H76">
            <v>1436</v>
          </cell>
        </row>
        <row r="77">
          <cell r="G77" t="str">
            <v>31013COUNTRY BLUES</v>
          </cell>
          <cell r="H77">
            <v>2004</v>
          </cell>
        </row>
        <row r="78">
          <cell r="G78" t="str">
            <v>31013LORRAINE</v>
          </cell>
          <cell r="H78">
            <v>4410</v>
          </cell>
        </row>
        <row r="79">
          <cell r="G79" t="str">
            <v>31013LUMIA</v>
          </cell>
          <cell r="H79">
            <v>690</v>
          </cell>
        </row>
        <row r="80">
          <cell r="G80" t="str">
            <v>31013VENDELA</v>
          </cell>
          <cell r="H80">
            <v>12214</v>
          </cell>
        </row>
        <row r="81">
          <cell r="G81" t="str">
            <v>31014STARDUST</v>
          </cell>
          <cell r="H81">
            <v>8813</v>
          </cell>
        </row>
        <row r="82">
          <cell r="G82" t="str">
            <v>31015JOCKER</v>
          </cell>
          <cell r="H82">
            <v>6693</v>
          </cell>
        </row>
        <row r="83">
          <cell r="G83" t="str">
            <v>31016DREAM IN PEACH</v>
          </cell>
          <cell r="H83">
            <v>1618</v>
          </cell>
        </row>
        <row r="84">
          <cell r="G84" t="str">
            <v>31016NINA</v>
          </cell>
          <cell r="H84">
            <v>3602</v>
          </cell>
        </row>
        <row r="85">
          <cell r="G85" t="str">
            <v>31017FREEDOM</v>
          </cell>
          <cell r="H85">
            <v>4486</v>
          </cell>
        </row>
        <row r="86">
          <cell r="G86" t="str">
            <v>31017GOLDFINCH</v>
          </cell>
          <cell r="H86">
            <v>2906</v>
          </cell>
        </row>
        <row r="87">
          <cell r="G87" t="str">
            <v>31018BRIGHTON</v>
          </cell>
          <cell r="H87">
            <v>2307</v>
          </cell>
        </row>
        <row r="88">
          <cell r="G88" t="str">
            <v>31019BRIGHTON</v>
          </cell>
          <cell r="H88">
            <v>7932</v>
          </cell>
        </row>
        <row r="89">
          <cell r="G89" t="str">
            <v>31019TABATHA</v>
          </cell>
          <cell r="H89">
            <v>2613</v>
          </cell>
        </row>
        <row r="90">
          <cell r="G90" t="str">
            <v>31020BRIGHTON</v>
          </cell>
          <cell r="H90">
            <v>5272</v>
          </cell>
        </row>
        <row r="91">
          <cell r="G91" t="str">
            <v>31020TYCOON</v>
          </cell>
          <cell r="H91">
            <v>1501</v>
          </cell>
        </row>
        <row r="92">
          <cell r="G92" t="str">
            <v>31021SHOW GIRL</v>
          </cell>
          <cell r="H92">
            <v>1614</v>
          </cell>
        </row>
        <row r="93">
          <cell r="G93" t="str">
            <v>31022CORAL REEF</v>
          </cell>
          <cell r="H93">
            <v>2215</v>
          </cell>
        </row>
        <row r="94">
          <cell r="G94" t="str">
            <v>31023COTOPAXI</v>
          </cell>
          <cell r="H94">
            <v>6163</v>
          </cell>
        </row>
        <row r="95">
          <cell r="G95" t="str">
            <v>31023FRUTTETO</v>
          </cell>
          <cell r="H95">
            <v>6588</v>
          </cell>
        </row>
        <row r="96">
          <cell r="G96" t="str">
            <v>31024COTOPAXI</v>
          </cell>
          <cell r="H96">
            <v>2832</v>
          </cell>
        </row>
        <row r="97">
          <cell r="G97" t="str">
            <v>31024SWEETNESS</v>
          </cell>
          <cell r="H97">
            <v>1270</v>
          </cell>
        </row>
        <row r="98">
          <cell r="G98" t="str">
            <v>31024TYCOON</v>
          </cell>
          <cell r="H98">
            <v>2404</v>
          </cell>
        </row>
        <row r="99">
          <cell r="G99" t="str">
            <v>31025PINK MONDIAL</v>
          </cell>
          <cell r="H99">
            <v>4987</v>
          </cell>
        </row>
        <row r="100">
          <cell r="G100" t="str">
            <v>31026LOLA</v>
          </cell>
          <cell r="H100">
            <v>4399</v>
          </cell>
        </row>
        <row r="101">
          <cell r="G101" t="str">
            <v>31026PALOMA</v>
          </cell>
          <cell r="H101">
            <v>6260</v>
          </cell>
        </row>
        <row r="102">
          <cell r="G102" t="str">
            <v>31027SATISFACTION</v>
          </cell>
          <cell r="H102">
            <v>4978</v>
          </cell>
        </row>
        <row r="103">
          <cell r="G103" t="str">
            <v>31027TIFFANY</v>
          </cell>
          <cell r="H103">
            <v>4826</v>
          </cell>
        </row>
        <row r="104">
          <cell r="G104" t="str">
            <v>31028COTOPAXI</v>
          </cell>
          <cell r="H104">
            <v>3388</v>
          </cell>
        </row>
        <row r="105">
          <cell r="G105" t="str">
            <v>31028DEEP PURPLE</v>
          </cell>
          <cell r="H105">
            <v>8375</v>
          </cell>
        </row>
        <row r="106">
          <cell r="G106" t="str">
            <v>31029PINK FLOYD</v>
          </cell>
          <cell r="H106">
            <v>4918</v>
          </cell>
        </row>
        <row r="107">
          <cell r="G107" t="str">
            <v>31030EXPLORER</v>
          </cell>
          <cell r="H107">
            <v>1612</v>
          </cell>
        </row>
        <row r="108">
          <cell r="G108" t="str">
            <v>32002SOMERSET</v>
          </cell>
          <cell r="H108">
            <v>7997</v>
          </cell>
        </row>
        <row r="109">
          <cell r="G109" t="str">
            <v>32004BELLINA</v>
          </cell>
          <cell r="H109">
            <v>1253</v>
          </cell>
        </row>
        <row r="110">
          <cell r="G110" t="str">
            <v>32005ELBA</v>
          </cell>
          <cell r="H110">
            <v>7668</v>
          </cell>
        </row>
        <row r="111">
          <cell r="G111" t="str">
            <v>32005HOT BUBBLES</v>
          </cell>
          <cell r="H111">
            <v>1193</v>
          </cell>
        </row>
        <row r="112">
          <cell r="G112" t="str">
            <v>32005SUSPIRO</v>
          </cell>
          <cell r="H112">
            <v>4505</v>
          </cell>
        </row>
        <row r="113">
          <cell r="G113" t="str">
            <v>32007SNOW BUBBLES</v>
          </cell>
          <cell r="H113">
            <v>960</v>
          </cell>
        </row>
        <row r="114">
          <cell r="G114" t="str">
            <v>32009HOT BUBBLES</v>
          </cell>
          <cell r="H114">
            <v>8826</v>
          </cell>
        </row>
        <row r="115">
          <cell r="G115" t="str">
            <v>32014FRUITY BUBBLES</v>
          </cell>
          <cell r="H115">
            <v>3784</v>
          </cell>
        </row>
        <row r="116">
          <cell r="G116" t="str">
            <v>32015FELLINI</v>
          </cell>
          <cell r="H116">
            <v>6757</v>
          </cell>
        </row>
        <row r="117">
          <cell r="G117" t="str">
            <v>32016GOOD PEACH</v>
          </cell>
          <cell r="H117">
            <v>3127</v>
          </cell>
        </row>
        <row r="118">
          <cell r="G118" t="str">
            <v>32016GOOD YELLOW</v>
          </cell>
          <cell r="H118">
            <v>2830</v>
          </cell>
        </row>
        <row r="119">
          <cell r="G119" t="str">
            <v>32017ORANGE STAR</v>
          </cell>
          <cell r="H119">
            <v>1566</v>
          </cell>
        </row>
        <row r="120">
          <cell r="G120" t="str">
            <v>32018COSMO</v>
          </cell>
          <cell r="H120">
            <v>6413</v>
          </cell>
        </row>
        <row r="121">
          <cell r="G121" t="str">
            <v>32018RUBICON</v>
          </cell>
          <cell r="H121">
            <v>4539</v>
          </cell>
        </row>
        <row r="122">
          <cell r="G122" t="str">
            <v>32019BELLINA</v>
          </cell>
          <cell r="H122">
            <v>1395</v>
          </cell>
        </row>
        <row r="123">
          <cell r="G123" t="str">
            <v>32020SUMMER DANCE</v>
          </cell>
          <cell r="H123">
            <v>4026</v>
          </cell>
        </row>
        <row r="124">
          <cell r="G124" t="str">
            <v>32021ELEGANT ROSEVER</v>
          </cell>
          <cell r="H124">
            <v>675</v>
          </cell>
        </row>
        <row r="125">
          <cell r="G125" t="str">
            <v>32021FLAME CLUB</v>
          </cell>
          <cell r="H125">
            <v>2158</v>
          </cell>
        </row>
        <row r="126">
          <cell r="G126" t="str">
            <v>32021KELLY</v>
          </cell>
          <cell r="H126">
            <v>449</v>
          </cell>
        </row>
        <row r="127">
          <cell r="G127" t="str">
            <v>32021LEILA</v>
          </cell>
          <cell r="H127">
            <v>2431</v>
          </cell>
        </row>
        <row r="128">
          <cell r="G128" t="str">
            <v>32021SNOW BUBBLES</v>
          </cell>
          <cell r="H128">
            <v>3175</v>
          </cell>
        </row>
        <row r="129">
          <cell r="G129" t="str">
            <v>32022FRUITY BUBBLES</v>
          </cell>
          <cell r="H129">
            <v>6389</v>
          </cell>
        </row>
        <row r="130">
          <cell r="G130" t="str">
            <v>32022GOOD PEACH</v>
          </cell>
          <cell r="H130">
            <v>2066</v>
          </cell>
        </row>
        <row r="131">
          <cell r="G131" t="str">
            <v>32022MIRABEL</v>
          </cell>
          <cell r="H131">
            <v>1521</v>
          </cell>
        </row>
        <row r="132">
          <cell r="G132" t="str">
            <v>32026PURPLE BUBBLY</v>
          </cell>
          <cell r="H132">
            <v>408</v>
          </cell>
        </row>
        <row r="133">
          <cell r="G133" t="str">
            <v>32030MIRABEL</v>
          </cell>
          <cell r="H133">
            <v>4016</v>
          </cell>
        </row>
        <row r="134">
          <cell r="G134" t="str">
            <v>32030SOMERSET</v>
          </cell>
          <cell r="H134">
            <v>2843</v>
          </cell>
        </row>
        <row r="135">
          <cell r="G135" t="str">
            <v>3203182989</v>
          </cell>
          <cell r="H135">
            <v>1378</v>
          </cell>
        </row>
        <row r="136">
          <cell r="G136" t="str">
            <v>32031RUBICON</v>
          </cell>
          <cell r="H136">
            <v>2129</v>
          </cell>
        </row>
        <row r="137">
          <cell r="G137" t="str">
            <v>32031SOMERSET</v>
          </cell>
          <cell r="H137">
            <v>1809</v>
          </cell>
        </row>
        <row r="138">
          <cell r="G138" t="str">
            <v>32031VELVET BLOSSOMS</v>
          </cell>
          <cell r="H138">
            <v>619</v>
          </cell>
        </row>
        <row r="139">
          <cell r="G139" t="str">
            <v>32032ELBA</v>
          </cell>
          <cell r="H139">
            <v>2994</v>
          </cell>
        </row>
        <row r="140">
          <cell r="G140" t="str">
            <v>32032MIRABEL</v>
          </cell>
          <cell r="H140">
            <v>1855</v>
          </cell>
        </row>
        <row r="141">
          <cell r="G141" t="str">
            <v>32033CREAMY FOLIES</v>
          </cell>
          <cell r="H141">
            <v>1186</v>
          </cell>
        </row>
        <row r="142">
          <cell r="G142" t="str">
            <v>32033HOT BUBBLES</v>
          </cell>
          <cell r="H142">
            <v>2847</v>
          </cell>
        </row>
        <row r="143">
          <cell r="G143" t="str">
            <v>32001BELIEVE IN PINK</v>
          </cell>
          <cell r="H143">
            <v>1474</v>
          </cell>
        </row>
        <row r="144">
          <cell r="G144" t="str">
            <v>32001EXPLORER</v>
          </cell>
          <cell r="H144">
            <v>3140</v>
          </cell>
        </row>
        <row r="145">
          <cell r="G145" t="str">
            <v>32001GRACE KELLY</v>
          </cell>
          <cell r="H145">
            <v>1597</v>
          </cell>
        </row>
        <row r="146">
          <cell r="G146" t="str">
            <v>32001LIGHT HOUSE</v>
          </cell>
          <cell r="H146">
            <v>1421</v>
          </cell>
        </row>
        <row r="147">
          <cell r="G147" t="str">
            <v>32001LUMIA</v>
          </cell>
          <cell r="H147">
            <v>2458</v>
          </cell>
        </row>
        <row r="148">
          <cell r="G148" t="str">
            <v>32001MOMENTUM</v>
          </cell>
          <cell r="H148">
            <v>3770</v>
          </cell>
        </row>
        <row r="149">
          <cell r="G149" t="str">
            <v>32002SUMMER ROMANCE</v>
          </cell>
          <cell r="H149">
            <v>1622</v>
          </cell>
        </row>
        <row r="150">
          <cell r="G150" t="str">
            <v>32002SWEETNESS</v>
          </cell>
          <cell r="H150">
            <v>7637</v>
          </cell>
        </row>
        <row r="151">
          <cell r="G151" t="str">
            <v>32003CABARET</v>
          </cell>
          <cell r="H151">
            <v>5262</v>
          </cell>
        </row>
        <row r="152">
          <cell r="G152" t="str">
            <v>32003DEEP PURPLE</v>
          </cell>
          <cell r="H152">
            <v>8286</v>
          </cell>
        </row>
        <row r="153">
          <cell r="G153" t="str">
            <v>32003EXPLORER</v>
          </cell>
          <cell r="H153">
            <v>1834</v>
          </cell>
        </row>
        <row r="154">
          <cell r="G154" t="str">
            <v>32003JOCKER</v>
          </cell>
          <cell r="H154">
            <v>812</v>
          </cell>
        </row>
        <row r="155">
          <cell r="G155" t="str">
            <v>32003QUICKSAND</v>
          </cell>
          <cell r="H155">
            <v>1585</v>
          </cell>
        </row>
        <row r="156">
          <cell r="G156" t="str">
            <v>32004COTOPAXI</v>
          </cell>
          <cell r="H156">
            <v>1078</v>
          </cell>
        </row>
        <row r="157">
          <cell r="G157" t="str">
            <v>32004DEEP PURPLE</v>
          </cell>
          <cell r="H157">
            <v>9923</v>
          </cell>
        </row>
        <row r="158">
          <cell r="G158" t="str">
            <v>32004HOT EXPLORER</v>
          </cell>
          <cell r="H158">
            <v>2113</v>
          </cell>
        </row>
        <row r="159">
          <cell r="G159" t="str">
            <v>32004HOT MERENGUE</v>
          </cell>
          <cell r="H159">
            <v>2112</v>
          </cell>
        </row>
        <row r="160">
          <cell r="G160" t="str">
            <v>32004SWEETNESS</v>
          </cell>
          <cell r="H160">
            <v>733</v>
          </cell>
        </row>
        <row r="161">
          <cell r="G161" t="str">
            <v>32005EXPLORER</v>
          </cell>
          <cell r="H161">
            <v>904</v>
          </cell>
        </row>
        <row r="162">
          <cell r="G162" t="str">
            <v>32005GOLDFINCH</v>
          </cell>
          <cell r="H162">
            <v>921</v>
          </cell>
        </row>
        <row r="163">
          <cell r="G163" t="str">
            <v>32005JOCKER</v>
          </cell>
          <cell r="H163">
            <v>1919</v>
          </cell>
        </row>
        <row r="164">
          <cell r="G164" t="str">
            <v>32005VENDELA</v>
          </cell>
          <cell r="H164">
            <v>2227</v>
          </cell>
        </row>
        <row r="165">
          <cell r="G165" t="str">
            <v>32006ATOMIC</v>
          </cell>
          <cell r="H165">
            <v>931</v>
          </cell>
        </row>
        <row r="166">
          <cell r="G166" t="str">
            <v>32006EXPLORER</v>
          </cell>
          <cell r="H166">
            <v>4723</v>
          </cell>
        </row>
        <row r="167">
          <cell r="G167" t="str">
            <v>32006MONDIAL</v>
          </cell>
          <cell r="H167">
            <v>5626</v>
          </cell>
        </row>
        <row r="168">
          <cell r="G168" t="str">
            <v>32007COTOPAXI</v>
          </cell>
          <cell r="H168">
            <v>6119</v>
          </cell>
        </row>
        <row r="169">
          <cell r="G169" t="str">
            <v>32007REDIANT</v>
          </cell>
          <cell r="H169">
            <v>1273</v>
          </cell>
        </row>
        <row r="170">
          <cell r="G170" t="str">
            <v>32007SUMMER ROMANCE</v>
          </cell>
          <cell r="H170">
            <v>216</v>
          </cell>
        </row>
        <row r="171">
          <cell r="G171" t="str">
            <v>32007VENDELA</v>
          </cell>
          <cell r="H171">
            <v>16020</v>
          </cell>
        </row>
        <row r="172">
          <cell r="G172" t="str">
            <v>32008DEEP PURPLE</v>
          </cell>
          <cell r="H172">
            <v>3385</v>
          </cell>
        </row>
        <row r="173">
          <cell r="G173" t="str">
            <v>32008FREEDOM</v>
          </cell>
          <cell r="H173">
            <v>3481</v>
          </cell>
        </row>
        <row r="174">
          <cell r="G174" t="str">
            <v>32008JOCKER</v>
          </cell>
          <cell r="H174">
            <v>4358</v>
          </cell>
        </row>
        <row r="175">
          <cell r="G175" t="str">
            <v>32010COOLDOWN</v>
          </cell>
          <cell r="H175">
            <v>2651</v>
          </cell>
        </row>
        <row r="176">
          <cell r="G176" t="str">
            <v>32010VIOLET HILL</v>
          </cell>
          <cell r="H176">
            <v>2760</v>
          </cell>
        </row>
        <row r="177">
          <cell r="G177" t="str">
            <v>32011BRIGHTON</v>
          </cell>
          <cell r="H177">
            <v>4206</v>
          </cell>
        </row>
        <row r="178">
          <cell r="G178" t="str">
            <v>32011CANDLELIGHT</v>
          </cell>
          <cell r="H178">
            <v>3833</v>
          </cell>
        </row>
        <row r="179">
          <cell r="G179" t="str">
            <v>32011CAYENNE</v>
          </cell>
          <cell r="H179">
            <v>1244</v>
          </cell>
        </row>
        <row r="180">
          <cell r="G180" t="str">
            <v>32011LUMIA</v>
          </cell>
          <cell r="H180">
            <v>2385</v>
          </cell>
        </row>
        <row r="181">
          <cell r="G181" t="str">
            <v>32011STARDUST</v>
          </cell>
          <cell r="H181">
            <v>2513</v>
          </cell>
        </row>
        <row r="182">
          <cell r="G182" t="str">
            <v>32012DEEP PURPLE</v>
          </cell>
          <cell r="H182">
            <v>13718</v>
          </cell>
        </row>
        <row r="183">
          <cell r="G183" t="str">
            <v>32012LIGHT HOUSE</v>
          </cell>
          <cell r="H183">
            <v>1193</v>
          </cell>
        </row>
        <row r="184">
          <cell r="G184" t="str">
            <v>32013COUNTRY BLUES</v>
          </cell>
          <cell r="H184">
            <v>1475</v>
          </cell>
        </row>
        <row r="185">
          <cell r="G185" t="str">
            <v>32013LORRAINE</v>
          </cell>
          <cell r="H185">
            <v>3899</v>
          </cell>
        </row>
        <row r="186">
          <cell r="G186" t="str">
            <v>32013LUMIA</v>
          </cell>
          <cell r="H186">
            <v>420</v>
          </cell>
        </row>
        <row r="187">
          <cell r="G187" t="str">
            <v>32013VENDELA</v>
          </cell>
          <cell r="H187">
            <v>11493</v>
          </cell>
        </row>
        <row r="188">
          <cell r="G188" t="str">
            <v>32014STARDUST</v>
          </cell>
          <cell r="H188">
            <v>5165</v>
          </cell>
        </row>
        <row r="189">
          <cell r="G189" t="str">
            <v>32015JOCKER</v>
          </cell>
          <cell r="H189">
            <v>4537</v>
          </cell>
        </row>
        <row r="190">
          <cell r="G190" t="str">
            <v>32016DREAM IN PEACH</v>
          </cell>
          <cell r="H190">
            <v>1004</v>
          </cell>
        </row>
        <row r="191">
          <cell r="G191" t="str">
            <v>32016NINA</v>
          </cell>
          <cell r="H191">
            <v>2897</v>
          </cell>
        </row>
        <row r="192">
          <cell r="G192" t="str">
            <v>32017FREEDOM</v>
          </cell>
          <cell r="H192">
            <v>3911</v>
          </cell>
        </row>
        <row r="193">
          <cell r="G193" t="str">
            <v>32017GOLDFINCH</v>
          </cell>
          <cell r="H193">
            <v>2119</v>
          </cell>
        </row>
        <row r="194">
          <cell r="G194" t="str">
            <v>32018BRIGHTON</v>
          </cell>
          <cell r="H194">
            <v>1677</v>
          </cell>
        </row>
        <row r="195">
          <cell r="G195" t="str">
            <v>32019BRIGHTON</v>
          </cell>
          <cell r="H195">
            <v>5078</v>
          </cell>
        </row>
        <row r="196">
          <cell r="G196" t="str">
            <v>32019TABATHA</v>
          </cell>
          <cell r="H196">
            <v>1997</v>
          </cell>
        </row>
        <row r="197">
          <cell r="G197" t="str">
            <v>32020BRIGHTON</v>
          </cell>
          <cell r="H197">
            <v>3914</v>
          </cell>
        </row>
        <row r="198">
          <cell r="G198" t="str">
            <v>32020TYCOON</v>
          </cell>
          <cell r="H198">
            <v>1052</v>
          </cell>
        </row>
        <row r="199">
          <cell r="G199" t="str">
            <v>32021SHOW GIRL</v>
          </cell>
          <cell r="H199">
            <v>1598</v>
          </cell>
        </row>
        <row r="200">
          <cell r="G200" t="str">
            <v>32022CORAL REEF</v>
          </cell>
          <cell r="H200">
            <v>1554</v>
          </cell>
        </row>
        <row r="201">
          <cell r="G201" t="str">
            <v>32023COTOPAXI</v>
          </cell>
          <cell r="H201">
            <v>7260</v>
          </cell>
        </row>
        <row r="202">
          <cell r="G202" t="str">
            <v>32023FRUTTETO</v>
          </cell>
          <cell r="H202">
            <v>4407</v>
          </cell>
        </row>
        <row r="203">
          <cell r="G203" t="str">
            <v>32024COTOPAXI</v>
          </cell>
          <cell r="H203">
            <v>3220</v>
          </cell>
        </row>
        <row r="204">
          <cell r="G204" t="str">
            <v>32024SWEETNESS</v>
          </cell>
          <cell r="H204">
            <v>1196</v>
          </cell>
        </row>
        <row r="205">
          <cell r="G205" t="str">
            <v>32024TYCOON</v>
          </cell>
          <cell r="H205">
            <v>2354</v>
          </cell>
        </row>
        <row r="206">
          <cell r="G206" t="str">
            <v>32025PINK MONDIAL</v>
          </cell>
          <cell r="H206">
            <v>3964</v>
          </cell>
        </row>
        <row r="207">
          <cell r="G207" t="str">
            <v>32026LOLA</v>
          </cell>
          <cell r="H207">
            <v>2890</v>
          </cell>
        </row>
        <row r="208">
          <cell r="G208" t="str">
            <v>32026PALOMA</v>
          </cell>
          <cell r="H208">
            <v>4579</v>
          </cell>
        </row>
        <row r="209">
          <cell r="G209" t="str">
            <v>32027SATISFACTION</v>
          </cell>
          <cell r="H209">
            <v>3312</v>
          </cell>
        </row>
        <row r="210">
          <cell r="G210" t="str">
            <v>32027TIFFANY</v>
          </cell>
          <cell r="H210">
            <v>3237</v>
          </cell>
        </row>
        <row r="211">
          <cell r="G211" t="str">
            <v>32028COTOPAXI</v>
          </cell>
          <cell r="H211">
            <v>4544</v>
          </cell>
        </row>
        <row r="212">
          <cell r="G212" t="str">
            <v>32028DEEP PURPLE</v>
          </cell>
          <cell r="H212">
            <v>6298</v>
          </cell>
        </row>
        <row r="213">
          <cell r="G213" t="str">
            <v>32029PINK FLOYD</v>
          </cell>
          <cell r="H213">
            <v>3747</v>
          </cell>
        </row>
        <row r="214">
          <cell r="G214" t="str">
            <v>32030EXPLORER</v>
          </cell>
          <cell r="H214">
            <v>1507</v>
          </cell>
        </row>
        <row r="215">
          <cell r="G215" t="str">
            <v>31008LUMIA</v>
          </cell>
          <cell r="H215">
            <v>1392</v>
          </cell>
        </row>
        <row r="216">
          <cell r="G216" t="str">
            <v>32008LUMIA</v>
          </cell>
          <cell r="H216">
            <v>1540</v>
          </cell>
        </row>
        <row r="217">
          <cell r="G217" t="str">
            <v>33008LUMIA</v>
          </cell>
          <cell r="H217">
            <v>2337</v>
          </cell>
        </row>
        <row r="218">
          <cell r="G218" t="str">
            <v>34008LUMIA</v>
          </cell>
          <cell r="H218">
            <v>1601</v>
          </cell>
        </row>
        <row r="219">
          <cell r="G219" t="str">
            <v>33021PISTACHIO KISS</v>
          </cell>
          <cell r="H219">
            <v>46</v>
          </cell>
        </row>
        <row r="220">
          <cell r="G220" t="str">
            <v>34021PISTACHIO KISS</v>
          </cell>
          <cell r="H220">
            <v>46</v>
          </cell>
        </row>
        <row r="221">
          <cell r="G221" t="str">
            <v>33002SOMERSET</v>
          </cell>
          <cell r="H221">
            <v>9266</v>
          </cell>
        </row>
        <row r="222">
          <cell r="G222" t="str">
            <v>33004BELLINA</v>
          </cell>
          <cell r="H222">
            <v>1159</v>
          </cell>
        </row>
        <row r="223">
          <cell r="G223" t="str">
            <v>33005ELBA</v>
          </cell>
          <cell r="H223">
            <v>9066</v>
          </cell>
        </row>
        <row r="224">
          <cell r="G224" t="str">
            <v>33005HOT BUBBLES</v>
          </cell>
          <cell r="H224">
            <v>1467</v>
          </cell>
        </row>
        <row r="225">
          <cell r="G225" t="str">
            <v>33005SUSPIRO</v>
          </cell>
          <cell r="H225">
            <v>4534</v>
          </cell>
        </row>
        <row r="226">
          <cell r="G226" t="str">
            <v>33007SNOW BUBBLES</v>
          </cell>
          <cell r="H226">
            <v>963</v>
          </cell>
        </row>
        <row r="227">
          <cell r="G227" t="str">
            <v>33009HOT BUBBLES</v>
          </cell>
          <cell r="H227">
            <v>11107</v>
          </cell>
        </row>
        <row r="228">
          <cell r="G228" t="str">
            <v>33014FRUITY BUBBLES</v>
          </cell>
          <cell r="H228">
            <v>3158</v>
          </cell>
        </row>
        <row r="229">
          <cell r="G229" t="str">
            <v>33015FELLINI</v>
          </cell>
          <cell r="H229">
            <v>6472</v>
          </cell>
        </row>
        <row r="230">
          <cell r="G230" t="str">
            <v>33016GOOD PEACH</v>
          </cell>
          <cell r="H230">
            <v>3514</v>
          </cell>
        </row>
        <row r="231">
          <cell r="G231" t="str">
            <v>33016GOOD YELLOW</v>
          </cell>
          <cell r="H231">
            <v>3378</v>
          </cell>
        </row>
        <row r="232">
          <cell r="G232" t="str">
            <v>33017ORANGE STAR</v>
          </cell>
          <cell r="H232">
            <v>1236</v>
          </cell>
        </row>
        <row r="233">
          <cell r="G233" t="str">
            <v>33018COSMO</v>
          </cell>
          <cell r="H233">
            <v>5331</v>
          </cell>
        </row>
        <row r="234">
          <cell r="G234" t="str">
            <v>33018RUBICON</v>
          </cell>
          <cell r="H234">
            <v>4706</v>
          </cell>
        </row>
        <row r="235">
          <cell r="G235" t="str">
            <v>33019BELLINA</v>
          </cell>
          <cell r="H235">
            <v>1227</v>
          </cell>
        </row>
        <row r="236">
          <cell r="G236" t="str">
            <v>33020SUMMER DANCE</v>
          </cell>
          <cell r="H236">
            <v>3366</v>
          </cell>
        </row>
        <row r="237">
          <cell r="G237" t="str">
            <v>33021ELEGANT ROSEVER</v>
          </cell>
          <cell r="H237">
            <v>648</v>
          </cell>
        </row>
        <row r="238">
          <cell r="G238" t="str">
            <v>33021FLAME CLUB</v>
          </cell>
          <cell r="H238">
            <v>1905</v>
          </cell>
        </row>
        <row r="239">
          <cell r="G239" t="str">
            <v>33021KELLY</v>
          </cell>
          <cell r="H239">
            <v>452</v>
          </cell>
        </row>
        <row r="240">
          <cell r="G240" t="str">
            <v>33021LEILA</v>
          </cell>
          <cell r="H240">
            <v>2416</v>
          </cell>
        </row>
        <row r="241">
          <cell r="G241" t="str">
            <v>33021SNOW BUBBLES</v>
          </cell>
          <cell r="H241">
            <v>2570</v>
          </cell>
        </row>
        <row r="242">
          <cell r="G242" t="str">
            <v>33022FRUITY BUBBLES</v>
          </cell>
          <cell r="H242">
            <v>5476</v>
          </cell>
        </row>
        <row r="243">
          <cell r="G243" t="str">
            <v>33022GOOD PEACH</v>
          </cell>
          <cell r="H243">
            <v>1998</v>
          </cell>
        </row>
        <row r="244">
          <cell r="G244" t="str">
            <v>33022MIRABEL</v>
          </cell>
          <cell r="H244">
            <v>1483</v>
          </cell>
        </row>
        <row r="245">
          <cell r="G245" t="str">
            <v>33026PURPLE BUBBLY</v>
          </cell>
          <cell r="H245">
            <v>341</v>
          </cell>
        </row>
        <row r="246">
          <cell r="G246" t="str">
            <v>33030MIRABEL</v>
          </cell>
          <cell r="H246">
            <v>5016</v>
          </cell>
        </row>
        <row r="247">
          <cell r="G247" t="str">
            <v>33030SOMERSET</v>
          </cell>
          <cell r="H247">
            <v>2532</v>
          </cell>
        </row>
        <row r="248">
          <cell r="G248" t="str">
            <v>3303182989</v>
          </cell>
          <cell r="H248">
            <v>1630</v>
          </cell>
        </row>
        <row r="249">
          <cell r="G249" t="str">
            <v>33031RUBICON</v>
          </cell>
          <cell r="H249">
            <v>2176</v>
          </cell>
        </row>
        <row r="250">
          <cell r="G250" t="str">
            <v>33031SOMERSET</v>
          </cell>
          <cell r="H250">
            <v>1883</v>
          </cell>
        </row>
        <row r="251">
          <cell r="G251" t="str">
            <v>33031VELVET BLOSSOMS</v>
          </cell>
          <cell r="H251">
            <v>470</v>
          </cell>
        </row>
        <row r="252">
          <cell r="G252" t="str">
            <v>33032ELBA</v>
          </cell>
          <cell r="H252">
            <v>3161</v>
          </cell>
        </row>
        <row r="253">
          <cell r="G253" t="str">
            <v>33032MIRABEL</v>
          </cell>
          <cell r="H253">
            <v>1790</v>
          </cell>
        </row>
        <row r="254">
          <cell r="G254" t="str">
            <v>33033CREAMY FOLIES</v>
          </cell>
          <cell r="H254">
            <v>1371</v>
          </cell>
        </row>
        <row r="255">
          <cell r="G255" t="str">
            <v>33033HOT BUBBLES</v>
          </cell>
          <cell r="H255">
            <v>2798</v>
          </cell>
        </row>
        <row r="256">
          <cell r="G256" t="str">
            <v>33001BELIEVE IN PINK</v>
          </cell>
          <cell r="H256">
            <v>1174</v>
          </cell>
        </row>
        <row r="257">
          <cell r="G257" t="str">
            <v>33001EXPLORER</v>
          </cell>
          <cell r="H257">
            <v>2927</v>
          </cell>
        </row>
        <row r="258">
          <cell r="G258" t="str">
            <v>33001GRACE KELLY</v>
          </cell>
          <cell r="H258">
            <v>1425</v>
          </cell>
        </row>
        <row r="259">
          <cell r="G259" t="str">
            <v>33001IDOLE</v>
          </cell>
          <cell r="H259">
            <v>899</v>
          </cell>
        </row>
        <row r="260">
          <cell r="G260" t="str">
            <v>33001LIGHT HOUSE</v>
          </cell>
          <cell r="H260">
            <v>1260</v>
          </cell>
        </row>
        <row r="261">
          <cell r="G261" t="str">
            <v>33001LUMIA</v>
          </cell>
          <cell r="H261">
            <v>1487</v>
          </cell>
        </row>
        <row r="262">
          <cell r="G262" t="str">
            <v>33001MOMENTUM</v>
          </cell>
          <cell r="H262">
            <v>2971</v>
          </cell>
        </row>
        <row r="263">
          <cell r="G263" t="str">
            <v>33002SUMMER ROMANCE</v>
          </cell>
          <cell r="H263">
            <v>1636</v>
          </cell>
        </row>
        <row r="264">
          <cell r="G264" t="str">
            <v>33002SWEETNESS</v>
          </cell>
          <cell r="H264">
            <v>6200</v>
          </cell>
        </row>
        <row r="265">
          <cell r="G265" t="str">
            <v>33003CABARET</v>
          </cell>
          <cell r="H265">
            <v>4570</v>
          </cell>
        </row>
        <row r="266">
          <cell r="G266" t="str">
            <v>33003DEEP PURPLE</v>
          </cell>
          <cell r="H266">
            <v>6798</v>
          </cell>
        </row>
        <row r="267">
          <cell r="G267" t="str">
            <v>33003EXPLORER</v>
          </cell>
          <cell r="H267">
            <v>1863</v>
          </cell>
        </row>
        <row r="268">
          <cell r="G268" t="str">
            <v>33003JOCKER</v>
          </cell>
          <cell r="H268">
            <v>686</v>
          </cell>
        </row>
        <row r="269">
          <cell r="G269" t="str">
            <v>33003QUICKSAND</v>
          </cell>
          <cell r="H269">
            <v>1253</v>
          </cell>
        </row>
        <row r="270">
          <cell r="G270" t="str">
            <v>33004COTOPAXI</v>
          </cell>
          <cell r="H270">
            <v>836</v>
          </cell>
        </row>
        <row r="271">
          <cell r="G271" t="str">
            <v>33004DEEP PURPLE</v>
          </cell>
          <cell r="H271">
            <v>8063</v>
          </cell>
        </row>
        <row r="272">
          <cell r="G272" t="str">
            <v>33004HOT EXPLORER</v>
          </cell>
          <cell r="H272">
            <v>2241</v>
          </cell>
        </row>
        <row r="273">
          <cell r="G273" t="str">
            <v>33004HOT MERENGUE</v>
          </cell>
          <cell r="H273">
            <v>1903</v>
          </cell>
        </row>
        <row r="274">
          <cell r="G274" t="str">
            <v>33004SWEETNESS</v>
          </cell>
          <cell r="H274">
            <v>606</v>
          </cell>
        </row>
        <row r="275">
          <cell r="G275" t="str">
            <v>33005EXPLORER</v>
          </cell>
          <cell r="H275">
            <v>908</v>
          </cell>
        </row>
        <row r="276">
          <cell r="G276" t="str">
            <v>33005GOLDFINCH</v>
          </cell>
          <cell r="H276">
            <v>745</v>
          </cell>
        </row>
        <row r="277">
          <cell r="G277" t="str">
            <v>33005JOCKER</v>
          </cell>
          <cell r="H277">
            <v>1737</v>
          </cell>
        </row>
        <row r="278">
          <cell r="G278" t="str">
            <v>33005VENDELA</v>
          </cell>
          <cell r="H278">
            <v>2104</v>
          </cell>
        </row>
        <row r="279">
          <cell r="G279" t="str">
            <v>33006ATOMIC</v>
          </cell>
          <cell r="H279">
            <v>736</v>
          </cell>
        </row>
        <row r="280">
          <cell r="G280" t="str">
            <v>33006EXPLORER</v>
          </cell>
          <cell r="H280">
            <v>4685</v>
          </cell>
        </row>
        <row r="281">
          <cell r="G281" t="str">
            <v>33006MONDIAL</v>
          </cell>
          <cell r="H281">
            <v>4876</v>
          </cell>
        </row>
        <row r="282">
          <cell r="G282" t="str">
            <v>33007COTOPAXI</v>
          </cell>
          <cell r="H282">
            <v>5396</v>
          </cell>
        </row>
        <row r="283">
          <cell r="G283" t="str">
            <v>33007REDIANT</v>
          </cell>
          <cell r="H283">
            <v>1301</v>
          </cell>
        </row>
        <row r="284">
          <cell r="G284" t="str">
            <v>33007SUMMER ROMANCE</v>
          </cell>
          <cell r="H284">
            <v>149</v>
          </cell>
        </row>
        <row r="285">
          <cell r="G285" t="str">
            <v>33007VENDELA</v>
          </cell>
          <cell r="H285">
            <v>14498</v>
          </cell>
        </row>
        <row r="286">
          <cell r="G286" t="str">
            <v>33008DEEP PURPLE</v>
          </cell>
          <cell r="H286">
            <v>2653</v>
          </cell>
        </row>
        <row r="287">
          <cell r="G287" t="str">
            <v>33008FREEDOM</v>
          </cell>
          <cell r="H287">
            <v>3164</v>
          </cell>
        </row>
        <row r="288">
          <cell r="G288" t="str">
            <v>33008JOCKER</v>
          </cell>
          <cell r="H288">
            <v>3699</v>
          </cell>
        </row>
        <row r="289">
          <cell r="G289" t="str">
            <v>33010COOLDOWN</v>
          </cell>
          <cell r="H289">
            <v>2861</v>
          </cell>
        </row>
        <row r="290">
          <cell r="G290" t="str">
            <v>33010VIOLET HILL</v>
          </cell>
          <cell r="H290">
            <v>3033</v>
          </cell>
        </row>
        <row r="291">
          <cell r="G291" t="str">
            <v>33011BRIGHTON</v>
          </cell>
          <cell r="H291">
            <v>3705</v>
          </cell>
        </row>
        <row r="292">
          <cell r="G292" t="str">
            <v>33011CANDLELIGHT</v>
          </cell>
          <cell r="H292">
            <v>3905</v>
          </cell>
        </row>
        <row r="293">
          <cell r="G293" t="str">
            <v>33011CAYENNE</v>
          </cell>
          <cell r="H293">
            <v>1061</v>
          </cell>
        </row>
        <row r="294">
          <cell r="G294" t="str">
            <v>33011LUMIA</v>
          </cell>
          <cell r="H294">
            <v>1431</v>
          </cell>
        </row>
        <row r="295">
          <cell r="G295" t="str">
            <v>33011STARDUST</v>
          </cell>
          <cell r="H295">
            <v>2224</v>
          </cell>
        </row>
        <row r="296">
          <cell r="G296" t="str">
            <v>33012DEEP PURPLE</v>
          </cell>
          <cell r="H296">
            <v>11272</v>
          </cell>
        </row>
        <row r="297">
          <cell r="G297" t="str">
            <v>33012LIGHT HOUSE</v>
          </cell>
          <cell r="H297">
            <v>1039</v>
          </cell>
        </row>
        <row r="298">
          <cell r="G298" t="str">
            <v>33013COUNTRY BLUES</v>
          </cell>
          <cell r="H298">
            <v>1371</v>
          </cell>
        </row>
        <row r="299">
          <cell r="G299" t="str">
            <v>33013LORRAINE</v>
          </cell>
          <cell r="H299">
            <v>3258</v>
          </cell>
        </row>
        <row r="300">
          <cell r="G300" t="str">
            <v>33013LUMIA</v>
          </cell>
          <cell r="H300">
            <v>285</v>
          </cell>
        </row>
        <row r="301">
          <cell r="G301" t="str">
            <v>33013VENDELA</v>
          </cell>
          <cell r="H301">
            <v>10060</v>
          </cell>
        </row>
        <row r="302">
          <cell r="G302" t="str">
            <v>33014STARDUST</v>
          </cell>
          <cell r="H302">
            <v>3922</v>
          </cell>
        </row>
        <row r="303">
          <cell r="G303" t="str">
            <v>33015JOCKER</v>
          </cell>
          <cell r="H303">
            <v>3215</v>
          </cell>
        </row>
        <row r="304">
          <cell r="G304" t="str">
            <v>33016DREAM IN PEACH</v>
          </cell>
          <cell r="H304">
            <v>742</v>
          </cell>
        </row>
        <row r="305">
          <cell r="G305" t="str">
            <v>33016NINA</v>
          </cell>
          <cell r="H305">
            <v>2567</v>
          </cell>
        </row>
        <row r="306">
          <cell r="G306" t="str">
            <v>33017FREEDOM</v>
          </cell>
          <cell r="H306">
            <v>3831</v>
          </cell>
        </row>
        <row r="307">
          <cell r="G307" t="str">
            <v>33017GOLDFINCH</v>
          </cell>
          <cell r="H307">
            <v>1904</v>
          </cell>
        </row>
        <row r="308">
          <cell r="G308" t="str">
            <v>33018BRIGHTON</v>
          </cell>
          <cell r="H308">
            <v>1369</v>
          </cell>
        </row>
        <row r="309">
          <cell r="G309" t="str">
            <v>33019BRIGHTON</v>
          </cell>
          <cell r="H309">
            <v>4061</v>
          </cell>
        </row>
        <row r="310">
          <cell r="G310" t="str">
            <v>33019TABATHA</v>
          </cell>
          <cell r="H310">
            <v>2020</v>
          </cell>
        </row>
        <row r="311">
          <cell r="G311" t="str">
            <v>33020BRIGHTON</v>
          </cell>
          <cell r="H311">
            <v>4028</v>
          </cell>
        </row>
        <row r="312">
          <cell r="G312" t="str">
            <v>33020TYCOON</v>
          </cell>
          <cell r="H312">
            <v>934</v>
          </cell>
        </row>
        <row r="313">
          <cell r="G313" t="str">
            <v>33021SHOW GIRL</v>
          </cell>
          <cell r="H313">
            <v>1739</v>
          </cell>
        </row>
        <row r="314">
          <cell r="G314" t="str">
            <v>33022CORAL REEF</v>
          </cell>
          <cell r="H314">
            <v>1262</v>
          </cell>
        </row>
        <row r="315">
          <cell r="G315" t="str">
            <v>33023COTOPAXI</v>
          </cell>
          <cell r="H315">
            <v>5760</v>
          </cell>
        </row>
        <row r="316">
          <cell r="G316" t="str">
            <v>33023FRUTTETO</v>
          </cell>
          <cell r="H316">
            <v>4000</v>
          </cell>
        </row>
        <row r="317">
          <cell r="G317" t="str">
            <v>33024COTOPAXI</v>
          </cell>
          <cell r="H317">
            <v>2685</v>
          </cell>
        </row>
        <row r="318">
          <cell r="G318" t="str">
            <v>33024SWEETNESS</v>
          </cell>
          <cell r="H318">
            <v>1194</v>
          </cell>
        </row>
        <row r="319">
          <cell r="G319" t="str">
            <v>33024TYCOON</v>
          </cell>
          <cell r="H319">
            <v>2299</v>
          </cell>
        </row>
        <row r="320">
          <cell r="G320" t="str">
            <v>33025PINK MONDIAL</v>
          </cell>
          <cell r="H320">
            <v>3605</v>
          </cell>
        </row>
        <row r="321">
          <cell r="G321" t="str">
            <v>33026LOLA</v>
          </cell>
          <cell r="H321">
            <v>2556</v>
          </cell>
        </row>
        <row r="322">
          <cell r="G322" t="str">
            <v>33026PALOMA</v>
          </cell>
          <cell r="H322">
            <v>3879</v>
          </cell>
        </row>
        <row r="323">
          <cell r="G323" t="str">
            <v>33027SATISFACTION</v>
          </cell>
          <cell r="H323">
            <v>2851</v>
          </cell>
        </row>
        <row r="324">
          <cell r="G324" t="str">
            <v>33027TIFFANY</v>
          </cell>
          <cell r="H324">
            <v>2727</v>
          </cell>
        </row>
        <row r="325">
          <cell r="G325" t="str">
            <v>33028COTOPAXI</v>
          </cell>
          <cell r="H325">
            <v>3507</v>
          </cell>
        </row>
        <row r="326">
          <cell r="G326" t="str">
            <v>33028DEEP PURPLE</v>
          </cell>
          <cell r="H326">
            <v>5366</v>
          </cell>
        </row>
        <row r="327">
          <cell r="G327" t="str">
            <v>33029PINK FLOYD</v>
          </cell>
          <cell r="H327">
            <v>3440</v>
          </cell>
        </row>
        <row r="328">
          <cell r="G328" t="str">
            <v>33030EXPLORER</v>
          </cell>
          <cell r="H328">
            <v>1444</v>
          </cell>
        </row>
        <row r="329">
          <cell r="G329" t="str">
            <v>33021PISTACHIO KISS</v>
          </cell>
          <cell r="H329">
            <v>46</v>
          </cell>
        </row>
        <row r="330">
          <cell r="G330" t="str">
            <v>33021PISTACHIO KISS</v>
          </cell>
          <cell r="H330">
            <v>45</v>
          </cell>
        </row>
        <row r="331">
          <cell r="G331" t="str">
            <v>34002SOMERSET</v>
          </cell>
          <cell r="H331">
            <v>8540</v>
          </cell>
        </row>
        <row r="332">
          <cell r="G332" t="str">
            <v>34004BELLINA</v>
          </cell>
          <cell r="H332">
            <v>1005</v>
          </cell>
        </row>
        <row r="333">
          <cell r="G333" t="str">
            <v>34005ELBA</v>
          </cell>
          <cell r="H333">
            <v>10107</v>
          </cell>
        </row>
        <row r="334">
          <cell r="G334" t="str">
            <v>34005HOT BUBBLES</v>
          </cell>
          <cell r="H334">
            <v>1641</v>
          </cell>
        </row>
        <row r="335">
          <cell r="G335" t="str">
            <v>34005SUSPIRO</v>
          </cell>
          <cell r="H335">
            <v>4360</v>
          </cell>
        </row>
        <row r="336">
          <cell r="G336" t="str">
            <v>34007SNOW BUBBLES</v>
          </cell>
          <cell r="H336">
            <v>1042</v>
          </cell>
        </row>
        <row r="337">
          <cell r="G337" t="str">
            <v>34009HOT BUBBLES</v>
          </cell>
          <cell r="H337">
            <v>12473</v>
          </cell>
        </row>
        <row r="338">
          <cell r="G338" t="str">
            <v>34014FRUITY BUBBLES</v>
          </cell>
          <cell r="H338">
            <v>2728</v>
          </cell>
        </row>
        <row r="339">
          <cell r="G339" t="str">
            <v>34015FELLINI</v>
          </cell>
          <cell r="H339">
            <v>5322</v>
          </cell>
        </row>
        <row r="340">
          <cell r="G340" t="str">
            <v>34016GOOD PEACH</v>
          </cell>
          <cell r="H340">
            <v>3480</v>
          </cell>
        </row>
        <row r="341">
          <cell r="G341" t="str">
            <v>34016GOOD YELLOW</v>
          </cell>
          <cell r="H341">
            <v>3191</v>
          </cell>
        </row>
        <row r="342">
          <cell r="G342" t="str">
            <v>34017ORANGE STAR</v>
          </cell>
          <cell r="H342">
            <v>971</v>
          </cell>
        </row>
        <row r="343">
          <cell r="G343" t="str">
            <v>34018COSMO</v>
          </cell>
          <cell r="H343">
            <v>4660</v>
          </cell>
        </row>
        <row r="344">
          <cell r="G344" t="str">
            <v>34018RUBICON</v>
          </cell>
          <cell r="H344">
            <v>4841</v>
          </cell>
        </row>
        <row r="345">
          <cell r="G345" t="str">
            <v>34019BELLINA</v>
          </cell>
          <cell r="H345">
            <v>1264</v>
          </cell>
        </row>
        <row r="346">
          <cell r="G346" t="str">
            <v>34020SUMMER DANCE</v>
          </cell>
          <cell r="H346">
            <v>2666</v>
          </cell>
        </row>
        <row r="347">
          <cell r="G347" t="str">
            <v>34021ELEGANT ROSEVER</v>
          </cell>
          <cell r="H347">
            <v>652</v>
          </cell>
        </row>
        <row r="348">
          <cell r="G348" t="str">
            <v>34021FLAME CLUB</v>
          </cell>
          <cell r="H348">
            <v>1715</v>
          </cell>
        </row>
        <row r="349">
          <cell r="G349" t="str">
            <v>34021KELLY</v>
          </cell>
          <cell r="H349">
            <v>458</v>
          </cell>
        </row>
        <row r="350">
          <cell r="G350" t="str">
            <v>34021LEILA</v>
          </cell>
          <cell r="H350">
            <v>2179</v>
          </cell>
        </row>
        <row r="351">
          <cell r="G351" t="str">
            <v>34021SNOW BUBBLES</v>
          </cell>
          <cell r="H351">
            <v>2233</v>
          </cell>
        </row>
        <row r="352">
          <cell r="G352" t="str">
            <v>34022FRUITY BUBBLES</v>
          </cell>
          <cell r="H352">
            <v>5393</v>
          </cell>
        </row>
        <row r="353">
          <cell r="G353" t="str">
            <v>34022GOOD PEACH</v>
          </cell>
          <cell r="H353">
            <v>2079</v>
          </cell>
        </row>
        <row r="354">
          <cell r="G354" t="str">
            <v>34022MIRABEL</v>
          </cell>
          <cell r="H354">
            <v>1516</v>
          </cell>
        </row>
        <row r="355">
          <cell r="G355" t="str">
            <v>34026PURPLE BUBBLY</v>
          </cell>
          <cell r="H355">
            <v>312</v>
          </cell>
        </row>
        <row r="356">
          <cell r="G356" t="str">
            <v>34030MIRABEL</v>
          </cell>
          <cell r="H356">
            <v>4955</v>
          </cell>
        </row>
        <row r="357">
          <cell r="G357" t="str">
            <v>34030SOMERSET</v>
          </cell>
          <cell r="H357">
            <v>2078</v>
          </cell>
        </row>
        <row r="358">
          <cell r="G358" t="str">
            <v>3403182989</v>
          </cell>
          <cell r="H358">
            <v>1861</v>
          </cell>
        </row>
        <row r="359">
          <cell r="G359" t="str">
            <v>34031RUBICON</v>
          </cell>
          <cell r="H359">
            <v>1980</v>
          </cell>
        </row>
        <row r="360">
          <cell r="G360" t="str">
            <v>34031SOMERSET</v>
          </cell>
          <cell r="H360">
            <v>1908</v>
          </cell>
        </row>
        <row r="361">
          <cell r="G361" t="str">
            <v>34031VELVET BLOSSOMS</v>
          </cell>
          <cell r="H361">
            <v>703</v>
          </cell>
        </row>
        <row r="362">
          <cell r="G362" t="str">
            <v>34032ELBA</v>
          </cell>
          <cell r="H362">
            <v>3260</v>
          </cell>
        </row>
        <row r="363">
          <cell r="G363" t="str">
            <v>34032MIRABEL</v>
          </cell>
          <cell r="H363">
            <v>1689</v>
          </cell>
        </row>
        <row r="364">
          <cell r="G364" t="str">
            <v>34033CREAMY FOLIES</v>
          </cell>
          <cell r="H364">
            <v>1539</v>
          </cell>
        </row>
        <row r="365">
          <cell r="G365" t="str">
            <v>34033HOT BUBBLES</v>
          </cell>
          <cell r="H365">
            <v>2811</v>
          </cell>
        </row>
        <row r="366">
          <cell r="G366" t="str">
            <v>34001BELIEVE IN PINK</v>
          </cell>
          <cell r="H366">
            <v>1015</v>
          </cell>
        </row>
        <row r="367">
          <cell r="G367" t="str">
            <v>34001EXPLORER</v>
          </cell>
          <cell r="H367">
            <v>2702</v>
          </cell>
        </row>
        <row r="368">
          <cell r="G368" t="str">
            <v>34001GRACE KELLY</v>
          </cell>
          <cell r="H368">
            <v>1544</v>
          </cell>
        </row>
        <row r="369">
          <cell r="G369" t="str">
            <v>34001IDOLE</v>
          </cell>
          <cell r="H369">
            <v>802</v>
          </cell>
        </row>
        <row r="370">
          <cell r="G370" t="str">
            <v>34001LIGHT HOUSE</v>
          </cell>
          <cell r="H370">
            <v>1006</v>
          </cell>
        </row>
        <row r="371">
          <cell r="G371" t="str">
            <v>34001MOMENTUM</v>
          </cell>
          <cell r="H371">
            <v>3135</v>
          </cell>
        </row>
        <row r="372">
          <cell r="G372" t="str">
            <v>34002SUMMER ROMANCE</v>
          </cell>
          <cell r="H372">
            <v>2354</v>
          </cell>
        </row>
        <row r="373">
          <cell r="G373" t="str">
            <v>34002SWEETNESS</v>
          </cell>
          <cell r="H373">
            <v>6210</v>
          </cell>
        </row>
        <row r="374">
          <cell r="G374" t="str">
            <v>34003CABARET</v>
          </cell>
          <cell r="H374">
            <v>3932</v>
          </cell>
        </row>
        <row r="375">
          <cell r="G375" t="str">
            <v>34003DEEP PURPLE</v>
          </cell>
          <cell r="H375">
            <v>5462</v>
          </cell>
        </row>
        <row r="376">
          <cell r="G376" t="str">
            <v>34003EXPLORER</v>
          </cell>
          <cell r="H376">
            <v>1873</v>
          </cell>
        </row>
        <row r="377">
          <cell r="G377" t="str">
            <v>34003JOCKER</v>
          </cell>
          <cell r="H377">
            <v>706</v>
          </cell>
        </row>
        <row r="378">
          <cell r="G378" t="str">
            <v>34003QUICKSAND</v>
          </cell>
          <cell r="H378">
            <v>1346</v>
          </cell>
        </row>
        <row r="379">
          <cell r="G379" t="str">
            <v>34004COTOPAXI</v>
          </cell>
          <cell r="H379">
            <v>1183</v>
          </cell>
        </row>
        <row r="380">
          <cell r="G380" t="str">
            <v>34004DEEP PURPLE</v>
          </cell>
          <cell r="H380">
            <v>6282</v>
          </cell>
        </row>
        <row r="381">
          <cell r="G381" t="str">
            <v>34004HOT EXPLORER</v>
          </cell>
          <cell r="H381">
            <v>2204</v>
          </cell>
        </row>
        <row r="382">
          <cell r="G382" t="str">
            <v>34004HOT MERENGUE</v>
          </cell>
          <cell r="H382">
            <v>1629</v>
          </cell>
        </row>
        <row r="383">
          <cell r="G383" t="str">
            <v>34004SWEETNESS</v>
          </cell>
          <cell r="H383">
            <v>562</v>
          </cell>
        </row>
        <row r="384">
          <cell r="G384" t="str">
            <v>34005EXPLORER</v>
          </cell>
          <cell r="H384">
            <v>997</v>
          </cell>
        </row>
        <row r="385">
          <cell r="G385" t="str">
            <v>34005GOLDFINCH</v>
          </cell>
          <cell r="H385">
            <v>633</v>
          </cell>
        </row>
        <row r="386">
          <cell r="G386" t="str">
            <v>34005JOCKER</v>
          </cell>
          <cell r="H386">
            <v>1752</v>
          </cell>
        </row>
        <row r="387">
          <cell r="G387" t="str">
            <v>34005VENDELA</v>
          </cell>
          <cell r="H387">
            <v>1937</v>
          </cell>
        </row>
        <row r="388">
          <cell r="G388" t="str">
            <v>34006ATOMIC</v>
          </cell>
          <cell r="H388">
            <v>636</v>
          </cell>
        </row>
        <row r="389">
          <cell r="G389" t="str">
            <v>34006EXPLORER</v>
          </cell>
          <cell r="H389">
            <v>4801</v>
          </cell>
        </row>
        <row r="390">
          <cell r="G390" t="str">
            <v>34006MONDIAL</v>
          </cell>
          <cell r="H390">
            <v>4892</v>
          </cell>
        </row>
        <row r="391">
          <cell r="G391" t="str">
            <v>34007COTOPAXI</v>
          </cell>
          <cell r="H391">
            <v>7682</v>
          </cell>
        </row>
        <row r="392">
          <cell r="G392" t="str">
            <v>34007REDIANT</v>
          </cell>
          <cell r="H392">
            <v>1287</v>
          </cell>
        </row>
        <row r="393">
          <cell r="G393" t="str">
            <v>34007SUMMER ROMANCE</v>
          </cell>
          <cell r="H393">
            <v>238</v>
          </cell>
        </row>
        <row r="394">
          <cell r="G394" t="str">
            <v>34007VENDELA</v>
          </cell>
          <cell r="H394">
            <v>13902</v>
          </cell>
        </row>
        <row r="395">
          <cell r="G395" t="str">
            <v>34008DEEP PURPLE</v>
          </cell>
          <cell r="H395">
            <v>2109</v>
          </cell>
        </row>
        <row r="396">
          <cell r="G396" t="str">
            <v>34008FREEDOM</v>
          </cell>
          <cell r="H396">
            <v>2722</v>
          </cell>
        </row>
        <row r="397">
          <cell r="G397" t="str">
            <v>34008JOCKER</v>
          </cell>
          <cell r="H397">
            <v>3429</v>
          </cell>
        </row>
        <row r="398">
          <cell r="G398" t="str">
            <v>34010COOLDOWN</v>
          </cell>
          <cell r="H398">
            <v>3063</v>
          </cell>
        </row>
        <row r="399">
          <cell r="G399" t="str">
            <v>34010VIOLET HILL</v>
          </cell>
          <cell r="H399">
            <v>3230</v>
          </cell>
        </row>
        <row r="400">
          <cell r="G400" t="str">
            <v>34011BRIGHTON</v>
          </cell>
          <cell r="H400">
            <v>3296</v>
          </cell>
        </row>
        <row r="401">
          <cell r="G401" t="str">
            <v>34011CANDLELIGHT</v>
          </cell>
          <cell r="H401">
            <v>4265</v>
          </cell>
        </row>
        <row r="402">
          <cell r="G402" t="str">
            <v>34011CAYENNE</v>
          </cell>
          <cell r="H402">
            <v>927</v>
          </cell>
        </row>
        <row r="403">
          <cell r="G403" t="str">
            <v>34011STARDUST</v>
          </cell>
          <cell r="H403">
            <v>2335</v>
          </cell>
        </row>
        <row r="404">
          <cell r="G404" t="str">
            <v>34012DEEP PURPLE</v>
          </cell>
          <cell r="H404">
            <v>9229</v>
          </cell>
        </row>
        <row r="405">
          <cell r="G405" t="str">
            <v>34012LIGHT HOUSE</v>
          </cell>
          <cell r="H405">
            <v>846</v>
          </cell>
        </row>
        <row r="406">
          <cell r="G406" t="str">
            <v>34013COUNTRY BLUES</v>
          </cell>
          <cell r="H406">
            <v>1458</v>
          </cell>
        </row>
        <row r="407">
          <cell r="G407" t="str">
            <v>34013LORRAINE</v>
          </cell>
          <cell r="H407">
            <v>2549</v>
          </cell>
        </row>
        <row r="408">
          <cell r="G408" t="str">
            <v>34013VENDELA</v>
          </cell>
          <cell r="H408">
            <v>8829</v>
          </cell>
        </row>
        <row r="409">
          <cell r="G409" t="str">
            <v>34014STARDUST</v>
          </cell>
          <cell r="H409">
            <v>3374</v>
          </cell>
        </row>
        <row r="410">
          <cell r="G410" t="str">
            <v>34015JOCKER</v>
          </cell>
          <cell r="H410">
            <v>2857</v>
          </cell>
        </row>
        <row r="411">
          <cell r="G411" t="str">
            <v>34016DREAM IN PEACH</v>
          </cell>
          <cell r="H411">
            <v>618</v>
          </cell>
        </row>
        <row r="412">
          <cell r="G412" t="str">
            <v>34016NINA</v>
          </cell>
          <cell r="H412">
            <v>2101</v>
          </cell>
        </row>
        <row r="413">
          <cell r="G413" t="str">
            <v>34017FREEDOM</v>
          </cell>
          <cell r="H413">
            <v>3195</v>
          </cell>
        </row>
        <row r="414">
          <cell r="G414" t="str">
            <v>34017GOLDFINCH</v>
          </cell>
          <cell r="H414">
            <v>1746</v>
          </cell>
        </row>
        <row r="415">
          <cell r="G415" t="str">
            <v>34018BRIGHTON</v>
          </cell>
          <cell r="H415">
            <v>1354</v>
          </cell>
        </row>
        <row r="416">
          <cell r="G416" t="str">
            <v>34019BRIGHTON</v>
          </cell>
          <cell r="H416">
            <v>4136</v>
          </cell>
        </row>
        <row r="417">
          <cell r="G417" t="str">
            <v>34019TABATHA</v>
          </cell>
          <cell r="H417">
            <v>1587</v>
          </cell>
        </row>
        <row r="418">
          <cell r="G418" t="str">
            <v>34020BRIGHTON</v>
          </cell>
          <cell r="H418">
            <v>3361</v>
          </cell>
        </row>
        <row r="419">
          <cell r="G419" t="str">
            <v>34020TYCOON</v>
          </cell>
          <cell r="H419">
            <v>809</v>
          </cell>
        </row>
        <row r="420">
          <cell r="G420" t="str">
            <v>34021SHOW GIRL</v>
          </cell>
          <cell r="H420">
            <v>2047</v>
          </cell>
        </row>
        <row r="421">
          <cell r="G421" t="str">
            <v>34022CORAL REEF</v>
          </cell>
          <cell r="H421">
            <v>1173</v>
          </cell>
        </row>
        <row r="422">
          <cell r="G422" t="str">
            <v>34023COTOPAXI</v>
          </cell>
          <cell r="H422">
            <v>7426</v>
          </cell>
        </row>
        <row r="423">
          <cell r="G423" t="str">
            <v>34023FRUTTETO</v>
          </cell>
          <cell r="H423">
            <v>3545</v>
          </cell>
        </row>
        <row r="424">
          <cell r="G424" t="str">
            <v>34024COTOPAXI</v>
          </cell>
          <cell r="H424">
            <v>3424</v>
          </cell>
        </row>
        <row r="425">
          <cell r="G425" t="str">
            <v>34024SWEETNESS</v>
          </cell>
          <cell r="H425">
            <v>1485</v>
          </cell>
        </row>
        <row r="426">
          <cell r="G426" t="str">
            <v>34024TYCOON</v>
          </cell>
          <cell r="H426">
            <v>2853</v>
          </cell>
        </row>
        <row r="427">
          <cell r="G427" t="str">
            <v>34025PINK MONDIAL</v>
          </cell>
          <cell r="H427">
            <v>3474</v>
          </cell>
        </row>
        <row r="428">
          <cell r="G428" t="str">
            <v>34026LOLA</v>
          </cell>
          <cell r="H428">
            <v>2796</v>
          </cell>
        </row>
        <row r="429">
          <cell r="G429" t="str">
            <v>34026PALOMA</v>
          </cell>
          <cell r="H429">
            <v>3531</v>
          </cell>
        </row>
        <row r="430">
          <cell r="G430" t="str">
            <v>34027SATISFACTION</v>
          </cell>
          <cell r="H430">
            <v>3550</v>
          </cell>
        </row>
        <row r="431">
          <cell r="G431" t="str">
            <v>34027TIFFANY</v>
          </cell>
          <cell r="H431">
            <v>3430</v>
          </cell>
        </row>
        <row r="432">
          <cell r="G432" t="str">
            <v>34028COTOPAXI</v>
          </cell>
          <cell r="H432">
            <v>4965</v>
          </cell>
        </row>
        <row r="433">
          <cell r="G433" t="str">
            <v>34028DEEP PURPLE</v>
          </cell>
          <cell r="H433">
            <v>4671</v>
          </cell>
        </row>
        <row r="434">
          <cell r="G434" t="str">
            <v>34029PINK FLOYD</v>
          </cell>
          <cell r="H434">
            <v>2884</v>
          </cell>
        </row>
        <row r="435">
          <cell r="G435" t="str">
            <v>34030EXPLORER</v>
          </cell>
          <cell r="H435">
            <v>1223</v>
          </cell>
        </row>
        <row r="436">
          <cell r="G436" t="str">
            <v>34001LUMIA</v>
          </cell>
          <cell r="H436">
            <v>1223</v>
          </cell>
        </row>
        <row r="437">
          <cell r="G437" t="str">
            <v>34011LUMIA</v>
          </cell>
          <cell r="H437">
            <v>1183</v>
          </cell>
        </row>
        <row r="438">
          <cell r="G438" t="str">
            <v>34013LUMIA</v>
          </cell>
          <cell r="H438">
            <v>292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topLeftCell="A403" workbookViewId="0">
      <selection activeCell="A424" sqref="A424"/>
    </sheetView>
  </sheetViews>
  <sheetFormatPr baseColWidth="10" defaultColWidth="9.140625" defaultRowHeight="15"/>
  <cols>
    <col min="7" max="7" width="21.7109375" bestFit="1" customWidth="1"/>
    <col min="9" max="9" width="10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219</v>
      </c>
      <c r="J1" s="2" t="s">
        <v>220</v>
      </c>
    </row>
    <row r="2" spans="1:10">
      <c r="A2">
        <v>2026</v>
      </c>
      <c r="B2">
        <v>31</v>
      </c>
      <c r="C2" t="s">
        <v>8</v>
      </c>
      <c r="D2" t="s">
        <v>9</v>
      </c>
      <c r="E2" t="s">
        <v>186</v>
      </c>
      <c r="F2" t="s">
        <v>10</v>
      </c>
      <c r="G2" t="str">
        <f>+B2&amp;E2&amp;F2</f>
        <v>31002SOMERSET</v>
      </c>
      <c r="H2">
        <f>VLOOKUP(G2,[1]Proyeccion_original!$G$2:$H$438,2,FALSE)</f>
        <v>9562</v>
      </c>
      <c r="I2">
        <v>7460</v>
      </c>
      <c r="J2">
        <f>+(I2-H2)/I2</f>
        <v>-0.28176943699731904</v>
      </c>
    </row>
    <row r="3" spans="1:10">
      <c r="A3">
        <v>2026</v>
      </c>
      <c r="B3">
        <v>31</v>
      </c>
      <c r="C3" t="s">
        <v>8</v>
      </c>
      <c r="D3" t="s">
        <v>9</v>
      </c>
      <c r="E3" t="s">
        <v>187</v>
      </c>
      <c r="F3" t="s">
        <v>12</v>
      </c>
      <c r="G3" t="str">
        <f t="shared" ref="G3:G66" si="0">+B3&amp;E3&amp;F3</f>
        <v>31004BELLINA</v>
      </c>
      <c r="H3">
        <f>VLOOKUP(G3,[1]Proyeccion_original!$G$2:$H$438,2,FALSE)</f>
        <v>1790</v>
      </c>
      <c r="I3">
        <v>2040</v>
      </c>
      <c r="J3">
        <f t="shared" ref="J3:J66" si="1">+(I3-H3)/I3</f>
        <v>0.12254901960784313</v>
      </c>
    </row>
    <row r="4" spans="1:10">
      <c r="A4">
        <v>2026</v>
      </c>
      <c r="B4">
        <v>31</v>
      </c>
      <c r="C4" t="s">
        <v>8</v>
      </c>
      <c r="D4" t="s">
        <v>9</v>
      </c>
      <c r="E4" t="s">
        <v>188</v>
      </c>
      <c r="F4" t="s">
        <v>14</v>
      </c>
      <c r="G4" t="str">
        <f t="shared" si="0"/>
        <v>31005ELBA</v>
      </c>
      <c r="H4">
        <f>VLOOKUP(G4,[1]Proyeccion_original!$G$2:$H$438,2,FALSE)</f>
        <v>8879</v>
      </c>
      <c r="I4">
        <v>6630</v>
      </c>
      <c r="J4">
        <f t="shared" si="1"/>
        <v>-0.33921568627450982</v>
      </c>
    </row>
    <row r="5" spans="1:10">
      <c r="A5">
        <v>2026</v>
      </c>
      <c r="B5">
        <v>31</v>
      </c>
      <c r="C5" t="s">
        <v>8</v>
      </c>
      <c r="D5" t="s">
        <v>9</v>
      </c>
      <c r="E5" t="s">
        <v>188</v>
      </c>
      <c r="F5" t="s">
        <v>16</v>
      </c>
      <c r="G5" t="str">
        <f t="shared" si="0"/>
        <v>31005HOT BUBBLES</v>
      </c>
      <c r="H5">
        <f>VLOOKUP(G5,[1]Proyeccion_original!$G$2:$H$438,2,FALSE)</f>
        <v>1200</v>
      </c>
      <c r="I5">
        <v>1300</v>
      </c>
      <c r="J5">
        <f t="shared" si="1"/>
        <v>7.6923076923076927E-2</v>
      </c>
    </row>
    <row r="6" spans="1:10">
      <c r="A6">
        <v>2026</v>
      </c>
      <c r="B6">
        <v>31</v>
      </c>
      <c r="C6" t="s">
        <v>8</v>
      </c>
      <c r="D6" t="s">
        <v>9</v>
      </c>
      <c r="E6" t="s">
        <v>188</v>
      </c>
      <c r="F6" t="s">
        <v>18</v>
      </c>
      <c r="G6" t="str">
        <f t="shared" si="0"/>
        <v>31005SUSPIRO</v>
      </c>
      <c r="H6">
        <f>VLOOKUP(G6,[1]Proyeccion_original!$G$2:$H$438,2,FALSE)</f>
        <v>3701</v>
      </c>
      <c r="I6">
        <v>5100</v>
      </c>
      <c r="J6">
        <f t="shared" si="1"/>
        <v>0.27431372549019606</v>
      </c>
    </row>
    <row r="7" spans="1:10">
      <c r="A7">
        <v>2026</v>
      </c>
      <c r="B7">
        <v>31</v>
      </c>
      <c r="C7" t="s">
        <v>8</v>
      </c>
      <c r="D7" t="s">
        <v>9</v>
      </c>
      <c r="E7" t="s">
        <v>189</v>
      </c>
      <c r="F7" t="s">
        <v>20</v>
      </c>
      <c r="G7" t="str">
        <f t="shared" si="0"/>
        <v>31007SNOW BUBBLES</v>
      </c>
      <c r="H7">
        <f>VLOOKUP(G7,[1]Proyeccion_original!$G$2:$H$438,2,FALSE)</f>
        <v>1189</v>
      </c>
      <c r="I7">
        <v>1440</v>
      </c>
      <c r="J7">
        <f t="shared" si="1"/>
        <v>0.17430555555555555</v>
      </c>
    </row>
    <row r="8" spans="1:10">
      <c r="A8">
        <v>2026</v>
      </c>
      <c r="B8">
        <v>31</v>
      </c>
      <c r="C8" t="s">
        <v>8</v>
      </c>
      <c r="D8" t="s">
        <v>9</v>
      </c>
      <c r="E8" t="s">
        <v>190</v>
      </c>
      <c r="F8" t="s">
        <v>16</v>
      </c>
      <c r="G8" t="str">
        <f t="shared" si="0"/>
        <v>31009HOT BUBBLES</v>
      </c>
      <c r="H8">
        <f>VLOOKUP(G8,[1]Proyeccion_original!$G$2:$H$438,2,FALSE)</f>
        <v>8926</v>
      </c>
      <c r="I8">
        <v>8220</v>
      </c>
      <c r="J8">
        <f t="shared" si="1"/>
        <v>-8.5888077858880779E-2</v>
      </c>
    </row>
    <row r="9" spans="1:10">
      <c r="A9">
        <v>2026</v>
      </c>
      <c r="B9">
        <v>31</v>
      </c>
      <c r="C9" t="s">
        <v>8</v>
      </c>
      <c r="D9" t="s">
        <v>9</v>
      </c>
      <c r="E9" t="s">
        <v>191</v>
      </c>
      <c r="F9" t="s">
        <v>23</v>
      </c>
      <c r="G9" t="str">
        <f t="shared" si="0"/>
        <v>31014FRUITY BUBBLES</v>
      </c>
      <c r="H9">
        <f>VLOOKUP(G9,[1]Proyeccion_original!$G$2:$H$438,2,FALSE)</f>
        <v>5073</v>
      </c>
      <c r="I9">
        <v>4325</v>
      </c>
      <c r="J9">
        <f t="shared" si="1"/>
        <v>-0.17294797687861271</v>
      </c>
    </row>
    <row r="10" spans="1:10">
      <c r="A10">
        <v>2026</v>
      </c>
      <c r="B10">
        <v>31</v>
      </c>
      <c r="C10" t="s">
        <v>8</v>
      </c>
      <c r="D10" t="s">
        <v>9</v>
      </c>
      <c r="E10" t="s">
        <v>192</v>
      </c>
      <c r="F10" t="s">
        <v>25</v>
      </c>
      <c r="G10" t="str">
        <f t="shared" si="0"/>
        <v>31015FELLINI</v>
      </c>
      <c r="H10">
        <f>VLOOKUP(G10,[1]Proyeccion_original!$G$2:$H$438,2,FALSE)</f>
        <v>7377</v>
      </c>
      <c r="I10">
        <v>6420</v>
      </c>
      <c r="J10">
        <f t="shared" si="1"/>
        <v>-0.14906542056074767</v>
      </c>
    </row>
    <row r="11" spans="1:10">
      <c r="A11">
        <v>2026</v>
      </c>
      <c r="B11">
        <v>31</v>
      </c>
      <c r="C11" t="s">
        <v>8</v>
      </c>
      <c r="D11" t="s">
        <v>9</v>
      </c>
      <c r="E11" t="s">
        <v>193</v>
      </c>
      <c r="F11" t="s">
        <v>27</v>
      </c>
      <c r="G11" t="str">
        <f t="shared" si="0"/>
        <v>31016GOOD PEACH</v>
      </c>
      <c r="H11">
        <f>VLOOKUP(G11,[1]Proyeccion_original!$G$2:$H$438,2,FALSE)</f>
        <v>3007</v>
      </c>
      <c r="I11">
        <v>3360</v>
      </c>
      <c r="J11">
        <f t="shared" si="1"/>
        <v>0.10505952380952381</v>
      </c>
    </row>
    <row r="12" spans="1:10">
      <c r="A12">
        <v>2026</v>
      </c>
      <c r="B12">
        <v>31</v>
      </c>
      <c r="C12" t="s">
        <v>8</v>
      </c>
      <c r="D12" t="s">
        <v>9</v>
      </c>
      <c r="E12" t="s">
        <v>193</v>
      </c>
      <c r="F12" t="s">
        <v>29</v>
      </c>
      <c r="G12" t="str">
        <f t="shared" si="0"/>
        <v>31016GOOD YELLOW</v>
      </c>
      <c r="H12">
        <f>VLOOKUP(G12,[1]Proyeccion_original!$G$2:$H$438,2,FALSE)</f>
        <v>2760</v>
      </c>
      <c r="I12">
        <v>4920</v>
      </c>
      <c r="J12">
        <f t="shared" si="1"/>
        <v>0.43902439024390244</v>
      </c>
    </row>
    <row r="13" spans="1:10">
      <c r="A13">
        <v>2026</v>
      </c>
      <c r="B13">
        <v>31</v>
      </c>
      <c r="C13" t="s">
        <v>8</v>
      </c>
      <c r="D13" t="s">
        <v>9</v>
      </c>
      <c r="E13" t="s">
        <v>194</v>
      </c>
      <c r="F13" t="s">
        <v>31</v>
      </c>
      <c r="G13" t="str">
        <f t="shared" si="0"/>
        <v>31017ORANGE STAR</v>
      </c>
      <c r="H13">
        <f>VLOOKUP(G13,[1]Proyeccion_original!$G$2:$H$438,2,FALSE)</f>
        <v>2151</v>
      </c>
      <c r="I13">
        <v>1300</v>
      </c>
      <c r="J13">
        <f t="shared" si="1"/>
        <v>-0.6546153846153846</v>
      </c>
    </row>
    <row r="14" spans="1:10">
      <c r="A14">
        <v>2026</v>
      </c>
      <c r="B14">
        <v>31</v>
      </c>
      <c r="C14" t="s">
        <v>8</v>
      </c>
      <c r="D14" t="s">
        <v>9</v>
      </c>
      <c r="E14" t="s">
        <v>195</v>
      </c>
      <c r="F14" t="s">
        <v>33</v>
      </c>
      <c r="G14" t="str">
        <f t="shared" si="0"/>
        <v>31018COSMO</v>
      </c>
      <c r="H14">
        <f>VLOOKUP(G14,[1]Proyeccion_original!$G$2:$H$438,2,FALSE)</f>
        <v>7116</v>
      </c>
      <c r="I14">
        <v>3975</v>
      </c>
      <c r="J14">
        <f t="shared" si="1"/>
        <v>-0.79018867924528302</v>
      </c>
    </row>
    <row r="15" spans="1:10">
      <c r="A15">
        <v>2026</v>
      </c>
      <c r="B15">
        <v>31</v>
      </c>
      <c r="C15" t="s">
        <v>8</v>
      </c>
      <c r="D15" t="s">
        <v>9</v>
      </c>
      <c r="E15" t="s">
        <v>195</v>
      </c>
      <c r="F15" t="s">
        <v>35</v>
      </c>
      <c r="G15" t="str">
        <f t="shared" si="0"/>
        <v>31018RUBICON</v>
      </c>
      <c r="H15">
        <f>VLOOKUP(G15,[1]Proyeccion_original!$G$2:$H$438,2,FALSE)</f>
        <v>5397</v>
      </c>
      <c r="I15">
        <v>3210</v>
      </c>
      <c r="J15">
        <f t="shared" si="1"/>
        <v>-0.68130841121495322</v>
      </c>
    </row>
    <row r="16" spans="1:10">
      <c r="A16">
        <v>2026</v>
      </c>
      <c r="B16">
        <v>31</v>
      </c>
      <c r="C16" t="s">
        <v>8</v>
      </c>
      <c r="D16" t="s">
        <v>9</v>
      </c>
      <c r="E16" t="s">
        <v>196</v>
      </c>
      <c r="F16" t="s">
        <v>12</v>
      </c>
      <c r="G16" t="str">
        <f t="shared" si="0"/>
        <v>31019BELLINA</v>
      </c>
      <c r="H16">
        <f>VLOOKUP(G16,[1]Proyeccion_original!$G$2:$H$438,2,FALSE)</f>
        <v>1903</v>
      </c>
      <c r="I16">
        <v>2250</v>
      </c>
      <c r="J16">
        <f t="shared" si="1"/>
        <v>0.15422222222222223</v>
      </c>
    </row>
    <row r="17" spans="1:10">
      <c r="A17">
        <v>2026</v>
      </c>
      <c r="B17">
        <v>31</v>
      </c>
      <c r="C17" t="s">
        <v>8</v>
      </c>
      <c r="D17" t="s">
        <v>9</v>
      </c>
      <c r="E17" t="s">
        <v>197</v>
      </c>
      <c r="F17" t="s">
        <v>38</v>
      </c>
      <c r="G17" t="str">
        <f t="shared" si="0"/>
        <v>31020SUMMER DANCE</v>
      </c>
      <c r="H17">
        <f>VLOOKUP(G17,[1]Proyeccion_original!$G$2:$H$438,2,FALSE)</f>
        <v>4568</v>
      </c>
      <c r="I17">
        <v>3850</v>
      </c>
      <c r="J17">
        <f t="shared" si="1"/>
        <v>-0.18649350649350649</v>
      </c>
    </row>
    <row r="18" spans="1:10">
      <c r="A18">
        <v>2026</v>
      </c>
      <c r="B18">
        <v>31</v>
      </c>
      <c r="C18" t="s">
        <v>8</v>
      </c>
      <c r="D18" t="s">
        <v>9</v>
      </c>
      <c r="E18" t="s">
        <v>198</v>
      </c>
      <c r="F18" t="s">
        <v>40</v>
      </c>
      <c r="G18" t="str">
        <f t="shared" si="0"/>
        <v>31021ELEGANT ROSEVER</v>
      </c>
      <c r="H18">
        <f>VLOOKUP(G18,[1]Proyeccion_original!$G$2:$H$438,2,FALSE)</f>
        <v>807</v>
      </c>
      <c r="I18">
        <v>600</v>
      </c>
      <c r="J18">
        <f t="shared" si="1"/>
        <v>-0.34499999999999997</v>
      </c>
    </row>
    <row r="19" spans="1:10">
      <c r="A19">
        <v>2026</v>
      </c>
      <c r="B19">
        <v>31</v>
      </c>
      <c r="C19" t="s">
        <v>8</v>
      </c>
      <c r="D19" t="s">
        <v>9</v>
      </c>
      <c r="E19" t="s">
        <v>198</v>
      </c>
      <c r="F19" t="s">
        <v>42</v>
      </c>
      <c r="G19" t="str">
        <f t="shared" si="0"/>
        <v>31021FLAME CLUB</v>
      </c>
      <c r="H19">
        <f>VLOOKUP(G19,[1]Proyeccion_original!$G$2:$H$438,2,FALSE)</f>
        <v>2077</v>
      </c>
      <c r="I19">
        <v>1475</v>
      </c>
      <c r="J19">
        <f t="shared" si="1"/>
        <v>-0.40813559322033899</v>
      </c>
    </row>
    <row r="20" spans="1:10">
      <c r="A20">
        <v>2026</v>
      </c>
      <c r="B20">
        <v>31</v>
      </c>
      <c r="C20" t="s">
        <v>8</v>
      </c>
      <c r="D20" t="s">
        <v>9</v>
      </c>
      <c r="E20" t="s">
        <v>198</v>
      </c>
      <c r="F20" t="s">
        <v>44</v>
      </c>
      <c r="G20" t="str">
        <f t="shared" si="0"/>
        <v>31021KELLY</v>
      </c>
      <c r="H20">
        <f>VLOOKUP(G20,[1]Proyeccion_original!$G$2:$H$438,2,FALSE)</f>
        <v>479</v>
      </c>
      <c r="I20">
        <v>400</v>
      </c>
      <c r="J20">
        <f t="shared" si="1"/>
        <v>-0.19750000000000001</v>
      </c>
    </row>
    <row r="21" spans="1:10">
      <c r="A21">
        <v>2026</v>
      </c>
      <c r="B21">
        <v>31</v>
      </c>
      <c r="C21" t="s">
        <v>8</v>
      </c>
      <c r="D21" t="s">
        <v>9</v>
      </c>
      <c r="E21" t="s">
        <v>198</v>
      </c>
      <c r="F21" t="s">
        <v>46</v>
      </c>
      <c r="G21" t="str">
        <f t="shared" si="0"/>
        <v>31021LEILA</v>
      </c>
      <c r="H21">
        <f>VLOOKUP(G21,[1]Proyeccion_original!$G$2:$H$438,2,FALSE)</f>
        <v>2634</v>
      </c>
      <c r="I21">
        <v>875</v>
      </c>
      <c r="J21">
        <f t="shared" si="1"/>
        <v>-2.0102857142857142</v>
      </c>
    </row>
    <row r="22" spans="1:10">
      <c r="A22">
        <v>2026</v>
      </c>
      <c r="B22">
        <v>31</v>
      </c>
      <c r="C22" t="s">
        <v>8</v>
      </c>
      <c r="D22" t="s">
        <v>9</v>
      </c>
      <c r="E22" t="s">
        <v>198</v>
      </c>
      <c r="F22" t="s">
        <v>20</v>
      </c>
      <c r="G22" t="str">
        <f t="shared" si="0"/>
        <v>31021SNOW BUBBLES</v>
      </c>
      <c r="H22">
        <f>VLOOKUP(G22,[1]Proyeccion_original!$G$2:$H$438,2,FALSE)</f>
        <v>3140</v>
      </c>
      <c r="I22">
        <v>3060</v>
      </c>
      <c r="J22">
        <f t="shared" si="1"/>
        <v>-2.6143790849673203E-2</v>
      </c>
    </row>
    <row r="23" spans="1:10">
      <c r="A23">
        <v>2026</v>
      </c>
      <c r="B23">
        <v>31</v>
      </c>
      <c r="C23" t="s">
        <v>8</v>
      </c>
      <c r="D23" t="s">
        <v>9</v>
      </c>
      <c r="E23" t="s">
        <v>199</v>
      </c>
      <c r="F23" t="s">
        <v>23</v>
      </c>
      <c r="G23" t="str">
        <f t="shared" si="0"/>
        <v>31022FRUITY BUBBLES</v>
      </c>
      <c r="H23">
        <f>VLOOKUP(G23,[1]Proyeccion_original!$G$2:$H$438,2,FALSE)</f>
        <v>4782</v>
      </c>
      <c r="I23">
        <v>6475</v>
      </c>
      <c r="J23">
        <f t="shared" si="1"/>
        <v>0.26146718146718145</v>
      </c>
    </row>
    <row r="24" spans="1:10">
      <c r="A24">
        <v>2026</v>
      </c>
      <c r="B24">
        <v>31</v>
      </c>
      <c r="C24" t="s">
        <v>8</v>
      </c>
      <c r="D24" t="s">
        <v>9</v>
      </c>
      <c r="E24" t="s">
        <v>199</v>
      </c>
      <c r="F24" t="s">
        <v>27</v>
      </c>
      <c r="G24" t="str">
        <f t="shared" si="0"/>
        <v>31022GOOD PEACH</v>
      </c>
      <c r="H24">
        <f>VLOOKUP(G24,[1]Proyeccion_original!$G$2:$H$438,2,FALSE)</f>
        <v>1753</v>
      </c>
      <c r="I24">
        <v>2460</v>
      </c>
      <c r="J24">
        <f t="shared" si="1"/>
        <v>0.28739837398373985</v>
      </c>
    </row>
    <row r="25" spans="1:10">
      <c r="A25">
        <v>2026</v>
      </c>
      <c r="B25">
        <v>31</v>
      </c>
      <c r="C25" t="s">
        <v>8</v>
      </c>
      <c r="D25" t="s">
        <v>9</v>
      </c>
      <c r="E25" t="s">
        <v>199</v>
      </c>
      <c r="F25" t="s">
        <v>51</v>
      </c>
      <c r="G25" t="str">
        <f t="shared" si="0"/>
        <v>31022MIRABEL</v>
      </c>
      <c r="H25">
        <f>VLOOKUP(G25,[1]Proyeccion_original!$G$2:$H$438,2,FALSE)</f>
        <v>1247</v>
      </c>
      <c r="I25">
        <v>2240</v>
      </c>
      <c r="J25">
        <f t="shared" si="1"/>
        <v>0.44330357142857141</v>
      </c>
    </row>
    <row r="26" spans="1:10">
      <c r="A26">
        <v>2026</v>
      </c>
      <c r="B26">
        <v>31</v>
      </c>
      <c r="C26" t="s">
        <v>8</v>
      </c>
      <c r="D26" t="s">
        <v>9</v>
      </c>
      <c r="E26" t="s">
        <v>200</v>
      </c>
      <c r="F26" t="s">
        <v>51</v>
      </c>
      <c r="G26" t="str">
        <f t="shared" si="0"/>
        <v>31030MIRABEL</v>
      </c>
      <c r="H26">
        <f>VLOOKUP(G26,[1]Proyeccion_original!$G$2:$H$438,2,FALSE)</f>
        <v>4088</v>
      </c>
      <c r="I26">
        <v>7660</v>
      </c>
      <c r="J26">
        <f t="shared" si="1"/>
        <v>0.46631853785900784</v>
      </c>
    </row>
    <row r="27" spans="1:10">
      <c r="A27">
        <v>2026</v>
      </c>
      <c r="B27">
        <v>31</v>
      </c>
      <c r="C27" t="s">
        <v>8</v>
      </c>
      <c r="D27" t="s">
        <v>9</v>
      </c>
      <c r="E27" t="s">
        <v>200</v>
      </c>
      <c r="F27" t="s">
        <v>10</v>
      </c>
      <c r="G27" t="str">
        <f t="shared" si="0"/>
        <v>31030SOMERSET</v>
      </c>
      <c r="H27">
        <f>VLOOKUP(G27,[1]Proyeccion_original!$G$2:$H$438,2,FALSE)</f>
        <v>3393</v>
      </c>
      <c r="I27">
        <v>3620</v>
      </c>
      <c r="J27">
        <f t="shared" si="1"/>
        <v>6.2707182320441993E-2</v>
      </c>
    </row>
    <row r="28" spans="1:10">
      <c r="A28">
        <v>2026</v>
      </c>
      <c r="B28">
        <v>31</v>
      </c>
      <c r="C28" t="s">
        <v>8</v>
      </c>
      <c r="D28" t="s">
        <v>9</v>
      </c>
      <c r="E28" t="s">
        <v>201</v>
      </c>
      <c r="F28" t="s">
        <v>55</v>
      </c>
      <c r="G28" t="str">
        <f t="shared" si="0"/>
        <v>3103182989</v>
      </c>
      <c r="H28">
        <f>VLOOKUP(G28,[1]Proyeccion_original!$G$2:$H$438,2,FALSE)</f>
        <v>1226</v>
      </c>
      <c r="I28">
        <v>820</v>
      </c>
      <c r="J28">
        <f t="shared" si="1"/>
        <v>-0.49512195121951219</v>
      </c>
    </row>
    <row r="29" spans="1:10">
      <c r="A29">
        <v>2026</v>
      </c>
      <c r="B29">
        <v>31</v>
      </c>
      <c r="C29" t="s">
        <v>8</v>
      </c>
      <c r="D29" t="s">
        <v>9</v>
      </c>
      <c r="E29" t="s">
        <v>201</v>
      </c>
      <c r="F29" t="s">
        <v>35</v>
      </c>
      <c r="G29" t="str">
        <f t="shared" si="0"/>
        <v>31031RUBICON</v>
      </c>
      <c r="H29">
        <f>VLOOKUP(G29,[1]Proyeccion_original!$G$2:$H$438,2,FALSE)</f>
        <v>2698</v>
      </c>
      <c r="I29">
        <v>2310</v>
      </c>
      <c r="J29">
        <f t="shared" si="1"/>
        <v>-0.16796536796536796</v>
      </c>
    </row>
    <row r="30" spans="1:10">
      <c r="A30">
        <v>2026</v>
      </c>
      <c r="B30">
        <v>31</v>
      </c>
      <c r="C30" t="s">
        <v>8</v>
      </c>
      <c r="D30" t="s">
        <v>9</v>
      </c>
      <c r="E30" t="s">
        <v>201</v>
      </c>
      <c r="F30" t="s">
        <v>10</v>
      </c>
      <c r="G30" t="str">
        <f t="shared" si="0"/>
        <v>31031SOMERSET</v>
      </c>
      <c r="H30">
        <f>VLOOKUP(G30,[1]Proyeccion_original!$G$2:$H$438,2,FALSE)</f>
        <v>1571</v>
      </c>
      <c r="I30">
        <v>1040</v>
      </c>
      <c r="J30">
        <f t="shared" si="1"/>
        <v>-0.51057692307692304</v>
      </c>
    </row>
    <row r="31" spans="1:10">
      <c r="A31">
        <v>2026</v>
      </c>
      <c r="B31">
        <v>31</v>
      </c>
      <c r="C31" t="s">
        <v>8</v>
      </c>
      <c r="D31" t="s">
        <v>9</v>
      </c>
      <c r="E31" t="s">
        <v>201</v>
      </c>
      <c r="F31" t="s">
        <v>59</v>
      </c>
      <c r="G31" t="str">
        <f t="shared" si="0"/>
        <v>31031VELVET BLOSSOMS</v>
      </c>
      <c r="H31">
        <f>VLOOKUP(G31,[1]Proyeccion_original!$G$2:$H$438,2,FALSE)</f>
        <v>577</v>
      </c>
      <c r="I31">
        <v>920</v>
      </c>
      <c r="J31">
        <f t="shared" si="1"/>
        <v>0.37282608695652175</v>
      </c>
    </row>
    <row r="32" spans="1:10">
      <c r="A32">
        <v>2026</v>
      </c>
      <c r="B32">
        <v>31</v>
      </c>
      <c r="C32" t="s">
        <v>8</v>
      </c>
      <c r="D32" t="s">
        <v>9</v>
      </c>
      <c r="E32" t="s">
        <v>202</v>
      </c>
      <c r="F32" t="s">
        <v>14</v>
      </c>
      <c r="G32" t="str">
        <f t="shared" si="0"/>
        <v>31032ELBA</v>
      </c>
      <c r="H32">
        <f>VLOOKUP(G32,[1]Proyeccion_original!$G$2:$H$438,2,FALSE)</f>
        <v>3332</v>
      </c>
      <c r="I32">
        <v>2670</v>
      </c>
      <c r="J32">
        <f t="shared" si="1"/>
        <v>-0.24794007490636705</v>
      </c>
    </row>
    <row r="33" spans="1:10">
      <c r="A33">
        <v>2026</v>
      </c>
      <c r="B33">
        <v>31</v>
      </c>
      <c r="C33" t="s">
        <v>8</v>
      </c>
      <c r="D33" t="s">
        <v>9</v>
      </c>
      <c r="E33" t="s">
        <v>202</v>
      </c>
      <c r="F33" t="s">
        <v>51</v>
      </c>
      <c r="G33" t="str">
        <f t="shared" si="0"/>
        <v>31032MIRABEL</v>
      </c>
      <c r="H33">
        <f>VLOOKUP(G33,[1]Proyeccion_original!$G$2:$H$438,2,FALSE)</f>
        <v>1420</v>
      </c>
      <c r="I33">
        <v>2480</v>
      </c>
      <c r="J33">
        <f t="shared" si="1"/>
        <v>0.42741935483870969</v>
      </c>
    </row>
    <row r="34" spans="1:10">
      <c r="A34">
        <v>2026</v>
      </c>
      <c r="B34">
        <v>31</v>
      </c>
      <c r="C34" t="s">
        <v>8</v>
      </c>
      <c r="D34" t="s">
        <v>9</v>
      </c>
      <c r="E34" t="s">
        <v>203</v>
      </c>
      <c r="F34" t="s">
        <v>63</v>
      </c>
      <c r="G34" t="str">
        <f t="shared" si="0"/>
        <v>31033CREAMY FOLIES</v>
      </c>
      <c r="H34">
        <f>VLOOKUP(G34,[1]Proyeccion_original!$G$2:$H$438,2,FALSE)</f>
        <v>1105</v>
      </c>
      <c r="I34">
        <v>1110</v>
      </c>
      <c r="J34">
        <f t="shared" si="1"/>
        <v>4.5045045045045045E-3</v>
      </c>
    </row>
    <row r="35" spans="1:10">
      <c r="A35">
        <v>2026</v>
      </c>
      <c r="B35">
        <v>31</v>
      </c>
      <c r="C35" t="s">
        <v>8</v>
      </c>
      <c r="D35" t="s">
        <v>9</v>
      </c>
      <c r="E35" t="s">
        <v>203</v>
      </c>
      <c r="F35" t="s">
        <v>16</v>
      </c>
      <c r="G35" t="str">
        <f t="shared" si="0"/>
        <v>31033HOT BUBBLES</v>
      </c>
      <c r="H35">
        <f>VLOOKUP(G35,[1]Proyeccion_original!$G$2:$H$438,2,FALSE)</f>
        <v>2507</v>
      </c>
      <c r="I35">
        <v>5640</v>
      </c>
      <c r="J35">
        <f t="shared" si="1"/>
        <v>0.55549645390070923</v>
      </c>
    </row>
    <row r="36" spans="1:10">
      <c r="A36">
        <v>2026</v>
      </c>
      <c r="B36">
        <v>31</v>
      </c>
      <c r="C36" t="s">
        <v>66</v>
      </c>
      <c r="D36" t="s">
        <v>9</v>
      </c>
      <c r="E36" t="s">
        <v>204</v>
      </c>
      <c r="F36" t="s">
        <v>67</v>
      </c>
      <c r="G36" t="str">
        <f t="shared" si="0"/>
        <v>31001BELIEVE IN PINK</v>
      </c>
      <c r="H36">
        <f>VLOOKUP(G36,[1]Proyeccion_original!$G$2:$H$438,2,FALSE)</f>
        <v>1947</v>
      </c>
      <c r="I36">
        <v>1110</v>
      </c>
      <c r="J36">
        <f t="shared" si="1"/>
        <v>-0.75405405405405401</v>
      </c>
    </row>
    <row r="37" spans="1:10">
      <c r="A37">
        <v>2026</v>
      </c>
      <c r="B37">
        <v>31</v>
      </c>
      <c r="C37" t="s">
        <v>66</v>
      </c>
      <c r="D37" t="s">
        <v>9</v>
      </c>
      <c r="E37" t="s">
        <v>204</v>
      </c>
      <c r="F37" t="s">
        <v>69</v>
      </c>
      <c r="G37" t="str">
        <f t="shared" si="0"/>
        <v>31001EXPLORER</v>
      </c>
      <c r="H37">
        <f>VLOOKUP(G37,[1]Proyeccion_original!$G$2:$H$438,2,FALSE)</f>
        <v>3427</v>
      </c>
      <c r="I37">
        <v>4950</v>
      </c>
      <c r="J37">
        <f t="shared" si="1"/>
        <v>0.30767676767676766</v>
      </c>
    </row>
    <row r="38" spans="1:10">
      <c r="A38">
        <v>2026</v>
      </c>
      <c r="B38">
        <v>31</v>
      </c>
      <c r="C38" t="s">
        <v>66</v>
      </c>
      <c r="D38" t="s">
        <v>9</v>
      </c>
      <c r="E38" t="s">
        <v>204</v>
      </c>
      <c r="F38" t="s">
        <v>71</v>
      </c>
      <c r="G38" t="str">
        <f t="shared" si="0"/>
        <v>31001GRACE KELLY</v>
      </c>
      <c r="H38">
        <f>VLOOKUP(G38,[1]Proyeccion_original!$G$2:$H$438,2,FALSE)</f>
        <v>2337</v>
      </c>
      <c r="I38">
        <v>2010</v>
      </c>
      <c r="J38">
        <f t="shared" si="1"/>
        <v>-0.16268656716417909</v>
      </c>
    </row>
    <row r="39" spans="1:10">
      <c r="A39">
        <v>2026</v>
      </c>
      <c r="B39">
        <v>31</v>
      </c>
      <c r="C39" t="s">
        <v>66</v>
      </c>
      <c r="D39" t="s">
        <v>9</v>
      </c>
      <c r="E39" t="s">
        <v>204</v>
      </c>
      <c r="F39" t="s">
        <v>73</v>
      </c>
      <c r="G39" t="str">
        <f t="shared" si="0"/>
        <v>31001LIGHT HOUSE</v>
      </c>
      <c r="H39">
        <f>VLOOKUP(G39,[1]Proyeccion_original!$G$2:$H$438,2,FALSE)</f>
        <v>1708</v>
      </c>
      <c r="I39">
        <v>2010</v>
      </c>
      <c r="J39">
        <f t="shared" si="1"/>
        <v>0.15024875621890546</v>
      </c>
    </row>
    <row r="40" spans="1:10">
      <c r="A40">
        <v>2026</v>
      </c>
      <c r="B40">
        <v>31</v>
      </c>
      <c r="C40" t="s">
        <v>66</v>
      </c>
      <c r="D40" t="s">
        <v>9</v>
      </c>
      <c r="E40" t="s">
        <v>204</v>
      </c>
      <c r="F40" t="s">
        <v>75</v>
      </c>
      <c r="G40" t="str">
        <f t="shared" si="0"/>
        <v>31001LUMIA</v>
      </c>
      <c r="H40">
        <f>VLOOKUP(G40,[1]Proyeccion_original!$G$2:$H$438,2,FALSE)</f>
        <v>2632</v>
      </c>
      <c r="I40">
        <v>3300</v>
      </c>
      <c r="J40">
        <f t="shared" si="1"/>
        <v>0.20242424242424242</v>
      </c>
    </row>
    <row r="41" spans="1:10">
      <c r="A41">
        <v>2026</v>
      </c>
      <c r="B41">
        <v>31</v>
      </c>
      <c r="C41" t="s">
        <v>66</v>
      </c>
      <c r="D41" t="s">
        <v>9</v>
      </c>
      <c r="E41" t="s">
        <v>204</v>
      </c>
      <c r="F41" t="s">
        <v>77</v>
      </c>
      <c r="G41" t="str">
        <f t="shared" si="0"/>
        <v>31001MOMENTUM</v>
      </c>
      <c r="H41">
        <f>VLOOKUP(G41,[1]Proyeccion_original!$G$2:$H$438,2,FALSE)</f>
        <v>4455</v>
      </c>
      <c r="I41">
        <v>5825</v>
      </c>
      <c r="J41">
        <f t="shared" si="1"/>
        <v>0.23519313304721029</v>
      </c>
    </row>
    <row r="42" spans="1:10">
      <c r="A42">
        <v>2026</v>
      </c>
      <c r="B42">
        <v>31</v>
      </c>
      <c r="C42" t="s">
        <v>66</v>
      </c>
      <c r="D42" t="s">
        <v>9</v>
      </c>
      <c r="E42" t="s">
        <v>186</v>
      </c>
      <c r="F42" t="s">
        <v>79</v>
      </c>
      <c r="G42" t="str">
        <f t="shared" si="0"/>
        <v>31002SUMMER ROMANCE</v>
      </c>
      <c r="H42">
        <f>VLOOKUP(G42,[1]Proyeccion_original!$G$2:$H$438,2,FALSE)</f>
        <v>1476</v>
      </c>
      <c r="I42">
        <v>1575</v>
      </c>
      <c r="J42">
        <f t="shared" si="1"/>
        <v>6.2857142857142861E-2</v>
      </c>
    </row>
    <row r="43" spans="1:10">
      <c r="A43">
        <v>2026</v>
      </c>
      <c r="B43">
        <v>31</v>
      </c>
      <c r="C43" t="s">
        <v>66</v>
      </c>
      <c r="D43" t="s">
        <v>9</v>
      </c>
      <c r="E43" t="s">
        <v>186</v>
      </c>
      <c r="F43" t="s">
        <v>81</v>
      </c>
      <c r="G43" t="str">
        <f t="shared" si="0"/>
        <v>31002SWEETNESS</v>
      </c>
      <c r="H43">
        <f>VLOOKUP(G43,[1]Proyeccion_original!$G$2:$H$438,2,FALSE)</f>
        <v>9700</v>
      </c>
      <c r="I43">
        <v>7110</v>
      </c>
      <c r="J43">
        <f t="shared" si="1"/>
        <v>-0.36427566807313644</v>
      </c>
    </row>
    <row r="44" spans="1:10">
      <c r="A44">
        <v>2026</v>
      </c>
      <c r="B44">
        <v>31</v>
      </c>
      <c r="C44" t="s">
        <v>66</v>
      </c>
      <c r="D44" t="s">
        <v>9</v>
      </c>
      <c r="E44" t="s">
        <v>205</v>
      </c>
      <c r="F44" t="s">
        <v>83</v>
      </c>
      <c r="G44" t="str">
        <f t="shared" si="0"/>
        <v>31003CABARET</v>
      </c>
      <c r="H44">
        <f>VLOOKUP(G44,[1]Proyeccion_original!$G$2:$H$438,2,FALSE)</f>
        <v>7872</v>
      </c>
      <c r="I44">
        <v>4860</v>
      </c>
      <c r="J44">
        <f t="shared" si="1"/>
        <v>-0.61975308641975313</v>
      </c>
    </row>
    <row r="45" spans="1:10">
      <c r="A45">
        <v>2026</v>
      </c>
      <c r="B45">
        <v>31</v>
      </c>
      <c r="C45" t="s">
        <v>66</v>
      </c>
      <c r="D45" t="s">
        <v>9</v>
      </c>
      <c r="E45" t="s">
        <v>205</v>
      </c>
      <c r="F45" t="s">
        <v>85</v>
      </c>
      <c r="G45" t="str">
        <f t="shared" si="0"/>
        <v>31003DEEP PURPLE</v>
      </c>
      <c r="H45">
        <f>VLOOKUP(G45,[1]Proyeccion_original!$G$2:$H$438,2,FALSE)</f>
        <v>12759</v>
      </c>
      <c r="I45">
        <v>7890</v>
      </c>
      <c r="J45">
        <f t="shared" si="1"/>
        <v>-0.61711026615969578</v>
      </c>
    </row>
    <row r="46" spans="1:10">
      <c r="A46">
        <v>2026</v>
      </c>
      <c r="B46">
        <v>31</v>
      </c>
      <c r="C46" t="s">
        <v>66</v>
      </c>
      <c r="D46" t="s">
        <v>9</v>
      </c>
      <c r="E46" t="s">
        <v>205</v>
      </c>
      <c r="F46" t="s">
        <v>69</v>
      </c>
      <c r="G46" t="str">
        <f t="shared" si="0"/>
        <v>31003EXPLORER</v>
      </c>
      <c r="H46">
        <f>VLOOKUP(G46,[1]Proyeccion_original!$G$2:$H$438,2,FALSE)</f>
        <v>2314</v>
      </c>
      <c r="I46">
        <v>2225</v>
      </c>
      <c r="J46">
        <f t="shared" si="1"/>
        <v>-0.04</v>
      </c>
    </row>
    <row r="47" spans="1:10">
      <c r="A47">
        <v>2026</v>
      </c>
      <c r="B47">
        <v>31</v>
      </c>
      <c r="C47" t="s">
        <v>66</v>
      </c>
      <c r="D47" t="s">
        <v>9</v>
      </c>
      <c r="E47" t="s">
        <v>205</v>
      </c>
      <c r="F47" t="s">
        <v>88</v>
      </c>
      <c r="G47" t="str">
        <f t="shared" si="0"/>
        <v>31003JOCKER</v>
      </c>
      <c r="H47">
        <f>VLOOKUP(G47,[1]Proyeccion_original!$G$2:$H$438,2,FALSE)</f>
        <v>1169</v>
      </c>
      <c r="I47">
        <v>1325</v>
      </c>
      <c r="J47">
        <f t="shared" si="1"/>
        <v>0.11773584905660377</v>
      </c>
    </row>
    <row r="48" spans="1:10">
      <c r="A48">
        <v>2026</v>
      </c>
      <c r="B48">
        <v>31</v>
      </c>
      <c r="C48" t="s">
        <v>66</v>
      </c>
      <c r="D48" t="s">
        <v>9</v>
      </c>
      <c r="E48" t="s">
        <v>205</v>
      </c>
      <c r="F48" t="s">
        <v>90</v>
      </c>
      <c r="G48" t="str">
        <f t="shared" si="0"/>
        <v>31003QUICKSAND</v>
      </c>
      <c r="H48">
        <f>VLOOKUP(G48,[1]Proyeccion_original!$G$2:$H$438,2,FALSE)</f>
        <v>1945</v>
      </c>
      <c r="I48">
        <v>2910</v>
      </c>
      <c r="J48">
        <f t="shared" si="1"/>
        <v>0.33161512027491408</v>
      </c>
    </row>
    <row r="49" spans="1:10">
      <c r="A49">
        <v>2026</v>
      </c>
      <c r="B49">
        <v>31</v>
      </c>
      <c r="C49" t="s">
        <v>66</v>
      </c>
      <c r="D49" t="s">
        <v>9</v>
      </c>
      <c r="E49" t="s">
        <v>187</v>
      </c>
      <c r="F49" t="s">
        <v>92</v>
      </c>
      <c r="G49" t="str">
        <f t="shared" si="0"/>
        <v>31004COTOPAXI</v>
      </c>
      <c r="H49">
        <f>VLOOKUP(G49,[1]Proyeccion_original!$G$2:$H$438,2,FALSE)</f>
        <v>1207</v>
      </c>
      <c r="I49">
        <v>1980</v>
      </c>
      <c r="J49">
        <f t="shared" si="1"/>
        <v>0.39040404040404042</v>
      </c>
    </row>
    <row r="50" spans="1:10">
      <c r="A50">
        <v>2026</v>
      </c>
      <c r="B50">
        <v>31</v>
      </c>
      <c r="C50" t="s">
        <v>66</v>
      </c>
      <c r="D50" t="s">
        <v>9</v>
      </c>
      <c r="E50" t="s">
        <v>187</v>
      </c>
      <c r="F50" t="s">
        <v>85</v>
      </c>
      <c r="G50" t="str">
        <f t="shared" si="0"/>
        <v>31004DEEP PURPLE</v>
      </c>
      <c r="H50">
        <f>VLOOKUP(G50,[1]Proyeccion_original!$G$2:$H$438,2,FALSE)</f>
        <v>15453</v>
      </c>
      <c r="I50">
        <v>7590</v>
      </c>
      <c r="J50">
        <f t="shared" si="1"/>
        <v>-1.0359683794466403</v>
      </c>
    </row>
    <row r="51" spans="1:10">
      <c r="A51">
        <v>2026</v>
      </c>
      <c r="B51">
        <v>31</v>
      </c>
      <c r="C51" t="s">
        <v>66</v>
      </c>
      <c r="D51" t="s">
        <v>9</v>
      </c>
      <c r="E51" t="s">
        <v>187</v>
      </c>
      <c r="F51" t="s">
        <v>95</v>
      </c>
      <c r="G51" t="str">
        <f t="shared" si="0"/>
        <v>31004HOT EXPLORER</v>
      </c>
      <c r="H51">
        <f>VLOOKUP(G51,[1]Proyeccion_original!$G$2:$H$438,2,FALSE)</f>
        <v>2921</v>
      </c>
      <c r="I51">
        <v>2150</v>
      </c>
      <c r="J51">
        <f t="shared" si="1"/>
        <v>-0.35860465116279072</v>
      </c>
    </row>
    <row r="52" spans="1:10">
      <c r="A52">
        <v>2026</v>
      </c>
      <c r="B52">
        <v>31</v>
      </c>
      <c r="C52" t="s">
        <v>66</v>
      </c>
      <c r="D52" t="s">
        <v>9</v>
      </c>
      <c r="E52" t="s">
        <v>187</v>
      </c>
      <c r="F52" t="s">
        <v>97</v>
      </c>
      <c r="G52" t="str">
        <f t="shared" si="0"/>
        <v>31004HOT MERENGUE</v>
      </c>
      <c r="H52">
        <f>VLOOKUP(G52,[1]Proyeccion_original!$G$2:$H$438,2,FALSE)</f>
        <v>2879</v>
      </c>
      <c r="I52">
        <v>2490</v>
      </c>
      <c r="J52">
        <f t="shared" si="1"/>
        <v>-0.15622489959839359</v>
      </c>
    </row>
    <row r="53" spans="1:10">
      <c r="A53">
        <v>2026</v>
      </c>
      <c r="B53">
        <v>31</v>
      </c>
      <c r="C53" t="s">
        <v>66</v>
      </c>
      <c r="D53" t="s">
        <v>9</v>
      </c>
      <c r="E53" t="s">
        <v>187</v>
      </c>
      <c r="F53" t="s">
        <v>81</v>
      </c>
      <c r="G53" t="str">
        <f t="shared" si="0"/>
        <v>31004SWEETNESS</v>
      </c>
      <c r="H53">
        <f>VLOOKUP(G53,[1]Proyeccion_original!$G$2:$H$438,2,FALSE)</f>
        <v>1020</v>
      </c>
      <c r="I53">
        <v>630</v>
      </c>
      <c r="J53">
        <f t="shared" si="1"/>
        <v>-0.61904761904761907</v>
      </c>
    </row>
    <row r="54" spans="1:10">
      <c r="A54">
        <v>2026</v>
      </c>
      <c r="B54">
        <v>31</v>
      </c>
      <c r="C54" t="s">
        <v>66</v>
      </c>
      <c r="D54" t="s">
        <v>9</v>
      </c>
      <c r="E54" t="s">
        <v>188</v>
      </c>
      <c r="F54" t="s">
        <v>69</v>
      </c>
      <c r="G54" t="str">
        <f t="shared" si="0"/>
        <v>31005EXPLORER</v>
      </c>
      <c r="H54">
        <f>VLOOKUP(G54,[1]Proyeccion_original!$G$2:$H$438,2,FALSE)</f>
        <v>1073</v>
      </c>
      <c r="I54">
        <v>1775</v>
      </c>
      <c r="J54">
        <f t="shared" si="1"/>
        <v>0.39549295774647886</v>
      </c>
    </row>
    <row r="55" spans="1:10">
      <c r="A55">
        <v>2026</v>
      </c>
      <c r="B55">
        <v>31</v>
      </c>
      <c r="C55" t="s">
        <v>66</v>
      </c>
      <c r="D55" t="s">
        <v>9</v>
      </c>
      <c r="E55" t="s">
        <v>188</v>
      </c>
      <c r="F55" t="s">
        <v>101</v>
      </c>
      <c r="G55" t="str">
        <f t="shared" si="0"/>
        <v>31005GOLDFINCH</v>
      </c>
      <c r="H55">
        <f>VLOOKUP(G55,[1]Proyeccion_original!$G$2:$H$438,2,FALSE)</f>
        <v>1220</v>
      </c>
      <c r="I55">
        <v>575</v>
      </c>
      <c r="J55">
        <f t="shared" si="1"/>
        <v>-1.1217391304347826</v>
      </c>
    </row>
    <row r="56" spans="1:10">
      <c r="A56">
        <v>2026</v>
      </c>
      <c r="B56">
        <v>31</v>
      </c>
      <c r="C56" t="s">
        <v>66</v>
      </c>
      <c r="D56" t="s">
        <v>9</v>
      </c>
      <c r="E56" t="s">
        <v>188</v>
      </c>
      <c r="F56" t="s">
        <v>88</v>
      </c>
      <c r="G56" t="str">
        <f t="shared" si="0"/>
        <v>31005JOCKER</v>
      </c>
      <c r="H56">
        <f>VLOOKUP(G56,[1]Proyeccion_original!$G$2:$H$438,2,FALSE)</f>
        <v>2731</v>
      </c>
      <c r="I56">
        <v>2075</v>
      </c>
      <c r="J56">
        <f t="shared" si="1"/>
        <v>-0.31614457831325299</v>
      </c>
    </row>
    <row r="57" spans="1:10">
      <c r="A57">
        <v>2026</v>
      </c>
      <c r="B57">
        <v>31</v>
      </c>
      <c r="C57" t="s">
        <v>66</v>
      </c>
      <c r="D57" t="s">
        <v>9</v>
      </c>
      <c r="E57" t="s">
        <v>188</v>
      </c>
      <c r="F57" t="s">
        <v>104</v>
      </c>
      <c r="G57" t="str">
        <f t="shared" si="0"/>
        <v>31005VENDELA</v>
      </c>
      <c r="H57">
        <f>VLOOKUP(G57,[1]Proyeccion_original!$G$2:$H$438,2,FALSE)</f>
        <v>2023</v>
      </c>
      <c r="I57">
        <v>2070</v>
      </c>
      <c r="J57">
        <f t="shared" si="1"/>
        <v>2.2705314009661835E-2</v>
      </c>
    </row>
    <row r="58" spans="1:10">
      <c r="A58">
        <v>2026</v>
      </c>
      <c r="B58">
        <v>31</v>
      </c>
      <c r="C58" t="s">
        <v>66</v>
      </c>
      <c r="D58" t="s">
        <v>9</v>
      </c>
      <c r="E58" t="s">
        <v>206</v>
      </c>
      <c r="F58" t="s">
        <v>106</v>
      </c>
      <c r="G58" t="str">
        <f t="shared" si="0"/>
        <v>31006ATOMIC</v>
      </c>
      <c r="H58">
        <f>VLOOKUP(G58,[1]Proyeccion_original!$G$2:$H$438,2,FALSE)</f>
        <v>1382</v>
      </c>
      <c r="I58">
        <v>1575</v>
      </c>
      <c r="J58">
        <f t="shared" si="1"/>
        <v>0.12253968253968255</v>
      </c>
    </row>
    <row r="59" spans="1:10">
      <c r="A59">
        <v>2026</v>
      </c>
      <c r="B59">
        <v>31</v>
      </c>
      <c r="C59" t="s">
        <v>66</v>
      </c>
      <c r="D59" t="s">
        <v>9</v>
      </c>
      <c r="E59" t="s">
        <v>206</v>
      </c>
      <c r="F59" t="s">
        <v>69</v>
      </c>
      <c r="G59" t="str">
        <f t="shared" si="0"/>
        <v>31006EXPLORER</v>
      </c>
      <c r="H59">
        <f>VLOOKUP(G59,[1]Proyeccion_original!$G$2:$H$438,2,FALSE)</f>
        <v>5455</v>
      </c>
      <c r="I59">
        <v>8050</v>
      </c>
      <c r="J59">
        <f t="shared" si="1"/>
        <v>0.32236024844720496</v>
      </c>
    </row>
    <row r="60" spans="1:10">
      <c r="A60">
        <v>2026</v>
      </c>
      <c r="B60">
        <v>31</v>
      </c>
      <c r="C60" t="s">
        <v>66</v>
      </c>
      <c r="D60" t="s">
        <v>9</v>
      </c>
      <c r="E60" t="s">
        <v>206</v>
      </c>
      <c r="F60" t="s">
        <v>109</v>
      </c>
      <c r="G60" t="str">
        <f t="shared" si="0"/>
        <v>31006MONDIAL</v>
      </c>
      <c r="H60">
        <f>VLOOKUP(G60,[1]Proyeccion_original!$G$2:$H$438,2,FALSE)</f>
        <v>7504</v>
      </c>
      <c r="I60">
        <v>8450</v>
      </c>
      <c r="J60">
        <f t="shared" si="1"/>
        <v>0.1119526627218935</v>
      </c>
    </row>
    <row r="61" spans="1:10">
      <c r="A61">
        <v>2026</v>
      </c>
      <c r="B61">
        <v>31</v>
      </c>
      <c r="C61" t="s">
        <v>66</v>
      </c>
      <c r="D61" t="s">
        <v>9</v>
      </c>
      <c r="E61" t="s">
        <v>189</v>
      </c>
      <c r="F61" t="s">
        <v>92</v>
      </c>
      <c r="G61" t="str">
        <f t="shared" si="0"/>
        <v>31007COTOPAXI</v>
      </c>
      <c r="H61">
        <f>VLOOKUP(G61,[1]Proyeccion_original!$G$2:$H$438,2,FALSE)</f>
        <v>6993</v>
      </c>
      <c r="I61">
        <v>6450</v>
      </c>
      <c r="J61">
        <f t="shared" si="1"/>
        <v>-8.4186046511627907E-2</v>
      </c>
    </row>
    <row r="62" spans="1:10">
      <c r="A62">
        <v>2026</v>
      </c>
      <c r="B62">
        <v>31</v>
      </c>
      <c r="C62" t="s">
        <v>66</v>
      </c>
      <c r="D62" t="s">
        <v>9</v>
      </c>
      <c r="E62" t="s">
        <v>189</v>
      </c>
      <c r="F62" t="s">
        <v>112</v>
      </c>
      <c r="G62" t="str">
        <f t="shared" si="0"/>
        <v>31007REDIANT</v>
      </c>
      <c r="H62">
        <f>VLOOKUP(G62,[1]Proyeccion_original!$G$2:$H$438,2,FALSE)</f>
        <v>1613</v>
      </c>
      <c r="I62">
        <v>2100</v>
      </c>
      <c r="J62">
        <f t="shared" si="1"/>
        <v>0.23190476190476189</v>
      </c>
    </row>
    <row r="63" spans="1:10">
      <c r="A63">
        <v>2026</v>
      </c>
      <c r="B63">
        <v>31</v>
      </c>
      <c r="C63" t="s">
        <v>66</v>
      </c>
      <c r="D63" t="s">
        <v>9</v>
      </c>
      <c r="E63" t="s">
        <v>189</v>
      </c>
      <c r="F63" t="s">
        <v>104</v>
      </c>
      <c r="G63" t="str">
        <f t="shared" si="0"/>
        <v>31007VENDELA</v>
      </c>
      <c r="H63">
        <f>VLOOKUP(G63,[1]Proyeccion_original!$G$2:$H$438,2,FALSE)</f>
        <v>14720</v>
      </c>
      <c r="I63">
        <v>11250</v>
      </c>
      <c r="J63">
        <f t="shared" si="1"/>
        <v>-0.30844444444444447</v>
      </c>
    </row>
    <row r="64" spans="1:10">
      <c r="A64">
        <v>2026</v>
      </c>
      <c r="B64">
        <v>31</v>
      </c>
      <c r="C64" t="s">
        <v>66</v>
      </c>
      <c r="D64" t="s">
        <v>9</v>
      </c>
      <c r="E64" t="s">
        <v>207</v>
      </c>
      <c r="F64" t="s">
        <v>85</v>
      </c>
      <c r="G64" t="str">
        <f t="shared" si="0"/>
        <v>31008DEEP PURPLE</v>
      </c>
      <c r="H64">
        <f>VLOOKUP(G64,[1]Proyeccion_original!$G$2:$H$438,2,FALSE)</f>
        <v>5208</v>
      </c>
      <c r="I64">
        <v>3450</v>
      </c>
      <c r="J64">
        <f t="shared" si="1"/>
        <v>-0.50956521739130434</v>
      </c>
    </row>
    <row r="65" spans="1:10">
      <c r="A65">
        <v>2026</v>
      </c>
      <c r="B65">
        <v>31</v>
      </c>
      <c r="C65" t="s">
        <v>66</v>
      </c>
      <c r="D65" t="s">
        <v>9</v>
      </c>
      <c r="E65" t="s">
        <v>207</v>
      </c>
      <c r="F65" t="s">
        <v>116</v>
      </c>
      <c r="G65" t="str">
        <f t="shared" si="0"/>
        <v>31008FREEDOM</v>
      </c>
      <c r="H65">
        <f>VLOOKUP(G65,[1]Proyeccion_original!$G$2:$H$438,2,FALSE)</f>
        <v>4642</v>
      </c>
      <c r="I65">
        <v>3420</v>
      </c>
      <c r="J65">
        <f t="shared" si="1"/>
        <v>-0.35730994152046786</v>
      </c>
    </row>
    <row r="66" spans="1:10">
      <c r="A66">
        <v>2026</v>
      </c>
      <c r="B66">
        <v>31</v>
      </c>
      <c r="C66" t="s">
        <v>66</v>
      </c>
      <c r="D66" t="s">
        <v>9</v>
      </c>
      <c r="E66" t="s">
        <v>207</v>
      </c>
      <c r="F66" t="s">
        <v>88</v>
      </c>
      <c r="G66" t="str">
        <f t="shared" si="0"/>
        <v>31008JOCKER</v>
      </c>
      <c r="H66">
        <f>VLOOKUP(G66,[1]Proyeccion_original!$G$2:$H$438,2,FALSE)</f>
        <v>6048</v>
      </c>
      <c r="I66">
        <v>5425</v>
      </c>
      <c r="J66">
        <f t="shared" si="1"/>
        <v>-0.11483870967741935</v>
      </c>
    </row>
    <row r="67" spans="1:10">
      <c r="A67">
        <v>2026</v>
      </c>
      <c r="B67">
        <v>31</v>
      </c>
      <c r="C67" t="s">
        <v>66</v>
      </c>
      <c r="D67" t="s">
        <v>9</v>
      </c>
      <c r="E67" t="s">
        <v>208</v>
      </c>
      <c r="F67" t="s">
        <v>119</v>
      </c>
      <c r="G67" t="str">
        <f t="shared" ref="G67:G130" si="2">+B67&amp;E67&amp;F67</f>
        <v>31010COOLDOWN</v>
      </c>
      <c r="H67">
        <f>VLOOKUP(G67,[1]Proyeccion_original!$G$2:$H$438,2,FALSE)</f>
        <v>2583</v>
      </c>
      <c r="I67">
        <v>2525</v>
      </c>
      <c r="J67">
        <f t="shared" ref="J67:J130" si="3">+(I67-H67)/I67</f>
        <v>-2.297029702970297E-2</v>
      </c>
    </row>
    <row r="68" spans="1:10">
      <c r="A68">
        <v>2026</v>
      </c>
      <c r="B68">
        <v>31</v>
      </c>
      <c r="C68" t="s">
        <v>66</v>
      </c>
      <c r="D68" t="s">
        <v>9</v>
      </c>
      <c r="E68" t="s">
        <v>208</v>
      </c>
      <c r="F68" t="s">
        <v>121</v>
      </c>
      <c r="G68" t="str">
        <f t="shared" si="2"/>
        <v>31010VIOLET HILL</v>
      </c>
      <c r="H68">
        <f>VLOOKUP(G68,[1]Proyeccion_original!$G$2:$H$438,2,FALSE)</f>
        <v>3168</v>
      </c>
      <c r="I68">
        <v>4740</v>
      </c>
      <c r="J68">
        <f t="shared" si="3"/>
        <v>0.33164556962025316</v>
      </c>
    </row>
    <row r="69" spans="1:10">
      <c r="A69">
        <v>2026</v>
      </c>
      <c r="B69">
        <v>31</v>
      </c>
      <c r="C69" t="s">
        <v>66</v>
      </c>
      <c r="D69" t="s">
        <v>9</v>
      </c>
      <c r="E69" t="s">
        <v>209</v>
      </c>
      <c r="F69" t="s">
        <v>123</v>
      </c>
      <c r="G69" t="str">
        <f t="shared" si="2"/>
        <v>31011BRIGHTON</v>
      </c>
      <c r="H69">
        <f>VLOOKUP(G69,[1]Proyeccion_original!$G$2:$H$438,2,FALSE)</f>
        <v>5295</v>
      </c>
      <c r="I69">
        <v>3950</v>
      </c>
      <c r="J69">
        <f t="shared" si="3"/>
        <v>-0.34050632911392403</v>
      </c>
    </row>
    <row r="70" spans="1:10">
      <c r="A70">
        <v>2026</v>
      </c>
      <c r="B70">
        <v>31</v>
      </c>
      <c r="C70" t="s">
        <v>66</v>
      </c>
      <c r="D70" t="s">
        <v>9</v>
      </c>
      <c r="E70" t="s">
        <v>209</v>
      </c>
      <c r="F70" t="s">
        <v>125</v>
      </c>
      <c r="G70" t="str">
        <f t="shared" si="2"/>
        <v>31011CANDLELIGHT</v>
      </c>
      <c r="H70">
        <f>VLOOKUP(G70,[1]Proyeccion_original!$G$2:$H$438,2,FALSE)</f>
        <v>5506</v>
      </c>
      <c r="I70">
        <v>4200</v>
      </c>
      <c r="J70">
        <f t="shared" si="3"/>
        <v>-0.31095238095238098</v>
      </c>
    </row>
    <row r="71" spans="1:10">
      <c r="A71">
        <v>2026</v>
      </c>
      <c r="B71">
        <v>31</v>
      </c>
      <c r="C71" t="s">
        <v>66</v>
      </c>
      <c r="D71" t="s">
        <v>9</v>
      </c>
      <c r="E71" t="s">
        <v>209</v>
      </c>
      <c r="F71" t="s">
        <v>127</v>
      </c>
      <c r="G71" t="str">
        <f t="shared" si="2"/>
        <v>31011CAYENNE</v>
      </c>
      <c r="H71">
        <f>VLOOKUP(G71,[1]Proyeccion_original!$G$2:$H$438,2,FALSE)</f>
        <v>1757</v>
      </c>
      <c r="I71">
        <v>1290</v>
      </c>
      <c r="J71">
        <f t="shared" si="3"/>
        <v>-0.36201550387596898</v>
      </c>
    </row>
    <row r="72" spans="1:10">
      <c r="A72">
        <v>2026</v>
      </c>
      <c r="B72">
        <v>31</v>
      </c>
      <c r="C72" t="s">
        <v>66</v>
      </c>
      <c r="D72" t="s">
        <v>9</v>
      </c>
      <c r="E72" t="s">
        <v>209</v>
      </c>
      <c r="F72" t="s">
        <v>75</v>
      </c>
      <c r="G72" t="str">
        <f t="shared" si="2"/>
        <v>31011LUMIA</v>
      </c>
      <c r="H72">
        <f>VLOOKUP(G72,[1]Proyeccion_original!$G$2:$H$438,2,FALSE)</f>
        <v>2232</v>
      </c>
      <c r="I72">
        <v>2070</v>
      </c>
      <c r="J72">
        <f t="shared" si="3"/>
        <v>-7.8260869565217397E-2</v>
      </c>
    </row>
    <row r="73" spans="1:10">
      <c r="A73">
        <v>2026</v>
      </c>
      <c r="B73">
        <v>31</v>
      </c>
      <c r="C73" t="s">
        <v>66</v>
      </c>
      <c r="D73" t="s">
        <v>9</v>
      </c>
      <c r="E73" t="s">
        <v>209</v>
      </c>
      <c r="F73" t="s">
        <v>130</v>
      </c>
      <c r="G73" t="str">
        <f t="shared" si="2"/>
        <v>31011STARDUST</v>
      </c>
      <c r="H73">
        <f>VLOOKUP(G73,[1]Proyeccion_original!$G$2:$H$438,2,FALSE)</f>
        <v>3602</v>
      </c>
      <c r="I73">
        <v>4425</v>
      </c>
      <c r="J73">
        <f t="shared" si="3"/>
        <v>0.18598870056497174</v>
      </c>
    </row>
    <row r="74" spans="1:10">
      <c r="A74">
        <v>2026</v>
      </c>
      <c r="B74">
        <v>31</v>
      </c>
      <c r="C74" t="s">
        <v>66</v>
      </c>
      <c r="D74" t="s">
        <v>9</v>
      </c>
      <c r="E74" t="s">
        <v>210</v>
      </c>
      <c r="F74" t="s">
        <v>85</v>
      </c>
      <c r="G74" t="str">
        <f t="shared" si="2"/>
        <v>31012DEEP PURPLE</v>
      </c>
      <c r="H74">
        <f>VLOOKUP(G74,[1]Proyeccion_original!$G$2:$H$438,2,FALSE)</f>
        <v>18390</v>
      </c>
      <c r="I74">
        <v>16800</v>
      </c>
      <c r="J74">
        <f t="shared" si="3"/>
        <v>-9.464285714285714E-2</v>
      </c>
    </row>
    <row r="75" spans="1:10">
      <c r="A75">
        <v>2026</v>
      </c>
      <c r="B75">
        <v>31</v>
      </c>
      <c r="C75" t="s">
        <v>66</v>
      </c>
      <c r="D75" t="s">
        <v>9</v>
      </c>
      <c r="E75" t="s">
        <v>210</v>
      </c>
      <c r="F75" t="s">
        <v>73</v>
      </c>
      <c r="G75" t="str">
        <f t="shared" si="2"/>
        <v>31012LIGHT HOUSE</v>
      </c>
      <c r="H75">
        <f>VLOOKUP(G75,[1]Proyeccion_original!$G$2:$H$438,2,FALSE)</f>
        <v>1436</v>
      </c>
      <c r="I75">
        <v>1440</v>
      </c>
      <c r="J75">
        <f t="shared" si="3"/>
        <v>2.7777777777777779E-3</v>
      </c>
    </row>
    <row r="76" spans="1:10">
      <c r="A76">
        <v>2026</v>
      </c>
      <c r="B76">
        <v>31</v>
      </c>
      <c r="C76" t="s">
        <v>66</v>
      </c>
      <c r="D76" t="s">
        <v>9</v>
      </c>
      <c r="E76" t="s">
        <v>211</v>
      </c>
      <c r="F76" t="s">
        <v>134</v>
      </c>
      <c r="G76" t="str">
        <f t="shared" si="2"/>
        <v>31013COUNTRY BLUES</v>
      </c>
      <c r="H76">
        <f>VLOOKUP(G76,[1]Proyeccion_original!$G$2:$H$438,2,FALSE)</f>
        <v>2004</v>
      </c>
      <c r="I76">
        <v>1200</v>
      </c>
      <c r="J76">
        <f t="shared" si="3"/>
        <v>-0.67</v>
      </c>
    </row>
    <row r="77" spans="1:10">
      <c r="A77">
        <v>2026</v>
      </c>
      <c r="B77">
        <v>31</v>
      </c>
      <c r="C77" t="s">
        <v>66</v>
      </c>
      <c r="D77" t="s">
        <v>9</v>
      </c>
      <c r="E77" t="s">
        <v>211</v>
      </c>
      <c r="F77" t="s">
        <v>136</v>
      </c>
      <c r="G77" t="str">
        <f t="shared" si="2"/>
        <v>31013LORRAINE</v>
      </c>
      <c r="H77">
        <f>VLOOKUP(G77,[1]Proyeccion_original!$G$2:$H$438,2,FALSE)</f>
        <v>4410</v>
      </c>
      <c r="I77">
        <v>3825</v>
      </c>
      <c r="J77">
        <f t="shared" si="3"/>
        <v>-0.15294117647058825</v>
      </c>
    </row>
    <row r="78" spans="1:10">
      <c r="A78">
        <v>2026</v>
      </c>
      <c r="B78">
        <v>31</v>
      </c>
      <c r="C78" t="s">
        <v>66</v>
      </c>
      <c r="D78" t="s">
        <v>9</v>
      </c>
      <c r="E78" t="s">
        <v>211</v>
      </c>
      <c r="F78" t="s">
        <v>75</v>
      </c>
      <c r="G78" t="str">
        <f t="shared" si="2"/>
        <v>31013LUMIA</v>
      </c>
      <c r="H78">
        <f>VLOOKUP(G78,[1]Proyeccion_original!$G$2:$H$438,2,FALSE)</f>
        <v>690</v>
      </c>
      <c r="I78">
        <v>660</v>
      </c>
      <c r="J78">
        <f t="shared" si="3"/>
        <v>-4.5454545454545456E-2</v>
      </c>
    </row>
    <row r="79" spans="1:10">
      <c r="A79">
        <v>2026</v>
      </c>
      <c r="B79">
        <v>31</v>
      </c>
      <c r="C79" t="s">
        <v>66</v>
      </c>
      <c r="D79" t="s">
        <v>9</v>
      </c>
      <c r="E79" t="s">
        <v>211</v>
      </c>
      <c r="F79" t="s">
        <v>104</v>
      </c>
      <c r="G79" t="str">
        <f t="shared" si="2"/>
        <v>31013VENDELA</v>
      </c>
      <c r="H79">
        <f>VLOOKUP(G79,[1]Proyeccion_original!$G$2:$H$438,2,FALSE)</f>
        <v>12214</v>
      </c>
      <c r="I79">
        <v>11610</v>
      </c>
      <c r="J79">
        <f t="shared" si="3"/>
        <v>-5.202411714039621E-2</v>
      </c>
    </row>
    <row r="80" spans="1:10">
      <c r="A80">
        <v>2026</v>
      </c>
      <c r="B80">
        <v>31</v>
      </c>
      <c r="C80" t="s">
        <v>66</v>
      </c>
      <c r="D80" t="s">
        <v>9</v>
      </c>
      <c r="E80" t="s">
        <v>191</v>
      </c>
      <c r="F80" t="s">
        <v>130</v>
      </c>
      <c r="G80" t="str">
        <f t="shared" si="2"/>
        <v>31014STARDUST</v>
      </c>
      <c r="H80">
        <f>VLOOKUP(G80,[1]Proyeccion_original!$G$2:$H$438,2,FALSE)</f>
        <v>8813</v>
      </c>
      <c r="I80">
        <v>6900</v>
      </c>
      <c r="J80">
        <f t="shared" si="3"/>
        <v>-0.2772463768115942</v>
      </c>
    </row>
    <row r="81" spans="1:10">
      <c r="A81">
        <v>2026</v>
      </c>
      <c r="B81">
        <v>31</v>
      </c>
      <c r="C81" t="s">
        <v>66</v>
      </c>
      <c r="D81" t="s">
        <v>9</v>
      </c>
      <c r="E81" t="s">
        <v>192</v>
      </c>
      <c r="F81" t="s">
        <v>88</v>
      </c>
      <c r="G81" t="str">
        <f t="shared" si="2"/>
        <v>31015JOCKER</v>
      </c>
      <c r="H81">
        <f>VLOOKUP(G81,[1]Proyeccion_original!$G$2:$H$438,2,FALSE)</f>
        <v>6693</v>
      </c>
      <c r="I81">
        <v>4625</v>
      </c>
      <c r="J81">
        <f t="shared" si="3"/>
        <v>-0.44713513513513514</v>
      </c>
    </row>
    <row r="82" spans="1:10">
      <c r="A82">
        <v>2026</v>
      </c>
      <c r="B82">
        <v>31</v>
      </c>
      <c r="C82" t="s">
        <v>66</v>
      </c>
      <c r="D82" t="s">
        <v>9</v>
      </c>
      <c r="E82" t="s">
        <v>193</v>
      </c>
      <c r="F82" t="s">
        <v>142</v>
      </c>
      <c r="G82" t="str">
        <f t="shared" si="2"/>
        <v>31016DREAM IN PEACH</v>
      </c>
      <c r="H82">
        <f>VLOOKUP(G82,[1]Proyeccion_original!$G$2:$H$438,2,FALSE)</f>
        <v>1618</v>
      </c>
      <c r="I82">
        <v>1710</v>
      </c>
      <c r="J82">
        <f t="shared" si="3"/>
        <v>5.3801169590643273E-2</v>
      </c>
    </row>
    <row r="83" spans="1:10">
      <c r="A83">
        <v>2026</v>
      </c>
      <c r="B83">
        <v>31</v>
      </c>
      <c r="C83" t="s">
        <v>66</v>
      </c>
      <c r="D83" t="s">
        <v>9</v>
      </c>
      <c r="E83" t="s">
        <v>193</v>
      </c>
      <c r="F83" t="s">
        <v>144</v>
      </c>
      <c r="G83" t="str">
        <f t="shared" si="2"/>
        <v>31016NINA</v>
      </c>
      <c r="H83">
        <f>VLOOKUP(G83,[1]Proyeccion_original!$G$2:$H$438,2,FALSE)</f>
        <v>3602</v>
      </c>
      <c r="I83">
        <v>2425</v>
      </c>
      <c r="J83">
        <f t="shared" si="3"/>
        <v>-0.48536082474226805</v>
      </c>
    </row>
    <row r="84" spans="1:10">
      <c r="A84">
        <v>2026</v>
      </c>
      <c r="B84">
        <v>31</v>
      </c>
      <c r="C84" t="s">
        <v>66</v>
      </c>
      <c r="D84" t="s">
        <v>9</v>
      </c>
      <c r="E84" t="s">
        <v>194</v>
      </c>
      <c r="F84" t="s">
        <v>116</v>
      </c>
      <c r="G84" t="str">
        <f t="shared" si="2"/>
        <v>31017FREEDOM</v>
      </c>
      <c r="H84">
        <f>VLOOKUP(G84,[1]Proyeccion_original!$G$2:$H$438,2,FALSE)</f>
        <v>4486</v>
      </c>
      <c r="I84">
        <v>4470</v>
      </c>
      <c r="J84">
        <f t="shared" si="3"/>
        <v>-3.5794183445190158E-3</v>
      </c>
    </row>
    <row r="85" spans="1:10">
      <c r="A85">
        <v>2026</v>
      </c>
      <c r="B85">
        <v>31</v>
      </c>
      <c r="C85" t="s">
        <v>66</v>
      </c>
      <c r="D85" t="s">
        <v>9</v>
      </c>
      <c r="E85" t="s">
        <v>194</v>
      </c>
      <c r="F85" t="s">
        <v>101</v>
      </c>
      <c r="G85" t="str">
        <f t="shared" si="2"/>
        <v>31017GOLDFINCH</v>
      </c>
      <c r="H85">
        <f>VLOOKUP(G85,[1]Proyeccion_original!$G$2:$H$438,2,FALSE)</f>
        <v>2906</v>
      </c>
      <c r="I85">
        <v>3075</v>
      </c>
      <c r="J85">
        <f t="shared" si="3"/>
        <v>5.4959349593495938E-2</v>
      </c>
    </row>
    <row r="86" spans="1:10">
      <c r="A86">
        <v>2026</v>
      </c>
      <c r="B86">
        <v>31</v>
      </c>
      <c r="C86" t="s">
        <v>66</v>
      </c>
      <c r="D86" t="s">
        <v>9</v>
      </c>
      <c r="E86" t="s">
        <v>195</v>
      </c>
      <c r="F86" t="s">
        <v>123</v>
      </c>
      <c r="G86" t="str">
        <f t="shared" si="2"/>
        <v>31018BRIGHTON</v>
      </c>
      <c r="H86">
        <f>VLOOKUP(G86,[1]Proyeccion_original!$G$2:$H$438,2,FALSE)</f>
        <v>2307</v>
      </c>
      <c r="I86">
        <v>1850</v>
      </c>
      <c r="J86">
        <f t="shared" si="3"/>
        <v>-0.24702702702702703</v>
      </c>
    </row>
    <row r="87" spans="1:10">
      <c r="A87">
        <v>2026</v>
      </c>
      <c r="B87">
        <v>31</v>
      </c>
      <c r="C87" t="s">
        <v>66</v>
      </c>
      <c r="D87" t="s">
        <v>9</v>
      </c>
      <c r="E87" t="s">
        <v>196</v>
      </c>
      <c r="F87" t="s">
        <v>123</v>
      </c>
      <c r="G87" t="str">
        <f t="shared" si="2"/>
        <v>31019BRIGHTON</v>
      </c>
      <c r="H87">
        <f>VLOOKUP(G87,[1]Proyeccion_original!$G$2:$H$438,2,FALSE)</f>
        <v>7932</v>
      </c>
      <c r="I87">
        <v>6325</v>
      </c>
      <c r="J87">
        <f t="shared" si="3"/>
        <v>-0.25407114624505928</v>
      </c>
    </row>
    <row r="88" spans="1:10">
      <c r="A88">
        <v>2026</v>
      </c>
      <c r="B88">
        <v>31</v>
      </c>
      <c r="C88" t="s">
        <v>66</v>
      </c>
      <c r="D88" t="s">
        <v>9</v>
      </c>
      <c r="E88" t="s">
        <v>196</v>
      </c>
      <c r="F88" t="s">
        <v>150</v>
      </c>
      <c r="G88" t="str">
        <f t="shared" si="2"/>
        <v>31019TABATHA</v>
      </c>
      <c r="H88">
        <f>VLOOKUP(G88,[1]Proyeccion_original!$G$2:$H$438,2,FALSE)</f>
        <v>2613</v>
      </c>
      <c r="I88">
        <v>3540</v>
      </c>
      <c r="J88">
        <f t="shared" si="3"/>
        <v>0.261864406779661</v>
      </c>
    </row>
    <row r="89" spans="1:10">
      <c r="A89">
        <v>2026</v>
      </c>
      <c r="B89">
        <v>31</v>
      </c>
      <c r="C89" t="s">
        <v>66</v>
      </c>
      <c r="D89" t="s">
        <v>9</v>
      </c>
      <c r="E89" t="s">
        <v>197</v>
      </c>
      <c r="F89" t="s">
        <v>123</v>
      </c>
      <c r="G89" t="str">
        <f t="shared" si="2"/>
        <v>31020BRIGHTON</v>
      </c>
      <c r="H89">
        <f>VLOOKUP(G89,[1]Proyeccion_original!$G$2:$H$438,2,FALSE)</f>
        <v>5272</v>
      </c>
      <c r="I89">
        <v>5575</v>
      </c>
      <c r="J89">
        <f t="shared" si="3"/>
        <v>5.4349775784753362E-2</v>
      </c>
    </row>
    <row r="90" spans="1:10">
      <c r="A90">
        <v>2026</v>
      </c>
      <c r="B90">
        <v>31</v>
      </c>
      <c r="C90" t="s">
        <v>66</v>
      </c>
      <c r="D90" t="s">
        <v>9</v>
      </c>
      <c r="E90" t="s">
        <v>197</v>
      </c>
      <c r="F90" t="s">
        <v>153</v>
      </c>
      <c r="G90" t="str">
        <f t="shared" si="2"/>
        <v>31020TYCOON</v>
      </c>
      <c r="H90">
        <f>VLOOKUP(G90,[1]Proyeccion_original!$G$2:$H$438,2,FALSE)</f>
        <v>1501</v>
      </c>
      <c r="I90">
        <v>1290</v>
      </c>
      <c r="J90">
        <f t="shared" si="3"/>
        <v>-0.16356589147286821</v>
      </c>
    </row>
    <row r="91" spans="1:10">
      <c r="A91">
        <v>2026</v>
      </c>
      <c r="B91">
        <v>31</v>
      </c>
      <c r="C91" t="s">
        <v>66</v>
      </c>
      <c r="D91" t="s">
        <v>9</v>
      </c>
      <c r="E91" t="s">
        <v>198</v>
      </c>
      <c r="F91" t="s">
        <v>155</v>
      </c>
      <c r="G91" t="str">
        <f t="shared" si="2"/>
        <v>31021SHOW GIRL</v>
      </c>
      <c r="H91">
        <f>VLOOKUP(G91,[1]Proyeccion_original!$G$2:$H$438,2,FALSE)</f>
        <v>1614</v>
      </c>
      <c r="I91">
        <v>1775</v>
      </c>
      <c r="J91">
        <f t="shared" si="3"/>
        <v>9.0704225352112672E-2</v>
      </c>
    </row>
    <row r="92" spans="1:10">
      <c r="A92">
        <v>2026</v>
      </c>
      <c r="B92">
        <v>31</v>
      </c>
      <c r="C92" t="s">
        <v>66</v>
      </c>
      <c r="D92" t="s">
        <v>9</v>
      </c>
      <c r="E92" t="s">
        <v>199</v>
      </c>
      <c r="F92" t="s">
        <v>157</v>
      </c>
      <c r="G92" t="str">
        <f t="shared" si="2"/>
        <v>31022CORAL REEF</v>
      </c>
      <c r="H92">
        <f>VLOOKUP(G92,[1]Proyeccion_original!$G$2:$H$438,2,FALSE)</f>
        <v>2215</v>
      </c>
      <c r="I92">
        <v>2625</v>
      </c>
      <c r="J92">
        <f t="shared" si="3"/>
        <v>0.15619047619047619</v>
      </c>
    </row>
    <row r="93" spans="1:10">
      <c r="A93">
        <v>2026</v>
      </c>
      <c r="B93">
        <v>31</v>
      </c>
      <c r="C93" t="s">
        <v>66</v>
      </c>
      <c r="D93" t="s">
        <v>9</v>
      </c>
      <c r="E93" t="s">
        <v>212</v>
      </c>
      <c r="F93" t="s">
        <v>92</v>
      </c>
      <c r="G93" t="str">
        <f t="shared" si="2"/>
        <v>31023COTOPAXI</v>
      </c>
      <c r="H93">
        <f>VLOOKUP(G93,[1]Proyeccion_original!$G$2:$H$438,2,FALSE)</f>
        <v>6163</v>
      </c>
      <c r="I93">
        <v>8760</v>
      </c>
      <c r="J93">
        <f t="shared" si="3"/>
        <v>0.2964611872146119</v>
      </c>
    </row>
    <row r="94" spans="1:10">
      <c r="A94">
        <v>2026</v>
      </c>
      <c r="B94">
        <v>31</v>
      </c>
      <c r="C94" t="s">
        <v>66</v>
      </c>
      <c r="D94" t="s">
        <v>9</v>
      </c>
      <c r="E94" t="s">
        <v>212</v>
      </c>
      <c r="F94" t="s">
        <v>160</v>
      </c>
      <c r="G94" t="str">
        <f t="shared" si="2"/>
        <v>31023FRUTTETO</v>
      </c>
      <c r="H94">
        <f>VLOOKUP(G94,[1]Proyeccion_original!$G$2:$H$438,2,FALSE)</f>
        <v>6588</v>
      </c>
      <c r="I94">
        <v>5040</v>
      </c>
      <c r="J94">
        <f t="shared" si="3"/>
        <v>-0.30714285714285716</v>
      </c>
    </row>
    <row r="95" spans="1:10">
      <c r="A95">
        <v>2026</v>
      </c>
      <c r="B95">
        <v>31</v>
      </c>
      <c r="C95" t="s">
        <v>66</v>
      </c>
      <c r="D95" t="s">
        <v>9</v>
      </c>
      <c r="E95" t="s">
        <v>213</v>
      </c>
      <c r="F95" t="s">
        <v>92</v>
      </c>
      <c r="G95" t="str">
        <f t="shared" si="2"/>
        <v>31024COTOPAXI</v>
      </c>
      <c r="H95">
        <f>VLOOKUP(G95,[1]Proyeccion_original!$G$2:$H$438,2,FALSE)</f>
        <v>2832</v>
      </c>
      <c r="I95">
        <v>4050</v>
      </c>
      <c r="J95">
        <f t="shared" si="3"/>
        <v>0.30074074074074075</v>
      </c>
    </row>
    <row r="96" spans="1:10">
      <c r="A96">
        <v>2026</v>
      </c>
      <c r="B96">
        <v>31</v>
      </c>
      <c r="C96" t="s">
        <v>66</v>
      </c>
      <c r="D96" t="s">
        <v>9</v>
      </c>
      <c r="E96" t="s">
        <v>213</v>
      </c>
      <c r="F96" t="s">
        <v>81</v>
      </c>
      <c r="G96" t="str">
        <f t="shared" si="2"/>
        <v>31024SWEETNESS</v>
      </c>
      <c r="H96">
        <f>VLOOKUP(G96,[1]Proyeccion_original!$G$2:$H$438,2,FALSE)</f>
        <v>1270</v>
      </c>
      <c r="I96">
        <v>2340</v>
      </c>
      <c r="J96">
        <f t="shared" si="3"/>
        <v>0.45726495726495725</v>
      </c>
    </row>
    <row r="97" spans="1:10">
      <c r="A97">
        <v>2026</v>
      </c>
      <c r="B97">
        <v>31</v>
      </c>
      <c r="C97" t="s">
        <v>66</v>
      </c>
      <c r="D97" t="s">
        <v>9</v>
      </c>
      <c r="E97" t="s">
        <v>213</v>
      </c>
      <c r="F97" t="s">
        <v>153</v>
      </c>
      <c r="G97" t="str">
        <f t="shared" si="2"/>
        <v>31024TYCOON</v>
      </c>
      <c r="H97">
        <f>VLOOKUP(G97,[1]Proyeccion_original!$G$2:$H$438,2,FALSE)</f>
        <v>2404</v>
      </c>
      <c r="I97">
        <v>4290</v>
      </c>
      <c r="J97">
        <f t="shared" si="3"/>
        <v>0.43962703962703964</v>
      </c>
    </row>
    <row r="98" spans="1:10">
      <c r="A98">
        <v>2026</v>
      </c>
      <c r="B98">
        <v>31</v>
      </c>
      <c r="C98" t="s">
        <v>66</v>
      </c>
      <c r="D98" t="s">
        <v>9</v>
      </c>
      <c r="E98" t="s">
        <v>214</v>
      </c>
      <c r="F98" t="s">
        <v>165</v>
      </c>
      <c r="G98" t="str">
        <f t="shared" si="2"/>
        <v>31025PINK MONDIAL</v>
      </c>
      <c r="H98">
        <f>VLOOKUP(G98,[1]Proyeccion_original!$G$2:$H$438,2,FALSE)</f>
        <v>4987</v>
      </c>
      <c r="I98">
        <v>6400</v>
      </c>
      <c r="J98">
        <f t="shared" si="3"/>
        <v>0.22078125000000001</v>
      </c>
    </row>
    <row r="99" spans="1:10">
      <c r="A99">
        <v>2026</v>
      </c>
      <c r="B99">
        <v>31</v>
      </c>
      <c r="C99" t="s">
        <v>66</v>
      </c>
      <c r="D99" t="s">
        <v>9</v>
      </c>
      <c r="E99" t="s">
        <v>215</v>
      </c>
      <c r="F99" t="s">
        <v>167</v>
      </c>
      <c r="G99" t="str">
        <f t="shared" si="2"/>
        <v>31026LOLA</v>
      </c>
      <c r="H99">
        <f>VLOOKUP(G99,[1]Proyeccion_original!$G$2:$H$438,2,FALSE)</f>
        <v>4399</v>
      </c>
      <c r="I99">
        <v>3625</v>
      </c>
      <c r="J99">
        <f t="shared" si="3"/>
        <v>-0.21351724137931036</v>
      </c>
    </row>
    <row r="100" spans="1:10">
      <c r="A100">
        <v>2026</v>
      </c>
      <c r="B100">
        <v>31</v>
      </c>
      <c r="C100" t="s">
        <v>66</v>
      </c>
      <c r="D100" t="s">
        <v>9</v>
      </c>
      <c r="E100" t="s">
        <v>215</v>
      </c>
      <c r="F100" t="s">
        <v>169</v>
      </c>
      <c r="G100" t="str">
        <f t="shared" si="2"/>
        <v>31026PALOMA</v>
      </c>
      <c r="H100">
        <f>VLOOKUP(G100,[1]Proyeccion_original!$G$2:$H$438,2,FALSE)</f>
        <v>6260</v>
      </c>
      <c r="I100">
        <v>4150</v>
      </c>
      <c r="J100">
        <f t="shared" si="3"/>
        <v>-0.50843373493975907</v>
      </c>
    </row>
    <row r="101" spans="1:10">
      <c r="A101">
        <v>2026</v>
      </c>
      <c r="B101">
        <v>31</v>
      </c>
      <c r="C101" t="s">
        <v>66</v>
      </c>
      <c r="D101" t="s">
        <v>9</v>
      </c>
      <c r="E101" t="s">
        <v>216</v>
      </c>
      <c r="F101" t="s">
        <v>171</v>
      </c>
      <c r="G101" t="str">
        <f t="shared" si="2"/>
        <v>31027SATISFACTION</v>
      </c>
      <c r="H101">
        <f>VLOOKUP(G101,[1]Proyeccion_original!$G$2:$H$438,2,FALSE)</f>
        <v>4978</v>
      </c>
      <c r="I101">
        <v>5370</v>
      </c>
      <c r="J101">
        <f t="shared" si="3"/>
        <v>7.2998137802607083E-2</v>
      </c>
    </row>
    <row r="102" spans="1:10">
      <c r="A102">
        <v>2026</v>
      </c>
      <c r="B102">
        <v>31</v>
      </c>
      <c r="C102" t="s">
        <v>66</v>
      </c>
      <c r="D102" t="s">
        <v>9</v>
      </c>
      <c r="E102" t="s">
        <v>216</v>
      </c>
      <c r="F102" t="s">
        <v>173</v>
      </c>
      <c r="G102" t="str">
        <f t="shared" si="2"/>
        <v>31027TIFFANY</v>
      </c>
      <c r="H102">
        <f>VLOOKUP(G102,[1]Proyeccion_original!$G$2:$H$438,2,FALSE)</f>
        <v>4826</v>
      </c>
      <c r="I102">
        <v>5910</v>
      </c>
      <c r="J102">
        <f t="shared" si="3"/>
        <v>0.18341793570219966</v>
      </c>
    </row>
    <row r="103" spans="1:10">
      <c r="A103">
        <v>2026</v>
      </c>
      <c r="B103">
        <v>31</v>
      </c>
      <c r="C103" t="s">
        <v>66</v>
      </c>
      <c r="D103" t="s">
        <v>9</v>
      </c>
      <c r="E103" t="s">
        <v>217</v>
      </c>
      <c r="F103" t="s">
        <v>92</v>
      </c>
      <c r="G103" t="str">
        <f t="shared" si="2"/>
        <v>31028COTOPAXI</v>
      </c>
      <c r="H103">
        <f>VLOOKUP(G103,[1]Proyeccion_original!$G$2:$H$438,2,FALSE)</f>
        <v>3388</v>
      </c>
      <c r="I103">
        <v>7230</v>
      </c>
      <c r="J103">
        <f t="shared" si="3"/>
        <v>0.5313969571230982</v>
      </c>
    </row>
    <row r="104" spans="1:10">
      <c r="A104">
        <v>2026</v>
      </c>
      <c r="B104">
        <v>31</v>
      </c>
      <c r="C104" t="s">
        <v>66</v>
      </c>
      <c r="D104" t="s">
        <v>9</v>
      </c>
      <c r="E104" t="s">
        <v>217</v>
      </c>
      <c r="F104" t="s">
        <v>85</v>
      </c>
      <c r="G104" t="str">
        <f t="shared" si="2"/>
        <v>31028DEEP PURPLE</v>
      </c>
      <c r="H104">
        <f>VLOOKUP(G104,[1]Proyeccion_original!$G$2:$H$438,2,FALSE)</f>
        <v>8375</v>
      </c>
      <c r="I104">
        <v>5670</v>
      </c>
      <c r="J104">
        <f t="shared" si="3"/>
        <v>-0.47707231040564374</v>
      </c>
    </row>
    <row r="105" spans="1:10">
      <c r="A105">
        <v>2026</v>
      </c>
      <c r="B105">
        <v>31</v>
      </c>
      <c r="C105" t="s">
        <v>66</v>
      </c>
      <c r="D105" t="s">
        <v>9</v>
      </c>
      <c r="E105" t="s">
        <v>218</v>
      </c>
      <c r="F105" t="s">
        <v>177</v>
      </c>
      <c r="G105" t="str">
        <f t="shared" si="2"/>
        <v>31029PINK FLOYD</v>
      </c>
      <c r="H105">
        <f>VLOOKUP(G105,[1]Proyeccion_original!$G$2:$H$438,2,FALSE)</f>
        <v>4918</v>
      </c>
      <c r="I105">
        <v>3525</v>
      </c>
      <c r="J105">
        <f t="shared" si="3"/>
        <v>-0.39517730496453901</v>
      </c>
    </row>
    <row r="106" spans="1:10">
      <c r="A106">
        <v>2026</v>
      </c>
      <c r="B106">
        <v>31</v>
      </c>
      <c r="C106" t="s">
        <v>66</v>
      </c>
      <c r="D106" t="s">
        <v>9</v>
      </c>
      <c r="E106" t="s">
        <v>200</v>
      </c>
      <c r="F106" t="s">
        <v>69</v>
      </c>
      <c r="G106" t="str">
        <f t="shared" si="2"/>
        <v>31030EXPLORER</v>
      </c>
      <c r="H106">
        <f>VLOOKUP(G106,[1]Proyeccion_original!$G$2:$H$438,2,FALSE)</f>
        <v>1612</v>
      </c>
      <c r="I106">
        <v>2950</v>
      </c>
      <c r="J106">
        <f t="shared" si="3"/>
        <v>0.45355932203389832</v>
      </c>
    </row>
    <row r="107" spans="1:10">
      <c r="A107">
        <v>2026</v>
      </c>
      <c r="B107">
        <v>32</v>
      </c>
      <c r="C107" t="s">
        <v>8</v>
      </c>
      <c r="D107" t="s">
        <v>9</v>
      </c>
      <c r="E107" t="s">
        <v>186</v>
      </c>
      <c r="F107" t="s">
        <v>10</v>
      </c>
      <c r="G107" t="str">
        <f t="shared" si="2"/>
        <v>32002SOMERSET</v>
      </c>
      <c r="H107">
        <f>VLOOKUP(G107,[1]Proyeccion_original!$G$2:$H$438,2,FALSE)</f>
        <v>7997</v>
      </c>
      <c r="I107">
        <v>7920</v>
      </c>
      <c r="J107">
        <f t="shared" si="3"/>
        <v>-9.7222222222222224E-3</v>
      </c>
    </row>
    <row r="108" spans="1:10">
      <c r="A108">
        <v>2026</v>
      </c>
      <c r="B108">
        <v>32</v>
      </c>
      <c r="C108" t="s">
        <v>8</v>
      </c>
      <c r="D108" t="s">
        <v>9</v>
      </c>
      <c r="E108" t="s">
        <v>187</v>
      </c>
      <c r="F108" t="s">
        <v>12</v>
      </c>
      <c r="G108" t="str">
        <f t="shared" si="2"/>
        <v>32004BELLINA</v>
      </c>
      <c r="H108">
        <f>VLOOKUP(G108,[1]Proyeccion_original!$G$2:$H$438,2,FALSE)</f>
        <v>1253</v>
      </c>
      <c r="I108">
        <v>1755</v>
      </c>
      <c r="J108">
        <f t="shared" si="3"/>
        <v>0.28603988603988606</v>
      </c>
    </row>
    <row r="109" spans="1:10">
      <c r="A109">
        <v>2026</v>
      </c>
      <c r="B109">
        <v>32</v>
      </c>
      <c r="C109" t="s">
        <v>8</v>
      </c>
      <c r="D109" t="s">
        <v>9</v>
      </c>
      <c r="E109" t="s">
        <v>188</v>
      </c>
      <c r="F109" t="s">
        <v>14</v>
      </c>
      <c r="G109" t="str">
        <f t="shared" si="2"/>
        <v>32005ELBA</v>
      </c>
      <c r="H109">
        <f>VLOOKUP(G109,[1]Proyeccion_original!$G$2:$H$438,2,FALSE)</f>
        <v>7668</v>
      </c>
      <c r="I109">
        <v>6300</v>
      </c>
      <c r="J109">
        <f t="shared" si="3"/>
        <v>-0.21714285714285714</v>
      </c>
    </row>
    <row r="110" spans="1:10">
      <c r="A110">
        <v>2026</v>
      </c>
      <c r="B110">
        <v>32</v>
      </c>
      <c r="C110" t="s">
        <v>8</v>
      </c>
      <c r="D110" t="s">
        <v>9</v>
      </c>
      <c r="E110" t="s">
        <v>188</v>
      </c>
      <c r="F110" t="s">
        <v>16</v>
      </c>
      <c r="G110" t="str">
        <f t="shared" si="2"/>
        <v>32005HOT BUBBLES</v>
      </c>
      <c r="H110">
        <f>VLOOKUP(G110,[1]Proyeccion_original!$G$2:$H$438,2,FALSE)</f>
        <v>1193</v>
      </c>
      <c r="I110">
        <v>1060</v>
      </c>
      <c r="J110">
        <f t="shared" si="3"/>
        <v>-0.12547169811320755</v>
      </c>
    </row>
    <row r="111" spans="1:10">
      <c r="A111">
        <v>2026</v>
      </c>
      <c r="B111">
        <v>32</v>
      </c>
      <c r="C111" t="s">
        <v>8</v>
      </c>
      <c r="D111" t="s">
        <v>9</v>
      </c>
      <c r="E111" t="s">
        <v>188</v>
      </c>
      <c r="F111" t="s">
        <v>18</v>
      </c>
      <c r="G111" t="str">
        <f t="shared" si="2"/>
        <v>32005SUSPIRO</v>
      </c>
      <c r="H111">
        <f>VLOOKUP(G111,[1]Proyeccion_original!$G$2:$H$438,2,FALSE)</f>
        <v>4505</v>
      </c>
      <c r="I111">
        <v>4740</v>
      </c>
      <c r="J111">
        <f t="shared" si="3"/>
        <v>4.9578059071729956E-2</v>
      </c>
    </row>
    <row r="112" spans="1:10">
      <c r="A112">
        <v>2026</v>
      </c>
      <c r="B112">
        <v>32</v>
      </c>
      <c r="C112" t="s">
        <v>8</v>
      </c>
      <c r="D112" t="s">
        <v>9</v>
      </c>
      <c r="E112" t="s">
        <v>189</v>
      </c>
      <c r="F112" t="s">
        <v>20</v>
      </c>
      <c r="G112" t="str">
        <f t="shared" si="2"/>
        <v>32007SNOW BUBBLES</v>
      </c>
      <c r="H112">
        <f>VLOOKUP(G112,[1]Proyeccion_original!$G$2:$H$438,2,FALSE)</f>
        <v>960</v>
      </c>
      <c r="I112">
        <v>880</v>
      </c>
      <c r="J112">
        <f t="shared" si="3"/>
        <v>-9.0909090909090912E-2</v>
      </c>
    </row>
    <row r="113" spans="1:10">
      <c r="A113">
        <v>2026</v>
      </c>
      <c r="B113">
        <v>32</v>
      </c>
      <c r="C113" t="s">
        <v>8</v>
      </c>
      <c r="D113" t="s">
        <v>9</v>
      </c>
      <c r="E113" t="s">
        <v>190</v>
      </c>
      <c r="F113" t="s">
        <v>16</v>
      </c>
      <c r="G113" t="str">
        <f t="shared" si="2"/>
        <v>32009HOT BUBBLES</v>
      </c>
      <c r="H113">
        <f>VLOOKUP(G113,[1]Proyeccion_original!$G$2:$H$438,2,FALSE)</f>
        <v>8826</v>
      </c>
      <c r="I113">
        <v>7560</v>
      </c>
      <c r="J113">
        <f t="shared" si="3"/>
        <v>-0.16746031746031745</v>
      </c>
    </row>
    <row r="114" spans="1:10">
      <c r="A114">
        <v>2026</v>
      </c>
      <c r="B114">
        <v>32</v>
      </c>
      <c r="C114" t="s">
        <v>8</v>
      </c>
      <c r="D114" t="s">
        <v>9</v>
      </c>
      <c r="E114" t="s">
        <v>191</v>
      </c>
      <c r="F114" t="s">
        <v>23</v>
      </c>
      <c r="G114" t="str">
        <f t="shared" si="2"/>
        <v>32014FRUITY BUBBLES</v>
      </c>
      <c r="H114">
        <f>VLOOKUP(G114,[1]Proyeccion_original!$G$2:$H$438,2,FALSE)</f>
        <v>3784</v>
      </c>
      <c r="I114">
        <v>3000</v>
      </c>
      <c r="J114">
        <f t="shared" si="3"/>
        <v>-0.26133333333333331</v>
      </c>
    </row>
    <row r="115" spans="1:10">
      <c r="A115">
        <v>2026</v>
      </c>
      <c r="B115">
        <v>32</v>
      </c>
      <c r="C115" t="s">
        <v>8</v>
      </c>
      <c r="D115" t="s">
        <v>9</v>
      </c>
      <c r="E115" t="s">
        <v>192</v>
      </c>
      <c r="F115" t="s">
        <v>25</v>
      </c>
      <c r="G115" t="str">
        <f t="shared" si="2"/>
        <v>32015FELLINI</v>
      </c>
      <c r="H115">
        <f>VLOOKUP(G115,[1]Proyeccion_original!$G$2:$H$438,2,FALSE)</f>
        <v>6757</v>
      </c>
      <c r="I115">
        <v>6280</v>
      </c>
      <c r="J115">
        <f t="shared" si="3"/>
        <v>-7.5955414012738851E-2</v>
      </c>
    </row>
    <row r="116" spans="1:10">
      <c r="A116">
        <v>2026</v>
      </c>
      <c r="B116">
        <v>32</v>
      </c>
      <c r="C116" t="s">
        <v>8</v>
      </c>
      <c r="D116" t="s">
        <v>9</v>
      </c>
      <c r="E116" t="s">
        <v>193</v>
      </c>
      <c r="F116" t="s">
        <v>27</v>
      </c>
      <c r="G116" t="str">
        <f t="shared" si="2"/>
        <v>32016GOOD PEACH</v>
      </c>
      <c r="H116">
        <f>VLOOKUP(G116,[1]Proyeccion_original!$G$2:$H$438,2,FALSE)</f>
        <v>3127</v>
      </c>
      <c r="I116">
        <v>3540</v>
      </c>
      <c r="J116">
        <f t="shared" si="3"/>
        <v>0.11666666666666667</v>
      </c>
    </row>
    <row r="117" spans="1:10">
      <c r="A117">
        <v>2026</v>
      </c>
      <c r="B117">
        <v>32</v>
      </c>
      <c r="C117" t="s">
        <v>8</v>
      </c>
      <c r="D117" t="s">
        <v>9</v>
      </c>
      <c r="E117" t="s">
        <v>193</v>
      </c>
      <c r="F117" t="s">
        <v>29</v>
      </c>
      <c r="G117" t="str">
        <f t="shared" si="2"/>
        <v>32016GOOD YELLOW</v>
      </c>
      <c r="H117">
        <f>VLOOKUP(G117,[1]Proyeccion_original!$G$2:$H$438,2,FALSE)</f>
        <v>2830</v>
      </c>
      <c r="I117">
        <v>4260</v>
      </c>
      <c r="J117">
        <f t="shared" si="3"/>
        <v>0.33568075117370894</v>
      </c>
    </row>
    <row r="118" spans="1:10">
      <c r="A118">
        <v>2026</v>
      </c>
      <c r="B118">
        <v>32</v>
      </c>
      <c r="C118" t="s">
        <v>8</v>
      </c>
      <c r="D118" t="s">
        <v>9</v>
      </c>
      <c r="E118" t="s">
        <v>194</v>
      </c>
      <c r="F118" t="s">
        <v>31</v>
      </c>
      <c r="G118" t="str">
        <f t="shared" si="2"/>
        <v>32017ORANGE STAR</v>
      </c>
      <c r="H118">
        <f>VLOOKUP(G118,[1]Proyeccion_original!$G$2:$H$438,2,FALSE)</f>
        <v>1566</v>
      </c>
      <c r="I118">
        <v>1175</v>
      </c>
      <c r="J118">
        <f t="shared" si="3"/>
        <v>-0.33276595744680854</v>
      </c>
    </row>
    <row r="119" spans="1:10">
      <c r="A119">
        <v>2026</v>
      </c>
      <c r="B119">
        <v>32</v>
      </c>
      <c r="C119" t="s">
        <v>8</v>
      </c>
      <c r="D119" t="s">
        <v>9</v>
      </c>
      <c r="E119" t="s">
        <v>195</v>
      </c>
      <c r="F119" t="s">
        <v>33</v>
      </c>
      <c r="G119" t="str">
        <f t="shared" si="2"/>
        <v>32018COSMO</v>
      </c>
      <c r="H119">
        <f>VLOOKUP(G119,[1]Proyeccion_original!$G$2:$H$438,2,FALSE)</f>
        <v>6413</v>
      </c>
      <c r="I119">
        <v>3775</v>
      </c>
      <c r="J119">
        <f t="shared" si="3"/>
        <v>-0.69880794701986759</v>
      </c>
    </row>
    <row r="120" spans="1:10">
      <c r="A120">
        <v>2026</v>
      </c>
      <c r="B120">
        <v>32</v>
      </c>
      <c r="C120" t="s">
        <v>8</v>
      </c>
      <c r="D120" t="s">
        <v>9</v>
      </c>
      <c r="E120" t="s">
        <v>195</v>
      </c>
      <c r="F120" t="s">
        <v>35</v>
      </c>
      <c r="G120" t="str">
        <f t="shared" si="2"/>
        <v>32018RUBICON</v>
      </c>
      <c r="H120">
        <f>VLOOKUP(G120,[1]Proyeccion_original!$G$2:$H$438,2,FALSE)</f>
        <v>4539</v>
      </c>
      <c r="I120">
        <v>3630</v>
      </c>
      <c r="J120">
        <f t="shared" si="3"/>
        <v>-0.25041322314049586</v>
      </c>
    </row>
    <row r="121" spans="1:10">
      <c r="A121">
        <v>2026</v>
      </c>
      <c r="B121">
        <v>32</v>
      </c>
      <c r="C121" t="s">
        <v>8</v>
      </c>
      <c r="D121" t="s">
        <v>9</v>
      </c>
      <c r="E121" t="s">
        <v>196</v>
      </c>
      <c r="F121" t="s">
        <v>12</v>
      </c>
      <c r="G121" t="str">
        <f t="shared" si="2"/>
        <v>32019BELLINA</v>
      </c>
      <c r="H121">
        <f>VLOOKUP(G121,[1]Proyeccion_original!$G$2:$H$438,2,FALSE)</f>
        <v>1395</v>
      </c>
      <c r="I121">
        <v>2340</v>
      </c>
      <c r="J121">
        <f t="shared" si="3"/>
        <v>0.40384615384615385</v>
      </c>
    </row>
    <row r="122" spans="1:10">
      <c r="A122">
        <v>2026</v>
      </c>
      <c r="B122">
        <v>32</v>
      </c>
      <c r="C122" t="s">
        <v>8</v>
      </c>
      <c r="D122" t="s">
        <v>9</v>
      </c>
      <c r="E122" t="s">
        <v>197</v>
      </c>
      <c r="F122" t="s">
        <v>38</v>
      </c>
      <c r="G122" t="str">
        <f t="shared" si="2"/>
        <v>32020SUMMER DANCE</v>
      </c>
      <c r="H122">
        <f>VLOOKUP(G122,[1]Proyeccion_original!$G$2:$H$438,2,FALSE)</f>
        <v>4026</v>
      </c>
      <c r="I122">
        <v>3125</v>
      </c>
      <c r="J122">
        <f t="shared" si="3"/>
        <v>-0.28832000000000002</v>
      </c>
    </row>
    <row r="123" spans="1:10">
      <c r="A123">
        <v>2026</v>
      </c>
      <c r="B123">
        <v>32</v>
      </c>
      <c r="C123" t="s">
        <v>8</v>
      </c>
      <c r="D123" t="s">
        <v>9</v>
      </c>
      <c r="E123" t="s">
        <v>198</v>
      </c>
      <c r="F123" t="s">
        <v>40</v>
      </c>
      <c r="G123" t="str">
        <f t="shared" si="2"/>
        <v>32021ELEGANT ROSEVER</v>
      </c>
      <c r="H123">
        <f>VLOOKUP(G123,[1]Proyeccion_original!$G$2:$H$438,2,FALSE)</f>
        <v>675</v>
      </c>
      <c r="I123">
        <v>690</v>
      </c>
      <c r="J123">
        <f t="shared" si="3"/>
        <v>2.1739130434782608E-2</v>
      </c>
    </row>
    <row r="124" spans="1:10">
      <c r="A124">
        <v>2026</v>
      </c>
      <c r="B124">
        <v>32</v>
      </c>
      <c r="C124" t="s">
        <v>8</v>
      </c>
      <c r="D124" t="s">
        <v>9</v>
      </c>
      <c r="E124" t="s">
        <v>198</v>
      </c>
      <c r="F124" t="s">
        <v>42</v>
      </c>
      <c r="G124" t="str">
        <f t="shared" si="2"/>
        <v>32021FLAME CLUB</v>
      </c>
      <c r="H124">
        <f>VLOOKUP(G124,[1]Proyeccion_original!$G$2:$H$438,2,FALSE)</f>
        <v>2158</v>
      </c>
      <c r="I124">
        <v>1650</v>
      </c>
      <c r="J124">
        <f t="shared" si="3"/>
        <v>-0.30787878787878786</v>
      </c>
    </row>
    <row r="125" spans="1:10">
      <c r="A125">
        <v>2026</v>
      </c>
      <c r="B125">
        <v>32</v>
      </c>
      <c r="C125" t="s">
        <v>8</v>
      </c>
      <c r="D125" t="s">
        <v>9</v>
      </c>
      <c r="E125" t="s">
        <v>198</v>
      </c>
      <c r="F125" t="s">
        <v>44</v>
      </c>
      <c r="G125" t="str">
        <f t="shared" si="2"/>
        <v>32021KELLY</v>
      </c>
      <c r="H125">
        <f>VLOOKUP(G125,[1]Proyeccion_original!$G$2:$H$438,2,FALSE)</f>
        <v>449</v>
      </c>
      <c r="I125">
        <v>525</v>
      </c>
      <c r="J125">
        <f t="shared" si="3"/>
        <v>0.14476190476190476</v>
      </c>
    </row>
    <row r="126" spans="1:10">
      <c r="A126">
        <v>2026</v>
      </c>
      <c r="B126">
        <v>32</v>
      </c>
      <c r="C126" t="s">
        <v>8</v>
      </c>
      <c r="D126" t="s">
        <v>9</v>
      </c>
      <c r="E126" t="s">
        <v>198</v>
      </c>
      <c r="F126" t="s">
        <v>46</v>
      </c>
      <c r="G126" t="str">
        <f t="shared" si="2"/>
        <v>32021LEILA</v>
      </c>
      <c r="H126">
        <f>VLOOKUP(G126,[1]Proyeccion_original!$G$2:$H$438,2,FALSE)</f>
        <v>2431</v>
      </c>
      <c r="I126">
        <v>1475</v>
      </c>
      <c r="J126">
        <f t="shared" si="3"/>
        <v>-0.64813559322033898</v>
      </c>
    </row>
    <row r="127" spans="1:10">
      <c r="A127">
        <v>2026</v>
      </c>
      <c r="B127">
        <v>32</v>
      </c>
      <c r="C127" t="s">
        <v>8</v>
      </c>
      <c r="D127" t="s">
        <v>9</v>
      </c>
      <c r="E127" t="s">
        <v>198</v>
      </c>
      <c r="F127" t="s">
        <v>20</v>
      </c>
      <c r="G127" t="str">
        <f t="shared" si="2"/>
        <v>32021SNOW BUBBLES</v>
      </c>
      <c r="H127">
        <f>VLOOKUP(G127,[1]Proyeccion_original!$G$2:$H$438,2,FALSE)</f>
        <v>3175</v>
      </c>
      <c r="I127">
        <v>3520</v>
      </c>
      <c r="J127">
        <f t="shared" si="3"/>
        <v>9.8011363636363633E-2</v>
      </c>
    </row>
    <row r="128" spans="1:10">
      <c r="A128">
        <v>2026</v>
      </c>
      <c r="B128">
        <v>32</v>
      </c>
      <c r="C128" t="s">
        <v>8</v>
      </c>
      <c r="D128" t="s">
        <v>9</v>
      </c>
      <c r="E128" t="s">
        <v>199</v>
      </c>
      <c r="F128" t="s">
        <v>23</v>
      </c>
      <c r="G128" t="str">
        <f t="shared" si="2"/>
        <v>32022FRUITY BUBBLES</v>
      </c>
      <c r="H128">
        <f>VLOOKUP(G128,[1]Proyeccion_original!$G$2:$H$438,2,FALSE)</f>
        <v>6389</v>
      </c>
      <c r="I128">
        <v>4700</v>
      </c>
      <c r="J128">
        <f t="shared" si="3"/>
        <v>-0.35936170212765955</v>
      </c>
    </row>
    <row r="129" spans="1:10">
      <c r="A129">
        <v>2026</v>
      </c>
      <c r="B129">
        <v>32</v>
      </c>
      <c r="C129" t="s">
        <v>8</v>
      </c>
      <c r="D129" t="s">
        <v>9</v>
      </c>
      <c r="E129" t="s">
        <v>199</v>
      </c>
      <c r="F129" t="s">
        <v>27</v>
      </c>
      <c r="G129" t="str">
        <f t="shared" si="2"/>
        <v>32022GOOD PEACH</v>
      </c>
      <c r="H129">
        <f>VLOOKUP(G129,[1]Proyeccion_original!$G$2:$H$438,2,FALSE)</f>
        <v>2066</v>
      </c>
      <c r="I129">
        <v>2790</v>
      </c>
      <c r="J129">
        <f t="shared" si="3"/>
        <v>0.25949820788530464</v>
      </c>
    </row>
    <row r="130" spans="1:10">
      <c r="A130">
        <v>2026</v>
      </c>
      <c r="B130">
        <v>32</v>
      </c>
      <c r="C130" t="s">
        <v>8</v>
      </c>
      <c r="D130" t="s">
        <v>9</v>
      </c>
      <c r="E130" t="s">
        <v>199</v>
      </c>
      <c r="F130" t="s">
        <v>51</v>
      </c>
      <c r="G130" t="str">
        <f t="shared" si="2"/>
        <v>32022MIRABEL</v>
      </c>
      <c r="H130">
        <f>VLOOKUP(G130,[1]Proyeccion_original!$G$2:$H$438,2,FALSE)</f>
        <v>1521</v>
      </c>
      <c r="I130">
        <v>2280</v>
      </c>
      <c r="J130">
        <f t="shared" si="3"/>
        <v>0.33289473684210524</v>
      </c>
    </row>
    <row r="131" spans="1:10">
      <c r="A131">
        <v>2026</v>
      </c>
      <c r="B131">
        <v>32</v>
      </c>
      <c r="C131" t="s">
        <v>8</v>
      </c>
      <c r="D131" t="s">
        <v>9</v>
      </c>
      <c r="E131" t="s">
        <v>200</v>
      </c>
      <c r="F131" t="s">
        <v>51</v>
      </c>
      <c r="G131" t="str">
        <f t="shared" ref="G131:G194" si="4">+B131&amp;E131&amp;F131</f>
        <v>32030MIRABEL</v>
      </c>
      <c r="H131">
        <f>VLOOKUP(G131,[1]Proyeccion_original!$G$2:$H$438,2,FALSE)</f>
        <v>4016</v>
      </c>
      <c r="I131">
        <v>5660</v>
      </c>
      <c r="J131">
        <f t="shared" ref="J131:J194" si="5">+(I131-H131)/I131</f>
        <v>0.29045936395759719</v>
      </c>
    </row>
    <row r="132" spans="1:10">
      <c r="A132">
        <v>2026</v>
      </c>
      <c r="B132">
        <v>32</v>
      </c>
      <c r="C132" t="s">
        <v>8</v>
      </c>
      <c r="D132" t="s">
        <v>9</v>
      </c>
      <c r="E132" t="s">
        <v>200</v>
      </c>
      <c r="F132" t="s">
        <v>10</v>
      </c>
      <c r="G132" t="str">
        <f t="shared" si="4"/>
        <v>32030SOMERSET</v>
      </c>
      <c r="H132">
        <f>VLOOKUP(G132,[1]Proyeccion_original!$G$2:$H$438,2,FALSE)</f>
        <v>2843</v>
      </c>
      <c r="I132">
        <v>3215</v>
      </c>
      <c r="J132">
        <f t="shared" si="5"/>
        <v>0.11570762052877138</v>
      </c>
    </row>
    <row r="133" spans="1:10">
      <c r="A133">
        <v>2026</v>
      </c>
      <c r="B133">
        <v>32</v>
      </c>
      <c r="C133" t="s">
        <v>8</v>
      </c>
      <c r="D133" t="s">
        <v>9</v>
      </c>
      <c r="E133" t="s">
        <v>201</v>
      </c>
      <c r="F133" t="s">
        <v>55</v>
      </c>
      <c r="G133" t="str">
        <f t="shared" si="4"/>
        <v>3203182989</v>
      </c>
      <c r="H133">
        <f>VLOOKUP(G133,[1]Proyeccion_original!$G$2:$H$438,2,FALSE)</f>
        <v>1378</v>
      </c>
      <c r="I133">
        <v>740</v>
      </c>
      <c r="J133">
        <f t="shared" si="5"/>
        <v>-0.86216216216216213</v>
      </c>
    </row>
    <row r="134" spans="1:10">
      <c r="A134">
        <v>2026</v>
      </c>
      <c r="B134">
        <v>32</v>
      </c>
      <c r="C134" t="s">
        <v>8</v>
      </c>
      <c r="D134" t="s">
        <v>9</v>
      </c>
      <c r="E134" t="s">
        <v>201</v>
      </c>
      <c r="F134" t="s">
        <v>35</v>
      </c>
      <c r="G134" t="str">
        <f t="shared" si="4"/>
        <v>32031RUBICON</v>
      </c>
      <c r="H134">
        <f>VLOOKUP(G134,[1]Proyeccion_original!$G$2:$H$438,2,FALSE)</f>
        <v>2129</v>
      </c>
      <c r="I134">
        <v>1800</v>
      </c>
      <c r="J134">
        <f t="shared" si="5"/>
        <v>-0.18277777777777779</v>
      </c>
    </row>
    <row r="135" spans="1:10">
      <c r="A135">
        <v>2026</v>
      </c>
      <c r="B135">
        <v>32</v>
      </c>
      <c r="C135" t="s">
        <v>8</v>
      </c>
      <c r="D135" t="s">
        <v>9</v>
      </c>
      <c r="E135" t="s">
        <v>201</v>
      </c>
      <c r="F135" t="s">
        <v>10</v>
      </c>
      <c r="G135" t="str">
        <f t="shared" si="4"/>
        <v>32031SOMERSET</v>
      </c>
      <c r="H135">
        <f>VLOOKUP(G135,[1]Proyeccion_original!$G$2:$H$438,2,FALSE)</f>
        <v>1809</v>
      </c>
      <c r="I135">
        <v>1520</v>
      </c>
      <c r="J135">
        <f t="shared" si="5"/>
        <v>-0.19013157894736843</v>
      </c>
    </row>
    <row r="136" spans="1:10">
      <c r="A136">
        <v>2026</v>
      </c>
      <c r="B136">
        <v>32</v>
      </c>
      <c r="C136" t="s">
        <v>8</v>
      </c>
      <c r="D136" t="s">
        <v>9</v>
      </c>
      <c r="E136" t="s">
        <v>201</v>
      </c>
      <c r="F136" t="s">
        <v>59</v>
      </c>
      <c r="G136" t="str">
        <f t="shared" si="4"/>
        <v>32031VELVET BLOSSOMS</v>
      </c>
      <c r="H136">
        <f>VLOOKUP(G136,[1]Proyeccion_original!$G$2:$H$438,2,FALSE)</f>
        <v>619</v>
      </c>
      <c r="I136">
        <v>740</v>
      </c>
      <c r="J136">
        <f t="shared" si="5"/>
        <v>0.16351351351351351</v>
      </c>
    </row>
    <row r="137" spans="1:10">
      <c r="A137">
        <v>2026</v>
      </c>
      <c r="B137">
        <v>32</v>
      </c>
      <c r="C137" t="s">
        <v>8</v>
      </c>
      <c r="D137" t="s">
        <v>9</v>
      </c>
      <c r="E137" t="s">
        <v>202</v>
      </c>
      <c r="F137" t="s">
        <v>14</v>
      </c>
      <c r="G137" t="str">
        <f t="shared" si="4"/>
        <v>32032ELBA</v>
      </c>
      <c r="H137">
        <f>VLOOKUP(G137,[1]Proyeccion_original!$G$2:$H$438,2,FALSE)</f>
        <v>2994</v>
      </c>
      <c r="I137">
        <v>2130</v>
      </c>
      <c r="J137">
        <f t="shared" si="5"/>
        <v>-0.40563380281690142</v>
      </c>
    </row>
    <row r="138" spans="1:10">
      <c r="A138">
        <v>2026</v>
      </c>
      <c r="B138">
        <v>32</v>
      </c>
      <c r="C138" t="s">
        <v>8</v>
      </c>
      <c r="D138" t="s">
        <v>9</v>
      </c>
      <c r="E138" t="s">
        <v>202</v>
      </c>
      <c r="F138" t="s">
        <v>51</v>
      </c>
      <c r="G138" t="str">
        <f t="shared" si="4"/>
        <v>32032MIRABEL</v>
      </c>
      <c r="H138">
        <f>VLOOKUP(G138,[1]Proyeccion_original!$G$2:$H$438,2,FALSE)</f>
        <v>1855</v>
      </c>
      <c r="I138">
        <v>2040</v>
      </c>
      <c r="J138">
        <f t="shared" si="5"/>
        <v>9.0686274509803919E-2</v>
      </c>
    </row>
    <row r="139" spans="1:10">
      <c r="A139">
        <v>2026</v>
      </c>
      <c r="B139">
        <v>32</v>
      </c>
      <c r="C139" t="s">
        <v>8</v>
      </c>
      <c r="D139" t="s">
        <v>9</v>
      </c>
      <c r="E139" t="s">
        <v>203</v>
      </c>
      <c r="F139" t="s">
        <v>63</v>
      </c>
      <c r="G139" t="str">
        <f t="shared" si="4"/>
        <v>32033CREAMY FOLIES</v>
      </c>
      <c r="H139">
        <f>VLOOKUP(G139,[1]Proyeccion_original!$G$2:$H$438,2,FALSE)</f>
        <v>1186</v>
      </c>
      <c r="I139">
        <v>1350</v>
      </c>
      <c r="J139">
        <f t="shared" si="5"/>
        <v>0.12148148148148148</v>
      </c>
    </row>
    <row r="140" spans="1:10">
      <c r="A140">
        <v>2026</v>
      </c>
      <c r="B140">
        <v>32</v>
      </c>
      <c r="C140" t="s">
        <v>8</v>
      </c>
      <c r="D140" t="s">
        <v>9</v>
      </c>
      <c r="E140" t="s">
        <v>203</v>
      </c>
      <c r="F140" t="s">
        <v>16</v>
      </c>
      <c r="G140" t="str">
        <f t="shared" si="4"/>
        <v>32033HOT BUBBLES</v>
      </c>
      <c r="H140">
        <f>VLOOKUP(G140,[1]Proyeccion_original!$G$2:$H$438,2,FALSE)</f>
        <v>2847</v>
      </c>
      <c r="I140">
        <v>5860</v>
      </c>
      <c r="J140">
        <f t="shared" si="5"/>
        <v>0.51416382252559722</v>
      </c>
    </row>
    <row r="141" spans="1:10">
      <c r="A141">
        <v>2026</v>
      </c>
      <c r="B141">
        <v>32</v>
      </c>
      <c r="C141" t="s">
        <v>66</v>
      </c>
      <c r="D141" t="s">
        <v>9</v>
      </c>
      <c r="E141" t="s">
        <v>204</v>
      </c>
      <c r="F141" t="s">
        <v>67</v>
      </c>
      <c r="G141" t="str">
        <f t="shared" si="4"/>
        <v>32001BELIEVE IN PINK</v>
      </c>
      <c r="H141">
        <f>VLOOKUP(G141,[1]Proyeccion_original!$G$2:$H$438,2,FALSE)</f>
        <v>1474</v>
      </c>
      <c r="I141">
        <v>1290</v>
      </c>
      <c r="J141">
        <f t="shared" si="5"/>
        <v>-0.14263565891472868</v>
      </c>
    </row>
    <row r="142" spans="1:10">
      <c r="A142">
        <v>2026</v>
      </c>
      <c r="B142">
        <v>32</v>
      </c>
      <c r="C142" t="s">
        <v>66</v>
      </c>
      <c r="D142" t="s">
        <v>9</v>
      </c>
      <c r="E142" t="s">
        <v>204</v>
      </c>
      <c r="F142" t="s">
        <v>69</v>
      </c>
      <c r="G142" t="str">
        <f t="shared" si="4"/>
        <v>32001EXPLORER</v>
      </c>
      <c r="H142">
        <f>VLOOKUP(G142,[1]Proyeccion_original!$G$2:$H$438,2,FALSE)</f>
        <v>3140</v>
      </c>
      <c r="I142">
        <v>6400</v>
      </c>
      <c r="J142">
        <f t="shared" si="5"/>
        <v>0.50937500000000002</v>
      </c>
    </row>
    <row r="143" spans="1:10">
      <c r="A143">
        <v>2026</v>
      </c>
      <c r="B143">
        <v>32</v>
      </c>
      <c r="C143" t="s">
        <v>66</v>
      </c>
      <c r="D143" t="s">
        <v>9</v>
      </c>
      <c r="E143" t="s">
        <v>204</v>
      </c>
      <c r="F143" t="s">
        <v>71</v>
      </c>
      <c r="G143" t="str">
        <f t="shared" si="4"/>
        <v>32001GRACE KELLY</v>
      </c>
      <c r="H143">
        <f>VLOOKUP(G143,[1]Proyeccion_original!$G$2:$H$438,2,FALSE)</f>
        <v>1597</v>
      </c>
      <c r="I143">
        <v>1860</v>
      </c>
      <c r="J143">
        <f t="shared" si="5"/>
        <v>0.14139784946236558</v>
      </c>
    </row>
    <row r="144" spans="1:10">
      <c r="A144">
        <v>2026</v>
      </c>
      <c r="B144">
        <v>32</v>
      </c>
      <c r="C144" t="s">
        <v>66</v>
      </c>
      <c r="D144" t="s">
        <v>9</v>
      </c>
      <c r="E144" t="s">
        <v>204</v>
      </c>
      <c r="F144" t="s">
        <v>73</v>
      </c>
      <c r="G144" t="str">
        <f t="shared" si="4"/>
        <v>32001LIGHT HOUSE</v>
      </c>
      <c r="H144">
        <f>VLOOKUP(G144,[1]Proyeccion_original!$G$2:$H$438,2,FALSE)</f>
        <v>1421</v>
      </c>
      <c r="I144">
        <v>2070</v>
      </c>
      <c r="J144">
        <f t="shared" si="5"/>
        <v>0.31352657004830919</v>
      </c>
    </row>
    <row r="145" spans="1:10">
      <c r="A145">
        <v>2026</v>
      </c>
      <c r="B145">
        <v>32</v>
      </c>
      <c r="C145" t="s">
        <v>66</v>
      </c>
      <c r="D145" t="s">
        <v>9</v>
      </c>
      <c r="E145" t="s">
        <v>204</v>
      </c>
      <c r="F145" t="s">
        <v>75</v>
      </c>
      <c r="G145" t="str">
        <f t="shared" si="4"/>
        <v>32001LUMIA</v>
      </c>
      <c r="H145">
        <f>VLOOKUP(G145,[1]Proyeccion_original!$G$2:$H$438,2,FALSE)</f>
        <v>2458</v>
      </c>
      <c r="I145">
        <v>2160</v>
      </c>
      <c r="J145">
        <f t="shared" si="5"/>
        <v>-0.13796296296296295</v>
      </c>
    </row>
    <row r="146" spans="1:10">
      <c r="A146">
        <v>2026</v>
      </c>
      <c r="B146">
        <v>32</v>
      </c>
      <c r="C146" t="s">
        <v>66</v>
      </c>
      <c r="D146" t="s">
        <v>9</v>
      </c>
      <c r="E146" t="s">
        <v>204</v>
      </c>
      <c r="F146" t="s">
        <v>77</v>
      </c>
      <c r="G146" t="str">
        <f t="shared" si="4"/>
        <v>32001MOMENTUM</v>
      </c>
      <c r="H146">
        <f>VLOOKUP(G146,[1]Proyeccion_original!$G$2:$H$438,2,FALSE)</f>
        <v>3770</v>
      </c>
      <c r="I146">
        <v>4300</v>
      </c>
      <c r="J146">
        <f t="shared" si="5"/>
        <v>0.12325581395348838</v>
      </c>
    </row>
    <row r="147" spans="1:10">
      <c r="A147">
        <v>2026</v>
      </c>
      <c r="B147">
        <v>32</v>
      </c>
      <c r="C147" t="s">
        <v>66</v>
      </c>
      <c r="D147" t="s">
        <v>9</v>
      </c>
      <c r="E147" t="s">
        <v>186</v>
      </c>
      <c r="F147" t="s">
        <v>79</v>
      </c>
      <c r="G147" t="str">
        <f t="shared" si="4"/>
        <v>32002SUMMER ROMANCE</v>
      </c>
      <c r="H147">
        <f>VLOOKUP(G147,[1]Proyeccion_original!$G$2:$H$438,2,FALSE)</f>
        <v>1622</v>
      </c>
      <c r="I147">
        <v>1925</v>
      </c>
      <c r="J147">
        <f t="shared" si="5"/>
        <v>0.15740259740259741</v>
      </c>
    </row>
    <row r="148" spans="1:10">
      <c r="A148">
        <v>2026</v>
      </c>
      <c r="B148">
        <v>32</v>
      </c>
      <c r="C148" t="s">
        <v>66</v>
      </c>
      <c r="D148" t="s">
        <v>9</v>
      </c>
      <c r="E148" t="s">
        <v>186</v>
      </c>
      <c r="F148" t="s">
        <v>81</v>
      </c>
      <c r="G148" t="str">
        <f t="shared" si="4"/>
        <v>32002SWEETNESS</v>
      </c>
      <c r="H148">
        <f>VLOOKUP(G148,[1]Proyeccion_original!$G$2:$H$438,2,FALSE)</f>
        <v>7637</v>
      </c>
      <c r="I148">
        <v>6030</v>
      </c>
      <c r="J148">
        <f t="shared" si="5"/>
        <v>-0.26650082918739637</v>
      </c>
    </row>
    <row r="149" spans="1:10">
      <c r="A149">
        <v>2026</v>
      </c>
      <c r="B149">
        <v>32</v>
      </c>
      <c r="C149" t="s">
        <v>66</v>
      </c>
      <c r="D149" t="s">
        <v>9</v>
      </c>
      <c r="E149" t="s">
        <v>205</v>
      </c>
      <c r="F149" t="s">
        <v>83</v>
      </c>
      <c r="G149" t="str">
        <f t="shared" si="4"/>
        <v>32003CABARET</v>
      </c>
      <c r="H149">
        <f>VLOOKUP(G149,[1]Proyeccion_original!$G$2:$H$438,2,FALSE)</f>
        <v>5262</v>
      </c>
      <c r="I149">
        <v>3660</v>
      </c>
      <c r="J149">
        <f t="shared" si="5"/>
        <v>-0.43770491803278688</v>
      </c>
    </row>
    <row r="150" spans="1:10">
      <c r="A150">
        <v>2026</v>
      </c>
      <c r="B150">
        <v>32</v>
      </c>
      <c r="C150" t="s">
        <v>66</v>
      </c>
      <c r="D150" t="s">
        <v>9</v>
      </c>
      <c r="E150" t="s">
        <v>205</v>
      </c>
      <c r="F150" t="s">
        <v>85</v>
      </c>
      <c r="G150" t="str">
        <f t="shared" si="4"/>
        <v>32003DEEP PURPLE</v>
      </c>
      <c r="H150">
        <f>VLOOKUP(G150,[1]Proyeccion_original!$G$2:$H$438,2,FALSE)</f>
        <v>8286</v>
      </c>
      <c r="I150">
        <v>8340</v>
      </c>
      <c r="J150">
        <f t="shared" si="5"/>
        <v>6.4748201438848919E-3</v>
      </c>
    </row>
    <row r="151" spans="1:10">
      <c r="A151">
        <v>2026</v>
      </c>
      <c r="B151">
        <v>32</v>
      </c>
      <c r="C151" t="s">
        <v>66</v>
      </c>
      <c r="D151" t="s">
        <v>9</v>
      </c>
      <c r="E151" t="s">
        <v>205</v>
      </c>
      <c r="F151" t="s">
        <v>69</v>
      </c>
      <c r="G151" t="str">
        <f t="shared" si="4"/>
        <v>32003EXPLORER</v>
      </c>
      <c r="H151">
        <f>VLOOKUP(G151,[1]Proyeccion_original!$G$2:$H$438,2,FALSE)</f>
        <v>1834</v>
      </c>
      <c r="I151">
        <v>2025</v>
      </c>
      <c r="J151">
        <f t="shared" si="5"/>
        <v>9.4320987654320981E-2</v>
      </c>
    </row>
    <row r="152" spans="1:10">
      <c r="A152">
        <v>2026</v>
      </c>
      <c r="B152">
        <v>32</v>
      </c>
      <c r="C152" t="s">
        <v>66</v>
      </c>
      <c r="D152" t="s">
        <v>9</v>
      </c>
      <c r="E152" t="s">
        <v>205</v>
      </c>
      <c r="F152" t="s">
        <v>88</v>
      </c>
      <c r="G152" t="str">
        <f t="shared" si="4"/>
        <v>32003JOCKER</v>
      </c>
      <c r="H152">
        <f>VLOOKUP(G152,[1]Proyeccion_original!$G$2:$H$438,2,FALSE)</f>
        <v>812</v>
      </c>
      <c r="I152">
        <v>850</v>
      </c>
      <c r="J152">
        <f t="shared" si="5"/>
        <v>4.4705882352941179E-2</v>
      </c>
    </row>
    <row r="153" spans="1:10">
      <c r="A153">
        <v>2026</v>
      </c>
      <c r="B153">
        <v>32</v>
      </c>
      <c r="C153" t="s">
        <v>66</v>
      </c>
      <c r="D153" t="s">
        <v>9</v>
      </c>
      <c r="E153" t="s">
        <v>205</v>
      </c>
      <c r="F153" t="s">
        <v>90</v>
      </c>
      <c r="G153" t="str">
        <f t="shared" si="4"/>
        <v>32003QUICKSAND</v>
      </c>
      <c r="H153">
        <f>VLOOKUP(G153,[1]Proyeccion_original!$G$2:$H$438,2,FALSE)</f>
        <v>1585</v>
      </c>
      <c r="I153">
        <v>1950</v>
      </c>
      <c r="J153">
        <f t="shared" si="5"/>
        <v>0.18717948717948718</v>
      </c>
    </row>
    <row r="154" spans="1:10">
      <c r="A154">
        <v>2026</v>
      </c>
      <c r="B154">
        <v>32</v>
      </c>
      <c r="C154" t="s">
        <v>66</v>
      </c>
      <c r="D154" t="s">
        <v>9</v>
      </c>
      <c r="E154" t="s">
        <v>187</v>
      </c>
      <c r="F154" t="s">
        <v>92</v>
      </c>
      <c r="G154" t="str">
        <f t="shared" si="4"/>
        <v>32004COTOPAXI</v>
      </c>
      <c r="H154">
        <f>VLOOKUP(G154,[1]Proyeccion_original!$G$2:$H$438,2,FALSE)</f>
        <v>1078</v>
      </c>
      <c r="I154">
        <v>1260</v>
      </c>
      <c r="J154">
        <f t="shared" si="5"/>
        <v>0.14444444444444443</v>
      </c>
    </row>
    <row r="155" spans="1:10">
      <c r="A155">
        <v>2026</v>
      </c>
      <c r="B155">
        <v>32</v>
      </c>
      <c r="C155" t="s">
        <v>66</v>
      </c>
      <c r="D155" t="s">
        <v>9</v>
      </c>
      <c r="E155" t="s">
        <v>187</v>
      </c>
      <c r="F155" t="s">
        <v>85</v>
      </c>
      <c r="G155" t="str">
        <f t="shared" si="4"/>
        <v>32004DEEP PURPLE</v>
      </c>
      <c r="H155">
        <f>VLOOKUP(G155,[1]Proyeccion_original!$G$2:$H$438,2,FALSE)</f>
        <v>9923</v>
      </c>
      <c r="I155">
        <v>6930</v>
      </c>
      <c r="J155">
        <f t="shared" si="5"/>
        <v>-0.43189033189033188</v>
      </c>
    </row>
    <row r="156" spans="1:10">
      <c r="A156">
        <v>2026</v>
      </c>
      <c r="B156">
        <v>32</v>
      </c>
      <c r="C156" t="s">
        <v>66</v>
      </c>
      <c r="D156" t="s">
        <v>9</v>
      </c>
      <c r="E156" t="s">
        <v>187</v>
      </c>
      <c r="F156" t="s">
        <v>95</v>
      </c>
      <c r="G156" t="str">
        <f t="shared" si="4"/>
        <v>32004HOT EXPLORER</v>
      </c>
      <c r="H156">
        <f>VLOOKUP(G156,[1]Proyeccion_original!$G$2:$H$438,2,FALSE)</f>
        <v>2113</v>
      </c>
      <c r="I156">
        <v>2300</v>
      </c>
      <c r="J156">
        <f t="shared" si="5"/>
        <v>8.1304347826086962E-2</v>
      </c>
    </row>
    <row r="157" spans="1:10">
      <c r="A157">
        <v>2026</v>
      </c>
      <c r="B157">
        <v>32</v>
      </c>
      <c r="C157" t="s">
        <v>66</v>
      </c>
      <c r="D157" t="s">
        <v>9</v>
      </c>
      <c r="E157" t="s">
        <v>187</v>
      </c>
      <c r="F157" t="s">
        <v>97</v>
      </c>
      <c r="G157" t="str">
        <f t="shared" si="4"/>
        <v>32004HOT MERENGUE</v>
      </c>
      <c r="H157">
        <f>VLOOKUP(G157,[1]Proyeccion_original!$G$2:$H$438,2,FALSE)</f>
        <v>2112</v>
      </c>
      <c r="I157">
        <v>3120</v>
      </c>
      <c r="J157">
        <f t="shared" si="5"/>
        <v>0.32307692307692309</v>
      </c>
    </row>
    <row r="158" spans="1:10">
      <c r="A158">
        <v>2026</v>
      </c>
      <c r="B158">
        <v>32</v>
      </c>
      <c r="C158" t="s">
        <v>66</v>
      </c>
      <c r="D158" t="s">
        <v>9</v>
      </c>
      <c r="E158" t="s">
        <v>187</v>
      </c>
      <c r="F158" t="s">
        <v>81</v>
      </c>
      <c r="G158" t="str">
        <f t="shared" si="4"/>
        <v>32004SWEETNESS</v>
      </c>
      <c r="H158">
        <f>VLOOKUP(G158,[1]Proyeccion_original!$G$2:$H$438,2,FALSE)</f>
        <v>733</v>
      </c>
      <c r="I158">
        <v>360</v>
      </c>
      <c r="J158">
        <f t="shared" si="5"/>
        <v>-1.0361111111111112</v>
      </c>
    </row>
    <row r="159" spans="1:10">
      <c r="A159">
        <v>2026</v>
      </c>
      <c r="B159">
        <v>32</v>
      </c>
      <c r="C159" t="s">
        <v>66</v>
      </c>
      <c r="D159" t="s">
        <v>9</v>
      </c>
      <c r="E159" t="s">
        <v>188</v>
      </c>
      <c r="F159" t="s">
        <v>69</v>
      </c>
      <c r="G159" t="str">
        <f t="shared" si="4"/>
        <v>32005EXPLORER</v>
      </c>
      <c r="H159">
        <f>VLOOKUP(G159,[1]Proyeccion_original!$G$2:$H$438,2,FALSE)</f>
        <v>904</v>
      </c>
      <c r="I159">
        <v>2200</v>
      </c>
      <c r="J159">
        <f t="shared" si="5"/>
        <v>0.58909090909090911</v>
      </c>
    </row>
    <row r="160" spans="1:10">
      <c r="A160">
        <v>2026</v>
      </c>
      <c r="B160">
        <v>32</v>
      </c>
      <c r="C160" t="s">
        <v>66</v>
      </c>
      <c r="D160" t="s">
        <v>9</v>
      </c>
      <c r="E160" t="s">
        <v>188</v>
      </c>
      <c r="F160" t="s">
        <v>101</v>
      </c>
      <c r="G160" t="str">
        <f t="shared" si="4"/>
        <v>32005GOLDFINCH</v>
      </c>
      <c r="H160">
        <f>VLOOKUP(G160,[1]Proyeccion_original!$G$2:$H$438,2,FALSE)</f>
        <v>921</v>
      </c>
      <c r="I160">
        <v>600</v>
      </c>
      <c r="J160">
        <f t="shared" si="5"/>
        <v>-0.53500000000000003</v>
      </c>
    </row>
    <row r="161" spans="1:10">
      <c r="A161">
        <v>2026</v>
      </c>
      <c r="B161">
        <v>32</v>
      </c>
      <c r="C161" t="s">
        <v>66</v>
      </c>
      <c r="D161" t="s">
        <v>9</v>
      </c>
      <c r="E161" t="s">
        <v>188</v>
      </c>
      <c r="F161" t="s">
        <v>88</v>
      </c>
      <c r="G161" t="str">
        <f t="shared" si="4"/>
        <v>32005JOCKER</v>
      </c>
      <c r="H161">
        <f>VLOOKUP(G161,[1]Proyeccion_original!$G$2:$H$438,2,FALSE)</f>
        <v>1919</v>
      </c>
      <c r="I161">
        <v>1975</v>
      </c>
      <c r="J161">
        <f t="shared" si="5"/>
        <v>2.8354430379746835E-2</v>
      </c>
    </row>
    <row r="162" spans="1:10">
      <c r="A162">
        <v>2026</v>
      </c>
      <c r="B162">
        <v>32</v>
      </c>
      <c r="C162" t="s">
        <v>66</v>
      </c>
      <c r="D162" t="s">
        <v>9</v>
      </c>
      <c r="E162" t="s">
        <v>188</v>
      </c>
      <c r="F162" t="s">
        <v>104</v>
      </c>
      <c r="G162" t="str">
        <f t="shared" si="4"/>
        <v>32005VENDELA</v>
      </c>
      <c r="H162">
        <f>VLOOKUP(G162,[1]Proyeccion_original!$G$2:$H$438,2,FALSE)</f>
        <v>2227</v>
      </c>
      <c r="I162">
        <v>1890</v>
      </c>
      <c r="J162">
        <f t="shared" si="5"/>
        <v>-0.1783068783068783</v>
      </c>
    </row>
    <row r="163" spans="1:10">
      <c r="A163">
        <v>2026</v>
      </c>
      <c r="B163">
        <v>32</v>
      </c>
      <c r="C163" t="s">
        <v>66</v>
      </c>
      <c r="D163" t="s">
        <v>9</v>
      </c>
      <c r="E163" t="s">
        <v>206</v>
      </c>
      <c r="F163" t="s">
        <v>106</v>
      </c>
      <c r="G163" t="str">
        <f t="shared" si="4"/>
        <v>32006ATOMIC</v>
      </c>
      <c r="H163">
        <f>VLOOKUP(G163,[1]Proyeccion_original!$G$2:$H$438,2,FALSE)</f>
        <v>931</v>
      </c>
      <c r="I163">
        <v>1225</v>
      </c>
      <c r="J163">
        <f t="shared" si="5"/>
        <v>0.24</v>
      </c>
    </row>
    <row r="164" spans="1:10">
      <c r="A164">
        <v>2026</v>
      </c>
      <c r="B164">
        <v>32</v>
      </c>
      <c r="C164" t="s">
        <v>66</v>
      </c>
      <c r="D164" t="s">
        <v>9</v>
      </c>
      <c r="E164" t="s">
        <v>206</v>
      </c>
      <c r="F164" t="s">
        <v>69</v>
      </c>
      <c r="G164" t="str">
        <f t="shared" si="4"/>
        <v>32006EXPLORER</v>
      </c>
      <c r="H164">
        <f>VLOOKUP(G164,[1]Proyeccion_original!$G$2:$H$438,2,FALSE)</f>
        <v>4723</v>
      </c>
      <c r="I164">
        <v>9350</v>
      </c>
      <c r="J164">
        <f t="shared" si="5"/>
        <v>0.49486631016042781</v>
      </c>
    </row>
    <row r="165" spans="1:10">
      <c r="A165">
        <v>2026</v>
      </c>
      <c r="B165">
        <v>32</v>
      </c>
      <c r="C165" t="s">
        <v>66</v>
      </c>
      <c r="D165" t="s">
        <v>9</v>
      </c>
      <c r="E165" t="s">
        <v>206</v>
      </c>
      <c r="F165" t="s">
        <v>109</v>
      </c>
      <c r="G165" t="str">
        <f t="shared" si="4"/>
        <v>32006MONDIAL</v>
      </c>
      <c r="H165">
        <f>VLOOKUP(G165,[1]Proyeccion_original!$G$2:$H$438,2,FALSE)</f>
        <v>5626</v>
      </c>
      <c r="I165">
        <v>6500</v>
      </c>
      <c r="J165">
        <f t="shared" si="5"/>
        <v>0.13446153846153847</v>
      </c>
    </row>
    <row r="166" spans="1:10">
      <c r="A166">
        <v>2026</v>
      </c>
      <c r="B166">
        <v>32</v>
      </c>
      <c r="C166" t="s">
        <v>66</v>
      </c>
      <c r="D166" t="s">
        <v>9</v>
      </c>
      <c r="E166" t="s">
        <v>189</v>
      </c>
      <c r="F166" t="s">
        <v>92</v>
      </c>
      <c r="G166" t="str">
        <f t="shared" si="4"/>
        <v>32007COTOPAXI</v>
      </c>
      <c r="H166">
        <f>VLOOKUP(G166,[1]Proyeccion_original!$G$2:$H$438,2,FALSE)</f>
        <v>6119</v>
      </c>
      <c r="I166">
        <v>7890</v>
      </c>
      <c r="J166">
        <f t="shared" si="5"/>
        <v>0.22446134347275032</v>
      </c>
    </row>
    <row r="167" spans="1:10">
      <c r="A167">
        <v>2026</v>
      </c>
      <c r="B167">
        <v>32</v>
      </c>
      <c r="C167" t="s">
        <v>66</v>
      </c>
      <c r="D167" t="s">
        <v>9</v>
      </c>
      <c r="E167" t="s">
        <v>189</v>
      </c>
      <c r="F167" t="s">
        <v>112</v>
      </c>
      <c r="G167" t="str">
        <f t="shared" si="4"/>
        <v>32007REDIANT</v>
      </c>
      <c r="H167">
        <f>VLOOKUP(G167,[1]Proyeccion_original!$G$2:$H$438,2,FALSE)</f>
        <v>1273</v>
      </c>
      <c r="I167">
        <v>2100</v>
      </c>
      <c r="J167">
        <f t="shared" si="5"/>
        <v>0.39380952380952383</v>
      </c>
    </row>
    <row r="168" spans="1:10">
      <c r="A168">
        <v>2026</v>
      </c>
      <c r="B168">
        <v>32</v>
      </c>
      <c r="C168" t="s">
        <v>66</v>
      </c>
      <c r="D168" t="s">
        <v>9</v>
      </c>
      <c r="E168" t="s">
        <v>189</v>
      </c>
      <c r="F168" t="s">
        <v>104</v>
      </c>
      <c r="G168" t="str">
        <f t="shared" si="4"/>
        <v>32007VENDELA</v>
      </c>
      <c r="H168">
        <f>VLOOKUP(G168,[1]Proyeccion_original!$G$2:$H$438,2,FALSE)</f>
        <v>16020</v>
      </c>
      <c r="I168">
        <v>10110</v>
      </c>
      <c r="J168">
        <f t="shared" si="5"/>
        <v>-0.58456973293768544</v>
      </c>
    </row>
    <row r="169" spans="1:10">
      <c r="A169">
        <v>2026</v>
      </c>
      <c r="B169">
        <v>32</v>
      </c>
      <c r="C169" t="s">
        <v>66</v>
      </c>
      <c r="D169" t="s">
        <v>9</v>
      </c>
      <c r="E169" t="s">
        <v>207</v>
      </c>
      <c r="F169" t="s">
        <v>85</v>
      </c>
      <c r="G169" t="str">
        <f t="shared" si="4"/>
        <v>32008DEEP PURPLE</v>
      </c>
      <c r="H169">
        <f>VLOOKUP(G169,[1]Proyeccion_original!$G$2:$H$438,2,FALSE)</f>
        <v>3385</v>
      </c>
      <c r="I169">
        <v>3450</v>
      </c>
      <c r="J169">
        <f t="shared" si="5"/>
        <v>1.8840579710144929E-2</v>
      </c>
    </row>
    <row r="170" spans="1:10">
      <c r="A170">
        <v>2026</v>
      </c>
      <c r="B170">
        <v>32</v>
      </c>
      <c r="C170" t="s">
        <v>66</v>
      </c>
      <c r="D170" t="s">
        <v>9</v>
      </c>
      <c r="E170" t="s">
        <v>207</v>
      </c>
      <c r="F170" t="s">
        <v>116</v>
      </c>
      <c r="G170" t="str">
        <f t="shared" si="4"/>
        <v>32008FREEDOM</v>
      </c>
      <c r="H170">
        <f>VLOOKUP(G170,[1]Proyeccion_original!$G$2:$H$438,2,FALSE)</f>
        <v>3481</v>
      </c>
      <c r="I170">
        <v>3390</v>
      </c>
      <c r="J170">
        <f t="shared" si="5"/>
        <v>-2.6843657817109144E-2</v>
      </c>
    </row>
    <row r="171" spans="1:10">
      <c r="A171">
        <v>2026</v>
      </c>
      <c r="B171">
        <v>32</v>
      </c>
      <c r="C171" t="s">
        <v>66</v>
      </c>
      <c r="D171" t="s">
        <v>9</v>
      </c>
      <c r="E171" t="s">
        <v>207</v>
      </c>
      <c r="F171" t="s">
        <v>88</v>
      </c>
      <c r="G171" t="str">
        <f t="shared" si="4"/>
        <v>32008JOCKER</v>
      </c>
      <c r="H171">
        <f>VLOOKUP(G171,[1]Proyeccion_original!$G$2:$H$438,2,FALSE)</f>
        <v>4358</v>
      </c>
      <c r="I171">
        <v>4425</v>
      </c>
      <c r="J171">
        <f t="shared" si="5"/>
        <v>1.5141242937853107E-2</v>
      </c>
    </row>
    <row r="172" spans="1:10">
      <c r="A172">
        <v>2026</v>
      </c>
      <c r="B172">
        <v>32</v>
      </c>
      <c r="C172" t="s">
        <v>66</v>
      </c>
      <c r="D172" t="s">
        <v>9</v>
      </c>
      <c r="E172" t="s">
        <v>208</v>
      </c>
      <c r="F172" t="s">
        <v>119</v>
      </c>
      <c r="G172" t="str">
        <f t="shared" si="4"/>
        <v>32010COOLDOWN</v>
      </c>
      <c r="H172">
        <f>VLOOKUP(G172,[1]Proyeccion_original!$G$2:$H$438,2,FALSE)</f>
        <v>2651</v>
      </c>
      <c r="I172">
        <v>3575</v>
      </c>
      <c r="J172">
        <f t="shared" si="5"/>
        <v>0.25846153846153846</v>
      </c>
    </row>
    <row r="173" spans="1:10">
      <c r="A173">
        <v>2026</v>
      </c>
      <c r="B173">
        <v>32</v>
      </c>
      <c r="C173" t="s">
        <v>66</v>
      </c>
      <c r="D173" t="s">
        <v>9</v>
      </c>
      <c r="E173" t="s">
        <v>208</v>
      </c>
      <c r="F173" t="s">
        <v>121</v>
      </c>
      <c r="G173" t="str">
        <f t="shared" si="4"/>
        <v>32010VIOLET HILL</v>
      </c>
      <c r="H173">
        <f>VLOOKUP(G173,[1]Proyeccion_original!$G$2:$H$438,2,FALSE)</f>
        <v>2760</v>
      </c>
      <c r="I173">
        <v>6390</v>
      </c>
      <c r="J173">
        <f t="shared" si="5"/>
        <v>0.568075117370892</v>
      </c>
    </row>
    <row r="174" spans="1:10">
      <c r="A174">
        <v>2026</v>
      </c>
      <c r="B174">
        <v>32</v>
      </c>
      <c r="C174" t="s">
        <v>66</v>
      </c>
      <c r="D174" t="s">
        <v>9</v>
      </c>
      <c r="E174" t="s">
        <v>209</v>
      </c>
      <c r="F174" t="s">
        <v>123</v>
      </c>
      <c r="G174" t="str">
        <f t="shared" si="4"/>
        <v>32011BRIGHTON</v>
      </c>
      <c r="H174">
        <f>VLOOKUP(G174,[1]Proyeccion_original!$G$2:$H$438,2,FALSE)</f>
        <v>4206</v>
      </c>
      <c r="I174">
        <v>3550</v>
      </c>
      <c r="J174">
        <f t="shared" si="5"/>
        <v>-0.18478873239436619</v>
      </c>
    </row>
    <row r="175" spans="1:10">
      <c r="A175">
        <v>2026</v>
      </c>
      <c r="B175">
        <v>32</v>
      </c>
      <c r="C175" t="s">
        <v>66</v>
      </c>
      <c r="D175" t="s">
        <v>9</v>
      </c>
      <c r="E175" t="s">
        <v>209</v>
      </c>
      <c r="F175" t="s">
        <v>125</v>
      </c>
      <c r="G175" t="str">
        <f t="shared" si="4"/>
        <v>32011CANDLELIGHT</v>
      </c>
      <c r="H175">
        <f>VLOOKUP(G175,[1]Proyeccion_original!$G$2:$H$438,2,FALSE)</f>
        <v>3833</v>
      </c>
      <c r="I175">
        <v>4060</v>
      </c>
      <c r="J175">
        <f t="shared" si="5"/>
        <v>5.5911330049261083E-2</v>
      </c>
    </row>
    <row r="176" spans="1:10">
      <c r="A176">
        <v>2026</v>
      </c>
      <c r="B176">
        <v>32</v>
      </c>
      <c r="C176" t="s">
        <v>66</v>
      </c>
      <c r="D176" t="s">
        <v>9</v>
      </c>
      <c r="E176" t="s">
        <v>209</v>
      </c>
      <c r="F176" t="s">
        <v>127</v>
      </c>
      <c r="G176" t="str">
        <f t="shared" si="4"/>
        <v>32011CAYENNE</v>
      </c>
      <c r="H176">
        <f>VLOOKUP(G176,[1]Proyeccion_original!$G$2:$H$438,2,FALSE)</f>
        <v>1244</v>
      </c>
      <c r="I176">
        <v>1350</v>
      </c>
      <c r="J176">
        <f t="shared" si="5"/>
        <v>7.8518518518518515E-2</v>
      </c>
    </row>
    <row r="177" spans="1:10">
      <c r="A177">
        <v>2026</v>
      </c>
      <c r="B177">
        <v>32</v>
      </c>
      <c r="C177" t="s">
        <v>66</v>
      </c>
      <c r="D177" t="s">
        <v>9</v>
      </c>
      <c r="E177" t="s">
        <v>209</v>
      </c>
      <c r="F177" t="s">
        <v>75</v>
      </c>
      <c r="G177" t="str">
        <f t="shared" si="4"/>
        <v>32011LUMIA</v>
      </c>
      <c r="H177">
        <f>VLOOKUP(G177,[1]Proyeccion_original!$G$2:$H$438,2,FALSE)</f>
        <v>2385</v>
      </c>
      <c r="I177">
        <v>1680</v>
      </c>
      <c r="J177">
        <f t="shared" si="5"/>
        <v>-0.41964285714285715</v>
      </c>
    </row>
    <row r="178" spans="1:10">
      <c r="A178">
        <v>2026</v>
      </c>
      <c r="B178">
        <v>32</v>
      </c>
      <c r="C178" t="s">
        <v>66</v>
      </c>
      <c r="D178" t="s">
        <v>9</v>
      </c>
      <c r="E178" t="s">
        <v>209</v>
      </c>
      <c r="F178" t="s">
        <v>130</v>
      </c>
      <c r="G178" t="str">
        <f t="shared" si="4"/>
        <v>32011STARDUST</v>
      </c>
      <c r="H178">
        <f>VLOOKUP(G178,[1]Proyeccion_original!$G$2:$H$438,2,FALSE)</f>
        <v>2513</v>
      </c>
      <c r="I178">
        <v>2450</v>
      </c>
      <c r="J178">
        <f t="shared" si="5"/>
        <v>-2.5714285714285714E-2</v>
      </c>
    </row>
    <row r="179" spans="1:10">
      <c r="A179">
        <v>2026</v>
      </c>
      <c r="B179">
        <v>32</v>
      </c>
      <c r="C179" t="s">
        <v>66</v>
      </c>
      <c r="D179" t="s">
        <v>9</v>
      </c>
      <c r="E179" t="s">
        <v>210</v>
      </c>
      <c r="F179" t="s">
        <v>85</v>
      </c>
      <c r="G179" t="str">
        <f t="shared" si="4"/>
        <v>32012DEEP PURPLE</v>
      </c>
      <c r="H179">
        <f>VLOOKUP(G179,[1]Proyeccion_original!$G$2:$H$438,2,FALSE)</f>
        <v>13718</v>
      </c>
      <c r="I179">
        <v>14070</v>
      </c>
      <c r="J179">
        <f t="shared" si="5"/>
        <v>2.5017768301350392E-2</v>
      </c>
    </row>
    <row r="180" spans="1:10">
      <c r="A180">
        <v>2026</v>
      </c>
      <c r="B180">
        <v>32</v>
      </c>
      <c r="C180" t="s">
        <v>66</v>
      </c>
      <c r="D180" t="s">
        <v>9</v>
      </c>
      <c r="E180" t="s">
        <v>210</v>
      </c>
      <c r="F180" t="s">
        <v>73</v>
      </c>
      <c r="G180" t="str">
        <f t="shared" si="4"/>
        <v>32012LIGHT HOUSE</v>
      </c>
      <c r="H180">
        <f>VLOOKUP(G180,[1]Proyeccion_original!$G$2:$H$438,2,FALSE)</f>
        <v>1193</v>
      </c>
      <c r="I180">
        <v>870</v>
      </c>
      <c r="J180">
        <f t="shared" si="5"/>
        <v>-0.37126436781609196</v>
      </c>
    </row>
    <row r="181" spans="1:10">
      <c r="A181">
        <v>2026</v>
      </c>
      <c r="B181">
        <v>32</v>
      </c>
      <c r="C181" t="s">
        <v>66</v>
      </c>
      <c r="D181" t="s">
        <v>9</v>
      </c>
      <c r="E181" t="s">
        <v>211</v>
      </c>
      <c r="F181" t="s">
        <v>134</v>
      </c>
      <c r="G181" t="str">
        <f t="shared" si="4"/>
        <v>32013COUNTRY BLUES</v>
      </c>
      <c r="H181">
        <f>VLOOKUP(G181,[1]Proyeccion_original!$G$2:$H$438,2,FALSE)</f>
        <v>1475</v>
      </c>
      <c r="I181">
        <v>940</v>
      </c>
      <c r="J181">
        <f t="shared" si="5"/>
        <v>-0.56914893617021278</v>
      </c>
    </row>
    <row r="182" spans="1:10">
      <c r="A182">
        <v>2026</v>
      </c>
      <c r="B182">
        <v>32</v>
      </c>
      <c r="C182" t="s">
        <v>66</v>
      </c>
      <c r="D182" t="s">
        <v>9</v>
      </c>
      <c r="E182" t="s">
        <v>211</v>
      </c>
      <c r="F182" t="s">
        <v>136</v>
      </c>
      <c r="G182" t="str">
        <f t="shared" si="4"/>
        <v>32013LORRAINE</v>
      </c>
      <c r="H182">
        <f>VLOOKUP(G182,[1]Proyeccion_original!$G$2:$H$438,2,FALSE)</f>
        <v>3899</v>
      </c>
      <c r="I182">
        <v>3900</v>
      </c>
      <c r="J182">
        <f t="shared" si="5"/>
        <v>2.5641025641025641E-4</v>
      </c>
    </row>
    <row r="183" spans="1:10">
      <c r="A183">
        <v>2026</v>
      </c>
      <c r="B183">
        <v>32</v>
      </c>
      <c r="C183" t="s">
        <v>66</v>
      </c>
      <c r="D183" t="s">
        <v>9</v>
      </c>
      <c r="E183" t="s">
        <v>211</v>
      </c>
      <c r="F183" t="s">
        <v>75</v>
      </c>
      <c r="G183" t="str">
        <f t="shared" si="4"/>
        <v>32013LUMIA</v>
      </c>
      <c r="H183">
        <f>VLOOKUP(G183,[1]Proyeccion_original!$G$2:$H$438,2,FALSE)</f>
        <v>420</v>
      </c>
      <c r="I183">
        <v>660</v>
      </c>
      <c r="J183">
        <f t="shared" si="5"/>
        <v>0.36363636363636365</v>
      </c>
    </row>
    <row r="184" spans="1:10">
      <c r="A184">
        <v>2026</v>
      </c>
      <c r="B184">
        <v>32</v>
      </c>
      <c r="C184" t="s">
        <v>66</v>
      </c>
      <c r="D184" t="s">
        <v>9</v>
      </c>
      <c r="E184" t="s">
        <v>211</v>
      </c>
      <c r="F184" t="s">
        <v>104</v>
      </c>
      <c r="G184" t="str">
        <f t="shared" si="4"/>
        <v>32013VENDELA</v>
      </c>
      <c r="H184">
        <f>VLOOKUP(G184,[1]Proyeccion_original!$G$2:$H$438,2,FALSE)</f>
        <v>11493</v>
      </c>
      <c r="I184">
        <v>8880</v>
      </c>
      <c r="J184">
        <f t="shared" si="5"/>
        <v>-0.29425675675675678</v>
      </c>
    </row>
    <row r="185" spans="1:10">
      <c r="A185">
        <v>2026</v>
      </c>
      <c r="B185">
        <v>32</v>
      </c>
      <c r="C185" t="s">
        <v>66</v>
      </c>
      <c r="D185" t="s">
        <v>9</v>
      </c>
      <c r="E185" t="s">
        <v>191</v>
      </c>
      <c r="F185" t="s">
        <v>130</v>
      </c>
      <c r="G185" t="str">
        <f t="shared" si="4"/>
        <v>32014STARDUST</v>
      </c>
      <c r="H185">
        <f>VLOOKUP(G185,[1]Proyeccion_original!$G$2:$H$438,2,FALSE)</f>
        <v>5165</v>
      </c>
      <c r="I185">
        <v>4150</v>
      </c>
      <c r="J185">
        <f t="shared" si="5"/>
        <v>-0.24457831325301205</v>
      </c>
    </row>
    <row r="186" spans="1:10">
      <c r="A186">
        <v>2026</v>
      </c>
      <c r="B186">
        <v>32</v>
      </c>
      <c r="C186" t="s">
        <v>66</v>
      </c>
      <c r="D186" t="s">
        <v>9</v>
      </c>
      <c r="E186" t="s">
        <v>192</v>
      </c>
      <c r="F186" t="s">
        <v>88</v>
      </c>
      <c r="G186" t="str">
        <f t="shared" si="4"/>
        <v>32015JOCKER</v>
      </c>
      <c r="H186">
        <f>VLOOKUP(G186,[1]Proyeccion_original!$G$2:$H$438,2,FALSE)</f>
        <v>4537</v>
      </c>
      <c r="I186">
        <v>3250</v>
      </c>
      <c r="J186">
        <f t="shared" si="5"/>
        <v>-0.39600000000000002</v>
      </c>
    </row>
    <row r="187" spans="1:10">
      <c r="A187">
        <v>2026</v>
      </c>
      <c r="B187">
        <v>32</v>
      </c>
      <c r="C187" t="s">
        <v>66</v>
      </c>
      <c r="D187" t="s">
        <v>9</v>
      </c>
      <c r="E187" t="s">
        <v>193</v>
      </c>
      <c r="F187" t="s">
        <v>142</v>
      </c>
      <c r="G187" t="str">
        <f t="shared" si="4"/>
        <v>32016DREAM IN PEACH</v>
      </c>
      <c r="H187">
        <f>VLOOKUP(G187,[1]Proyeccion_original!$G$2:$H$438,2,FALSE)</f>
        <v>1004</v>
      </c>
      <c r="I187">
        <v>1830</v>
      </c>
      <c r="J187">
        <f t="shared" si="5"/>
        <v>0.45136612021857925</v>
      </c>
    </row>
    <row r="188" spans="1:10">
      <c r="A188">
        <v>2026</v>
      </c>
      <c r="B188">
        <v>32</v>
      </c>
      <c r="C188" t="s">
        <v>66</v>
      </c>
      <c r="D188" t="s">
        <v>9</v>
      </c>
      <c r="E188" t="s">
        <v>193</v>
      </c>
      <c r="F188" t="s">
        <v>144</v>
      </c>
      <c r="G188" t="str">
        <f t="shared" si="4"/>
        <v>32016NINA</v>
      </c>
      <c r="H188">
        <f>VLOOKUP(G188,[1]Proyeccion_original!$G$2:$H$438,2,FALSE)</f>
        <v>2897</v>
      </c>
      <c r="I188">
        <v>2125</v>
      </c>
      <c r="J188">
        <f t="shared" si="5"/>
        <v>-0.36329411764705882</v>
      </c>
    </row>
    <row r="189" spans="1:10">
      <c r="A189">
        <v>2026</v>
      </c>
      <c r="B189">
        <v>32</v>
      </c>
      <c r="C189" t="s">
        <v>66</v>
      </c>
      <c r="D189" t="s">
        <v>9</v>
      </c>
      <c r="E189" t="s">
        <v>194</v>
      </c>
      <c r="F189" t="s">
        <v>116</v>
      </c>
      <c r="G189" t="str">
        <f t="shared" si="4"/>
        <v>32017FREEDOM</v>
      </c>
      <c r="H189">
        <f>VLOOKUP(G189,[1]Proyeccion_original!$G$2:$H$438,2,FALSE)</f>
        <v>3911</v>
      </c>
      <c r="I189">
        <v>5400</v>
      </c>
      <c r="J189">
        <f t="shared" si="5"/>
        <v>0.27574074074074073</v>
      </c>
    </row>
    <row r="190" spans="1:10">
      <c r="A190">
        <v>2026</v>
      </c>
      <c r="B190">
        <v>32</v>
      </c>
      <c r="C190" t="s">
        <v>66</v>
      </c>
      <c r="D190" t="s">
        <v>9</v>
      </c>
      <c r="E190" t="s">
        <v>194</v>
      </c>
      <c r="F190" t="s">
        <v>101</v>
      </c>
      <c r="G190" t="str">
        <f t="shared" si="4"/>
        <v>32017GOLDFINCH</v>
      </c>
      <c r="H190">
        <f>VLOOKUP(G190,[1]Proyeccion_original!$G$2:$H$438,2,FALSE)</f>
        <v>2119</v>
      </c>
      <c r="I190">
        <v>2400</v>
      </c>
      <c r="J190">
        <f t="shared" si="5"/>
        <v>0.11708333333333333</v>
      </c>
    </row>
    <row r="191" spans="1:10">
      <c r="A191">
        <v>2026</v>
      </c>
      <c r="B191">
        <v>32</v>
      </c>
      <c r="C191" t="s">
        <v>66</v>
      </c>
      <c r="D191" t="s">
        <v>9</v>
      </c>
      <c r="E191" t="s">
        <v>195</v>
      </c>
      <c r="F191" t="s">
        <v>123</v>
      </c>
      <c r="G191" t="str">
        <f t="shared" si="4"/>
        <v>32018BRIGHTON</v>
      </c>
      <c r="H191">
        <f>VLOOKUP(G191,[1]Proyeccion_original!$G$2:$H$438,2,FALSE)</f>
        <v>1677</v>
      </c>
      <c r="I191">
        <v>1800</v>
      </c>
      <c r="J191">
        <f t="shared" si="5"/>
        <v>6.8333333333333329E-2</v>
      </c>
    </row>
    <row r="192" spans="1:10">
      <c r="A192">
        <v>2026</v>
      </c>
      <c r="B192">
        <v>32</v>
      </c>
      <c r="C192" t="s">
        <v>66</v>
      </c>
      <c r="D192" t="s">
        <v>9</v>
      </c>
      <c r="E192" t="s">
        <v>196</v>
      </c>
      <c r="F192" t="s">
        <v>123</v>
      </c>
      <c r="G192" t="str">
        <f t="shared" si="4"/>
        <v>32019BRIGHTON</v>
      </c>
      <c r="H192">
        <f>VLOOKUP(G192,[1]Proyeccion_original!$G$2:$H$438,2,FALSE)</f>
        <v>5078</v>
      </c>
      <c r="I192">
        <v>5950</v>
      </c>
      <c r="J192">
        <f t="shared" si="5"/>
        <v>0.14655462184873949</v>
      </c>
    </row>
    <row r="193" spans="1:10">
      <c r="A193">
        <v>2026</v>
      </c>
      <c r="B193">
        <v>32</v>
      </c>
      <c r="C193" t="s">
        <v>66</v>
      </c>
      <c r="D193" t="s">
        <v>9</v>
      </c>
      <c r="E193" t="s">
        <v>196</v>
      </c>
      <c r="F193" t="s">
        <v>150</v>
      </c>
      <c r="G193" t="str">
        <f t="shared" si="4"/>
        <v>32019TABATHA</v>
      </c>
      <c r="H193">
        <f>VLOOKUP(G193,[1]Proyeccion_original!$G$2:$H$438,2,FALSE)</f>
        <v>1997</v>
      </c>
      <c r="I193">
        <v>3210</v>
      </c>
      <c r="J193">
        <f t="shared" si="5"/>
        <v>0.3778816199376947</v>
      </c>
    </row>
    <row r="194" spans="1:10">
      <c r="A194">
        <v>2026</v>
      </c>
      <c r="B194">
        <v>32</v>
      </c>
      <c r="C194" t="s">
        <v>66</v>
      </c>
      <c r="D194" t="s">
        <v>9</v>
      </c>
      <c r="E194" t="s">
        <v>197</v>
      </c>
      <c r="F194" t="s">
        <v>123</v>
      </c>
      <c r="G194" t="str">
        <f t="shared" si="4"/>
        <v>32020BRIGHTON</v>
      </c>
      <c r="H194">
        <f>VLOOKUP(G194,[1]Proyeccion_original!$G$2:$H$438,2,FALSE)</f>
        <v>3914</v>
      </c>
      <c r="I194">
        <v>4300</v>
      </c>
      <c r="J194">
        <f t="shared" si="5"/>
        <v>8.9767441860465119E-2</v>
      </c>
    </row>
    <row r="195" spans="1:10">
      <c r="A195">
        <v>2026</v>
      </c>
      <c r="B195">
        <v>32</v>
      </c>
      <c r="C195" t="s">
        <v>66</v>
      </c>
      <c r="D195" t="s">
        <v>9</v>
      </c>
      <c r="E195" t="s">
        <v>197</v>
      </c>
      <c r="F195" t="s">
        <v>153</v>
      </c>
      <c r="G195" t="str">
        <f t="shared" ref="G195:G258" si="6">+B195&amp;E195&amp;F195</f>
        <v>32020TYCOON</v>
      </c>
      <c r="H195">
        <f>VLOOKUP(G195,[1]Proyeccion_original!$G$2:$H$438,2,FALSE)</f>
        <v>1052</v>
      </c>
      <c r="I195">
        <v>930</v>
      </c>
      <c r="J195">
        <f t="shared" ref="J195:J258" si="7">+(I195-H195)/I195</f>
        <v>-0.13118279569892474</v>
      </c>
    </row>
    <row r="196" spans="1:10">
      <c r="A196">
        <v>2026</v>
      </c>
      <c r="B196">
        <v>32</v>
      </c>
      <c r="C196" t="s">
        <v>66</v>
      </c>
      <c r="D196" t="s">
        <v>9</v>
      </c>
      <c r="E196" t="s">
        <v>198</v>
      </c>
      <c r="F196" t="s">
        <v>155</v>
      </c>
      <c r="G196" t="str">
        <f t="shared" si="6"/>
        <v>32021SHOW GIRL</v>
      </c>
      <c r="H196">
        <f>VLOOKUP(G196,[1]Proyeccion_original!$G$2:$H$438,2,FALSE)</f>
        <v>1598</v>
      </c>
      <c r="I196">
        <v>1675</v>
      </c>
      <c r="J196">
        <f t="shared" si="7"/>
        <v>4.5970149253731343E-2</v>
      </c>
    </row>
    <row r="197" spans="1:10">
      <c r="A197">
        <v>2026</v>
      </c>
      <c r="B197">
        <v>32</v>
      </c>
      <c r="C197" t="s">
        <v>66</v>
      </c>
      <c r="D197" t="s">
        <v>9</v>
      </c>
      <c r="E197" t="s">
        <v>199</v>
      </c>
      <c r="F197" t="s">
        <v>157</v>
      </c>
      <c r="G197" t="str">
        <f t="shared" si="6"/>
        <v>32022CORAL REEF</v>
      </c>
      <c r="H197">
        <f>VLOOKUP(G197,[1]Proyeccion_original!$G$2:$H$438,2,FALSE)</f>
        <v>1554</v>
      </c>
      <c r="I197">
        <v>2450</v>
      </c>
      <c r="J197">
        <f t="shared" si="7"/>
        <v>0.36571428571428571</v>
      </c>
    </row>
    <row r="198" spans="1:10">
      <c r="A198">
        <v>2026</v>
      </c>
      <c r="B198">
        <v>32</v>
      </c>
      <c r="C198" t="s">
        <v>66</v>
      </c>
      <c r="D198" t="s">
        <v>9</v>
      </c>
      <c r="E198" t="s">
        <v>212</v>
      </c>
      <c r="F198" t="s">
        <v>92</v>
      </c>
      <c r="G198" t="str">
        <f t="shared" si="6"/>
        <v>32023COTOPAXI</v>
      </c>
      <c r="H198">
        <f>VLOOKUP(G198,[1]Proyeccion_original!$G$2:$H$438,2,FALSE)</f>
        <v>7260</v>
      </c>
      <c r="I198">
        <v>8970</v>
      </c>
      <c r="J198">
        <f t="shared" si="7"/>
        <v>0.19063545150501673</v>
      </c>
    </row>
    <row r="199" spans="1:10">
      <c r="A199">
        <v>2026</v>
      </c>
      <c r="B199">
        <v>32</v>
      </c>
      <c r="C199" t="s">
        <v>66</v>
      </c>
      <c r="D199" t="s">
        <v>9</v>
      </c>
      <c r="E199" t="s">
        <v>212</v>
      </c>
      <c r="F199" t="s">
        <v>160</v>
      </c>
      <c r="G199" t="str">
        <f t="shared" si="6"/>
        <v>32023FRUTTETO</v>
      </c>
      <c r="H199">
        <f>VLOOKUP(G199,[1]Proyeccion_original!$G$2:$H$438,2,FALSE)</f>
        <v>4407</v>
      </c>
      <c r="I199">
        <v>4590</v>
      </c>
      <c r="J199">
        <f t="shared" si="7"/>
        <v>3.9869281045751631E-2</v>
      </c>
    </row>
    <row r="200" spans="1:10">
      <c r="A200">
        <v>2026</v>
      </c>
      <c r="B200">
        <v>32</v>
      </c>
      <c r="C200" t="s">
        <v>66</v>
      </c>
      <c r="D200" t="s">
        <v>9</v>
      </c>
      <c r="E200" t="s">
        <v>213</v>
      </c>
      <c r="F200" t="s">
        <v>92</v>
      </c>
      <c r="G200" t="str">
        <f t="shared" si="6"/>
        <v>32024COTOPAXI</v>
      </c>
      <c r="H200">
        <f>VLOOKUP(G200,[1]Proyeccion_original!$G$2:$H$438,2,FALSE)</f>
        <v>3220</v>
      </c>
      <c r="I200">
        <v>4260</v>
      </c>
      <c r="J200">
        <f t="shared" si="7"/>
        <v>0.24413145539906103</v>
      </c>
    </row>
    <row r="201" spans="1:10">
      <c r="A201">
        <v>2026</v>
      </c>
      <c r="B201">
        <v>32</v>
      </c>
      <c r="C201" t="s">
        <v>66</v>
      </c>
      <c r="D201" t="s">
        <v>9</v>
      </c>
      <c r="E201" t="s">
        <v>213</v>
      </c>
      <c r="F201" t="s">
        <v>81</v>
      </c>
      <c r="G201" t="str">
        <f t="shared" si="6"/>
        <v>32024SWEETNESS</v>
      </c>
      <c r="H201">
        <f>VLOOKUP(G201,[1]Proyeccion_original!$G$2:$H$438,2,FALSE)</f>
        <v>1196</v>
      </c>
      <c r="I201">
        <v>2070</v>
      </c>
      <c r="J201">
        <f t="shared" si="7"/>
        <v>0.42222222222222222</v>
      </c>
    </row>
    <row r="202" spans="1:10">
      <c r="A202">
        <v>2026</v>
      </c>
      <c r="B202">
        <v>32</v>
      </c>
      <c r="C202" t="s">
        <v>66</v>
      </c>
      <c r="D202" t="s">
        <v>9</v>
      </c>
      <c r="E202" t="s">
        <v>213</v>
      </c>
      <c r="F202" t="s">
        <v>153</v>
      </c>
      <c r="G202" t="str">
        <f t="shared" si="6"/>
        <v>32024TYCOON</v>
      </c>
      <c r="H202">
        <f>VLOOKUP(G202,[1]Proyeccion_original!$G$2:$H$438,2,FALSE)</f>
        <v>2354</v>
      </c>
      <c r="I202">
        <v>3780</v>
      </c>
      <c r="J202">
        <f t="shared" si="7"/>
        <v>0.37724867724867722</v>
      </c>
    </row>
    <row r="203" spans="1:10">
      <c r="A203">
        <v>2026</v>
      </c>
      <c r="B203">
        <v>32</v>
      </c>
      <c r="C203" t="s">
        <v>66</v>
      </c>
      <c r="D203" t="s">
        <v>9</v>
      </c>
      <c r="E203" t="s">
        <v>214</v>
      </c>
      <c r="F203" t="s">
        <v>165</v>
      </c>
      <c r="G203" t="str">
        <f t="shared" si="6"/>
        <v>32025PINK MONDIAL</v>
      </c>
      <c r="H203">
        <f>VLOOKUP(G203,[1]Proyeccion_original!$G$2:$H$438,2,FALSE)</f>
        <v>3964</v>
      </c>
      <c r="I203">
        <v>5325</v>
      </c>
      <c r="J203">
        <f t="shared" si="7"/>
        <v>0.25558685446009388</v>
      </c>
    </row>
    <row r="204" spans="1:10">
      <c r="A204">
        <v>2026</v>
      </c>
      <c r="B204">
        <v>32</v>
      </c>
      <c r="C204" t="s">
        <v>66</v>
      </c>
      <c r="D204" t="s">
        <v>9</v>
      </c>
      <c r="E204" t="s">
        <v>215</v>
      </c>
      <c r="F204" t="s">
        <v>167</v>
      </c>
      <c r="G204" t="str">
        <f t="shared" si="6"/>
        <v>32026LOLA</v>
      </c>
      <c r="H204">
        <f>VLOOKUP(G204,[1]Proyeccion_original!$G$2:$H$438,2,FALSE)</f>
        <v>2890</v>
      </c>
      <c r="I204">
        <v>3475</v>
      </c>
      <c r="J204">
        <f t="shared" si="7"/>
        <v>0.16834532374100719</v>
      </c>
    </row>
    <row r="205" spans="1:10">
      <c r="A205">
        <v>2026</v>
      </c>
      <c r="B205">
        <v>32</v>
      </c>
      <c r="C205" t="s">
        <v>66</v>
      </c>
      <c r="D205" t="s">
        <v>9</v>
      </c>
      <c r="E205" t="s">
        <v>215</v>
      </c>
      <c r="F205" t="s">
        <v>169</v>
      </c>
      <c r="G205" t="str">
        <f t="shared" si="6"/>
        <v>32026PALOMA</v>
      </c>
      <c r="H205">
        <f>VLOOKUP(G205,[1]Proyeccion_original!$G$2:$H$438,2,FALSE)</f>
        <v>4579</v>
      </c>
      <c r="I205">
        <v>4350</v>
      </c>
      <c r="J205">
        <f t="shared" si="7"/>
        <v>-5.2643678160919541E-2</v>
      </c>
    </row>
    <row r="206" spans="1:10">
      <c r="A206">
        <v>2026</v>
      </c>
      <c r="B206">
        <v>32</v>
      </c>
      <c r="C206" t="s">
        <v>66</v>
      </c>
      <c r="D206" t="s">
        <v>9</v>
      </c>
      <c r="E206" t="s">
        <v>216</v>
      </c>
      <c r="F206" t="s">
        <v>171</v>
      </c>
      <c r="G206" t="str">
        <f t="shared" si="6"/>
        <v>32027SATISFACTION</v>
      </c>
      <c r="H206">
        <f>VLOOKUP(G206,[1]Proyeccion_original!$G$2:$H$438,2,FALSE)</f>
        <v>3312</v>
      </c>
      <c r="I206">
        <v>4770</v>
      </c>
      <c r="J206">
        <f t="shared" si="7"/>
        <v>0.30566037735849055</v>
      </c>
    </row>
    <row r="207" spans="1:10">
      <c r="A207">
        <v>2026</v>
      </c>
      <c r="B207">
        <v>32</v>
      </c>
      <c r="C207" t="s">
        <v>66</v>
      </c>
      <c r="D207" t="s">
        <v>9</v>
      </c>
      <c r="E207" t="s">
        <v>216</v>
      </c>
      <c r="F207" t="s">
        <v>173</v>
      </c>
      <c r="G207" t="str">
        <f t="shared" si="6"/>
        <v>32027TIFFANY</v>
      </c>
      <c r="H207">
        <f>VLOOKUP(G207,[1]Proyeccion_original!$G$2:$H$438,2,FALSE)</f>
        <v>3237</v>
      </c>
      <c r="I207">
        <v>5610</v>
      </c>
      <c r="J207">
        <f t="shared" si="7"/>
        <v>0.42299465240641709</v>
      </c>
    </row>
    <row r="208" spans="1:10">
      <c r="A208">
        <v>2026</v>
      </c>
      <c r="B208">
        <v>32</v>
      </c>
      <c r="C208" t="s">
        <v>66</v>
      </c>
      <c r="D208" t="s">
        <v>9</v>
      </c>
      <c r="E208" t="s">
        <v>217</v>
      </c>
      <c r="F208" t="s">
        <v>92</v>
      </c>
      <c r="G208" t="str">
        <f t="shared" si="6"/>
        <v>32028COTOPAXI</v>
      </c>
      <c r="H208">
        <f>VLOOKUP(G208,[1]Proyeccion_original!$G$2:$H$438,2,FALSE)</f>
        <v>4544</v>
      </c>
      <c r="I208">
        <v>7920</v>
      </c>
      <c r="J208">
        <f t="shared" si="7"/>
        <v>0.42626262626262629</v>
      </c>
    </row>
    <row r="209" spans="1:10">
      <c r="A209">
        <v>2026</v>
      </c>
      <c r="B209">
        <v>32</v>
      </c>
      <c r="C209" t="s">
        <v>66</v>
      </c>
      <c r="D209" t="s">
        <v>9</v>
      </c>
      <c r="E209" t="s">
        <v>217</v>
      </c>
      <c r="F209" t="s">
        <v>85</v>
      </c>
      <c r="G209" t="str">
        <f t="shared" si="6"/>
        <v>32028DEEP PURPLE</v>
      </c>
      <c r="H209">
        <f>VLOOKUP(G209,[1]Proyeccion_original!$G$2:$H$438,2,FALSE)</f>
        <v>6298</v>
      </c>
      <c r="I209">
        <v>5730</v>
      </c>
      <c r="J209">
        <f t="shared" si="7"/>
        <v>-9.912739965095986E-2</v>
      </c>
    </row>
    <row r="210" spans="1:10">
      <c r="A210">
        <v>2026</v>
      </c>
      <c r="B210">
        <v>32</v>
      </c>
      <c r="C210" t="s">
        <v>66</v>
      </c>
      <c r="D210" t="s">
        <v>9</v>
      </c>
      <c r="E210" t="s">
        <v>218</v>
      </c>
      <c r="F210" t="s">
        <v>177</v>
      </c>
      <c r="G210" t="str">
        <f t="shared" si="6"/>
        <v>32029PINK FLOYD</v>
      </c>
      <c r="H210">
        <f>VLOOKUP(G210,[1]Proyeccion_original!$G$2:$H$438,2,FALSE)</f>
        <v>3747</v>
      </c>
      <c r="I210">
        <v>3325</v>
      </c>
      <c r="J210">
        <f t="shared" si="7"/>
        <v>-0.12691729323308271</v>
      </c>
    </row>
    <row r="211" spans="1:10">
      <c r="A211">
        <v>2026</v>
      </c>
      <c r="B211">
        <v>32</v>
      </c>
      <c r="C211" t="s">
        <v>66</v>
      </c>
      <c r="D211" t="s">
        <v>9</v>
      </c>
      <c r="E211" t="s">
        <v>200</v>
      </c>
      <c r="F211" t="s">
        <v>69</v>
      </c>
      <c r="G211" t="str">
        <f t="shared" si="6"/>
        <v>32030EXPLORER</v>
      </c>
      <c r="H211">
        <f>VLOOKUP(G211,[1]Proyeccion_original!$G$2:$H$438,2,FALSE)</f>
        <v>1507</v>
      </c>
      <c r="I211">
        <v>3450</v>
      </c>
      <c r="J211">
        <f t="shared" si="7"/>
        <v>0.5631884057971015</v>
      </c>
    </row>
    <row r="212" spans="1:10">
      <c r="A212">
        <v>2026</v>
      </c>
      <c r="B212">
        <v>33</v>
      </c>
      <c r="C212" t="s">
        <v>8</v>
      </c>
      <c r="D212" t="s">
        <v>9</v>
      </c>
      <c r="E212" t="s">
        <v>186</v>
      </c>
      <c r="F212" t="s">
        <v>10</v>
      </c>
      <c r="G212" t="str">
        <f t="shared" si="6"/>
        <v>33002SOMERSET</v>
      </c>
      <c r="H212">
        <f>VLOOKUP(G212,[1]Proyeccion_original!$G$2:$H$438,2,FALSE)</f>
        <v>9266</v>
      </c>
      <c r="I212">
        <v>8220</v>
      </c>
      <c r="J212">
        <f t="shared" si="7"/>
        <v>-0.12725060827250609</v>
      </c>
    </row>
    <row r="213" spans="1:10">
      <c r="A213">
        <v>2026</v>
      </c>
      <c r="B213">
        <v>33</v>
      </c>
      <c r="C213" t="s">
        <v>8</v>
      </c>
      <c r="D213" t="s">
        <v>9</v>
      </c>
      <c r="E213" t="s">
        <v>187</v>
      </c>
      <c r="F213" t="s">
        <v>12</v>
      </c>
      <c r="G213" t="str">
        <f t="shared" si="6"/>
        <v>33004BELLINA</v>
      </c>
      <c r="H213">
        <f>VLOOKUP(G213,[1]Proyeccion_original!$G$2:$H$438,2,FALSE)</f>
        <v>1159</v>
      </c>
      <c r="I213">
        <v>1245</v>
      </c>
      <c r="J213">
        <f t="shared" si="7"/>
        <v>6.9076305220883538E-2</v>
      </c>
    </row>
    <row r="214" spans="1:10">
      <c r="A214">
        <v>2026</v>
      </c>
      <c r="B214">
        <v>33</v>
      </c>
      <c r="C214" t="s">
        <v>8</v>
      </c>
      <c r="D214" t="s">
        <v>9</v>
      </c>
      <c r="E214" t="s">
        <v>188</v>
      </c>
      <c r="F214" t="s">
        <v>14</v>
      </c>
      <c r="G214" t="str">
        <f t="shared" si="6"/>
        <v>33005ELBA</v>
      </c>
      <c r="H214">
        <f>VLOOKUP(G214,[1]Proyeccion_original!$G$2:$H$438,2,FALSE)</f>
        <v>9066</v>
      </c>
      <c r="I214">
        <v>6930</v>
      </c>
      <c r="J214">
        <f t="shared" si="7"/>
        <v>-0.30822510822510824</v>
      </c>
    </row>
    <row r="215" spans="1:10">
      <c r="A215">
        <v>2026</v>
      </c>
      <c r="B215">
        <v>33</v>
      </c>
      <c r="C215" t="s">
        <v>8</v>
      </c>
      <c r="D215" t="s">
        <v>9</v>
      </c>
      <c r="E215" t="s">
        <v>188</v>
      </c>
      <c r="F215" t="s">
        <v>16</v>
      </c>
      <c r="G215" t="str">
        <f t="shared" si="6"/>
        <v>33005HOT BUBBLES</v>
      </c>
      <c r="H215">
        <f>VLOOKUP(G215,[1]Proyeccion_original!$G$2:$H$438,2,FALSE)</f>
        <v>1467</v>
      </c>
      <c r="I215">
        <v>960</v>
      </c>
      <c r="J215">
        <f t="shared" si="7"/>
        <v>-0.52812499999999996</v>
      </c>
    </row>
    <row r="216" spans="1:10">
      <c r="A216">
        <v>2026</v>
      </c>
      <c r="B216">
        <v>33</v>
      </c>
      <c r="C216" t="s">
        <v>8</v>
      </c>
      <c r="D216" t="s">
        <v>9</v>
      </c>
      <c r="E216" t="s">
        <v>188</v>
      </c>
      <c r="F216" t="s">
        <v>18</v>
      </c>
      <c r="G216" t="str">
        <f t="shared" si="6"/>
        <v>33005SUSPIRO</v>
      </c>
      <c r="H216">
        <f>VLOOKUP(G216,[1]Proyeccion_original!$G$2:$H$438,2,FALSE)</f>
        <v>4534</v>
      </c>
      <c r="I216">
        <v>4590</v>
      </c>
      <c r="J216">
        <f t="shared" si="7"/>
        <v>1.2200435729847494E-2</v>
      </c>
    </row>
    <row r="217" spans="1:10">
      <c r="A217">
        <v>2026</v>
      </c>
      <c r="B217">
        <v>33</v>
      </c>
      <c r="C217" t="s">
        <v>8</v>
      </c>
      <c r="D217" t="s">
        <v>9</v>
      </c>
      <c r="E217" t="s">
        <v>189</v>
      </c>
      <c r="F217" t="s">
        <v>20</v>
      </c>
      <c r="G217" t="str">
        <f t="shared" si="6"/>
        <v>33007SNOW BUBBLES</v>
      </c>
      <c r="H217">
        <f>VLOOKUP(G217,[1]Proyeccion_original!$G$2:$H$438,2,FALSE)</f>
        <v>963</v>
      </c>
      <c r="I217" t="e">
        <v>#N/A</v>
      </c>
      <c r="J217" t="e">
        <f t="shared" si="7"/>
        <v>#N/A</v>
      </c>
    </row>
    <row r="218" spans="1:10">
      <c r="A218">
        <v>2026</v>
      </c>
      <c r="B218">
        <v>33</v>
      </c>
      <c r="C218" t="s">
        <v>8</v>
      </c>
      <c r="D218" t="s">
        <v>9</v>
      </c>
      <c r="E218" t="s">
        <v>190</v>
      </c>
      <c r="F218" t="s">
        <v>16</v>
      </c>
      <c r="G218" t="str">
        <f t="shared" si="6"/>
        <v>33009HOT BUBBLES</v>
      </c>
      <c r="H218">
        <f>VLOOKUP(G218,[1]Proyeccion_original!$G$2:$H$438,2,FALSE)</f>
        <v>11107</v>
      </c>
      <c r="I218">
        <v>6260</v>
      </c>
      <c r="J218">
        <f t="shared" si="7"/>
        <v>-0.77428115015974441</v>
      </c>
    </row>
    <row r="219" spans="1:10">
      <c r="A219">
        <v>2026</v>
      </c>
      <c r="B219">
        <v>33</v>
      </c>
      <c r="C219" t="s">
        <v>8</v>
      </c>
      <c r="D219" t="s">
        <v>9</v>
      </c>
      <c r="E219" t="s">
        <v>191</v>
      </c>
      <c r="F219" t="s">
        <v>23</v>
      </c>
      <c r="G219" t="str">
        <f t="shared" si="6"/>
        <v>33014FRUITY BUBBLES</v>
      </c>
      <c r="H219">
        <f>VLOOKUP(G219,[1]Proyeccion_original!$G$2:$H$438,2,FALSE)</f>
        <v>3158</v>
      </c>
      <c r="I219">
        <v>2075</v>
      </c>
      <c r="J219">
        <f t="shared" si="7"/>
        <v>-0.52192771084337353</v>
      </c>
    </row>
    <row r="220" spans="1:10">
      <c r="A220">
        <v>2026</v>
      </c>
      <c r="B220">
        <v>33</v>
      </c>
      <c r="C220" t="s">
        <v>8</v>
      </c>
      <c r="D220" t="s">
        <v>9</v>
      </c>
      <c r="E220" t="s">
        <v>192</v>
      </c>
      <c r="F220" t="s">
        <v>25</v>
      </c>
      <c r="G220" t="str">
        <f t="shared" si="6"/>
        <v>33015FELLINI</v>
      </c>
      <c r="H220">
        <f>VLOOKUP(G220,[1]Proyeccion_original!$G$2:$H$438,2,FALSE)</f>
        <v>6472</v>
      </c>
      <c r="I220">
        <v>6200</v>
      </c>
      <c r="J220">
        <f t="shared" si="7"/>
        <v>-4.3870967741935482E-2</v>
      </c>
    </row>
    <row r="221" spans="1:10">
      <c r="A221">
        <v>2026</v>
      </c>
      <c r="B221">
        <v>33</v>
      </c>
      <c r="C221" t="s">
        <v>8</v>
      </c>
      <c r="D221" t="s">
        <v>9</v>
      </c>
      <c r="E221" t="s">
        <v>193</v>
      </c>
      <c r="F221" t="s">
        <v>27</v>
      </c>
      <c r="G221" t="str">
        <f t="shared" si="6"/>
        <v>33016GOOD PEACH</v>
      </c>
      <c r="H221">
        <f>VLOOKUP(G221,[1]Proyeccion_original!$G$2:$H$438,2,FALSE)</f>
        <v>3514</v>
      </c>
      <c r="I221">
        <v>3000</v>
      </c>
      <c r="J221">
        <f t="shared" si="7"/>
        <v>-0.17133333333333334</v>
      </c>
    </row>
    <row r="222" spans="1:10">
      <c r="A222">
        <v>2026</v>
      </c>
      <c r="B222">
        <v>33</v>
      </c>
      <c r="C222" t="s">
        <v>8</v>
      </c>
      <c r="D222" t="s">
        <v>9</v>
      </c>
      <c r="E222" t="s">
        <v>193</v>
      </c>
      <c r="F222" t="s">
        <v>29</v>
      </c>
      <c r="G222" t="str">
        <f t="shared" si="6"/>
        <v>33016GOOD YELLOW</v>
      </c>
      <c r="H222">
        <f>VLOOKUP(G222,[1]Proyeccion_original!$G$2:$H$438,2,FALSE)</f>
        <v>3378</v>
      </c>
      <c r="I222">
        <v>4020</v>
      </c>
      <c r="J222">
        <f t="shared" si="7"/>
        <v>0.15970149253731344</v>
      </c>
    </row>
    <row r="223" spans="1:10">
      <c r="A223">
        <v>2026</v>
      </c>
      <c r="B223">
        <v>33</v>
      </c>
      <c r="C223" t="s">
        <v>8</v>
      </c>
      <c r="D223" t="s">
        <v>9</v>
      </c>
      <c r="E223" t="s">
        <v>194</v>
      </c>
      <c r="F223" t="s">
        <v>31</v>
      </c>
      <c r="G223" t="str">
        <f t="shared" si="6"/>
        <v>33017ORANGE STAR</v>
      </c>
      <c r="H223">
        <f>VLOOKUP(G223,[1]Proyeccion_original!$G$2:$H$438,2,FALSE)</f>
        <v>1236</v>
      </c>
      <c r="I223">
        <v>875</v>
      </c>
      <c r="J223">
        <f t="shared" si="7"/>
        <v>-0.41257142857142859</v>
      </c>
    </row>
    <row r="224" spans="1:10">
      <c r="A224">
        <v>2026</v>
      </c>
      <c r="B224">
        <v>33</v>
      </c>
      <c r="C224" t="s">
        <v>8</v>
      </c>
      <c r="D224" t="s">
        <v>9</v>
      </c>
      <c r="E224" t="s">
        <v>195</v>
      </c>
      <c r="F224" t="s">
        <v>33</v>
      </c>
      <c r="G224" t="str">
        <f t="shared" si="6"/>
        <v>33018COSMO</v>
      </c>
      <c r="H224">
        <f>VLOOKUP(G224,[1]Proyeccion_original!$G$2:$H$438,2,FALSE)</f>
        <v>5331</v>
      </c>
      <c r="I224">
        <v>3275</v>
      </c>
      <c r="J224">
        <f t="shared" si="7"/>
        <v>-0.62778625954198475</v>
      </c>
    </row>
    <row r="225" spans="1:10">
      <c r="A225">
        <v>2026</v>
      </c>
      <c r="B225">
        <v>33</v>
      </c>
      <c r="C225" t="s">
        <v>8</v>
      </c>
      <c r="D225" t="s">
        <v>9</v>
      </c>
      <c r="E225" t="s">
        <v>195</v>
      </c>
      <c r="F225" t="s">
        <v>35</v>
      </c>
      <c r="G225" t="str">
        <f t="shared" si="6"/>
        <v>33018RUBICON</v>
      </c>
      <c r="H225">
        <f>VLOOKUP(G225,[1]Proyeccion_original!$G$2:$H$438,2,FALSE)</f>
        <v>4706</v>
      </c>
      <c r="I225">
        <v>3090</v>
      </c>
      <c r="J225">
        <f t="shared" si="7"/>
        <v>-0.52297734627831716</v>
      </c>
    </row>
    <row r="226" spans="1:10">
      <c r="A226">
        <v>2026</v>
      </c>
      <c r="B226">
        <v>33</v>
      </c>
      <c r="C226" t="s">
        <v>8</v>
      </c>
      <c r="D226" t="s">
        <v>9</v>
      </c>
      <c r="E226" t="s">
        <v>196</v>
      </c>
      <c r="F226" t="s">
        <v>12</v>
      </c>
      <c r="G226" t="str">
        <f t="shared" si="6"/>
        <v>33019BELLINA</v>
      </c>
      <c r="H226">
        <f>VLOOKUP(G226,[1]Proyeccion_original!$G$2:$H$438,2,FALSE)</f>
        <v>1227</v>
      </c>
      <c r="I226">
        <v>1755</v>
      </c>
      <c r="J226">
        <f t="shared" si="7"/>
        <v>0.30085470085470084</v>
      </c>
    </row>
    <row r="227" spans="1:10">
      <c r="A227">
        <v>2026</v>
      </c>
      <c r="B227">
        <v>33</v>
      </c>
      <c r="C227" t="s">
        <v>8</v>
      </c>
      <c r="D227" t="s">
        <v>9</v>
      </c>
      <c r="E227" t="s">
        <v>197</v>
      </c>
      <c r="F227" t="s">
        <v>38</v>
      </c>
      <c r="G227" t="str">
        <f t="shared" si="6"/>
        <v>33020SUMMER DANCE</v>
      </c>
      <c r="H227">
        <f>VLOOKUP(G227,[1]Proyeccion_original!$G$2:$H$438,2,FALSE)</f>
        <v>3366</v>
      </c>
      <c r="I227">
        <v>2475</v>
      </c>
      <c r="J227">
        <f t="shared" si="7"/>
        <v>-0.36</v>
      </c>
    </row>
    <row r="228" spans="1:10">
      <c r="A228">
        <v>2026</v>
      </c>
      <c r="B228">
        <v>33</v>
      </c>
      <c r="C228" t="s">
        <v>8</v>
      </c>
      <c r="D228" t="s">
        <v>9</v>
      </c>
      <c r="E228" t="s">
        <v>198</v>
      </c>
      <c r="F228" t="s">
        <v>40</v>
      </c>
      <c r="G228" t="str">
        <f t="shared" si="6"/>
        <v>33021ELEGANT ROSEVER</v>
      </c>
      <c r="H228">
        <f>VLOOKUP(G228,[1]Proyeccion_original!$G$2:$H$438,2,FALSE)</f>
        <v>648</v>
      </c>
      <c r="I228">
        <v>600</v>
      </c>
      <c r="J228">
        <f t="shared" si="7"/>
        <v>-0.08</v>
      </c>
    </row>
    <row r="229" spans="1:10">
      <c r="A229">
        <v>2026</v>
      </c>
      <c r="B229">
        <v>33</v>
      </c>
      <c r="C229" t="s">
        <v>8</v>
      </c>
      <c r="D229" t="s">
        <v>9</v>
      </c>
      <c r="E229" t="s">
        <v>198</v>
      </c>
      <c r="F229" t="s">
        <v>42</v>
      </c>
      <c r="G229" t="str">
        <f t="shared" si="6"/>
        <v>33021FLAME CLUB</v>
      </c>
      <c r="H229">
        <f>VLOOKUP(G229,[1]Proyeccion_original!$G$2:$H$438,2,FALSE)</f>
        <v>1905</v>
      </c>
      <c r="I229">
        <v>1275</v>
      </c>
      <c r="J229">
        <f t="shared" si="7"/>
        <v>-0.49411764705882355</v>
      </c>
    </row>
    <row r="230" spans="1:10">
      <c r="A230">
        <v>2026</v>
      </c>
      <c r="B230">
        <v>33</v>
      </c>
      <c r="C230" t="s">
        <v>8</v>
      </c>
      <c r="D230" t="s">
        <v>9</v>
      </c>
      <c r="E230" t="s">
        <v>198</v>
      </c>
      <c r="F230" t="s">
        <v>44</v>
      </c>
      <c r="G230" t="str">
        <f t="shared" si="6"/>
        <v>33021KELLY</v>
      </c>
      <c r="H230">
        <f>VLOOKUP(G230,[1]Proyeccion_original!$G$2:$H$438,2,FALSE)</f>
        <v>452</v>
      </c>
      <c r="I230">
        <v>625</v>
      </c>
      <c r="J230">
        <f t="shared" si="7"/>
        <v>0.27679999999999999</v>
      </c>
    </row>
    <row r="231" spans="1:10">
      <c r="A231">
        <v>2026</v>
      </c>
      <c r="B231">
        <v>33</v>
      </c>
      <c r="C231" t="s">
        <v>8</v>
      </c>
      <c r="D231" t="s">
        <v>9</v>
      </c>
      <c r="E231" t="s">
        <v>198</v>
      </c>
      <c r="F231" t="s">
        <v>46</v>
      </c>
      <c r="G231" t="str">
        <f t="shared" si="6"/>
        <v>33021LEILA</v>
      </c>
      <c r="H231">
        <f>VLOOKUP(G231,[1]Proyeccion_original!$G$2:$H$438,2,FALSE)</f>
        <v>2416</v>
      </c>
      <c r="I231">
        <v>1500</v>
      </c>
      <c r="J231">
        <f t="shared" si="7"/>
        <v>-0.61066666666666669</v>
      </c>
    </row>
    <row r="232" spans="1:10">
      <c r="A232">
        <v>2026</v>
      </c>
      <c r="B232">
        <v>33</v>
      </c>
      <c r="C232" t="s">
        <v>8</v>
      </c>
      <c r="D232" t="s">
        <v>9</v>
      </c>
      <c r="E232" t="s">
        <v>198</v>
      </c>
      <c r="F232" t="s">
        <v>20</v>
      </c>
      <c r="G232" t="str">
        <f t="shared" si="6"/>
        <v>33021SNOW BUBBLES</v>
      </c>
      <c r="H232">
        <f>VLOOKUP(G232,[1]Proyeccion_original!$G$2:$H$438,2,FALSE)</f>
        <v>2570</v>
      </c>
      <c r="I232">
        <v>3040</v>
      </c>
      <c r="J232">
        <f t="shared" si="7"/>
        <v>0.15460526315789475</v>
      </c>
    </row>
    <row r="233" spans="1:10">
      <c r="A233">
        <v>2026</v>
      </c>
      <c r="B233">
        <v>33</v>
      </c>
      <c r="C233" t="s">
        <v>8</v>
      </c>
      <c r="D233" t="s">
        <v>9</v>
      </c>
      <c r="E233" t="s">
        <v>199</v>
      </c>
      <c r="F233" t="s">
        <v>23</v>
      </c>
      <c r="G233" t="str">
        <f t="shared" si="6"/>
        <v>33022FRUITY BUBBLES</v>
      </c>
      <c r="H233">
        <f>VLOOKUP(G233,[1]Proyeccion_original!$G$2:$H$438,2,FALSE)</f>
        <v>5476</v>
      </c>
      <c r="I233">
        <v>4700</v>
      </c>
      <c r="J233">
        <f t="shared" si="7"/>
        <v>-0.1651063829787234</v>
      </c>
    </row>
    <row r="234" spans="1:10">
      <c r="A234">
        <v>2026</v>
      </c>
      <c r="B234">
        <v>33</v>
      </c>
      <c r="C234" t="s">
        <v>8</v>
      </c>
      <c r="D234" t="s">
        <v>9</v>
      </c>
      <c r="E234" t="s">
        <v>199</v>
      </c>
      <c r="F234" t="s">
        <v>27</v>
      </c>
      <c r="G234" t="str">
        <f t="shared" si="6"/>
        <v>33022GOOD PEACH</v>
      </c>
      <c r="H234">
        <f>VLOOKUP(G234,[1]Proyeccion_original!$G$2:$H$438,2,FALSE)</f>
        <v>1998</v>
      </c>
      <c r="I234">
        <v>2460</v>
      </c>
      <c r="J234">
        <f t="shared" si="7"/>
        <v>0.18780487804878049</v>
      </c>
    </row>
    <row r="235" spans="1:10">
      <c r="A235">
        <v>2026</v>
      </c>
      <c r="B235">
        <v>33</v>
      </c>
      <c r="C235" t="s">
        <v>8</v>
      </c>
      <c r="D235" t="s">
        <v>9</v>
      </c>
      <c r="E235" t="s">
        <v>199</v>
      </c>
      <c r="F235" t="s">
        <v>51</v>
      </c>
      <c r="G235" t="str">
        <f t="shared" si="6"/>
        <v>33022MIRABEL</v>
      </c>
      <c r="H235">
        <f>VLOOKUP(G235,[1]Proyeccion_original!$G$2:$H$438,2,FALSE)</f>
        <v>1483</v>
      </c>
      <c r="I235">
        <v>1520</v>
      </c>
      <c r="J235">
        <f t="shared" si="7"/>
        <v>2.4342105263157894E-2</v>
      </c>
    </row>
    <row r="236" spans="1:10">
      <c r="A236">
        <v>2026</v>
      </c>
      <c r="B236">
        <v>33</v>
      </c>
      <c r="C236" t="s">
        <v>8</v>
      </c>
      <c r="D236" t="s">
        <v>9</v>
      </c>
      <c r="E236" t="s">
        <v>200</v>
      </c>
      <c r="F236" t="s">
        <v>51</v>
      </c>
      <c r="G236" t="str">
        <f t="shared" si="6"/>
        <v>33030MIRABEL</v>
      </c>
      <c r="H236">
        <f>VLOOKUP(G236,[1]Proyeccion_original!$G$2:$H$438,2,FALSE)</f>
        <v>5016</v>
      </c>
      <c r="I236">
        <v>2660</v>
      </c>
      <c r="J236">
        <f t="shared" si="7"/>
        <v>-0.88571428571428568</v>
      </c>
    </row>
    <row r="237" spans="1:10">
      <c r="A237">
        <v>2026</v>
      </c>
      <c r="B237">
        <v>33</v>
      </c>
      <c r="C237" t="s">
        <v>8</v>
      </c>
      <c r="D237" t="s">
        <v>9</v>
      </c>
      <c r="E237" t="s">
        <v>200</v>
      </c>
      <c r="F237" t="s">
        <v>10</v>
      </c>
      <c r="G237" t="str">
        <f t="shared" si="6"/>
        <v>33030SOMERSET</v>
      </c>
      <c r="H237">
        <f>VLOOKUP(G237,[1]Proyeccion_original!$G$2:$H$438,2,FALSE)</f>
        <v>2532</v>
      </c>
      <c r="I237">
        <v>2780</v>
      </c>
      <c r="J237">
        <f t="shared" si="7"/>
        <v>8.9208633093525183E-2</v>
      </c>
    </row>
    <row r="238" spans="1:10">
      <c r="A238">
        <v>2026</v>
      </c>
      <c r="B238">
        <v>33</v>
      </c>
      <c r="C238" t="s">
        <v>8</v>
      </c>
      <c r="D238" t="s">
        <v>9</v>
      </c>
      <c r="E238" t="s">
        <v>201</v>
      </c>
      <c r="F238" t="s">
        <v>55</v>
      </c>
      <c r="G238" t="str">
        <f t="shared" si="6"/>
        <v>3303182989</v>
      </c>
      <c r="H238">
        <f>VLOOKUP(G238,[1]Proyeccion_original!$G$2:$H$438,2,FALSE)</f>
        <v>1630</v>
      </c>
      <c r="I238">
        <v>600</v>
      </c>
      <c r="J238">
        <f t="shared" si="7"/>
        <v>-1.7166666666666666</v>
      </c>
    </row>
    <row r="239" spans="1:10">
      <c r="A239">
        <v>2026</v>
      </c>
      <c r="B239">
        <v>33</v>
      </c>
      <c r="C239" t="s">
        <v>8</v>
      </c>
      <c r="D239" t="s">
        <v>9</v>
      </c>
      <c r="E239" t="s">
        <v>201</v>
      </c>
      <c r="F239" t="s">
        <v>35</v>
      </c>
      <c r="G239" t="str">
        <f t="shared" si="6"/>
        <v>33031RUBICON</v>
      </c>
      <c r="H239">
        <f>VLOOKUP(G239,[1]Proyeccion_original!$G$2:$H$438,2,FALSE)</f>
        <v>2176</v>
      </c>
      <c r="I239">
        <v>1680</v>
      </c>
      <c r="J239">
        <f t="shared" si="7"/>
        <v>-0.29523809523809524</v>
      </c>
    </row>
    <row r="240" spans="1:10">
      <c r="A240">
        <v>2026</v>
      </c>
      <c r="B240">
        <v>33</v>
      </c>
      <c r="C240" t="s">
        <v>8</v>
      </c>
      <c r="D240" t="s">
        <v>9</v>
      </c>
      <c r="E240" t="s">
        <v>201</v>
      </c>
      <c r="F240" t="s">
        <v>10</v>
      </c>
      <c r="G240" t="str">
        <f t="shared" si="6"/>
        <v>33031SOMERSET</v>
      </c>
      <c r="H240">
        <f>VLOOKUP(G240,[1]Proyeccion_original!$G$2:$H$438,2,FALSE)</f>
        <v>1883</v>
      </c>
      <c r="I240">
        <v>2540</v>
      </c>
      <c r="J240">
        <f t="shared" si="7"/>
        <v>0.25866141732283465</v>
      </c>
    </row>
    <row r="241" spans="1:10">
      <c r="A241">
        <v>2026</v>
      </c>
      <c r="B241">
        <v>33</v>
      </c>
      <c r="C241" t="s">
        <v>8</v>
      </c>
      <c r="D241" t="s">
        <v>9</v>
      </c>
      <c r="E241" t="s">
        <v>201</v>
      </c>
      <c r="F241" t="s">
        <v>59</v>
      </c>
      <c r="G241" t="str">
        <f t="shared" si="6"/>
        <v>33031VELVET BLOSSOMS</v>
      </c>
      <c r="H241">
        <f>VLOOKUP(G241,[1]Proyeccion_original!$G$2:$H$438,2,FALSE)</f>
        <v>470</v>
      </c>
      <c r="I241">
        <v>620</v>
      </c>
      <c r="J241">
        <f t="shared" si="7"/>
        <v>0.24193548387096775</v>
      </c>
    </row>
    <row r="242" spans="1:10">
      <c r="A242">
        <v>2026</v>
      </c>
      <c r="B242">
        <v>33</v>
      </c>
      <c r="C242" t="s">
        <v>8</v>
      </c>
      <c r="D242" t="s">
        <v>9</v>
      </c>
      <c r="E242" t="s">
        <v>202</v>
      </c>
      <c r="F242" t="s">
        <v>14</v>
      </c>
      <c r="G242" t="str">
        <f t="shared" si="6"/>
        <v>33032ELBA</v>
      </c>
      <c r="H242">
        <f>VLOOKUP(G242,[1]Proyeccion_original!$G$2:$H$438,2,FALSE)</f>
        <v>3161</v>
      </c>
      <c r="I242">
        <v>2160</v>
      </c>
      <c r="J242">
        <f t="shared" si="7"/>
        <v>-0.46342592592592591</v>
      </c>
    </row>
    <row r="243" spans="1:10">
      <c r="A243">
        <v>2026</v>
      </c>
      <c r="B243">
        <v>33</v>
      </c>
      <c r="C243" t="s">
        <v>8</v>
      </c>
      <c r="D243" t="s">
        <v>9</v>
      </c>
      <c r="E243" t="s">
        <v>202</v>
      </c>
      <c r="F243" t="s">
        <v>51</v>
      </c>
      <c r="G243" t="str">
        <f t="shared" si="6"/>
        <v>33032MIRABEL</v>
      </c>
      <c r="H243">
        <f>VLOOKUP(G243,[1]Proyeccion_original!$G$2:$H$438,2,FALSE)</f>
        <v>1790</v>
      </c>
      <c r="I243">
        <v>1160</v>
      </c>
      <c r="J243">
        <f t="shared" si="7"/>
        <v>-0.5431034482758621</v>
      </c>
    </row>
    <row r="244" spans="1:10">
      <c r="A244">
        <v>2026</v>
      </c>
      <c r="B244">
        <v>33</v>
      </c>
      <c r="C244" t="s">
        <v>8</v>
      </c>
      <c r="D244" t="s">
        <v>9</v>
      </c>
      <c r="E244" t="s">
        <v>203</v>
      </c>
      <c r="F244" t="s">
        <v>63</v>
      </c>
      <c r="G244" t="str">
        <f t="shared" si="6"/>
        <v>33033CREAMY FOLIES</v>
      </c>
      <c r="H244">
        <f>VLOOKUP(G244,[1]Proyeccion_original!$G$2:$H$438,2,FALSE)</f>
        <v>1371</v>
      </c>
      <c r="I244">
        <v>1230</v>
      </c>
      <c r="J244">
        <f t="shared" si="7"/>
        <v>-0.11463414634146342</v>
      </c>
    </row>
    <row r="245" spans="1:10">
      <c r="A245">
        <v>2026</v>
      </c>
      <c r="B245">
        <v>33</v>
      </c>
      <c r="C245" t="s">
        <v>8</v>
      </c>
      <c r="D245" t="s">
        <v>9</v>
      </c>
      <c r="E245" t="s">
        <v>203</v>
      </c>
      <c r="F245" t="s">
        <v>16</v>
      </c>
      <c r="G245" t="str">
        <f t="shared" si="6"/>
        <v>33033HOT BUBBLES</v>
      </c>
      <c r="H245">
        <f>VLOOKUP(G245,[1]Proyeccion_original!$G$2:$H$438,2,FALSE)</f>
        <v>2798</v>
      </c>
      <c r="I245">
        <v>4320</v>
      </c>
      <c r="J245">
        <f t="shared" si="7"/>
        <v>0.3523148148148148</v>
      </c>
    </row>
    <row r="246" spans="1:10">
      <c r="A246">
        <v>2026</v>
      </c>
      <c r="B246">
        <v>33</v>
      </c>
      <c r="C246" t="s">
        <v>66</v>
      </c>
      <c r="D246" t="s">
        <v>9</v>
      </c>
      <c r="E246" t="s">
        <v>204</v>
      </c>
      <c r="F246" t="s">
        <v>67</v>
      </c>
      <c r="G246" t="str">
        <f t="shared" si="6"/>
        <v>33001BELIEVE IN PINK</v>
      </c>
      <c r="H246">
        <f>VLOOKUP(G246,[1]Proyeccion_original!$G$2:$H$438,2,FALSE)</f>
        <v>1174</v>
      </c>
      <c r="I246">
        <v>1140</v>
      </c>
      <c r="J246">
        <f t="shared" si="7"/>
        <v>-2.9824561403508771E-2</v>
      </c>
    </row>
    <row r="247" spans="1:10">
      <c r="A247">
        <v>2026</v>
      </c>
      <c r="B247">
        <v>33</v>
      </c>
      <c r="C247" t="s">
        <v>66</v>
      </c>
      <c r="D247" t="s">
        <v>9</v>
      </c>
      <c r="E247" t="s">
        <v>204</v>
      </c>
      <c r="F247" t="s">
        <v>69</v>
      </c>
      <c r="G247" t="str">
        <f t="shared" si="6"/>
        <v>33001EXPLORER</v>
      </c>
      <c r="H247">
        <f>VLOOKUP(G247,[1]Proyeccion_original!$G$2:$H$438,2,FALSE)</f>
        <v>2927</v>
      </c>
      <c r="I247">
        <v>5125</v>
      </c>
      <c r="J247">
        <f t="shared" si="7"/>
        <v>0.4288780487804878</v>
      </c>
    </row>
    <row r="248" spans="1:10">
      <c r="A248">
        <v>2026</v>
      </c>
      <c r="B248">
        <v>33</v>
      </c>
      <c r="C248" t="s">
        <v>66</v>
      </c>
      <c r="D248" t="s">
        <v>9</v>
      </c>
      <c r="E248" t="s">
        <v>204</v>
      </c>
      <c r="F248" t="s">
        <v>71</v>
      </c>
      <c r="G248" t="str">
        <f t="shared" si="6"/>
        <v>33001GRACE KELLY</v>
      </c>
      <c r="H248">
        <f>VLOOKUP(G248,[1]Proyeccion_original!$G$2:$H$438,2,FALSE)</f>
        <v>1425</v>
      </c>
      <c r="I248">
        <v>1710</v>
      </c>
      <c r="J248">
        <f t="shared" si="7"/>
        <v>0.16666666666666666</v>
      </c>
    </row>
    <row r="249" spans="1:10">
      <c r="A249">
        <v>2026</v>
      </c>
      <c r="B249">
        <v>33</v>
      </c>
      <c r="C249" t="s">
        <v>66</v>
      </c>
      <c r="D249" t="s">
        <v>9</v>
      </c>
      <c r="E249" t="s">
        <v>204</v>
      </c>
      <c r="F249" t="s">
        <v>180</v>
      </c>
      <c r="G249" t="str">
        <f t="shared" si="6"/>
        <v>33001IDOLE</v>
      </c>
      <c r="H249">
        <f>VLOOKUP(G249,[1]Proyeccion_original!$G$2:$H$438,2,FALSE)</f>
        <v>899</v>
      </c>
      <c r="I249" t="e">
        <v>#N/A</v>
      </c>
      <c r="J249" t="e">
        <f t="shared" si="7"/>
        <v>#N/A</v>
      </c>
    </row>
    <row r="250" spans="1:10">
      <c r="A250">
        <v>2026</v>
      </c>
      <c r="B250">
        <v>33</v>
      </c>
      <c r="C250" t="s">
        <v>66</v>
      </c>
      <c r="D250" t="s">
        <v>9</v>
      </c>
      <c r="E250" t="s">
        <v>204</v>
      </c>
      <c r="F250" t="s">
        <v>73</v>
      </c>
      <c r="G250" t="str">
        <f t="shared" si="6"/>
        <v>33001LIGHT HOUSE</v>
      </c>
      <c r="H250">
        <f>VLOOKUP(G250,[1]Proyeccion_original!$G$2:$H$438,2,FALSE)</f>
        <v>1260</v>
      </c>
      <c r="I250">
        <v>2040</v>
      </c>
      <c r="J250">
        <f t="shared" si="7"/>
        <v>0.38235294117647056</v>
      </c>
    </row>
    <row r="251" spans="1:10">
      <c r="A251">
        <v>2026</v>
      </c>
      <c r="B251">
        <v>33</v>
      </c>
      <c r="C251" t="s">
        <v>66</v>
      </c>
      <c r="D251" t="s">
        <v>9</v>
      </c>
      <c r="E251" t="s">
        <v>204</v>
      </c>
      <c r="F251" t="s">
        <v>75</v>
      </c>
      <c r="G251" t="str">
        <f t="shared" si="6"/>
        <v>33001LUMIA</v>
      </c>
      <c r="H251">
        <f>VLOOKUP(G251,[1]Proyeccion_original!$G$2:$H$438,2,FALSE)</f>
        <v>1487</v>
      </c>
      <c r="I251">
        <v>1680</v>
      </c>
      <c r="J251">
        <f t="shared" si="7"/>
        <v>0.11488095238095238</v>
      </c>
    </row>
    <row r="252" spans="1:10">
      <c r="A252">
        <v>2026</v>
      </c>
      <c r="B252">
        <v>33</v>
      </c>
      <c r="C252" t="s">
        <v>66</v>
      </c>
      <c r="D252" t="s">
        <v>9</v>
      </c>
      <c r="E252" t="s">
        <v>204</v>
      </c>
      <c r="F252" t="s">
        <v>77</v>
      </c>
      <c r="G252" t="str">
        <f t="shared" si="6"/>
        <v>33001MOMENTUM</v>
      </c>
      <c r="H252">
        <f>VLOOKUP(G252,[1]Proyeccion_original!$G$2:$H$438,2,FALSE)</f>
        <v>2971</v>
      </c>
      <c r="I252">
        <v>3600</v>
      </c>
      <c r="J252">
        <f t="shared" si="7"/>
        <v>0.17472222222222222</v>
      </c>
    </row>
    <row r="253" spans="1:10">
      <c r="A253">
        <v>2026</v>
      </c>
      <c r="B253">
        <v>33</v>
      </c>
      <c r="C253" t="s">
        <v>66</v>
      </c>
      <c r="D253" t="s">
        <v>9</v>
      </c>
      <c r="E253" t="s">
        <v>186</v>
      </c>
      <c r="F253" t="s">
        <v>79</v>
      </c>
      <c r="G253" t="str">
        <f t="shared" si="6"/>
        <v>33002SUMMER ROMANCE</v>
      </c>
      <c r="H253">
        <f>VLOOKUP(G253,[1]Proyeccion_original!$G$2:$H$438,2,FALSE)</f>
        <v>1636</v>
      </c>
      <c r="I253">
        <v>1600</v>
      </c>
      <c r="J253">
        <f t="shared" si="7"/>
        <v>-2.2499999999999999E-2</v>
      </c>
    </row>
    <row r="254" spans="1:10">
      <c r="A254">
        <v>2026</v>
      </c>
      <c r="B254">
        <v>33</v>
      </c>
      <c r="C254" t="s">
        <v>66</v>
      </c>
      <c r="D254" t="s">
        <v>9</v>
      </c>
      <c r="E254" t="s">
        <v>186</v>
      </c>
      <c r="F254" t="s">
        <v>81</v>
      </c>
      <c r="G254" t="str">
        <f t="shared" si="6"/>
        <v>33002SWEETNESS</v>
      </c>
      <c r="H254">
        <f>VLOOKUP(G254,[1]Proyeccion_original!$G$2:$H$438,2,FALSE)</f>
        <v>6200</v>
      </c>
      <c r="I254">
        <v>5280</v>
      </c>
      <c r="J254">
        <f t="shared" si="7"/>
        <v>-0.17424242424242425</v>
      </c>
    </row>
    <row r="255" spans="1:10">
      <c r="A255">
        <v>2026</v>
      </c>
      <c r="B255">
        <v>33</v>
      </c>
      <c r="C255" t="s">
        <v>66</v>
      </c>
      <c r="D255" t="s">
        <v>9</v>
      </c>
      <c r="E255" t="s">
        <v>205</v>
      </c>
      <c r="F255" t="s">
        <v>83</v>
      </c>
      <c r="G255" t="str">
        <f t="shared" si="6"/>
        <v>33003CABARET</v>
      </c>
      <c r="H255">
        <f>VLOOKUP(G255,[1]Proyeccion_original!$G$2:$H$438,2,FALSE)</f>
        <v>4570</v>
      </c>
      <c r="I255">
        <v>3660</v>
      </c>
      <c r="J255">
        <f t="shared" si="7"/>
        <v>-0.24863387978142076</v>
      </c>
    </row>
    <row r="256" spans="1:10">
      <c r="A256">
        <v>2026</v>
      </c>
      <c r="B256">
        <v>33</v>
      </c>
      <c r="C256" t="s">
        <v>66</v>
      </c>
      <c r="D256" t="s">
        <v>9</v>
      </c>
      <c r="E256" t="s">
        <v>205</v>
      </c>
      <c r="F256" t="s">
        <v>85</v>
      </c>
      <c r="G256" t="str">
        <f t="shared" si="6"/>
        <v>33003DEEP PURPLE</v>
      </c>
      <c r="H256">
        <f>VLOOKUP(G256,[1]Proyeccion_original!$G$2:$H$438,2,FALSE)</f>
        <v>6798</v>
      </c>
      <c r="I256">
        <v>8220</v>
      </c>
      <c r="J256">
        <f t="shared" si="7"/>
        <v>0.17299270072992701</v>
      </c>
    </row>
    <row r="257" spans="1:10">
      <c r="A257">
        <v>2026</v>
      </c>
      <c r="B257">
        <v>33</v>
      </c>
      <c r="C257" t="s">
        <v>66</v>
      </c>
      <c r="D257" t="s">
        <v>9</v>
      </c>
      <c r="E257" t="s">
        <v>205</v>
      </c>
      <c r="F257" t="s">
        <v>69</v>
      </c>
      <c r="G257" t="str">
        <f t="shared" si="6"/>
        <v>33003EXPLORER</v>
      </c>
      <c r="H257">
        <f>VLOOKUP(G257,[1]Proyeccion_original!$G$2:$H$438,2,FALSE)</f>
        <v>1863</v>
      </c>
      <c r="I257">
        <v>1625</v>
      </c>
      <c r="J257">
        <f t="shared" si="7"/>
        <v>-0.14646153846153845</v>
      </c>
    </row>
    <row r="258" spans="1:10">
      <c r="A258">
        <v>2026</v>
      </c>
      <c r="B258">
        <v>33</v>
      </c>
      <c r="C258" t="s">
        <v>66</v>
      </c>
      <c r="D258" t="s">
        <v>9</v>
      </c>
      <c r="E258" t="s">
        <v>205</v>
      </c>
      <c r="F258" t="s">
        <v>88</v>
      </c>
      <c r="G258" t="str">
        <f t="shared" si="6"/>
        <v>33003JOCKER</v>
      </c>
      <c r="H258">
        <f>VLOOKUP(G258,[1]Proyeccion_original!$G$2:$H$438,2,FALSE)</f>
        <v>686</v>
      </c>
      <c r="I258">
        <v>1075</v>
      </c>
      <c r="J258">
        <f t="shared" si="7"/>
        <v>0.36186046511627906</v>
      </c>
    </row>
    <row r="259" spans="1:10">
      <c r="A259">
        <v>2026</v>
      </c>
      <c r="B259">
        <v>33</v>
      </c>
      <c r="C259" t="s">
        <v>66</v>
      </c>
      <c r="D259" t="s">
        <v>9</v>
      </c>
      <c r="E259" t="s">
        <v>205</v>
      </c>
      <c r="F259" t="s">
        <v>90</v>
      </c>
      <c r="G259" t="str">
        <f t="shared" ref="G259:G322" si="8">+B259&amp;E259&amp;F259</f>
        <v>33003QUICKSAND</v>
      </c>
      <c r="H259">
        <f>VLOOKUP(G259,[1]Proyeccion_original!$G$2:$H$438,2,FALSE)</f>
        <v>1253</v>
      </c>
      <c r="I259">
        <v>1980</v>
      </c>
      <c r="J259">
        <f t="shared" ref="J259:J322" si="9">+(I259-H259)/I259</f>
        <v>0.36717171717171715</v>
      </c>
    </row>
    <row r="260" spans="1:10">
      <c r="A260">
        <v>2026</v>
      </c>
      <c r="B260">
        <v>33</v>
      </c>
      <c r="C260" t="s">
        <v>66</v>
      </c>
      <c r="D260" t="s">
        <v>9</v>
      </c>
      <c r="E260" t="s">
        <v>187</v>
      </c>
      <c r="F260" t="s">
        <v>92</v>
      </c>
      <c r="G260" t="str">
        <f t="shared" si="8"/>
        <v>33004COTOPAXI</v>
      </c>
      <c r="H260">
        <f>VLOOKUP(G260,[1]Proyeccion_original!$G$2:$H$438,2,FALSE)</f>
        <v>836</v>
      </c>
      <c r="I260">
        <v>900</v>
      </c>
      <c r="J260">
        <f t="shared" si="9"/>
        <v>7.1111111111111111E-2</v>
      </c>
    </row>
    <row r="261" spans="1:10">
      <c r="A261">
        <v>2026</v>
      </c>
      <c r="B261">
        <v>33</v>
      </c>
      <c r="C261" t="s">
        <v>66</v>
      </c>
      <c r="D261" t="s">
        <v>9</v>
      </c>
      <c r="E261" t="s">
        <v>187</v>
      </c>
      <c r="F261" t="s">
        <v>85</v>
      </c>
      <c r="G261" t="str">
        <f t="shared" si="8"/>
        <v>33004DEEP PURPLE</v>
      </c>
      <c r="H261">
        <f>VLOOKUP(G261,[1]Proyeccion_original!$G$2:$H$438,2,FALSE)</f>
        <v>8063</v>
      </c>
      <c r="I261">
        <v>6030</v>
      </c>
      <c r="J261">
        <f t="shared" si="9"/>
        <v>-0.33714759535655059</v>
      </c>
    </row>
    <row r="262" spans="1:10">
      <c r="A262">
        <v>2026</v>
      </c>
      <c r="B262">
        <v>33</v>
      </c>
      <c r="C262" t="s">
        <v>66</v>
      </c>
      <c r="D262" t="s">
        <v>9</v>
      </c>
      <c r="E262" t="s">
        <v>187</v>
      </c>
      <c r="F262" t="s">
        <v>95</v>
      </c>
      <c r="G262" t="str">
        <f t="shared" si="8"/>
        <v>33004HOT EXPLORER</v>
      </c>
      <c r="H262">
        <f>VLOOKUP(G262,[1]Proyeccion_original!$G$2:$H$438,2,FALSE)</f>
        <v>2241</v>
      </c>
      <c r="I262">
        <v>1550</v>
      </c>
      <c r="J262">
        <f t="shared" si="9"/>
        <v>-0.44580645161290322</v>
      </c>
    </row>
    <row r="263" spans="1:10">
      <c r="A263">
        <v>2026</v>
      </c>
      <c r="B263">
        <v>33</v>
      </c>
      <c r="C263" t="s">
        <v>66</v>
      </c>
      <c r="D263" t="s">
        <v>9</v>
      </c>
      <c r="E263" t="s">
        <v>187</v>
      </c>
      <c r="F263" t="s">
        <v>97</v>
      </c>
      <c r="G263" t="str">
        <f t="shared" si="8"/>
        <v>33004HOT MERENGUE</v>
      </c>
      <c r="H263">
        <f>VLOOKUP(G263,[1]Proyeccion_original!$G$2:$H$438,2,FALSE)</f>
        <v>1903</v>
      </c>
      <c r="I263">
        <v>3120</v>
      </c>
      <c r="J263">
        <f t="shared" si="9"/>
        <v>0.39006410256410257</v>
      </c>
    </row>
    <row r="264" spans="1:10">
      <c r="A264">
        <v>2026</v>
      </c>
      <c r="B264">
        <v>33</v>
      </c>
      <c r="C264" t="s">
        <v>66</v>
      </c>
      <c r="D264" t="s">
        <v>9</v>
      </c>
      <c r="E264" t="s">
        <v>187</v>
      </c>
      <c r="F264" t="s">
        <v>81</v>
      </c>
      <c r="G264" t="str">
        <f t="shared" si="8"/>
        <v>33004SWEETNESS</v>
      </c>
      <c r="H264">
        <f>VLOOKUP(G264,[1]Proyeccion_original!$G$2:$H$438,2,FALSE)</f>
        <v>606</v>
      </c>
      <c r="I264">
        <v>510</v>
      </c>
      <c r="J264">
        <f t="shared" si="9"/>
        <v>-0.18823529411764706</v>
      </c>
    </row>
    <row r="265" spans="1:10">
      <c r="A265">
        <v>2026</v>
      </c>
      <c r="B265">
        <v>33</v>
      </c>
      <c r="C265" t="s">
        <v>66</v>
      </c>
      <c r="D265" t="s">
        <v>9</v>
      </c>
      <c r="E265" t="s">
        <v>188</v>
      </c>
      <c r="F265" t="s">
        <v>69</v>
      </c>
      <c r="G265" t="str">
        <f t="shared" si="8"/>
        <v>33005EXPLORER</v>
      </c>
      <c r="H265">
        <f>VLOOKUP(G265,[1]Proyeccion_original!$G$2:$H$438,2,FALSE)</f>
        <v>908</v>
      </c>
      <c r="I265">
        <v>1650</v>
      </c>
      <c r="J265">
        <f t="shared" si="9"/>
        <v>0.44969696969696971</v>
      </c>
    </row>
    <row r="266" spans="1:10">
      <c r="A266">
        <v>2026</v>
      </c>
      <c r="B266">
        <v>33</v>
      </c>
      <c r="C266" t="s">
        <v>66</v>
      </c>
      <c r="D266" t="s">
        <v>9</v>
      </c>
      <c r="E266" t="s">
        <v>188</v>
      </c>
      <c r="F266" t="s">
        <v>101</v>
      </c>
      <c r="G266" t="str">
        <f t="shared" si="8"/>
        <v>33005GOLDFINCH</v>
      </c>
      <c r="H266">
        <f>VLOOKUP(G266,[1]Proyeccion_original!$G$2:$H$438,2,FALSE)</f>
        <v>745</v>
      </c>
      <c r="I266">
        <v>825</v>
      </c>
      <c r="J266">
        <f t="shared" si="9"/>
        <v>9.696969696969697E-2</v>
      </c>
    </row>
    <row r="267" spans="1:10">
      <c r="A267">
        <v>2026</v>
      </c>
      <c r="B267">
        <v>33</v>
      </c>
      <c r="C267" t="s">
        <v>66</v>
      </c>
      <c r="D267" t="s">
        <v>9</v>
      </c>
      <c r="E267" t="s">
        <v>188</v>
      </c>
      <c r="F267" t="s">
        <v>88</v>
      </c>
      <c r="G267" t="str">
        <f t="shared" si="8"/>
        <v>33005JOCKER</v>
      </c>
      <c r="H267">
        <f>VLOOKUP(G267,[1]Proyeccion_original!$G$2:$H$438,2,FALSE)</f>
        <v>1737</v>
      </c>
      <c r="I267">
        <v>2425</v>
      </c>
      <c r="J267">
        <f t="shared" si="9"/>
        <v>0.28371134020618555</v>
      </c>
    </row>
    <row r="268" spans="1:10">
      <c r="A268">
        <v>2026</v>
      </c>
      <c r="B268">
        <v>33</v>
      </c>
      <c r="C268" t="s">
        <v>66</v>
      </c>
      <c r="D268" t="s">
        <v>9</v>
      </c>
      <c r="E268" t="s">
        <v>188</v>
      </c>
      <c r="F268" t="s">
        <v>104</v>
      </c>
      <c r="G268" t="str">
        <f t="shared" si="8"/>
        <v>33005VENDELA</v>
      </c>
      <c r="H268">
        <f>VLOOKUP(G268,[1]Proyeccion_original!$G$2:$H$438,2,FALSE)</f>
        <v>2104</v>
      </c>
      <c r="I268">
        <v>1590</v>
      </c>
      <c r="J268">
        <f t="shared" si="9"/>
        <v>-0.32327044025157231</v>
      </c>
    </row>
    <row r="269" spans="1:10">
      <c r="A269">
        <v>2026</v>
      </c>
      <c r="B269">
        <v>33</v>
      </c>
      <c r="C269" t="s">
        <v>66</v>
      </c>
      <c r="D269" t="s">
        <v>9</v>
      </c>
      <c r="E269" t="s">
        <v>206</v>
      </c>
      <c r="F269" t="s">
        <v>106</v>
      </c>
      <c r="G269" t="str">
        <f t="shared" si="8"/>
        <v>33006ATOMIC</v>
      </c>
      <c r="H269">
        <f>VLOOKUP(G269,[1]Proyeccion_original!$G$2:$H$438,2,FALSE)</f>
        <v>736</v>
      </c>
      <c r="I269" t="e">
        <v>#N/A</v>
      </c>
      <c r="J269" t="e">
        <f t="shared" si="9"/>
        <v>#N/A</v>
      </c>
    </row>
    <row r="270" spans="1:10">
      <c r="A270">
        <v>2026</v>
      </c>
      <c r="B270">
        <v>33</v>
      </c>
      <c r="C270" t="s">
        <v>66</v>
      </c>
      <c r="D270" t="s">
        <v>9</v>
      </c>
      <c r="E270" t="s">
        <v>206</v>
      </c>
      <c r="F270" t="s">
        <v>69</v>
      </c>
      <c r="G270" t="str">
        <f t="shared" si="8"/>
        <v>33006EXPLORER</v>
      </c>
      <c r="H270">
        <f>VLOOKUP(G270,[1]Proyeccion_original!$G$2:$H$438,2,FALSE)</f>
        <v>4685</v>
      </c>
      <c r="I270">
        <v>6775</v>
      </c>
      <c r="J270">
        <f t="shared" si="9"/>
        <v>0.30848708487084869</v>
      </c>
    </row>
    <row r="271" spans="1:10">
      <c r="A271">
        <v>2026</v>
      </c>
      <c r="B271">
        <v>33</v>
      </c>
      <c r="C271" t="s">
        <v>66</v>
      </c>
      <c r="D271" t="s">
        <v>9</v>
      </c>
      <c r="E271" t="s">
        <v>206</v>
      </c>
      <c r="F271" t="s">
        <v>109</v>
      </c>
      <c r="G271" t="str">
        <f t="shared" si="8"/>
        <v>33006MONDIAL</v>
      </c>
      <c r="H271">
        <f>VLOOKUP(G271,[1]Proyeccion_original!$G$2:$H$438,2,FALSE)</f>
        <v>4876</v>
      </c>
      <c r="I271">
        <v>6250</v>
      </c>
      <c r="J271">
        <f t="shared" si="9"/>
        <v>0.21984000000000001</v>
      </c>
    </row>
    <row r="272" spans="1:10">
      <c r="A272">
        <v>2026</v>
      </c>
      <c r="B272">
        <v>33</v>
      </c>
      <c r="C272" t="s">
        <v>66</v>
      </c>
      <c r="D272" t="s">
        <v>9</v>
      </c>
      <c r="E272" t="s">
        <v>189</v>
      </c>
      <c r="F272" t="s">
        <v>92</v>
      </c>
      <c r="G272" t="str">
        <f t="shared" si="8"/>
        <v>33007COTOPAXI</v>
      </c>
      <c r="H272">
        <f>VLOOKUP(G272,[1]Proyeccion_original!$G$2:$H$438,2,FALSE)</f>
        <v>5396</v>
      </c>
      <c r="I272">
        <v>3870</v>
      </c>
      <c r="J272">
        <f t="shared" si="9"/>
        <v>-0.3943152454780362</v>
      </c>
    </row>
    <row r="273" spans="1:10">
      <c r="A273">
        <v>2026</v>
      </c>
      <c r="B273">
        <v>33</v>
      </c>
      <c r="C273" t="s">
        <v>66</v>
      </c>
      <c r="D273" t="s">
        <v>9</v>
      </c>
      <c r="E273" t="s">
        <v>189</v>
      </c>
      <c r="F273" t="s">
        <v>112</v>
      </c>
      <c r="G273" t="str">
        <f t="shared" si="8"/>
        <v>33007REDIANT</v>
      </c>
      <c r="H273">
        <f>VLOOKUP(G273,[1]Proyeccion_original!$G$2:$H$438,2,FALSE)</f>
        <v>1301</v>
      </c>
      <c r="I273">
        <v>1320</v>
      </c>
      <c r="J273">
        <f t="shared" si="9"/>
        <v>1.4393939393939395E-2</v>
      </c>
    </row>
    <row r="274" spans="1:10">
      <c r="A274">
        <v>2026</v>
      </c>
      <c r="B274">
        <v>33</v>
      </c>
      <c r="C274" t="s">
        <v>66</v>
      </c>
      <c r="D274" t="s">
        <v>9</v>
      </c>
      <c r="E274" t="s">
        <v>189</v>
      </c>
      <c r="F274" t="s">
        <v>104</v>
      </c>
      <c r="G274" t="str">
        <f t="shared" si="8"/>
        <v>33007VENDELA</v>
      </c>
      <c r="H274">
        <f>VLOOKUP(G274,[1]Proyeccion_original!$G$2:$H$438,2,FALSE)</f>
        <v>14498</v>
      </c>
      <c r="I274">
        <v>8190</v>
      </c>
      <c r="J274">
        <f t="shared" si="9"/>
        <v>-0.77020757020757025</v>
      </c>
    </row>
    <row r="275" spans="1:10">
      <c r="A275">
        <v>2026</v>
      </c>
      <c r="B275">
        <v>33</v>
      </c>
      <c r="C275" t="s">
        <v>66</v>
      </c>
      <c r="D275" t="s">
        <v>9</v>
      </c>
      <c r="E275" t="s">
        <v>207</v>
      </c>
      <c r="F275" t="s">
        <v>85</v>
      </c>
      <c r="G275" t="str">
        <f t="shared" si="8"/>
        <v>33008DEEP PURPLE</v>
      </c>
      <c r="H275">
        <f>VLOOKUP(G275,[1]Proyeccion_original!$G$2:$H$438,2,FALSE)</f>
        <v>2653</v>
      </c>
      <c r="I275">
        <v>3570</v>
      </c>
      <c r="J275">
        <f t="shared" si="9"/>
        <v>0.25686274509803919</v>
      </c>
    </row>
    <row r="276" spans="1:10">
      <c r="A276">
        <v>2026</v>
      </c>
      <c r="B276">
        <v>33</v>
      </c>
      <c r="C276" t="s">
        <v>66</v>
      </c>
      <c r="D276" t="s">
        <v>9</v>
      </c>
      <c r="E276" t="s">
        <v>207</v>
      </c>
      <c r="F276" t="s">
        <v>116</v>
      </c>
      <c r="G276" t="str">
        <f t="shared" si="8"/>
        <v>33008FREEDOM</v>
      </c>
      <c r="H276">
        <f>VLOOKUP(G276,[1]Proyeccion_original!$G$2:$H$438,2,FALSE)</f>
        <v>3164</v>
      </c>
      <c r="I276">
        <v>3870</v>
      </c>
      <c r="J276">
        <f t="shared" si="9"/>
        <v>0.18242894056847545</v>
      </c>
    </row>
    <row r="277" spans="1:10">
      <c r="A277">
        <v>2026</v>
      </c>
      <c r="B277">
        <v>33</v>
      </c>
      <c r="C277" t="s">
        <v>66</v>
      </c>
      <c r="D277" t="s">
        <v>9</v>
      </c>
      <c r="E277" t="s">
        <v>207</v>
      </c>
      <c r="F277" t="s">
        <v>88</v>
      </c>
      <c r="G277" t="str">
        <f t="shared" si="8"/>
        <v>33008JOCKER</v>
      </c>
      <c r="H277">
        <f>VLOOKUP(G277,[1]Proyeccion_original!$G$2:$H$438,2,FALSE)</f>
        <v>3699</v>
      </c>
      <c r="I277">
        <v>5600</v>
      </c>
      <c r="J277">
        <f t="shared" si="9"/>
        <v>0.33946428571428572</v>
      </c>
    </row>
    <row r="278" spans="1:10">
      <c r="A278">
        <v>2026</v>
      </c>
      <c r="B278">
        <v>33</v>
      </c>
      <c r="C278" t="s">
        <v>66</v>
      </c>
      <c r="D278" t="s">
        <v>9</v>
      </c>
      <c r="E278" t="s">
        <v>208</v>
      </c>
      <c r="F278" t="s">
        <v>119</v>
      </c>
      <c r="G278" t="str">
        <f t="shared" si="8"/>
        <v>33010COOLDOWN</v>
      </c>
      <c r="H278">
        <f>VLOOKUP(G278,[1]Proyeccion_original!$G$2:$H$438,2,FALSE)</f>
        <v>2861</v>
      </c>
      <c r="I278">
        <v>3075</v>
      </c>
      <c r="J278">
        <f t="shared" si="9"/>
        <v>6.9593495934959351E-2</v>
      </c>
    </row>
    <row r="279" spans="1:10">
      <c r="A279">
        <v>2026</v>
      </c>
      <c r="B279">
        <v>33</v>
      </c>
      <c r="C279" t="s">
        <v>66</v>
      </c>
      <c r="D279" t="s">
        <v>9</v>
      </c>
      <c r="E279" t="s">
        <v>208</v>
      </c>
      <c r="F279" t="s">
        <v>121</v>
      </c>
      <c r="G279" t="str">
        <f t="shared" si="8"/>
        <v>33010VIOLET HILL</v>
      </c>
      <c r="H279">
        <f>VLOOKUP(G279,[1]Proyeccion_original!$G$2:$H$438,2,FALSE)</f>
        <v>3033</v>
      </c>
      <c r="I279">
        <v>5730</v>
      </c>
      <c r="J279">
        <f t="shared" si="9"/>
        <v>0.47068062827225132</v>
      </c>
    </row>
    <row r="280" spans="1:10">
      <c r="A280">
        <v>2026</v>
      </c>
      <c r="B280">
        <v>33</v>
      </c>
      <c r="C280" t="s">
        <v>66</v>
      </c>
      <c r="D280" t="s">
        <v>9</v>
      </c>
      <c r="E280" t="s">
        <v>209</v>
      </c>
      <c r="F280" t="s">
        <v>123</v>
      </c>
      <c r="G280" t="str">
        <f t="shared" si="8"/>
        <v>33011BRIGHTON</v>
      </c>
      <c r="H280">
        <f>VLOOKUP(G280,[1]Proyeccion_original!$G$2:$H$438,2,FALSE)</f>
        <v>3705</v>
      </c>
      <c r="I280">
        <v>2475</v>
      </c>
      <c r="J280">
        <f t="shared" si="9"/>
        <v>-0.49696969696969695</v>
      </c>
    </row>
    <row r="281" spans="1:10">
      <c r="A281">
        <v>2026</v>
      </c>
      <c r="B281">
        <v>33</v>
      </c>
      <c r="C281" t="s">
        <v>66</v>
      </c>
      <c r="D281" t="s">
        <v>9</v>
      </c>
      <c r="E281" t="s">
        <v>209</v>
      </c>
      <c r="F281" t="s">
        <v>125</v>
      </c>
      <c r="G281" t="str">
        <f t="shared" si="8"/>
        <v>33011CANDLELIGHT</v>
      </c>
      <c r="H281">
        <f>VLOOKUP(G281,[1]Proyeccion_original!$G$2:$H$438,2,FALSE)</f>
        <v>3905</v>
      </c>
      <c r="I281">
        <v>3380</v>
      </c>
      <c r="J281">
        <f t="shared" si="9"/>
        <v>-0.15532544378698224</v>
      </c>
    </row>
    <row r="282" spans="1:10">
      <c r="A282">
        <v>2026</v>
      </c>
      <c r="B282">
        <v>33</v>
      </c>
      <c r="C282" t="s">
        <v>66</v>
      </c>
      <c r="D282" t="s">
        <v>9</v>
      </c>
      <c r="E282" t="s">
        <v>209</v>
      </c>
      <c r="F282" t="s">
        <v>127</v>
      </c>
      <c r="G282" t="str">
        <f t="shared" si="8"/>
        <v>33011CAYENNE</v>
      </c>
      <c r="H282">
        <f>VLOOKUP(G282,[1]Proyeccion_original!$G$2:$H$438,2,FALSE)</f>
        <v>1061</v>
      </c>
      <c r="I282">
        <v>1170</v>
      </c>
      <c r="J282">
        <f t="shared" si="9"/>
        <v>9.3162393162393164E-2</v>
      </c>
    </row>
    <row r="283" spans="1:10">
      <c r="A283">
        <v>2026</v>
      </c>
      <c r="B283">
        <v>33</v>
      </c>
      <c r="C283" t="s">
        <v>66</v>
      </c>
      <c r="D283" t="s">
        <v>9</v>
      </c>
      <c r="E283" t="s">
        <v>209</v>
      </c>
      <c r="F283" t="s">
        <v>75</v>
      </c>
      <c r="G283" t="str">
        <f t="shared" si="8"/>
        <v>33011LUMIA</v>
      </c>
      <c r="H283">
        <f>VLOOKUP(G283,[1]Proyeccion_original!$G$2:$H$438,2,FALSE)</f>
        <v>1431</v>
      </c>
      <c r="I283">
        <v>1590</v>
      </c>
      <c r="J283">
        <f t="shared" si="9"/>
        <v>0.1</v>
      </c>
    </row>
    <row r="284" spans="1:10">
      <c r="A284">
        <v>2026</v>
      </c>
      <c r="B284">
        <v>33</v>
      </c>
      <c r="C284" t="s">
        <v>66</v>
      </c>
      <c r="D284" t="s">
        <v>9</v>
      </c>
      <c r="E284" t="s">
        <v>209</v>
      </c>
      <c r="F284" t="s">
        <v>130</v>
      </c>
      <c r="G284" t="str">
        <f t="shared" si="8"/>
        <v>33011STARDUST</v>
      </c>
      <c r="H284">
        <f>VLOOKUP(G284,[1]Proyeccion_original!$G$2:$H$438,2,FALSE)</f>
        <v>2224</v>
      </c>
      <c r="I284">
        <v>2275</v>
      </c>
      <c r="J284">
        <f t="shared" si="9"/>
        <v>2.2417582417582418E-2</v>
      </c>
    </row>
    <row r="285" spans="1:10">
      <c r="A285">
        <v>2026</v>
      </c>
      <c r="B285">
        <v>33</v>
      </c>
      <c r="C285" t="s">
        <v>66</v>
      </c>
      <c r="D285" t="s">
        <v>9</v>
      </c>
      <c r="E285" t="s">
        <v>210</v>
      </c>
      <c r="F285" t="s">
        <v>85</v>
      </c>
      <c r="G285" t="str">
        <f t="shared" si="8"/>
        <v>33012DEEP PURPLE</v>
      </c>
      <c r="H285">
        <f>VLOOKUP(G285,[1]Proyeccion_original!$G$2:$H$438,2,FALSE)</f>
        <v>11272</v>
      </c>
      <c r="I285">
        <v>12570</v>
      </c>
      <c r="J285">
        <f t="shared" si="9"/>
        <v>0.10326173428798727</v>
      </c>
    </row>
    <row r="286" spans="1:10">
      <c r="A286">
        <v>2026</v>
      </c>
      <c r="B286">
        <v>33</v>
      </c>
      <c r="C286" t="s">
        <v>66</v>
      </c>
      <c r="D286" t="s">
        <v>9</v>
      </c>
      <c r="E286" t="s">
        <v>210</v>
      </c>
      <c r="F286" t="s">
        <v>73</v>
      </c>
      <c r="G286" t="str">
        <f t="shared" si="8"/>
        <v>33012LIGHT HOUSE</v>
      </c>
      <c r="H286">
        <f>VLOOKUP(G286,[1]Proyeccion_original!$G$2:$H$438,2,FALSE)</f>
        <v>1039</v>
      </c>
      <c r="I286">
        <v>840</v>
      </c>
      <c r="J286">
        <f t="shared" si="9"/>
        <v>-0.2369047619047619</v>
      </c>
    </row>
    <row r="287" spans="1:10">
      <c r="A287">
        <v>2026</v>
      </c>
      <c r="B287">
        <v>33</v>
      </c>
      <c r="C287" t="s">
        <v>66</v>
      </c>
      <c r="D287" t="s">
        <v>9</v>
      </c>
      <c r="E287" t="s">
        <v>211</v>
      </c>
      <c r="F287" t="s">
        <v>134</v>
      </c>
      <c r="G287" t="str">
        <f t="shared" si="8"/>
        <v>33013COUNTRY BLUES</v>
      </c>
      <c r="H287">
        <f>VLOOKUP(G287,[1]Proyeccion_original!$G$2:$H$438,2,FALSE)</f>
        <v>1371</v>
      </c>
      <c r="I287">
        <v>720</v>
      </c>
      <c r="J287">
        <f t="shared" si="9"/>
        <v>-0.90416666666666667</v>
      </c>
    </row>
    <row r="288" spans="1:10">
      <c r="A288">
        <v>2026</v>
      </c>
      <c r="B288">
        <v>33</v>
      </c>
      <c r="C288" t="s">
        <v>66</v>
      </c>
      <c r="D288" t="s">
        <v>9</v>
      </c>
      <c r="E288" t="s">
        <v>211</v>
      </c>
      <c r="F288" t="s">
        <v>136</v>
      </c>
      <c r="G288" t="str">
        <f t="shared" si="8"/>
        <v>33013LORRAINE</v>
      </c>
      <c r="H288">
        <f>VLOOKUP(G288,[1]Proyeccion_original!$G$2:$H$438,2,FALSE)</f>
        <v>3258</v>
      </c>
      <c r="I288">
        <v>2325</v>
      </c>
      <c r="J288">
        <f t="shared" si="9"/>
        <v>-0.40129032258064518</v>
      </c>
    </row>
    <row r="289" spans="1:10">
      <c r="A289">
        <v>2026</v>
      </c>
      <c r="B289">
        <v>33</v>
      </c>
      <c r="C289" t="s">
        <v>66</v>
      </c>
      <c r="D289" t="s">
        <v>9</v>
      </c>
      <c r="E289" t="s">
        <v>211</v>
      </c>
      <c r="F289" t="s">
        <v>75</v>
      </c>
      <c r="G289" t="str">
        <f t="shared" si="8"/>
        <v>33013LUMIA</v>
      </c>
      <c r="H289">
        <f>VLOOKUP(G289,[1]Proyeccion_original!$G$2:$H$438,2,FALSE)</f>
        <v>285</v>
      </c>
      <c r="I289">
        <v>480</v>
      </c>
      <c r="J289">
        <f t="shared" si="9"/>
        <v>0.40625</v>
      </c>
    </row>
    <row r="290" spans="1:10">
      <c r="A290">
        <v>2026</v>
      </c>
      <c r="B290">
        <v>33</v>
      </c>
      <c r="C290" t="s">
        <v>66</v>
      </c>
      <c r="D290" t="s">
        <v>9</v>
      </c>
      <c r="E290" t="s">
        <v>211</v>
      </c>
      <c r="F290" t="s">
        <v>104</v>
      </c>
      <c r="G290" t="str">
        <f t="shared" si="8"/>
        <v>33013VENDELA</v>
      </c>
      <c r="H290">
        <f>VLOOKUP(G290,[1]Proyeccion_original!$G$2:$H$438,2,FALSE)</f>
        <v>10060</v>
      </c>
      <c r="I290">
        <v>6090</v>
      </c>
      <c r="J290">
        <f t="shared" si="9"/>
        <v>-0.65188834154351394</v>
      </c>
    </row>
    <row r="291" spans="1:10">
      <c r="A291">
        <v>2026</v>
      </c>
      <c r="B291">
        <v>33</v>
      </c>
      <c r="C291" t="s">
        <v>66</v>
      </c>
      <c r="D291" t="s">
        <v>9</v>
      </c>
      <c r="E291" t="s">
        <v>191</v>
      </c>
      <c r="F291" t="s">
        <v>130</v>
      </c>
      <c r="G291" t="str">
        <f t="shared" si="8"/>
        <v>33014STARDUST</v>
      </c>
      <c r="H291">
        <f>VLOOKUP(G291,[1]Proyeccion_original!$G$2:$H$438,2,FALSE)</f>
        <v>3922</v>
      </c>
      <c r="I291">
        <v>4650</v>
      </c>
      <c r="J291">
        <f t="shared" si="9"/>
        <v>0.15655913978494623</v>
      </c>
    </row>
    <row r="292" spans="1:10">
      <c r="A292">
        <v>2026</v>
      </c>
      <c r="B292">
        <v>33</v>
      </c>
      <c r="C292" t="s">
        <v>66</v>
      </c>
      <c r="D292" t="s">
        <v>9</v>
      </c>
      <c r="E292" t="s">
        <v>192</v>
      </c>
      <c r="F292" t="s">
        <v>88</v>
      </c>
      <c r="G292" t="str">
        <f t="shared" si="8"/>
        <v>33015JOCKER</v>
      </c>
      <c r="H292">
        <f>VLOOKUP(G292,[1]Proyeccion_original!$G$2:$H$438,2,FALSE)</f>
        <v>3215</v>
      </c>
      <c r="I292">
        <v>2975</v>
      </c>
      <c r="J292">
        <f t="shared" si="9"/>
        <v>-8.067226890756303E-2</v>
      </c>
    </row>
    <row r="293" spans="1:10">
      <c r="A293">
        <v>2026</v>
      </c>
      <c r="B293">
        <v>33</v>
      </c>
      <c r="C293" t="s">
        <v>66</v>
      </c>
      <c r="D293" t="s">
        <v>9</v>
      </c>
      <c r="E293" t="s">
        <v>193</v>
      </c>
      <c r="F293" t="s">
        <v>142</v>
      </c>
      <c r="G293" t="str">
        <f t="shared" si="8"/>
        <v>33016DREAM IN PEACH</v>
      </c>
      <c r="H293">
        <f>VLOOKUP(G293,[1]Proyeccion_original!$G$2:$H$438,2,FALSE)</f>
        <v>742</v>
      </c>
      <c r="I293">
        <v>1500</v>
      </c>
      <c r="J293">
        <f t="shared" si="9"/>
        <v>0.5053333333333333</v>
      </c>
    </row>
    <row r="294" spans="1:10">
      <c r="A294">
        <v>2026</v>
      </c>
      <c r="B294">
        <v>33</v>
      </c>
      <c r="C294" t="s">
        <v>66</v>
      </c>
      <c r="D294" t="s">
        <v>9</v>
      </c>
      <c r="E294" t="s">
        <v>193</v>
      </c>
      <c r="F294" t="s">
        <v>144</v>
      </c>
      <c r="G294" t="str">
        <f t="shared" si="8"/>
        <v>33016NINA</v>
      </c>
      <c r="H294">
        <f>VLOOKUP(G294,[1]Proyeccion_original!$G$2:$H$438,2,FALSE)</f>
        <v>2567</v>
      </c>
      <c r="I294">
        <v>2425</v>
      </c>
      <c r="J294">
        <f t="shared" si="9"/>
        <v>-5.8556701030927832E-2</v>
      </c>
    </row>
    <row r="295" spans="1:10">
      <c r="A295">
        <v>2026</v>
      </c>
      <c r="B295">
        <v>33</v>
      </c>
      <c r="C295" t="s">
        <v>66</v>
      </c>
      <c r="D295" t="s">
        <v>9</v>
      </c>
      <c r="E295" t="s">
        <v>194</v>
      </c>
      <c r="F295" t="s">
        <v>116</v>
      </c>
      <c r="G295" t="str">
        <f t="shared" si="8"/>
        <v>33017FREEDOM</v>
      </c>
      <c r="H295">
        <f>VLOOKUP(G295,[1]Proyeccion_original!$G$2:$H$438,2,FALSE)</f>
        <v>3831</v>
      </c>
      <c r="I295">
        <v>5700</v>
      </c>
      <c r="J295">
        <f t="shared" si="9"/>
        <v>0.32789473684210524</v>
      </c>
    </row>
    <row r="296" spans="1:10">
      <c r="A296">
        <v>2026</v>
      </c>
      <c r="B296">
        <v>33</v>
      </c>
      <c r="C296" t="s">
        <v>66</v>
      </c>
      <c r="D296" t="s">
        <v>9</v>
      </c>
      <c r="E296" t="s">
        <v>194</v>
      </c>
      <c r="F296" t="s">
        <v>101</v>
      </c>
      <c r="G296" t="str">
        <f t="shared" si="8"/>
        <v>33017GOLDFINCH</v>
      </c>
      <c r="H296">
        <f>VLOOKUP(G296,[1]Proyeccion_original!$G$2:$H$438,2,FALSE)</f>
        <v>1904</v>
      </c>
      <c r="I296">
        <v>1850</v>
      </c>
      <c r="J296">
        <f t="shared" si="9"/>
        <v>-2.9189189189189189E-2</v>
      </c>
    </row>
    <row r="297" spans="1:10">
      <c r="A297">
        <v>2026</v>
      </c>
      <c r="B297">
        <v>33</v>
      </c>
      <c r="C297" t="s">
        <v>66</v>
      </c>
      <c r="D297" t="s">
        <v>9</v>
      </c>
      <c r="E297" t="s">
        <v>195</v>
      </c>
      <c r="F297" t="s">
        <v>123</v>
      </c>
      <c r="G297" t="str">
        <f t="shared" si="8"/>
        <v>33018BRIGHTON</v>
      </c>
      <c r="H297">
        <f>VLOOKUP(G297,[1]Proyeccion_original!$G$2:$H$438,2,FALSE)</f>
        <v>1369</v>
      </c>
      <c r="I297">
        <v>1225</v>
      </c>
      <c r="J297">
        <f t="shared" si="9"/>
        <v>-0.11755102040816326</v>
      </c>
    </row>
    <row r="298" spans="1:10">
      <c r="A298">
        <v>2026</v>
      </c>
      <c r="B298">
        <v>33</v>
      </c>
      <c r="C298" t="s">
        <v>66</v>
      </c>
      <c r="D298" t="s">
        <v>9</v>
      </c>
      <c r="E298" t="s">
        <v>196</v>
      </c>
      <c r="F298" t="s">
        <v>123</v>
      </c>
      <c r="G298" t="str">
        <f t="shared" si="8"/>
        <v>33019BRIGHTON</v>
      </c>
      <c r="H298">
        <f>VLOOKUP(G298,[1]Proyeccion_original!$G$2:$H$438,2,FALSE)</f>
        <v>4061</v>
      </c>
      <c r="I298">
        <v>5400</v>
      </c>
      <c r="J298">
        <f t="shared" si="9"/>
        <v>0.24796296296296297</v>
      </c>
    </row>
    <row r="299" spans="1:10">
      <c r="A299">
        <v>2026</v>
      </c>
      <c r="B299">
        <v>33</v>
      </c>
      <c r="C299" t="s">
        <v>66</v>
      </c>
      <c r="D299" t="s">
        <v>9</v>
      </c>
      <c r="E299" t="s">
        <v>196</v>
      </c>
      <c r="F299" t="s">
        <v>150</v>
      </c>
      <c r="G299" t="str">
        <f t="shared" si="8"/>
        <v>33019TABATHA</v>
      </c>
      <c r="H299">
        <f>VLOOKUP(G299,[1]Proyeccion_original!$G$2:$H$438,2,FALSE)</f>
        <v>2020</v>
      </c>
      <c r="I299">
        <v>2610</v>
      </c>
      <c r="J299">
        <f t="shared" si="9"/>
        <v>0.22605363984674329</v>
      </c>
    </row>
    <row r="300" spans="1:10">
      <c r="A300">
        <v>2026</v>
      </c>
      <c r="B300">
        <v>33</v>
      </c>
      <c r="C300" t="s">
        <v>66</v>
      </c>
      <c r="D300" t="s">
        <v>9</v>
      </c>
      <c r="E300" t="s">
        <v>197</v>
      </c>
      <c r="F300" t="s">
        <v>123</v>
      </c>
      <c r="G300" t="str">
        <f t="shared" si="8"/>
        <v>33020BRIGHTON</v>
      </c>
      <c r="H300">
        <f>VLOOKUP(G300,[1]Proyeccion_original!$G$2:$H$438,2,FALSE)</f>
        <v>4028</v>
      </c>
      <c r="I300">
        <v>4125</v>
      </c>
      <c r="J300">
        <f t="shared" si="9"/>
        <v>2.3515151515151517E-2</v>
      </c>
    </row>
    <row r="301" spans="1:10">
      <c r="A301">
        <v>2026</v>
      </c>
      <c r="B301">
        <v>33</v>
      </c>
      <c r="C301" t="s">
        <v>66</v>
      </c>
      <c r="D301" t="s">
        <v>9</v>
      </c>
      <c r="E301" t="s">
        <v>197</v>
      </c>
      <c r="F301" t="s">
        <v>153</v>
      </c>
      <c r="G301" t="str">
        <f t="shared" si="8"/>
        <v>33020TYCOON</v>
      </c>
      <c r="H301">
        <f>VLOOKUP(G301,[1]Proyeccion_original!$G$2:$H$438,2,FALSE)</f>
        <v>934</v>
      </c>
      <c r="I301">
        <v>840</v>
      </c>
      <c r="J301">
        <f t="shared" si="9"/>
        <v>-0.11190476190476191</v>
      </c>
    </row>
    <row r="302" spans="1:10">
      <c r="A302">
        <v>2026</v>
      </c>
      <c r="B302">
        <v>33</v>
      </c>
      <c r="C302" t="s">
        <v>66</v>
      </c>
      <c r="D302" t="s">
        <v>9</v>
      </c>
      <c r="E302" t="s">
        <v>198</v>
      </c>
      <c r="F302" t="s">
        <v>155</v>
      </c>
      <c r="G302" t="str">
        <f t="shared" si="8"/>
        <v>33021SHOW GIRL</v>
      </c>
      <c r="H302">
        <f>VLOOKUP(G302,[1]Proyeccion_original!$G$2:$H$438,2,FALSE)</f>
        <v>1739</v>
      </c>
      <c r="I302">
        <v>1400</v>
      </c>
      <c r="J302">
        <f t="shared" si="9"/>
        <v>-0.24214285714285713</v>
      </c>
    </row>
    <row r="303" spans="1:10">
      <c r="A303">
        <v>2026</v>
      </c>
      <c r="B303">
        <v>33</v>
      </c>
      <c r="C303" t="s">
        <v>66</v>
      </c>
      <c r="D303" t="s">
        <v>9</v>
      </c>
      <c r="E303" t="s">
        <v>199</v>
      </c>
      <c r="F303" t="s">
        <v>157</v>
      </c>
      <c r="G303" t="str">
        <f t="shared" si="8"/>
        <v>33022CORAL REEF</v>
      </c>
      <c r="H303">
        <f>VLOOKUP(G303,[1]Proyeccion_original!$G$2:$H$438,2,FALSE)</f>
        <v>1262</v>
      </c>
      <c r="I303">
        <v>1800</v>
      </c>
      <c r="J303">
        <f t="shared" si="9"/>
        <v>0.29888888888888887</v>
      </c>
    </row>
    <row r="304" spans="1:10">
      <c r="A304">
        <v>2026</v>
      </c>
      <c r="B304">
        <v>33</v>
      </c>
      <c r="C304" t="s">
        <v>66</v>
      </c>
      <c r="D304" t="s">
        <v>9</v>
      </c>
      <c r="E304" t="s">
        <v>212</v>
      </c>
      <c r="F304" t="s">
        <v>92</v>
      </c>
      <c r="G304" t="str">
        <f t="shared" si="8"/>
        <v>33023COTOPAXI</v>
      </c>
      <c r="H304">
        <f>VLOOKUP(G304,[1]Proyeccion_original!$G$2:$H$438,2,FALSE)</f>
        <v>5760</v>
      </c>
      <c r="I304">
        <v>4740</v>
      </c>
      <c r="J304">
        <f t="shared" si="9"/>
        <v>-0.21518987341772153</v>
      </c>
    </row>
    <row r="305" spans="1:10">
      <c r="A305">
        <v>2026</v>
      </c>
      <c r="B305">
        <v>33</v>
      </c>
      <c r="C305" t="s">
        <v>66</v>
      </c>
      <c r="D305" t="s">
        <v>9</v>
      </c>
      <c r="E305" t="s">
        <v>212</v>
      </c>
      <c r="F305" t="s">
        <v>160</v>
      </c>
      <c r="G305" t="str">
        <f t="shared" si="8"/>
        <v>33023FRUTTETO</v>
      </c>
      <c r="H305">
        <f>VLOOKUP(G305,[1]Proyeccion_original!$G$2:$H$438,2,FALSE)</f>
        <v>4000</v>
      </c>
      <c r="I305">
        <v>3870</v>
      </c>
      <c r="J305">
        <f t="shared" si="9"/>
        <v>-3.3591731266149873E-2</v>
      </c>
    </row>
    <row r="306" spans="1:10">
      <c r="A306">
        <v>2026</v>
      </c>
      <c r="B306">
        <v>33</v>
      </c>
      <c r="C306" t="s">
        <v>66</v>
      </c>
      <c r="D306" t="s">
        <v>9</v>
      </c>
      <c r="E306" t="s">
        <v>213</v>
      </c>
      <c r="F306" t="s">
        <v>92</v>
      </c>
      <c r="G306" t="str">
        <f t="shared" si="8"/>
        <v>33024COTOPAXI</v>
      </c>
      <c r="H306">
        <f>VLOOKUP(G306,[1]Proyeccion_original!$G$2:$H$438,2,FALSE)</f>
        <v>2685</v>
      </c>
      <c r="I306">
        <v>3000</v>
      </c>
      <c r="J306">
        <f t="shared" si="9"/>
        <v>0.105</v>
      </c>
    </row>
    <row r="307" spans="1:10">
      <c r="A307">
        <v>2026</v>
      </c>
      <c r="B307">
        <v>33</v>
      </c>
      <c r="C307" t="s">
        <v>66</v>
      </c>
      <c r="D307" t="s">
        <v>9</v>
      </c>
      <c r="E307" t="s">
        <v>213</v>
      </c>
      <c r="F307" t="s">
        <v>81</v>
      </c>
      <c r="G307" t="str">
        <f t="shared" si="8"/>
        <v>33024SWEETNESS</v>
      </c>
      <c r="H307">
        <f>VLOOKUP(G307,[1]Proyeccion_original!$G$2:$H$438,2,FALSE)</f>
        <v>1194</v>
      </c>
      <c r="I307">
        <v>1710</v>
      </c>
      <c r="J307">
        <f t="shared" si="9"/>
        <v>0.30175438596491228</v>
      </c>
    </row>
    <row r="308" spans="1:10">
      <c r="A308">
        <v>2026</v>
      </c>
      <c r="B308">
        <v>33</v>
      </c>
      <c r="C308" t="s">
        <v>66</v>
      </c>
      <c r="D308" t="s">
        <v>9</v>
      </c>
      <c r="E308" t="s">
        <v>213</v>
      </c>
      <c r="F308" t="s">
        <v>153</v>
      </c>
      <c r="G308" t="str">
        <f t="shared" si="8"/>
        <v>33024TYCOON</v>
      </c>
      <c r="H308">
        <f>VLOOKUP(G308,[1]Proyeccion_original!$G$2:$H$438,2,FALSE)</f>
        <v>2299</v>
      </c>
      <c r="I308">
        <v>3240</v>
      </c>
      <c r="J308">
        <f t="shared" si="9"/>
        <v>0.29043209876543208</v>
      </c>
    </row>
    <row r="309" spans="1:10">
      <c r="A309">
        <v>2026</v>
      </c>
      <c r="B309">
        <v>33</v>
      </c>
      <c r="C309" t="s">
        <v>66</v>
      </c>
      <c r="D309" t="s">
        <v>9</v>
      </c>
      <c r="E309" t="s">
        <v>214</v>
      </c>
      <c r="F309" t="s">
        <v>165</v>
      </c>
      <c r="G309" t="str">
        <f t="shared" si="8"/>
        <v>33025PINK MONDIAL</v>
      </c>
      <c r="H309">
        <f>VLOOKUP(G309,[1]Proyeccion_original!$G$2:$H$438,2,FALSE)</f>
        <v>3605</v>
      </c>
      <c r="I309">
        <v>4625</v>
      </c>
      <c r="J309">
        <f t="shared" si="9"/>
        <v>0.22054054054054054</v>
      </c>
    </row>
    <row r="310" spans="1:10">
      <c r="A310">
        <v>2026</v>
      </c>
      <c r="B310">
        <v>33</v>
      </c>
      <c r="C310" t="s">
        <v>66</v>
      </c>
      <c r="D310" t="s">
        <v>9</v>
      </c>
      <c r="E310" t="s">
        <v>215</v>
      </c>
      <c r="F310" t="s">
        <v>167</v>
      </c>
      <c r="G310" t="str">
        <f t="shared" si="8"/>
        <v>33026LOLA</v>
      </c>
      <c r="H310">
        <f>VLOOKUP(G310,[1]Proyeccion_original!$G$2:$H$438,2,FALSE)</f>
        <v>2556</v>
      </c>
      <c r="I310">
        <v>3050</v>
      </c>
      <c r="J310">
        <f t="shared" si="9"/>
        <v>0.16196721311475409</v>
      </c>
    </row>
    <row r="311" spans="1:10">
      <c r="A311">
        <v>2026</v>
      </c>
      <c r="B311">
        <v>33</v>
      </c>
      <c r="C311" t="s">
        <v>66</v>
      </c>
      <c r="D311" t="s">
        <v>9</v>
      </c>
      <c r="E311" t="s">
        <v>215</v>
      </c>
      <c r="F311" t="s">
        <v>169</v>
      </c>
      <c r="G311" t="str">
        <f t="shared" si="8"/>
        <v>33026PALOMA</v>
      </c>
      <c r="H311">
        <f>VLOOKUP(G311,[1]Proyeccion_original!$G$2:$H$438,2,FALSE)</f>
        <v>3879</v>
      </c>
      <c r="I311">
        <v>3275</v>
      </c>
      <c r="J311">
        <f t="shared" si="9"/>
        <v>-0.18442748091603053</v>
      </c>
    </row>
    <row r="312" spans="1:10">
      <c r="A312">
        <v>2026</v>
      </c>
      <c r="B312">
        <v>33</v>
      </c>
      <c r="C312" t="s">
        <v>66</v>
      </c>
      <c r="D312" t="s">
        <v>9</v>
      </c>
      <c r="E312" t="s">
        <v>216</v>
      </c>
      <c r="F312" t="s">
        <v>171</v>
      </c>
      <c r="G312" t="str">
        <f t="shared" si="8"/>
        <v>33027SATISFACTION</v>
      </c>
      <c r="H312">
        <f>VLOOKUP(G312,[1]Proyeccion_original!$G$2:$H$438,2,FALSE)</f>
        <v>2851</v>
      </c>
      <c r="I312">
        <v>3480</v>
      </c>
      <c r="J312">
        <f t="shared" si="9"/>
        <v>0.18074712643678162</v>
      </c>
    </row>
    <row r="313" spans="1:10">
      <c r="A313">
        <v>2026</v>
      </c>
      <c r="B313">
        <v>33</v>
      </c>
      <c r="C313" t="s">
        <v>66</v>
      </c>
      <c r="D313" t="s">
        <v>9</v>
      </c>
      <c r="E313" t="s">
        <v>216</v>
      </c>
      <c r="F313" t="s">
        <v>173</v>
      </c>
      <c r="G313" t="str">
        <f t="shared" si="8"/>
        <v>33027TIFFANY</v>
      </c>
      <c r="H313">
        <f>VLOOKUP(G313,[1]Proyeccion_original!$G$2:$H$438,2,FALSE)</f>
        <v>2727</v>
      </c>
      <c r="I313">
        <v>4380</v>
      </c>
      <c r="J313">
        <f t="shared" si="9"/>
        <v>0.37739726027397258</v>
      </c>
    </row>
    <row r="314" spans="1:10">
      <c r="A314">
        <v>2026</v>
      </c>
      <c r="B314">
        <v>33</v>
      </c>
      <c r="C314" t="s">
        <v>66</v>
      </c>
      <c r="D314" t="s">
        <v>9</v>
      </c>
      <c r="E314" t="s">
        <v>217</v>
      </c>
      <c r="F314" t="s">
        <v>92</v>
      </c>
      <c r="G314" t="str">
        <f t="shared" si="8"/>
        <v>33028COTOPAXI</v>
      </c>
      <c r="H314">
        <f>VLOOKUP(G314,[1]Proyeccion_original!$G$2:$H$438,2,FALSE)</f>
        <v>3507</v>
      </c>
      <c r="I314">
        <v>5100</v>
      </c>
      <c r="J314">
        <f t="shared" si="9"/>
        <v>0.31235294117647061</v>
      </c>
    </row>
    <row r="315" spans="1:10">
      <c r="A315">
        <v>2026</v>
      </c>
      <c r="B315">
        <v>33</v>
      </c>
      <c r="C315" t="s">
        <v>66</v>
      </c>
      <c r="D315" t="s">
        <v>9</v>
      </c>
      <c r="E315" t="s">
        <v>217</v>
      </c>
      <c r="F315" t="s">
        <v>85</v>
      </c>
      <c r="G315" t="str">
        <f t="shared" si="8"/>
        <v>33028DEEP PURPLE</v>
      </c>
      <c r="H315">
        <f>VLOOKUP(G315,[1]Proyeccion_original!$G$2:$H$438,2,FALSE)</f>
        <v>5366</v>
      </c>
      <c r="I315">
        <v>4350</v>
      </c>
      <c r="J315">
        <f t="shared" si="9"/>
        <v>-0.2335632183908046</v>
      </c>
    </row>
    <row r="316" spans="1:10">
      <c r="A316">
        <v>2026</v>
      </c>
      <c r="B316">
        <v>33</v>
      </c>
      <c r="C316" t="s">
        <v>66</v>
      </c>
      <c r="D316" t="s">
        <v>9</v>
      </c>
      <c r="E316" t="s">
        <v>218</v>
      </c>
      <c r="F316" t="s">
        <v>177</v>
      </c>
      <c r="G316" t="str">
        <f t="shared" si="8"/>
        <v>33029PINK FLOYD</v>
      </c>
      <c r="H316">
        <f>VLOOKUP(G316,[1]Proyeccion_original!$G$2:$H$438,2,FALSE)</f>
        <v>3440</v>
      </c>
      <c r="I316">
        <v>3875</v>
      </c>
      <c r="J316">
        <f t="shared" si="9"/>
        <v>0.11225806451612903</v>
      </c>
    </row>
    <row r="317" spans="1:10">
      <c r="A317">
        <v>2026</v>
      </c>
      <c r="B317">
        <v>33</v>
      </c>
      <c r="C317" t="s">
        <v>66</v>
      </c>
      <c r="D317" t="s">
        <v>9</v>
      </c>
      <c r="E317" t="s">
        <v>200</v>
      </c>
      <c r="F317" t="s">
        <v>69</v>
      </c>
      <c r="G317" t="str">
        <f t="shared" si="8"/>
        <v>33030EXPLORER</v>
      </c>
      <c r="H317">
        <f>VLOOKUP(G317,[1]Proyeccion_original!$G$2:$H$438,2,FALSE)</f>
        <v>1444</v>
      </c>
      <c r="I317">
        <v>2000</v>
      </c>
      <c r="J317">
        <f t="shared" si="9"/>
        <v>0.27800000000000002</v>
      </c>
    </row>
    <row r="318" spans="1:10">
      <c r="A318">
        <v>2026</v>
      </c>
      <c r="B318">
        <v>34</v>
      </c>
      <c r="C318" t="s">
        <v>8</v>
      </c>
      <c r="D318" t="s">
        <v>9</v>
      </c>
      <c r="E318" t="s">
        <v>186</v>
      </c>
      <c r="F318" t="s">
        <v>10</v>
      </c>
      <c r="G318" t="str">
        <f t="shared" si="8"/>
        <v>34002SOMERSET</v>
      </c>
      <c r="H318">
        <f>VLOOKUP(G318,[1]Proyeccion_original!$G$2:$H$438,2,FALSE)</f>
        <v>8540</v>
      </c>
      <c r="I318">
        <v>10040</v>
      </c>
      <c r="J318">
        <f t="shared" si="9"/>
        <v>0.14940239043824702</v>
      </c>
    </row>
    <row r="319" spans="1:10">
      <c r="A319">
        <v>2026</v>
      </c>
      <c r="B319">
        <v>34</v>
      </c>
      <c r="C319" t="s">
        <v>8</v>
      </c>
      <c r="D319" t="s">
        <v>9</v>
      </c>
      <c r="E319" t="s">
        <v>187</v>
      </c>
      <c r="F319" t="s">
        <v>12</v>
      </c>
      <c r="G319" t="str">
        <f t="shared" si="8"/>
        <v>34004BELLINA</v>
      </c>
      <c r="H319">
        <f>VLOOKUP(G319,[1]Proyeccion_original!$G$2:$H$438,2,FALSE)</f>
        <v>1005</v>
      </c>
      <c r="I319">
        <v>1020</v>
      </c>
      <c r="J319">
        <f t="shared" si="9"/>
        <v>1.4705882352941176E-2</v>
      </c>
    </row>
    <row r="320" spans="1:10">
      <c r="A320">
        <v>2026</v>
      </c>
      <c r="B320">
        <v>34</v>
      </c>
      <c r="C320" t="s">
        <v>8</v>
      </c>
      <c r="D320" t="s">
        <v>9</v>
      </c>
      <c r="E320" t="s">
        <v>188</v>
      </c>
      <c r="F320" t="s">
        <v>14</v>
      </c>
      <c r="G320" t="str">
        <f t="shared" si="8"/>
        <v>34005ELBA</v>
      </c>
      <c r="H320">
        <f>VLOOKUP(G320,[1]Proyeccion_original!$G$2:$H$438,2,FALSE)</f>
        <v>10107</v>
      </c>
      <c r="I320">
        <v>7710</v>
      </c>
      <c r="J320">
        <f t="shared" si="9"/>
        <v>-0.31089494163424125</v>
      </c>
    </row>
    <row r="321" spans="1:10">
      <c r="A321">
        <v>2026</v>
      </c>
      <c r="B321">
        <v>34</v>
      </c>
      <c r="C321" t="s">
        <v>8</v>
      </c>
      <c r="D321" t="s">
        <v>9</v>
      </c>
      <c r="E321" t="s">
        <v>188</v>
      </c>
      <c r="F321" t="s">
        <v>16</v>
      </c>
      <c r="G321" t="str">
        <f t="shared" si="8"/>
        <v>34005HOT BUBBLES</v>
      </c>
      <c r="H321">
        <f>VLOOKUP(G321,[1]Proyeccion_original!$G$2:$H$438,2,FALSE)</f>
        <v>1641</v>
      </c>
      <c r="I321">
        <v>1100</v>
      </c>
      <c r="J321">
        <f t="shared" si="9"/>
        <v>-0.49181818181818182</v>
      </c>
    </row>
    <row r="322" spans="1:10">
      <c r="A322">
        <v>2026</v>
      </c>
      <c r="B322">
        <v>34</v>
      </c>
      <c r="C322" t="s">
        <v>8</v>
      </c>
      <c r="D322" t="s">
        <v>9</v>
      </c>
      <c r="E322" t="s">
        <v>188</v>
      </c>
      <c r="F322" t="s">
        <v>18</v>
      </c>
      <c r="G322" t="str">
        <f t="shared" si="8"/>
        <v>34005SUSPIRO</v>
      </c>
      <c r="H322">
        <f>VLOOKUP(G322,[1]Proyeccion_original!$G$2:$H$438,2,FALSE)</f>
        <v>4360</v>
      </c>
      <c r="I322">
        <v>4050</v>
      </c>
      <c r="J322">
        <f t="shared" si="9"/>
        <v>-7.6543209876543214E-2</v>
      </c>
    </row>
    <row r="323" spans="1:10">
      <c r="A323">
        <v>2026</v>
      </c>
      <c r="B323">
        <v>34</v>
      </c>
      <c r="C323" t="s">
        <v>8</v>
      </c>
      <c r="D323" t="s">
        <v>9</v>
      </c>
      <c r="E323" t="s">
        <v>189</v>
      </c>
      <c r="F323" t="s">
        <v>20</v>
      </c>
      <c r="G323" t="str">
        <f t="shared" ref="G323:G386" si="10">+B323&amp;E323&amp;F323</f>
        <v>34007SNOW BUBBLES</v>
      </c>
      <c r="H323">
        <f>VLOOKUP(G323,[1]Proyeccion_original!$G$2:$H$438,2,FALSE)</f>
        <v>1042</v>
      </c>
      <c r="I323" t="e">
        <v>#N/A</v>
      </c>
      <c r="J323" t="e">
        <f t="shared" ref="J323:J386" si="11">+(I323-H323)/I323</f>
        <v>#N/A</v>
      </c>
    </row>
    <row r="324" spans="1:10">
      <c r="A324">
        <v>2026</v>
      </c>
      <c r="B324">
        <v>34</v>
      </c>
      <c r="C324" t="s">
        <v>8</v>
      </c>
      <c r="D324" t="s">
        <v>9</v>
      </c>
      <c r="E324" t="s">
        <v>190</v>
      </c>
      <c r="F324" t="s">
        <v>16</v>
      </c>
      <c r="G324" t="str">
        <f t="shared" si="10"/>
        <v>34009HOT BUBBLES</v>
      </c>
      <c r="H324">
        <f>VLOOKUP(G324,[1]Proyeccion_original!$G$2:$H$438,2,FALSE)</f>
        <v>12473</v>
      </c>
      <c r="I324">
        <v>7000</v>
      </c>
      <c r="J324">
        <f t="shared" si="11"/>
        <v>-0.78185714285714281</v>
      </c>
    </row>
    <row r="325" spans="1:10">
      <c r="A325">
        <v>2026</v>
      </c>
      <c r="B325">
        <v>34</v>
      </c>
      <c r="C325" t="s">
        <v>8</v>
      </c>
      <c r="D325" t="s">
        <v>9</v>
      </c>
      <c r="E325" t="s">
        <v>191</v>
      </c>
      <c r="F325" t="s">
        <v>23</v>
      </c>
      <c r="G325" t="str">
        <f t="shared" si="10"/>
        <v>34014FRUITY BUBBLES</v>
      </c>
      <c r="H325">
        <f>VLOOKUP(G325,[1]Proyeccion_original!$G$2:$H$438,2,FALSE)</f>
        <v>2728</v>
      </c>
      <c r="I325">
        <v>1650</v>
      </c>
      <c r="J325">
        <f t="shared" si="11"/>
        <v>-0.65333333333333332</v>
      </c>
    </row>
    <row r="326" spans="1:10">
      <c r="A326">
        <v>2026</v>
      </c>
      <c r="B326">
        <v>34</v>
      </c>
      <c r="C326" t="s">
        <v>8</v>
      </c>
      <c r="D326" t="s">
        <v>9</v>
      </c>
      <c r="E326" t="s">
        <v>192</v>
      </c>
      <c r="F326" t="s">
        <v>25</v>
      </c>
      <c r="G326" t="str">
        <f t="shared" si="10"/>
        <v>34015FELLINI</v>
      </c>
      <c r="H326">
        <f>VLOOKUP(G326,[1]Proyeccion_original!$G$2:$H$438,2,FALSE)</f>
        <v>5322</v>
      </c>
      <c r="I326">
        <v>5600</v>
      </c>
      <c r="J326">
        <f t="shared" si="11"/>
        <v>4.9642857142857141E-2</v>
      </c>
    </row>
    <row r="327" spans="1:10">
      <c r="A327">
        <v>2026</v>
      </c>
      <c r="B327">
        <v>34</v>
      </c>
      <c r="C327" t="s">
        <v>8</v>
      </c>
      <c r="D327" t="s">
        <v>9</v>
      </c>
      <c r="E327" t="s">
        <v>193</v>
      </c>
      <c r="F327" t="s">
        <v>27</v>
      </c>
      <c r="G327" t="str">
        <f t="shared" si="10"/>
        <v>34016GOOD PEACH</v>
      </c>
      <c r="H327">
        <f>VLOOKUP(G327,[1]Proyeccion_original!$G$2:$H$438,2,FALSE)</f>
        <v>3480</v>
      </c>
      <c r="I327">
        <v>2640</v>
      </c>
      <c r="J327">
        <f t="shared" si="11"/>
        <v>-0.31818181818181818</v>
      </c>
    </row>
    <row r="328" spans="1:10">
      <c r="A328">
        <v>2026</v>
      </c>
      <c r="B328">
        <v>34</v>
      </c>
      <c r="C328" t="s">
        <v>8</v>
      </c>
      <c r="D328" t="s">
        <v>9</v>
      </c>
      <c r="E328" t="s">
        <v>193</v>
      </c>
      <c r="F328" t="s">
        <v>29</v>
      </c>
      <c r="G328" t="str">
        <f t="shared" si="10"/>
        <v>34016GOOD YELLOW</v>
      </c>
      <c r="H328">
        <f>VLOOKUP(G328,[1]Proyeccion_original!$G$2:$H$438,2,FALSE)</f>
        <v>3191</v>
      </c>
      <c r="I328">
        <v>3000</v>
      </c>
      <c r="J328">
        <f t="shared" si="11"/>
        <v>-6.3666666666666663E-2</v>
      </c>
    </row>
    <row r="329" spans="1:10">
      <c r="A329">
        <v>2026</v>
      </c>
      <c r="B329">
        <v>34</v>
      </c>
      <c r="C329" t="s">
        <v>8</v>
      </c>
      <c r="D329" t="s">
        <v>9</v>
      </c>
      <c r="E329" t="s">
        <v>194</v>
      </c>
      <c r="F329" t="s">
        <v>31</v>
      </c>
      <c r="G329" t="str">
        <f t="shared" si="10"/>
        <v>34017ORANGE STAR</v>
      </c>
      <c r="H329">
        <f>VLOOKUP(G329,[1]Proyeccion_original!$G$2:$H$438,2,FALSE)</f>
        <v>971</v>
      </c>
      <c r="I329">
        <v>1150</v>
      </c>
      <c r="J329">
        <f t="shared" si="11"/>
        <v>0.15565217391304348</v>
      </c>
    </row>
    <row r="330" spans="1:10">
      <c r="A330">
        <v>2026</v>
      </c>
      <c r="B330">
        <v>34</v>
      </c>
      <c r="C330" t="s">
        <v>8</v>
      </c>
      <c r="D330" t="s">
        <v>9</v>
      </c>
      <c r="E330" t="s">
        <v>195</v>
      </c>
      <c r="F330" t="s">
        <v>33</v>
      </c>
      <c r="G330" t="str">
        <f t="shared" si="10"/>
        <v>34018COSMO</v>
      </c>
      <c r="H330">
        <f>VLOOKUP(G330,[1]Proyeccion_original!$G$2:$H$438,2,FALSE)</f>
        <v>4660</v>
      </c>
      <c r="I330">
        <v>3050</v>
      </c>
      <c r="J330">
        <f t="shared" si="11"/>
        <v>-0.52786885245901638</v>
      </c>
    </row>
    <row r="331" spans="1:10">
      <c r="A331">
        <v>2026</v>
      </c>
      <c r="B331">
        <v>34</v>
      </c>
      <c r="C331" t="s">
        <v>8</v>
      </c>
      <c r="D331" t="s">
        <v>9</v>
      </c>
      <c r="E331" t="s">
        <v>195</v>
      </c>
      <c r="F331" t="s">
        <v>35</v>
      </c>
      <c r="G331" t="str">
        <f t="shared" si="10"/>
        <v>34018RUBICON</v>
      </c>
      <c r="H331">
        <f>VLOOKUP(G331,[1]Proyeccion_original!$G$2:$H$438,2,FALSE)</f>
        <v>4841</v>
      </c>
      <c r="I331">
        <v>3660</v>
      </c>
      <c r="J331">
        <f t="shared" si="11"/>
        <v>-0.3226775956284153</v>
      </c>
    </row>
    <row r="332" spans="1:10">
      <c r="A332">
        <v>2026</v>
      </c>
      <c r="B332">
        <v>34</v>
      </c>
      <c r="C332" t="s">
        <v>8</v>
      </c>
      <c r="D332" t="s">
        <v>9</v>
      </c>
      <c r="E332" t="s">
        <v>196</v>
      </c>
      <c r="F332" t="s">
        <v>12</v>
      </c>
      <c r="G332" t="str">
        <f t="shared" si="10"/>
        <v>34019BELLINA</v>
      </c>
      <c r="H332">
        <f>VLOOKUP(G332,[1]Proyeccion_original!$G$2:$H$438,2,FALSE)</f>
        <v>1264</v>
      </c>
      <c r="I332">
        <v>1545</v>
      </c>
      <c r="J332">
        <f t="shared" si="11"/>
        <v>0.18187702265372169</v>
      </c>
    </row>
    <row r="333" spans="1:10">
      <c r="A333">
        <v>2026</v>
      </c>
      <c r="B333">
        <v>34</v>
      </c>
      <c r="C333" t="s">
        <v>8</v>
      </c>
      <c r="D333" t="s">
        <v>9</v>
      </c>
      <c r="E333" t="s">
        <v>197</v>
      </c>
      <c r="F333" t="s">
        <v>38</v>
      </c>
      <c r="G333" t="str">
        <f t="shared" si="10"/>
        <v>34020SUMMER DANCE</v>
      </c>
      <c r="H333">
        <f>VLOOKUP(G333,[1]Proyeccion_original!$G$2:$H$438,2,FALSE)</f>
        <v>2666</v>
      </c>
      <c r="I333">
        <v>1925</v>
      </c>
      <c r="J333">
        <f t="shared" si="11"/>
        <v>-0.38493506493506491</v>
      </c>
    </row>
    <row r="334" spans="1:10">
      <c r="A334">
        <v>2026</v>
      </c>
      <c r="B334">
        <v>34</v>
      </c>
      <c r="C334" t="s">
        <v>8</v>
      </c>
      <c r="D334" t="s">
        <v>9</v>
      </c>
      <c r="E334" t="s">
        <v>198</v>
      </c>
      <c r="F334" t="s">
        <v>40</v>
      </c>
      <c r="G334" t="str">
        <f t="shared" si="10"/>
        <v>34021ELEGANT ROSEVER</v>
      </c>
      <c r="H334">
        <f>VLOOKUP(G334,[1]Proyeccion_original!$G$2:$H$438,2,FALSE)</f>
        <v>652</v>
      </c>
      <c r="I334">
        <v>390</v>
      </c>
      <c r="J334">
        <f t="shared" si="11"/>
        <v>-0.67179487179487174</v>
      </c>
    </row>
    <row r="335" spans="1:10">
      <c r="A335">
        <v>2026</v>
      </c>
      <c r="B335">
        <v>34</v>
      </c>
      <c r="C335" t="s">
        <v>8</v>
      </c>
      <c r="D335" t="s">
        <v>9</v>
      </c>
      <c r="E335" t="s">
        <v>198</v>
      </c>
      <c r="F335" t="s">
        <v>42</v>
      </c>
      <c r="G335" t="str">
        <f t="shared" si="10"/>
        <v>34021FLAME CLUB</v>
      </c>
      <c r="H335">
        <f>VLOOKUP(G335,[1]Proyeccion_original!$G$2:$H$438,2,FALSE)</f>
        <v>1715</v>
      </c>
      <c r="I335">
        <v>1125</v>
      </c>
      <c r="J335">
        <f t="shared" si="11"/>
        <v>-0.52444444444444449</v>
      </c>
    </row>
    <row r="336" spans="1:10">
      <c r="A336">
        <v>2026</v>
      </c>
      <c r="B336">
        <v>34</v>
      </c>
      <c r="C336" t="s">
        <v>8</v>
      </c>
      <c r="D336" t="s">
        <v>9</v>
      </c>
      <c r="E336" t="s">
        <v>198</v>
      </c>
      <c r="F336" t="s">
        <v>44</v>
      </c>
      <c r="G336" t="str">
        <f t="shared" si="10"/>
        <v>34021KELLY</v>
      </c>
      <c r="H336">
        <f>VLOOKUP(G336,[1]Proyeccion_original!$G$2:$H$438,2,FALSE)</f>
        <v>458</v>
      </c>
      <c r="I336">
        <v>550</v>
      </c>
      <c r="J336">
        <f t="shared" si="11"/>
        <v>0.16727272727272727</v>
      </c>
    </row>
    <row r="337" spans="1:10">
      <c r="A337">
        <v>2026</v>
      </c>
      <c r="B337">
        <v>34</v>
      </c>
      <c r="C337" t="s">
        <v>8</v>
      </c>
      <c r="D337" t="s">
        <v>9</v>
      </c>
      <c r="E337" t="s">
        <v>198</v>
      </c>
      <c r="F337" t="s">
        <v>46</v>
      </c>
      <c r="G337" t="str">
        <f t="shared" si="10"/>
        <v>34021LEILA</v>
      </c>
      <c r="H337">
        <f>VLOOKUP(G337,[1]Proyeccion_original!$G$2:$H$438,2,FALSE)</f>
        <v>2179</v>
      </c>
      <c r="I337">
        <v>1425</v>
      </c>
      <c r="J337">
        <f t="shared" si="11"/>
        <v>-0.52912280701754388</v>
      </c>
    </row>
    <row r="338" spans="1:10">
      <c r="A338">
        <v>2026</v>
      </c>
      <c r="B338">
        <v>34</v>
      </c>
      <c r="C338" t="s">
        <v>8</v>
      </c>
      <c r="D338" t="s">
        <v>9</v>
      </c>
      <c r="E338" t="s">
        <v>198</v>
      </c>
      <c r="F338" t="s">
        <v>20</v>
      </c>
      <c r="G338" t="str">
        <f t="shared" si="10"/>
        <v>34021SNOW BUBBLES</v>
      </c>
      <c r="H338">
        <f>VLOOKUP(G338,[1]Proyeccion_original!$G$2:$H$438,2,FALSE)</f>
        <v>2233</v>
      </c>
      <c r="I338">
        <v>2220</v>
      </c>
      <c r="J338">
        <f t="shared" si="11"/>
        <v>-5.8558558558558559E-3</v>
      </c>
    </row>
    <row r="339" spans="1:10">
      <c r="A339">
        <v>2026</v>
      </c>
      <c r="B339">
        <v>34</v>
      </c>
      <c r="C339" t="s">
        <v>8</v>
      </c>
      <c r="D339" t="s">
        <v>9</v>
      </c>
      <c r="E339" t="s">
        <v>199</v>
      </c>
      <c r="F339" t="s">
        <v>23</v>
      </c>
      <c r="G339" t="str">
        <f t="shared" si="10"/>
        <v>34022FRUITY BUBBLES</v>
      </c>
      <c r="H339">
        <f>VLOOKUP(G339,[1]Proyeccion_original!$G$2:$H$438,2,FALSE)</f>
        <v>5393</v>
      </c>
      <c r="I339">
        <v>3500</v>
      </c>
      <c r="J339">
        <f t="shared" si="11"/>
        <v>-0.54085714285714281</v>
      </c>
    </row>
    <row r="340" spans="1:10">
      <c r="A340">
        <v>2026</v>
      </c>
      <c r="B340">
        <v>34</v>
      </c>
      <c r="C340" t="s">
        <v>8</v>
      </c>
      <c r="D340" t="s">
        <v>9</v>
      </c>
      <c r="E340" t="s">
        <v>199</v>
      </c>
      <c r="F340" t="s">
        <v>27</v>
      </c>
      <c r="G340" t="str">
        <f t="shared" si="10"/>
        <v>34022GOOD PEACH</v>
      </c>
      <c r="H340">
        <f>VLOOKUP(G340,[1]Proyeccion_original!$G$2:$H$438,2,FALSE)</f>
        <v>2079</v>
      </c>
      <c r="I340">
        <v>2490</v>
      </c>
      <c r="J340">
        <f t="shared" si="11"/>
        <v>0.16506024096385541</v>
      </c>
    </row>
    <row r="341" spans="1:10">
      <c r="A341">
        <v>2026</v>
      </c>
      <c r="B341">
        <v>34</v>
      </c>
      <c r="C341" t="s">
        <v>8</v>
      </c>
      <c r="D341" t="s">
        <v>9</v>
      </c>
      <c r="E341" t="s">
        <v>199</v>
      </c>
      <c r="F341" t="s">
        <v>51</v>
      </c>
      <c r="G341" t="str">
        <f t="shared" si="10"/>
        <v>34022MIRABEL</v>
      </c>
      <c r="H341">
        <f>VLOOKUP(G341,[1]Proyeccion_original!$G$2:$H$438,2,FALSE)</f>
        <v>1516</v>
      </c>
      <c r="I341">
        <v>1200</v>
      </c>
      <c r="J341">
        <f t="shared" si="11"/>
        <v>-0.26333333333333331</v>
      </c>
    </row>
    <row r="342" spans="1:10">
      <c r="A342">
        <v>2026</v>
      </c>
      <c r="B342">
        <v>34</v>
      </c>
      <c r="C342" t="s">
        <v>8</v>
      </c>
      <c r="D342" t="s">
        <v>9</v>
      </c>
      <c r="E342" t="s">
        <v>200</v>
      </c>
      <c r="F342" t="s">
        <v>51</v>
      </c>
      <c r="G342" t="str">
        <f t="shared" si="10"/>
        <v>34030MIRABEL</v>
      </c>
      <c r="H342">
        <f>VLOOKUP(G342,[1]Proyeccion_original!$G$2:$H$438,2,FALSE)</f>
        <v>4955</v>
      </c>
      <c r="I342">
        <v>2820</v>
      </c>
      <c r="J342">
        <f t="shared" si="11"/>
        <v>-0.75709219858156029</v>
      </c>
    </row>
    <row r="343" spans="1:10">
      <c r="A343">
        <v>2026</v>
      </c>
      <c r="B343">
        <v>34</v>
      </c>
      <c r="C343" t="s">
        <v>8</v>
      </c>
      <c r="D343" t="s">
        <v>9</v>
      </c>
      <c r="E343" t="s">
        <v>200</v>
      </c>
      <c r="F343" t="s">
        <v>10</v>
      </c>
      <c r="G343" t="str">
        <f t="shared" si="10"/>
        <v>34030SOMERSET</v>
      </c>
      <c r="H343">
        <f>VLOOKUP(G343,[1]Proyeccion_original!$G$2:$H$438,2,FALSE)</f>
        <v>2078</v>
      </c>
      <c r="I343">
        <v>2400</v>
      </c>
      <c r="J343">
        <f t="shared" si="11"/>
        <v>0.13416666666666666</v>
      </c>
    </row>
    <row r="344" spans="1:10">
      <c r="A344">
        <v>2026</v>
      </c>
      <c r="B344">
        <v>34</v>
      </c>
      <c r="C344" t="s">
        <v>8</v>
      </c>
      <c r="D344" t="s">
        <v>9</v>
      </c>
      <c r="E344" t="s">
        <v>201</v>
      </c>
      <c r="F344" t="s">
        <v>55</v>
      </c>
      <c r="G344" t="str">
        <f t="shared" si="10"/>
        <v>3403182989</v>
      </c>
      <c r="H344">
        <f>VLOOKUP(G344,[1]Proyeccion_original!$G$2:$H$438,2,FALSE)</f>
        <v>1861</v>
      </c>
      <c r="I344">
        <v>920</v>
      </c>
      <c r="J344">
        <f t="shared" si="11"/>
        <v>-1.0228260869565218</v>
      </c>
    </row>
    <row r="345" spans="1:10">
      <c r="A345">
        <v>2026</v>
      </c>
      <c r="B345">
        <v>34</v>
      </c>
      <c r="C345" t="s">
        <v>8</v>
      </c>
      <c r="D345" t="s">
        <v>9</v>
      </c>
      <c r="E345" t="s">
        <v>201</v>
      </c>
      <c r="F345" t="s">
        <v>35</v>
      </c>
      <c r="G345" t="str">
        <f t="shared" si="10"/>
        <v>34031RUBICON</v>
      </c>
      <c r="H345">
        <f>VLOOKUP(G345,[1]Proyeccion_original!$G$2:$H$438,2,FALSE)</f>
        <v>1980</v>
      </c>
      <c r="I345">
        <v>1860</v>
      </c>
      <c r="J345">
        <f t="shared" si="11"/>
        <v>-6.4516129032258063E-2</v>
      </c>
    </row>
    <row r="346" spans="1:10">
      <c r="A346">
        <v>2026</v>
      </c>
      <c r="B346">
        <v>34</v>
      </c>
      <c r="C346" t="s">
        <v>8</v>
      </c>
      <c r="D346" t="s">
        <v>9</v>
      </c>
      <c r="E346" t="s">
        <v>201</v>
      </c>
      <c r="F346" t="s">
        <v>10</v>
      </c>
      <c r="G346" t="str">
        <f t="shared" si="10"/>
        <v>34031SOMERSET</v>
      </c>
      <c r="H346">
        <f>VLOOKUP(G346,[1]Proyeccion_original!$G$2:$H$438,2,FALSE)</f>
        <v>1908</v>
      </c>
      <c r="I346">
        <v>3320</v>
      </c>
      <c r="J346">
        <f t="shared" si="11"/>
        <v>0.42530120481927713</v>
      </c>
    </row>
    <row r="347" spans="1:10">
      <c r="A347">
        <v>2026</v>
      </c>
      <c r="B347">
        <v>34</v>
      </c>
      <c r="C347" t="s">
        <v>8</v>
      </c>
      <c r="D347" t="s">
        <v>9</v>
      </c>
      <c r="E347" t="s">
        <v>201</v>
      </c>
      <c r="F347" t="s">
        <v>59</v>
      </c>
      <c r="G347" t="str">
        <f t="shared" si="10"/>
        <v>34031VELVET BLOSSOMS</v>
      </c>
      <c r="H347">
        <f>VLOOKUP(G347,[1]Proyeccion_original!$G$2:$H$438,2,FALSE)</f>
        <v>703</v>
      </c>
      <c r="I347">
        <v>640</v>
      </c>
      <c r="J347">
        <f t="shared" si="11"/>
        <v>-9.8437499999999997E-2</v>
      </c>
    </row>
    <row r="348" spans="1:10">
      <c r="A348">
        <v>2026</v>
      </c>
      <c r="B348">
        <v>34</v>
      </c>
      <c r="C348" t="s">
        <v>8</v>
      </c>
      <c r="D348" t="s">
        <v>9</v>
      </c>
      <c r="E348" t="s">
        <v>202</v>
      </c>
      <c r="F348" t="s">
        <v>14</v>
      </c>
      <c r="G348" t="str">
        <f t="shared" si="10"/>
        <v>34032ELBA</v>
      </c>
      <c r="H348">
        <f>VLOOKUP(G348,[1]Proyeccion_original!$G$2:$H$438,2,FALSE)</f>
        <v>3260</v>
      </c>
      <c r="I348">
        <v>2190</v>
      </c>
      <c r="J348">
        <f t="shared" si="11"/>
        <v>-0.48858447488584472</v>
      </c>
    </row>
    <row r="349" spans="1:10">
      <c r="A349">
        <v>2026</v>
      </c>
      <c r="B349">
        <v>34</v>
      </c>
      <c r="C349" t="s">
        <v>8</v>
      </c>
      <c r="D349" t="s">
        <v>9</v>
      </c>
      <c r="E349" t="s">
        <v>202</v>
      </c>
      <c r="F349" t="s">
        <v>51</v>
      </c>
      <c r="G349" t="str">
        <f t="shared" si="10"/>
        <v>34032MIRABEL</v>
      </c>
      <c r="H349">
        <f>VLOOKUP(G349,[1]Proyeccion_original!$G$2:$H$438,2,FALSE)</f>
        <v>1689</v>
      </c>
      <c r="I349">
        <v>1020</v>
      </c>
      <c r="J349">
        <f t="shared" si="11"/>
        <v>-0.65588235294117647</v>
      </c>
    </row>
    <row r="350" spans="1:10">
      <c r="A350">
        <v>2026</v>
      </c>
      <c r="B350">
        <v>34</v>
      </c>
      <c r="C350" t="s">
        <v>8</v>
      </c>
      <c r="D350" t="s">
        <v>9</v>
      </c>
      <c r="E350" t="s">
        <v>203</v>
      </c>
      <c r="F350" t="s">
        <v>63</v>
      </c>
      <c r="G350" t="str">
        <f t="shared" si="10"/>
        <v>34033CREAMY FOLIES</v>
      </c>
      <c r="H350">
        <f>VLOOKUP(G350,[1]Proyeccion_original!$G$2:$H$438,2,FALSE)</f>
        <v>1539</v>
      </c>
      <c r="I350">
        <v>1410</v>
      </c>
      <c r="J350">
        <f t="shared" si="11"/>
        <v>-9.1489361702127653E-2</v>
      </c>
    </row>
    <row r="351" spans="1:10">
      <c r="A351">
        <v>2026</v>
      </c>
      <c r="B351">
        <v>34</v>
      </c>
      <c r="C351" t="s">
        <v>8</v>
      </c>
      <c r="D351" t="s">
        <v>9</v>
      </c>
      <c r="E351" t="s">
        <v>203</v>
      </c>
      <c r="F351" t="s">
        <v>16</v>
      </c>
      <c r="G351" t="str">
        <f t="shared" si="10"/>
        <v>34033HOT BUBBLES</v>
      </c>
      <c r="H351">
        <f>VLOOKUP(G351,[1]Proyeccion_original!$G$2:$H$438,2,FALSE)</f>
        <v>2811</v>
      </c>
      <c r="I351">
        <v>2920</v>
      </c>
      <c r="J351">
        <f t="shared" si="11"/>
        <v>3.7328767123287671E-2</v>
      </c>
    </row>
    <row r="352" spans="1:10">
      <c r="A352">
        <v>2026</v>
      </c>
      <c r="B352">
        <v>34</v>
      </c>
      <c r="C352" t="s">
        <v>66</v>
      </c>
      <c r="D352" t="s">
        <v>9</v>
      </c>
      <c r="E352" t="s">
        <v>204</v>
      </c>
      <c r="F352" t="s">
        <v>67</v>
      </c>
      <c r="G352" t="str">
        <f t="shared" si="10"/>
        <v>34001BELIEVE IN PINK</v>
      </c>
      <c r="H352">
        <f>VLOOKUP(G352,[1]Proyeccion_original!$G$2:$H$438,2,FALSE)</f>
        <v>1015</v>
      </c>
      <c r="I352">
        <v>1320</v>
      </c>
      <c r="J352">
        <f t="shared" si="11"/>
        <v>0.23106060606060605</v>
      </c>
    </row>
    <row r="353" spans="1:10">
      <c r="A353">
        <v>2026</v>
      </c>
      <c r="B353">
        <v>34</v>
      </c>
      <c r="C353" t="s">
        <v>66</v>
      </c>
      <c r="D353" t="s">
        <v>9</v>
      </c>
      <c r="E353" t="s">
        <v>204</v>
      </c>
      <c r="F353" t="s">
        <v>69</v>
      </c>
      <c r="G353" t="str">
        <f t="shared" si="10"/>
        <v>34001EXPLORER</v>
      </c>
      <c r="H353">
        <f>VLOOKUP(G353,[1]Proyeccion_original!$G$2:$H$438,2,FALSE)</f>
        <v>2702</v>
      </c>
      <c r="I353">
        <v>4075</v>
      </c>
      <c r="J353">
        <f t="shared" si="11"/>
        <v>0.3369325153374233</v>
      </c>
    </row>
    <row r="354" spans="1:10">
      <c r="A354">
        <v>2026</v>
      </c>
      <c r="B354">
        <v>34</v>
      </c>
      <c r="C354" t="s">
        <v>66</v>
      </c>
      <c r="D354" t="s">
        <v>9</v>
      </c>
      <c r="E354" t="s">
        <v>204</v>
      </c>
      <c r="F354" t="s">
        <v>71</v>
      </c>
      <c r="G354" t="str">
        <f t="shared" si="10"/>
        <v>34001GRACE KELLY</v>
      </c>
      <c r="H354">
        <f>VLOOKUP(G354,[1]Proyeccion_original!$G$2:$H$438,2,FALSE)</f>
        <v>1544</v>
      </c>
      <c r="I354">
        <v>2160</v>
      </c>
      <c r="J354">
        <f t="shared" si="11"/>
        <v>0.28518518518518521</v>
      </c>
    </row>
    <row r="355" spans="1:10">
      <c r="A355">
        <v>2026</v>
      </c>
      <c r="B355">
        <v>34</v>
      </c>
      <c r="C355" t="s">
        <v>66</v>
      </c>
      <c r="D355" t="s">
        <v>9</v>
      </c>
      <c r="E355" t="s">
        <v>204</v>
      </c>
      <c r="F355" t="s">
        <v>180</v>
      </c>
      <c r="G355" t="str">
        <f t="shared" si="10"/>
        <v>34001IDOLE</v>
      </c>
      <c r="H355">
        <f>VLOOKUP(G355,[1]Proyeccion_original!$G$2:$H$438,2,FALSE)</f>
        <v>802</v>
      </c>
      <c r="I355" t="e">
        <v>#N/A</v>
      </c>
      <c r="J355" t="e">
        <f t="shared" si="11"/>
        <v>#N/A</v>
      </c>
    </row>
    <row r="356" spans="1:10">
      <c r="A356">
        <v>2026</v>
      </c>
      <c r="B356">
        <v>34</v>
      </c>
      <c r="C356" t="s">
        <v>66</v>
      </c>
      <c r="D356" t="s">
        <v>9</v>
      </c>
      <c r="E356" t="s">
        <v>204</v>
      </c>
      <c r="F356" t="s">
        <v>73</v>
      </c>
      <c r="G356" t="str">
        <f t="shared" si="10"/>
        <v>34001LIGHT HOUSE</v>
      </c>
      <c r="H356">
        <f>VLOOKUP(G356,[1]Proyeccion_original!$G$2:$H$438,2,FALSE)</f>
        <v>1006</v>
      </c>
      <c r="I356">
        <v>1800</v>
      </c>
      <c r="J356">
        <f t="shared" si="11"/>
        <v>0.44111111111111112</v>
      </c>
    </row>
    <row r="357" spans="1:10">
      <c r="A357">
        <v>2026</v>
      </c>
      <c r="B357">
        <v>34</v>
      </c>
      <c r="C357" t="s">
        <v>66</v>
      </c>
      <c r="D357" t="s">
        <v>9</v>
      </c>
      <c r="E357" t="s">
        <v>204</v>
      </c>
      <c r="F357" t="s">
        <v>77</v>
      </c>
      <c r="G357" t="str">
        <f t="shared" si="10"/>
        <v>34001MOMENTUM</v>
      </c>
      <c r="H357">
        <f>VLOOKUP(G357,[1]Proyeccion_original!$G$2:$H$438,2,FALSE)</f>
        <v>3135</v>
      </c>
      <c r="I357">
        <v>3975</v>
      </c>
      <c r="J357">
        <f t="shared" si="11"/>
        <v>0.21132075471698114</v>
      </c>
    </row>
    <row r="358" spans="1:10">
      <c r="A358">
        <v>2026</v>
      </c>
      <c r="B358">
        <v>34</v>
      </c>
      <c r="C358" t="s">
        <v>66</v>
      </c>
      <c r="D358" t="s">
        <v>9</v>
      </c>
      <c r="E358" t="s">
        <v>186</v>
      </c>
      <c r="F358" t="s">
        <v>79</v>
      </c>
      <c r="G358" t="str">
        <f t="shared" si="10"/>
        <v>34002SUMMER ROMANCE</v>
      </c>
      <c r="H358">
        <f>VLOOKUP(G358,[1]Proyeccion_original!$G$2:$H$438,2,FALSE)</f>
        <v>2354</v>
      </c>
      <c r="I358">
        <v>1625</v>
      </c>
      <c r="J358">
        <f t="shared" si="11"/>
        <v>-0.44861538461538464</v>
      </c>
    </row>
    <row r="359" spans="1:10">
      <c r="A359">
        <v>2026</v>
      </c>
      <c r="B359">
        <v>34</v>
      </c>
      <c r="C359" t="s">
        <v>66</v>
      </c>
      <c r="D359" t="s">
        <v>9</v>
      </c>
      <c r="E359" t="s">
        <v>186</v>
      </c>
      <c r="F359" t="s">
        <v>81</v>
      </c>
      <c r="G359" t="str">
        <f t="shared" si="10"/>
        <v>34002SWEETNESS</v>
      </c>
      <c r="H359">
        <f>VLOOKUP(G359,[1]Proyeccion_original!$G$2:$H$438,2,FALSE)</f>
        <v>6210</v>
      </c>
      <c r="I359">
        <v>6630</v>
      </c>
      <c r="J359">
        <f t="shared" si="11"/>
        <v>6.3348416289592757E-2</v>
      </c>
    </row>
    <row r="360" spans="1:10">
      <c r="A360">
        <v>2026</v>
      </c>
      <c r="B360">
        <v>34</v>
      </c>
      <c r="C360" t="s">
        <v>66</v>
      </c>
      <c r="D360" t="s">
        <v>9</v>
      </c>
      <c r="E360" t="s">
        <v>205</v>
      </c>
      <c r="F360" t="s">
        <v>83</v>
      </c>
      <c r="G360" t="str">
        <f t="shared" si="10"/>
        <v>34003CABARET</v>
      </c>
      <c r="H360">
        <f>VLOOKUP(G360,[1]Proyeccion_original!$G$2:$H$438,2,FALSE)</f>
        <v>3932</v>
      </c>
      <c r="I360">
        <v>4170</v>
      </c>
      <c r="J360">
        <f t="shared" si="11"/>
        <v>5.7074340527577941E-2</v>
      </c>
    </row>
    <row r="361" spans="1:10">
      <c r="A361">
        <v>2026</v>
      </c>
      <c r="B361">
        <v>34</v>
      </c>
      <c r="C361" t="s">
        <v>66</v>
      </c>
      <c r="D361" t="s">
        <v>9</v>
      </c>
      <c r="E361" t="s">
        <v>205</v>
      </c>
      <c r="F361" t="s">
        <v>85</v>
      </c>
      <c r="G361" t="str">
        <f t="shared" si="10"/>
        <v>34003DEEP PURPLE</v>
      </c>
      <c r="H361">
        <f>VLOOKUP(G361,[1]Proyeccion_original!$G$2:$H$438,2,FALSE)</f>
        <v>5462</v>
      </c>
      <c r="I361">
        <v>8370</v>
      </c>
      <c r="J361">
        <f t="shared" si="11"/>
        <v>0.34743130227001195</v>
      </c>
    </row>
    <row r="362" spans="1:10">
      <c r="A362">
        <v>2026</v>
      </c>
      <c r="B362">
        <v>34</v>
      </c>
      <c r="C362" t="s">
        <v>66</v>
      </c>
      <c r="D362" t="s">
        <v>9</v>
      </c>
      <c r="E362" t="s">
        <v>205</v>
      </c>
      <c r="F362" t="s">
        <v>69</v>
      </c>
      <c r="G362" t="str">
        <f t="shared" si="10"/>
        <v>34003EXPLORER</v>
      </c>
      <c r="H362">
        <f>VLOOKUP(G362,[1]Proyeccion_original!$G$2:$H$438,2,FALSE)</f>
        <v>1873</v>
      </c>
      <c r="I362">
        <v>1475</v>
      </c>
      <c r="J362">
        <f t="shared" si="11"/>
        <v>-0.26983050847457629</v>
      </c>
    </row>
    <row r="363" spans="1:10">
      <c r="A363">
        <v>2026</v>
      </c>
      <c r="B363">
        <v>34</v>
      </c>
      <c r="C363" t="s">
        <v>66</v>
      </c>
      <c r="D363" t="s">
        <v>9</v>
      </c>
      <c r="E363" t="s">
        <v>205</v>
      </c>
      <c r="F363" t="s">
        <v>88</v>
      </c>
      <c r="G363" t="str">
        <f t="shared" si="10"/>
        <v>34003JOCKER</v>
      </c>
      <c r="H363">
        <f>VLOOKUP(G363,[1]Proyeccion_original!$G$2:$H$438,2,FALSE)</f>
        <v>706</v>
      </c>
      <c r="I363">
        <v>750</v>
      </c>
      <c r="J363">
        <f t="shared" si="11"/>
        <v>5.8666666666666666E-2</v>
      </c>
    </row>
    <row r="364" spans="1:10">
      <c r="A364">
        <v>2026</v>
      </c>
      <c r="B364">
        <v>34</v>
      </c>
      <c r="C364" t="s">
        <v>66</v>
      </c>
      <c r="D364" t="s">
        <v>9</v>
      </c>
      <c r="E364" t="s">
        <v>205</v>
      </c>
      <c r="F364" t="s">
        <v>90</v>
      </c>
      <c r="G364" t="str">
        <f t="shared" si="10"/>
        <v>34003QUICKSAND</v>
      </c>
      <c r="H364">
        <f>VLOOKUP(G364,[1]Proyeccion_original!$G$2:$H$438,2,FALSE)</f>
        <v>1346</v>
      </c>
      <c r="I364">
        <v>1230</v>
      </c>
      <c r="J364">
        <f t="shared" si="11"/>
        <v>-9.4308943089430899E-2</v>
      </c>
    </row>
    <row r="365" spans="1:10">
      <c r="A365">
        <v>2026</v>
      </c>
      <c r="B365">
        <v>34</v>
      </c>
      <c r="C365" t="s">
        <v>66</v>
      </c>
      <c r="D365" t="s">
        <v>9</v>
      </c>
      <c r="E365" t="s">
        <v>187</v>
      </c>
      <c r="F365" t="s">
        <v>92</v>
      </c>
      <c r="G365" t="str">
        <f t="shared" si="10"/>
        <v>34004COTOPAXI</v>
      </c>
      <c r="H365">
        <f>VLOOKUP(G365,[1]Proyeccion_original!$G$2:$H$438,2,FALSE)</f>
        <v>1183</v>
      </c>
      <c r="I365">
        <v>990</v>
      </c>
      <c r="J365">
        <f t="shared" si="11"/>
        <v>-0.19494949494949496</v>
      </c>
    </row>
    <row r="366" spans="1:10">
      <c r="A366">
        <v>2026</v>
      </c>
      <c r="B366">
        <v>34</v>
      </c>
      <c r="C366" t="s">
        <v>66</v>
      </c>
      <c r="D366" t="s">
        <v>9</v>
      </c>
      <c r="E366" t="s">
        <v>187</v>
      </c>
      <c r="F366" t="s">
        <v>85</v>
      </c>
      <c r="G366" t="str">
        <f t="shared" si="10"/>
        <v>34004DEEP PURPLE</v>
      </c>
      <c r="H366">
        <f>VLOOKUP(G366,[1]Proyeccion_original!$G$2:$H$438,2,FALSE)</f>
        <v>6282</v>
      </c>
      <c r="I366">
        <v>6600</v>
      </c>
      <c r="J366">
        <f t="shared" si="11"/>
        <v>4.818181818181818E-2</v>
      </c>
    </row>
    <row r="367" spans="1:10">
      <c r="A367">
        <v>2026</v>
      </c>
      <c r="B367">
        <v>34</v>
      </c>
      <c r="C367" t="s">
        <v>66</v>
      </c>
      <c r="D367" t="s">
        <v>9</v>
      </c>
      <c r="E367" t="s">
        <v>187</v>
      </c>
      <c r="F367" t="s">
        <v>95</v>
      </c>
      <c r="G367" t="str">
        <f t="shared" si="10"/>
        <v>34004HOT EXPLORER</v>
      </c>
      <c r="H367">
        <f>VLOOKUP(G367,[1]Proyeccion_original!$G$2:$H$438,2,FALSE)</f>
        <v>2204</v>
      </c>
      <c r="I367">
        <v>1750</v>
      </c>
      <c r="J367">
        <f t="shared" si="11"/>
        <v>-0.25942857142857145</v>
      </c>
    </row>
    <row r="368" spans="1:10">
      <c r="A368">
        <v>2026</v>
      </c>
      <c r="B368">
        <v>34</v>
      </c>
      <c r="C368" t="s">
        <v>66</v>
      </c>
      <c r="D368" t="s">
        <v>9</v>
      </c>
      <c r="E368" t="s">
        <v>187</v>
      </c>
      <c r="F368" t="s">
        <v>97</v>
      </c>
      <c r="G368" t="str">
        <f t="shared" si="10"/>
        <v>34004HOT MERENGUE</v>
      </c>
      <c r="H368">
        <f>VLOOKUP(G368,[1]Proyeccion_original!$G$2:$H$438,2,FALSE)</f>
        <v>1629</v>
      </c>
      <c r="I368">
        <v>3120</v>
      </c>
      <c r="J368">
        <f t="shared" si="11"/>
        <v>0.47788461538461541</v>
      </c>
    </row>
    <row r="369" spans="1:10">
      <c r="A369">
        <v>2026</v>
      </c>
      <c r="B369">
        <v>34</v>
      </c>
      <c r="C369" t="s">
        <v>66</v>
      </c>
      <c r="D369" t="s">
        <v>9</v>
      </c>
      <c r="E369" t="s">
        <v>187</v>
      </c>
      <c r="F369" t="s">
        <v>81</v>
      </c>
      <c r="G369" t="str">
        <f t="shared" si="10"/>
        <v>34004SWEETNESS</v>
      </c>
      <c r="H369">
        <f>VLOOKUP(G369,[1]Proyeccion_original!$G$2:$H$438,2,FALSE)</f>
        <v>562</v>
      </c>
      <c r="I369">
        <v>600</v>
      </c>
      <c r="J369">
        <f t="shared" si="11"/>
        <v>6.3333333333333339E-2</v>
      </c>
    </row>
    <row r="370" spans="1:10">
      <c r="A370">
        <v>2026</v>
      </c>
      <c r="B370">
        <v>34</v>
      </c>
      <c r="C370" t="s">
        <v>66</v>
      </c>
      <c r="D370" t="s">
        <v>9</v>
      </c>
      <c r="E370" t="s">
        <v>188</v>
      </c>
      <c r="F370" t="s">
        <v>69</v>
      </c>
      <c r="G370" t="str">
        <f t="shared" si="10"/>
        <v>34005EXPLORER</v>
      </c>
      <c r="H370">
        <f>VLOOKUP(G370,[1]Proyeccion_original!$G$2:$H$438,2,FALSE)</f>
        <v>997</v>
      </c>
      <c r="I370">
        <v>1425</v>
      </c>
      <c r="J370">
        <f t="shared" si="11"/>
        <v>0.30035087719298248</v>
      </c>
    </row>
    <row r="371" spans="1:10">
      <c r="A371">
        <v>2026</v>
      </c>
      <c r="B371">
        <v>34</v>
      </c>
      <c r="C371" t="s">
        <v>66</v>
      </c>
      <c r="D371" t="s">
        <v>9</v>
      </c>
      <c r="E371" t="s">
        <v>188</v>
      </c>
      <c r="F371" t="s">
        <v>101</v>
      </c>
      <c r="G371" t="str">
        <f t="shared" si="10"/>
        <v>34005GOLDFINCH</v>
      </c>
      <c r="H371">
        <f>VLOOKUP(G371,[1]Proyeccion_original!$G$2:$H$438,2,FALSE)</f>
        <v>633</v>
      </c>
      <c r="I371">
        <v>625</v>
      </c>
      <c r="J371">
        <f t="shared" si="11"/>
        <v>-1.2800000000000001E-2</v>
      </c>
    </row>
    <row r="372" spans="1:10">
      <c r="A372">
        <v>2026</v>
      </c>
      <c r="B372">
        <v>34</v>
      </c>
      <c r="C372" t="s">
        <v>66</v>
      </c>
      <c r="D372" t="s">
        <v>9</v>
      </c>
      <c r="E372" t="s">
        <v>188</v>
      </c>
      <c r="F372" t="s">
        <v>88</v>
      </c>
      <c r="G372" t="str">
        <f t="shared" si="10"/>
        <v>34005JOCKER</v>
      </c>
      <c r="H372">
        <f>VLOOKUP(G372,[1]Proyeccion_original!$G$2:$H$438,2,FALSE)</f>
        <v>1752</v>
      </c>
      <c r="I372">
        <v>1925</v>
      </c>
      <c r="J372">
        <f t="shared" si="11"/>
        <v>8.9870129870129864E-2</v>
      </c>
    </row>
    <row r="373" spans="1:10">
      <c r="A373">
        <v>2026</v>
      </c>
      <c r="B373">
        <v>34</v>
      </c>
      <c r="C373" t="s">
        <v>66</v>
      </c>
      <c r="D373" t="s">
        <v>9</v>
      </c>
      <c r="E373" t="s">
        <v>188</v>
      </c>
      <c r="F373" t="s">
        <v>104</v>
      </c>
      <c r="G373" t="str">
        <f t="shared" si="10"/>
        <v>34005VENDELA</v>
      </c>
      <c r="H373">
        <f>VLOOKUP(G373,[1]Proyeccion_original!$G$2:$H$438,2,FALSE)</f>
        <v>1937</v>
      </c>
      <c r="I373">
        <v>1560</v>
      </c>
      <c r="J373">
        <f t="shared" si="11"/>
        <v>-0.24166666666666667</v>
      </c>
    </row>
    <row r="374" spans="1:10">
      <c r="A374">
        <v>2026</v>
      </c>
      <c r="B374">
        <v>34</v>
      </c>
      <c r="C374" t="s">
        <v>66</v>
      </c>
      <c r="D374" t="s">
        <v>9</v>
      </c>
      <c r="E374" t="s">
        <v>206</v>
      </c>
      <c r="F374" t="s">
        <v>106</v>
      </c>
      <c r="G374" t="str">
        <f t="shared" si="10"/>
        <v>34006ATOMIC</v>
      </c>
      <c r="H374">
        <f>VLOOKUP(G374,[1]Proyeccion_original!$G$2:$H$438,2,FALSE)</f>
        <v>636</v>
      </c>
      <c r="I374" t="e">
        <v>#N/A</v>
      </c>
      <c r="J374" t="e">
        <f t="shared" si="11"/>
        <v>#N/A</v>
      </c>
    </row>
    <row r="375" spans="1:10">
      <c r="A375">
        <v>2026</v>
      </c>
      <c r="B375">
        <v>34</v>
      </c>
      <c r="C375" t="s">
        <v>66</v>
      </c>
      <c r="D375" t="s">
        <v>9</v>
      </c>
      <c r="E375" t="s">
        <v>206</v>
      </c>
      <c r="F375" t="s">
        <v>69</v>
      </c>
      <c r="G375" t="str">
        <f t="shared" si="10"/>
        <v>34006EXPLORER</v>
      </c>
      <c r="H375">
        <f>VLOOKUP(G375,[1]Proyeccion_original!$G$2:$H$438,2,FALSE)</f>
        <v>4801</v>
      </c>
      <c r="I375">
        <v>5750</v>
      </c>
      <c r="J375">
        <f t="shared" si="11"/>
        <v>0.16504347826086957</v>
      </c>
    </row>
    <row r="376" spans="1:10">
      <c r="A376">
        <v>2026</v>
      </c>
      <c r="B376">
        <v>34</v>
      </c>
      <c r="C376" t="s">
        <v>66</v>
      </c>
      <c r="D376" t="s">
        <v>9</v>
      </c>
      <c r="E376" t="s">
        <v>206</v>
      </c>
      <c r="F376" t="s">
        <v>109</v>
      </c>
      <c r="G376" t="str">
        <f t="shared" si="10"/>
        <v>34006MONDIAL</v>
      </c>
      <c r="H376">
        <f>VLOOKUP(G376,[1]Proyeccion_original!$G$2:$H$438,2,FALSE)</f>
        <v>4892</v>
      </c>
      <c r="I376">
        <v>5550</v>
      </c>
      <c r="J376">
        <f t="shared" si="11"/>
        <v>0.11855855855855855</v>
      </c>
    </row>
    <row r="377" spans="1:10">
      <c r="A377">
        <v>2026</v>
      </c>
      <c r="B377">
        <v>34</v>
      </c>
      <c r="C377" t="s">
        <v>66</v>
      </c>
      <c r="D377" t="s">
        <v>9</v>
      </c>
      <c r="E377" t="s">
        <v>189</v>
      </c>
      <c r="F377" t="s">
        <v>92</v>
      </c>
      <c r="G377" t="str">
        <f t="shared" si="10"/>
        <v>34007COTOPAXI</v>
      </c>
      <c r="H377">
        <f>VLOOKUP(G377,[1]Proyeccion_original!$G$2:$H$438,2,FALSE)</f>
        <v>7682</v>
      </c>
      <c r="I377">
        <v>3750</v>
      </c>
      <c r="J377">
        <f t="shared" si="11"/>
        <v>-1.0485333333333333</v>
      </c>
    </row>
    <row r="378" spans="1:10">
      <c r="A378">
        <v>2026</v>
      </c>
      <c r="B378">
        <v>34</v>
      </c>
      <c r="C378" t="s">
        <v>66</v>
      </c>
      <c r="D378" t="s">
        <v>9</v>
      </c>
      <c r="E378" t="s">
        <v>189</v>
      </c>
      <c r="F378" t="s">
        <v>112</v>
      </c>
      <c r="G378" t="str">
        <f t="shared" si="10"/>
        <v>34007REDIANT</v>
      </c>
      <c r="H378">
        <f>VLOOKUP(G378,[1]Proyeccion_original!$G$2:$H$438,2,FALSE)</f>
        <v>1287</v>
      </c>
      <c r="I378">
        <v>1110</v>
      </c>
      <c r="J378">
        <f t="shared" si="11"/>
        <v>-0.15945945945945947</v>
      </c>
    </row>
    <row r="379" spans="1:10">
      <c r="A379">
        <v>2026</v>
      </c>
      <c r="B379">
        <v>34</v>
      </c>
      <c r="C379" t="s">
        <v>66</v>
      </c>
      <c r="D379" t="s">
        <v>9</v>
      </c>
      <c r="E379" t="s">
        <v>189</v>
      </c>
      <c r="F379" t="s">
        <v>104</v>
      </c>
      <c r="G379" t="str">
        <f t="shared" si="10"/>
        <v>34007VENDELA</v>
      </c>
      <c r="H379">
        <f>VLOOKUP(G379,[1]Proyeccion_original!$G$2:$H$438,2,FALSE)</f>
        <v>13902</v>
      </c>
      <c r="I379">
        <v>7680</v>
      </c>
      <c r="J379">
        <f t="shared" si="11"/>
        <v>-0.81015625000000002</v>
      </c>
    </row>
    <row r="380" spans="1:10">
      <c r="A380">
        <v>2026</v>
      </c>
      <c r="B380">
        <v>34</v>
      </c>
      <c r="C380" t="s">
        <v>66</v>
      </c>
      <c r="D380" t="s">
        <v>9</v>
      </c>
      <c r="E380" t="s">
        <v>207</v>
      </c>
      <c r="F380" t="s">
        <v>85</v>
      </c>
      <c r="G380" t="str">
        <f t="shared" si="10"/>
        <v>34008DEEP PURPLE</v>
      </c>
      <c r="H380">
        <f>VLOOKUP(G380,[1]Proyeccion_original!$G$2:$H$438,2,FALSE)</f>
        <v>2109</v>
      </c>
      <c r="I380">
        <v>3900</v>
      </c>
      <c r="J380">
        <f t="shared" si="11"/>
        <v>0.45923076923076922</v>
      </c>
    </row>
    <row r="381" spans="1:10">
      <c r="A381">
        <v>2026</v>
      </c>
      <c r="B381">
        <v>34</v>
      </c>
      <c r="C381" t="s">
        <v>66</v>
      </c>
      <c r="D381" t="s">
        <v>9</v>
      </c>
      <c r="E381" t="s">
        <v>207</v>
      </c>
      <c r="F381" t="s">
        <v>116</v>
      </c>
      <c r="G381" t="str">
        <f t="shared" si="10"/>
        <v>34008FREEDOM</v>
      </c>
      <c r="H381">
        <f>VLOOKUP(G381,[1]Proyeccion_original!$G$2:$H$438,2,FALSE)</f>
        <v>2722</v>
      </c>
      <c r="I381">
        <v>3180</v>
      </c>
      <c r="J381">
        <f t="shared" si="11"/>
        <v>0.1440251572327044</v>
      </c>
    </row>
    <row r="382" spans="1:10">
      <c r="A382">
        <v>2026</v>
      </c>
      <c r="B382">
        <v>34</v>
      </c>
      <c r="C382" t="s">
        <v>66</v>
      </c>
      <c r="D382" t="s">
        <v>9</v>
      </c>
      <c r="E382" t="s">
        <v>207</v>
      </c>
      <c r="F382" t="s">
        <v>88</v>
      </c>
      <c r="G382" t="str">
        <f t="shared" si="10"/>
        <v>34008JOCKER</v>
      </c>
      <c r="H382">
        <f>VLOOKUP(G382,[1]Proyeccion_original!$G$2:$H$438,2,FALSE)</f>
        <v>3429</v>
      </c>
      <c r="I382">
        <v>4975</v>
      </c>
      <c r="J382">
        <f t="shared" si="11"/>
        <v>0.31075376884422112</v>
      </c>
    </row>
    <row r="383" spans="1:10">
      <c r="A383">
        <v>2026</v>
      </c>
      <c r="B383">
        <v>34</v>
      </c>
      <c r="C383" t="s">
        <v>66</v>
      </c>
      <c r="D383" t="s">
        <v>9</v>
      </c>
      <c r="E383" t="s">
        <v>208</v>
      </c>
      <c r="F383" t="s">
        <v>119</v>
      </c>
      <c r="G383" t="str">
        <f t="shared" si="10"/>
        <v>34010COOLDOWN</v>
      </c>
      <c r="H383">
        <f>VLOOKUP(G383,[1]Proyeccion_original!$G$2:$H$438,2,FALSE)</f>
        <v>3063</v>
      </c>
      <c r="I383">
        <v>1900</v>
      </c>
      <c r="J383">
        <f t="shared" si="11"/>
        <v>-0.61210526315789471</v>
      </c>
    </row>
    <row r="384" spans="1:10">
      <c r="A384">
        <v>2026</v>
      </c>
      <c r="B384">
        <v>34</v>
      </c>
      <c r="C384" t="s">
        <v>66</v>
      </c>
      <c r="D384" t="s">
        <v>9</v>
      </c>
      <c r="E384" t="s">
        <v>208</v>
      </c>
      <c r="F384" t="s">
        <v>121</v>
      </c>
      <c r="G384" t="str">
        <f t="shared" si="10"/>
        <v>34010VIOLET HILL</v>
      </c>
      <c r="H384">
        <f>VLOOKUP(G384,[1]Proyeccion_original!$G$2:$H$438,2,FALSE)</f>
        <v>3230</v>
      </c>
      <c r="I384">
        <v>4440</v>
      </c>
      <c r="J384">
        <f t="shared" si="11"/>
        <v>0.27252252252252251</v>
      </c>
    </row>
    <row r="385" spans="1:10">
      <c r="A385">
        <v>2026</v>
      </c>
      <c r="B385">
        <v>34</v>
      </c>
      <c r="C385" t="s">
        <v>66</v>
      </c>
      <c r="D385" t="s">
        <v>9</v>
      </c>
      <c r="E385" t="s">
        <v>209</v>
      </c>
      <c r="F385" t="s">
        <v>123</v>
      </c>
      <c r="G385" t="str">
        <f t="shared" si="10"/>
        <v>34011BRIGHTON</v>
      </c>
      <c r="H385">
        <f>VLOOKUP(G385,[1]Proyeccion_original!$G$2:$H$438,2,FALSE)</f>
        <v>3296</v>
      </c>
      <c r="I385">
        <v>3375</v>
      </c>
      <c r="J385">
        <f t="shared" si="11"/>
        <v>2.3407407407407408E-2</v>
      </c>
    </row>
    <row r="386" spans="1:10">
      <c r="A386">
        <v>2026</v>
      </c>
      <c r="B386">
        <v>34</v>
      </c>
      <c r="C386" t="s">
        <v>66</v>
      </c>
      <c r="D386" t="s">
        <v>9</v>
      </c>
      <c r="E386" t="s">
        <v>209</v>
      </c>
      <c r="F386" t="s">
        <v>125</v>
      </c>
      <c r="G386" t="str">
        <f t="shared" si="10"/>
        <v>34011CANDLELIGHT</v>
      </c>
      <c r="H386">
        <f>VLOOKUP(G386,[1]Proyeccion_original!$G$2:$H$438,2,FALSE)</f>
        <v>4265</v>
      </c>
      <c r="I386">
        <v>4160</v>
      </c>
      <c r="J386">
        <f t="shared" si="11"/>
        <v>-2.5240384615384616E-2</v>
      </c>
    </row>
    <row r="387" spans="1:10">
      <c r="A387">
        <v>2026</v>
      </c>
      <c r="B387">
        <v>34</v>
      </c>
      <c r="C387" t="s">
        <v>66</v>
      </c>
      <c r="D387" t="s">
        <v>9</v>
      </c>
      <c r="E387" t="s">
        <v>209</v>
      </c>
      <c r="F387" t="s">
        <v>127</v>
      </c>
      <c r="G387" t="str">
        <f t="shared" ref="G387:G423" si="12">+B387&amp;E387&amp;F387</f>
        <v>34011CAYENNE</v>
      </c>
      <c r="H387">
        <f>VLOOKUP(G387,[1]Proyeccion_original!$G$2:$H$438,2,FALSE)</f>
        <v>927</v>
      </c>
      <c r="I387">
        <v>1590</v>
      </c>
      <c r="J387">
        <f t="shared" ref="J387:J423" si="13">+(I387-H387)/I387</f>
        <v>0.41698113207547172</v>
      </c>
    </row>
    <row r="388" spans="1:10">
      <c r="A388">
        <v>2026</v>
      </c>
      <c r="B388">
        <v>34</v>
      </c>
      <c r="C388" t="s">
        <v>66</v>
      </c>
      <c r="D388" t="s">
        <v>9</v>
      </c>
      <c r="E388" t="s">
        <v>209</v>
      </c>
      <c r="F388" t="s">
        <v>130</v>
      </c>
      <c r="G388" t="str">
        <f t="shared" si="12"/>
        <v>34011STARDUST</v>
      </c>
      <c r="H388">
        <f>VLOOKUP(G388,[1]Proyeccion_original!$G$2:$H$438,2,FALSE)</f>
        <v>2335</v>
      </c>
      <c r="I388">
        <v>3500</v>
      </c>
      <c r="J388">
        <f t="shared" si="13"/>
        <v>0.33285714285714285</v>
      </c>
    </row>
    <row r="389" spans="1:10">
      <c r="A389">
        <v>2026</v>
      </c>
      <c r="B389">
        <v>34</v>
      </c>
      <c r="C389" t="s">
        <v>66</v>
      </c>
      <c r="D389" t="s">
        <v>9</v>
      </c>
      <c r="E389" t="s">
        <v>210</v>
      </c>
      <c r="F389" t="s">
        <v>85</v>
      </c>
      <c r="G389" t="str">
        <f t="shared" si="12"/>
        <v>34012DEEP PURPLE</v>
      </c>
      <c r="H389">
        <f>VLOOKUP(G389,[1]Proyeccion_original!$G$2:$H$438,2,FALSE)</f>
        <v>9229</v>
      </c>
      <c r="I389">
        <v>12630</v>
      </c>
      <c r="J389">
        <f t="shared" si="13"/>
        <v>0.26927949326999207</v>
      </c>
    </row>
    <row r="390" spans="1:10">
      <c r="A390">
        <v>2026</v>
      </c>
      <c r="B390">
        <v>34</v>
      </c>
      <c r="C390" t="s">
        <v>66</v>
      </c>
      <c r="D390" t="s">
        <v>9</v>
      </c>
      <c r="E390" t="s">
        <v>210</v>
      </c>
      <c r="F390" t="s">
        <v>73</v>
      </c>
      <c r="G390" t="str">
        <f t="shared" si="12"/>
        <v>34012LIGHT HOUSE</v>
      </c>
      <c r="H390">
        <f>VLOOKUP(G390,[1]Proyeccion_original!$G$2:$H$438,2,FALSE)</f>
        <v>846</v>
      </c>
      <c r="I390">
        <v>1020</v>
      </c>
      <c r="J390">
        <f t="shared" si="13"/>
        <v>0.17058823529411765</v>
      </c>
    </row>
    <row r="391" spans="1:10">
      <c r="A391">
        <v>2026</v>
      </c>
      <c r="B391">
        <v>34</v>
      </c>
      <c r="C391" t="s">
        <v>66</v>
      </c>
      <c r="D391" t="s">
        <v>9</v>
      </c>
      <c r="E391" t="s">
        <v>211</v>
      </c>
      <c r="F391" t="s">
        <v>134</v>
      </c>
      <c r="G391" t="str">
        <f t="shared" si="12"/>
        <v>34013COUNTRY BLUES</v>
      </c>
      <c r="H391">
        <f>VLOOKUP(G391,[1]Proyeccion_original!$G$2:$H$438,2,FALSE)</f>
        <v>1458</v>
      </c>
      <c r="I391">
        <v>1060</v>
      </c>
      <c r="J391">
        <f t="shared" si="13"/>
        <v>-0.37547169811320757</v>
      </c>
    </row>
    <row r="392" spans="1:10">
      <c r="A392">
        <v>2026</v>
      </c>
      <c r="B392">
        <v>34</v>
      </c>
      <c r="C392" t="s">
        <v>66</v>
      </c>
      <c r="D392" t="s">
        <v>9</v>
      </c>
      <c r="E392" t="s">
        <v>211</v>
      </c>
      <c r="F392" t="s">
        <v>136</v>
      </c>
      <c r="G392" t="str">
        <f t="shared" si="12"/>
        <v>34013LORRAINE</v>
      </c>
      <c r="H392">
        <f>VLOOKUP(G392,[1]Proyeccion_original!$G$2:$H$438,2,FALSE)</f>
        <v>2549</v>
      </c>
      <c r="I392">
        <v>2550</v>
      </c>
      <c r="J392">
        <f t="shared" si="13"/>
        <v>3.9215686274509802E-4</v>
      </c>
    </row>
    <row r="393" spans="1:10">
      <c r="A393">
        <v>2026</v>
      </c>
      <c r="B393">
        <v>34</v>
      </c>
      <c r="C393" t="s">
        <v>66</v>
      </c>
      <c r="D393" t="s">
        <v>9</v>
      </c>
      <c r="E393" t="s">
        <v>211</v>
      </c>
      <c r="F393" t="s">
        <v>104</v>
      </c>
      <c r="G393" t="str">
        <f t="shared" si="12"/>
        <v>34013VENDELA</v>
      </c>
      <c r="H393">
        <f>VLOOKUP(G393,[1]Proyeccion_original!$G$2:$H$438,2,FALSE)</f>
        <v>8829</v>
      </c>
      <c r="I393">
        <v>7050</v>
      </c>
      <c r="J393">
        <f t="shared" si="13"/>
        <v>-0.25234042553191488</v>
      </c>
    </row>
    <row r="394" spans="1:10">
      <c r="A394">
        <v>2026</v>
      </c>
      <c r="B394">
        <v>34</v>
      </c>
      <c r="C394" t="s">
        <v>66</v>
      </c>
      <c r="D394" t="s">
        <v>9</v>
      </c>
      <c r="E394" t="s">
        <v>191</v>
      </c>
      <c r="F394" t="s">
        <v>130</v>
      </c>
      <c r="G394" t="str">
        <f t="shared" si="12"/>
        <v>34014STARDUST</v>
      </c>
      <c r="H394">
        <f>VLOOKUP(G394,[1]Proyeccion_original!$G$2:$H$438,2,FALSE)</f>
        <v>3374</v>
      </c>
      <c r="I394">
        <v>5150</v>
      </c>
      <c r="J394">
        <f t="shared" si="13"/>
        <v>0.34485436893203886</v>
      </c>
    </row>
    <row r="395" spans="1:10">
      <c r="A395">
        <v>2026</v>
      </c>
      <c r="B395">
        <v>34</v>
      </c>
      <c r="C395" t="s">
        <v>66</v>
      </c>
      <c r="D395" t="s">
        <v>9</v>
      </c>
      <c r="E395" t="s">
        <v>192</v>
      </c>
      <c r="F395" t="s">
        <v>88</v>
      </c>
      <c r="G395" t="str">
        <f t="shared" si="12"/>
        <v>34015JOCKER</v>
      </c>
      <c r="H395">
        <f>VLOOKUP(G395,[1]Proyeccion_original!$G$2:$H$438,2,FALSE)</f>
        <v>2857</v>
      </c>
      <c r="I395">
        <v>3025</v>
      </c>
      <c r="J395">
        <f t="shared" si="13"/>
        <v>5.5537190082644627E-2</v>
      </c>
    </row>
    <row r="396" spans="1:10">
      <c r="A396">
        <v>2026</v>
      </c>
      <c r="B396">
        <v>34</v>
      </c>
      <c r="C396" t="s">
        <v>66</v>
      </c>
      <c r="D396" t="s">
        <v>9</v>
      </c>
      <c r="E396" t="s">
        <v>193</v>
      </c>
      <c r="F396" t="s">
        <v>142</v>
      </c>
      <c r="G396" t="str">
        <f t="shared" si="12"/>
        <v>34016DREAM IN PEACH</v>
      </c>
      <c r="H396">
        <f>VLOOKUP(G396,[1]Proyeccion_original!$G$2:$H$438,2,FALSE)</f>
        <v>618</v>
      </c>
      <c r="I396">
        <v>1230</v>
      </c>
      <c r="J396">
        <f t="shared" si="13"/>
        <v>0.4975609756097561</v>
      </c>
    </row>
    <row r="397" spans="1:10">
      <c r="A397">
        <v>2026</v>
      </c>
      <c r="B397">
        <v>34</v>
      </c>
      <c r="C397" t="s">
        <v>66</v>
      </c>
      <c r="D397" t="s">
        <v>9</v>
      </c>
      <c r="E397" t="s">
        <v>193</v>
      </c>
      <c r="F397" t="s">
        <v>144</v>
      </c>
      <c r="G397" t="str">
        <f t="shared" si="12"/>
        <v>34016NINA</v>
      </c>
      <c r="H397">
        <f>VLOOKUP(G397,[1]Proyeccion_original!$G$2:$H$438,2,FALSE)</f>
        <v>2101</v>
      </c>
      <c r="I397">
        <v>1800</v>
      </c>
      <c r="J397">
        <f t="shared" si="13"/>
        <v>-0.16722222222222222</v>
      </c>
    </row>
    <row r="398" spans="1:10">
      <c r="A398">
        <v>2026</v>
      </c>
      <c r="B398">
        <v>34</v>
      </c>
      <c r="C398" t="s">
        <v>66</v>
      </c>
      <c r="D398" t="s">
        <v>9</v>
      </c>
      <c r="E398" t="s">
        <v>194</v>
      </c>
      <c r="F398" t="s">
        <v>116</v>
      </c>
      <c r="G398" t="str">
        <f t="shared" si="12"/>
        <v>34017FREEDOM</v>
      </c>
      <c r="H398">
        <f>VLOOKUP(G398,[1]Proyeccion_original!$G$2:$H$438,2,FALSE)</f>
        <v>3195</v>
      </c>
      <c r="I398">
        <v>4950</v>
      </c>
      <c r="J398">
        <f t="shared" si="13"/>
        <v>0.35454545454545455</v>
      </c>
    </row>
    <row r="399" spans="1:10">
      <c r="A399">
        <v>2026</v>
      </c>
      <c r="B399">
        <v>34</v>
      </c>
      <c r="C399" t="s">
        <v>66</v>
      </c>
      <c r="D399" t="s">
        <v>9</v>
      </c>
      <c r="E399" t="s">
        <v>194</v>
      </c>
      <c r="F399" t="s">
        <v>101</v>
      </c>
      <c r="G399" t="str">
        <f t="shared" si="12"/>
        <v>34017GOLDFINCH</v>
      </c>
      <c r="H399">
        <f>VLOOKUP(G399,[1]Proyeccion_original!$G$2:$H$438,2,FALSE)</f>
        <v>1746</v>
      </c>
      <c r="I399">
        <v>1975</v>
      </c>
      <c r="J399">
        <f t="shared" si="13"/>
        <v>0.11594936708860759</v>
      </c>
    </row>
    <row r="400" spans="1:10">
      <c r="A400">
        <v>2026</v>
      </c>
      <c r="B400">
        <v>34</v>
      </c>
      <c r="C400" t="s">
        <v>66</v>
      </c>
      <c r="D400" t="s">
        <v>9</v>
      </c>
      <c r="E400" t="s">
        <v>195</v>
      </c>
      <c r="F400" t="s">
        <v>123</v>
      </c>
      <c r="G400" t="str">
        <f t="shared" si="12"/>
        <v>34018BRIGHTON</v>
      </c>
      <c r="H400">
        <f>VLOOKUP(G400,[1]Proyeccion_original!$G$2:$H$438,2,FALSE)</f>
        <v>1354</v>
      </c>
      <c r="I400">
        <v>1650</v>
      </c>
      <c r="J400">
        <f t="shared" si="13"/>
        <v>0.17939393939393938</v>
      </c>
    </row>
    <row r="401" spans="1:10">
      <c r="A401">
        <v>2026</v>
      </c>
      <c r="B401">
        <v>34</v>
      </c>
      <c r="C401" t="s">
        <v>66</v>
      </c>
      <c r="D401" t="s">
        <v>9</v>
      </c>
      <c r="E401" t="s">
        <v>196</v>
      </c>
      <c r="F401" t="s">
        <v>123</v>
      </c>
      <c r="G401" t="str">
        <f t="shared" si="12"/>
        <v>34019BRIGHTON</v>
      </c>
      <c r="H401">
        <f>VLOOKUP(G401,[1]Proyeccion_original!$G$2:$H$438,2,FALSE)</f>
        <v>4136</v>
      </c>
      <c r="I401">
        <v>5600</v>
      </c>
      <c r="J401">
        <f t="shared" si="13"/>
        <v>0.26142857142857145</v>
      </c>
    </row>
    <row r="402" spans="1:10">
      <c r="A402">
        <v>2026</v>
      </c>
      <c r="B402">
        <v>34</v>
      </c>
      <c r="C402" t="s">
        <v>66</v>
      </c>
      <c r="D402" t="s">
        <v>9</v>
      </c>
      <c r="E402" t="s">
        <v>196</v>
      </c>
      <c r="F402" t="s">
        <v>150</v>
      </c>
      <c r="G402" t="str">
        <f t="shared" si="12"/>
        <v>34019TABATHA</v>
      </c>
      <c r="H402">
        <f>VLOOKUP(G402,[1]Proyeccion_original!$G$2:$H$438,2,FALSE)</f>
        <v>1587</v>
      </c>
      <c r="I402">
        <v>2370</v>
      </c>
      <c r="J402">
        <f t="shared" si="13"/>
        <v>0.33037974683544302</v>
      </c>
    </row>
    <row r="403" spans="1:10">
      <c r="A403">
        <v>2026</v>
      </c>
      <c r="B403">
        <v>34</v>
      </c>
      <c r="C403" t="s">
        <v>66</v>
      </c>
      <c r="D403" t="s">
        <v>9</v>
      </c>
      <c r="E403" t="s">
        <v>197</v>
      </c>
      <c r="F403" t="s">
        <v>123</v>
      </c>
      <c r="G403" t="str">
        <f t="shared" si="12"/>
        <v>34020BRIGHTON</v>
      </c>
      <c r="H403">
        <f>VLOOKUP(G403,[1]Proyeccion_original!$G$2:$H$438,2,FALSE)</f>
        <v>3361</v>
      </c>
      <c r="I403">
        <v>4125</v>
      </c>
      <c r="J403">
        <f t="shared" si="13"/>
        <v>0.18521212121212122</v>
      </c>
    </row>
    <row r="404" spans="1:10">
      <c r="A404">
        <v>2026</v>
      </c>
      <c r="B404">
        <v>34</v>
      </c>
      <c r="C404" t="s">
        <v>66</v>
      </c>
      <c r="D404" t="s">
        <v>9</v>
      </c>
      <c r="E404" t="s">
        <v>197</v>
      </c>
      <c r="F404" t="s">
        <v>153</v>
      </c>
      <c r="G404" t="str">
        <f t="shared" si="12"/>
        <v>34020TYCOON</v>
      </c>
      <c r="H404">
        <f>VLOOKUP(G404,[1]Proyeccion_original!$G$2:$H$438,2,FALSE)</f>
        <v>809</v>
      </c>
      <c r="I404">
        <v>930</v>
      </c>
      <c r="J404">
        <f t="shared" si="13"/>
        <v>0.13010752688172042</v>
      </c>
    </row>
    <row r="405" spans="1:10">
      <c r="A405">
        <v>2026</v>
      </c>
      <c r="B405">
        <v>34</v>
      </c>
      <c r="C405" t="s">
        <v>66</v>
      </c>
      <c r="D405" t="s">
        <v>9</v>
      </c>
      <c r="E405" t="s">
        <v>198</v>
      </c>
      <c r="F405" t="s">
        <v>155</v>
      </c>
      <c r="G405" t="str">
        <f t="shared" si="12"/>
        <v>34021SHOW GIRL</v>
      </c>
      <c r="H405">
        <f>VLOOKUP(G405,[1]Proyeccion_original!$G$2:$H$438,2,FALSE)</f>
        <v>2047</v>
      </c>
      <c r="I405">
        <v>1825</v>
      </c>
      <c r="J405">
        <f t="shared" si="13"/>
        <v>-0.12164383561643835</v>
      </c>
    </row>
    <row r="406" spans="1:10">
      <c r="A406">
        <v>2026</v>
      </c>
      <c r="B406">
        <v>34</v>
      </c>
      <c r="C406" t="s">
        <v>66</v>
      </c>
      <c r="D406" t="s">
        <v>9</v>
      </c>
      <c r="E406" t="s">
        <v>199</v>
      </c>
      <c r="F406" t="s">
        <v>157</v>
      </c>
      <c r="G406" t="str">
        <f t="shared" si="12"/>
        <v>34022CORAL REEF</v>
      </c>
      <c r="H406">
        <f>VLOOKUP(G406,[1]Proyeccion_original!$G$2:$H$438,2,FALSE)</f>
        <v>1173</v>
      </c>
      <c r="I406">
        <v>1475</v>
      </c>
      <c r="J406">
        <f t="shared" si="13"/>
        <v>0.2047457627118644</v>
      </c>
    </row>
    <row r="407" spans="1:10">
      <c r="A407">
        <v>2026</v>
      </c>
      <c r="B407">
        <v>34</v>
      </c>
      <c r="C407" t="s">
        <v>66</v>
      </c>
      <c r="D407" t="s">
        <v>9</v>
      </c>
      <c r="E407" t="s">
        <v>212</v>
      </c>
      <c r="F407" t="s">
        <v>92</v>
      </c>
      <c r="G407" t="str">
        <f t="shared" si="12"/>
        <v>34023COTOPAXI</v>
      </c>
      <c r="H407">
        <f>VLOOKUP(G407,[1]Proyeccion_original!$G$2:$H$438,2,FALSE)</f>
        <v>7426</v>
      </c>
      <c r="I407">
        <v>6090</v>
      </c>
      <c r="J407">
        <f t="shared" si="13"/>
        <v>-0.21937602627257799</v>
      </c>
    </row>
    <row r="408" spans="1:10">
      <c r="A408">
        <v>2026</v>
      </c>
      <c r="B408">
        <v>34</v>
      </c>
      <c r="C408" t="s">
        <v>66</v>
      </c>
      <c r="D408" t="s">
        <v>9</v>
      </c>
      <c r="E408" t="s">
        <v>212</v>
      </c>
      <c r="F408" t="s">
        <v>160</v>
      </c>
      <c r="G408" t="str">
        <f t="shared" si="12"/>
        <v>34023FRUTTETO</v>
      </c>
      <c r="H408">
        <f>VLOOKUP(G408,[1]Proyeccion_original!$G$2:$H$438,2,FALSE)</f>
        <v>3545</v>
      </c>
      <c r="I408">
        <v>4650</v>
      </c>
      <c r="J408">
        <f t="shared" si="13"/>
        <v>0.23763440860215054</v>
      </c>
    </row>
    <row r="409" spans="1:10">
      <c r="A409">
        <v>2026</v>
      </c>
      <c r="B409">
        <v>34</v>
      </c>
      <c r="C409" t="s">
        <v>66</v>
      </c>
      <c r="D409" t="s">
        <v>9</v>
      </c>
      <c r="E409" t="s">
        <v>213</v>
      </c>
      <c r="F409" t="s">
        <v>92</v>
      </c>
      <c r="G409" t="str">
        <f t="shared" si="12"/>
        <v>34024COTOPAXI</v>
      </c>
      <c r="H409">
        <f>VLOOKUP(G409,[1]Proyeccion_original!$G$2:$H$438,2,FALSE)</f>
        <v>3424</v>
      </c>
      <c r="I409">
        <v>3120</v>
      </c>
      <c r="J409">
        <f t="shared" si="13"/>
        <v>-9.7435897435897437E-2</v>
      </c>
    </row>
    <row r="410" spans="1:10">
      <c r="A410">
        <v>2026</v>
      </c>
      <c r="B410">
        <v>34</v>
      </c>
      <c r="C410" t="s">
        <v>66</v>
      </c>
      <c r="D410" t="s">
        <v>9</v>
      </c>
      <c r="E410" t="s">
        <v>213</v>
      </c>
      <c r="F410" t="s">
        <v>81</v>
      </c>
      <c r="G410" t="str">
        <f t="shared" si="12"/>
        <v>34024SWEETNESS</v>
      </c>
      <c r="H410">
        <f>VLOOKUP(G410,[1]Proyeccion_original!$G$2:$H$438,2,FALSE)</f>
        <v>1485</v>
      </c>
      <c r="I410">
        <v>1980</v>
      </c>
      <c r="J410">
        <f t="shared" si="13"/>
        <v>0.25</v>
      </c>
    </row>
    <row r="411" spans="1:10">
      <c r="A411">
        <v>2026</v>
      </c>
      <c r="B411">
        <v>34</v>
      </c>
      <c r="C411" t="s">
        <v>66</v>
      </c>
      <c r="D411" t="s">
        <v>9</v>
      </c>
      <c r="E411" t="s">
        <v>213</v>
      </c>
      <c r="F411" t="s">
        <v>153</v>
      </c>
      <c r="G411" t="str">
        <f t="shared" si="12"/>
        <v>34024TYCOON</v>
      </c>
      <c r="H411">
        <f>VLOOKUP(G411,[1]Proyeccion_original!$G$2:$H$438,2,FALSE)</f>
        <v>2853</v>
      </c>
      <c r="I411">
        <v>3810</v>
      </c>
      <c r="J411">
        <f t="shared" si="13"/>
        <v>0.2511811023622047</v>
      </c>
    </row>
    <row r="412" spans="1:10">
      <c r="A412">
        <v>2026</v>
      </c>
      <c r="B412">
        <v>34</v>
      </c>
      <c r="C412" t="s">
        <v>66</v>
      </c>
      <c r="D412" t="s">
        <v>9</v>
      </c>
      <c r="E412" t="s">
        <v>214</v>
      </c>
      <c r="F412" t="s">
        <v>165</v>
      </c>
      <c r="G412" t="str">
        <f t="shared" si="12"/>
        <v>34025PINK MONDIAL</v>
      </c>
      <c r="H412">
        <f>VLOOKUP(G412,[1]Proyeccion_original!$G$2:$H$438,2,FALSE)</f>
        <v>3474</v>
      </c>
      <c r="I412">
        <v>4450</v>
      </c>
      <c r="J412">
        <f t="shared" si="13"/>
        <v>0.21932584269662922</v>
      </c>
    </row>
    <row r="413" spans="1:10">
      <c r="A413">
        <v>2026</v>
      </c>
      <c r="B413">
        <v>34</v>
      </c>
      <c r="C413" t="s">
        <v>66</v>
      </c>
      <c r="D413" t="s">
        <v>9</v>
      </c>
      <c r="E413" t="s">
        <v>215</v>
      </c>
      <c r="F413" t="s">
        <v>167</v>
      </c>
      <c r="G413" t="str">
        <f t="shared" si="12"/>
        <v>34026LOLA</v>
      </c>
      <c r="H413">
        <f>VLOOKUP(G413,[1]Proyeccion_original!$G$2:$H$438,2,FALSE)</f>
        <v>2796</v>
      </c>
      <c r="I413">
        <v>4000</v>
      </c>
      <c r="J413">
        <f t="shared" si="13"/>
        <v>0.30099999999999999</v>
      </c>
    </row>
    <row r="414" spans="1:10">
      <c r="A414">
        <v>2026</v>
      </c>
      <c r="B414">
        <v>34</v>
      </c>
      <c r="C414" t="s">
        <v>66</v>
      </c>
      <c r="D414" t="s">
        <v>9</v>
      </c>
      <c r="E414" t="s">
        <v>215</v>
      </c>
      <c r="F414" t="s">
        <v>169</v>
      </c>
      <c r="G414" t="str">
        <f t="shared" si="12"/>
        <v>34026PALOMA</v>
      </c>
      <c r="H414">
        <f>VLOOKUP(G414,[1]Proyeccion_original!$G$2:$H$438,2,FALSE)</f>
        <v>3531</v>
      </c>
      <c r="I414">
        <v>4150</v>
      </c>
      <c r="J414">
        <f t="shared" si="13"/>
        <v>0.1491566265060241</v>
      </c>
    </row>
    <row r="415" spans="1:10">
      <c r="A415">
        <v>2026</v>
      </c>
      <c r="B415">
        <v>34</v>
      </c>
      <c r="C415" t="s">
        <v>66</v>
      </c>
      <c r="D415" t="s">
        <v>9</v>
      </c>
      <c r="E415" t="s">
        <v>216</v>
      </c>
      <c r="F415" t="s">
        <v>171</v>
      </c>
      <c r="G415" t="str">
        <f t="shared" si="12"/>
        <v>34027SATISFACTION</v>
      </c>
      <c r="H415">
        <f>VLOOKUP(G415,[1]Proyeccion_original!$G$2:$H$438,2,FALSE)</f>
        <v>3550</v>
      </c>
      <c r="I415">
        <v>4230</v>
      </c>
      <c r="J415">
        <f t="shared" si="13"/>
        <v>0.16075650118203311</v>
      </c>
    </row>
    <row r="416" spans="1:10">
      <c r="A416">
        <v>2026</v>
      </c>
      <c r="B416">
        <v>34</v>
      </c>
      <c r="C416" t="s">
        <v>66</v>
      </c>
      <c r="D416" t="s">
        <v>9</v>
      </c>
      <c r="E416" t="s">
        <v>216</v>
      </c>
      <c r="F416" t="s">
        <v>173</v>
      </c>
      <c r="G416" t="str">
        <f t="shared" si="12"/>
        <v>34027TIFFANY</v>
      </c>
      <c r="H416">
        <f>VLOOKUP(G416,[1]Proyeccion_original!$G$2:$H$438,2,FALSE)</f>
        <v>3430</v>
      </c>
      <c r="I416">
        <v>5340</v>
      </c>
      <c r="J416">
        <f t="shared" si="13"/>
        <v>0.35767790262172283</v>
      </c>
    </row>
    <row r="417" spans="1:10">
      <c r="A417">
        <v>2026</v>
      </c>
      <c r="B417">
        <v>34</v>
      </c>
      <c r="C417" t="s">
        <v>66</v>
      </c>
      <c r="D417" t="s">
        <v>9</v>
      </c>
      <c r="E417" t="s">
        <v>217</v>
      </c>
      <c r="F417" t="s">
        <v>92</v>
      </c>
      <c r="G417" t="str">
        <f t="shared" si="12"/>
        <v>34028COTOPAXI</v>
      </c>
      <c r="H417">
        <f>VLOOKUP(G417,[1]Proyeccion_original!$G$2:$H$438,2,FALSE)</f>
        <v>4965</v>
      </c>
      <c r="I417">
        <v>5040</v>
      </c>
      <c r="J417">
        <f t="shared" si="13"/>
        <v>1.488095238095238E-2</v>
      </c>
    </row>
    <row r="418" spans="1:10">
      <c r="A418">
        <v>2026</v>
      </c>
      <c r="B418">
        <v>34</v>
      </c>
      <c r="C418" t="s">
        <v>66</v>
      </c>
      <c r="D418" t="s">
        <v>9</v>
      </c>
      <c r="E418" t="s">
        <v>217</v>
      </c>
      <c r="F418" t="s">
        <v>85</v>
      </c>
      <c r="G418" t="str">
        <f t="shared" si="12"/>
        <v>34028DEEP PURPLE</v>
      </c>
      <c r="H418">
        <f>VLOOKUP(G418,[1]Proyeccion_original!$G$2:$H$438,2,FALSE)</f>
        <v>4671</v>
      </c>
      <c r="I418">
        <v>5820</v>
      </c>
      <c r="J418">
        <f t="shared" si="13"/>
        <v>0.19742268041237113</v>
      </c>
    </row>
    <row r="419" spans="1:10">
      <c r="A419">
        <v>2026</v>
      </c>
      <c r="B419">
        <v>34</v>
      </c>
      <c r="C419" t="s">
        <v>66</v>
      </c>
      <c r="D419" t="s">
        <v>9</v>
      </c>
      <c r="E419" t="s">
        <v>218</v>
      </c>
      <c r="F419" t="s">
        <v>177</v>
      </c>
      <c r="G419" t="str">
        <f t="shared" si="12"/>
        <v>34029PINK FLOYD</v>
      </c>
      <c r="H419">
        <f>VLOOKUP(G419,[1]Proyeccion_original!$G$2:$H$438,2,FALSE)</f>
        <v>2884</v>
      </c>
      <c r="I419">
        <v>3375</v>
      </c>
      <c r="J419">
        <f t="shared" si="13"/>
        <v>0.14548148148148149</v>
      </c>
    </row>
    <row r="420" spans="1:10">
      <c r="A420">
        <v>2026</v>
      </c>
      <c r="B420">
        <v>34</v>
      </c>
      <c r="C420" t="s">
        <v>66</v>
      </c>
      <c r="D420" t="s">
        <v>9</v>
      </c>
      <c r="E420" t="s">
        <v>200</v>
      </c>
      <c r="F420" t="s">
        <v>69</v>
      </c>
      <c r="G420" t="str">
        <f t="shared" si="12"/>
        <v>34030EXPLORER</v>
      </c>
      <c r="H420">
        <f>VLOOKUP(G420,[1]Proyeccion_original!$G$2:$H$438,2,FALSE)</f>
        <v>1223</v>
      </c>
      <c r="I420">
        <v>1750</v>
      </c>
      <c r="J420">
        <f t="shared" si="13"/>
        <v>0.30114285714285716</v>
      </c>
    </row>
    <row r="421" spans="1:10">
      <c r="A421">
        <v>2026</v>
      </c>
      <c r="B421">
        <v>34</v>
      </c>
      <c r="C421" t="s">
        <v>66</v>
      </c>
      <c r="D421" t="s">
        <v>9</v>
      </c>
      <c r="E421" t="s">
        <v>204</v>
      </c>
      <c r="F421" t="s">
        <v>75</v>
      </c>
      <c r="G421" t="str">
        <f t="shared" si="12"/>
        <v>34001LUMIA</v>
      </c>
      <c r="H421">
        <f>VLOOKUP(G421,[1]Proyeccion_original!$G$2:$H$438,2,FALSE)</f>
        <v>1223</v>
      </c>
      <c r="I421">
        <v>1380</v>
      </c>
      <c r="J421">
        <f t="shared" si="13"/>
        <v>0.11376811594202899</v>
      </c>
    </row>
    <row r="422" spans="1:10">
      <c r="A422">
        <v>2026</v>
      </c>
      <c r="B422">
        <v>34</v>
      </c>
      <c r="C422" t="s">
        <v>66</v>
      </c>
      <c r="D422" t="s">
        <v>9</v>
      </c>
      <c r="E422" t="s">
        <v>209</v>
      </c>
      <c r="F422" t="s">
        <v>75</v>
      </c>
      <c r="G422" t="str">
        <f t="shared" si="12"/>
        <v>34011LUMIA</v>
      </c>
      <c r="H422">
        <f>VLOOKUP(G422,[1]Proyeccion_original!$G$2:$H$438,2,FALSE)</f>
        <v>1183</v>
      </c>
      <c r="I422">
        <v>1500</v>
      </c>
      <c r="J422">
        <f t="shared" si="13"/>
        <v>0.21133333333333335</v>
      </c>
    </row>
    <row r="423" spans="1:10">
      <c r="A423">
        <v>2026</v>
      </c>
      <c r="B423">
        <v>34</v>
      </c>
      <c r="C423" t="s">
        <v>66</v>
      </c>
      <c r="D423" t="s">
        <v>9</v>
      </c>
      <c r="E423" t="s">
        <v>211</v>
      </c>
      <c r="F423" t="s">
        <v>75</v>
      </c>
      <c r="G423" t="str">
        <f t="shared" si="12"/>
        <v>34013LUMIA</v>
      </c>
      <c r="H423">
        <f>VLOOKUP(G423,[1]Proyeccion_original!$G$2:$H$438,2,FALSE)</f>
        <v>292</v>
      </c>
      <c r="I423">
        <v>570</v>
      </c>
      <c r="J423">
        <f t="shared" si="13"/>
        <v>0.48771929824561405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baseColWidth="10" defaultColWidth="9.140625" defaultRowHeight="15"/>
  <sheetData>
    <row r="1" spans="1:4">
      <c r="A1" s="1" t="s">
        <v>6</v>
      </c>
      <c r="B1" s="1" t="s">
        <v>182</v>
      </c>
      <c r="C1" s="1" t="s">
        <v>183</v>
      </c>
      <c r="D1" s="1" t="s">
        <v>184</v>
      </c>
    </row>
    <row r="2" spans="1:4">
      <c r="A2" t="s">
        <v>11</v>
      </c>
      <c r="B2">
        <v>101472.4670160056</v>
      </c>
      <c r="C2">
        <v>8859583.8041443266</v>
      </c>
      <c r="D2">
        <v>10.358000000000001</v>
      </c>
    </row>
    <row r="3" spans="1:4">
      <c r="A3" t="s">
        <v>13</v>
      </c>
      <c r="B3">
        <v>48088.202197504797</v>
      </c>
      <c r="C3">
        <v>382982.81466332049</v>
      </c>
      <c r="D3">
        <v>9.5289999999999999</v>
      </c>
    </row>
    <row r="4" spans="1:4">
      <c r="A4" t="s">
        <v>15</v>
      </c>
      <c r="B4">
        <v>150578.03625351869</v>
      </c>
      <c r="C4">
        <v>7798893.4720090162</v>
      </c>
      <c r="D4">
        <v>12.653</v>
      </c>
    </row>
    <row r="5" spans="1:4">
      <c r="A5" t="s">
        <v>17</v>
      </c>
      <c r="B5">
        <v>72653.985904996938</v>
      </c>
      <c r="C5">
        <v>161869.4128312415</v>
      </c>
      <c r="D5">
        <v>8.5129999999999999</v>
      </c>
    </row>
    <row r="6" spans="1:4">
      <c r="A6" t="s">
        <v>19</v>
      </c>
      <c r="B6">
        <v>344326.43926800822</v>
      </c>
      <c r="C6">
        <v>4484994.2239578273</v>
      </c>
      <c r="D6">
        <v>13.05</v>
      </c>
    </row>
    <row r="7" spans="1:4">
      <c r="A7" t="s">
        <v>21</v>
      </c>
      <c r="B7">
        <v>137197.3737045294</v>
      </c>
      <c r="C7">
        <v>587476.44444114657</v>
      </c>
      <c r="D7">
        <v>10.766999999999999</v>
      </c>
    </row>
    <row r="8" spans="1:4">
      <c r="A8" t="s">
        <v>22</v>
      </c>
      <c r="B8">
        <v>302425.40888594138</v>
      </c>
      <c r="C8">
        <v>20334970.561020538</v>
      </c>
      <c r="D8">
        <v>13.693</v>
      </c>
    </row>
    <row r="9" spans="1:4">
      <c r="A9" t="s">
        <v>24</v>
      </c>
      <c r="B9">
        <v>132250.67037446349</v>
      </c>
      <c r="C9">
        <v>2120770.99108053</v>
      </c>
      <c r="D9">
        <v>11.645</v>
      </c>
    </row>
    <row r="10" spans="1:4">
      <c r="A10" t="s">
        <v>26</v>
      </c>
      <c r="B10">
        <v>92554.067024567485</v>
      </c>
      <c r="C10">
        <v>3356447.3262696802</v>
      </c>
      <c r="D10">
        <v>11.366</v>
      </c>
    </row>
    <row r="11" spans="1:4">
      <c r="A11" t="s">
        <v>28</v>
      </c>
      <c r="B11">
        <v>246262.2429088995</v>
      </c>
      <c r="C11">
        <v>948997.73109436617</v>
      </c>
      <c r="D11">
        <v>10.959</v>
      </c>
    </row>
    <row r="12" spans="1:4">
      <c r="A12" t="s">
        <v>30</v>
      </c>
      <c r="B12">
        <v>435289.73176597687</v>
      </c>
      <c r="C12">
        <v>1501322.9736535931</v>
      </c>
      <c r="D12">
        <v>11.602</v>
      </c>
    </row>
    <row r="13" spans="1:4">
      <c r="A13" t="s">
        <v>32</v>
      </c>
      <c r="B13">
        <v>60185.479888916911</v>
      </c>
      <c r="C13">
        <v>446498.38419545878</v>
      </c>
      <c r="D13">
        <v>9.8740000000000006</v>
      </c>
    </row>
    <row r="14" spans="1:4">
      <c r="A14" t="s">
        <v>34</v>
      </c>
      <c r="B14">
        <v>212970.03341086561</v>
      </c>
      <c r="C14">
        <v>5015677.3030387014</v>
      </c>
      <c r="D14">
        <v>12.116</v>
      </c>
    </row>
    <row r="15" spans="1:4">
      <c r="A15" t="s">
        <v>36</v>
      </c>
      <c r="B15">
        <v>403249.41589808499</v>
      </c>
      <c r="C15">
        <v>1796307.656931862</v>
      </c>
      <c r="D15">
        <v>11.135999999999999</v>
      </c>
    </row>
    <row r="16" spans="1:4">
      <c r="A16" t="s">
        <v>37</v>
      </c>
      <c r="B16">
        <v>117448.9839283248</v>
      </c>
      <c r="C16">
        <v>769944.25194251293</v>
      </c>
      <c r="D16">
        <v>10.193</v>
      </c>
    </row>
    <row r="17" spans="1:4">
      <c r="A17" t="s">
        <v>39</v>
      </c>
      <c r="B17">
        <v>344087.26405454852</v>
      </c>
      <c r="C17">
        <v>1130439.038798996</v>
      </c>
      <c r="D17">
        <v>11.257</v>
      </c>
    </row>
    <row r="18" spans="1:4">
      <c r="A18" t="s">
        <v>41</v>
      </c>
      <c r="B18">
        <v>74112.437667861828</v>
      </c>
      <c r="C18">
        <v>229112.0611357498</v>
      </c>
      <c r="D18">
        <v>10.736000000000001</v>
      </c>
    </row>
    <row r="19" spans="1:4">
      <c r="A19" t="s">
        <v>43</v>
      </c>
      <c r="B19">
        <v>74365.854621924693</v>
      </c>
      <c r="C19">
        <v>463216.57492472877</v>
      </c>
      <c r="D19">
        <v>10.814</v>
      </c>
    </row>
    <row r="20" spans="1:4">
      <c r="A20" t="s">
        <v>45</v>
      </c>
      <c r="B20">
        <v>19988.551867773709</v>
      </c>
      <c r="C20">
        <v>57639.872051241233</v>
      </c>
      <c r="D20">
        <v>8.5109999999999992</v>
      </c>
    </row>
    <row r="21" spans="1:4">
      <c r="A21" t="s">
        <v>47</v>
      </c>
      <c r="B21">
        <v>265302.60580205289</v>
      </c>
      <c r="C21">
        <v>3778801.0515926629</v>
      </c>
      <c r="D21">
        <v>12.762</v>
      </c>
    </row>
    <row r="22" spans="1:4">
      <c r="A22" t="s">
        <v>48</v>
      </c>
      <c r="B22">
        <v>181694.15886741329</v>
      </c>
      <c r="C22">
        <v>2160104.9739880729</v>
      </c>
      <c r="D22">
        <v>10.757999999999999</v>
      </c>
    </row>
    <row r="23" spans="1:4">
      <c r="A23" t="s">
        <v>49</v>
      </c>
      <c r="B23">
        <v>281267.52778800082</v>
      </c>
      <c r="C23">
        <v>7255675.02372522</v>
      </c>
      <c r="D23">
        <v>10.973000000000001</v>
      </c>
    </row>
    <row r="24" spans="1:4">
      <c r="A24" t="s">
        <v>50</v>
      </c>
      <c r="B24">
        <v>28028.369592814161</v>
      </c>
      <c r="C24">
        <v>412393.53501035599</v>
      </c>
      <c r="D24">
        <v>10.127000000000001</v>
      </c>
    </row>
    <row r="25" spans="1:4">
      <c r="A25" t="s">
        <v>52</v>
      </c>
      <c r="B25">
        <v>66125.073526104388</v>
      </c>
      <c r="C25">
        <v>552837.24619711353</v>
      </c>
      <c r="D25">
        <v>10.673999999999999</v>
      </c>
    </row>
    <row r="26" spans="1:4">
      <c r="A26" t="s">
        <v>53</v>
      </c>
      <c r="B26">
        <v>157187.05001079649</v>
      </c>
      <c r="C26">
        <v>3285630.730493906</v>
      </c>
      <c r="D26">
        <v>11.914</v>
      </c>
    </row>
    <row r="27" spans="1:4">
      <c r="A27" t="s">
        <v>54</v>
      </c>
      <c r="B27">
        <v>279179.36866107432</v>
      </c>
      <c r="C27">
        <v>2928259.0231320178</v>
      </c>
      <c r="D27">
        <v>12.426</v>
      </c>
    </row>
    <row r="28" spans="1:4">
      <c r="A28" t="s">
        <v>56</v>
      </c>
      <c r="B28">
        <v>130787.6341378455</v>
      </c>
      <c r="C28">
        <v>1038090.944467211</v>
      </c>
      <c r="D28">
        <v>10.651</v>
      </c>
    </row>
    <row r="29" spans="1:4">
      <c r="A29" t="s">
        <v>57</v>
      </c>
      <c r="B29">
        <v>218373.78283220049</v>
      </c>
      <c r="C29">
        <v>577078.90770253132</v>
      </c>
      <c r="D29">
        <v>11.128</v>
      </c>
    </row>
    <row r="30" spans="1:4">
      <c r="A30" t="s">
        <v>58</v>
      </c>
      <c r="B30">
        <v>258595.22600308171</v>
      </c>
      <c r="C30">
        <v>2424036.8918382828</v>
      </c>
      <c r="D30">
        <v>12.226000000000001</v>
      </c>
    </row>
    <row r="31" spans="1:4">
      <c r="A31" t="s">
        <v>60</v>
      </c>
      <c r="B31">
        <v>33316.616430621842</v>
      </c>
      <c r="C31">
        <v>79399.422701637915</v>
      </c>
      <c r="D31">
        <v>9.3940000000000001</v>
      </c>
    </row>
    <row r="32" spans="1:4">
      <c r="A32" t="s">
        <v>61</v>
      </c>
      <c r="B32">
        <v>71924.659197480913</v>
      </c>
      <c r="C32">
        <v>1316510.588663928</v>
      </c>
      <c r="D32">
        <v>10.896000000000001</v>
      </c>
    </row>
    <row r="33" spans="1:4">
      <c r="A33" t="s">
        <v>62</v>
      </c>
      <c r="B33">
        <v>140705.2659212315</v>
      </c>
      <c r="C33">
        <v>1273251.826111397</v>
      </c>
      <c r="D33">
        <v>5.8220000000000001</v>
      </c>
    </row>
    <row r="34" spans="1:4">
      <c r="A34" t="s">
        <v>64</v>
      </c>
      <c r="B34">
        <v>42464.510102351727</v>
      </c>
      <c r="C34">
        <v>168556.34715937261</v>
      </c>
      <c r="D34">
        <v>9.3379999999999992</v>
      </c>
    </row>
    <row r="35" spans="1:4">
      <c r="A35" t="s">
        <v>65</v>
      </c>
      <c r="B35">
        <v>192756.60662363679</v>
      </c>
      <c r="C35">
        <v>4209111.0678674905</v>
      </c>
      <c r="D35">
        <v>12.093</v>
      </c>
    </row>
    <row r="36" spans="1:4">
      <c r="A36" t="s">
        <v>68</v>
      </c>
      <c r="B36">
        <v>108293.7886003091</v>
      </c>
      <c r="C36">
        <v>235047.2912604186</v>
      </c>
      <c r="D36">
        <v>9.2249999999999996</v>
      </c>
    </row>
    <row r="37" spans="1:4">
      <c r="A37" t="s">
        <v>70</v>
      </c>
      <c r="B37">
        <v>236426.45035275709</v>
      </c>
      <c r="C37">
        <v>1906056.9616953239</v>
      </c>
      <c r="D37">
        <v>10.544</v>
      </c>
    </row>
    <row r="38" spans="1:4">
      <c r="A38" t="s">
        <v>72</v>
      </c>
      <c r="B38">
        <v>127510.2694259462</v>
      </c>
      <c r="C38">
        <v>1006418.426685844</v>
      </c>
      <c r="D38">
        <v>10.81</v>
      </c>
    </row>
    <row r="39" spans="1:4">
      <c r="A39" t="s">
        <v>181</v>
      </c>
      <c r="B39">
        <v>70286.700219588747</v>
      </c>
      <c r="C39">
        <v>652063.45864074072</v>
      </c>
    </row>
    <row r="40" spans="1:4">
      <c r="A40" t="s">
        <v>74</v>
      </c>
      <c r="B40">
        <v>157626.40504900439</v>
      </c>
      <c r="C40">
        <v>1035530.6344851099</v>
      </c>
      <c r="D40">
        <v>10.215999999999999</v>
      </c>
    </row>
    <row r="41" spans="1:4">
      <c r="A41" t="s">
        <v>76</v>
      </c>
      <c r="B41">
        <v>202323.60272311719</v>
      </c>
      <c r="C41">
        <v>1622035.4982430071</v>
      </c>
      <c r="D41">
        <v>9.8710000000000004</v>
      </c>
    </row>
    <row r="42" spans="1:4">
      <c r="A42" t="s">
        <v>78</v>
      </c>
      <c r="B42">
        <v>150427.73651565539</v>
      </c>
      <c r="C42">
        <v>2952096.020667498</v>
      </c>
      <c r="D42">
        <v>12.036</v>
      </c>
    </row>
    <row r="43" spans="1:4">
      <c r="A43" t="s">
        <v>80</v>
      </c>
      <c r="B43">
        <v>96171.607638575384</v>
      </c>
      <c r="C43">
        <v>687645.47513937217</v>
      </c>
      <c r="D43">
        <v>10.436</v>
      </c>
    </row>
    <row r="44" spans="1:4">
      <c r="A44" t="s">
        <v>82</v>
      </c>
      <c r="B44">
        <v>151911.57259223759</v>
      </c>
      <c r="C44">
        <v>6190682.2441664776</v>
      </c>
      <c r="D44">
        <v>11.843999999999999</v>
      </c>
    </row>
    <row r="45" spans="1:4">
      <c r="A45" t="s">
        <v>84</v>
      </c>
      <c r="B45">
        <v>309836.48833341652</v>
      </c>
      <c r="C45">
        <v>9717085.6747416556</v>
      </c>
      <c r="D45">
        <v>13.058999999999999</v>
      </c>
    </row>
    <row r="46" spans="1:4">
      <c r="A46" t="s">
        <v>86</v>
      </c>
      <c r="B46">
        <v>1228154.8829153089</v>
      </c>
      <c r="C46">
        <v>24669497.719910499</v>
      </c>
      <c r="D46">
        <v>13.694000000000001</v>
      </c>
    </row>
    <row r="47" spans="1:4">
      <c r="A47" t="s">
        <v>87</v>
      </c>
      <c r="B47">
        <v>32877.634843515239</v>
      </c>
      <c r="C47">
        <v>229377.81903725339</v>
      </c>
      <c r="D47">
        <v>9.6120000000000001</v>
      </c>
    </row>
    <row r="48" spans="1:4">
      <c r="A48" t="s">
        <v>89</v>
      </c>
      <c r="B48">
        <v>79834.812549321665</v>
      </c>
      <c r="C48">
        <v>287931.70066060883</v>
      </c>
      <c r="D48">
        <v>8.9489999999999998</v>
      </c>
    </row>
    <row r="49" spans="1:4">
      <c r="A49" t="s">
        <v>91</v>
      </c>
      <c r="B49">
        <v>64140.915340632768</v>
      </c>
      <c r="C49">
        <v>549052.10165616241</v>
      </c>
      <c r="D49">
        <v>9.0990000000000002</v>
      </c>
    </row>
    <row r="50" spans="1:4">
      <c r="A50" t="s">
        <v>93</v>
      </c>
      <c r="B50">
        <v>32384.12306487645</v>
      </c>
      <c r="C50">
        <v>183820.49839327281</v>
      </c>
      <c r="D50">
        <v>8.9819999999999993</v>
      </c>
    </row>
    <row r="51" spans="1:4">
      <c r="A51" t="s">
        <v>94</v>
      </c>
      <c r="B51">
        <v>1192352.648715989</v>
      </c>
      <c r="C51">
        <v>32329960.374925841</v>
      </c>
      <c r="D51">
        <v>12.262</v>
      </c>
    </row>
    <row r="52" spans="1:4">
      <c r="A52" t="s">
        <v>96</v>
      </c>
      <c r="B52">
        <v>34597.183194481273</v>
      </c>
      <c r="C52">
        <v>516126.5105470845</v>
      </c>
      <c r="D52">
        <v>10.064</v>
      </c>
    </row>
    <row r="53" spans="1:4">
      <c r="A53" t="s">
        <v>98</v>
      </c>
      <c r="B53">
        <v>468919.30736693583</v>
      </c>
      <c r="C53">
        <v>1165166.9131825441</v>
      </c>
      <c r="D53">
        <v>10.792999999999999</v>
      </c>
    </row>
    <row r="54" spans="1:4">
      <c r="A54" t="s">
        <v>99</v>
      </c>
      <c r="B54">
        <v>50003.07285970301</v>
      </c>
      <c r="C54">
        <v>136050.82584428761</v>
      </c>
      <c r="D54">
        <v>9.8889999999999993</v>
      </c>
    </row>
    <row r="55" spans="1:4">
      <c r="A55" t="s">
        <v>100</v>
      </c>
      <c r="B55">
        <v>104161.8472814066</v>
      </c>
      <c r="C55">
        <v>437280.03192807018</v>
      </c>
      <c r="D55">
        <v>10.755000000000001</v>
      </c>
    </row>
    <row r="56" spans="1:4">
      <c r="A56" t="s">
        <v>102</v>
      </c>
      <c r="B56">
        <v>167087.490088689</v>
      </c>
      <c r="C56">
        <v>385709.20812049293</v>
      </c>
      <c r="D56">
        <v>9.657</v>
      </c>
    </row>
    <row r="57" spans="1:4">
      <c r="A57" t="s">
        <v>103</v>
      </c>
      <c r="B57">
        <v>89600.907024457818</v>
      </c>
      <c r="C57">
        <v>875115.88607982814</v>
      </c>
      <c r="D57">
        <v>10.57</v>
      </c>
    </row>
    <row r="58" spans="1:4">
      <c r="A58" t="s">
        <v>105</v>
      </c>
      <c r="B58">
        <v>87693.160833713817</v>
      </c>
      <c r="C58">
        <v>648662.26612140646</v>
      </c>
      <c r="D58">
        <v>10.340999999999999</v>
      </c>
    </row>
    <row r="59" spans="1:4">
      <c r="A59" t="s">
        <v>107</v>
      </c>
      <c r="B59">
        <v>121618.94796316361</v>
      </c>
      <c r="C59">
        <v>658594.1081046717</v>
      </c>
      <c r="D59">
        <v>10.664</v>
      </c>
    </row>
    <row r="60" spans="1:4">
      <c r="A60" t="s">
        <v>108</v>
      </c>
      <c r="B60">
        <v>181438.79121794971</v>
      </c>
      <c r="C60">
        <v>4262279.8817604054</v>
      </c>
      <c r="D60">
        <v>12.526</v>
      </c>
    </row>
    <row r="61" spans="1:4">
      <c r="A61" t="s">
        <v>110</v>
      </c>
      <c r="B61">
        <v>385828.73009252938</v>
      </c>
      <c r="C61">
        <v>10796869.98226855</v>
      </c>
      <c r="D61">
        <v>12.694000000000001</v>
      </c>
    </row>
    <row r="62" spans="1:4">
      <c r="A62" t="s">
        <v>111</v>
      </c>
      <c r="B62">
        <v>645336.88135188422</v>
      </c>
      <c r="C62">
        <v>4951838.6573124891</v>
      </c>
      <c r="D62">
        <v>12.673</v>
      </c>
    </row>
    <row r="63" spans="1:4">
      <c r="A63" t="s">
        <v>113</v>
      </c>
      <c r="B63">
        <v>178403.89279783599</v>
      </c>
      <c r="C63">
        <v>573371.87536052079</v>
      </c>
      <c r="D63">
        <v>10.88</v>
      </c>
    </row>
    <row r="64" spans="1:4">
      <c r="A64" t="s">
        <v>114</v>
      </c>
      <c r="B64">
        <v>337843.09163460409</v>
      </c>
      <c r="C64">
        <v>14406176.332357541</v>
      </c>
      <c r="D64">
        <v>13.173</v>
      </c>
    </row>
    <row r="65" spans="1:4">
      <c r="A65" t="s">
        <v>115</v>
      </c>
      <c r="B65">
        <v>1044793.9691460551</v>
      </c>
      <c r="C65">
        <v>12721410.031749289</v>
      </c>
      <c r="D65">
        <v>12.36</v>
      </c>
    </row>
    <row r="66" spans="1:4">
      <c r="A66" t="s">
        <v>185</v>
      </c>
      <c r="B66">
        <v>283006.84078883851</v>
      </c>
      <c r="C66">
        <v>1971240.4849274319</v>
      </c>
    </row>
    <row r="67" spans="1:4">
      <c r="A67" t="s">
        <v>117</v>
      </c>
      <c r="B67">
        <v>225651.5294825625</v>
      </c>
      <c r="C67">
        <v>4176526.9209359381</v>
      </c>
      <c r="D67">
        <v>10.039</v>
      </c>
    </row>
    <row r="68" spans="1:4">
      <c r="A68" t="s">
        <v>118</v>
      </c>
      <c r="B68">
        <v>386443.7178455494</v>
      </c>
      <c r="C68">
        <v>7855516.8664106838</v>
      </c>
      <c r="D68">
        <v>11.861000000000001</v>
      </c>
    </row>
    <row r="69" spans="1:4">
      <c r="A69" t="s">
        <v>120</v>
      </c>
      <c r="B69">
        <v>197950.1877732595</v>
      </c>
      <c r="C69">
        <v>1522149.314368915</v>
      </c>
      <c r="D69">
        <v>10.864000000000001</v>
      </c>
    </row>
    <row r="70" spans="1:4">
      <c r="A70" t="s">
        <v>122</v>
      </c>
      <c r="B70">
        <v>113527.83230249429</v>
      </c>
      <c r="C70">
        <v>3702243.1367768128</v>
      </c>
      <c r="D70">
        <v>11.843999999999999</v>
      </c>
    </row>
    <row r="71" spans="1:4">
      <c r="A71" t="s">
        <v>124</v>
      </c>
      <c r="B71">
        <v>294899.77515507658</v>
      </c>
      <c r="C71">
        <v>3512925.8112948458</v>
      </c>
      <c r="D71">
        <v>12.628</v>
      </c>
    </row>
    <row r="72" spans="1:4">
      <c r="A72" t="s">
        <v>126</v>
      </c>
      <c r="B72">
        <v>154289.02938142529</v>
      </c>
      <c r="C72">
        <v>3534938.34850907</v>
      </c>
      <c r="D72">
        <v>12.167999999999999</v>
      </c>
    </row>
    <row r="73" spans="1:4">
      <c r="A73" t="s">
        <v>128</v>
      </c>
      <c r="B73">
        <v>97469.683604938618</v>
      </c>
      <c r="C73">
        <v>250550.86027310349</v>
      </c>
      <c r="D73">
        <v>10.079000000000001</v>
      </c>
    </row>
    <row r="74" spans="1:4">
      <c r="A74" t="s">
        <v>129</v>
      </c>
      <c r="B74">
        <v>129410.5156438798</v>
      </c>
      <c r="C74">
        <v>857403.62203771237</v>
      </c>
      <c r="D74">
        <v>9.24</v>
      </c>
    </row>
    <row r="75" spans="1:4">
      <c r="A75" t="s">
        <v>131</v>
      </c>
      <c r="B75">
        <v>117193.2509033013</v>
      </c>
      <c r="C75">
        <v>3115577.158296634</v>
      </c>
      <c r="D75">
        <v>11.632</v>
      </c>
    </row>
    <row r="76" spans="1:4">
      <c r="A76" t="s">
        <v>132</v>
      </c>
      <c r="B76">
        <v>2905918.6550941239</v>
      </c>
      <c r="C76">
        <v>106517041.9558136</v>
      </c>
      <c r="D76">
        <v>14.395</v>
      </c>
    </row>
    <row r="77" spans="1:4">
      <c r="A77" t="s">
        <v>133</v>
      </c>
      <c r="B77">
        <v>95164.949356414378</v>
      </c>
      <c r="C77">
        <v>583115.00107314298</v>
      </c>
      <c r="D77">
        <v>10.192</v>
      </c>
    </row>
    <row r="78" spans="1:4">
      <c r="A78" t="s">
        <v>135</v>
      </c>
      <c r="B78">
        <v>51347.581788326883</v>
      </c>
      <c r="C78">
        <v>300571.10150162538</v>
      </c>
      <c r="D78">
        <v>8.1829999999999998</v>
      </c>
    </row>
    <row r="79" spans="1:4">
      <c r="A79" t="s">
        <v>137</v>
      </c>
      <c r="B79">
        <v>133584.560575574</v>
      </c>
      <c r="C79">
        <v>1676517.674545726</v>
      </c>
      <c r="D79">
        <v>11.083</v>
      </c>
    </row>
    <row r="80" spans="1:4">
      <c r="A80" t="s">
        <v>138</v>
      </c>
      <c r="B80">
        <v>89112.947983879843</v>
      </c>
      <c r="C80">
        <v>267636.23575573409</v>
      </c>
      <c r="D80">
        <v>8.5079999999999991</v>
      </c>
    </row>
    <row r="81" spans="1:4">
      <c r="A81" t="s">
        <v>139</v>
      </c>
      <c r="B81">
        <v>372187.4337688188</v>
      </c>
      <c r="C81">
        <v>12867527.907193519</v>
      </c>
      <c r="D81">
        <v>12.907</v>
      </c>
    </row>
    <row r="82" spans="1:4">
      <c r="A82" t="s">
        <v>140</v>
      </c>
      <c r="B82">
        <v>352444.67538611009</v>
      </c>
      <c r="C82">
        <v>8552192.1951756943</v>
      </c>
      <c r="D82">
        <v>11.784000000000001</v>
      </c>
    </row>
    <row r="83" spans="1:4">
      <c r="A83" t="s">
        <v>141</v>
      </c>
      <c r="B83">
        <v>434890.89874725352</v>
      </c>
      <c r="C83">
        <v>8513191.3046432398</v>
      </c>
      <c r="D83">
        <v>12.888</v>
      </c>
    </row>
    <row r="84" spans="1:4">
      <c r="A84" t="s">
        <v>143</v>
      </c>
      <c r="B84">
        <v>113378.5318159437</v>
      </c>
      <c r="C84">
        <v>580910.48849657457</v>
      </c>
      <c r="D84">
        <v>10.013</v>
      </c>
    </row>
    <row r="85" spans="1:4">
      <c r="A85" t="s">
        <v>145</v>
      </c>
      <c r="B85">
        <v>198167.89922986229</v>
      </c>
      <c r="C85">
        <v>2012228.8293297091</v>
      </c>
      <c r="D85">
        <v>10.840999999999999</v>
      </c>
    </row>
    <row r="86" spans="1:4">
      <c r="A86" t="s">
        <v>146</v>
      </c>
      <c r="B86">
        <v>483878.40267019602</v>
      </c>
      <c r="C86">
        <v>6696775.4183573462</v>
      </c>
      <c r="D86">
        <v>12.206</v>
      </c>
    </row>
    <row r="87" spans="1:4">
      <c r="A87" t="s">
        <v>147</v>
      </c>
      <c r="B87">
        <v>364854.28089965793</v>
      </c>
      <c r="C87">
        <v>1483138.817598369</v>
      </c>
      <c r="D87">
        <v>10.829000000000001</v>
      </c>
    </row>
    <row r="88" spans="1:4">
      <c r="A88" t="s">
        <v>148</v>
      </c>
      <c r="B88">
        <v>93526.524570296489</v>
      </c>
      <c r="C88">
        <v>806485.58587020845</v>
      </c>
      <c r="D88">
        <v>9.7100000000000009</v>
      </c>
    </row>
    <row r="89" spans="1:4">
      <c r="A89" t="s">
        <v>149</v>
      </c>
      <c r="B89">
        <v>298791.7116013203</v>
      </c>
      <c r="C89">
        <v>9172671.309991248</v>
      </c>
      <c r="D89">
        <v>12.58</v>
      </c>
    </row>
    <row r="90" spans="1:4">
      <c r="A90" t="s">
        <v>151</v>
      </c>
      <c r="B90">
        <v>75496.133889826291</v>
      </c>
      <c r="C90">
        <v>854812.83591334522</v>
      </c>
      <c r="D90">
        <v>10.763</v>
      </c>
    </row>
    <row r="91" spans="1:4">
      <c r="A91" t="s">
        <v>152</v>
      </c>
      <c r="B91">
        <v>245480.0878373681</v>
      </c>
      <c r="C91">
        <v>5564792.4614237752</v>
      </c>
      <c r="D91">
        <v>11.964</v>
      </c>
    </row>
    <row r="92" spans="1:4">
      <c r="A92" t="s">
        <v>154</v>
      </c>
      <c r="B92">
        <v>84553.165485416044</v>
      </c>
      <c r="C92">
        <v>350980.2655415872</v>
      </c>
      <c r="D92">
        <v>9.7539999999999996</v>
      </c>
    </row>
    <row r="93" spans="1:4">
      <c r="A93" t="s">
        <v>156</v>
      </c>
      <c r="B93">
        <v>65243.157842836328</v>
      </c>
      <c r="C93">
        <v>580931.22570870258</v>
      </c>
      <c r="D93">
        <v>10.007999999999999</v>
      </c>
    </row>
    <row r="94" spans="1:4">
      <c r="A94" t="s">
        <v>158</v>
      </c>
      <c r="B94">
        <v>134914.796594796</v>
      </c>
      <c r="C94">
        <v>1163248.05712478</v>
      </c>
      <c r="D94">
        <v>10.991</v>
      </c>
    </row>
    <row r="95" spans="1:4">
      <c r="A95" t="s">
        <v>159</v>
      </c>
      <c r="B95">
        <v>822194.86595362006</v>
      </c>
      <c r="C95">
        <v>5352951.5054629399</v>
      </c>
      <c r="D95">
        <v>12.946999999999999</v>
      </c>
    </row>
    <row r="96" spans="1:4">
      <c r="A96" t="s">
        <v>161</v>
      </c>
      <c r="B96">
        <v>1082367.187751014</v>
      </c>
      <c r="C96">
        <v>28025232.236434031</v>
      </c>
      <c r="D96">
        <v>12.433999999999999</v>
      </c>
    </row>
    <row r="97" spans="1:4">
      <c r="A97" t="s">
        <v>162</v>
      </c>
      <c r="B97">
        <v>562075.67126494832</v>
      </c>
      <c r="C97">
        <v>1946256.454836983</v>
      </c>
      <c r="D97">
        <v>12.16</v>
      </c>
    </row>
    <row r="98" spans="1:4">
      <c r="A98" t="s">
        <v>163</v>
      </c>
      <c r="B98">
        <v>60801.234468720912</v>
      </c>
      <c r="C98">
        <v>1123745.5754937101</v>
      </c>
      <c r="D98">
        <v>11.173999999999999</v>
      </c>
    </row>
    <row r="99" spans="1:4">
      <c r="A99" t="s">
        <v>164</v>
      </c>
      <c r="B99">
        <v>100116.66199534709</v>
      </c>
      <c r="C99">
        <v>3779627.0538950539</v>
      </c>
      <c r="D99">
        <v>11.167</v>
      </c>
    </row>
    <row r="100" spans="1:4">
      <c r="A100" t="s">
        <v>166</v>
      </c>
      <c r="B100">
        <v>173571.38297718199</v>
      </c>
      <c r="C100">
        <v>3933466.5046317852</v>
      </c>
      <c r="D100">
        <v>12.199</v>
      </c>
    </row>
    <row r="101" spans="1:4">
      <c r="A101" t="s">
        <v>168</v>
      </c>
      <c r="B101">
        <v>416245.55368648598</v>
      </c>
      <c r="C101">
        <v>6540216.4204649776</v>
      </c>
      <c r="D101">
        <v>12.977</v>
      </c>
    </row>
    <row r="102" spans="1:4">
      <c r="A102" t="s">
        <v>170</v>
      </c>
      <c r="B102">
        <v>172209.61489394779</v>
      </c>
      <c r="C102">
        <v>3954382.8121555462</v>
      </c>
      <c r="D102">
        <v>11.603</v>
      </c>
    </row>
    <row r="103" spans="1:4">
      <c r="A103" t="s">
        <v>172</v>
      </c>
      <c r="B103">
        <v>454326.65706823202</v>
      </c>
      <c r="C103">
        <v>7826584.8882649587</v>
      </c>
      <c r="D103">
        <v>11.798999999999999</v>
      </c>
    </row>
    <row r="104" spans="1:4">
      <c r="A104" t="s">
        <v>174</v>
      </c>
      <c r="B104">
        <v>325303.36753708287</v>
      </c>
      <c r="C104">
        <v>6008478.2406763388</v>
      </c>
      <c r="D104">
        <v>11.199</v>
      </c>
    </row>
    <row r="105" spans="1:4">
      <c r="A105" t="s">
        <v>175</v>
      </c>
      <c r="B105">
        <v>144931.23364333401</v>
      </c>
      <c r="C105">
        <v>4473842.0658811992</v>
      </c>
      <c r="D105">
        <v>11.603</v>
      </c>
    </row>
    <row r="106" spans="1:4">
      <c r="A106" t="s">
        <v>176</v>
      </c>
      <c r="B106">
        <v>2050432.4579834491</v>
      </c>
      <c r="C106">
        <v>16902329.032550398</v>
      </c>
      <c r="D106">
        <v>12.195</v>
      </c>
    </row>
    <row r="107" spans="1:4">
      <c r="A107" t="s">
        <v>178</v>
      </c>
      <c r="B107">
        <v>163698.29457195909</v>
      </c>
      <c r="C107">
        <v>4845214.9061420383</v>
      </c>
      <c r="D107">
        <v>12.481</v>
      </c>
    </row>
    <row r="108" spans="1:4">
      <c r="A108" t="s">
        <v>179</v>
      </c>
      <c r="B108">
        <v>120589.7683798042</v>
      </c>
      <c r="C108">
        <v>660951.650471973</v>
      </c>
      <c r="D108">
        <v>9.8130000000000006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Estimado_modelo</vt:lpstr>
      <vt:lpstr>MSE_por_BloqueVarid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2026-09-02T19:27:26Z</dcterms:created>
  <dcterms:modified xsi:type="dcterms:W3CDTF">2026-09-05T23:33:22Z</dcterms:modified>
</cp:coreProperties>
</file>