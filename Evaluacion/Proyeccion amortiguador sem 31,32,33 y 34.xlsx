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90" yWindow="45" windowWidth="10215" windowHeight="7920"/>
  </bookViews>
  <sheets>
    <sheet name="Estimado_modelo" sheetId="1" r:id="rId1"/>
    <sheet name="MSE_por_BloqueVarid" sheetId="2" r:id="rId2"/>
  </sheets>
  <calcPr calcId="125725"/>
</workbook>
</file>

<file path=xl/calcChain.xml><?xml version="1.0" encoding="utf-8"?>
<calcChain xmlns="http://schemas.openxmlformats.org/spreadsheetml/2006/main">
  <c r="K423" i="1"/>
  <c r="K422"/>
  <c r="K421"/>
  <c r="K420"/>
  <c r="K419"/>
  <c r="K418"/>
  <c r="K417"/>
  <c r="K416"/>
  <c r="K415"/>
  <c r="K414"/>
  <c r="K413"/>
  <c r="K412"/>
  <c r="K411"/>
  <c r="K410"/>
  <c r="K409"/>
  <c r="K408"/>
  <c r="K407"/>
  <c r="K406"/>
  <c r="K405"/>
  <c r="K404"/>
  <c r="K403"/>
  <c r="K402"/>
  <c r="K401"/>
  <c r="K400"/>
  <c r="K399"/>
  <c r="K398"/>
  <c r="K397"/>
  <c r="K396"/>
  <c r="K395"/>
  <c r="K394"/>
  <c r="K393"/>
  <c r="K392"/>
  <c r="K391"/>
  <c r="K390"/>
  <c r="K389"/>
  <c r="K388"/>
  <c r="K387"/>
  <c r="K386"/>
  <c r="K385"/>
  <c r="K384"/>
  <c r="K383"/>
  <c r="K382"/>
  <c r="K381"/>
  <c r="K380"/>
  <c r="K379"/>
  <c r="K378"/>
  <c r="K377"/>
  <c r="K376"/>
  <c r="K375"/>
  <c r="K374"/>
  <c r="K373"/>
  <c r="K372"/>
  <c r="K371"/>
  <c r="K370"/>
  <c r="K369"/>
  <c r="K368"/>
  <c r="K367"/>
  <c r="K366"/>
  <c r="K365"/>
  <c r="K364"/>
  <c r="K363"/>
  <c r="K362"/>
  <c r="K361"/>
  <c r="K360"/>
  <c r="K359"/>
  <c r="K358"/>
  <c r="K357"/>
  <c r="K356"/>
  <c r="K355"/>
  <c r="K354"/>
  <c r="K353"/>
  <c r="K352"/>
  <c r="K351"/>
  <c r="K350"/>
  <c r="K349"/>
  <c r="K348"/>
  <c r="K347"/>
  <c r="K346"/>
  <c r="K345"/>
  <c r="K344"/>
  <c r="K343"/>
  <c r="K342"/>
  <c r="K341"/>
  <c r="K340"/>
  <c r="K339"/>
  <c r="K338"/>
  <c r="K337"/>
  <c r="K336"/>
  <c r="K335"/>
  <c r="K334"/>
  <c r="K333"/>
  <c r="K332"/>
  <c r="K331"/>
  <c r="K330"/>
  <c r="K329"/>
  <c r="K328"/>
  <c r="K327"/>
  <c r="K326"/>
  <c r="K325"/>
  <c r="K324"/>
  <c r="K323"/>
  <c r="K322"/>
  <c r="K321"/>
  <c r="K320"/>
  <c r="K319"/>
  <c r="K318"/>
  <c r="K317"/>
  <c r="K316"/>
  <c r="K315"/>
  <c r="K314"/>
  <c r="K313"/>
  <c r="K312"/>
  <c r="K311"/>
  <c r="K310"/>
  <c r="K309"/>
  <c r="K308"/>
  <c r="K307"/>
  <c r="K306"/>
  <c r="K305"/>
  <c r="K304"/>
  <c r="K303"/>
  <c r="K302"/>
  <c r="K301"/>
  <c r="K300"/>
  <c r="K299"/>
  <c r="K298"/>
  <c r="K297"/>
  <c r="K296"/>
  <c r="K295"/>
  <c r="K294"/>
  <c r="K293"/>
  <c r="K292"/>
  <c r="K291"/>
  <c r="K290"/>
  <c r="K289"/>
  <c r="K288"/>
  <c r="K287"/>
  <c r="K286"/>
  <c r="K285"/>
  <c r="K284"/>
  <c r="K283"/>
  <c r="K282"/>
  <c r="K281"/>
  <c r="K280"/>
  <c r="K279"/>
  <c r="K278"/>
  <c r="K277"/>
  <c r="K276"/>
  <c r="K275"/>
  <c r="K274"/>
  <c r="K273"/>
  <c r="K272"/>
  <c r="K271"/>
  <c r="K270"/>
  <c r="K269"/>
  <c r="K268"/>
  <c r="K267"/>
  <c r="K266"/>
  <c r="K265"/>
  <c r="K264"/>
  <c r="K263"/>
  <c r="K262"/>
  <c r="K261"/>
  <c r="K260"/>
  <c r="K259"/>
  <c r="K258"/>
  <c r="K257"/>
  <c r="K256"/>
  <c r="K255"/>
  <c r="K254"/>
  <c r="K253"/>
  <c r="K252"/>
  <c r="K251"/>
  <c r="K250"/>
  <c r="K249"/>
  <c r="K248"/>
  <c r="K247"/>
  <c r="K246"/>
  <c r="K245"/>
  <c r="K244"/>
  <c r="K243"/>
  <c r="K242"/>
  <c r="K241"/>
  <c r="K240"/>
  <c r="K239"/>
  <c r="K238"/>
  <c r="K237"/>
  <c r="K236"/>
  <c r="K235"/>
  <c r="K234"/>
  <c r="K233"/>
  <c r="K232"/>
  <c r="K231"/>
  <c r="K230"/>
  <c r="K229"/>
  <c r="K228"/>
  <c r="K227"/>
  <c r="K226"/>
  <c r="K225"/>
  <c r="K224"/>
  <c r="K223"/>
  <c r="K222"/>
  <c r="K221"/>
  <c r="K220"/>
  <c r="K219"/>
  <c r="K218"/>
  <c r="K217"/>
  <c r="K216"/>
  <c r="K215"/>
  <c r="K214"/>
  <c r="K213"/>
  <c r="K212"/>
  <c r="K211"/>
  <c r="K210"/>
  <c r="K209"/>
  <c r="K208"/>
  <c r="K207"/>
  <c r="K206"/>
  <c r="K205"/>
  <c r="K204"/>
  <c r="K203"/>
  <c r="K202"/>
  <c r="K201"/>
  <c r="K200"/>
  <c r="K199"/>
  <c r="K198"/>
  <c r="K197"/>
  <c r="K196"/>
  <c r="K195"/>
  <c r="K194"/>
  <c r="K193"/>
  <c r="K192"/>
  <c r="K191"/>
  <c r="K190"/>
  <c r="K189"/>
  <c r="K188"/>
  <c r="K187"/>
  <c r="K186"/>
  <c r="K185"/>
  <c r="K184"/>
  <c r="K183"/>
  <c r="K182"/>
  <c r="K181"/>
  <c r="K180"/>
  <c r="K179"/>
  <c r="K178"/>
  <c r="K177"/>
  <c r="K176"/>
  <c r="K175"/>
  <c r="K174"/>
  <c r="K173"/>
  <c r="K172"/>
  <c r="K171"/>
  <c r="K170"/>
  <c r="K169"/>
  <c r="K168"/>
  <c r="K167"/>
  <c r="K166"/>
  <c r="K165"/>
  <c r="K164"/>
  <c r="K163"/>
  <c r="K162"/>
  <c r="K161"/>
  <c r="K160"/>
  <c r="K159"/>
  <c r="K158"/>
  <c r="K157"/>
  <c r="K156"/>
  <c r="K155"/>
  <c r="K154"/>
  <c r="K153"/>
  <c r="K152"/>
  <c r="K151"/>
  <c r="K150"/>
  <c r="K149"/>
  <c r="K148"/>
  <c r="K147"/>
  <c r="K146"/>
  <c r="K145"/>
  <c r="K144"/>
  <c r="K143"/>
  <c r="K142"/>
  <c r="K141"/>
  <c r="K140"/>
  <c r="K139"/>
  <c r="K138"/>
  <c r="K137"/>
  <c r="K136"/>
  <c r="K135"/>
  <c r="K134"/>
  <c r="K133"/>
  <c r="K132"/>
  <c r="K131"/>
  <c r="K130"/>
  <c r="K129"/>
  <c r="K128"/>
  <c r="K127"/>
  <c r="K126"/>
  <c r="K125"/>
  <c r="K124"/>
  <c r="K123"/>
  <c r="K122"/>
  <c r="K121"/>
  <c r="K120"/>
  <c r="K119"/>
  <c r="K118"/>
  <c r="K117"/>
  <c r="K116"/>
  <c r="K115"/>
  <c r="K114"/>
  <c r="K113"/>
  <c r="K112"/>
  <c r="K111"/>
  <c r="K110"/>
  <c r="K109"/>
  <c r="K108"/>
  <c r="K107"/>
  <c r="K106"/>
  <c r="K105"/>
  <c r="K104"/>
  <c r="K103"/>
  <c r="K102"/>
  <c r="K101"/>
  <c r="K100"/>
  <c r="K99"/>
  <c r="K98"/>
  <c r="K97"/>
  <c r="K96"/>
  <c r="K95"/>
  <c r="K94"/>
  <c r="K93"/>
  <c r="K92"/>
  <c r="K91"/>
  <c r="K90"/>
  <c r="K89"/>
  <c r="K88"/>
  <c r="K87"/>
  <c r="K86"/>
  <c r="K85"/>
  <c r="K84"/>
  <c r="K83"/>
  <c r="K82"/>
  <c r="K81"/>
  <c r="K80"/>
  <c r="K79"/>
  <c r="K78"/>
  <c r="K77"/>
  <c r="K76"/>
  <c r="K75"/>
  <c r="K74"/>
  <c r="K73"/>
  <c r="K72"/>
  <c r="K71"/>
  <c r="K70"/>
  <c r="K69"/>
  <c r="K68"/>
  <c r="K67"/>
  <c r="K66"/>
  <c r="K65"/>
  <c r="K64"/>
  <c r="K63"/>
  <c r="K62"/>
  <c r="K61"/>
  <c r="K60"/>
  <c r="K59"/>
  <c r="K58"/>
  <c r="K57"/>
  <c r="K56"/>
  <c r="K55"/>
  <c r="K54"/>
  <c r="K53"/>
  <c r="K52"/>
  <c r="K51"/>
  <c r="K50"/>
  <c r="K49"/>
  <c r="K48"/>
  <c r="K47"/>
  <c r="K46"/>
  <c r="K45"/>
  <c r="K44"/>
  <c r="K43"/>
  <c r="K42"/>
  <c r="K41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K9"/>
  <c r="K8"/>
  <c r="K7"/>
  <c r="K6"/>
  <c r="K5"/>
  <c r="K4"/>
  <c r="K3"/>
  <c r="K2"/>
  <c r="G423" l="1"/>
  <c r="G422"/>
  <c r="G421"/>
  <c r="G420"/>
  <c r="G419"/>
  <c r="G418"/>
  <c r="G417"/>
  <c r="G416"/>
  <c r="G415"/>
  <c r="G414"/>
  <c r="G413"/>
  <c r="G412"/>
  <c r="G411"/>
  <c r="G410"/>
  <c r="G409"/>
  <c r="G408"/>
  <c r="G407"/>
  <c r="G406"/>
  <c r="G405"/>
  <c r="G404"/>
  <c r="G403"/>
  <c r="G402"/>
  <c r="G401"/>
  <c r="G400"/>
  <c r="G399"/>
  <c r="G398"/>
  <c r="G397"/>
  <c r="G396"/>
  <c r="G395"/>
  <c r="G394"/>
  <c r="G393"/>
  <c r="G392"/>
  <c r="G391"/>
  <c r="G390"/>
  <c r="G389"/>
  <c r="G388"/>
  <c r="G387"/>
  <c r="G386"/>
  <c r="G385"/>
  <c r="G384"/>
  <c r="G383"/>
  <c r="G382"/>
  <c r="G381"/>
  <c r="G380"/>
  <c r="G379"/>
  <c r="G378"/>
  <c r="G377"/>
  <c r="G376"/>
  <c r="G375"/>
  <c r="G374"/>
  <c r="G373"/>
  <c r="G372"/>
  <c r="G371"/>
  <c r="G370"/>
  <c r="G369"/>
  <c r="G368"/>
  <c r="G367"/>
  <c r="G366"/>
  <c r="G365"/>
  <c r="G364"/>
  <c r="G363"/>
  <c r="G362"/>
  <c r="G361"/>
  <c r="G360"/>
  <c r="G359"/>
  <c r="G358"/>
  <c r="G357"/>
  <c r="G356"/>
  <c r="G355"/>
  <c r="G354"/>
  <c r="G353"/>
  <c r="G352"/>
  <c r="G351"/>
  <c r="G350"/>
  <c r="G349"/>
  <c r="G348"/>
  <c r="G347"/>
  <c r="G346"/>
  <c r="G345"/>
  <c r="G344"/>
  <c r="G343"/>
  <c r="G342"/>
  <c r="G341"/>
  <c r="G340"/>
  <c r="G339"/>
  <c r="G338"/>
  <c r="G337"/>
  <c r="G336"/>
  <c r="G335"/>
  <c r="G334"/>
  <c r="G333"/>
  <c r="G332"/>
  <c r="G331"/>
  <c r="G330"/>
  <c r="G329"/>
  <c r="G328"/>
  <c r="G327"/>
  <c r="G326"/>
  <c r="G325"/>
  <c r="G324"/>
  <c r="G323"/>
  <c r="G322"/>
  <c r="G321"/>
  <c r="G320"/>
  <c r="G319"/>
  <c r="G318"/>
  <c r="G317"/>
  <c r="G316"/>
  <c r="G315"/>
  <c r="G314"/>
  <c r="G313"/>
  <c r="G312"/>
  <c r="G311"/>
  <c r="G310"/>
  <c r="G309"/>
  <c r="G308"/>
  <c r="G307"/>
  <c r="G306"/>
  <c r="G305"/>
  <c r="G304"/>
  <c r="G303"/>
  <c r="G302"/>
  <c r="G301"/>
  <c r="G300"/>
  <c r="G299"/>
  <c r="G298"/>
  <c r="G297"/>
  <c r="G296"/>
  <c r="G295"/>
  <c r="G294"/>
  <c r="G293"/>
  <c r="G292"/>
  <c r="G291"/>
  <c r="G290"/>
  <c r="G289"/>
  <c r="G288"/>
  <c r="G287"/>
  <c r="G286"/>
  <c r="G285"/>
  <c r="G284"/>
  <c r="G283"/>
  <c r="G282"/>
  <c r="G281"/>
  <c r="G280"/>
  <c r="G279"/>
  <c r="G278"/>
  <c r="G277"/>
  <c r="G276"/>
  <c r="G275"/>
  <c r="G274"/>
  <c r="G273"/>
  <c r="G272"/>
  <c r="G271"/>
  <c r="G270"/>
  <c r="G269"/>
  <c r="G268"/>
  <c r="G267"/>
  <c r="G266"/>
  <c r="G265"/>
  <c r="G264"/>
  <c r="G263"/>
  <c r="G262"/>
  <c r="G261"/>
  <c r="G260"/>
  <c r="G259"/>
  <c r="G258"/>
  <c r="G257"/>
  <c r="G256"/>
  <c r="G255"/>
  <c r="G254"/>
  <c r="G253"/>
  <c r="G252"/>
  <c r="G251"/>
  <c r="G250"/>
  <c r="G249"/>
  <c r="G248"/>
  <c r="G247"/>
  <c r="G246"/>
  <c r="G245"/>
  <c r="G244"/>
  <c r="G243"/>
  <c r="G242"/>
  <c r="G241"/>
  <c r="G240"/>
  <c r="G239"/>
  <c r="G238"/>
  <c r="G237"/>
  <c r="G236"/>
  <c r="G235"/>
  <c r="G234"/>
  <c r="G233"/>
  <c r="G232"/>
  <c r="G231"/>
  <c r="G230"/>
  <c r="G229"/>
  <c r="G228"/>
  <c r="G227"/>
  <c r="G226"/>
  <c r="G225"/>
  <c r="G224"/>
  <c r="G223"/>
  <c r="G222"/>
  <c r="G221"/>
  <c r="G220"/>
  <c r="G219"/>
  <c r="G218"/>
  <c r="G217"/>
  <c r="G216"/>
  <c r="G215"/>
  <c r="G214"/>
  <c r="G213"/>
  <c r="G212"/>
  <c r="G211"/>
  <c r="G210"/>
  <c r="G209"/>
  <c r="G208"/>
  <c r="G207"/>
  <c r="G206"/>
  <c r="G205"/>
  <c r="G204"/>
  <c r="G203"/>
  <c r="G202"/>
  <c r="G201"/>
  <c r="G200"/>
  <c r="G199"/>
  <c r="G198"/>
  <c r="G197"/>
  <c r="G196"/>
  <c r="G195"/>
  <c r="G194"/>
  <c r="G193"/>
  <c r="G192"/>
  <c r="G191"/>
  <c r="G190"/>
  <c r="G189"/>
  <c r="G188"/>
  <c r="G187"/>
  <c r="G186"/>
  <c r="G185"/>
  <c r="G184"/>
  <c r="G183"/>
  <c r="G182"/>
  <c r="G181"/>
  <c r="G180"/>
  <c r="G179"/>
  <c r="G178"/>
  <c r="G177"/>
  <c r="G176"/>
  <c r="G175"/>
  <c r="G174"/>
  <c r="G173"/>
  <c r="G172"/>
  <c r="G171"/>
  <c r="G170"/>
  <c r="G169"/>
  <c r="G168"/>
  <c r="G167"/>
  <c r="G166"/>
  <c r="G165"/>
  <c r="G164"/>
  <c r="G163"/>
  <c r="G162"/>
  <c r="G161"/>
  <c r="G160"/>
  <c r="G159"/>
  <c r="G158"/>
  <c r="G157"/>
  <c r="G156"/>
  <c r="G155"/>
  <c r="G154"/>
  <c r="G153"/>
  <c r="G152"/>
  <c r="G151"/>
  <c r="G150"/>
  <c r="G149"/>
  <c r="G148"/>
  <c r="G147"/>
  <c r="G146"/>
  <c r="G145"/>
  <c r="G144"/>
  <c r="G143"/>
  <c r="G142"/>
  <c r="G141"/>
  <c r="G140"/>
  <c r="G139"/>
  <c r="G138"/>
  <c r="G137"/>
  <c r="G136"/>
  <c r="G135"/>
  <c r="G134"/>
  <c r="G133"/>
  <c r="G132"/>
  <c r="G131"/>
  <c r="G130"/>
  <c r="G129"/>
  <c r="G128"/>
  <c r="G127"/>
  <c r="G126"/>
  <c r="G125"/>
  <c r="G124"/>
  <c r="G123"/>
  <c r="G122"/>
  <c r="G121"/>
  <c r="G120"/>
  <c r="G119"/>
  <c r="G118"/>
  <c r="G117"/>
  <c r="G116"/>
  <c r="G115"/>
  <c r="G114"/>
  <c r="G113"/>
  <c r="G112"/>
  <c r="G111"/>
  <c r="G110"/>
  <c r="G109"/>
  <c r="G108"/>
  <c r="G107"/>
  <c r="G106"/>
  <c r="G105"/>
  <c r="G104"/>
  <c r="G103"/>
  <c r="G102"/>
  <c r="G101"/>
  <c r="G100"/>
  <c r="G99"/>
  <c r="G98"/>
  <c r="G97"/>
  <c r="G96"/>
  <c r="G95"/>
  <c r="G94"/>
  <c r="G93"/>
  <c r="G92"/>
  <c r="G91"/>
  <c r="G90"/>
  <c r="G89"/>
  <c r="G88"/>
  <c r="G87"/>
  <c r="G86"/>
  <c r="G85"/>
  <c r="G84"/>
  <c r="G83"/>
  <c r="G82"/>
  <c r="G81"/>
  <c r="G80"/>
  <c r="G79"/>
  <c r="G78"/>
  <c r="G77"/>
  <c r="G76"/>
  <c r="G75"/>
  <c r="G74"/>
  <c r="G73"/>
  <c r="G72"/>
  <c r="G71"/>
  <c r="G70"/>
  <c r="G69"/>
  <c r="G68"/>
  <c r="G67"/>
  <c r="G66"/>
  <c r="G65"/>
  <c r="G64"/>
  <c r="G63"/>
  <c r="G62"/>
  <c r="G61"/>
  <c r="G60"/>
  <c r="G59"/>
  <c r="G58"/>
  <c r="G57"/>
  <c r="G56"/>
  <c r="G55"/>
  <c r="G54"/>
  <c r="G53"/>
  <c r="G52"/>
  <c r="G51"/>
  <c r="G50"/>
  <c r="G49"/>
  <c r="G48"/>
  <c r="G47"/>
  <c r="G46"/>
  <c r="G45"/>
  <c r="G44"/>
  <c r="G43"/>
  <c r="G42"/>
  <c r="G41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G4"/>
  <c r="G3"/>
  <c r="G2"/>
</calcChain>
</file>

<file path=xl/sharedStrings.xml><?xml version="1.0" encoding="utf-8"?>
<sst xmlns="http://schemas.openxmlformats.org/spreadsheetml/2006/main" count="1811" uniqueCount="223">
  <si>
    <t>Anio</t>
  </si>
  <si>
    <t>Semana</t>
  </si>
  <si>
    <t>Producto</t>
  </si>
  <si>
    <t>Finca</t>
  </si>
  <si>
    <t>Bloque</t>
  </si>
  <si>
    <t>Variedad</t>
  </si>
  <si>
    <t>Bloque&amp;Varid</t>
  </si>
  <si>
    <t>Estimado_modelo</t>
  </si>
  <si>
    <t>Proyeccion_con_amortiguador_IA</t>
  </si>
  <si>
    <t>SPRAY</t>
  </si>
  <si>
    <t>ASTROFLORES</t>
  </si>
  <si>
    <t>SOMERSET</t>
  </si>
  <si>
    <t>002SOMERSET</t>
  </si>
  <si>
    <t>BELLINA</t>
  </si>
  <si>
    <t>004BELLINA</t>
  </si>
  <si>
    <t>ELBA</t>
  </si>
  <si>
    <t>005ELBA</t>
  </si>
  <si>
    <t>HOT BUBBLES</t>
  </si>
  <si>
    <t>005HOT BUBBLES</t>
  </si>
  <si>
    <t>SUSPIRO</t>
  </si>
  <si>
    <t>005SUSPIRO</t>
  </si>
  <si>
    <t>SNOW BUBBLES</t>
  </si>
  <si>
    <t>007SNOW BUBBLES</t>
  </si>
  <si>
    <t>009HOT BUBBLES</t>
  </si>
  <si>
    <t>FRUITY BUBBLES</t>
  </si>
  <si>
    <t>014FRUITY BUBBLES</t>
  </si>
  <si>
    <t>FELLINI</t>
  </si>
  <si>
    <t>015FELLINI</t>
  </si>
  <si>
    <t>GOOD PEACH</t>
  </si>
  <si>
    <t>016GOOD PEACH</t>
  </si>
  <si>
    <t>GOOD YELLOW</t>
  </si>
  <si>
    <t>016GOOD YELLOW</t>
  </si>
  <si>
    <t>ORANGE STAR</t>
  </si>
  <si>
    <t>017ORANGE STAR</t>
  </si>
  <si>
    <t>COSMO</t>
  </si>
  <si>
    <t>018COSMO</t>
  </si>
  <si>
    <t>RUBICON</t>
  </si>
  <si>
    <t>018RUBICON</t>
  </si>
  <si>
    <t>019BELLINA</t>
  </si>
  <si>
    <t>SUMMER DANCE</t>
  </si>
  <si>
    <t>020SUMMER DANCE</t>
  </si>
  <si>
    <t>ELEGANT ROSEVER</t>
  </si>
  <si>
    <t>021ELEGANT ROSEVER</t>
  </si>
  <si>
    <t>FLAME CLUB</t>
  </si>
  <si>
    <t>021FLAME CLUB</t>
  </si>
  <si>
    <t>KELLY</t>
  </si>
  <si>
    <t>021KELLY</t>
  </si>
  <si>
    <t>LEILA</t>
  </si>
  <si>
    <t>021LEILA</t>
  </si>
  <si>
    <t>021SNOW BUBBLES</t>
  </si>
  <si>
    <t>022FRUITY BUBBLES</t>
  </si>
  <si>
    <t>022GOOD PEACH</t>
  </si>
  <si>
    <t>MIRABEL</t>
  </si>
  <si>
    <t>022MIRABEL</t>
  </si>
  <si>
    <t>030MIRABEL</t>
  </si>
  <si>
    <t>030SOMERSET</t>
  </si>
  <si>
    <t>82989</t>
  </si>
  <si>
    <t>03182989</t>
  </si>
  <si>
    <t>031RUBICON</t>
  </si>
  <si>
    <t>031SOMERSET</t>
  </si>
  <si>
    <t>VELVET BLOSSOMS</t>
  </si>
  <si>
    <t>031VELVET BLOSSOMS</t>
  </si>
  <si>
    <t>032ELBA</t>
  </si>
  <si>
    <t>032MIRABEL</t>
  </si>
  <si>
    <t>CREAMY FOLIES</t>
  </si>
  <si>
    <t>033CREAMY FOLIES</t>
  </si>
  <si>
    <t>033HOT BUBBLES</t>
  </si>
  <si>
    <t>STANDARD</t>
  </si>
  <si>
    <t>BELIEVE IN PINK</t>
  </si>
  <si>
    <t>001BELIEVE IN PINK</t>
  </si>
  <si>
    <t>EXPLORER</t>
  </si>
  <si>
    <t>001EXPLORER</t>
  </si>
  <si>
    <t>GRACE KELLY</t>
  </si>
  <si>
    <t>001GRACE KELLY</t>
  </si>
  <si>
    <t>LIGHT HOUSE</t>
  </si>
  <si>
    <t>001LIGHT HOUSE</t>
  </si>
  <si>
    <t>LUMIA</t>
  </si>
  <si>
    <t>001LUMIA</t>
  </si>
  <si>
    <t>MOMENTUM</t>
  </si>
  <si>
    <t>001MOMENTUM</t>
  </si>
  <si>
    <t>SUMMER ROMANCE</t>
  </si>
  <si>
    <t>002SUMMER ROMANCE</t>
  </si>
  <si>
    <t>SWEETNESS</t>
  </si>
  <si>
    <t>002SWEETNESS</t>
  </si>
  <si>
    <t>CABARET</t>
  </si>
  <si>
    <t>003CABARET</t>
  </si>
  <si>
    <t>DEEP PURPLE</t>
  </si>
  <si>
    <t>003DEEP PURPLE</t>
  </si>
  <si>
    <t>003EXPLORER</t>
  </si>
  <si>
    <t>JOCKER</t>
  </si>
  <si>
    <t>003JOCKER</t>
  </si>
  <si>
    <t>QUICKSAND</t>
  </si>
  <si>
    <t>003QUICKSAND</t>
  </si>
  <si>
    <t>COTOPAXI</t>
  </si>
  <si>
    <t>004COTOPAXI</t>
  </si>
  <si>
    <t>004DEEP PURPLE</t>
  </si>
  <si>
    <t>HOT EXPLORER</t>
  </si>
  <si>
    <t>004HOT EXPLORER</t>
  </si>
  <si>
    <t>HOT MERENGUE</t>
  </si>
  <si>
    <t>004HOT MERENGUE</t>
  </si>
  <si>
    <t>004SWEETNESS</t>
  </si>
  <si>
    <t>005EXPLORER</t>
  </si>
  <si>
    <t>GOLDFINCH</t>
  </si>
  <si>
    <t>005GOLDFINCH</t>
  </si>
  <si>
    <t>005JOCKER</t>
  </si>
  <si>
    <t>VENDELA</t>
  </si>
  <si>
    <t>005VENDELA</t>
  </si>
  <si>
    <t>ATOMIC</t>
  </si>
  <si>
    <t>006ATOMIC</t>
  </si>
  <si>
    <t>006EXPLORER</t>
  </si>
  <si>
    <t>MONDIAL</t>
  </si>
  <si>
    <t>006MONDIAL</t>
  </si>
  <si>
    <t>007COTOPAXI</t>
  </si>
  <si>
    <t>REDIANT</t>
  </si>
  <si>
    <t>007REDIANT</t>
  </si>
  <si>
    <t>007VENDELA</t>
  </si>
  <si>
    <t>008DEEP PURPLE</t>
  </si>
  <si>
    <t>FREEDOM</t>
  </si>
  <si>
    <t>008FREEDOM</t>
  </si>
  <si>
    <t>008JOCKER</t>
  </si>
  <si>
    <t>COOLDOWN</t>
  </si>
  <si>
    <t>010COOLDOWN</t>
  </si>
  <si>
    <t>VIOLET HILL</t>
  </si>
  <si>
    <t>010VIOLET HILL</t>
  </si>
  <si>
    <t>BRIGHTON</t>
  </si>
  <si>
    <t>011BRIGHTON</t>
  </si>
  <si>
    <t>CANDLELIGHT</t>
  </si>
  <si>
    <t>011CANDLELIGHT</t>
  </si>
  <si>
    <t>CAYENNE</t>
  </si>
  <si>
    <t>011CAYENNE</t>
  </si>
  <si>
    <t>011LUMIA</t>
  </si>
  <si>
    <t>STARDUST</t>
  </si>
  <si>
    <t>011STARDUST</t>
  </si>
  <si>
    <t>012DEEP PURPLE</t>
  </si>
  <si>
    <t>012LIGHT HOUSE</t>
  </si>
  <si>
    <t>COUNTRY BLUES</t>
  </si>
  <si>
    <t>013COUNTRY BLUES</t>
  </si>
  <si>
    <t>LORRAINE</t>
  </si>
  <si>
    <t>013LORRAINE</t>
  </si>
  <si>
    <t>013LUMIA</t>
  </si>
  <si>
    <t>013VENDELA</t>
  </si>
  <si>
    <t>014STARDUST</t>
  </si>
  <si>
    <t>015JOCKER</t>
  </si>
  <si>
    <t>DREAM IN PEACH</t>
  </si>
  <si>
    <t>016DREAM IN PEACH</t>
  </si>
  <si>
    <t>NINA</t>
  </si>
  <si>
    <t>016NINA</t>
  </si>
  <si>
    <t>017FREEDOM</t>
  </si>
  <si>
    <t>017GOLDFINCH</t>
  </si>
  <si>
    <t>018BRIGHTON</t>
  </si>
  <si>
    <t>019BRIGHTON</t>
  </si>
  <si>
    <t>TABATHA</t>
  </si>
  <si>
    <t>019TABATHA</t>
  </si>
  <si>
    <t>020BRIGHTON</t>
  </si>
  <si>
    <t>TYCOON</t>
  </si>
  <si>
    <t>020TYCOON</t>
  </si>
  <si>
    <t>SHOW GIRL</t>
  </si>
  <si>
    <t>021SHOW GIRL</t>
  </si>
  <si>
    <t>CORAL REEF</t>
  </si>
  <si>
    <t>022CORAL REEF</t>
  </si>
  <si>
    <t>023COTOPAXI</t>
  </si>
  <si>
    <t>FRUTTETO</t>
  </si>
  <si>
    <t>023FRUTTETO</t>
  </si>
  <si>
    <t>024COTOPAXI</t>
  </si>
  <si>
    <t>024SWEETNESS</t>
  </si>
  <si>
    <t>024TYCOON</t>
  </si>
  <si>
    <t>PINK MONDIAL</t>
  </si>
  <si>
    <t>025PINK MONDIAL</t>
  </si>
  <si>
    <t>LOLA</t>
  </si>
  <si>
    <t>026LOLA</t>
  </si>
  <si>
    <t>PALOMA</t>
  </si>
  <si>
    <t>026PALOMA</t>
  </si>
  <si>
    <t>SATISFACTION</t>
  </si>
  <si>
    <t>027SATISFACTION</t>
  </si>
  <si>
    <t>TIFFANY</t>
  </si>
  <si>
    <t>027TIFFANY</t>
  </si>
  <si>
    <t>028COTOPAXI</t>
  </si>
  <si>
    <t>028DEEP PURPLE</t>
  </si>
  <si>
    <t>PINK FLOYD</t>
  </si>
  <si>
    <t>029PINK FLOYD</t>
  </si>
  <si>
    <t>030EXPLORER</t>
  </si>
  <si>
    <t>IDOLE</t>
  </si>
  <si>
    <t>001IDOLE</t>
  </si>
  <si>
    <t>MSE</t>
  </si>
  <si>
    <t>MSE_proy_patron</t>
  </si>
  <si>
    <t>S/N</t>
  </si>
  <si>
    <t>008FREE SPIRIT</t>
  </si>
  <si>
    <t>xx</t>
  </si>
  <si>
    <t>002</t>
  </si>
  <si>
    <t>004</t>
  </si>
  <si>
    <t>005</t>
  </si>
  <si>
    <t>007</t>
  </si>
  <si>
    <t>009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</si>
  <si>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</si>
  <si>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</si>
  <si>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</si>
  <si>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</si>
  <si>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</si>
  <si>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</si>
  <si>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</si>
  <si>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</si>
  <si>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</si>
  <si>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030</t>
  </si>
  <si>
    <t>031</t>
  </si>
  <si>
    <t>032</t>
  </si>
  <si>
    <t>033</t>
  </si>
  <si>
    <t>001</t>
  </si>
  <si>
    <t>003</t>
  </si>
  <si>
    <t>006</t>
  </si>
  <si>
    <t>008</t>
  </si>
  <si>
    <t>010</t>
  </si>
  <si>
    <t>011</t>
  </si>
  <si>
    <t>012</t>
  </si>
  <si>
    <t>013</t>
  </si>
  <si>
    <t>023</t>
  </si>
  <si>
    <t>024</t>
  </si>
  <si>
    <t>025</t>
  </si>
  <si>
    <t>026</t>
  </si>
  <si>
    <t>027</t>
  </si>
  <si>
    <t>028</t>
  </si>
  <si>
    <t>029</t>
  </si>
  <si>
    <t>Produccion</t>
  </si>
  <si>
    <t>%dif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</si>
</sst>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1" fillId="0" borderId="3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24"/>
  <sheetViews>
    <sheetView tabSelected="1" topLeftCell="E1" workbookViewId="0">
      <selection activeCell="K1" sqref="K1"/>
    </sheetView>
  </sheetViews>
  <sheetFormatPr baseColWidth="10" defaultColWidth="9.140625" defaultRowHeight="15"/>
  <cols>
    <col min="7" max="7" width="21.7109375" bestFit="1" customWidth="1"/>
    <col min="10" max="10" width="10.8554687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221</v>
      </c>
      <c r="K1" s="2" t="s">
        <v>222</v>
      </c>
    </row>
    <row r="2" spans="1:11">
      <c r="A2">
        <v>2026</v>
      </c>
      <c r="B2">
        <v>31</v>
      </c>
      <c r="C2" t="s">
        <v>9</v>
      </c>
      <c r="D2" t="s">
        <v>10</v>
      </c>
      <c r="E2" t="s">
        <v>188</v>
      </c>
      <c r="F2" t="s">
        <v>11</v>
      </c>
      <c r="G2" t="str">
        <f>+B2&amp;E2&amp;F2</f>
        <v>31002SOMERSET</v>
      </c>
      <c r="H2">
        <v>9431</v>
      </c>
      <c r="I2">
        <v>9431</v>
      </c>
      <c r="J2">
        <v>7460</v>
      </c>
      <c r="K2">
        <f>+(J2-I2)/J2</f>
        <v>-0.26420911528150132</v>
      </c>
    </row>
    <row r="3" spans="1:11">
      <c r="A3">
        <v>2026</v>
      </c>
      <c r="B3">
        <v>31</v>
      </c>
      <c r="C3" t="s">
        <v>9</v>
      </c>
      <c r="D3" t="s">
        <v>10</v>
      </c>
      <c r="E3" t="s">
        <v>189</v>
      </c>
      <c r="F3" t="s">
        <v>13</v>
      </c>
      <c r="G3" t="str">
        <f t="shared" ref="G3:G66" si="0">+B3&amp;E3&amp;F3</f>
        <v>31004BELLINA</v>
      </c>
      <c r="H3">
        <v>1868</v>
      </c>
      <c r="I3">
        <v>1780</v>
      </c>
      <c r="J3">
        <v>2040</v>
      </c>
      <c r="K3">
        <f t="shared" ref="K3:K66" si="1">+(J3-I3)/J3</f>
        <v>0.12745098039215685</v>
      </c>
    </row>
    <row r="4" spans="1:11">
      <c r="A4">
        <v>2026</v>
      </c>
      <c r="B4">
        <v>31</v>
      </c>
      <c r="C4" t="s">
        <v>9</v>
      </c>
      <c r="D4" t="s">
        <v>10</v>
      </c>
      <c r="E4" t="s">
        <v>190</v>
      </c>
      <c r="F4" t="s">
        <v>15</v>
      </c>
      <c r="G4" t="str">
        <f t="shared" si="0"/>
        <v>31005ELBA</v>
      </c>
      <c r="H4">
        <v>9358</v>
      </c>
      <c r="I4">
        <v>9358</v>
      </c>
      <c r="J4">
        <v>6630</v>
      </c>
      <c r="K4">
        <f t="shared" si="1"/>
        <v>-0.41146304675716439</v>
      </c>
    </row>
    <row r="5" spans="1:11">
      <c r="A5">
        <v>2026</v>
      </c>
      <c r="B5">
        <v>31</v>
      </c>
      <c r="C5" t="s">
        <v>9</v>
      </c>
      <c r="D5" t="s">
        <v>10</v>
      </c>
      <c r="E5" t="s">
        <v>190</v>
      </c>
      <c r="F5" t="s">
        <v>17</v>
      </c>
      <c r="G5" t="str">
        <f t="shared" si="0"/>
        <v>31005HOT BUBBLES</v>
      </c>
      <c r="H5">
        <v>1396</v>
      </c>
      <c r="I5">
        <v>1243</v>
      </c>
      <c r="J5">
        <v>1300</v>
      </c>
      <c r="K5">
        <f t="shared" si="1"/>
        <v>4.3846153846153847E-2</v>
      </c>
    </row>
    <row r="6" spans="1:11">
      <c r="A6">
        <v>2026</v>
      </c>
      <c r="B6">
        <v>31</v>
      </c>
      <c r="C6" t="s">
        <v>9</v>
      </c>
      <c r="D6" t="s">
        <v>10</v>
      </c>
      <c r="E6" t="s">
        <v>190</v>
      </c>
      <c r="F6" t="s">
        <v>19</v>
      </c>
      <c r="G6" t="str">
        <f t="shared" si="0"/>
        <v>31005SUSPIRO</v>
      </c>
      <c r="H6">
        <v>4010</v>
      </c>
      <c r="I6">
        <v>4010</v>
      </c>
      <c r="J6">
        <v>5100</v>
      </c>
      <c r="K6">
        <f t="shared" si="1"/>
        <v>0.21372549019607842</v>
      </c>
    </row>
    <row r="7" spans="1:11">
      <c r="A7">
        <v>2026</v>
      </c>
      <c r="B7">
        <v>31</v>
      </c>
      <c r="C7" t="s">
        <v>9</v>
      </c>
      <c r="D7" t="s">
        <v>10</v>
      </c>
      <c r="E7" t="s">
        <v>191</v>
      </c>
      <c r="F7" t="s">
        <v>21</v>
      </c>
      <c r="G7" t="str">
        <f t="shared" si="0"/>
        <v>31007SNOW BUBBLES</v>
      </c>
      <c r="H7">
        <v>1039</v>
      </c>
      <c r="I7">
        <v>925</v>
      </c>
      <c r="J7">
        <v>1440</v>
      </c>
      <c r="K7">
        <f t="shared" si="1"/>
        <v>0.3576388888888889</v>
      </c>
    </row>
    <row r="8" spans="1:11">
      <c r="A8">
        <v>2026</v>
      </c>
      <c r="B8">
        <v>31</v>
      </c>
      <c r="C8" t="s">
        <v>9</v>
      </c>
      <c r="D8" t="s">
        <v>10</v>
      </c>
      <c r="E8" t="s">
        <v>192</v>
      </c>
      <c r="F8" t="s">
        <v>17</v>
      </c>
      <c r="G8" t="str">
        <f t="shared" si="0"/>
        <v>31009HOT BUBBLES</v>
      </c>
      <c r="H8">
        <v>9175</v>
      </c>
      <c r="I8">
        <v>9175</v>
      </c>
      <c r="J8">
        <v>8220</v>
      </c>
      <c r="K8">
        <f t="shared" si="1"/>
        <v>-0.11618004866180048</v>
      </c>
    </row>
    <row r="9" spans="1:11">
      <c r="A9">
        <v>2026</v>
      </c>
      <c r="B9">
        <v>31</v>
      </c>
      <c r="C9" t="s">
        <v>9</v>
      </c>
      <c r="D9" t="s">
        <v>10</v>
      </c>
      <c r="E9" t="s">
        <v>193</v>
      </c>
      <c r="F9" t="s">
        <v>24</v>
      </c>
      <c r="G9" t="str">
        <f t="shared" si="0"/>
        <v>31014FRUITY BUBBLES</v>
      </c>
      <c r="H9">
        <v>4923</v>
      </c>
      <c r="I9">
        <v>4923</v>
      </c>
      <c r="J9">
        <v>4325</v>
      </c>
      <c r="K9">
        <f t="shared" si="1"/>
        <v>-0.13826589595375721</v>
      </c>
    </row>
    <row r="10" spans="1:11">
      <c r="A10">
        <v>2026</v>
      </c>
      <c r="B10">
        <v>31</v>
      </c>
      <c r="C10" t="s">
        <v>9</v>
      </c>
      <c r="D10" t="s">
        <v>10</v>
      </c>
      <c r="E10" t="s">
        <v>194</v>
      </c>
      <c r="F10" t="s">
        <v>26</v>
      </c>
      <c r="G10" t="str">
        <f t="shared" si="0"/>
        <v>31015FELLINI</v>
      </c>
      <c r="H10">
        <v>7282</v>
      </c>
      <c r="I10">
        <v>7282</v>
      </c>
      <c r="J10">
        <v>6420</v>
      </c>
      <c r="K10">
        <f t="shared" si="1"/>
        <v>-0.13426791277258568</v>
      </c>
    </row>
    <row r="11" spans="1:11">
      <c r="A11">
        <v>2026</v>
      </c>
      <c r="B11">
        <v>31</v>
      </c>
      <c r="C11" t="s">
        <v>9</v>
      </c>
      <c r="D11" t="s">
        <v>10</v>
      </c>
      <c r="E11" t="s">
        <v>195</v>
      </c>
      <c r="F11" t="s">
        <v>28</v>
      </c>
      <c r="G11" t="str">
        <f t="shared" si="0"/>
        <v>31016GOOD PEACH</v>
      </c>
      <c r="H11">
        <v>3510</v>
      </c>
      <c r="I11">
        <v>3124</v>
      </c>
      <c r="J11">
        <v>3360</v>
      </c>
      <c r="K11">
        <f t="shared" si="1"/>
        <v>7.0238095238095238E-2</v>
      </c>
    </row>
    <row r="12" spans="1:11">
      <c r="A12">
        <v>2026</v>
      </c>
      <c r="B12">
        <v>31</v>
      </c>
      <c r="C12" t="s">
        <v>9</v>
      </c>
      <c r="D12" t="s">
        <v>10</v>
      </c>
      <c r="E12" t="s">
        <v>195</v>
      </c>
      <c r="F12" t="s">
        <v>30</v>
      </c>
      <c r="G12" t="str">
        <f t="shared" si="0"/>
        <v>31016GOOD YELLOW</v>
      </c>
      <c r="H12">
        <v>3314</v>
      </c>
      <c r="I12">
        <v>2950</v>
      </c>
      <c r="J12">
        <v>4920</v>
      </c>
      <c r="K12">
        <f t="shared" si="1"/>
        <v>0.40040650406504064</v>
      </c>
    </row>
    <row r="13" spans="1:11">
      <c r="A13">
        <v>2026</v>
      </c>
      <c r="B13">
        <v>31</v>
      </c>
      <c r="C13" t="s">
        <v>9</v>
      </c>
      <c r="D13" t="s">
        <v>10</v>
      </c>
      <c r="E13" t="s">
        <v>196</v>
      </c>
      <c r="F13" t="s">
        <v>32</v>
      </c>
      <c r="G13" t="str">
        <f t="shared" si="0"/>
        <v>31017ORANGE STAR</v>
      </c>
      <c r="H13">
        <v>1950</v>
      </c>
      <c r="I13">
        <v>1950</v>
      </c>
      <c r="J13">
        <v>1300</v>
      </c>
      <c r="K13">
        <f t="shared" si="1"/>
        <v>-0.5</v>
      </c>
    </row>
    <row r="14" spans="1:11">
      <c r="A14">
        <v>2026</v>
      </c>
      <c r="B14">
        <v>31</v>
      </c>
      <c r="C14" t="s">
        <v>9</v>
      </c>
      <c r="D14" t="s">
        <v>10</v>
      </c>
      <c r="E14" t="s">
        <v>197</v>
      </c>
      <c r="F14" t="s">
        <v>34</v>
      </c>
      <c r="G14" t="str">
        <f t="shared" si="0"/>
        <v>31018COSMO</v>
      </c>
      <c r="H14">
        <v>7296</v>
      </c>
      <c r="I14">
        <v>7296</v>
      </c>
      <c r="J14">
        <v>3975</v>
      </c>
      <c r="K14">
        <f t="shared" si="1"/>
        <v>-0.83547169811320754</v>
      </c>
    </row>
    <row r="15" spans="1:11">
      <c r="A15">
        <v>2026</v>
      </c>
      <c r="B15">
        <v>31</v>
      </c>
      <c r="C15" t="s">
        <v>9</v>
      </c>
      <c r="D15" t="s">
        <v>10</v>
      </c>
      <c r="E15" t="s">
        <v>197</v>
      </c>
      <c r="F15" t="s">
        <v>36</v>
      </c>
      <c r="G15" t="str">
        <f t="shared" si="0"/>
        <v>31018RUBICON</v>
      </c>
      <c r="H15">
        <v>5449</v>
      </c>
      <c r="I15">
        <v>4849</v>
      </c>
      <c r="J15">
        <v>3210</v>
      </c>
      <c r="K15">
        <f t="shared" si="1"/>
        <v>-0.51059190031152646</v>
      </c>
    </row>
    <row r="16" spans="1:11">
      <c r="A16">
        <v>2026</v>
      </c>
      <c r="B16">
        <v>31</v>
      </c>
      <c r="C16" t="s">
        <v>9</v>
      </c>
      <c r="D16" t="s">
        <v>10</v>
      </c>
      <c r="E16" t="s">
        <v>198</v>
      </c>
      <c r="F16" t="s">
        <v>13</v>
      </c>
      <c r="G16" t="str">
        <f t="shared" si="0"/>
        <v>31019BELLINA</v>
      </c>
      <c r="H16">
        <v>1794</v>
      </c>
      <c r="I16">
        <v>1794</v>
      </c>
      <c r="J16">
        <v>2250</v>
      </c>
      <c r="K16">
        <f t="shared" si="1"/>
        <v>0.20266666666666666</v>
      </c>
    </row>
    <row r="17" spans="1:11">
      <c r="A17">
        <v>2026</v>
      </c>
      <c r="B17">
        <v>31</v>
      </c>
      <c r="C17" t="s">
        <v>9</v>
      </c>
      <c r="D17" t="s">
        <v>10</v>
      </c>
      <c r="E17" t="s">
        <v>199</v>
      </c>
      <c r="F17" t="s">
        <v>39</v>
      </c>
      <c r="G17" t="str">
        <f t="shared" si="0"/>
        <v>31020SUMMER DANCE</v>
      </c>
      <c r="H17">
        <v>3784</v>
      </c>
      <c r="I17">
        <v>3368</v>
      </c>
      <c r="J17">
        <v>3850</v>
      </c>
      <c r="K17">
        <f t="shared" si="1"/>
        <v>0.12519480519480519</v>
      </c>
    </row>
    <row r="18" spans="1:11">
      <c r="A18">
        <v>2026</v>
      </c>
      <c r="B18">
        <v>31</v>
      </c>
      <c r="C18" t="s">
        <v>9</v>
      </c>
      <c r="D18" t="s">
        <v>10</v>
      </c>
      <c r="E18" t="s">
        <v>200</v>
      </c>
      <c r="F18" t="s">
        <v>41</v>
      </c>
      <c r="G18" t="str">
        <f t="shared" si="0"/>
        <v>31021ELEGANT ROSEVER</v>
      </c>
      <c r="H18">
        <v>801</v>
      </c>
      <c r="I18">
        <v>713</v>
      </c>
      <c r="J18">
        <v>600</v>
      </c>
      <c r="K18">
        <f t="shared" si="1"/>
        <v>-0.18833333333333332</v>
      </c>
    </row>
    <row r="19" spans="1:11">
      <c r="A19">
        <v>2026</v>
      </c>
      <c r="B19">
        <v>31</v>
      </c>
      <c r="C19" t="s">
        <v>9</v>
      </c>
      <c r="D19" t="s">
        <v>10</v>
      </c>
      <c r="E19" t="s">
        <v>200</v>
      </c>
      <c r="F19" t="s">
        <v>43</v>
      </c>
      <c r="G19" t="str">
        <f t="shared" si="0"/>
        <v>31021FLAME CLUB</v>
      </c>
      <c r="H19">
        <v>2100</v>
      </c>
      <c r="I19">
        <v>1889</v>
      </c>
      <c r="J19">
        <v>1475</v>
      </c>
      <c r="K19">
        <f t="shared" si="1"/>
        <v>-0.28067796610169493</v>
      </c>
    </row>
    <row r="20" spans="1:11">
      <c r="A20">
        <v>2026</v>
      </c>
      <c r="B20">
        <v>31</v>
      </c>
      <c r="C20" t="s">
        <v>9</v>
      </c>
      <c r="D20" t="s">
        <v>10</v>
      </c>
      <c r="E20" t="s">
        <v>200</v>
      </c>
      <c r="F20" t="s">
        <v>45</v>
      </c>
      <c r="G20" t="str">
        <f t="shared" si="0"/>
        <v>31021KELLY</v>
      </c>
      <c r="H20">
        <v>619</v>
      </c>
      <c r="I20">
        <v>550</v>
      </c>
      <c r="J20">
        <v>400</v>
      </c>
      <c r="K20">
        <f t="shared" si="1"/>
        <v>-0.375</v>
      </c>
    </row>
    <row r="21" spans="1:11">
      <c r="A21">
        <v>2026</v>
      </c>
      <c r="B21">
        <v>31</v>
      </c>
      <c r="C21" t="s">
        <v>9</v>
      </c>
      <c r="D21" t="s">
        <v>10</v>
      </c>
      <c r="E21" t="s">
        <v>200</v>
      </c>
      <c r="F21" t="s">
        <v>47</v>
      </c>
      <c r="G21" t="str">
        <f t="shared" si="0"/>
        <v>31021LEILA</v>
      </c>
      <c r="H21">
        <v>2501</v>
      </c>
      <c r="I21">
        <v>2501</v>
      </c>
      <c r="J21">
        <v>875</v>
      </c>
      <c r="K21">
        <f t="shared" si="1"/>
        <v>-1.8582857142857143</v>
      </c>
    </row>
    <row r="22" spans="1:11">
      <c r="A22">
        <v>2026</v>
      </c>
      <c r="B22">
        <v>31</v>
      </c>
      <c r="C22" t="s">
        <v>9</v>
      </c>
      <c r="D22" t="s">
        <v>10</v>
      </c>
      <c r="E22" t="s">
        <v>200</v>
      </c>
      <c r="F22" t="s">
        <v>21</v>
      </c>
      <c r="G22" t="str">
        <f t="shared" si="0"/>
        <v>31021SNOW BUBBLES</v>
      </c>
      <c r="H22">
        <v>2915</v>
      </c>
      <c r="I22">
        <v>2915</v>
      </c>
      <c r="J22">
        <v>3060</v>
      </c>
      <c r="K22">
        <f t="shared" si="1"/>
        <v>4.7385620915032678E-2</v>
      </c>
    </row>
    <row r="23" spans="1:11">
      <c r="A23">
        <v>2026</v>
      </c>
      <c r="B23">
        <v>31</v>
      </c>
      <c r="C23" t="s">
        <v>9</v>
      </c>
      <c r="D23" t="s">
        <v>10</v>
      </c>
      <c r="E23" t="s">
        <v>201</v>
      </c>
      <c r="F23" t="s">
        <v>24</v>
      </c>
      <c r="G23" t="str">
        <f t="shared" si="0"/>
        <v>31022FRUITY BUBBLES</v>
      </c>
      <c r="H23">
        <v>4260</v>
      </c>
      <c r="I23">
        <v>4260</v>
      </c>
      <c r="J23">
        <v>6475</v>
      </c>
      <c r="K23">
        <f t="shared" si="1"/>
        <v>0.34208494208494211</v>
      </c>
    </row>
    <row r="24" spans="1:11">
      <c r="A24">
        <v>2026</v>
      </c>
      <c r="B24">
        <v>31</v>
      </c>
      <c r="C24" t="s">
        <v>9</v>
      </c>
      <c r="D24" t="s">
        <v>10</v>
      </c>
      <c r="E24" t="s">
        <v>201</v>
      </c>
      <c r="F24" t="s">
        <v>28</v>
      </c>
      <c r="G24" t="str">
        <f t="shared" si="0"/>
        <v>31022GOOD PEACH</v>
      </c>
      <c r="H24">
        <v>1832</v>
      </c>
      <c r="I24">
        <v>1720</v>
      </c>
      <c r="J24">
        <v>2460</v>
      </c>
      <c r="K24">
        <f t="shared" si="1"/>
        <v>0.30081300813008133</v>
      </c>
    </row>
    <row r="25" spans="1:11">
      <c r="A25">
        <v>2026</v>
      </c>
      <c r="B25">
        <v>31</v>
      </c>
      <c r="C25" t="s">
        <v>9</v>
      </c>
      <c r="D25" t="s">
        <v>10</v>
      </c>
      <c r="E25" t="s">
        <v>201</v>
      </c>
      <c r="F25" t="s">
        <v>52</v>
      </c>
      <c r="G25" t="str">
        <f t="shared" si="0"/>
        <v>31022MIRABEL</v>
      </c>
      <c r="H25">
        <v>1377</v>
      </c>
      <c r="I25">
        <v>1226</v>
      </c>
      <c r="J25">
        <v>2240</v>
      </c>
      <c r="K25">
        <f t="shared" si="1"/>
        <v>0.45267857142857143</v>
      </c>
    </row>
    <row r="26" spans="1:11">
      <c r="A26">
        <v>2026</v>
      </c>
      <c r="B26">
        <v>31</v>
      </c>
      <c r="C26" t="s">
        <v>9</v>
      </c>
      <c r="D26" t="s">
        <v>10</v>
      </c>
      <c r="E26" t="s">
        <v>202</v>
      </c>
      <c r="F26" t="s">
        <v>52</v>
      </c>
      <c r="G26" t="str">
        <f t="shared" si="0"/>
        <v>31030MIRABEL</v>
      </c>
      <c r="H26">
        <v>4088</v>
      </c>
      <c r="I26">
        <v>4088</v>
      </c>
      <c r="J26">
        <v>7660</v>
      </c>
      <c r="K26">
        <f t="shared" si="1"/>
        <v>0.46631853785900784</v>
      </c>
    </row>
    <row r="27" spans="1:11">
      <c r="A27">
        <v>2026</v>
      </c>
      <c r="B27">
        <v>31</v>
      </c>
      <c r="C27" t="s">
        <v>9</v>
      </c>
      <c r="D27" t="s">
        <v>10</v>
      </c>
      <c r="E27" t="s">
        <v>202</v>
      </c>
      <c r="F27" t="s">
        <v>11</v>
      </c>
      <c r="G27" t="str">
        <f t="shared" si="0"/>
        <v>31030SOMERSET</v>
      </c>
      <c r="H27">
        <v>3315</v>
      </c>
      <c r="I27">
        <v>3315</v>
      </c>
      <c r="J27">
        <v>3620</v>
      </c>
      <c r="K27">
        <f t="shared" si="1"/>
        <v>8.4254143646408847E-2</v>
      </c>
    </row>
    <row r="28" spans="1:11">
      <c r="A28">
        <v>2026</v>
      </c>
      <c r="B28">
        <v>31</v>
      </c>
      <c r="C28" t="s">
        <v>9</v>
      </c>
      <c r="D28" t="s">
        <v>10</v>
      </c>
      <c r="E28" t="s">
        <v>203</v>
      </c>
      <c r="F28" t="s">
        <v>56</v>
      </c>
      <c r="G28" t="str">
        <f t="shared" si="0"/>
        <v>3103182989</v>
      </c>
      <c r="H28">
        <v>1063</v>
      </c>
      <c r="I28">
        <v>946</v>
      </c>
      <c r="J28">
        <v>820</v>
      </c>
      <c r="K28">
        <f t="shared" si="1"/>
        <v>-0.15365853658536585</v>
      </c>
    </row>
    <row r="29" spans="1:11">
      <c r="A29">
        <v>2026</v>
      </c>
      <c r="B29">
        <v>31</v>
      </c>
      <c r="C29" t="s">
        <v>9</v>
      </c>
      <c r="D29" t="s">
        <v>10</v>
      </c>
      <c r="E29" t="s">
        <v>203</v>
      </c>
      <c r="F29" t="s">
        <v>36</v>
      </c>
      <c r="G29" t="str">
        <f t="shared" si="0"/>
        <v>31031RUBICON</v>
      </c>
      <c r="H29">
        <v>2241</v>
      </c>
      <c r="I29">
        <v>1994</v>
      </c>
      <c r="J29">
        <v>2310</v>
      </c>
      <c r="K29">
        <f t="shared" si="1"/>
        <v>0.13679653679653681</v>
      </c>
    </row>
    <row r="30" spans="1:11">
      <c r="A30">
        <v>2026</v>
      </c>
      <c r="B30">
        <v>31</v>
      </c>
      <c r="C30" t="s">
        <v>9</v>
      </c>
      <c r="D30" t="s">
        <v>10</v>
      </c>
      <c r="E30" t="s">
        <v>203</v>
      </c>
      <c r="F30" t="s">
        <v>11</v>
      </c>
      <c r="G30" t="str">
        <f t="shared" si="0"/>
        <v>31031SOMERSET</v>
      </c>
      <c r="H30">
        <v>1509</v>
      </c>
      <c r="I30">
        <v>1343</v>
      </c>
      <c r="J30">
        <v>1040</v>
      </c>
      <c r="K30">
        <f t="shared" si="1"/>
        <v>-0.29134615384615387</v>
      </c>
    </row>
    <row r="31" spans="1:11">
      <c r="A31">
        <v>2026</v>
      </c>
      <c r="B31">
        <v>31</v>
      </c>
      <c r="C31" t="s">
        <v>9</v>
      </c>
      <c r="D31" t="s">
        <v>10</v>
      </c>
      <c r="E31" t="s">
        <v>203</v>
      </c>
      <c r="F31" t="s">
        <v>60</v>
      </c>
      <c r="G31" t="str">
        <f t="shared" si="0"/>
        <v>31031VELVET BLOSSOMS</v>
      </c>
      <c r="H31">
        <v>650</v>
      </c>
      <c r="I31">
        <v>579</v>
      </c>
      <c r="J31">
        <v>920</v>
      </c>
      <c r="K31">
        <f t="shared" si="1"/>
        <v>0.3706521739130435</v>
      </c>
    </row>
    <row r="32" spans="1:11">
      <c r="A32">
        <v>2026</v>
      </c>
      <c r="B32">
        <v>31</v>
      </c>
      <c r="C32" t="s">
        <v>9</v>
      </c>
      <c r="D32" t="s">
        <v>10</v>
      </c>
      <c r="E32" t="s">
        <v>204</v>
      </c>
      <c r="F32" t="s">
        <v>15</v>
      </c>
      <c r="G32" t="str">
        <f t="shared" si="0"/>
        <v>31032ELBA</v>
      </c>
      <c r="H32">
        <v>3487</v>
      </c>
      <c r="I32">
        <v>3487</v>
      </c>
      <c r="J32">
        <v>2670</v>
      </c>
      <c r="K32">
        <f t="shared" si="1"/>
        <v>-0.30599250936329586</v>
      </c>
    </row>
    <row r="33" spans="1:11">
      <c r="A33">
        <v>2026</v>
      </c>
      <c r="B33">
        <v>31</v>
      </c>
      <c r="C33" t="s">
        <v>9</v>
      </c>
      <c r="D33" t="s">
        <v>10</v>
      </c>
      <c r="E33" t="s">
        <v>204</v>
      </c>
      <c r="F33" t="s">
        <v>52</v>
      </c>
      <c r="G33" t="str">
        <f t="shared" si="0"/>
        <v>31032MIRABEL</v>
      </c>
      <c r="H33">
        <v>1585</v>
      </c>
      <c r="I33">
        <v>1482</v>
      </c>
      <c r="J33">
        <v>2480</v>
      </c>
      <c r="K33">
        <f t="shared" si="1"/>
        <v>0.40241935483870966</v>
      </c>
    </row>
    <row r="34" spans="1:11">
      <c r="A34">
        <v>2026</v>
      </c>
      <c r="B34">
        <v>31</v>
      </c>
      <c r="C34" t="s">
        <v>9</v>
      </c>
      <c r="D34" t="s">
        <v>10</v>
      </c>
      <c r="E34" t="s">
        <v>205</v>
      </c>
      <c r="F34" t="s">
        <v>64</v>
      </c>
      <c r="G34" t="str">
        <f t="shared" si="0"/>
        <v>31033CREAMY FOLIES</v>
      </c>
      <c r="H34">
        <v>1283</v>
      </c>
      <c r="I34">
        <v>1142</v>
      </c>
      <c r="J34">
        <v>1110</v>
      </c>
      <c r="K34">
        <f t="shared" si="1"/>
        <v>-2.8828828828828829E-2</v>
      </c>
    </row>
    <row r="35" spans="1:11">
      <c r="A35">
        <v>2026</v>
      </c>
      <c r="B35">
        <v>31</v>
      </c>
      <c r="C35" t="s">
        <v>9</v>
      </c>
      <c r="D35" t="s">
        <v>10</v>
      </c>
      <c r="E35" t="s">
        <v>205</v>
      </c>
      <c r="F35" t="s">
        <v>17</v>
      </c>
      <c r="G35" t="str">
        <f t="shared" si="0"/>
        <v>31033HOT BUBBLES</v>
      </c>
      <c r="H35">
        <v>2686</v>
      </c>
      <c r="I35">
        <v>2686</v>
      </c>
      <c r="J35">
        <v>5640</v>
      </c>
      <c r="K35">
        <f t="shared" si="1"/>
        <v>0.5237588652482269</v>
      </c>
    </row>
    <row r="36" spans="1:11">
      <c r="A36">
        <v>2026</v>
      </c>
      <c r="B36">
        <v>31</v>
      </c>
      <c r="C36" t="s">
        <v>67</v>
      </c>
      <c r="D36" t="s">
        <v>10</v>
      </c>
      <c r="E36" t="s">
        <v>206</v>
      </c>
      <c r="F36" t="s">
        <v>68</v>
      </c>
      <c r="G36" t="str">
        <f t="shared" si="0"/>
        <v>31001BELIEVE IN PINK</v>
      </c>
      <c r="H36">
        <v>1567</v>
      </c>
      <c r="I36">
        <v>1395</v>
      </c>
      <c r="J36">
        <v>1110</v>
      </c>
      <c r="K36">
        <f t="shared" si="1"/>
        <v>-0.25675675675675674</v>
      </c>
    </row>
    <row r="37" spans="1:11">
      <c r="A37">
        <v>2026</v>
      </c>
      <c r="B37">
        <v>31</v>
      </c>
      <c r="C37" t="s">
        <v>67</v>
      </c>
      <c r="D37" t="s">
        <v>10</v>
      </c>
      <c r="E37" t="s">
        <v>206</v>
      </c>
      <c r="F37" t="s">
        <v>70</v>
      </c>
      <c r="G37" t="str">
        <f t="shared" si="0"/>
        <v>31001EXPLORER</v>
      </c>
      <c r="H37">
        <v>4291</v>
      </c>
      <c r="I37">
        <v>3819</v>
      </c>
      <c r="J37">
        <v>4950</v>
      </c>
      <c r="K37">
        <f t="shared" si="1"/>
        <v>0.22848484848484849</v>
      </c>
    </row>
    <row r="38" spans="1:11">
      <c r="A38">
        <v>2026</v>
      </c>
      <c r="B38">
        <v>31</v>
      </c>
      <c r="C38" t="s">
        <v>67</v>
      </c>
      <c r="D38" t="s">
        <v>10</v>
      </c>
      <c r="E38" t="s">
        <v>206</v>
      </c>
      <c r="F38" t="s">
        <v>72</v>
      </c>
      <c r="G38" t="str">
        <f t="shared" si="0"/>
        <v>31001GRACE KELLY</v>
      </c>
      <c r="H38">
        <v>1904</v>
      </c>
      <c r="I38">
        <v>1835</v>
      </c>
      <c r="J38">
        <v>2010</v>
      </c>
      <c r="K38">
        <f t="shared" si="1"/>
        <v>8.7064676616915429E-2</v>
      </c>
    </row>
    <row r="39" spans="1:11">
      <c r="A39">
        <v>2026</v>
      </c>
      <c r="B39">
        <v>31</v>
      </c>
      <c r="C39" t="s">
        <v>67</v>
      </c>
      <c r="D39" t="s">
        <v>10</v>
      </c>
      <c r="E39" t="s">
        <v>206</v>
      </c>
      <c r="F39" t="s">
        <v>74</v>
      </c>
      <c r="G39" t="str">
        <f t="shared" si="0"/>
        <v>31001LIGHT HOUSE</v>
      </c>
      <c r="H39">
        <v>1620</v>
      </c>
      <c r="I39">
        <v>1620</v>
      </c>
      <c r="J39">
        <v>2010</v>
      </c>
      <c r="K39">
        <f t="shared" si="1"/>
        <v>0.19402985074626866</v>
      </c>
    </row>
    <row r="40" spans="1:11">
      <c r="A40">
        <v>2026</v>
      </c>
      <c r="B40">
        <v>31</v>
      </c>
      <c r="C40" t="s">
        <v>67</v>
      </c>
      <c r="D40" t="s">
        <v>10</v>
      </c>
      <c r="E40" t="s">
        <v>206</v>
      </c>
      <c r="F40" t="s">
        <v>76</v>
      </c>
      <c r="G40" t="str">
        <f t="shared" si="0"/>
        <v>31001LUMIA</v>
      </c>
      <c r="H40">
        <v>2035</v>
      </c>
      <c r="I40">
        <v>2035</v>
      </c>
      <c r="J40">
        <v>3300</v>
      </c>
      <c r="K40">
        <f t="shared" si="1"/>
        <v>0.38333333333333336</v>
      </c>
    </row>
    <row r="41" spans="1:11">
      <c r="A41">
        <v>2026</v>
      </c>
      <c r="B41">
        <v>31</v>
      </c>
      <c r="C41" t="s">
        <v>67</v>
      </c>
      <c r="D41" t="s">
        <v>10</v>
      </c>
      <c r="E41" t="s">
        <v>206</v>
      </c>
      <c r="F41" t="s">
        <v>78</v>
      </c>
      <c r="G41" t="str">
        <f t="shared" si="0"/>
        <v>31001MOMENTUM</v>
      </c>
      <c r="H41">
        <v>4221</v>
      </c>
      <c r="I41">
        <v>4221</v>
      </c>
      <c r="J41">
        <v>5825</v>
      </c>
      <c r="K41">
        <f t="shared" si="1"/>
        <v>0.2753648068669528</v>
      </c>
    </row>
    <row r="42" spans="1:11">
      <c r="A42">
        <v>2026</v>
      </c>
      <c r="B42">
        <v>31</v>
      </c>
      <c r="C42" t="s">
        <v>67</v>
      </c>
      <c r="D42" t="s">
        <v>10</v>
      </c>
      <c r="E42" t="s">
        <v>188</v>
      </c>
      <c r="F42" t="s">
        <v>80</v>
      </c>
      <c r="G42" t="str">
        <f t="shared" si="0"/>
        <v>31002SUMMER ROMANCE</v>
      </c>
      <c r="H42">
        <v>1428</v>
      </c>
      <c r="I42">
        <v>1271</v>
      </c>
      <c r="J42">
        <v>1575</v>
      </c>
      <c r="K42">
        <f t="shared" si="1"/>
        <v>0.19301587301587303</v>
      </c>
    </row>
    <row r="43" spans="1:11">
      <c r="A43">
        <v>2026</v>
      </c>
      <c r="B43">
        <v>31</v>
      </c>
      <c r="C43" t="s">
        <v>67</v>
      </c>
      <c r="D43" t="s">
        <v>10</v>
      </c>
      <c r="E43" t="s">
        <v>188</v>
      </c>
      <c r="F43" t="s">
        <v>82</v>
      </c>
      <c r="G43" t="str">
        <f t="shared" si="0"/>
        <v>31002SWEETNESS</v>
      </c>
      <c r="H43">
        <v>8746</v>
      </c>
      <c r="I43">
        <v>8746</v>
      </c>
      <c r="J43">
        <v>7110</v>
      </c>
      <c r="K43">
        <f t="shared" si="1"/>
        <v>-0.230098452883263</v>
      </c>
    </row>
    <row r="44" spans="1:11">
      <c r="A44">
        <v>2026</v>
      </c>
      <c r="B44">
        <v>31</v>
      </c>
      <c r="C44" t="s">
        <v>67</v>
      </c>
      <c r="D44" t="s">
        <v>10</v>
      </c>
      <c r="E44" t="s">
        <v>207</v>
      </c>
      <c r="F44" t="s">
        <v>84</v>
      </c>
      <c r="G44" t="str">
        <f t="shared" si="0"/>
        <v>31003CABARET</v>
      </c>
      <c r="H44">
        <v>7562</v>
      </c>
      <c r="I44">
        <v>7562</v>
      </c>
      <c r="J44">
        <v>4860</v>
      </c>
      <c r="K44">
        <f t="shared" si="1"/>
        <v>-0.55596707818930036</v>
      </c>
    </row>
    <row r="45" spans="1:11">
      <c r="A45">
        <v>2026</v>
      </c>
      <c r="B45">
        <v>31</v>
      </c>
      <c r="C45" t="s">
        <v>67</v>
      </c>
      <c r="D45" t="s">
        <v>10</v>
      </c>
      <c r="E45" t="s">
        <v>207</v>
      </c>
      <c r="F45" t="s">
        <v>86</v>
      </c>
      <c r="G45" t="str">
        <f t="shared" si="0"/>
        <v>31003DEEP PURPLE</v>
      </c>
      <c r="H45">
        <v>11795</v>
      </c>
      <c r="I45">
        <v>11795</v>
      </c>
      <c r="J45">
        <v>7890</v>
      </c>
      <c r="K45">
        <f t="shared" si="1"/>
        <v>-0.49493029150823825</v>
      </c>
    </row>
    <row r="46" spans="1:11">
      <c r="A46">
        <v>2026</v>
      </c>
      <c r="B46">
        <v>31</v>
      </c>
      <c r="C46" t="s">
        <v>67</v>
      </c>
      <c r="D46" t="s">
        <v>10</v>
      </c>
      <c r="E46" t="s">
        <v>207</v>
      </c>
      <c r="F46" t="s">
        <v>70</v>
      </c>
      <c r="G46" t="str">
        <f t="shared" si="0"/>
        <v>31003EXPLORER</v>
      </c>
      <c r="H46">
        <v>2356</v>
      </c>
      <c r="I46">
        <v>2356</v>
      </c>
      <c r="J46">
        <v>2225</v>
      </c>
      <c r="K46">
        <f t="shared" si="1"/>
        <v>-5.8876404494382022E-2</v>
      </c>
    </row>
    <row r="47" spans="1:11">
      <c r="A47">
        <v>2026</v>
      </c>
      <c r="B47">
        <v>31</v>
      </c>
      <c r="C47" t="s">
        <v>67</v>
      </c>
      <c r="D47" t="s">
        <v>10</v>
      </c>
      <c r="E47" t="s">
        <v>207</v>
      </c>
      <c r="F47" t="s">
        <v>89</v>
      </c>
      <c r="G47" t="str">
        <f t="shared" si="0"/>
        <v>31003JOCKER</v>
      </c>
      <c r="H47">
        <v>1062</v>
      </c>
      <c r="I47">
        <v>945</v>
      </c>
      <c r="J47">
        <v>1325</v>
      </c>
      <c r="K47">
        <f t="shared" si="1"/>
        <v>0.28679245283018867</v>
      </c>
    </row>
    <row r="48" spans="1:11">
      <c r="A48">
        <v>2026</v>
      </c>
      <c r="B48">
        <v>31</v>
      </c>
      <c r="C48" t="s">
        <v>67</v>
      </c>
      <c r="D48" t="s">
        <v>10</v>
      </c>
      <c r="E48" t="s">
        <v>207</v>
      </c>
      <c r="F48" t="s">
        <v>91</v>
      </c>
      <c r="G48" t="str">
        <f t="shared" si="0"/>
        <v>31003QUICKSAND</v>
      </c>
      <c r="H48">
        <v>1802</v>
      </c>
      <c r="I48">
        <v>1802</v>
      </c>
      <c r="J48">
        <v>2910</v>
      </c>
      <c r="K48">
        <f t="shared" si="1"/>
        <v>0.38075601374570445</v>
      </c>
    </row>
    <row r="49" spans="1:11">
      <c r="A49">
        <v>2026</v>
      </c>
      <c r="B49">
        <v>31</v>
      </c>
      <c r="C49" t="s">
        <v>67</v>
      </c>
      <c r="D49" t="s">
        <v>10</v>
      </c>
      <c r="E49" t="s">
        <v>189</v>
      </c>
      <c r="F49" t="s">
        <v>93</v>
      </c>
      <c r="G49" t="str">
        <f t="shared" si="0"/>
        <v>31004COTOPAXI</v>
      </c>
      <c r="H49">
        <v>1179</v>
      </c>
      <c r="I49">
        <v>1049</v>
      </c>
      <c r="J49">
        <v>1980</v>
      </c>
      <c r="K49">
        <f t="shared" si="1"/>
        <v>0.47020202020202018</v>
      </c>
    </row>
    <row r="50" spans="1:11">
      <c r="A50">
        <v>2026</v>
      </c>
      <c r="B50">
        <v>31</v>
      </c>
      <c r="C50" t="s">
        <v>67</v>
      </c>
      <c r="D50" t="s">
        <v>10</v>
      </c>
      <c r="E50" t="s">
        <v>189</v>
      </c>
      <c r="F50" t="s">
        <v>86</v>
      </c>
      <c r="G50" t="str">
        <f t="shared" si="0"/>
        <v>31004DEEP PURPLE</v>
      </c>
      <c r="H50">
        <v>15300</v>
      </c>
      <c r="I50">
        <v>15300</v>
      </c>
      <c r="J50">
        <v>7590</v>
      </c>
      <c r="K50">
        <f t="shared" si="1"/>
        <v>-1.0158102766798418</v>
      </c>
    </row>
    <row r="51" spans="1:11">
      <c r="A51">
        <v>2026</v>
      </c>
      <c r="B51">
        <v>31</v>
      </c>
      <c r="C51" t="s">
        <v>67</v>
      </c>
      <c r="D51" t="s">
        <v>10</v>
      </c>
      <c r="E51" t="s">
        <v>189</v>
      </c>
      <c r="F51" t="s">
        <v>96</v>
      </c>
      <c r="G51" t="str">
        <f t="shared" si="0"/>
        <v>31004HOT EXPLORER</v>
      </c>
      <c r="H51">
        <v>2739</v>
      </c>
      <c r="I51">
        <v>2739</v>
      </c>
      <c r="J51">
        <v>2150</v>
      </c>
      <c r="K51">
        <f t="shared" si="1"/>
        <v>-0.27395348837209305</v>
      </c>
    </row>
    <row r="52" spans="1:11">
      <c r="A52">
        <v>2026</v>
      </c>
      <c r="B52">
        <v>31</v>
      </c>
      <c r="C52" t="s">
        <v>67</v>
      </c>
      <c r="D52" t="s">
        <v>10</v>
      </c>
      <c r="E52" t="s">
        <v>189</v>
      </c>
      <c r="F52" t="s">
        <v>98</v>
      </c>
      <c r="G52" t="str">
        <f t="shared" si="0"/>
        <v>31004HOT MERENGUE</v>
      </c>
      <c r="H52">
        <v>2325</v>
      </c>
      <c r="I52">
        <v>2069</v>
      </c>
      <c r="J52">
        <v>2490</v>
      </c>
      <c r="K52">
        <f t="shared" si="1"/>
        <v>0.16907630522088354</v>
      </c>
    </row>
    <row r="53" spans="1:11">
      <c r="A53">
        <v>2026</v>
      </c>
      <c r="B53">
        <v>31</v>
      </c>
      <c r="C53" t="s">
        <v>67</v>
      </c>
      <c r="D53" t="s">
        <v>10</v>
      </c>
      <c r="E53" t="s">
        <v>189</v>
      </c>
      <c r="F53" t="s">
        <v>82</v>
      </c>
      <c r="G53" t="str">
        <f t="shared" si="0"/>
        <v>31004SWEETNESS</v>
      </c>
      <c r="H53">
        <v>765</v>
      </c>
      <c r="I53">
        <v>681</v>
      </c>
      <c r="J53">
        <v>630</v>
      </c>
      <c r="K53">
        <f t="shared" si="1"/>
        <v>-8.0952380952380956E-2</v>
      </c>
    </row>
    <row r="54" spans="1:11">
      <c r="A54">
        <v>2026</v>
      </c>
      <c r="B54">
        <v>31</v>
      </c>
      <c r="C54" t="s">
        <v>67</v>
      </c>
      <c r="D54" t="s">
        <v>10</v>
      </c>
      <c r="E54" t="s">
        <v>190</v>
      </c>
      <c r="F54" t="s">
        <v>70</v>
      </c>
      <c r="G54" t="str">
        <f t="shared" si="0"/>
        <v>31005EXPLORER</v>
      </c>
      <c r="H54">
        <v>982</v>
      </c>
      <c r="I54">
        <v>874</v>
      </c>
      <c r="J54">
        <v>1775</v>
      </c>
      <c r="K54">
        <f t="shared" si="1"/>
        <v>0.50760563380281687</v>
      </c>
    </row>
    <row r="55" spans="1:11">
      <c r="A55">
        <v>2026</v>
      </c>
      <c r="B55">
        <v>31</v>
      </c>
      <c r="C55" t="s">
        <v>67</v>
      </c>
      <c r="D55" t="s">
        <v>10</v>
      </c>
      <c r="E55" t="s">
        <v>190</v>
      </c>
      <c r="F55" t="s">
        <v>102</v>
      </c>
      <c r="G55" t="str">
        <f t="shared" si="0"/>
        <v>31005GOLDFINCH</v>
      </c>
      <c r="H55">
        <v>1027</v>
      </c>
      <c r="I55">
        <v>914</v>
      </c>
      <c r="J55">
        <v>575</v>
      </c>
      <c r="K55">
        <f t="shared" si="1"/>
        <v>-0.5895652173913043</v>
      </c>
    </row>
    <row r="56" spans="1:11">
      <c r="A56">
        <v>2026</v>
      </c>
      <c r="B56">
        <v>31</v>
      </c>
      <c r="C56" t="s">
        <v>67</v>
      </c>
      <c r="D56" t="s">
        <v>10</v>
      </c>
      <c r="E56" t="s">
        <v>190</v>
      </c>
      <c r="F56" t="s">
        <v>89</v>
      </c>
      <c r="G56" t="str">
        <f t="shared" si="0"/>
        <v>31005JOCKER</v>
      </c>
      <c r="H56">
        <v>2638</v>
      </c>
      <c r="I56">
        <v>2638</v>
      </c>
      <c r="J56">
        <v>2075</v>
      </c>
      <c r="K56">
        <f t="shared" si="1"/>
        <v>-0.27132530120481929</v>
      </c>
    </row>
    <row r="57" spans="1:11">
      <c r="A57">
        <v>2026</v>
      </c>
      <c r="B57">
        <v>31</v>
      </c>
      <c r="C57" t="s">
        <v>67</v>
      </c>
      <c r="D57" t="s">
        <v>10</v>
      </c>
      <c r="E57" t="s">
        <v>190</v>
      </c>
      <c r="F57" t="s">
        <v>105</v>
      </c>
      <c r="G57" t="str">
        <f t="shared" si="0"/>
        <v>31005VENDELA</v>
      </c>
      <c r="H57">
        <v>1856</v>
      </c>
      <c r="I57">
        <v>1856</v>
      </c>
      <c r="J57">
        <v>2070</v>
      </c>
      <c r="K57">
        <f t="shared" si="1"/>
        <v>0.10338164251207729</v>
      </c>
    </row>
    <row r="58" spans="1:11">
      <c r="A58">
        <v>2026</v>
      </c>
      <c r="B58">
        <v>31</v>
      </c>
      <c r="C58" t="s">
        <v>67</v>
      </c>
      <c r="D58" t="s">
        <v>10</v>
      </c>
      <c r="E58" t="s">
        <v>208</v>
      </c>
      <c r="F58" t="s">
        <v>107</v>
      </c>
      <c r="G58" t="str">
        <f t="shared" si="0"/>
        <v>31006ATOMIC</v>
      </c>
      <c r="H58">
        <v>1192</v>
      </c>
      <c r="I58">
        <v>1061</v>
      </c>
      <c r="J58">
        <v>1575</v>
      </c>
      <c r="K58">
        <f t="shared" si="1"/>
        <v>0.32634920634920633</v>
      </c>
    </row>
    <row r="59" spans="1:11">
      <c r="A59">
        <v>2026</v>
      </c>
      <c r="B59">
        <v>31</v>
      </c>
      <c r="C59" t="s">
        <v>67</v>
      </c>
      <c r="D59" t="s">
        <v>10</v>
      </c>
      <c r="E59" t="s">
        <v>208</v>
      </c>
      <c r="F59" t="s">
        <v>70</v>
      </c>
      <c r="G59" t="str">
        <f t="shared" si="0"/>
        <v>31006EXPLORER</v>
      </c>
      <c r="H59">
        <v>5582</v>
      </c>
      <c r="I59">
        <v>5582</v>
      </c>
      <c r="J59">
        <v>8050</v>
      </c>
      <c r="K59">
        <f t="shared" si="1"/>
        <v>0.306583850931677</v>
      </c>
    </row>
    <row r="60" spans="1:11">
      <c r="A60">
        <v>2026</v>
      </c>
      <c r="B60">
        <v>31</v>
      </c>
      <c r="C60" t="s">
        <v>67</v>
      </c>
      <c r="D60" t="s">
        <v>10</v>
      </c>
      <c r="E60" t="s">
        <v>208</v>
      </c>
      <c r="F60" t="s">
        <v>110</v>
      </c>
      <c r="G60" t="str">
        <f t="shared" si="0"/>
        <v>31006MONDIAL</v>
      </c>
      <c r="H60">
        <v>7046</v>
      </c>
      <c r="I60">
        <v>7046</v>
      </c>
      <c r="J60">
        <v>8450</v>
      </c>
      <c r="K60">
        <f t="shared" si="1"/>
        <v>0.16615384615384615</v>
      </c>
    </row>
    <row r="61" spans="1:11">
      <c r="A61">
        <v>2026</v>
      </c>
      <c r="B61">
        <v>31</v>
      </c>
      <c r="C61" t="s">
        <v>67</v>
      </c>
      <c r="D61" t="s">
        <v>10</v>
      </c>
      <c r="E61" t="s">
        <v>191</v>
      </c>
      <c r="F61" t="s">
        <v>93</v>
      </c>
      <c r="G61" t="str">
        <f t="shared" si="0"/>
        <v>31007COTOPAXI</v>
      </c>
      <c r="H61">
        <v>7414</v>
      </c>
      <c r="I61">
        <v>6872</v>
      </c>
      <c r="J61">
        <v>6450</v>
      </c>
      <c r="K61">
        <f t="shared" si="1"/>
        <v>-6.5426356589147291E-2</v>
      </c>
    </row>
    <row r="62" spans="1:11">
      <c r="A62">
        <v>2026</v>
      </c>
      <c r="B62">
        <v>31</v>
      </c>
      <c r="C62" t="s">
        <v>67</v>
      </c>
      <c r="D62" t="s">
        <v>10</v>
      </c>
      <c r="E62" t="s">
        <v>191</v>
      </c>
      <c r="F62" t="s">
        <v>113</v>
      </c>
      <c r="G62" t="str">
        <f t="shared" si="0"/>
        <v>31007REDIANT</v>
      </c>
      <c r="H62">
        <v>1989</v>
      </c>
      <c r="I62">
        <v>1770</v>
      </c>
      <c r="J62">
        <v>2100</v>
      </c>
      <c r="K62">
        <f t="shared" si="1"/>
        <v>0.15714285714285714</v>
      </c>
    </row>
    <row r="63" spans="1:11">
      <c r="A63">
        <v>2026</v>
      </c>
      <c r="B63">
        <v>31</v>
      </c>
      <c r="C63" t="s">
        <v>67</v>
      </c>
      <c r="D63" t="s">
        <v>10</v>
      </c>
      <c r="E63" t="s">
        <v>191</v>
      </c>
      <c r="F63" t="s">
        <v>105</v>
      </c>
      <c r="G63" t="str">
        <f t="shared" si="0"/>
        <v>31007VENDELA</v>
      </c>
      <c r="H63">
        <v>14580</v>
      </c>
      <c r="I63">
        <v>14580</v>
      </c>
      <c r="J63">
        <v>11250</v>
      </c>
      <c r="K63">
        <f t="shared" si="1"/>
        <v>-0.29599999999999999</v>
      </c>
    </row>
    <row r="64" spans="1:11">
      <c r="A64">
        <v>2026</v>
      </c>
      <c r="B64">
        <v>31</v>
      </c>
      <c r="C64" t="s">
        <v>67</v>
      </c>
      <c r="D64" t="s">
        <v>10</v>
      </c>
      <c r="E64" t="s">
        <v>209</v>
      </c>
      <c r="F64" t="s">
        <v>86</v>
      </c>
      <c r="G64" t="str">
        <f t="shared" si="0"/>
        <v>31008DEEP PURPLE</v>
      </c>
      <c r="H64">
        <v>5286</v>
      </c>
      <c r="I64">
        <v>5286</v>
      </c>
      <c r="J64">
        <v>3450</v>
      </c>
      <c r="K64">
        <f t="shared" si="1"/>
        <v>-0.53217391304347827</v>
      </c>
    </row>
    <row r="65" spans="1:11">
      <c r="A65">
        <v>2026</v>
      </c>
      <c r="B65">
        <v>31</v>
      </c>
      <c r="C65" t="s">
        <v>67</v>
      </c>
      <c r="D65" t="s">
        <v>10</v>
      </c>
      <c r="E65" t="s">
        <v>209</v>
      </c>
      <c r="F65" t="s">
        <v>117</v>
      </c>
      <c r="G65" t="str">
        <f t="shared" si="0"/>
        <v>31008FREEDOM</v>
      </c>
      <c r="H65">
        <v>3820</v>
      </c>
      <c r="I65">
        <v>3820</v>
      </c>
      <c r="J65">
        <v>3420</v>
      </c>
      <c r="K65">
        <f t="shared" si="1"/>
        <v>-0.11695906432748537</v>
      </c>
    </row>
    <row r="66" spans="1:11">
      <c r="A66">
        <v>2026</v>
      </c>
      <c r="B66">
        <v>31</v>
      </c>
      <c r="C66" t="s">
        <v>67</v>
      </c>
      <c r="D66" t="s">
        <v>10</v>
      </c>
      <c r="E66" t="s">
        <v>209</v>
      </c>
      <c r="F66" t="s">
        <v>89</v>
      </c>
      <c r="G66" t="str">
        <f t="shared" si="0"/>
        <v>31008JOCKER</v>
      </c>
      <c r="H66">
        <v>5453</v>
      </c>
      <c r="I66">
        <v>5453</v>
      </c>
      <c r="J66">
        <v>5425</v>
      </c>
      <c r="K66">
        <f t="shared" si="1"/>
        <v>-5.1612903225806452E-3</v>
      </c>
    </row>
    <row r="67" spans="1:11">
      <c r="A67">
        <v>2026</v>
      </c>
      <c r="B67">
        <v>31</v>
      </c>
      <c r="C67" t="s">
        <v>67</v>
      </c>
      <c r="D67" t="s">
        <v>10</v>
      </c>
      <c r="E67" t="s">
        <v>210</v>
      </c>
      <c r="F67" t="s">
        <v>120</v>
      </c>
      <c r="G67" t="str">
        <f t="shared" ref="G67:G130" si="2">+B67&amp;E67&amp;F67</f>
        <v>31010COOLDOWN</v>
      </c>
      <c r="H67">
        <v>2662</v>
      </c>
      <c r="I67">
        <v>2662</v>
      </c>
      <c r="J67">
        <v>2525</v>
      </c>
      <c r="K67">
        <f t="shared" ref="K67:K130" si="3">+(J67-I67)/J67</f>
        <v>-5.4257425742574257E-2</v>
      </c>
    </row>
    <row r="68" spans="1:11">
      <c r="A68">
        <v>2026</v>
      </c>
      <c r="B68">
        <v>31</v>
      </c>
      <c r="C68" t="s">
        <v>67</v>
      </c>
      <c r="D68" t="s">
        <v>10</v>
      </c>
      <c r="E68" t="s">
        <v>210</v>
      </c>
      <c r="F68" t="s">
        <v>122</v>
      </c>
      <c r="G68" t="str">
        <f t="shared" si="2"/>
        <v>31010VIOLET HILL</v>
      </c>
      <c r="H68">
        <v>3685</v>
      </c>
      <c r="I68">
        <v>3685</v>
      </c>
      <c r="J68">
        <v>4740</v>
      </c>
      <c r="K68">
        <f t="shared" si="3"/>
        <v>0.22257383966244726</v>
      </c>
    </row>
    <row r="69" spans="1:11">
      <c r="A69">
        <v>2026</v>
      </c>
      <c r="B69">
        <v>31</v>
      </c>
      <c r="C69" t="s">
        <v>67</v>
      </c>
      <c r="D69" t="s">
        <v>10</v>
      </c>
      <c r="E69" t="s">
        <v>211</v>
      </c>
      <c r="F69" t="s">
        <v>124</v>
      </c>
      <c r="G69" t="str">
        <f t="shared" si="2"/>
        <v>31011BRIGHTON</v>
      </c>
      <c r="H69">
        <v>5608</v>
      </c>
      <c r="I69">
        <v>5608</v>
      </c>
      <c r="J69">
        <v>3950</v>
      </c>
      <c r="K69">
        <f t="shared" si="3"/>
        <v>-0.41974683544303798</v>
      </c>
    </row>
    <row r="70" spans="1:11">
      <c r="A70">
        <v>2026</v>
      </c>
      <c r="B70">
        <v>31</v>
      </c>
      <c r="C70" t="s">
        <v>67</v>
      </c>
      <c r="D70" t="s">
        <v>10</v>
      </c>
      <c r="E70" t="s">
        <v>211</v>
      </c>
      <c r="F70" t="s">
        <v>126</v>
      </c>
      <c r="G70" t="str">
        <f t="shared" si="2"/>
        <v>31011CANDLELIGHT</v>
      </c>
      <c r="H70">
        <v>5879</v>
      </c>
      <c r="I70">
        <v>5879</v>
      </c>
      <c r="J70">
        <v>4200</v>
      </c>
      <c r="K70">
        <f t="shared" si="3"/>
        <v>-0.39976190476190476</v>
      </c>
    </row>
    <row r="71" spans="1:11">
      <c r="A71">
        <v>2026</v>
      </c>
      <c r="B71">
        <v>31</v>
      </c>
      <c r="C71" t="s">
        <v>67</v>
      </c>
      <c r="D71" t="s">
        <v>10</v>
      </c>
      <c r="E71" t="s">
        <v>211</v>
      </c>
      <c r="F71" t="s">
        <v>128</v>
      </c>
      <c r="G71" t="str">
        <f t="shared" si="2"/>
        <v>31011CAYENNE</v>
      </c>
      <c r="H71">
        <v>1811</v>
      </c>
      <c r="I71">
        <v>1611</v>
      </c>
      <c r="J71">
        <v>1290</v>
      </c>
      <c r="K71">
        <f t="shared" si="3"/>
        <v>-0.24883720930232558</v>
      </c>
    </row>
    <row r="72" spans="1:11">
      <c r="A72">
        <v>2026</v>
      </c>
      <c r="B72">
        <v>31</v>
      </c>
      <c r="C72" t="s">
        <v>67</v>
      </c>
      <c r="D72" t="s">
        <v>10</v>
      </c>
      <c r="E72" t="s">
        <v>211</v>
      </c>
      <c r="F72" t="s">
        <v>76</v>
      </c>
      <c r="G72" t="str">
        <f t="shared" si="2"/>
        <v>31011LUMIA</v>
      </c>
      <c r="H72">
        <v>2316</v>
      </c>
      <c r="I72">
        <v>2316</v>
      </c>
      <c r="J72">
        <v>2070</v>
      </c>
      <c r="K72">
        <f t="shared" si="3"/>
        <v>-0.11884057971014493</v>
      </c>
    </row>
    <row r="73" spans="1:11">
      <c r="A73">
        <v>2026</v>
      </c>
      <c r="B73">
        <v>31</v>
      </c>
      <c r="C73" t="s">
        <v>67</v>
      </c>
      <c r="D73" t="s">
        <v>10</v>
      </c>
      <c r="E73" t="s">
        <v>211</v>
      </c>
      <c r="F73" t="s">
        <v>131</v>
      </c>
      <c r="G73" t="str">
        <f t="shared" si="2"/>
        <v>31011STARDUST</v>
      </c>
      <c r="H73">
        <v>3817</v>
      </c>
      <c r="I73">
        <v>3817</v>
      </c>
      <c r="J73">
        <v>4425</v>
      </c>
      <c r="K73">
        <f t="shared" si="3"/>
        <v>0.13740112994350281</v>
      </c>
    </row>
    <row r="74" spans="1:11">
      <c r="A74">
        <v>2026</v>
      </c>
      <c r="B74">
        <v>31</v>
      </c>
      <c r="C74" t="s">
        <v>67</v>
      </c>
      <c r="D74" t="s">
        <v>10</v>
      </c>
      <c r="E74" t="s">
        <v>212</v>
      </c>
      <c r="F74" t="s">
        <v>86</v>
      </c>
      <c r="G74" t="str">
        <f t="shared" si="2"/>
        <v>31012DEEP PURPLE</v>
      </c>
      <c r="H74">
        <v>18490</v>
      </c>
      <c r="I74">
        <v>18490</v>
      </c>
      <c r="J74">
        <v>16800</v>
      </c>
      <c r="K74">
        <f t="shared" si="3"/>
        <v>-0.1005952380952381</v>
      </c>
    </row>
    <row r="75" spans="1:11">
      <c r="A75">
        <v>2026</v>
      </c>
      <c r="B75">
        <v>31</v>
      </c>
      <c r="C75" t="s">
        <v>67</v>
      </c>
      <c r="D75" t="s">
        <v>10</v>
      </c>
      <c r="E75" t="s">
        <v>212</v>
      </c>
      <c r="F75" t="s">
        <v>74</v>
      </c>
      <c r="G75" t="str">
        <f t="shared" si="2"/>
        <v>31012LIGHT HOUSE</v>
      </c>
      <c r="H75">
        <v>1513</v>
      </c>
      <c r="I75">
        <v>1513</v>
      </c>
      <c r="J75">
        <v>1440</v>
      </c>
      <c r="K75">
        <f t="shared" si="3"/>
        <v>-5.0694444444444445E-2</v>
      </c>
    </row>
    <row r="76" spans="1:11">
      <c r="A76">
        <v>2026</v>
      </c>
      <c r="B76">
        <v>31</v>
      </c>
      <c r="C76" t="s">
        <v>67</v>
      </c>
      <c r="D76" t="s">
        <v>10</v>
      </c>
      <c r="E76" t="s">
        <v>213</v>
      </c>
      <c r="F76" t="s">
        <v>135</v>
      </c>
      <c r="G76" t="str">
        <f t="shared" si="2"/>
        <v>31013COUNTRY BLUES</v>
      </c>
      <c r="H76">
        <v>1771</v>
      </c>
      <c r="I76">
        <v>1696</v>
      </c>
      <c r="J76">
        <v>1200</v>
      </c>
      <c r="K76">
        <f t="shared" si="3"/>
        <v>-0.41333333333333333</v>
      </c>
    </row>
    <row r="77" spans="1:11">
      <c r="A77">
        <v>2026</v>
      </c>
      <c r="B77">
        <v>31</v>
      </c>
      <c r="C77" t="s">
        <v>67</v>
      </c>
      <c r="D77" t="s">
        <v>10</v>
      </c>
      <c r="E77" t="s">
        <v>213</v>
      </c>
      <c r="F77" t="s">
        <v>137</v>
      </c>
      <c r="G77" t="str">
        <f t="shared" si="2"/>
        <v>31013LORRAINE</v>
      </c>
      <c r="H77">
        <v>4618</v>
      </c>
      <c r="I77">
        <v>4618</v>
      </c>
      <c r="J77">
        <v>3825</v>
      </c>
      <c r="K77">
        <f t="shared" si="3"/>
        <v>-0.20732026143790849</v>
      </c>
    </row>
    <row r="78" spans="1:11">
      <c r="A78">
        <v>2026</v>
      </c>
      <c r="B78">
        <v>31</v>
      </c>
      <c r="C78" t="s">
        <v>67</v>
      </c>
      <c r="D78" t="s">
        <v>10</v>
      </c>
      <c r="E78" t="s">
        <v>213</v>
      </c>
      <c r="F78" t="s">
        <v>76</v>
      </c>
      <c r="G78" t="str">
        <f t="shared" si="2"/>
        <v>31013LUMIA</v>
      </c>
      <c r="H78">
        <v>738</v>
      </c>
      <c r="I78">
        <v>656</v>
      </c>
      <c r="J78">
        <v>660</v>
      </c>
      <c r="K78">
        <f t="shared" si="3"/>
        <v>6.0606060606060606E-3</v>
      </c>
    </row>
    <row r="79" spans="1:11">
      <c r="A79">
        <v>2026</v>
      </c>
      <c r="B79">
        <v>31</v>
      </c>
      <c r="C79" t="s">
        <v>67</v>
      </c>
      <c r="D79" t="s">
        <v>10</v>
      </c>
      <c r="E79" t="s">
        <v>213</v>
      </c>
      <c r="F79" t="s">
        <v>105</v>
      </c>
      <c r="G79" t="str">
        <f t="shared" si="2"/>
        <v>31013VENDELA</v>
      </c>
      <c r="H79">
        <v>11355</v>
      </c>
      <c r="I79">
        <v>11355</v>
      </c>
      <c r="J79">
        <v>11610</v>
      </c>
      <c r="K79">
        <f t="shared" si="3"/>
        <v>2.1963824289405683E-2</v>
      </c>
    </row>
    <row r="80" spans="1:11">
      <c r="A80">
        <v>2026</v>
      </c>
      <c r="B80">
        <v>31</v>
      </c>
      <c r="C80" t="s">
        <v>67</v>
      </c>
      <c r="D80" t="s">
        <v>10</v>
      </c>
      <c r="E80" t="s">
        <v>193</v>
      </c>
      <c r="F80" t="s">
        <v>131</v>
      </c>
      <c r="G80" t="str">
        <f t="shared" si="2"/>
        <v>31014STARDUST</v>
      </c>
      <c r="H80">
        <v>7672</v>
      </c>
      <c r="I80">
        <v>7672</v>
      </c>
      <c r="J80">
        <v>6900</v>
      </c>
      <c r="K80">
        <f t="shared" si="3"/>
        <v>-0.11188405797101449</v>
      </c>
    </row>
    <row r="81" spans="1:11">
      <c r="A81">
        <v>2026</v>
      </c>
      <c r="B81">
        <v>31</v>
      </c>
      <c r="C81" t="s">
        <v>67</v>
      </c>
      <c r="D81" t="s">
        <v>10</v>
      </c>
      <c r="E81" t="s">
        <v>194</v>
      </c>
      <c r="F81" t="s">
        <v>89</v>
      </c>
      <c r="G81" t="str">
        <f t="shared" si="2"/>
        <v>31015JOCKER</v>
      </c>
      <c r="H81">
        <v>7260</v>
      </c>
      <c r="I81">
        <v>7260</v>
      </c>
      <c r="J81">
        <v>4625</v>
      </c>
      <c r="K81">
        <f t="shared" si="3"/>
        <v>-0.56972972972972968</v>
      </c>
    </row>
    <row r="82" spans="1:11">
      <c r="A82">
        <v>2026</v>
      </c>
      <c r="B82">
        <v>31</v>
      </c>
      <c r="C82" t="s">
        <v>67</v>
      </c>
      <c r="D82" t="s">
        <v>10</v>
      </c>
      <c r="E82" t="s">
        <v>195</v>
      </c>
      <c r="F82" t="s">
        <v>143</v>
      </c>
      <c r="G82" t="str">
        <f t="shared" si="2"/>
        <v>31016DREAM IN PEACH</v>
      </c>
      <c r="H82">
        <v>1214</v>
      </c>
      <c r="I82">
        <v>1080</v>
      </c>
      <c r="J82">
        <v>1710</v>
      </c>
      <c r="K82">
        <f t="shared" si="3"/>
        <v>0.36842105263157893</v>
      </c>
    </row>
    <row r="83" spans="1:11">
      <c r="A83">
        <v>2026</v>
      </c>
      <c r="B83">
        <v>31</v>
      </c>
      <c r="C83" t="s">
        <v>67</v>
      </c>
      <c r="D83" t="s">
        <v>10</v>
      </c>
      <c r="E83" t="s">
        <v>195</v>
      </c>
      <c r="F83" t="s">
        <v>145</v>
      </c>
      <c r="G83" t="str">
        <f t="shared" si="2"/>
        <v>31016NINA</v>
      </c>
      <c r="H83">
        <v>3470</v>
      </c>
      <c r="I83">
        <v>3470</v>
      </c>
      <c r="J83">
        <v>2425</v>
      </c>
      <c r="K83">
        <f t="shared" si="3"/>
        <v>-0.43092783505154642</v>
      </c>
    </row>
    <row r="84" spans="1:11">
      <c r="A84">
        <v>2026</v>
      </c>
      <c r="B84">
        <v>31</v>
      </c>
      <c r="C84" t="s">
        <v>67</v>
      </c>
      <c r="D84" t="s">
        <v>10</v>
      </c>
      <c r="E84" t="s">
        <v>196</v>
      </c>
      <c r="F84" t="s">
        <v>117</v>
      </c>
      <c r="G84" t="str">
        <f t="shared" si="2"/>
        <v>31017FREEDOM</v>
      </c>
      <c r="H84">
        <v>4712</v>
      </c>
      <c r="I84">
        <v>4712</v>
      </c>
      <c r="J84">
        <v>4470</v>
      </c>
      <c r="K84">
        <f t="shared" si="3"/>
        <v>-5.4138702460850112E-2</v>
      </c>
    </row>
    <row r="85" spans="1:11">
      <c r="A85">
        <v>2026</v>
      </c>
      <c r="B85">
        <v>31</v>
      </c>
      <c r="C85" t="s">
        <v>67</v>
      </c>
      <c r="D85" t="s">
        <v>10</v>
      </c>
      <c r="E85" t="s">
        <v>196</v>
      </c>
      <c r="F85" t="s">
        <v>102</v>
      </c>
      <c r="G85" t="str">
        <f t="shared" si="2"/>
        <v>31017GOLDFINCH</v>
      </c>
      <c r="H85">
        <v>2708</v>
      </c>
      <c r="I85">
        <v>2535</v>
      </c>
      <c r="J85">
        <v>3075</v>
      </c>
      <c r="K85">
        <f t="shared" si="3"/>
        <v>0.17560975609756097</v>
      </c>
    </row>
    <row r="86" spans="1:11">
      <c r="A86">
        <v>2026</v>
      </c>
      <c r="B86">
        <v>31</v>
      </c>
      <c r="C86" t="s">
        <v>67</v>
      </c>
      <c r="D86" t="s">
        <v>10</v>
      </c>
      <c r="E86" t="s">
        <v>197</v>
      </c>
      <c r="F86" t="s">
        <v>124</v>
      </c>
      <c r="G86" t="str">
        <f t="shared" si="2"/>
        <v>31018BRIGHTON</v>
      </c>
      <c r="H86">
        <v>2088</v>
      </c>
      <c r="I86">
        <v>2000</v>
      </c>
      <c r="J86">
        <v>1850</v>
      </c>
      <c r="K86">
        <f t="shared" si="3"/>
        <v>-8.1081081081081086E-2</v>
      </c>
    </row>
    <row r="87" spans="1:11">
      <c r="A87">
        <v>2026</v>
      </c>
      <c r="B87">
        <v>31</v>
      </c>
      <c r="C87" t="s">
        <v>67</v>
      </c>
      <c r="D87" t="s">
        <v>10</v>
      </c>
      <c r="E87" t="s">
        <v>198</v>
      </c>
      <c r="F87" t="s">
        <v>124</v>
      </c>
      <c r="G87" t="str">
        <f t="shared" si="2"/>
        <v>31019BRIGHTON</v>
      </c>
      <c r="H87">
        <v>7668</v>
      </c>
      <c r="I87">
        <v>7668</v>
      </c>
      <c r="J87">
        <v>6325</v>
      </c>
      <c r="K87">
        <f t="shared" si="3"/>
        <v>-0.21233201581027669</v>
      </c>
    </row>
    <row r="88" spans="1:11">
      <c r="A88">
        <v>2026</v>
      </c>
      <c r="B88">
        <v>31</v>
      </c>
      <c r="C88" t="s">
        <v>67</v>
      </c>
      <c r="D88" t="s">
        <v>10</v>
      </c>
      <c r="E88" t="s">
        <v>198</v>
      </c>
      <c r="F88" t="s">
        <v>151</v>
      </c>
      <c r="G88" t="str">
        <f t="shared" si="2"/>
        <v>31019TABATHA</v>
      </c>
      <c r="H88">
        <v>2800</v>
      </c>
      <c r="I88">
        <v>2800</v>
      </c>
      <c r="J88">
        <v>3540</v>
      </c>
      <c r="K88">
        <f t="shared" si="3"/>
        <v>0.20903954802259886</v>
      </c>
    </row>
    <row r="89" spans="1:11">
      <c r="A89">
        <v>2026</v>
      </c>
      <c r="B89">
        <v>31</v>
      </c>
      <c r="C89" t="s">
        <v>67</v>
      </c>
      <c r="D89" t="s">
        <v>10</v>
      </c>
      <c r="E89" t="s">
        <v>199</v>
      </c>
      <c r="F89" t="s">
        <v>124</v>
      </c>
      <c r="G89" t="str">
        <f t="shared" si="2"/>
        <v>31020BRIGHTON</v>
      </c>
      <c r="H89">
        <v>4835</v>
      </c>
      <c r="I89">
        <v>4835</v>
      </c>
      <c r="J89">
        <v>5575</v>
      </c>
      <c r="K89">
        <f t="shared" si="3"/>
        <v>0.13273542600896862</v>
      </c>
    </row>
    <row r="90" spans="1:11">
      <c r="A90">
        <v>2026</v>
      </c>
      <c r="B90">
        <v>31</v>
      </c>
      <c r="C90" t="s">
        <v>67</v>
      </c>
      <c r="D90" t="s">
        <v>10</v>
      </c>
      <c r="E90" t="s">
        <v>199</v>
      </c>
      <c r="F90" t="s">
        <v>154</v>
      </c>
      <c r="G90" t="str">
        <f t="shared" si="2"/>
        <v>31020TYCOON</v>
      </c>
      <c r="H90">
        <v>1380</v>
      </c>
      <c r="I90">
        <v>1228</v>
      </c>
      <c r="J90">
        <v>1290</v>
      </c>
      <c r="K90">
        <f t="shared" si="3"/>
        <v>4.8062015503875968E-2</v>
      </c>
    </row>
    <row r="91" spans="1:11">
      <c r="A91">
        <v>2026</v>
      </c>
      <c r="B91">
        <v>31</v>
      </c>
      <c r="C91" t="s">
        <v>67</v>
      </c>
      <c r="D91" t="s">
        <v>10</v>
      </c>
      <c r="E91" t="s">
        <v>200</v>
      </c>
      <c r="F91" t="s">
        <v>156</v>
      </c>
      <c r="G91" t="str">
        <f t="shared" si="2"/>
        <v>31021SHOW GIRL</v>
      </c>
      <c r="H91">
        <v>1673</v>
      </c>
      <c r="I91">
        <v>1489</v>
      </c>
      <c r="J91">
        <v>1775</v>
      </c>
      <c r="K91">
        <f t="shared" si="3"/>
        <v>0.16112676056338029</v>
      </c>
    </row>
    <row r="92" spans="1:11">
      <c r="A92">
        <v>2026</v>
      </c>
      <c r="B92">
        <v>31</v>
      </c>
      <c r="C92" t="s">
        <v>67</v>
      </c>
      <c r="D92" t="s">
        <v>10</v>
      </c>
      <c r="E92" t="s">
        <v>201</v>
      </c>
      <c r="F92" t="s">
        <v>158</v>
      </c>
      <c r="G92" t="str">
        <f t="shared" si="2"/>
        <v>31022CORAL REEF</v>
      </c>
      <c r="H92">
        <v>1957</v>
      </c>
      <c r="I92">
        <v>1957</v>
      </c>
      <c r="J92">
        <v>2625</v>
      </c>
      <c r="K92">
        <f t="shared" si="3"/>
        <v>0.25447619047619047</v>
      </c>
    </row>
    <row r="93" spans="1:11">
      <c r="A93">
        <v>2026</v>
      </c>
      <c r="B93">
        <v>31</v>
      </c>
      <c r="C93" t="s">
        <v>67</v>
      </c>
      <c r="D93" t="s">
        <v>10</v>
      </c>
      <c r="E93" t="s">
        <v>214</v>
      </c>
      <c r="F93" t="s">
        <v>93</v>
      </c>
      <c r="G93" t="str">
        <f t="shared" si="2"/>
        <v>31023COTOPAXI</v>
      </c>
      <c r="H93">
        <v>7059</v>
      </c>
      <c r="I93">
        <v>6282</v>
      </c>
      <c r="J93">
        <v>8760</v>
      </c>
      <c r="K93">
        <f t="shared" si="3"/>
        <v>0.2828767123287671</v>
      </c>
    </row>
    <row r="94" spans="1:11">
      <c r="A94">
        <v>2026</v>
      </c>
      <c r="B94">
        <v>31</v>
      </c>
      <c r="C94" t="s">
        <v>67</v>
      </c>
      <c r="D94" t="s">
        <v>10</v>
      </c>
      <c r="E94" t="s">
        <v>214</v>
      </c>
      <c r="F94" t="s">
        <v>161</v>
      </c>
      <c r="G94" t="str">
        <f t="shared" si="2"/>
        <v>31023FRUTTETO</v>
      </c>
      <c r="H94">
        <v>6103</v>
      </c>
      <c r="I94">
        <v>6103</v>
      </c>
      <c r="J94">
        <v>5040</v>
      </c>
      <c r="K94">
        <f t="shared" si="3"/>
        <v>-0.21091269841269841</v>
      </c>
    </row>
    <row r="95" spans="1:11">
      <c r="A95">
        <v>2026</v>
      </c>
      <c r="B95">
        <v>31</v>
      </c>
      <c r="C95" t="s">
        <v>67</v>
      </c>
      <c r="D95" t="s">
        <v>10</v>
      </c>
      <c r="E95" t="s">
        <v>215</v>
      </c>
      <c r="F95" t="s">
        <v>93</v>
      </c>
      <c r="G95" t="str">
        <f t="shared" si="2"/>
        <v>31024COTOPAXI</v>
      </c>
      <c r="H95">
        <v>3140</v>
      </c>
      <c r="I95">
        <v>2794</v>
      </c>
      <c r="J95">
        <v>4050</v>
      </c>
      <c r="K95">
        <f t="shared" si="3"/>
        <v>0.31012345679012343</v>
      </c>
    </row>
    <row r="96" spans="1:11">
      <c r="A96">
        <v>2026</v>
      </c>
      <c r="B96">
        <v>31</v>
      </c>
      <c r="C96" t="s">
        <v>67</v>
      </c>
      <c r="D96" t="s">
        <v>10</v>
      </c>
      <c r="E96" t="s">
        <v>215</v>
      </c>
      <c r="F96" t="s">
        <v>82</v>
      </c>
      <c r="G96" t="str">
        <f t="shared" si="2"/>
        <v>31024SWEETNESS</v>
      </c>
      <c r="H96">
        <v>1557</v>
      </c>
      <c r="I96">
        <v>1557</v>
      </c>
      <c r="J96">
        <v>2340</v>
      </c>
      <c r="K96">
        <f t="shared" si="3"/>
        <v>0.33461538461538459</v>
      </c>
    </row>
    <row r="97" spans="1:11">
      <c r="A97">
        <v>2026</v>
      </c>
      <c r="B97">
        <v>31</v>
      </c>
      <c r="C97" t="s">
        <v>67</v>
      </c>
      <c r="D97" t="s">
        <v>10</v>
      </c>
      <c r="E97" t="s">
        <v>215</v>
      </c>
      <c r="F97" t="s">
        <v>154</v>
      </c>
      <c r="G97" t="str">
        <f t="shared" si="2"/>
        <v>31024TYCOON</v>
      </c>
      <c r="H97">
        <v>2262</v>
      </c>
      <c r="I97">
        <v>2262</v>
      </c>
      <c r="J97">
        <v>4290</v>
      </c>
      <c r="K97">
        <f t="shared" si="3"/>
        <v>0.47272727272727272</v>
      </c>
    </row>
    <row r="98" spans="1:11">
      <c r="A98">
        <v>2026</v>
      </c>
      <c r="B98">
        <v>31</v>
      </c>
      <c r="C98" t="s">
        <v>67</v>
      </c>
      <c r="D98" t="s">
        <v>10</v>
      </c>
      <c r="E98" t="s">
        <v>216</v>
      </c>
      <c r="F98" t="s">
        <v>166</v>
      </c>
      <c r="G98" t="str">
        <f t="shared" si="2"/>
        <v>31025PINK MONDIAL</v>
      </c>
      <c r="H98">
        <v>4842</v>
      </c>
      <c r="I98">
        <v>4842</v>
      </c>
      <c r="J98">
        <v>6400</v>
      </c>
      <c r="K98">
        <f t="shared" si="3"/>
        <v>0.2434375</v>
      </c>
    </row>
    <row r="99" spans="1:11">
      <c r="A99">
        <v>2026</v>
      </c>
      <c r="B99">
        <v>31</v>
      </c>
      <c r="C99" t="s">
        <v>67</v>
      </c>
      <c r="D99" t="s">
        <v>10</v>
      </c>
      <c r="E99" t="s">
        <v>217</v>
      </c>
      <c r="F99" t="s">
        <v>168</v>
      </c>
      <c r="G99" t="str">
        <f t="shared" si="2"/>
        <v>31026LOLA</v>
      </c>
      <c r="H99">
        <v>3944</v>
      </c>
      <c r="I99">
        <v>3944</v>
      </c>
      <c r="J99">
        <v>3625</v>
      </c>
      <c r="K99">
        <f t="shared" si="3"/>
        <v>-8.7999999999999995E-2</v>
      </c>
    </row>
    <row r="100" spans="1:11">
      <c r="A100">
        <v>2026</v>
      </c>
      <c r="B100">
        <v>31</v>
      </c>
      <c r="C100" t="s">
        <v>67</v>
      </c>
      <c r="D100" t="s">
        <v>10</v>
      </c>
      <c r="E100" t="s">
        <v>217</v>
      </c>
      <c r="F100" t="s">
        <v>170</v>
      </c>
      <c r="G100" t="str">
        <f t="shared" si="2"/>
        <v>31026PALOMA</v>
      </c>
      <c r="H100">
        <v>5966</v>
      </c>
      <c r="I100">
        <v>5966</v>
      </c>
      <c r="J100">
        <v>4150</v>
      </c>
      <c r="K100">
        <f t="shared" si="3"/>
        <v>-0.43759036144578312</v>
      </c>
    </row>
    <row r="101" spans="1:11">
      <c r="A101">
        <v>2026</v>
      </c>
      <c r="B101">
        <v>31</v>
      </c>
      <c r="C101" t="s">
        <v>67</v>
      </c>
      <c r="D101" t="s">
        <v>10</v>
      </c>
      <c r="E101" t="s">
        <v>218</v>
      </c>
      <c r="F101" t="s">
        <v>172</v>
      </c>
      <c r="G101" t="str">
        <f t="shared" si="2"/>
        <v>31027SATISFACTION</v>
      </c>
      <c r="H101">
        <v>4831</v>
      </c>
      <c r="I101">
        <v>4831</v>
      </c>
      <c r="J101">
        <v>5370</v>
      </c>
      <c r="K101">
        <f t="shared" si="3"/>
        <v>0.10037243947858474</v>
      </c>
    </row>
    <row r="102" spans="1:11">
      <c r="A102">
        <v>2026</v>
      </c>
      <c r="B102">
        <v>31</v>
      </c>
      <c r="C102" t="s">
        <v>67</v>
      </c>
      <c r="D102" t="s">
        <v>10</v>
      </c>
      <c r="E102" t="s">
        <v>218</v>
      </c>
      <c r="F102" t="s">
        <v>174</v>
      </c>
      <c r="G102" t="str">
        <f t="shared" si="2"/>
        <v>31027TIFFANY</v>
      </c>
      <c r="H102">
        <v>4345</v>
      </c>
      <c r="I102">
        <v>4345</v>
      </c>
      <c r="J102">
        <v>5910</v>
      </c>
      <c r="K102">
        <f t="shared" si="3"/>
        <v>0.26480541455160744</v>
      </c>
    </row>
    <row r="103" spans="1:11">
      <c r="A103">
        <v>2026</v>
      </c>
      <c r="B103">
        <v>31</v>
      </c>
      <c r="C103" t="s">
        <v>67</v>
      </c>
      <c r="D103" t="s">
        <v>10</v>
      </c>
      <c r="E103" t="s">
        <v>219</v>
      </c>
      <c r="F103" t="s">
        <v>93</v>
      </c>
      <c r="G103" t="str">
        <f t="shared" si="2"/>
        <v>31028COTOPAXI</v>
      </c>
      <c r="H103">
        <v>3497</v>
      </c>
      <c r="I103">
        <v>3497</v>
      </c>
      <c r="J103">
        <v>7230</v>
      </c>
      <c r="K103">
        <f t="shared" si="3"/>
        <v>0.5163208852005533</v>
      </c>
    </row>
    <row r="104" spans="1:11">
      <c r="A104">
        <v>2026</v>
      </c>
      <c r="B104">
        <v>31</v>
      </c>
      <c r="C104" t="s">
        <v>67</v>
      </c>
      <c r="D104" t="s">
        <v>10</v>
      </c>
      <c r="E104" t="s">
        <v>219</v>
      </c>
      <c r="F104" t="s">
        <v>86</v>
      </c>
      <c r="G104" t="str">
        <f t="shared" si="2"/>
        <v>31028DEEP PURPLE</v>
      </c>
      <c r="H104">
        <v>7594</v>
      </c>
      <c r="I104">
        <v>7594</v>
      </c>
      <c r="J104">
        <v>5670</v>
      </c>
      <c r="K104">
        <f t="shared" si="3"/>
        <v>-0.33932980599647267</v>
      </c>
    </row>
    <row r="105" spans="1:11">
      <c r="A105">
        <v>2026</v>
      </c>
      <c r="B105">
        <v>31</v>
      </c>
      <c r="C105" t="s">
        <v>67</v>
      </c>
      <c r="D105" t="s">
        <v>10</v>
      </c>
      <c r="E105" t="s">
        <v>220</v>
      </c>
      <c r="F105" t="s">
        <v>178</v>
      </c>
      <c r="G105" t="str">
        <f t="shared" si="2"/>
        <v>31029PINK FLOYD</v>
      </c>
      <c r="H105">
        <v>4607</v>
      </c>
      <c r="I105">
        <v>4607</v>
      </c>
      <c r="J105">
        <v>3525</v>
      </c>
      <c r="K105">
        <f t="shared" si="3"/>
        <v>-0.30695035460992909</v>
      </c>
    </row>
    <row r="106" spans="1:11">
      <c r="A106">
        <v>2026</v>
      </c>
      <c r="B106">
        <v>31</v>
      </c>
      <c r="C106" t="s">
        <v>67</v>
      </c>
      <c r="D106" t="s">
        <v>10</v>
      </c>
      <c r="E106" t="s">
        <v>202</v>
      </c>
      <c r="F106" t="s">
        <v>70</v>
      </c>
      <c r="G106" t="str">
        <f t="shared" si="2"/>
        <v>31030EXPLORER</v>
      </c>
      <c r="H106">
        <v>1611</v>
      </c>
      <c r="I106">
        <v>1434</v>
      </c>
      <c r="J106">
        <v>2950</v>
      </c>
      <c r="K106">
        <f t="shared" si="3"/>
        <v>0.51389830508474577</v>
      </c>
    </row>
    <row r="107" spans="1:11">
      <c r="A107">
        <v>2026</v>
      </c>
      <c r="B107">
        <v>32</v>
      </c>
      <c r="C107" t="s">
        <v>9</v>
      </c>
      <c r="D107" t="s">
        <v>10</v>
      </c>
      <c r="E107" t="s">
        <v>188</v>
      </c>
      <c r="F107" t="s">
        <v>11</v>
      </c>
      <c r="G107" t="str">
        <f t="shared" si="2"/>
        <v>32002SOMERSET</v>
      </c>
      <c r="H107">
        <v>8231</v>
      </c>
      <c r="I107">
        <v>8231</v>
      </c>
      <c r="J107">
        <v>7920</v>
      </c>
      <c r="K107">
        <f t="shared" si="3"/>
        <v>-3.9267676767676771E-2</v>
      </c>
    </row>
    <row r="108" spans="1:11">
      <c r="A108">
        <v>2026</v>
      </c>
      <c r="B108">
        <v>32</v>
      </c>
      <c r="C108" t="s">
        <v>9</v>
      </c>
      <c r="D108" t="s">
        <v>10</v>
      </c>
      <c r="E108" t="s">
        <v>189</v>
      </c>
      <c r="F108" t="s">
        <v>13</v>
      </c>
      <c r="G108" t="str">
        <f t="shared" si="2"/>
        <v>32004BELLINA</v>
      </c>
      <c r="H108">
        <v>1403</v>
      </c>
      <c r="I108">
        <v>1248</v>
      </c>
      <c r="J108">
        <v>1755</v>
      </c>
      <c r="K108">
        <f t="shared" si="3"/>
        <v>0.28888888888888886</v>
      </c>
    </row>
    <row r="109" spans="1:11">
      <c r="A109">
        <v>2026</v>
      </c>
      <c r="B109">
        <v>32</v>
      </c>
      <c r="C109" t="s">
        <v>9</v>
      </c>
      <c r="D109" t="s">
        <v>10</v>
      </c>
      <c r="E109" t="s">
        <v>190</v>
      </c>
      <c r="F109" t="s">
        <v>15</v>
      </c>
      <c r="G109" t="str">
        <f t="shared" si="2"/>
        <v>32005ELBA</v>
      </c>
      <c r="H109">
        <v>7573</v>
      </c>
      <c r="I109">
        <v>7573</v>
      </c>
      <c r="J109">
        <v>6300</v>
      </c>
      <c r="K109">
        <f t="shared" si="3"/>
        <v>-0.20206349206349206</v>
      </c>
    </row>
    <row r="110" spans="1:11">
      <c r="A110">
        <v>2026</v>
      </c>
      <c r="B110">
        <v>32</v>
      </c>
      <c r="C110" t="s">
        <v>9</v>
      </c>
      <c r="D110" t="s">
        <v>10</v>
      </c>
      <c r="E110" t="s">
        <v>190</v>
      </c>
      <c r="F110" t="s">
        <v>17</v>
      </c>
      <c r="G110" t="str">
        <f t="shared" si="2"/>
        <v>32005HOT BUBBLES</v>
      </c>
      <c r="H110">
        <v>1225</v>
      </c>
      <c r="I110">
        <v>1090</v>
      </c>
      <c r="J110">
        <v>1060</v>
      </c>
      <c r="K110">
        <f t="shared" si="3"/>
        <v>-2.8301886792452831E-2</v>
      </c>
    </row>
    <row r="111" spans="1:11">
      <c r="A111">
        <v>2026</v>
      </c>
      <c r="B111">
        <v>32</v>
      </c>
      <c r="C111" t="s">
        <v>9</v>
      </c>
      <c r="D111" t="s">
        <v>10</v>
      </c>
      <c r="E111" t="s">
        <v>190</v>
      </c>
      <c r="F111" t="s">
        <v>19</v>
      </c>
      <c r="G111" t="str">
        <f t="shared" si="2"/>
        <v>32005SUSPIRO</v>
      </c>
      <c r="H111">
        <v>3342</v>
      </c>
      <c r="I111">
        <v>3342</v>
      </c>
      <c r="J111">
        <v>4740</v>
      </c>
      <c r="K111">
        <f t="shared" si="3"/>
        <v>0.29493670886075951</v>
      </c>
    </row>
    <row r="112" spans="1:11">
      <c r="A112">
        <v>2026</v>
      </c>
      <c r="B112">
        <v>32</v>
      </c>
      <c r="C112" t="s">
        <v>9</v>
      </c>
      <c r="D112" t="s">
        <v>10</v>
      </c>
      <c r="E112" t="s">
        <v>191</v>
      </c>
      <c r="F112" t="s">
        <v>21</v>
      </c>
      <c r="G112" t="str">
        <f t="shared" si="2"/>
        <v>32007SNOW BUBBLES</v>
      </c>
      <c r="H112">
        <v>908</v>
      </c>
      <c r="I112">
        <v>808</v>
      </c>
      <c r="J112">
        <v>880</v>
      </c>
      <c r="K112">
        <f t="shared" si="3"/>
        <v>8.1818181818181818E-2</v>
      </c>
    </row>
    <row r="113" spans="1:11">
      <c r="A113">
        <v>2026</v>
      </c>
      <c r="B113">
        <v>32</v>
      </c>
      <c r="C113" t="s">
        <v>9</v>
      </c>
      <c r="D113" t="s">
        <v>10</v>
      </c>
      <c r="E113" t="s">
        <v>192</v>
      </c>
      <c r="F113" t="s">
        <v>17</v>
      </c>
      <c r="G113" t="str">
        <f t="shared" si="2"/>
        <v>32009HOT BUBBLES</v>
      </c>
      <c r="H113">
        <v>9253</v>
      </c>
      <c r="I113">
        <v>9253</v>
      </c>
      <c r="J113">
        <v>7560</v>
      </c>
      <c r="K113">
        <f t="shared" si="3"/>
        <v>-0.22394179894179894</v>
      </c>
    </row>
    <row r="114" spans="1:11">
      <c r="A114">
        <v>2026</v>
      </c>
      <c r="B114">
        <v>32</v>
      </c>
      <c r="C114" t="s">
        <v>9</v>
      </c>
      <c r="D114" t="s">
        <v>10</v>
      </c>
      <c r="E114" t="s">
        <v>193</v>
      </c>
      <c r="F114" t="s">
        <v>24</v>
      </c>
      <c r="G114" t="str">
        <f t="shared" si="2"/>
        <v>32014FRUITY BUBBLES</v>
      </c>
      <c r="H114">
        <v>3965</v>
      </c>
      <c r="I114">
        <v>3965</v>
      </c>
      <c r="J114">
        <v>3000</v>
      </c>
      <c r="K114">
        <f t="shared" si="3"/>
        <v>-0.32166666666666666</v>
      </c>
    </row>
    <row r="115" spans="1:11">
      <c r="A115">
        <v>2026</v>
      </c>
      <c r="B115">
        <v>32</v>
      </c>
      <c r="C115" t="s">
        <v>9</v>
      </c>
      <c r="D115" t="s">
        <v>10</v>
      </c>
      <c r="E115" t="s">
        <v>194</v>
      </c>
      <c r="F115" t="s">
        <v>26</v>
      </c>
      <c r="G115" t="str">
        <f t="shared" si="2"/>
        <v>32015FELLINI</v>
      </c>
      <c r="H115">
        <v>6414</v>
      </c>
      <c r="I115">
        <v>6414</v>
      </c>
      <c r="J115">
        <v>6280</v>
      </c>
      <c r="K115">
        <f t="shared" si="3"/>
        <v>-2.1337579617834394E-2</v>
      </c>
    </row>
    <row r="116" spans="1:11">
      <c r="A116">
        <v>2026</v>
      </c>
      <c r="B116">
        <v>32</v>
      </c>
      <c r="C116" t="s">
        <v>9</v>
      </c>
      <c r="D116" t="s">
        <v>10</v>
      </c>
      <c r="E116" t="s">
        <v>195</v>
      </c>
      <c r="F116" t="s">
        <v>28</v>
      </c>
      <c r="G116" t="str">
        <f t="shared" si="2"/>
        <v>32016GOOD PEACH</v>
      </c>
      <c r="H116">
        <v>3134</v>
      </c>
      <c r="I116">
        <v>2789</v>
      </c>
      <c r="J116">
        <v>3540</v>
      </c>
      <c r="K116">
        <f t="shared" si="3"/>
        <v>0.21214689265536724</v>
      </c>
    </row>
    <row r="117" spans="1:11">
      <c r="A117">
        <v>2026</v>
      </c>
      <c r="B117">
        <v>32</v>
      </c>
      <c r="C117" t="s">
        <v>9</v>
      </c>
      <c r="D117" t="s">
        <v>10</v>
      </c>
      <c r="E117" t="s">
        <v>195</v>
      </c>
      <c r="F117" t="s">
        <v>30</v>
      </c>
      <c r="G117" t="str">
        <f t="shared" si="2"/>
        <v>32016GOOD YELLOW</v>
      </c>
      <c r="H117">
        <v>3180</v>
      </c>
      <c r="I117">
        <v>2830</v>
      </c>
      <c r="J117">
        <v>4260</v>
      </c>
      <c r="K117">
        <f t="shared" si="3"/>
        <v>0.33568075117370894</v>
      </c>
    </row>
    <row r="118" spans="1:11">
      <c r="A118">
        <v>2026</v>
      </c>
      <c r="B118">
        <v>32</v>
      </c>
      <c r="C118" t="s">
        <v>9</v>
      </c>
      <c r="D118" t="s">
        <v>10</v>
      </c>
      <c r="E118" t="s">
        <v>196</v>
      </c>
      <c r="F118" t="s">
        <v>32</v>
      </c>
      <c r="G118" t="str">
        <f t="shared" si="2"/>
        <v>32017ORANGE STAR</v>
      </c>
      <c r="H118">
        <v>1453</v>
      </c>
      <c r="I118">
        <v>1351</v>
      </c>
      <c r="J118">
        <v>1175</v>
      </c>
      <c r="K118">
        <f t="shared" si="3"/>
        <v>-0.1497872340425532</v>
      </c>
    </row>
    <row r="119" spans="1:11">
      <c r="A119">
        <v>2026</v>
      </c>
      <c r="B119">
        <v>32</v>
      </c>
      <c r="C119" t="s">
        <v>9</v>
      </c>
      <c r="D119" t="s">
        <v>10</v>
      </c>
      <c r="E119" t="s">
        <v>197</v>
      </c>
      <c r="F119" t="s">
        <v>34</v>
      </c>
      <c r="G119" t="str">
        <f t="shared" si="2"/>
        <v>32018COSMO</v>
      </c>
      <c r="H119">
        <v>6664</v>
      </c>
      <c r="I119">
        <v>6664</v>
      </c>
      <c r="J119">
        <v>3775</v>
      </c>
      <c r="K119">
        <f t="shared" si="3"/>
        <v>-0.7652980132450331</v>
      </c>
    </row>
    <row r="120" spans="1:11">
      <c r="A120">
        <v>2026</v>
      </c>
      <c r="B120">
        <v>32</v>
      </c>
      <c r="C120" t="s">
        <v>9</v>
      </c>
      <c r="D120" t="s">
        <v>10</v>
      </c>
      <c r="E120" t="s">
        <v>197</v>
      </c>
      <c r="F120" t="s">
        <v>36</v>
      </c>
      <c r="G120" t="str">
        <f t="shared" si="2"/>
        <v>32018RUBICON</v>
      </c>
      <c r="H120">
        <v>4551</v>
      </c>
      <c r="I120">
        <v>4050</v>
      </c>
      <c r="J120">
        <v>3630</v>
      </c>
      <c r="K120">
        <f t="shared" si="3"/>
        <v>-0.11570247933884298</v>
      </c>
    </row>
    <row r="121" spans="1:11">
      <c r="A121">
        <v>2026</v>
      </c>
      <c r="B121">
        <v>32</v>
      </c>
      <c r="C121" t="s">
        <v>9</v>
      </c>
      <c r="D121" t="s">
        <v>10</v>
      </c>
      <c r="E121" t="s">
        <v>198</v>
      </c>
      <c r="F121" t="s">
        <v>13</v>
      </c>
      <c r="G121" t="str">
        <f t="shared" si="2"/>
        <v>32019BELLINA</v>
      </c>
      <c r="H121">
        <v>1467</v>
      </c>
      <c r="I121">
        <v>1337</v>
      </c>
      <c r="J121">
        <v>2340</v>
      </c>
      <c r="K121">
        <f t="shared" si="3"/>
        <v>0.42863247863247861</v>
      </c>
    </row>
    <row r="122" spans="1:11">
      <c r="A122">
        <v>2026</v>
      </c>
      <c r="B122">
        <v>32</v>
      </c>
      <c r="C122" t="s">
        <v>9</v>
      </c>
      <c r="D122" t="s">
        <v>10</v>
      </c>
      <c r="E122" t="s">
        <v>199</v>
      </c>
      <c r="F122" t="s">
        <v>39</v>
      </c>
      <c r="G122" t="str">
        <f t="shared" si="2"/>
        <v>32020SUMMER DANCE</v>
      </c>
      <c r="H122">
        <v>3575</v>
      </c>
      <c r="I122">
        <v>3182</v>
      </c>
      <c r="J122">
        <v>3125</v>
      </c>
      <c r="K122">
        <f t="shared" si="3"/>
        <v>-1.8239999999999999E-2</v>
      </c>
    </row>
    <row r="123" spans="1:11">
      <c r="A123">
        <v>2026</v>
      </c>
      <c r="B123">
        <v>32</v>
      </c>
      <c r="C123" t="s">
        <v>9</v>
      </c>
      <c r="D123" t="s">
        <v>10</v>
      </c>
      <c r="E123" t="s">
        <v>200</v>
      </c>
      <c r="F123" t="s">
        <v>41</v>
      </c>
      <c r="G123" t="str">
        <f t="shared" si="2"/>
        <v>32021ELEGANT ROSEVER</v>
      </c>
      <c r="H123">
        <v>665</v>
      </c>
      <c r="I123">
        <v>591</v>
      </c>
      <c r="J123">
        <v>690</v>
      </c>
      <c r="K123">
        <f t="shared" si="3"/>
        <v>0.14347826086956522</v>
      </c>
    </row>
    <row r="124" spans="1:11">
      <c r="A124">
        <v>2026</v>
      </c>
      <c r="B124">
        <v>32</v>
      </c>
      <c r="C124" t="s">
        <v>9</v>
      </c>
      <c r="D124" t="s">
        <v>10</v>
      </c>
      <c r="E124" t="s">
        <v>200</v>
      </c>
      <c r="F124" t="s">
        <v>43</v>
      </c>
      <c r="G124" t="str">
        <f t="shared" si="2"/>
        <v>32021FLAME CLUB</v>
      </c>
      <c r="H124">
        <v>2118</v>
      </c>
      <c r="I124">
        <v>2118</v>
      </c>
      <c r="J124">
        <v>1650</v>
      </c>
      <c r="K124">
        <f t="shared" si="3"/>
        <v>-0.28363636363636363</v>
      </c>
    </row>
    <row r="125" spans="1:11">
      <c r="A125">
        <v>2026</v>
      </c>
      <c r="B125">
        <v>32</v>
      </c>
      <c r="C125" t="s">
        <v>9</v>
      </c>
      <c r="D125" t="s">
        <v>10</v>
      </c>
      <c r="E125" t="s">
        <v>200</v>
      </c>
      <c r="F125" t="s">
        <v>45</v>
      </c>
      <c r="G125" t="str">
        <f t="shared" si="2"/>
        <v>32021KELLY</v>
      </c>
      <c r="H125">
        <v>524</v>
      </c>
      <c r="I125">
        <v>466</v>
      </c>
      <c r="J125">
        <v>525</v>
      </c>
      <c r="K125">
        <f t="shared" si="3"/>
        <v>0.11238095238095239</v>
      </c>
    </row>
    <row r="126" spans="1:11">
      <c r="A126">
        <v>2026</v>
      </c>
      <c r="B126">
        <v>32</v>
      </c>
      <c r="C126" t="s">
        <v>9</v>
      </c>
      <c r="D126" t="s">
        <v>10</v>
      </c>
      <c r="E126" t="s">
        <v>200</v>
      </c>
      <c r="F126" t="s">
        <v>47</v>
      </c>
      <c r="G126" t="str">
        <f t="shared" si="2"/>
        <v>32021LEILA</v>
      </c>
      <c r="H126">
        <v>2167</v>
      </c>
      <c r="I126">
        <v>2167</v>
      </c>
      <c r="J126">
        <v>1475</v>
      </c>
      <c r="K126">
        <f t="shared" si="3"/>
        <v>-0.46915254237288134</v>
      </c>
    </row>
    <row r="127" spans="1:11">
      <c r="A127">
        <v>2026</v>
      </c>
      <c r="B127">
        <v>32</v>
      </c>
      <c r="C127" t="s">
        <v>9</v>
      </c>
      <c r="D127" t="s">
        <v>10</v>
      </c>
      <c r="E127" t="s">
        <v>200</v>
      </c>
      <c r="F127" t="s">
        <v>21</v>
      </c>
      <c r="G127" t="str">
        <f t="shared" si="2"/>
        <v>32021SNOW BUBBLES</v>
      </c>
      <c r="H127">
        <v>3517</v>
      </c>
      <c r="I127">
        <v>3517</v>
      </c>
      <c r="J127">
        <v>3520</v>
      </c>
      <c r="K127">
        <f t="shared" si="3"/>
        <v>8.5227272727272723E-4</v>
      </c>
    </row>
    <row r="128" spans="1:11">
      <c r="A128">
        <v>2026</v>
      </c>
      <c r="B128">
        <v>32</v>
      </c>
      <c r="C128" t="s">
        <v>9</v>
      </c>
      <c r="D128" t="s">
        <v>10</v>
      </c>
      <c r="E128" t="s">
        <v>201</v>
      </c>
      <c r="F128" t="s">
        <v>24</v>
      </c>
      <c r="G128" t="str">
        <f t="shared" si="2"/>
        <v>32022FRUITY BUBBLES</v>
      </c>
      <c r="H128">
        <v>5589</v>
      </c>
      <c r="I128">
        <v>5589</v>
      </c>
      <c r="J128">
        <v>4700</v>
      </c>
      <c r="K128">
        <f t="shared" si="3"/>
        <v>-0.18914893617021278</v>
      </c>
    </row>
    <row r="129" spans="1:11">
      <c r="A129">
        <v>2026</v>
      </c>
      <c r="B129">
        <v>32</v>
      </c>
      <c r="C129" t="s">
        <v>9</v>
      </c>
      <c r="D129" t="s">
        <v>10</v>
      </c>
      <c r="E129" t="s">
        <v>201</v>
      </c>
      <c r="F129" t="s">
        <v>28</v>
      </c>
      <c r="G129" t="str">
        <f t="shared" si="2"/>
        <v>32022GOOD PEACH</v>
      </c>
      <c r="H129">
        <v>2010</v>
      </c>
      <c r="I129">
        <v>1962</v>
      </c>
      <c r="J129">
        <v>2790</v>
      </c>
      <c r="K129">
        <f t="shared" si="3"/>
        <v>0.29677419354838708</v>
      </c>
    </row>
    <row r="130" spans="1:11">
      <c r="A130">
        <v>2026</v>
      </c>
      <c r="B130">
        <v>32</v>
      </c>
      <c r="C130" t="s">
        <v>9</v>
      </c>
      <c r="D130" t="s">
        <v>10</v>
      </c>
      <c r="E130" t="s">
        <v>201</v>
      </c>
      <c r="F130" t="s">
        <v>52</v>
      </c>
      <c r="G130" t="str">
        <f t="shared" si="2"/>
        <v>32022MIRABEL</v>
      </c>
      <c r="H130">
        <v>1542</v>
      </c>
      <c r="I130">
        <v>1425</v>
      </c>
      <c r="J130">
        <v>2280</v>
      </c>
      <c r="K130">
        <f t="shared" si="3"/>
        <v>0.375</v>
      </c>
    </row>
    <row r="131" spans="1:11">
      <c r="A131">
        <v>2026</v>
      </c>
      <c r="B131">
        <v>32</v>
      </c>
      <c r="C131" t="s">
        <v>9</v>
      </c>
      <c r="D131" t="s">
        <v>10</v>
      </c>
      <c r="E131" t="s">
        <v>202</v>
      </c>
      <c r="F131" t="s">
        <v>52</v>
      </c>
      <c r="G131" t="str">
        <f t="shared" ref="G131:G194" si="4">+B131&amp;E131&amp;F131</f>
        <v>32030MIRABEL</v>
      </c>
      <c r="H131">
        <v>3850</v>
      </c>
      <c r="I131">
        <v>3850</v>
      </c>
      <c r="J131">
        <v>5660</v>
      </c>
      <c r="K131">
        <f t="shared" ref="K131:K194" si="5">+(J131-I131)/J131</f>
        <v>0.31978798586572438</v>
      </c>
    </row>
    <row r="132" spans="1:11">
      <c r="A132">
        <v>2026</v>
      </c>
      <c r="B132">
        <v>32</v>
      </c>
      <c r="C132" t="s">
        <v>9</v>
      </c>
      <c r="D132" t="s">
        <v>10</v>
      </c>
      <c r="E132" t="s">
        <v>202</v>
      </c>
      <c r="F132" t="s">
        <v>11</v>
      </c>
      <c r="G132" t="str">
        <f t="shared" si="4"/>
        <v>32030SOMERSET</v>
      </c>
      <c r="H132">
        <v>2871</v>
      </c>
      <c r="I132">
        <v>2871</v>
      </c>
      <c r="J132">
        <v>3215</v>
      </c>
      <c r="K132">
        <f t="shared" si="5"/>
        <v>0.10699844479004665</v>
      </c>
    </row>
    <row r="133" spans="1:11">
      <c r="A133">
        <v>2026</v>
      </c>
      <c r="B133">
        <v>32</v>
      </c>
      <c r="C133" t="s">
        <v>9</v>
      </c>
      <c r="D133" t="s">
        <v>10</v>
      </c>
      <c r="E133" t="s">
        <v>203</v>
      </c>
      <c r="F133" t="s">
        <v>56</v>
      </c>
      <c r="G133" t="str">
        <f t="shared" si="4"/>
        <v>3203182989</v>
      </c>
      <c r="H133">
        <v>1473</v>
      </c>
      <c r="I133">
        <v>1311</v>
      </c>
      <c r="J133">
        <v>740</v>
      </c>
      <c r="K133">
        <f t="shared" si="5"/>
        <v>-0.77162162162162162</v>
      </c>
    </row>
    <row r="134" spans="1:11">
      <c r="A134">
        <v>2026</v>
      </c>
      <c r="B134">
        <v>32</v>
      </c>
      <c r="C134" t="s">
        <v>9</v>
      </c>
      <c r="D134" t="s">
        <v>10</v>
      </c>
      <c r="E134" t="s">
        <v>203</v>
      </c>
      <c r="F134" t="s">
        <v>36</v>
      </c>
      <c r="G134" t="str">
        <f t="shared" si="4"/>
        <v>32031RUBICON</v>
      </c>
      <c r="H134">
        <v>2041</v>
      </c>
      <c r="I134">
        <v>1816</v>
      </c>
      <c r="J134">
        <v>1800</v>
      </c>
      <c r="K134">
        <f t="shared" si="5"/>
        <v>-8.8888888888888889E-3</v>
      </c>
    </row>
    <row r="135" spans="1:11">
      <c r="A135">
        <v>2026</v>
      </c>
      <c r="B135">
        <v>32</v>
      </c>
      <c r="C135" t="s">
        <v>9</v>
      </c>
      <c r="D135" t="s">
        <v>10</v>
      </c>
      <c r="E135" t="s">
        <v>203</v>
      </c>
      <c r="F135" t="s">
        <v>11</v>
      </c>
      <c r="G135" t="str">
        <f t="shared" si="4"/>
        <v>32031SOMERSET</v>
      </c>
      <c r="H135">
        <v>1628</v>
      </c>
      <c r="I135">
        <v>1628</v>
      </c>
      <c r="J135">
        <v>1520</v>
      </c>
      <c r="K135">
        <f t="shared" si="5"/>
        <v>-7.1052631578947367E-2</v>
      </c>
    </row>
    <row r="136" spans="1:11">
      <c r="A136">
        <v>2026</v>
      </c>
      <c r="B136">
        <v>32</v>
      </c>
      <c r="C136" t="s">
        <v>9</v>
      </c>
      <c r="D136" t="s">
        <v>10</v>
      </c>
      <c r="E136" t="s">
        <v>203</v>
      </c>
      <c r="F136" t="s">
        <v>60</v>
      </c>
      <c r="G136" t="str">
        <f t="shared" si="4"/>
        <v>32031VELVET BLOSSOMS</v>
      </c>
      <c r="H136">
        <v>691</v>
      </c>
      <c r="I136">
        <v>615</v>
      </c>
      <c r="J136">
        <v>740</v>
      </c>
      <c r="K136">
        <f t="shared" si="5"/>
        <v>0.16891891891891891</v>
      </c>
    </row>
    <row r="137" spans="1:11">
      <c r="A137">
        <v>2026</v>
      </c>
      <c r="B137">
        <v>32</v>
      </c>
      <c r="C137" t="s">
        <v>9</v>
      </c>
      <c r="D137" t="s">
        <v>10</v>
      </c>
      <c r="E137" t="s">
        <v>204</v>
      </c>
      <c r="F137" t="s">
        <v>15</v>
      </c>
      <c r="G137" t="str">
        <f t="shared" si="4"/>
        <v>32032ELBA</v>
      </c>
      <c r="H137">
        <v>3075</v>
      </c>
      <c r="I137">
        <v>3075</v>
      </c>
      <c r="J137">
        <v>2130</v>
      </c>
      <c r="K137">
        <f t="shared" si="5"/>
        <v>-0.44366197183098594</v>
      </c>
    </row>
    <row r="138" spans="1:11">
      <c r="A138">
        <v>2026</v>
      </c>
      <c r="B138">
        <v>32</v>
      </c>
      <c r="C138" t="s">
        <v>9</v>
      </c>
      <c r="D138" t="s">
        <v>10</v>
      </c>
      <c r="E138" t="s">
        <v>204</v>
      </c>
      <c r="F138" t="s">
        <v>52</v>
      </c>
      <c r="G138" t="str">
        <f t="shared" si="4"/>
        <v>32032MIRABEL</v>
      </c>
      <c r="H138">
        <v>1748</v>
      </c>
      <c r="I138">
        <v>1712</v>
      </c>
      <c r="J138">
        <v>2040</v>
      </c>
      <c r="K138">
        <f t="shared" si="5"/>
        <v>0.16078431372549021</v>
      </c>
    </row>
    <row r="139" spans="1:11">
      <c r="A139">
        <v>2026</v>
      </c>
      <c r="B139">
        <v>32</v>
      </c>
      <c r="C139" t="s">
        <v>9</v>
      </c>
      <c r="D139" t="s">
        <v>10</v>
      </c>
      <c r="E139" t="s">
        <v>205</v>
      </c>
      <c r="F139" t="s">
        <v>64</v>
      </c>
      <c r="G139" t="str">
        <f t="shared" si="4"/>
        <v>32033CREAMY FOLIES</v>
      </c>
      <c r="H139">
        <v>1361</v>
      </c>
      <c r="I139">
        <v>1211</v>
      </c>
      <c r="J139">
        <v>1350</v>
      </c>
      <c r="K139">
        <f t="shared" si="5"/>
        <v>0.10296296296296296</v>
      </c>
    </row>
    <row r="140" spans="1:11">
      <c r="A140">
        <v>2026</v>
      </c>
      <c r="B140">
        <v>32</v>
      </c>
      <c r="C140" t="s">
        <v>9</v>
      </c>
      <c r="D140" t="s">
        <v>10</v>
      </c>
      <c r="E140" t="s">
        <v>205</v>
      </c>
      <c r="F140" t="s">
        <v>17</v>
      </c>
      <c r="G140" t="str">
        <f t="shared" si="4"/>
        <v>32033HOT BUBBLES</v>
      </c>
      <c r="H140">
        <v>2709</v>
      </c>
      <c r="I140">
        <v>2709</v>
      </c>
      <c r="J140">
        <v>5860</v>
      </c>
      <c r="K140">
        <f t="shared" si="5"/>
        <v>0.53771331058020477</v>
      </c>
    </row>
    <row r="141" spans="1:11">
      <c r="A141">
        <v>2026</v>
      </c>
      <c r="B141">
        <v>32</v>
      </c>
      <c r="C141" t="s">
        <v>67</v>
      </c>
      <c r="D141" t="s">
        <v>10</v>
      </c>
      <c r="E141" t="s">
        <v>206</v>
      </c>
      <c r="F141" t="s">
        <v>68</v>
      </c>
      <c r="G141" t="str">
        <f t="shared" si="4"/>
        <v>32001BELIEVE IN PINK</v>
      </c>
      <c r="H141">
        <v>1331</v>
      </c>
      <c r="I141">
        <v>1185</v>
      </c>
      <c r="J141">
        <v>1290</v>
      </c>
      <c r="K141">
        <f t="shared" si="5"/>
        <v>8.1395348837209308E-2</v>
      </c>
    </row>
    <row r="142" spans="1:11">
      <c r="A142">
        <v>2026</v>
      </c>
      <c r="B142">
        <v>32</v>
      </c>
      <c r="C142" t="s">
        <v>67</v>
      </c>
      <c r="D142" t="s">
        <v>10</v>
      </c>
      <c r="E142" t="s">
        <v>206</v>
      </c>
      <c r="F142" t="s">
        <v>70</v>
      </c>
      <c r="G142" t="str">
        <f t="shared" si="4"/>
        <v>32001EXPLORER</v>
      </c>
      <c r="H142">
        <v>3819</v>
      </c>
      <c r="I142">
        <v>3398</v>
      </c>
      <c r="J142">
        <v>6400</v>
      </c>
      <c r="K142">
        <f t="shared" si="5"/>
        <v>0.46906249999999999</v>
      </c>
    </row>
    <row r="143" spans="1:11">
      <c r="A143">
        <v>2026</v>
      </c>
      <c r="B143">
        <v>32</v>
      </c>
      <c r="C143" t="s">
        <v>67</v>
      </c>
      <c r="D143" t="s">
        <v>10</v>
      </c>
      <c r="E143" t="s">
        <v>206</v>
      </c>
      <c r="F143" t="s">
        <v>72</v>
      </c>
      <c r="G143" t="str">
        <f t="shared" si="4"/>
        <v>32001GRACE KELLY</v>
      </c>
      <c r="H143">
        <v>1459</v>
      </c>
      <c r="I143">
        <v>1298</v>
      </c>
      <c r="J143">
        <v>1860</v>
      </c>
      <c r="K143">
        <f t="shared" si="5"/>
        <v>0.30215053763440858</v>
      </c>
    </row>
    <row r="144" spans="1:11">
      <c r="A144">
        <v>2026</v>
      </c>
      <c r="B144">
        <v>32</v>
      </c>
      <c r="C144" t="s">
        <v>67</v>
      </c>
      <c r="D144" t="s">
        <v>10</v>
      </c>
      <c r="E144" t="s">
        <v>206</v>
      </c>
      <c r="F144" t="s">
        <v>74</v>
      </c>
      <c r="G144" t="str">
        <f t="shared" si="4"/>
        <v>32001LIGHT HOUSE</v>
      </c>
      <c r="H144">
        <v>1277</v>
      </c>
      <c r="I144">
        <v>1136</v>
      </c>
      <c r="J144">
        <v>2070</v>
      </c>
      <c r="K144">
        <f t="shared" si="5"/>
        <v>0.45120772946859905</v>
      </c>
    </row>
    <row r="145" spans="1:11">
      <c r="A145">
        <v>2026</v>
      </c>
      <c r="B145">
        <v>32</v>
      </c>
      <c r="C145" t="s">
        <v>67</v>
      </c>
      <c r="D145" t="s">
        <v>10</v>
      </c>
      <c r="E145" t="s">
        <v>206</v>
      </c>
      <c r="F145" t="s">
        <v>76</v>
      </c>
      <c r="G145" t="str">
        <f t="shared" si="4"/>
        <v>32001LUMIA</v>
      </c>
      <c r="H145">
        <v>2220</v>
      </c>
      <c r="I145">
        <v>2220</v>
      </c>
      <c r="J145">
        <v>2160</v>
      </c>
      <c r="K145">
        <f t="shared" si="5"/>
        <v>-2.7777777777777776E-2</v>
      </c>
    </row>
    <row r="146" spans="1:11">
      <c r="A146">
        <v>2026</v>
      </c>
      <c r="B146">
        <v>32</v>
      </c>
      <c r="C146" t="s">
        <v>67</v>
      </c>
      <c r="D146" t="s">
        <v>10</v>
      </c>
      <c r="E146" t="s">
        <v>206</v>
      </c>
      <c r="F146" t="s">
        <v>78</v>
      </c>
      <c r="G146" t="str">
        <f t="shared" si="4"/>
        <v>32001MOMENTUM</v>
      </c>
      <c r="H146">
        <v>3949</v>
      </c>
      <c r="I146">
        <v>3949</v>
      </c>
      <c r="J146">
        <v>4300</v>
      </c>
      <c r="K146">
        <f t="shared" si="5"/>
        <v>8.1627906976744186E-2</v>
      </c>
    </row>
    <row r="147" spans="1:11">
      <c r="A147">
        <v>2026</v>
      </c>
      <c r="B147">
        <v>32</v>
      </c>
      <c r="C147" t="s">
        <v>67</v>
      </c>
      <c r="D147" t="s">
        <v>10</v>
      </c>
      <c r="E147" t="s">
        <v>188</v>
      </c>
      <c r="F147" t="s">
        <v>80</v>
      </c>
      <c r="G147" t="str">
        <f t="shared" si="4"/>
        <v>32002SUMMER ROMANCE</v>
      </c>
      <c r="H147">
        <v>1649</v>
      </c>
      <c r="I147">
        <v>1540</v>
      </c>
      <c r="J147">
        <v>1925</v>
      </c>
      <c r="K147">
        <f t="shared" si="5"/>
        <v>0.2</v>
      </c>
    </row>
    <row r="148" spans="1:11">
      <c r="A148">
        <v>2026</v>
      </c>
      <c r="B148">
        <v>32</v>
      </c>
      <c r="C148" t="s">
        <v>67</v>
      </c>
      <c r="D148" t="s">
        <v>10</v>
      </c>
      <c r="E148" t="s">
        <v>188</v>
      </c>
      <c r="F148" t="s">
        <v>82</v>
      </c>
      <c r="G148" t="str">
        <f t="shared" si="4"/>
        <v>32002SWEETNESS</v>
      </c>
      <c r="H148">
        <v>7062</v>
      </c>
      <c r="I148">
        <v>7062</v>
      </c>
      <c r="J148">
        <v>6030</v>
      </c>
      <c r="K148">
        <f t="shared" si="5"/>
        <v>-0.17114427860696518</v>
      </c>
    </row>
    <row r="149" spans="1:11">
      <c r="A149">
        <v>2026</v>
      </c>
      <c r="B149">
        <v>32</v>
      </c>
      <c r="C149" t="s">
        <v>67</v>
      </c>
      <c r="D149" t="s">
        <v>10</v>
      </c>
      <c r="E149" t="s">
        <v>207</v>
      </c>
      <c r="F149" t="s">
        <v>84</v>
      </c>
      <c r="G149" t="str">
        <f t="shared" si="4"/>
        <v>32003CABARET</v>
      </c>
      <c r="H149">
        <v>4535</v>
      </c>
      <c r="I149">
        <v>4535</v>
      </c>
      <c r="J149">
        <v>3660</v>
      </c>
      <c r="K149">
        <f t="shared" si="5"/>
        <v>-0.23907103825136611</v>
      </c>
    </row>
    <row r="150" spans="1:11">
      <c r="A150">
        <v>2026</v>
      </c>
      <c r="B150">
        <v>32</v>
      </c>
      <c r="C150" t="s">
        <v>67</v>
      </c>
      <c r="D150" t="s">
        <v>10</v>
      </c>
      <c r="E150" t="s">
        <v>207</v>
      </c>
      <c r="F150" t="s">
        <v>86</v>
      </c>
      <c r="G150" t="str">
        <f t="shared" si="4"/>
        <v>32003DEEP PURPLE</v>
      </c>
      <c r="H150">
        <v>7919</v>
      </c>
      <c r="I150">
        <v>7919</v>
      </c>
      <c r="J150">
        <v>8340</v>
      </c>
      <c r="K150">
        <f t="shared" si="5"/>
        <v>5.0479616306954439E-2</v>
      </c>
    </row>
    <row r="151" spans="1:11">
      <c r="A151">
        <v>2026</v>
      </c>
      <c r="B151">
        <v>32</v>
      </c>
      <c r="C151" t="s">
        <v>67</v>
      </c>
      <c r="D151" t="s">
        <v>10</v>
      </c>
      <c r="E151" t="s">
        <v>207</v>
      </c>
      <c r="F151" t="s">
        <v>70</v>
      </c>
      <c r="G151" t="str">
        <f t="shared" si="4"/>
        <v>32003EXPLORER</v>
      </c>
      <c r="H151">
        <v>1834</v>
      </c>
      <c r="I151">
        <v>1731</v>
      </c>
      <c r="J151">
        <v>2025</v>
      </c>
      <c r="K151">
        <f t="shared" si="5"/>
        <v>0.14518518518518519</v>
      </c>
    </row>
    <row r="152" spans="1:11">
      <c r="A152">
        <v>2026</v>
      </c>
      <c r="B152">
        <v>32</v>
      </c>
      <c r="C152" t="s">
        <v>67</v>
      </c>
      <c r="D152" t="s">
        <v>10</v>
      </c>
      <c r="E152" t="s">
        <v>207</v>
      </c>
      <c r="F152" t="s">
        <v>89</v>
      </c>
      <c r="G152" t="str">
        <f t="shared" si="4"/>
        <v>32003JOCKER</v>
      </c>
      <c r="H152">
        <v>856</v>
      </c>
      <c r="I152">
        <v>762</v>
      </c>
      <c r="J152">
        <v>850</v>
      </c>
      <c r="K152">
        <f t="shared" si="5"/>
        <v>0.10352941176470588</v>
      </c>
    </row>
    <row r="153" spans="1:11">
      <c r="A153">
        <v>2026</v>
      </c>
      <c r="B153">
        <v>32</v>
      </c>
      <c r="C153" t="s">
        <v>67</v>
      </c>
      <c r="D153" t="s">
        <v>10</v>
      </c>
      <c r="E153" t="s">
        <v>207</v>
      </c>
      <c r="F153" t="s">
        <v>91</v>
      </c>
      <c r="G153" t="str">
        <f t="shared" si="4"/>
        <v>32003QUICKSAND</v>
      </c>
      <c r="H153">
        <v>1656</v>
      </c>
      <c r="I153">
        <v>1656</v>
      </c>
      <c r="J153">
        <v>1950</v>
      </c>
      <c r="K153">
        <f t="shared" si="5"/>
        <v>0.15076923076923077</v>
      </c>
    </row>
    <row r="154" spans="1:11">
      <c r="A154">
        <v>2026</v>
      </c>
      <c r="B154">
        <v>32</v>
      </c>
      <c r="C154" t="s">
        <v>67</v>
      </c>
      <c r="D154" t="s">
        <v>10</v>
      </c>
      <c r="E154" t="s">
        <v>189</v>
      </c>
      <c r="F154" t="s">
        <v>93</v>
      </c>
      <c r="G154" t="str">
        <f t="shared" si="4"/>
        <v>32004COTOPAXI</v>
      </c>
      <c r="H154">
        <v>1237</v>
      </c>
      <c r="I154">
        <v>1101</v>
      </c>
      <c r="J154">
        <v>1260</v>
      </c>
      <c r="K154">
        <f t="shared" si="5"/>
        <v>0.12619047619047619</v>
      </c>
    </row>
    <row r="155" spans="1:11">
      <c r="A155">
        <v>2026</v>
      </c>
      <c r="B155">
        <v>32</v>
      </c>
      <c r="C155" t="s">
        <v>67</v>
      </c>
      <c r="D155" t="s">
        <v>10</v>
      </c>
      <c r="E155" t="s">
        <v>189</v>
      </c>
      <c r="F155" t="s">
        <v>86</v>
      </c>
      <c r="G155" t="str">
        <f t="shared" si="4"/>
        <v>32004DEEP PURPLE</v>
      </c>
      <c r="H155">
        <v>10491</v>
      </c>
      <c r="I155">
        <v>10491</v>
      </c>
      <c r="J155">
        <v>6930</v>
      </c>
      <c r="K155">
        <f t="shared" si="5"/>
        <v>-0.51385281385281389</v>
      </c>
    </row>
    <row r="156" spans="1:11">
      <c r="A156">
        <v>2026</v>
      </c>
      <c r="B156">
        <v>32</v>
      </c>
      <c r="C156" t="s">
        <v>67</v>
      </c>
      <c r="D156" t="s">
        <v>10</v>
      </c>
      <c r="E156" t="s">
        <v>189</v>
      </c>
      <c r="F156" t="s">
        <v>96</v>
      </c>
      <c r="G156" t="str">
        <f t="shared" si="4"/>
        <v>32004HOT EXPLORER</v>
      </c>
      <c r="H156">
        <v>2168</v>
      </c>
      <c r="I156">
        <v>2168</v>
      </c>
      <c r="J156">
        <v>2300</v>
      </c>
      <c r="K156">
        <f t="shared" si="5"/>
        <v>5.7391304347826085E-2</v>
      </c>
    </row>
    <row r="157" spans="1:11">
      <c r="A157">
        <v>2026</v>
      </c>
      <c r="B157">
        <v>32</v>
      </c>
      <c r="C157" t="s">
        <v>67</v>
      </c>
      <c r="D157" t="s">
        <v>10</v>
      </c>
      <c r="E157" t="s">
        <v>189</v>
      </c>
      <c r="F157" t="s">
        <v>98</v>
      </c>
      <c r="G157" t="str">
        <f t="shared" si="4"/>
        <v>32004HOT MERENGUE</v>
      </c>
      <c r="H157">
        <v>1977</v>
      </c>
      <c r="I157">
        <v>1759</v>
      </c>
      <c r="J157">
        <v>3120</v>
      </c>
      <c r="K157">
        <f t="shared" si="5"/>
        <v>0.43621794871794872</v>
      </c>
    </row>
    <row r="158" spans="1:11">
      <c r="A158">
        <v>2026</v>
      </c>
      <c r="B158">
        <v>32</v>
      </c>
      <c r="C158" t="s">
        <v>67</v>
      </c>
      <c r="D158" t="s">
        <v>10</v>
      </c>
      <c r="E158" t="s">
        <v>189</v>
      </c>
      <c r="F158" t="s">
        <v>82</v>
      </c>
      <c r="G158" t="str">
        <f t="shared" si="4"/>
        <v>32004SWEETNESS</v>
      </c>
      <c r="H158">
        <v>571</v>
      </c>
      <c r="I158">
        <v>508</v>
      </c>
      <c r="J158">
        <v>360</v>
      </c>
      <c r="K158">
        <f t="shared" si="5"/>
        <v>-0.41111111111111109</v>
      </c>
    </row>
    <row r="159" spans="1:11">
      <c r="A159">
        <v>2026</v>
      </c>
      <c r="B159">
        <v>32</v>
      </c>
      <c r="C159" t="s">
        <v>67</v>
      </c>
      <c r="D159" t="s">
        <v>10</v>
      </c>
      <c r="E159" t="s">
        <v>190</v>
      </c>
      <c r="F159" t="s">
        <v>70</v>
      </c>
      <c r="G159" t="str">
        <f t="shared" si="4"/>
        <v>32005EXPLORER</v>
      </c>
      <c r="H159">
        <v>798</v>
      </c>
      <c r="I159">
        <v>710</v>
      </c>
      <c r="J159">
        <v>2200</v>
      </c>
      <c r="K159">
        <f t="shared" si="5"/>
        <v>0.67727272727272725</v>
      </c>
    </row>
    <row r="160" spans="1:11">
      <c r="A160">
        <v>2026</v>
      </c>
      <c r="B160">
        <v>32</v>
      </c>
      <c r="C160" t="s">
        <v>67</v>
      </c>
      <c r="D160" t="s">
        <v>10</v>
      </c>
      <c r="E160" t="s">
        <v>190</v>
      </c>
      <c r="F160" t="s">
        <v>102</v>
      </c>
      <c r="G160" t="str">
        <f t="shared" si="4"/>
        <v>32005GOLDFINCH</v>
      </c>
      <c r="H160">
        <v>816</v>
      </c>
      <c r="I160">
        <v>726</v>
      </c>
      <c r="J160">
        <v>600</v>
      </c>
      <c r="K160">
        <f t="shared" si="5"/>
        <v>-0.21</v>
      </c>
    </row>
    <row r="161" spans="1:11">
      <c r="A161">
        <v>2026</v>
      </c>
      <c r="B161">
        <v>32</v>
      </c>
      <c r="C161" t="s">
        <v>67</v>
      </c>
      <c r="D161" t="s">
        <v>10</v>
      </c>
      <c r="E161" t="s">
        <v>190</v>
      </c>
      <c r="F161" t="s">
        <v>89</v>
      </c>
      <c r="G161" t="str">
        <f t="shared" si="4"/>
        <v>32005JOCKER</v>
      </c>
      <c r="H161">
        <v>1761</v>
      </c>
      <c r="I161">
        <v>1761</v>
      </c>
      <c r="J161">
        <v>1975</v>
      </c>
      <c r="K161">
        <f t="shared" si="5"/>
        <v>0.10835443037974683</v>
      </c>
    </row>
    <row r="162" spans="1:11">
      <c r="A162">
        <v>2026</v>
      </c>
      <c r="B162">
        <v>32</v>
      </c>
      <c r="C162" t="s">
        <v>67</v>
      </c>
      <c r="D162" t="s">
        <v>10</v>
      </c>
      <c r="E162" t="s">
        <v>190</v>
      </c>
      <c r="F162" t="s">
        <v>105</v>
      </c>
      <c r="G162" t="str">
        <f t="shared" si="4"/>
        <v>32005VENDELA</v>
      </c>
      <c r="H162">
        <v>1824</v>
      </c>
      <c r="I162">
        <v>1740</v>
      </c>
      <c r="J162">
        <v>1890</v>
      </c>
      <c r="K162">
        <f t="shared" si="5"/>
        <v>7.9365079365079361E-2</v>
      </c>
    </row>
    <row r="163" spans="1:11">
      <c r="A163">
        <v>2026</v>
      </c>
      <c r="B163">
        <v>32</v>
      </c>
      <c r="C163" t="s">
        <v>67</v>
      </c>
      <c r="D163" t="s">
        <v>10</v>
      </c>
      <c r="E163" t="s">
        <v>208</v>
      </c>
      <c r="F163" t="s">
        <v>107</v>
      </c>
      <c r="G163" t="str">
        <f t="shared" si="4"/>
        <v>32006ATOMIC</v>
      </c>
      <c r="H163">
        <v>853</v>
      </c>
      <c r="I163">
        <v>759</v>
      </c>
      <c r="J163">
        <v>1225</v>
      </c>
      <c r="K163">
        <f t="shared" si="5"/>
        <v>0.38040816326530613</v>
      </c>
    </row>
    <row r="164" spans="1:11">
      <c r="A164">
        <v>2026</v>
      </c>
      <c r="B164">
        <v>32</v>
      </c>
      <c r="C164" t="s">
        <v>67</v>
      </c>
      <c r="D164" t="s">
        <v>10</v>
      </c>
      <c r="E164" t="s">
        <v>208</v>
      </c>
      <c r="F164" t="s">
        <v>70</v>
      </c>
      <c r="G164" t="str">
        <f t="shared" si="4"/>
        <v>32006EXPLORER</v>
      </c>
      <c r="H164">
        <v>4716</v>
      </c>
      <c r="I164">
        <v>4716</v>
      </c>
      <c r="J164">
        <v>9350</v>
      </c>
      <c r="K164">
        <f t="shared" si="5"/>
        <v>0.49561497326203208</v>
      </c>
    </row>
    <row r="165" spans="1:11">
      <c r="A165">
        <v>2026</v>
      </c>
      <c r="B165">
        <v>32</v>
      </c>
      <c r="C165" t="s">
        <v>67</v>
      </c>
      <c r="D165" t="s">
        <v>10</v>
      </c>
      <c r="E165" t="s">
        <v>208</v>
      </c>
      <c r="F165" t="s">
        <v>110</v>
      </c>
      <c r="G165" t="str">
        <f t="shared" si="4"/>
        <v>32006MONDIAL</v>
      </c>
      <c r="H165">
        <v>5080</v>
      </c>
      <c r="I165">
        <v>5080</v>
      </c>
      <c r="J165">
        <v>6500</v>
      </c>
      <c r="K165">
        <f t="shared" si="5"/>
        <v>0.21846153846153846</v>
      </c>
    </row>
    <row r="166" spans="1:11">
      <c r="A166">
        <v>2026</v>
      </c>
      <c r="B166">
        <v>32</v>
      </c>
      <c r="C166" t="s">
        <v>67</v>
      </c>
      <c r="D166" t="s">
        <v>10</v>
      </c>
      <c r="E166" t="s">
        <v>191</v>
      </c>
      <c r="F166" t="s">
        <v>93</v>
      </c>
      <c r="G166" t="str">
        <f t="shared" si="4"/>
        <v>32007COTOPAXI</v>
      </c>
      <c r="H166">
        <v>6267</v>
      </c>
      <c r="I166">
        <v>5578</v>
      </c>
      <c r="J166">
        <v>7890</v>
      </c>
      <c r="K166">
        <f t="shared" si="5"/>
        <v>0.29302915082382763</v>
      </c>
    </row>
    <row r="167" spans="1:11">
      <c r="A167">
        <v>2026</v>
      </c>
      <c r="B167">
        <v>32</v>
      </c>
      <c r="C167" t="s">
        <v>67</v>
      </c>
      <c r="D167" t="s">
        <v>10</v>
      </c>
      <c r="E167" t="s">
        <v>191</v>
      </c>
      <c r="F167" t="s">
        <v>113</v>
      </c>
      <c r="G167" t="str">
        <f t="shared" si="4"/>
        <v>32007REDIANT</v>
      </c>
      <c r="H167">
        <v>1517</v>
      </c>
      <c r="I167">
        <v>1350</v>
      </c>
      <c r="J167">
        <v>2100</v>
      </c>
      <c r="K167">
        <f t="shared" si="5"/>
        <v>0.35714285714285715</v>
      </c>
    </row>
    <row r="168" spans="1:11">
      <c r="A168">
        <v>2026</v>
      </c>
      <c r="B168">
        <v>32</v>
      </c>
      <c r="C168" t="s">
        <v>67</v>
      </c>
      <c r="D168" t="s">
        <v>10</v>
      </c>
      <c r="E168" t="s">
        <v>191</v>
      </c>
      <c r="F168" t="s">
        <v>105</v>
      </c>
      <c r="G168" t="str">
        <f t="shared" si="4"/>
        <v>32007VENDELA</v>
      </c>
      <c r="H168">
        <v>16394</v>
      </c>
      <c r="I168">
        <v>16394</v>
      </c>
      <c r="J168">
        <v>10110</v>
      </c>
      <c r="K168">
        <f t="shared" si="5"/>
        <v>-0.62156280909990114</v>
      </c>
    </row>
    <row r="169" spans="1:11">
      <c r="A169">
        <v>2026</v>
      </c>
      <c r="B169">
        <v>32</v>
      </c>
      <c r="C169" t="s">
        <v>67</v>
      </c>
      <c r="D169" t="s">
        <v>10</v>
      </c>
      <c r="E169" t="s">
        <v>209</v>
      </c>
      <c r="F169" t="s">
        <v>86</v>
      </c>
      <c r="G169" t="str">
        <f t="shared" si="4"/>
        <v>32008DEEP PURPLE</v>
      </c>
      <c r="H169">
        <v>3958</v>
      </c>
      <c r="I169">
        <v>3958</v>
      </c>
      <c r="J169">
        <v>3450</v>
      </c>
      <c r="K169">
        <f t="shared" si="5"/>
        <v>-0.14724637681159419</v>
      </c>
    </row>
    <row r="170" spans="1:11">
      <c r="A170">
        <v>2026</v>
      </c>
      <c r="B170">
        <v>32</v>
      </c>
      <c r="C170" t="s">
        <v>67</v>
      </c>
      <c r="D170" t="s">
        <v>10</v>
      </c>
      <c r="E170" t="s">
        <v>209</v>
      </c>
      <c r="F170" t="s">
        <v>117</v>
      </c>
      <c r="G170" t="str">
        <f t="shared" si="4"/>
        <v>32008FREEDOM</v>
      </c>
      <c r="H170">
        <v>2764</v>
      </c>
      <c r="I170">
        <v>2764</v>
      </c>
      <c r="J170">
        <v>3390</v>
      </c>
      <c r="K170">
        <f t="shared" si="5"/>
        <v>0.18466076696165193</v>
      </c>
    </row>
    <row r="171" spans="1:11">
      <c r="A171">
        <v>2026</v>
      </c>
      <c r="B171">
        <v>32</v>
      </c>
      <c r="C171" t="s">
        <v>67</v>
      </c>
      <c r="D171" t="s">
        <v>10</v>
      </c>
      <c r="E171" t="s">
        <v>209</v>
      </c>
      <c r="F171" t="s">
        <v>89</v>
      </c>
      <c r="G171" t="str">
        <f t="shared" si="4"/>
        <v>32008JOCKER</v>
      </c>
      <c r="H171">
        <v>3967</v>
      </c>
      <c r="I171">
        <v>3967</v>
      </c>
      <c r="J171">
        <v>4425</v>
      </c>
      <c r="K171">
        <f t="shared" si="5"/>
        <v>0.10350282485875706</v>
      </c>
    </row>
    <row r="172" spans="1:11">
      <c r="A172">
        <v>2026</v>
      </c>
      <c r="B172">
        <v>32</v>
      </c>
      <c r="C172" t="s">
        <v>67</v>
      </c>
      <c r="D172" t="s">
        <v>10</v>
      </c>
      <c r="E172" t="s">
        <v>210</v>
      </c>
      <c r="F172" t="s">
        <v>120</v>
      </c>
      <c r="G172" t="str">
        <f t="shared" si="4"/>
        <v>32010COOLDOWN</v>
      </c>
      <c r="H172">
        <v>2409</v>
      </c>
      <c r="I172">
        <v>2409</v>
      </c>
      <c r="J172">
        <v>3575</v>
      </c>
      <c r="K172">
        <f t="shared" si="5"/>
        <v>0.32615384615384613</v>
      </c>
    </row>
    <row r="173" spans="1:11">
      <c r="A173">
        <v>2026</v>
      </c>
      <c r="B173">
        <v>32</v>
      </c>
      <c r="C173" t="s">
        <v>67</v>
      </c>
      <c r="D173" t="s">
        <v>10</v>
      </c>
      <c r="E173" t="s">
        <v>210</v>
      </c>
      <c r="F173" t="s">
        <v>122</v>
      </c>
      <c r="G173" t="str">
        <f t="shared" si="4"/>
        <v>32010VIOLET HILL</v>
      </c>
      <c r="H173">
        <v>3122</v>
      </c>
      <c r="I173">
        <v>3122</v>
      </c>
      <c r="J173">
        <v>6390</v>
      </c>
      <c r="K173">
        <f t="shared" si="5"/>
        <v>0.51142410015649453</v>
      </c>
    </row>
    <row r="174" spans="1:11">
      <c r="A174">
        <v>2026</v>
      </c>
      <c r="B174">
        <v>32</v>
      </c>
      <c r="C174" t="s">
        <v>67</v>
      </c>
      <c r="D174" t="s">
        <v>10</v>
      </c>
      <c r="E174" t="s">
        <v>211</v>
      </c>
      <c r="F174" t="s">
        <v>124</v>
      </c>
      <c r="G174" t="str">
        <f t="shared" si="4"/>
        <v>32011BRIGHTON</v>
      </c>
      <c r="H174">
        <v>4070</v>
      </c>
      <c r="I174">
        <v>4070</v>
      </c>
      <c r="J174">
        <v>3550</v>
      </c>
      <c r="K174">
        <f t="shared" si="5"/>
        <v>-0.14647887323943662</v>
      </c>
    </row>
    <row r="175" spans="1:11">
      <c r="A175">
        <v>2026</v>
      </c>
      <c r="B175">
        <v>32</v>
      </c>
      <c r="C175" t="s">
        <v>67</v>
      </c>
      <c r="D175" t="s">
        <v>10</v>
      </c>
      <c r="E175" t="s">
        <v>211</v>
      </c>
      <c r="F175" t="s">
        <v>126</v>
      </c>
      <c r="G175" t="str">
        <f t="shared" si="4"/>
        <v>32011CANDLELIGHT</v>
      </c>
      <c r="H175">
        <v>3558</v>
      </c>
      <c r="I175">
        <v>3558</v>
      </c>
      <c r="J175">
        <v>4060</v>
      </c>
      <c r="K175">
        <f t="shared" si="5"/>
        <v>0.12364532019704433</v>
      </c>
    </row>
    <row r="176" spans="1:11">
      <c r="A176">
        <v>2026</v>
      </c>
      <c r="B176">
        <v>32</v>
      </c>
      <c r="C176" t="s">
        <v>67</v>
      </c>
      <c r="D176" t="s">
        <v>10</v>
      </c>
      <c r="E176" t="s">
        <v>211</v>
      </c>
      <c r="F176" t="s">
        <v>128</v>
      </c>
      <c r="G176" t="str">
        <f t="shared" si="4"/>
        <v>32011CAYENNE</v>
      </c>
      <c r="H176">
        <v>1128</v>
      </c>
      <c r="I176">
        <v>1004</v>
      </c>
      <c r="J176">
        <v>1350</v>
      </c>
      <c r="K176">
        <f t="shared" si="5"/>
        <v>0.2562962962962963</v>
      </c>
    </row>
    <row r="177" spans="1:11">
      <c r="A177">
        <v>2026</v>
      </c>
      <c r="B177">
        <v>32</v>
      </c>
      <c r="C177" t="s">
        <v>67</v>
      </c>
      <c r="D177" t="s">
        <v>10</v>
      </c>
      <c r="E177" t="s">
        <v>211</v>
      </c>
      <c r="F177" t="s">
        <v>76</v>
      </c>
      <c r="G177" t="str">
        <f t="shared" si="4"/>
        <v>32011LUMIA</v>
      </c>
      <c r="H177">
        <v>2094</v>
      </c>
      <c r="I177">
        <v>2094</v>
      </c>
      <c r="J177">
        <v>1680</v>
      </c>
      <c r="K177">
        <f t="shared" si="5"/>
        <v>-0.24642857142857144</v>
      </c>
    </row>
    <row r="178" spans="1:11">
      <c r="A178">
        <v>2026</v>
      </c>
      <c r="B178">
        <v>32</v>
      </c>
      <c r="C178" t="s">
        <v>67</v>
      </c>
      <c r="D178" t="s">
        <v>10</v>
      </c>
      <c r="E178" t="s">
        <v>211</v>
      </c>
      <c r="F178" t="s">
        <v>131</v>
      </c>
      <c r="G178" t="str">
        <f t="shared" si="4"/>
        <v>32011STARDUST</v>
      </c>
      <c r="H178">
        <v>2621</v>
      </c>
      <c r="I178">
        <v>2621</v>
      </c>
      <c r="J178">
        <v>2450</v>
      </c>
      <c r="K178">
        <f t="shared" si="5"/>
        <v>-6.9795918367346943E-2</v>
      </c>
    </row>
    <row r="179" spans="1:11">
      <c r="A179">
        <v>2026</v>
      </c>
      <c r="B179">
        <v>32</v>
      </c>
      <c r="C179" t="s">
        <v>67</v>
      </c>
      <c r="D179" t="s">
        <v>10</v>
      </c>
      <c r="E179" t="s">
        <v>212</v>
      </c>
      <c r="F179" t="s">
        <v>86</v>
      </c>
      <c r="G179" t="str">
        <f t="shared" si="4"/>
        <v>32012DEEP PURPLE</v>
      </c>
      <c r="H179">
        <v>13526</v>
      </c>
      <c r="I179">
        <v>13526</v>
      </c>
      <c r="J179">
        <v>14070</v>
      </c>
      <c r="K179">
        <f t="shared" si="5"/>
        <v>3.8663823738450606E-2</v>
      </c>
    </row>
    <row r="180" spans="1:11">
      <c r="A180">
        <v>2026</v>
      </c>
      <c r="B180">
        <v>32</v>
      </c>
      <c r="C180" t="s">
        <v>67</v>
      </c>
      <c r="D180" t="s">
        <v>10</v>
      </c>
      <c r="E180" t="s">
        <v>212</v>
      </c>
      <c r="F180" t="s">
        <v>74</v>
      </c>
      <c r="G180" t="str">
        <f t="shared" si="4"/>
        <v>32012LIGHT HOUSE</v>
      </c>
      <c r="H180">
        <v>1331</v>
      </c>
      <c r="I180">
        <v>1185</v>
      </c>
      <c r="J180">
        <v>870</v>
      </c>
      <c r="K180">
        <f t="shared" si="5"/>
        <v>-0.36206896551724138</v>
      </c>
    </row>
    <row r="181" spans="1:11">
      <c r="A181">
        <v>2026</v>
      </c>
      <c r="B181">
        <v>32</v>
      </c>
      <c r="C181" t="s">
        <v>67</v>
      </c>
      <c r="D181" t="s">
        <v>10</v>
      </c>
      <c r="E181" t="s">
        <v>213</v>
      </c>
      <c r="F181" t="s">
        <v>135</v>
      </c>
      <c r="G181" t="str">
        <f t="shared" si="4"/>
        <v>32013COUNTRY BLUES</v>
      </c>
      <c r="H181">
        <v>1356</v>
      </c>
      <c r="I181">
        <v>1207</v>
      </c>
      <c r="J181">
        <v>940</v>
      </c>
      <c r="K181">
        <f t="shared" si="5"/>
        <v>-0.28404255319148936</v>
      </c>
    </row>
    <row r="182" spans="1:11">
      <c r="A182">
        <v>2026</v>
      </c>
      <c r="B182">
        <v>32</v>
      </c>
      <c r="C182" t="s">
        <v>67</v>
      </c>
      <c r="D182" t="s">
        <v>10</v>
      </c>
      <c r="E182" t="s">
        <v>213</v>
      </c>
      <c r="F182" t="s">
        <v>137</v>
      </c>
      <c r="G182" t="str">
        <f t="shared" si="4"/>
        <v>32013LORRAINE</v>
      </c>
      <c r="H182">
        <v>3619</v>
      </c>
      <c r="I182">
        <v>3619</v>
      </c>
      <c r="J182">
        <v>3900</v>
      </c>
      <c r="K182">
        <f t="shared" si="5"/>
        <v>7.2051282051282056E-2</v>
      </c>
    </row>
    <row r="183" spans="1:11">
      <c r="A183">
        <v>2026</v>
      </c>
      <c r="B183">
        <v>32</v>
      </c>
      <c r="C183" t="s">
        <v>67</v>
      </c>
      <c r="D183" t="s">
        <v>10</v>
      </c>
      <c r="E183" t="s">
        <v>213</v>
      </c>
      <c r="F183" t="s">
        <v>76</v>
      </c>
      <c r="G183" t="str">
        <f t="shared" si="4"/>
        <v>32013LUMIA</v>
      </c>
      <c r="H183">
        <v>574</v>
      </c>
      <c r="I183">
        <v>510</v>
      </c>
      <c r="J183">
        <v>660</v>
      </c>
      <c r="K183">
        <f t="shared" si="5"/>
        <v>0.22727272727272727</v>
      </c>
    </row>
    <row r="184" spans="1:11">
      <c r="A184">
        <v>2026</v>
      </c>
      <c r="B184">
        <v>32</v>
      </c>
      <c r="C184" t="s">
        <v>67</v>
      </c>
      <c r="D184" t="s">
        <v>10</v>
      </c>
      <c r="E184" t="s">
        <v>213</v>
      </c>
      <c r="F184" t="s">
        <v>105</v>
      </c>
      <c r="G184" t="str">
        <f t="shared" si="4"/>
        <v>32013VENDELA</v>
      </c>
      <c r="H184">
        <v>11275</v>
      </c>
      <c r="I184">
        <v>11275</v>
      </c>
      <c r="J184">
        <v>8880</v>
      </c>
      <c r="K184">
        <f t="shared" si="5"/>
        <v>-0.2697072072072072</v>
      </c>
    </row>
    <row r="185" spans="1:11">
      <c r="A185">
        <v>2026</v>
      </c>
      <c r="B185">
        <v>32</v>
      </c>
      <c r="C185" t="s">
        <v>67</v>
      </c>
      <c r="D185" t="s">
        <v>10</v>
      </c>
      <c r="E185" t="s">
        <v>193</v>
      </c>
      <c r="F185" t="s">
        <v>131</v>
      </c>
      <c r="G185" t="str">
        <f t="shared" si="4"/>
        <v>32014STARDUST</v>
      </c>
      <c r="H185">
        <v>4981</v>
      </c>
      <c r="I185">
        <v>4981</v>
      </c>
      <c r="J185">
        <v>4150</v>
      </c>
      <c r="K185">
        <f t="shared" si="5"/>
        <v>-0.2002409638554217</v>
      </c>
    </row>
    <row r="186" spans="1:11">
      <c r="A186">
        <v>2026</v>
      </c>
      <c r="B186">
        <v>32</v>
      </c>
      <c r="C186" t="s">
        <v>67</v>
      </c>
      <c r="D186" t="s">
        <v>10</v>
      </c>
      <c r="E186" t="s">
        <v>194</v>
      </c>
      <c r="F186" t="s">
        <v>89</v>
      </c>
      <c r="G186" t="str">
        <f t="shared" si="4"/>
        <v>32015JOCKER</v>
      </c>
      <c r="H186">
        <v>4156</v>
      </c>
      <c r="I186">
        <v>4156</v>
      </c>
      <c r="J186">
        <v>3250</v>
      </c>
      <c r="K186">
        <f t="shared" si="5"/>
        <v>-0.27876923076923077</v>
      </c>
    </row>
    <row r="187" spans="1:11">
      <c r="A187">
        <v>2026</v>
      </c>
      <c r="B187">
        <v>32</v>
      </c>
      <c r="C187" t="s">
        <v>67</v>
      </c>
      <c r="D187" t="s">
        <v>10</v>
      </c>
      <c r="E187" t="s">
        <v>195</v>
      </c>
      <c r="F187" t="s">
        <v>143</v>
      </c>
      <c r="G187" t="str">
        <f t="shared" si="4"/>
        <v>32016DREAM IN PEACH</v>
      </c>
      <c r="H187">
        <v>770</v>
      </c>
      <c r="I187">
        <v>686</v>
      </c>
      <c r="J187">
        <v>1830</v>
      </c>
      <c r="K187">
        <f t="shared" si="5"/>
        <v>0.62513661202185788</v>
      </c>
    </row>
    <row r="188" spans="1:11">
      <c r="A188">
        <v>2026</v>
      </c>
      <c r="B188">
        <v>32</v>
      </c>
      <c r="C188" t="s">
        <v>67</v>
      </c>
      <c r="D188" t="s">
        <v>10</v>
      </c>
      <c r="E188" t="s">
        <v>195</v>
      </c>
      <c r="F188" t="s">
        <v>145</v>
      </c>
      <c r="G188" t="str">
        <f t="shared" si="4"/>
        <v>32016NINA</v>
      </c>
      <c r="H188">
        <v>2508</v>
      </c>
      <c r="I188">
        <v>2508</v>
      </c>
      <c r="J188">
        <v>2125</v>
      </c>
      <c r="K188">
        <f t="shared" si="5"/>
        <v>-0.18023529411764705</v>
      </c>
    </row>
    <row r="189" spans="1:11">
      <c r="A189">
        <v>2026</v>
      </c>
      <c r="B189">
        <v>32</v>
      </c>
      <c r="C189" t="s">
        <v>67</v>
      </c>
      <c r="D189" t="s">
        <v>10</v>
      </c>
      <c r="E189" t="s">
        <v>196</v>
      </c>
      <c r="F189" t="s">
        <v>117</v>
      </c>
      <c r="G189" t="str">
        <f t="shared" si="4"/>
        <v>32017FREEDOM</v>
      </c>
      <c r="H189">
        <v>4029</v>
      </c>
      <c r="I189">
        <v>4029</v>
      </c>
      <c r="J189">
        <v>5400</v>
      </c>
      <c r="K189">
        <f t="shared" si="5"/>
        <v>0.25388888888888889</v>
      </c>
    </row>
    <row r="190" spans="1:11">
      <c r="A190">
        <v>2026</v>
      </c>
      <c r="B190">
        <v>32</v>
      </c>
      <c r="C190" t="s">
        <v>67</v>
      </c>
      <c r="D190" t="s">
        <v>10</v>
      </c>
      <c r="E190" t="s">
        <v>196</v>
      </c>
      <c r="F190" t="s">
        <v>102</v>
      </c>
      <c r="G190" t="str">
        <f t="shared" si="4"/>
        <v>32017GOLDFINCH</v>
      </c>
      <c r="H190">
        <v>2155</v>
      </c>
      <c r="I190">
        <v>1918</v>
      </c>
      <c r="J190">
        <v>2400</v>
      </c>
      <c r="K190">
        <f t="shared" si="5"/>
        <v>0.20083333333333334</v>
      </c>
    </row>
    <row r="191" spans="1:11">
      <c r="A191">
        <v>2026</v>
      </c>
      <c r="B191">
        <v>32</v>
      </c>
      <c r="C191" t="s">
        <v>67</v>
      </c>
      <c r="D191" t="s">
        <v>10</v>
      </c>
      <c r="E191" t="s">
        <v>197</v>
      </c>
      <c r="F191" t="s">
        <v>124</v>
      </c>
      <c r="G191" t="str">
        <f t="shared" si="4"/>
        <v>32018BRIGHTON</v>
      </c>
      <c r="H191">
        <v>1658</v>
      </c>
      <c r="I191">
        <v>1530</v>
      </c>
      <c r="J191">
        <v>1800</v>
      </c>
      <c r="K191">
        <f t="shared" si="5"/>
        <v>0.15</v>
      </c>
    </row>
    <row r="192" spans="1:11">
      <c r="A192">
        <v>2026</v>
      </c>
      <c r="B192">
        <v>32</v>
      </c>
      <c r="C192" t="s">
        <v>67</v>
      </c>
      <c r="D192" t="s">
        <v>10</v>
      </c>
      <c r="E192" t="s">
        <v>198</v>
      </c>
      <c r="F192" t="s">
        <v>124</v>
      </c>
      <c r="G192" t="str">
        <f t="shared" si="4"/>
        <v>32019BRIGHTON</v>
      </c>
      <c r="H192">
        <v>5516</v>
      </c>
      <c r="I192">
        <v>5516</v>
      </c>
      <c r="J192">
        <v>5950</v>
      </c>
      <c r="K192">
        <f t="shared" si="5"/>
        <v>7.2941176470588232E-2</v>
      </c>
    </row>
    <row r="193" spans="1:11">
      <c r="A193">
        <v>2026</v>
      </c>
      <c r="B193">
        <v>32</v>
      </c>
      <c r="C193" t="s">
        <v>67</v>
      </c>
      <c r="D193" t="s">
        <v>10</v>
      </c>
      <c r="E193" t="s">
        <v>198</v>
      </c>
      <c r="F193" t="s">
        <v>151</v>
      </c>
      <c r="G193" t="str">
        <f t="shared" si="4"/>
        <v>32019TABATHA</v>
      </c>
      <c r="H193">
        <v>1968</v>
      </c>
      <c r="I193">
        <v>1968</v>
      </c>
      <c r="J193">
        <v>3210</v>
      </c>
      <c r="K193">
        <f t="shared" si="5"/>
        <v>0.38691588785046727</v>
      </c>
    </row>
    <row r="194" spans="1:11">
      <c r="A194">
        <v>2026</v>
      </c>
      <c r="B194">
        <v>32</v>
      </c>
      <c r="C194" t="s">
        <v>67</v>
      </c>
      <c r="D194" t="s">
        <v>10</v>
      </c>
      <c r="E194" t="s">
        <v>199</v>
      </c>
      <c r="F194" t="s">
        <v>124</v>
      </c>
      <c r="G194" t="str">
        <f t="shared" si="4"/>
        <v>32020BRIGHTON</v>
      </c>
      <c r="H194">
        <v>3868</v>
      </c>
      <c r="I194">
        <v>3868</v>
      </c>
      <c r="J194">
        <v>4300</v>
      </c>
      <c r="K194">
        <f t="shared" si="5"/>
        <v>0.10046511627906977</v>
      </c>
    </row>
    <row r="195" spans="1:11">
      <c r="A195">
        <v>2026</v>
      </c>
      <c r="B195">
        <v>32</v>
      </c>
      <c r="C195" t="s">
        <v>67</v>
      </c>
      <c r="D195" t="s">
        <v>10</v>
      </c>
      <c r="E195" t="s">
        <v>199</v>
      </c>
      <c r="F195" t="s">
        <v>154</v>
      </c>
      <c r="G195" t="str">
        <f t="shared" ref="G195:G258" si="6">+B195&amp;E195&amp;F195</f>
        <v>32020TYCOON</v>
      </c>
      <c r="H195">
        <v>980</v>
      </c>
      <c r="I195">
        <v>872</v>
      </c>
      <c r="J195">
        <v>930</v>
      </c>
      <c r="K195">
        <f t="shared" ref="K195:K258" si="7">+(J195-I195)/J195</f>
        <v>6.236559139784946E-2</v>
      </c>
    </row>
    <row r="196" spans="1:11">
      <c r="A196">
        <v>2026</v>
      </c>
      <c r="B196">
        <v>32</v>
      </c>
      <c r="C196" t="s">
        <v>67</v>
      </c>
      <c r="D196" t="s">
        <v>10</v>
      </c>
      <c r="E196" t="s">
        <v>200</v>
      </c>
      <c r="F196" t="s">
        <v>156</v>
      </c>
      <c r="G196" t="str">
        <f t="shared" si="6"/>
        <v>32021SHOW GIRL</v>
      </c>
      <c r="H196">
        <v>1545</v>
      </c>
      <c r="I196">
        <v>1375</v>
      </c>
      <c r="J196">
        <v>1675</v>
      </c>
      <c r="K196">
        <f t="shared" si="7"/>
        <v>0.17910447761194029</v>
      </c>
    </row>
    <row r="197" spans="1:11">
      <c r="A197">
        <v>2026</v>
      </c>
      <c r="B197">
        <v>32</v>
      </c>
      <c r="C197" t="s">
        <v>67</v>
      </c>
      <c r="D197" t="s">
        <v>10</v>
      </c>
      <c r="E197" t="s">
        <v>201</v>
      </c>
      <c r="F197" t="s">
        <v>158</v>
      </c>
      <c r="G197" t="str">
        <f t="shared" si="6"/>
        <v>32022CORAL REEF</v>
      </c>
      <c r="H197">
        <v>1654</v>
      </c>
      <c r="I197">
        <v>1654</v>
      </c>
      <c r="J197">
        <v>2450</v>
      </c>
      <c r="K197">
        <f t="shared" si="7"/>
        <v>0.32489795918367348</v>
      </c>
    </row>
    <row r="198" spans="1:11">
      <c r="A198">
        <v>2026</v>
      </c>
      <c r="B198">
        <v>32</v>
      </c>
      <c r="C198" t="s">
        <v>67</v>
      </c>
      <c r="D198" t="s">
        <v>10</v>
      </c>
      <c r="E198" t="s">
        <v>214</v>
      </c>
      <c r="F198" t="s">
        <v>93</v>
      </c>
      <c r="G198" t="str">
        <f t="shared" si="6"/>
        <v>32023COTOPAXI</v>
      </c>
      <c r="H198">
        <v>7415</v>
      </c>
      <c r="I198">
        <v>6983</v>
      </c>
      <c r="J198">
        <v>8970</v>
      </c>
      <c r="K198">
        <f t="shared" si="7"/>
        <v>0.22151616499442586</v>
      </c>
    </row>
    <row r="199" spans="1:11">
      <c r="A199">
        <v>2026</v>
      </c>
      <c r="B199">
        <v>32</v>
      </c>
      <c r="C199" t="s">
        <v>67</v>
      </c>
      <c r="D199" t="s">
        <v>10</v>
      </c>
      <c r="E199" t="s">
        <v>214</v>
      </c>
      <c r="F199" t="s">
        <v>161</v>
      </c>
      <c r="G199" t="str">
        <f t="shared" si="6"/>
        <v>32023FRUTTETO</v>
      </c>
      <c r="H199">
        <v>3642</v>
      </c>
      <c r="I199">
        <v>3642</v>
      </c>
      <c r="J199">
        <v>4590</v>
      </c>
      <c r="K199">
        <f t="shared" si="7"/>
        <v>0.20653594771241829</v>
      </c>
    </row>
    <row r="200" spans="1:11">
      <c r="A200">
        <v>2026</v>
      </c>
      <c r="B200">
        <v>32</v>
      </c>
      <c r="C200" t="s">
        <v>67</v>
      </c>
      <c r="D200" t="s">
        <v>10</v>
      </c>
      <c r="E200" t="s">
        <v>215</v>
      </c>
      <c r="F200" t="s">
        <v>93</v>
      </c>
      <c r="G200" t="str">
        <f t="shared" si="6"/>
        <v>32024COTOPAXI</v>
      </c>
      <c r="H200">
        <v>3097</v>
      </c>
      <c r="I200">
        <v>2756</v>
      </c>
      <c r="J200">
        <v>4260</v>
      </c>
      <c r="K200">
        <f t="shared" si="7"/>
        <v>0.35305164319248827</v>
      </c>
    </row>
    <row r="201" spans="1:11">
      <c r="A201">
        <v>2026</v>
      </c>
      <c r="B201">
        <v>32</v>
      </c>
      <c r="C201" t="s">
        <v>67</v>
      </c>
      <c r="D201" t="s">
        <v>10</v>
      </c>
      <c r="E201" t="s">
        <v>215</v>
      </c>
      <c r="F201" t="s">
        <v>82</v>
      </c>
      <c r="G201" t="str">
        <f t="shared" si="6"/>
        <v>32024SWEETNESS</v>
      </c>
      <c r="H201">
        <v>1465</v>
      </c>
      <c r="I201">
        <v>1465</v>
      </c>
      <c r="J201">
        <v>2070</v>
      </c>
      <c r="K201">
        <f t="shared" si="7"/>
        <v>0.2922705314009662</v>
      </c>
    </row>
    <row r="202" spans="1:11">
      <c r="A202">
        <v>2026</v>
      </c>
      <c r="B202">
        <v>32</v>
      </c>
      <c r="C202" t="s">
        <v>67</v>
      </c>
      <c r="D202" t="s">
        <v>10</v>
      </c>
      <c r="E202" t="s">
        <v>215</v>
      </c>
      <c r="F202" t="s">
        <v>154</v>
      </c>
      <c r="G202" t="str">
        <f t="shared" si="6"/>
        <v>32024TYCOON</v>
      </c>
      <c r="H202">
        <v>2045</v>
      </c>
      <c r="I202">
        <v>2045</v>
      </c>
      <c r="J202">
        <v>3780</v>
      </c>
      <c r="K202">
        <f t="shared" si="7"/>
        <v>0.45899470899470901</v>
      </c>
    </row>
    <row r="203" spans="1:11">
      <c r="A203">
        <v>2026</v>
      </c>
      <c r="B203">
        <v>32</v>
      </c>
      <c r="C203" t="s">
        <v>67</v>
      </c>
      <c r="D203" t="s">
        <v>10</v>
      </c>
      <c r="E203" t="s">
        <v>216</v>
      </c>
      <c r="F203" t="s">
        <v>166</v>
      </c>
      <c r="G203" t="str">
        <f t="shared" si="6"/>
        <v>32025PINK MONDIAL</v>
      </c>
      <c r="H203">
        <v>3932</v>
      </c>
      <c r="I203">
        <v>3932</v>
      </c>
      <c r="J203">
        <v>5325</v>
      </c>
      <c r="K203">
        <f t="shared" si="7"/>
        <v>0.26159624413145538</v>
      </c>
    </row>
    <row r="204" spans="1:11">
      <c r="A204">
        <v>2026</v>
      </c>
      <c r="B204">
        <v>32</v>
      </c>
      <c r="C204" t="s">
        <v>67</v>
      </c>
      <c r="D204" t="s">
        <v>10</v>
      </c>
      <c r="E204" t="s">
        <v>217</v>
      </c>
      <c r="F204" t="s">
        <v>168</v>
      </c>
      <c r="G204" t="str">
        <f t="shared" si="6"/>
        <v>32026LOLA</v>
      </c>
      <c r="H204">
        <v>2725</v>
      </c>
      <c r="I204">
        <v>2725</v>
      </c>
      <c r="J204">
        <v>3475</v>
      </c>
      <c r="K204">
        <f t="shared" si="7"/>
        <v>0.21582733812949639</v>
      </c>
    </row>
    <row r="205" spans="1:11">
      <c r="A205">
        <v>2026</v>
      </c>
      <c r="B205">
        <v>32</v>
      </c>
      <c r="C205" t="s">
        <v>67</v>
      </c>
      <c r="D205" t="s">
        <v>10</v>
      </c>
      <c r="E205" t="s">
        <v>217</v>
      </c>
      <c r="F205" t="s">
        <v>170</v>
      </c>
      <c r="G205" t="str">
        <f t="shared" si="6"/>
        <v>32026PALOMA</v>
      </c>
      <c r="H205">
        <v>4161</v>
      </c>
      <c r="I205">
        <v>4161</v>
      </c>
      <c r="J205">
        <v>4350</v>
      </c>
      <c r="K205">
        <f t="shared" si="7"/>
        <v>4.3448275862068966E-2</v>
      </c>
    </row>
    <row r="206" spans="1:11">
      <c r="A206">
        <v>2026</v>
      </c>
      <c r="B206">
        <v>32</v>
      </c>
      <c r="C206" t="s">
        <v>67</v>
      </c>
      <c r="D206" t="s">
        <v>10</v>
      </c>
      <c r="E206" t="s">
        <v>218</v>
      </c>
      <c r="F206" t="s">
        <v>172</v>
      </c>
      <c r="G206" t="str">
        <f t="shared" si="6"/>
        <v>32027SATISFACTION</v>
      </c>
      <c r="H206">
        <v>3399</v>
      </c>
      <c r="I206">
        <v>3399</v>
      </c>
      <c r="J206">
        <v>4770</v>
      </c>
      <c r="K206">
        <f t="shared" si="7"/>
        <v>0.28742138364779873</v>
      </c>
    </row>
    <row r="207" spans="1:11">
      <c r="A207">
        <v>2026</v>
      </c>
      <c r="B207">
        <v>32</v>
      </c>
      <c r="C207" t="s">
        <v>67</v>
      </c>
      <c r="D207" t="s">
        <v>10</v>
      </c>
      <c r="E207" t="s">
        <v>218</v>
      </c>
      <c r="F207" t="s">
        <v>174</v>
      </c>
      <c r="G207" t="str">
        <f t="shared" si="6"/>
        <v>32027TIFFANY</v>
      </c>
      <c r="H207">
        <v>3207</v>
      </c>
      <c r="I207">
        <v>3207</v>
      </c>
      <c r="J207">
        <v>5610</v>
      </c>
      <c r="K207">
        <f t="shared" si="7"/>
        <v>0.42834224598930482</v>
      </c>
    </row>
    <row r="208" spans="1:11">
      <c r="A208">
        <v>2026</v>
      </c>
      <c r="B208">
        <v>32</v>
      </c>
      <c r="C208" t="s">
        <v>67</v>
      </c>
      <c r="D208" t="s">
        <v>10</v>
      </c>
      <c r="E208" t="s">
        <v>219</v>
      </c>
      <c r="F208" t="s">
        <v>93</v>
      </c>
      <c r="G208" t="str">
        <f t="shared" si="6"/>
        <v>32028COTOPAXI</v>
      </c>
      <c r="H208">
        <v>4272</v>
      </c>
      <c r="I208">
        <v>4272</v>
      </c>
      <c r="J208">
        <v>7920</v>
      </c>
      <c r="K208">
        <f t="shared" si="7"/>
        <v>0.46060606060606063</v>
      </c>
    </row>
    <row r="209" spans="1:11">
      <c r="A209">
        <v>2026</v>
      </c>
      <c r="B209">
        <v>32</v>
      </c>
      <c r="C209" t="s">
        <v>67</v>
      </c>
      <c r="D209" t="s">
        <v>10</v>
      </c>
      <c r="E209" t="s">
        <v>219</v>
      </c>
      <c r="F209" t="s">
        <v>86</v>
      </c>
      <c r="G209" t="str">
        <f t="shared" si="6"/>
        <v>32028DEEP PURPLE</v>
      </c>
      <c r="H209">
        <v>6116</v>
      </c>
      <c r="I209">
        <v>6116</v>
      </c>
      <c r="J209">
        <v>5730</v>
      </c>
      <c r="K209">
        <f t="shared" si="7"/>
        <v>-6.7364746945898779E-2</v>
      </c>
    </row>
    <row r="210" spans="1:11">
      <c r="A210">
        <v>2026</v>
      </c>
      <c r="B210">
        <v>32</v>
      </c>
      <c r="C210" t="s">
        <v>67</v>
      </c>
      <c r="D210" t="s">
        <v>10</v>
      </c>
      <c r="E210" t="s">
        <v>220</v>
      </c>
      <c r="F210" t="s">
        <v>178</v>
      </c>
      <c r="G210" t="str">
        <f t="shared" si="6"/>
        <v>32029PINK FLOYD</v>
      </c>
      <c r="H210">
        <v>3695</v>
      </c>
      <c r="I210">
        <v>3695</v>
      </c>
      <c r="J210">
        <v>3325</v>
      </c>
      <c r="K210">
        <f t="shared" si="7"/>
        <v>-0.11127819548872181</v>
      </c>
    </row>
    <row r="211" spans="1:11">
      <c r="A211">
        <v>2026</v>
      </c>
      <c r="B211">
        <v>32</v>
      </c>
      <c r="C211" t="s">
        <v>67</v>
      </c>
      <c r="D211" t="s">
        <v>10</v>
      </c>
      <c r="E211" t="s">
        <v>202</v>
      </c>
      <c r="F211" t="s">
        <v>70</v>
      </c>
      <c r="G211" t="str">
        <f t="shared" si="6"/>
        <v>32030EXPLORER</v>
      </c>
      <c r="H211">
        <v>1379</v>
      </c>
      <c r="I211">
        <v>1227</v>
      </c>
      <c r="J211">
        <v>3450</v>
      </c>
      <c r="K211">
        <f t="shared" si="7"/>
        <v>0.64434782608695651</v>
      </c>
    </row>
    <row r="212" spans="1:11">
      <c r="A212">
        <v>2026</v>
      </c>
      <c r="B212">
        <v>33</v>
      </c>
      <c r="C212" t="s">
        <v>9</v>
      </c>
      <c r="D212" t="s">
        <v>10</v>
      </c>
      <c r="E212" t="s">
        <v>188</v>
      </c>
      <c r="F212" t="s">
        <v>11</v>
      </c>
      <c r="G212" t="str">
        <f t="shared" si="6"/>
        <v>33002SOMERSET</v>
      </c>
      <c r="H212">
        <v>9045</v>
      </c>
      <c r="I212">
        <v>9045</v>
      </c>
      <c r="J212">
        <v>8220</v>
      </c>
      <c r="K212">
        <f t="shared" si="7"/>
        <v>-0.10036496350364964</v>
      </c>
    </row>
    <row r="213" spans="1:11">
      <c r="A213">
        <v>2026</v>
      </c>
      <c r="B213">
        <v>33</v>
      </c>
      <c r="C213" t="s">
        <v>9</v>
      </c>
      <c r="D213" t="s">
        <v>10</v>
      </c>
      <c r="E213" t="s">
        <v>189</v>
      </c>
      <c r="F213" t="s">
        <v>13</v>
      </c>
      <c r="G213" t="str">
        <f t="shared" si="6"/>
        <v>33004BELLINA</v>
      </c>
      <c r="H213">
        <v>1178</v>
      </c>
      <c r="I213">
        <v>1048</v>
      </c>
      <c r="J213">
        <v>1245</v>
      </c>
      <c r="K213">
        <f t="shared" si="7"/>
        <v>0.15823293172690764</v>
      </c>
    </row>
    <row r="214" spans="1:11">
      <c r="A214">
        <v>2026</v>
      </c>
      <c r="B214">
        <v>33</v>
      </c>
      <c r="C214" t="s">
        <v>9</v>
      </c>
      <c r="D214" t="s">
        <v>10</v>
      </c>
      <c r="E214" t="s">
        <v>190</v>
      </c>
      <c r="F214" t="s">
        <v>15</v>
      </c>
      <c r="G214" t="str">
        <f t="shared" si="6"/>
        <v>33005ELBA</v>
      </c>
      <c r="H214">
        <v>8493</v>
      </c>
      <c r="I214">
        <v>8493</v>
      </c>
      <c r="J214">
        <v>6930</v>
      </c>
      <c r="K214">
        <f t="shared" si="7"/>
        <v>-0.22554112554112554</v>
      </c>
    </row>
    <row r="215" spans="1:11">
      <c r="A215">
        <v>2026</v>
      </c>
      <c r="B215">
        <v>33</v>
      </c>
      <c r="C215" t="s">
        <v>9</v>
      </c>
      <c r="D215" t="s">
        <v>10</v>
      </c>
      <c r="E215" t="s">
        <v>190</v>
      </c>
      <c r="F215" t="s">
        <v>17</v>
      </c>
      <c r="G215" t="str">
        <f t="shared" si="6"/>
        <v>33005HOT BUBBLES</v>
      </c>
      <c r="H215">
        <v>1462</v>
      </c>
      <c r="I215">
        <v>1301</v>
      </c>
      <c r="J215">
        <v>960</v>
      </c>
      <c r="K215">
        <f t="shared" si="7"/>
        <v>-0.35520833333333335</v>
      </c>
    </row>
    <row r="216" spans="1:11">
      <c r="A216">
        <v>2026</v>
      </c>
      <c r="B216">
        <v>33</v>
      </c>
      <c r="C216" t="s">
        <v>9</v>
      </c>
      <c r="D216" t="s">
        <v>10</v>
      </c>
      <c r="E216" t="s">
        <v>190</v>
      </c>
      <c r="F216" t="s">
        <v>19</v>
      </c>
      <c r="G216" t="str">
        <f t="shared" si="6"/>
        <v>33005SUSPIRO</v>
      </c>
      <c r="H216">
        <v>4211</v>
      </c>
      <c r="I216">
        <v>4211</v>
      </c>
      <c r="J216">
        <v>4590</v>
      </c>
      <c r="K216">
        <f t="shared" si="7"/>
        <v>8.2570806100217858E-2</v>
      </c>
    </row>
    <row r="217" spans="1:11">
      <c r="A217">
        <v>2026</v>
      </c>
      <c r="B217">
        <v>33</v>
      </c>
      <c r="C217" t="s">
        <v>9</v>
      </c>
      <c r="D217" t="s">
        <v>10</v>
      </c>
      <c r="E217" t="s">
        <v>191</v>
      </c>
      <c r="F217" t="s">
        <v>21</v>
      </c>
      <c r="G217" t="str">
        <f t="shared" si="6"/>
        <v>33007SNOW BUBBLES</v>
      </c>
      <c r="H217">
        <v>952</v>
      </c>
      <c r="I217">
        <v>848</v>
      </c>
      <c r="J217" t="e">
        <v>#N/A</v>
      </c>
      <c r="K217" t="e">
        <f t="shared" si="7"/>
        <v>#N/A</v>
      </c>
    </row>
    <row r="218" spans="1:11">
      <c r="A218">
        <v>2026</v>
      </c>
      <c r="B218">
        <v>33</v>
      </c>
      <c r="C218" t="s">
        <v>9</v>
      </c>
      <c r="D218" t="s">
        <v>10</v>
      </c>
      <c r="E218" t="s">
        <v>192</v>
      </c>
      <c r="F218" t="s">
        <v>17</v>
      </c>
      <c r="G218" t="str">
        <f t="shared" si="6"/>
        <v>33009HOT BUBBLES</v>
      </c>
      <c r="H218">
        <v>11256</v>
      </c>
      <c r="I218">
        <v>11256</v>
      </c>
      <c r="J218">
        <v>6260</v>
      </c>
      <c r="K218">
        <f t="shared" si="7"/>
        <v>-0.79808306709265175</v>
      </c>
    </row>
    <row r="219" spans="1:11">
      <c r="A219">
        <v>2026</v>
      </c>
      <c r="B219">
        <v>33</v>
      </c>
      <c r="C219" t="s">
        <v>9</v>
      </c>
      <c r="D219" t="s">
        <v>10</v>
      </c>
      <c r="E219" t="s">
        <v>193</v>
      </c>
      <c r="F219" t="s">
        <v>24</v>
      </c>
      <c r="G219" t="str">
        <f t="shared" si="6"/>
        <v>33014FRUITY BUBBLES</v>
      </c>
      <c r="H219">
        <v>3480</v>
      </c>
      <c r="I219">
        <v>3480</v>
      </c>
      <c r="J219">
        <v>2075</v>
      </c>
      <c r="K219">
        <f t="shared" si="7"/>
        <v>-0.67710843373493979</v>
      </c>
    </row>
    <row r="220" spans="1:11">
      <c r="A220">
        <v>2026</v>
      </c>
      <c r="B220">
        <v>33</v>
      </c>
      <c r="C220" t="s">
        <v>9</v>
      </c>
      <c r="D220" t="s">
        <v>10</v>
      </c>
      <c r="E220" t="s">
        <v>194</v>
      </c>
      <c r="F220" t="s">
        <v>26</v>
      </c>
      <c r="G220" t="str">
        <f t="shared" si="6"/>
        <v>33015FELLINI</v>
      </c>
      <c r="H220">
        <v>6523</v>
      </c>
      <c r="I220">
        <v>6523</v>
      </c>
      <c r="J220">
        <v>6200</v>
      </c>
      <c r="K220">
        <f t="shared" si="7"/>
        <v>-5.2096774193548384E-2</v>
      </c>
    </row>
    <row r="221" spans="1:11">
      <c r="A221">
        <v>2026</v>
      </c>
      <c r="B221">
        <v>33</v>
      </c>
      <c r="C221" t="s">
        <v>9</v>
      </c>
      <c r="D221" t="s">
        <v>10</v>
      </c>
      <c r="E221" t="s">
        <v>195</v>
      </c>
      <c r="F221" t="s">
        <v>28</v>
      </c>
      <c r="G221" t="str">
        <f t="shared" si="6"/>
        <v>33016GOOD PEACH</v>
      </c>
      <c r="H221">
        <v>3765</v>
      </c>
      <c r="I221">
        <v>3351</v>
      </c>
      <c r="J221">
        <v>3000</v>
      </c>
      <c r="K221">
        <f t="shared" si="7"/>
        <v>-0.11700000000000001</v>
      </c>
    </row>
    <row r="222" spans="1:11">
      <c r="A222">
        <v>2026</v>
      </c>
      <c r="B222">
        <v>33</v>
      </c>
      <c r="C222" t="s">
        <v>9</v>
      </c>
      <c r="D222" t="s">
        <v>10</v>
      </c>
      <c r="E222" t="s">
        <v>195</v>
      </c>
      <c r="F222" t="s">
        <v>30</v>
      </c>
      <c r="G222" t="str">
        <f t="shared" si="6"/>
        <v>33016GOOD YELLOW</v>
      </c>
      <c r="H222">
        <v>3425</v>
      </c>
      <c r="I222">
        <v>3048</v>
      </c>
      <c r="J222">
        <v>4020</v>
      </c>
      <c r="K222">
        <f t="shared" si="7"/>
        <v>0.2417910447761194</v>
      </c>
    </row>
    <row r="223" spans="1:11">
      <c r="A223">
        <v>2026</v>
      </c>
      <c r="B223">
        <v>33</v>
      </c>
      <c r="C223" t="s">
        <v>9</v>
      </c>
      <c r="D223" t="s">
        <v>10</v>
      </c>
      <c r="E223" t="s">
        <v>196</v>
      </c>
      <c r="F223" t="s">
        <v>32</v>
      </c>
      <c r="G223" t="str">
        <f t="shared" si="6"/>
        <v>33017ORANGE STAR</v>
      </c>
      <c r="H223">
        <v>1258</v>
      </c>
      <c r="I223">
        <v>1120</v>
      </c>
      <c r="J223">
        <v>875</v>
      </c>
      <c r="K223">
        <f t="shared" si="7"/>
        <v>-0.28000000000000003</v>
      </c>
    </row>
    <row r="224" spans="1:11">
      <c r="A224">
        <v>2026</v>
      </c>
      <c r="B224">
        <v>33</v>
      </c>
      <c r="C224" t="s">
        <v>9</v>
      </c>
      <c r="D224" t="s">
        <v>10</v>
      </c>
      <c r="E224" t="s">
        <v>197</v>
      </c>
      <c r="F224" t="s">
        <v>34</v>
      </c>
      <c r="G224" t="str">
        <f t="shared" si="6"/>
        <v>33018COSMO</v>
      </c>
      <c r="H224">
        <v>5566</v>
      </c>
      <c r="I224">
        <v>5566</v>
      </c>
      <c r="J224">
        <v>3275</v>
      </c>
      <c r="K224">
        <f t="shared" si="7"/>
        <v>-0.69954198473282447</v>
      </c>
    </row>
    <row r="225" spans="1:11">
      <c r="A225">
        <v>2026</v>
      </c>
      <c r="B225">
        <v>33</v>
      </c>
      <c r="C225" t="s">
        <v>9</v>
      </c>
      <c r="D225" t="s">
        <v>10</v>
      </c>
      <c r="E225" t="s">
        <v>197</v>
      </c>
      <c r="F225" t="s">
        <v>36</v>
      </c>
      <c r="G225" t="str">
        <f t="shared" si="6"/>
        <v>33018RUBICON</v>
      </c>
      <c r="H225">
        <v>4668</v>
      </c>
      <c r="I225">
        <v>4154</v>
      </c>
      <c r="J225">
        <v>3090</v>
      </c>
      <c r="K225">
        <f t="shared" si="7"/>
        <v>-0.34433656957928804</v>
      </c>
    </row>
    <row r="226" spans="1:11">
      <c r="A226">
        <v>2026</v>
      </c>
      <c r="B226">
        <v>33</v>
      </c>
      <c r="C226" t="s">
        <v>9</v>
      </c>
      <c r="D226" t="s">
        <v>10</v>
      </c>
      <c r="E226" t="s">
        <v>198</v>
      </c>
      <c r="F226" t="s">
        <v>13</v>
      </c>
      <c r="G226" t="str">
        <f t="shared" si="6"/>
        <v>33019BELLINA</v>
      </c>
      <c r="H226">
        <v>1371</v>
      </c>
      <c r="I226">
        <v>1220</v>
      </c>
      <c r="J226">
        <v>1755</v>
      </c>
      <c r="K226">
        <f t="shared" si="7"/>
        <v>0.30484330484330485</v>
      </c>
    </row>
    <row r="227" spans="1:11">
      <c r="A227">
        <v>2026</v>
      </c>
      <c r="B227">
        <v>33</v>
      </c>
      <c r="C227" t="s">
        <v>9</v>
      </c>
      <c r="D227" t="s">
        <v>10</v>
      </c>
      <c r="E227" t="s">
        <v>199</v>
      </c>
      <c r="F227" t="s">
        <v>39</v>
      </c>
      <c r="G227" t="str">
        <f t="shared" si="6"/>
        <v>33020SUMMER DANCE</v>
      </c>
      <c r="H227">
        <v>3641</v>
      </c>
      <c r="I227">
        <v>3240</v>
      </c>
      <c r="J227">
        <v>2475</v>
      </c>
      <c r="K227">
        <f t="shared" si="7"/>
        <v>-0.30909090909090908</v>
      </c>
    </row>
    <row r="228" spans="1:11">
      <c r="A228">
        <v>2026</v>
      </c>
      <c r="B228">
        <v>33</v>
      </c>
      <c r="C228" t="s">
        <v>9</v>
      </c>
      <c r="D228" t="s">
        <v>10</v>
      </c>
      <c r="E228" t="s">
        <v>200</v>
      </c>
      <c r="F228" t="s">
        <v>41</v>
      </c>
      <c r="G228" t="str">
        <f t="shared" si="6"/>
        <v>33021ELEGANT ROSEVER</v>
      </c>
      <c r="H228">
        <v>654</v>
      </c>
      <c r="I228">
        <v>582</v>
      </c>
      <c r="J228">
        <v>600</v>
      </c>
      <c r="K228">
        <f t="shared" si="7"/>
        <v>0.03</v>
      </c>
    </row>
    <row r="229" spans="1:11">
      <c r="A229">
        <v>2026</v>
      </c>
      <c r="B229">
        <v>33</v>
      </c>
      <c r="C229" t="s">
        <v>9</v>
      </c>
      <c r="D229" t="s">
        <v>10</v>
      </c>
      <c r="E229" t="s">
        <v>200</v>
      </c>
      <c r="F229" t="s">
        <v>43</v>
      </c>
      <c r="G229" t="str">
        <f t="shared" si="6"/>
        <v>33021FLAME CLUB</v>
      </c>
      <c r="H229">
        <v>2073</v>
      </c>
      <c r="I229">
        <v>1965</v>
      </c>
      <c r="J229">
        <v>1275</v>
      </c>
      <c r="K229">
        <f t="shared" si="7"/>
        <v>-0.54117647058823526</v>
      </c>
    </row>
    <row r="230" spans="1:11">
      <c r="A230">
        <v>2026</v>
      </c>
      <c r="B230">
        <v>33</v>
      </c>
      <c r="C230" t="s">
        <v>9</v>
      </c>
      <c r="D230" t="s">
        <v>10</v>
      </c>
      <c r="E230" t="s">
        <v>200</v>
      </c>
      <c r="F230" t="s">
        <v>45</v>
      </c>
      <c r="G230" t="str">
        <f t="shared" si="6"/>
        <v>33021KELLY</v>
      </c>
      <c r="H230">
        <v>560</v>
      </c>
      <c r="I230">
        <v>499</v>
      </c>
      <c r="J230">
        <v>625</v>
      </c>
      <c r="K230">
        <f t="shared" si="7"/>
        <v>0.2016</v>
      </c>
    </row>
    <row r="231" spans="1:11">
      <c r="A231">
        <v>2026</v>
      </c>
      <c r="B231">
        <v>33</v>
      </c>
      <c r="C231" t="s">
        <v>9</v>
      </c>
      <c r="D231" t="s">
        <v>10</v>
      </c>
      <c r="E231" t="s">
        <v>200</v>
      </c>
      <c r="F231" t="s">
        <v>47</v>
      </c>
      <c r="G231" t="str">
        <f t="shared" si="6"/>
        <v>33021LEILA</v>
      </c>
      <c r="H231">
        <v>2154</v>
      </c>
      <c r="I231">
        <v>2094</v>
      </c>
      <c r="J231">
        <v>1500</v>
      </c>
      <c r="K231">
        <f t="shared" si="7"/>
        <v>-0.39600000000000002</v>
      </c>
    </row>
    <row r="232" spans="1:11">
      <c r="A232">
        <v>2026</v>
      </c>
      <c r="B232">
        <v>33</v>
      </c>
      <c r="C232" t="s">
        <v>9</v>
      </c>
      <c r="D232" t="s">
        <v>10</v>
      </c>
      <c r="E232" t="s">
        <v>200</v>
      </c>
      <c r="F232" t="s">
        <v>21</v>
      </c>
      <c r="G232" t="str">
        <f t="shared" si="6"/>
        <v>33021SNOW BUBBLES</v>
      </c>
      <c r="H232">
        <v>2699</v>
      </c>
      <c r="I232">
        <v>2699</v>
      </c>
      <c r="J232">
        <v>3040</v>
      </c>
      <c r="K232">
        <f t="shared" si="7"/>
        <v>0.11217105263157895</v>
      </c>
    </row>
    <row r="233" spans="1:11">
      <c r="A233">
        <v>2026</v>
      </c>
      <c r="B233">
        <v>33</v>
      </c>
      <c r="C233" t="s">
        <v>9</v>
      </c>
      <c r="D233" t="s">
        <v>10</v>
      </c>
      <c r="E233" t="s">
        <v>201</v>
      </c>
      <c r="F233" t="s">
        <v>24</v>
      </c>
      <c r="G233" t="str">
        <f t="shared" si="6"/>
        <v>33022FRUITY BUBBLES</v>
      </c>
      <c r="H233">
        <v>5413</v>
      </c>
      <c r="I233">
        <v>5413</v>
      </c>
      <c r="J233">
        <v>4700</v>
      </c>
      <c r="K233">
        <f t="shared" si="7"/>
        <v>-0.15170212765957447</v>
      </c>
    </row>
    <row r="234" spans="1:11">
      <c r="A234">
        <v>2026</v>
      </c>
      <c r="B234">
        <v>33</v>
      </c>
      <c r="C234" t="s">
        <v>9</v>
      </c>
      <c r="D234" t="s">
        <v>10</v>
      </c>
      <c r="E234" t="s">
        <v>201</v>
      </c>
      <c r="F234" t="s">
        <v>28</v>
      </c>
      <c r="G234" t="str">
        <f t="shared" si="6"/>
        <v>33022GOOD PEACH</v>
      </c>
      <c r="H234">
        <v>1911</v>
      </c>
      <c r="I234">
        <v>1855</v>
      </c>
      <c r="J234">
        <v>2460</v>
      </c>
      <c r="K234">
        <f t="shared" si="7"/>
        <v>0.2459349593495935</v>
      </c>
    </row>
    <row r="235" spans="1:11">
      <c r="A235">
        <v>2026</v>
      </c>
      <c r="B235">
        <v>33</v>
      </c>
      <c r="C235" t="s">
        <v>9</v>
      </c>
      <c r="D235" t="s">
        <v>10</v>
      </c>
      <c r="E235" t="s">
        <v>201</v>
      </c>
      <c r="F235" t="s">
        <v>52</v>
      </c>
      <c r="G235" t="str">
        <f t="shared" si="6"/>
        <v>33022MIRABEL</v>
      </c>
      <c r="H235">
        <v>1588</v>
      </c>
      <c r="I235">
        <v>1470</v>
      </c>
      <c r="J235">
        <v>1520</v>
      </c>
      <c r="K235">
        <f t="shared" si="7"/>
        <v>3.2894736842105261E-2</v>
      </c>
    </row>
    <row r="236" spans="1:11">
      <c r="A236">
        <v>2026</v>
      </c>
      <c r="B236">
        <v>33</v>
      </c>
      <c r="C236" t="s">
        <v>9</v>
      </c>
      <c r="D236" t="s">
        <v>10</v>
      </c>
      <c r="E236" t="s">
        <v>202</v>
      </c>
      <c r="F236" t="s">
        <v>52</v>
      </c>
      <c r="G236" t="str">
        <f t="shared" si="6"/>
        <v>33030MIRABEL</v>
      </c>
      <c r="H236">
        <v>4576</v>
      </c>
      <c r="I236">
        <v>4576</v>
      </c>
      <c r="J236">
        <v>2660</v>
      </c>
      <c r="K236">
        <f t="shared" si="7"/>
        <v>-0.72030075187969922</v>
      </c>
    </row>
    <row r="237" spans="1:11">
      <c r="A237">
        <v>2026</v>
      </c>
      <c r="B237">
        <v>33</v>
      </c>
      <c r="C237" t="s">
        <v>9</v>
      </c>
      <c r="D237" t="s">
        <v>10</v>
      </c>
      <c r="E237" t="s">
        <v>202</v>
      </c>
      <c r="F237" t="s">
        <v>11</v>
      </c>
      <c r="G237" t="str">
        <f t="shared" si="6"/>
        <v>33030SOMERSET</v>
      </c>
      <c r="H237">
        <v>2509</v>
      </c>
      <c r="I237">
        <v>2509</v>
      </c>
      <c r="J237">
        <v>2780</v>
      </c>
      <c r="K237">
        <f t="shared" si="7"/>
        <v>9.7482014388489205E-2</v>
      </c>
    </row>
    <row r="238" spans="1:11">
      <c r="A238">
        <v>2026</v>
      </c>
      <c r="B238">
        <v>33</v>
      </c>
      <c r="C238" t="s">
        <v>9</v>
      </c>
      <c r="D238" t="s">
        <v>10</v>
      </c>
      <c r="E238" t="s">
        <v>203</v>
      </c>
      <c r="F238" t="s">
        <v>56</v>
      </c>
      <c r="G238" t="str">
        <f t="shared" si="6"/>
        <v>3303182989</v>
      </c>
      <c r="H238">
        <v>1247</v>
      </c>
      <c r="I238">
        <v>1110</v>
      </c>
      <c r="J238">
        <v>600</v>
      </c>
      <c r="K238">
        <f t="shared" si="7"/>
        <v>-0.85</v>
      </c>
    </row>
    <row r="239" spans="1:11">
      <c r="A239">
        <v>2026</v>
      </c>
      <c r="B239">
        <v>33</v>
      </c>
      <c r="C239" t="s">
        <v>9</v>
      </c>
      <c r="D239" t="s">
        <v>10</v>
      </c>
      <c r="E239" t="s">
        <v>203</v>
      </c>
      <c r="F239" t="s">
        <v>36</v>
      </c>
      <c r="G239" t="str">
        <f t="shared" si="6"/>
        <v>33031RUBICON</v>
      </c>
      <c r="H239">
        <v>2294</v>
      </c>
      <c r="I239">
        <v>2041</v>
      </c>
      <c r="J239">
        <v>1680</v>
      </c>
      <c r="K239">
        <f t="shared" si="7"/>
        <v>-0.21488095238095239</v>
      </c>
    </row>
    <row r="240" spans="1:11">
      <c r="A240">
        <v>2026</v>
      </c>
      <c r="B240">
        <v>33</v>
      </c>
      <c r="C240" t="s">
        <v>9</v>
      </c>
      <c r="D240" t="s">
        <v>10</v>
      </c>
      <c r="E240" t="s">
        <v>203</v>
      </c>
      <c r="F240" t="s">
        <v>11</v>
      </c>
      <c r="G240" t="str">
        <f t="shared" si="6"/>
        <v>33031SOMERSET</v>
      </c>
      <c r="H240">
        <v>1576</v>
      </c>
      <c r="I240">
        <v>1576</v>
      </c>
      <c r="J240">
        <v>2540</v>
      </c>
      <c r="K240">
        <f t="shared" si="7"/>
        <v>0.37952755905511809</v>
      </c>
    </row>
    <row r="241" spans="1:11">
      <c r="A241">
        <v>2026</v>
      </c>
      <c r="B241">
        <v>33</v>
      </c>
      <c r="C241" t="s">
        <v>9</v>
      </c>
      <c r="D241" t="s">
        <v>10</v>
      </c>
      <c r="E241" t="s">
        <v>203</v>
      </c>
      <c r="F241" t="s">
        <v>60</v>
      </c>
      <c r="G241" t="str">
        <f t="shared" si="6"/>
        <v>33031VELVET BLOSSOMS</v>
      </c>
      <c r="H241">
        <v>649</v>
      </c>
      <c r="I241">
        <v>577</v>
      </c>
      <c r="J241">
        <v>620</v>
      </c>
      <c r="K241">
        <f t="shared" si="7"/>
        <v>6.9354838709677416E-2</v>
      </c>
    </row>
    <row r="242" spans="1:11">
      <c r="A242">
        <v>2026</v>
      </c>
      <c r="B242">
        <v>33</v>
      </c>
      <c r="C242" t="s">
        <v>9</v>
      </c>
      <c r="D242" t="s">
        <v>10</v>
      </c>
      <c r="E242" t="s">
        <v>204</v>
      </c>
      <c r="F242" t="s">
        <v>15</v>
      </c>
      <c r="G242" t="str">
        <f t="shared" si="6"/>
        <v>33032ELBA</v>
      </c>
      <c r="H242">
        <v>2981</v>
      </c>
      <c r="I242">
        <v>2981</v>
      </c>
      <c r="J242">
        <v>2160</v>
      </c>
      <c r="K242">
        <f t="shared" si="7"/>
        <v>-0.38009259259259259</v>
      </c>
    </row>
    <row r="243" spans="1:11">
      <c r="A243">
        <v>2026</v>
      </c>
      <c r="B243">
        <v>33</v>
      </c>
      <c r="C243" t="s">
        <v>9</v>
      </c>
      <c r="D243" t="s">
        <v>10</v>
      </c>
      <c r="E243" t="s">
        <v>204</v>
      </c>
      <c r="F243" t="s">
        <v>52</v>
      </c>
      <c r="G243" t="str">
        <f t="shared" si="6"/>
        <v>33032MIRABEL</v>
      </c>
      <c r="H243">
        <v>1685</v>
      </c>
      <c r="I243">
        <v>1637</v>
      </c>
      <c r="J243">
        <v>1160</v>
      </c>
      <c r="K243">
        <f t="shared" si="7"/>
        <v>-0.41120689655172415</v>
      </c>
    </row>
    <row r="244" spans="1:11">
      <c r="A244">
        <v>2026</v>
      </c>
      <c r="B244">
        <v>33</v>
      </c>
      <c r="C244" t="s">
        <v>9</v>
      </c>
      <c r="D244" t="s">
        <v>10</v>
      </c>
      <c r="E244" t="s">
        <v>205</v>
      </c>
      <c r="F244" t="s">
        <v>64</v>
      </c>
      <c r="G244" t="str">
        <f t="shared" si="6"/>
        <v>33033CREAMY FOLIES</v>
      </c>
      <c r="H244">
        <v>1295</v>
      </c>
      <c r="I244">
        <v>1152</v>
      </c>
      <c r="J244">
        <v>1230</v>
      </c>
      <c r="K244">
        <f t="shared" si="7"/>
        <v>6.3414634146341464E-2</v>
      </c>
    </row>
    <row r="245" spans="1:11">
      <c r="A245">
        <v>2026</v>
      </c>
      <c r="B245">
        <v>33</v>
      </c>
      <c r="C245" t="s">
        <v>9</v>
      </c>
      <c r="D245" t="s">
        <v>10</v>
      </c>
      <c r="E245" t="s">
        <v>205</v>
      </c>
      <c r="F245" t="s">
        <v>17</v>
      </c>
      <c r="G245" t="str">
        <f t="shared" si="6"/>
        <v>33033HOT BUBBLES</v>
      </c>
      <c r="H245">
        <v>2707</v>
      </c>
      <c r="I245">
        <v>2707</v>
      </c>
      <c r="J245">
        <v>4320</v>
      </c>
      <c r="K245">
        <f t="shared" si="7"/>
        <v>0.37337962962962962</v>
      </c>
    </row>
    <row r="246" spans="1:11">
      <c r="A246">
        <v>2026</v>
      </c>
      <c r="B246">
        <v>33</v>
      </c>
      <c r="C246" t="s">
        <v>67</v>
      </c>
      <c r="D246" t="s">
        <v>10</v>
      </c>
      <c r="E246" t="s">
        <v>206</v>
      </c>
      <c r="F246" t="s">
        <v>68</v>
      </c>
      <c r="G246" t="str">
        <f t="shared" si="6"/>
        <v>33001BELIEVE IN PINK</v>
      </c>
      <c r="H246">
        <v>1404</v>
      </c>
      <c r="I246">
        <v>1250</v>
      </c>
      <c r="J246">
        <v>1140</v>
      </c>
      <c r="K246">
        <f t="shared" si="7"/>
        <v>-9.6491228070175433E-2</v>
      </c>
    </row>
    <row r="247" spans="1:11">
      <c r="A247">
        <v>2026</v>
      </c>
      <c r="B247">
        <v>33</v>
      </c>
      <c r="C247" t="s">
        <v>67</v>
      </c>
      <c r="D247" t="s">
        <v>10</v>
      </c>
      <c r="E247" t="s">
        <v>206</v>
      </c>
      <c r="F247" t="s">
        <v>70</v>
      </c>
      <c r="G247" t="str">
        <f t="shared" si="6"/>
        <v>33001EXPLORER</v>
      </c>
      <c r="H247">
        <v>3650</v>
      </c>
      <c r="I247">
        <v>3249</v>
      </c>
      <c r="J247">
        <v>5125</v>
      </c>
      <c r="K247">
        <f t="shared" si="7"/>
        <v>0.36604878048780487</v>
      </c>
    </row>
    <row r="248" spans="1:11">
      <c r="A248">
        <v>2026</v>
      </c>
      <c r="B248">
        <v>33</v>
      </c>
      <c r="C248" t="s">
        <v>67</v>
      </c>
      <c r="D248" t="s">
        <v>10</v>
      </c>
      <c r="E248" t="s">
        <v>206</v>
      </c>
      <c r="F248" t="s">
        <v>72</v>
      </c>
      <c r="G248" t="str">
        <f t="shared" si="6"/>
        <v>33001GRACE KELLY</v>
      </c>
      <c r="H248">
        <v>1371</v>
      </c>
      <c r="I248">
        <v>1220</v>
      </c>
      <c r="J248">
        <v>1710</v>
      </c>
      <c r="K248">
        <f t="shared" si="7"/>
        <v>0.28654970760233917</v>
      </c>
    </row>
    <row r="249" spans="1:11">
      <c r="A249">
        <v>2026</v>
      </c>
      <c r="B249">
        <v>33</v>
      </c>
      <c r="C249" t="s">
        <v>67</v>
      </c>
      <c r="D249" t="s">
        <v>10</v>
      </c>
      <c r="E249" t="s">
        <v>206</v>
      </c>
      <c r="F249" t="s">
        <v>181</v>
      </c>
      <c r="G249" t="str">
        <f t="shared" si="6"/>
        <v>33001IDOLE</v>
      </c>
      <c r="H249">
        <v>836</v>
      </c>
      <c r="I249">
        <v>786</v>
      </c>
      <c r="J249" t="e">
        <v>#N/A</v>
      </c>
      <c r="K249" t="e">
        <f t="shared" si="7"/>
        <v>#N/A</v>
      </c>
    </row>
    <row r="250" spans="1:11">
      <c r="A250">
        <v>2026</v>
      </c>
      <c r="B250">
        <v>33</v>
      </c>
      <c r="C250" t="s">
        <v>67</v>
      </c>
      <c r="D250" t="s">
        <v>10</v>
      </c>
      <c r="E250" t="s">
        <v>206</v>
      </c>
      <c r="F250" t="s">
        <v>74</v>
      </c>
      <c r="G250" t="str">
        <f t="shared" si="6"/>
        <v>33001LIGHT HOUSE</v>
      </c>
      <c r="H250">
        <v>1318</v>
      </c>
      <c r="I250">
        <v>1173</v>
      </c>
      <c r="J250">
        <v>2040</v>
      </c>
      <c r="K250">
        <f t="shared" si="7"/>
        <v>0.42499999999999999</v>
      </c>
    </row>
    <row r="251" spans="1:11">
      <c r="A251">
        <v>2026</v>
      </c>
      <c r="B251">
        <v>33</v>
      </c>
      <c r="C251" t="s">
        <v>67</v>
      </c>
      <c r="D251" t="s">
        <v>10</v>
      </c>
      <c r="E251" t="s">
        <v>206</v>
      </c>
      <c r="F251" t="s">
        <v>76</v>
      </c>
      <c r="G251" t="str">
        <f t="shared" si="6"/>
        <v>33001LUMIA</v>
      </c>
      <c r="H251">
        <v>1472</v>
      </c>
      <c r="I251">
        <v>1310</v>
      </c>
      <c r="J251">
        <v>1680</v>
      </c>
      <c r="K251">
        <f t="shared" si="7"/>
        <v>0.22023809523809523</v>
      </c>
    </row>
    <row r="252" spans="1:11">
      <c r="A252">
        <v>2026</v>
      </c>
      <c r="B252">
        <v>33</v>
      </c>
      <c r="C252" t="s">
        <v>67</v>
      </c>
      <c r="D252" t="s">
        <v>10</v>
      </c>
      <c r="E252" t="s">
        <v>206</v>
      </c>
      <c r="F252" t="s">
        <v>78</v>
      </c>
      <c r="G252" t="str">
        <f t="shared" si="6"/>
        <v>33001MOMENTUM</v>
      </c>
      <c r="H252">
        <v>3416</v>
      </c>
      <c r="I252">
        <v>3416</v>
      </c>
      <c r="J252">
        <v>3600</v>
      </c>
      <c r="K252">
        <f t="shared" si="7"/>
        <v>5.1111111111111114E-2</v>
      </c>
    </row>
    <row r="253" spans="1:11">
      <c r="A253">
        <v>2026</v>
      </c>
      <c r="B253">
        <v>33</v>
      </c>
      <c r="C253" t="s">
        <v>67</v>
      </c>
      <c r="D253" t="s">
        <v>10</v>
      </c>
      <c r="E253" t="s">
        <v>188</v>
      </c>
      <c r="F253" t="s">
        <v>80</v>
      </c>
      <c r="G253" t="str">
        <f t="shared" si="6"/>
        <v>33002SUMMER ROMANCE</v>
      </c>
      <c r="H253">
        <v>1943</v>
      </c>
      <c r="I253">
        <v>1943</v>
      </c>
      <c r="J253">
        <v>1600</v>
      </c>
      <c r="K253">
        <f t="shared" si="7"/>
        <v>-0.21437500000000001</v>
      </c>
    </row>
    <row r="254" spans="1:11">
      <c r="A254">
        <v>2026</v>
      </c>
      <c r="B254">
        <v>33</v>
      </c>
      <c r="C254" t="s">
        <v>67</v>
      </c>
      <c r="D254" t="s">
        <v>10</v>
      </c>
      <c r="E254" t="s">
        <v>188</v>
      </c>
      <c r="F254" t="s">
        <v>82</v>
      </c>
      <c r="G254" t="str">
        <f t="shared" si="6"/>
        <v>33002SWEETNESS</v>
      </c>
      <c r="H254">
        <v>6126</v>
      </c>
      <c r="I254">
        <v>6126</v>
      </c>
      <c r="J254">
        <v>5280</v>
      </c>
      <c r="K254">
        <f t="shared" si="7"/>
        <v>-0.16022727272727272</v>
      </c>
    </row>
    <row r="255" spans="1:11">
      <c r="A255">
        <v>2026</v>
      </c>
      <c r="B255">
        <v>33</v>
      </c>
      <c r="C255" t="s">
        <v>67</v>
      </c>
      <c r="D255" t="s">
        <v>10</v>
      </c>
      <c r="E255" t="s">
        <v>207</v>
      </c>
      <c r="F255" t="s">
        <v>84</v>
      </c>
      <c r="G255" t="str">
        <f t="shared" si="6"/>
        <v>33003CABARET</v>
      </c>
      <c r="H255">
        <v>4597</v>
      </c>
      <c r="I255">
        <v>4597</v>
      </c>
      <c r="J255">
        <v>3660</v>
      </c>
      <c r="K255">
        <f t="shared" si="7"/>
        <v>-0.25601092896174865</v>
      </c>
    </row>
    <row r="256" spans="1:11">
      <c r="A256">
        <v>2026</v>
      </c>
      <c r="B256">
        <v>33</v>
      </c>
      <c r="C256" t="s">
        <v>67</v>
      </c>
      <c r="D256" t="s">
        <v>10</v>
      </c>
      <c r="E256" t="s">
        <v>207</v>
      </c>
      <c r="F256" t="s">
        <v>86</v>
      </c>
      <c r="G256" t="str">
        <f t="shared" si="6"/>
        <v>33003DEEP PURPLE</v>
      </c>
      <c r="H256">
        <v>6337</v>
      </c>
      <c r="I256">
        <v>6337</v>
      </c>
      <c r="J256">
        <v>8220</v>
      </c>
      <c r="K256">
        <f t="shared" si="7"/>
        <v>0.22907542579075427</v>
      </c>
    </row>
    <row r="257" spans="1:11">
      <c r="A257">
        <v>2026</v>
      </c>
      <c r="B257">
        <v>33</v>
      </c>
      <c r="C257" t="s">
        <v>67</v>
      </c>
      <c r="D257" t="s">
        <v>10</v>
      </c>
      <c r="E257" t="s">
        <v>207</v>
      </c>
      <c r="F257" t="s">
        <v>70</v>
      </c>
      <c r="G257" t="str">
        <f t="shared" si="6"/>
        <v>33003EXPLORER</v>
      </c>
      <c r="H257">
        <v>1888</v>
      </c>
      <c r="I257">
        <v>1810</v>
      </c>
      <c r="J257">
        <v>1625</v>
      </c>
      <c r="K257">
        <f t="shared" si="7"/>
        <v>-0.11384615384615385</v>
      </c>
    </row>
    <row r="258" spans="1:11">
      <c r="A258">
        <v>2026</v>
      </c>
      <c r="B258">
        <v>33</v>
      </c>
      <c r="C258" t="s">
        <v>67</v>
      </c>
      <c r="D258" t="s">
        <v>10</v>
      </c>
      <c r="E258" t="s">
        <v>207</v>
      </c>
      <c r="F258" t="s">
        <v>89</v>
      </c>
      <c r="G258" t="str">
        <f t="shared" si="6"/>
        <v>33003JOCKER</v>
      </c>
      <c r="H258">
        <v>808</v>
      </c>
      <c r="I258">
        <v>720</v>
      </c>
      <c r="J258">
        <v>1075</v>
      </c>
      <c r="K258">
        <f t="shared" si="7"/>
        <v>0.33023255813953489</v>
      </c>
    </row>
    <row r="259" spans="1:11">
      <c r="A259">
        <v>2026</v>
      </c>
      <c r="B259">
        <v>33</v>
      </c>
      <c r="C259" t="s">
        <v>67</v>
      </c>
      <c r="D259" t="s">
        <v>10</v>
      </c>
      <c r="E259" t="s">
        <v>207</v>
      </c>
      <c r="F259" t="s">
        <v>91</v>
      </c>
      <c r="G259" t="str">
        <f t="shared" ref="G259:G322" si="8">+B259&amp;E259&amp;F259</f>
        <v>33003QUICKSAND</v>
      </c>
      <c r="H259">
        <v>1339</v>
      </c>
      <c r="I259">
        <v>1221</v>
      </c>
      <c r="J259">
        <v>1980</v>
      </c>
      <c r="K259">
        <f t="shared" ref="K259:K322" si="9">+(J259-I259)/J259</f>
        <v>0.38333333333333336</v>
      </c>
    </row>
    <row r="260" spans="1:11">
      <c r="A260">
        <v>2026</v>
      </c>
      <c r="B260">
        <v>33</v>
      </c>
      <c r="C260" t="s">
        <v>67</v>
      </c>
      <c r="D260" t="s">
        <v>10</v>
      </c>
      <c r="E260" t="s">
        <v>189</v>
      </c>
      <c r="F260" t="s">
        <v>93</v>
      </c>
      <c r="G260" t="str">
        <f t="shared" si="8"/>
        <v>33004COTOPAXI</v>
      </c>
      <c r="H260">
        <v>908</v>
      </c>
      <c r="I260">
        <v>808</v>
      </c>
      <c r="J260">
        <v>900</v>
      </c>
      <c r="K260">
        <f t="shared" si="9"/>
        <v>0.10222222222222223</v>
      </c>
    </row>
    <row r="261" spans="1:11">
      <c r="A261">
        <v>2026</v>
      </c>
      <c r="B261">
        <v>33</v>
      </c>
      <c r="C261" t="s">
        <v>67</v>
      </c>
      <c r="D261" t="s">
        <v>10</v>
      </c>
      <c r="E261" t="s">
        <v>189</v>
      </c>
      <c r="F261" t="s">
        <v>86</v>
      </c>
      <c r="G261" t="str">
        <f t="shared" si="8"/>
        <v>33004DEEP PURPLE</v>
      </c>
      <c r="H261">
        <v>8441</v>
      </c>
      <c r="I261">
        <v>8441</v>
      </c>
      <c r="J261">
        <v>6030</v>
      </c>
      <c r="K261">
        <f t="shared" si="9"/>
        <v>-0.39983416252072967</v>
      </c>
    </row>
    <row r="262" spans="1:11">
      <c r="A262">
        <v>2026</v>
      </c>
      <c r="B262">
        <v>33</v>
      </c>
      <c r="C262" t="s">
        <v>67</v>
      </c>
      <c r="D262" t="s">
        <v>10</v>
      </c>
      <c r="E262" t="s">
        <v>189</v>
      </c>
      <c r="F262" t="s">
        <v>96</v>
      </c>
      <c r="G262" t="str">
        <f t="shared" si="8"/>
        <v>33004HOT EXPLORER</v>
      </c>
      <c r="H262">
        <v>2209</v>
      </c>
      <c r="I262">
        <v>2209</v>
      </c>
      <c r="J262">
        <v>1550</v>
      </c>
      <c r="K262">
        <f t="shared" si="9"/>
        <v>-0.42516129032258065</v>
      </c>
    </row>
    <row r="263" spans="1:11">
      <c r="A263">
        <v>2026</v>
      </c>
      <c r="B263">
        <v>33</v>
      </c>
      <c r="C263" t="s">
        <v>67</v>
      </c>
      <c r="D263" t="s">
        <v>10</v>
      </c>
      <c r="E263" t="s">
        <v>189</v>
      </c>
      <c r="F263" t="s">
        <v>98</v>
      </c>
      <c r="G263" t="str">
        <f t="shared" si="8"/>
        <v>33004HOT MERENGUE</v>
      </c>
      <c r="H263">
        <v>2131</v>
      </c>
      <c r="I263">
        <v>1896</v>
      </c>
      <c r="J263">
        <v>3120</v>
      </c>
      <c r="K263">
        <f t="shared" si="9"/>
        <v>0.3923076923076923</v>
      </c>
    </row>
    <row r="264" spans="1:11">
      <c r="A264">
        <v>2026</v>
      </c>
      <c r="B264">
        <v>33</v>
      </c>
      <c r="C264" t="s">
        <v>67</v>
      </c>
      <c r="D264" t="s">
        <v>10</v>
      </c>
      <c r="E264" t="s">
        <v>189</v>
      </c>
      <c r="F264" t="s">
        <v>82</v>
      </c>
      <c r="G264" t="str">
        <f t="shared" si="8"/>
        <v>33004SWEETNESS</v>
      </c>
      <c r="H264">
        <v>566</v>
      </c>
      <c r="I264">
        <v>504</v>
      </c>
      <c r="J264">
        <v>510</v>
      </c>
      <c r="K264">
        <f t="shared" si="9"/>
        <v>1.1764705882352941E-2</v>
      </c>
    </row>
    <row r="265" spans="1:11">
      <c r="A265">
        <v>2026</v>
      </c>
      <c r="B265">
        <v>33</v>
      </c>
      <c r="C265" t="s">
        <v>67</v>
      </c>
      <c r="D265" t="s">
        <v>10</v>
      </c>
      <c r="E265" t="s">
        <v>190</v>
      </c>
      <c r="F265" t="s">
        <v>70</v>
      </c>
      <c r="G265" t="str">
        <f t="shared" si="8"/>
        <v>33005EXPLORER</v>
      </c>
      <c r="H265">
        <v>796</v>
      </c>
      <c r="I265">
        <v>709</v>
      </c>
      <c r="J265">
        <v>1650</v>
      </c>
      <c r="K265">
        <f t="shared" si="9"/>
        <v>0.57030303030303031</v>
      </c>
    </row>
    <row r="266" spans="1:11">
      <c r="A266">
        <v>2026</v>
      </c>
      <c r="B266">
        <v>33</v>
      </c>
      <c r="C266" t="s">
        <v>67</v>
      </c>
      <c r="D266" t="s">
        <v>10</v>
      </c>
      <c r="E266" t="s">
        <v>190</v>
      </c>
      <c r="F266" t="s">
        <v>102</v>
      </c>
      <c r="G266" t="str">
        <f t="shared" si="8"/>
        <v>33005GOLDFINCH</v>
      </c>
      <c r="H266">
        <v>757</v>
      </c>
      <c r="I266">
        <v>674</v>
      </c>
      <c r="J266">
        <v>825</v>
      </c>
      <c r="K266">
        <f t="shared" si="9"/>
        <v>0.18303030303030304</v>
      </c>
    </row>
    <row r="267" spans="1:11">
      <c r="A267">
        <v>2026</v>
      </c>
      <c r="B267">
        <v>33</v>
      </c>
      <c r="C267" t="s">
        <v>67</v>
      </c>
      <c r="D267" t="s">
        <v>10</v>
      </c>
      <c r="E267" t="s">
        <v>190</v>
      </c>
      <c r="F267" t="s">
        <v>89</v>
      </c>
      <c r="G267" t="str">
        <f t="shared" si="8"/>
        <v>33005JOCKER</v>
      </c>
      <c r="H267">
        <v>1948</v>
      </c>
      <c r="I267">
        <v>1898</v>
      </c>
      <c r="J267">
        <v>2425</v>
      </c>
      <c r="K267">
        <f t="shared" si="9"/>
        <v>0.21731958762886597</v>
      </c>
    </row>
    <row r="268" spans="1:11">
      <c r="A268">
        <v>2026</v>
      </c>
      <c r="B268">
        <v>33</v>
      </c>
      <c r="C268" t="s">
        <v>67</v>
      </c>
      <c r="D268" t="s">
        <v>10</v>
      </c>
      <c r="E268" t="s">
        <v>190</v>
      </c>
      <c r="F268" t="s">
        <v>105</v>
      </c>
      <c r="G268" t="str">
        <f t="shared" si="8"/>
        <v>33005VENDELA</v>
      </c>
      <c r="H268">
        <v>1903</v>
      </c>
      <c r="I268">
        <v>1903</v>
      </c>
      <c r="J268">
        <v>1590</v>
      </c>
      <c r="K268">
        <f t="shared" si="9"/>
        <v>-0.1968553459119497</v>
      </c>
    </row>
    <row r="269" spans="1:11">
      <c r="A269">
        <v>2026</v>
      </c>
      <c r="B269">
        <v>33</v>
      </c>
      <c r="C269" t="s">
        <v>67</v>
      </c>
      <c r="D269" t="s">
        <v>10</v>
      </c>
      <c r="E269" t="s">
        <v>208</v>
      </c>
      <c r="F269" t="s">
        <v>107</v>
      </c>
      <c r="G269" t="str">
        <f t="shared" si="8"/>
        <v>33006ATOMIC</v>
      </c>
      <c r="H269">
        <v>781</v>
      </c>
      <c r="I269">
        <v>695</v>
      </c>
      <c r="J269" t="e">
        <v>#N/A</v>
      </c>
      <c r="K269" t="e">
        <f t="shared" si="9"/>
        <v>#N/A</v>
      </c>
    </row>
    <row r="270" spans="1:11">
      <c r="A270">
        <v>2026</v>
      </c>
      <c r="B270">
        <v>33</v>
      </c>
      <c r="C270" t="s">
        <v>67</v>
      </c>
      <c r="D270" t="s">
        <v>10</v>
      </c>
      <c r="E270" t="s">
        <v>208</v>
      </c>
      <c r="F270" t="s">
        <v>70</v>
      </c>
      <c r="G270" t="str">
        <f t="shared" si="8"/>
        <v>33006EXPLORER</v>
      </c>
      <c r="H270">
        <v>4542</v>
      </c>
      <c r="I270">
        <v>4542</v>
      </c>
      <c r="J270">
        <v>6775</v>
      </c>
      <c r="K270">
        <f t="shared" si="9"/>
        <v>0.3295940959409594</v>
      </c>
    </row>
    <row r="271" spans="1:11">
      <c r="A271">
        <v>2026</v>
      </c>
      <c r="B271">
        <v>33</v>
      </c>
      <c r="C271" t="s">
        <v>67</v>
      </c>
      <c r="D271" t="s">
        <v>10</v>
      </c>
      <c r="E271" t="s">
        <v>208</v>
      </c>
      <c r="F271" t="s">
        <v>110</v>
      </c>
      <c r="G271" t="str">
        <f t="shared" si="8"/>
        <v>33006MONDIAL</v>
      </c>
      <c r="H271">
        <v>4456</v>
      </c>
      <c r="I271">
        <v>4456</v>
      </c>
      <c r="J271">
        <v>6250</v>
      </c>
      <c r="K271">
        <f t="shared" si="9"/>
        <v>0.28704000000000002</v>
      </c>
    </row>
    <row r="272" spans="1:11">
      <c r="A272">
        <v>2026</v>
      </c>
      <c r="B272">
        <v>33</v>
      </c>
      <c r="C272" t="s">
        <v>67</v>
      </c>
      <c r="D272" t="s">
        <v>10</v>
      </c>
      <c r="E272" t="s">
        <v>191</v>
      </c>
      <c r="F272" t="s">
        <v>93</v>
      </c>
      <c r="G272" t="str">
        <f t="shared" si="8"/>
        <v>33007COTOPAXI</v>
      </c>
      <c r="H272">
        <v>5950</v>
      </c>
      <c r="I272">
        <v>5295</v>
      </c>
      <c r="J272">
        <v>3870</v>
      </c>
      <c r="K272">
        <f t="shared" si="9"/>
        <v>-0.36821705426356588</v>
      </c>
    </row>
    <row r="273" spans="1:11">
      <c r="A273">
        <v>2026</v>
      </c>
      <c r="B273">
        <v>33</v>
      </c>
      <c r="C273" t="s">
        <v>67</v>
      </c>
      <c r="D273" t="s">
        <v>10</v>
      </c>
      <c r="E273" t="s">
        <v>191</v>
      </c>
      <c r="F273" t="s">
        <v>113</v>
      </c>
      <c r="G273" t="str">
        <f t="shared" si="8"/>
        <v>33007REDIANT</v>
      </c>
      <c r="H273">
        <v>1580</v>
      </c>
      <c r="I273">
        <v>1406</v>
      </c>
      <c r="J273">
        <v>1320</v>
      </c>
      <c r="K273">
        <f t="shared" si="9"/>
        <v>-6.5151515151515155E-2</v>
      </c>
    </row>
    <row r="274" spans="1:11">
      <c r="A274">
        <v>2026</v>
      </c>
      <c r="B274">
        <v>33</v>
      </c>
      <c r="C274" t="s">
        <v>67</v>
      </c>
      <c r="D274" t="s">
        <v>10</v>
      </c>
      <c r="E274" t="s">
        <v>191</v>
      </c>
      <c r="F274" t="s">
        <v>105</v>
      </c>
      <c r="G274" t="str">
        <f t="shared" si="8"/>
        <v>33007VENDELA</v>
      </c>
      <c r="H274">
        <v>14862</v>
      </c>
      <c r="I274">
        <v>14862</v>
      </c>
      <c r="J274">
        <v>8190</v>
      </c>
      <c r="K274">
        <f t="shared" si="9"/>
        <v>-0.81465201465201464</v>
      </c>
    </row>
    <row r="275" spans="1:11">
      <c r="A275">
        <v>2026</v>
      </c>
      <c r="B275">
        <v>33</v>
      </c>
      <c r="C275" t="s">
        <v>67</v>
      </c>
      <c r="D275" t="s">
        <v>10</v>
      </c>
      <c r="E275" t="s">
        <v>209</v>
      </c>
      <c r="F275" t="s">
        <v>86</v>
      </c>
      <c r="G275" t="str">
        <f t="shared" si="8"/>
        <v>33008DEEP PURPLE</v>
      </c>
      <c r="H275">
        <v>3167</v>
      </c>
      <c r="I275">
        <v>3167</v>
      </c>
      <c r="J275">
        <v>3570</v>
      </c>
      <c r="K275">
        <f t="shared" si="9"/>
        <v>0.11288515406162465</v>
      </c>
    </row>
    <row r="276" spans="1:11">
      <c r="A276">
        <v>2026</v>
      </c>
      <c r="B276">
        <v>33</v>
      </c>
      <c r="C276" t="s">
        <v>67</v>
      </c>
      <c r="D276" t="s">
        <v>10</v>
      </c>
      <c r="E276" t="s">
        <v>209</v>
      </c>
      <c r="F276" t="s">
        <v>117</v>
      </c>
      <c r="G276" t="str">
        <f t="shared" si="8"/>
        <v>33008FREEDOM</v>
      </c>
      <c r="H276">
        <v>3040</v>
      </c>
      <c r="I276">
        <v>3040</v>
      </c>
      <c r="J276">
        <v>3870</v>
      </c>
      <c r="K276">
        <f t="shared" si="9"/>
        <v>0.2144702842377261</v>
      </c>
    </row>
    <row r="277" spans="1:11">
      <c r="A277">
        <v>2026</v>
      </c>
      <c r="B277">
        <v>33</v>
      </c>
      <c r="C277" t="s">
        <v>67</v>
      </c>
      <c r="D277" t="s">
        <v>10</v>
      </c>
      <c r="E277" t="s">
        <v>209</v>
      </c>
      <c r="F277" t="s">
        <v>89</v>
      </c>
      <c r="G277" t="str">
        <f t="shared" si="8"/>
        <v>33008JOCKER</v>
      </c>
      <c r="H277">
        <v>3421</v>
      </c>
      <c r="I277">
        <v>3421</v>
      </c>
      <c r="J277">
        <v>5600</v>
      </c>
      <c r="K277">
        <f t="shared" si="9"/>
        <v>0.38910714285714287</v>
      </c>
    </row>
    <row r="278" spans="1:11">
      <c r="A278">
        <v>2026</v>
      </c>
      <c r="B278">
        <v>33</v>
      </c>
      <c r="C278" t="s">
        <v>67</v>
      </c>
      <c r="D278" t="s">
        <v>10</v>
      </c>
      <c r="E278" t="s">
        <v>210</v>
      </c>
      <c r="F278" t="s">
        <v>120</v>
      </c>
      <c r="G278" t="str">
        <f t="shared" si="8"/>
        <v>33010COOLDOWN</v>
      </c>
      <c r="H278">
        <v>2045</v>
      </c>
      <c r="I278">
        <v>2045</v>
      </c>
      <c r="J278">
        <v>3075</v>
      </c>
      <c r="K278">
        <f t="shared" si="9"/>
        <v>0.33495934959349594</v>
      </c>
    </row>
    <row r="279" spans="1:11">
      <c r="A279">
        <v>2026</v>
      </c>
      <c r="B279">
        <v>33</v>
      </c>
      <c r="C279" t="s">
        <v>67</v>
      </c>
      <c r="D279" t="s">
        <v>10</v>
      </c>
      <c r="E279" t="s">
        <v>210</v>
      </c>
      <c r="F279" t="s">
        <v>122</v>
      </c>
      <c r="G279" t="str">
        <f t="shared" si="8"/>
        <v>33010VIOLET HILL</v>
      </c>
      <c r="H279">
        <v>3421</v>
      </c>
      <c r="I279">
        <v>3421</v>
      </c>
      <c r="J279">
        <v>5730</v>
      </c>
      <c r="K279">
        <f t="shared" si="9"/>
        <v>0.40296684118673648</v>
      </c>
    </row>
    <row r="280" spans="1:11">
      <c r="A280">
        <v>2026</v>
      </c>
      <c r="B280">
        <v>33</v>
      </c>
      <c r="C280" t="s">
        <v>67</v>
      </c>
      <c r="D280" t="s">
        <v>10</v>
      </c>
      <c r="E280" t="s">
        <v>211</v>
      </c>
      <c r="F280" t="s">
        <v>124</v>
      </c>
      <c r="G280" t="str">
        <f t="shared" si="8"/>
        <v>33011BRIGHTON</v>
      </c>
      <c r="H280">
        <v>3483</v>
      </c>
      <c r="I280">
        <v>3483</v>
      </c>
      <c r="J280">
        <v>2475</v>
      </c>
      <c r="K280">
        <f t="shared" si="9"/>
        <v>-0.40727272727272729</v>
      </c>
    </row>
    <row r="281" spans="1:11">
      <c r="A281">
        <v>2026</v>
      </c>
      <c r="B281">
        <v>33</v>
      </c>
      <c r="C281" t="s">
        <v>67</v>
      </c>
      <c r="D281" t="s">
        <v>10</v>
      </c>
      <c r="E281" t="s">
        <v>211</v>
      </c>
      <c r="F281" t="s">
        <v>126</v>
      </c>
      <c r="G281" t="str">
        <f t="shared" si="8"/>
        <v>33011CANDLELIGHT</v>
      </c>
      <c r="H281">
        <v>3551</v>
      </c>
      <c r="I281">
        <v>3551</v>
      </c>
      <c r="J281">
        <v>3380</v>
      </c>
      <c r="K281">
        <f t="shared" si="9"/>
        <v>-5.0591715976331358E-2</v>
      </c>
    </row>
    <row r="282" spans="1:11">
      <c r="A282">
        <v>2026</v>
      </c>
      <c r="B282">
        <v>33</v>
      </c>
      <c r="C282" t="s">
        <v>67</v>
      </c>
      <c r="D282" t="s">
        <v>10</v>
      </c>
      <c r="E282" t="s">
        <v>211</v>
      </c>
      <c r="F282" t="s">
        <v>128</v>
      </c>
      <c r="G282" t="str">
        <f t="shared" si="8"/>
        <v>33011CAYENNE</v>
      </c>
      <c r="H282">
        <v>1246</v>
      </c>
      <c r="I282">
        <v>1109</v>
      </c>
      <c r="J282">
        <v>1170</v>
      </c>
      <c r="K282">
        <f t="shared" si="9"/>
        <v>5.2136752136752139E-2</v>
      </c>
    </row>
    <row r="283" spans="1:11">
      <c r="A283">
        <v>2026</v>
      </c>
      <c r="B283">
        <v>33</v>
      </c>
      <c r="C283" t="s">
        <v>67</v>
      </c>
      <c r="D283" t="s">
        <v>10</v>
      </c>
      <c r="E283" t="s">
        <v>211</v>
      </c>
      <c r="F283" t="s">
        <v>76</v>
      </c>
      <c r="G283" t="str">
        <f t="shared" si="8"/>
        <v>33011LUMIA</v>
      </c>
      <c r="H283">
        <v>1483</v>
      </c>
      <c r="I283">
        <v>1356</v>
      </c>
      <c r="J283">
        <v>1590</v>
      </c>
      <c r="K283">
        <f t="shared" si="9"/>
        <v>0.14716981132075471</v>
      </c>
    </row>
    <row r="284" spans="1:11">
      <c r="A284">
        <v>2026</v>
      </c>
      <c r="B284">
        <v>33</v>
      </c>
      <c r="C284" t="s">
        <v>67</v>
      </c>
      <c r="D284" t="s">
        <v>10</v>
      </c>
      <c r="E284" t="s">
        <v>211</v>
      </c>
      <c r="F284" t="s">
        <v>131</v>
      </c>
      <c r="G284" t="str">
        <f t="shared" si="8"/>
        <v>33011STARDUST</v>
      </c>
      <c r="H284">
        <v>2410</v>
      </c>
      <c r="I284">
        <v>2410</v>
      </c>
      <c r="J284">
        <v>2275</v>
      </c>
      <c r="K284">
        <f t="shared" si="9"/>
        <v>-5.9340659340659338E-2</v>
      </c>
    </row>
    <row r="285" spans="1:11">
      <c r="A285">
        <v>2026</v>
      </c>
      <c r="B285">
        <v>33</v>
      </c>
      <c r="C285" t="s">
        <v>67</v>
      </c>
      <c r="D285" t="s">
        <v>10</v>
      </c>
      <c r="E285" t="s">
        <v>212</v>
      </c>
      <c r="F285" t="s">
        <v>86</v>
      </c>
      <c r="G285" t="str">
        <f t="shared" si="8"/>
        <v>33012DEEP PURPLE</v>
      </c>
      <c r="H285">
        <v>11254</v>
      </c>
      <c r="I285">
        <v>11254</v>
      </c>
      <c r="J285">
        <v>12570</v>
      </c>
      <c r="K285">
        <f t="shared" si="9"/>
        <v>0.10469371519490851</v>
      </c>
    </row>
    <row r="286" spans="1:11">
      <c r="A286">
        <v>2026</v>
      </c>
      <c r="B286">
        <v>33</v>
      </c>
      <c r="C286" t="s">
        <v>67</v>
      </c>
      <c r="D286" t="s">
        <v>10</v>
      </c>
      <c r="E286" t="s">
        <v>212</v>
      </c>
      <c r="F286" t="s">
        <v>74</v>
      </c>
      <c r="G286" t="str">
        <f t="shared" si="8"/>
        <v>33012LIGHT HOUSE</v>
      </c>
      <c r="H286">
        <v>1143</v>
      </c>
      <c r="I286">
        <v>1017</v>
      </c>
      <c r="J286">
        <v>840</v>
      </c>
      <c r="K286">
        <f t="shared" si="9"/>
        <v>-0.21071428571428572</v>
      </c>
    </row>
    <row r="287" spans="1:11">
      <c r="A287">
        <v>2026</v>
      </c>
      <c r="B287">
        <v>33</v>
      </c>
      <c r="C287" t="s">
        <v>67</v>
      </c>
      <c r="D287" t="s">
        <v>10</v>
      </c>
      <c r="E287" t="s">
        <v>213</v>
      </c>
      <c r="F287" t="s">
        <v>135</v>
      </c>
      <c r="G287" t="str">
        <f t="shared" si="8"/>
        <v>33013COUNTRY BLUES</v>
      </c>
      <c r="H287">
        <v>1319</v>
      </c>
      <c r="I287">
        <v>1174</v>
      </c>
      <c r="J287">
        <v>720</v>
      </c>
      <c r="K287">
        <f t="shared" si="9"/>
        <v>-0.63055555555555554</v>
      </c>
    </row>
    <row r="288" spans="1:11">
      <c r="A288">
        <v>2026</v>
      </c>
      <c r="B288">
        <v>33</v>
      </c>
      <c r="C288" t="s">
        <v>67</v>
      </c>
      <c r="D288" t="s">
        <v>10</v>
      </c>
      <c r="E288" t="s">
        <v>213</v>
      </c>
      <c r="F288" t="s">
        <v>137</v>
      </c>
      <c r="G288" t="str">
        <f t="shared" si="8"/>
        <v>33013LORRAINE</v>
      </c>
      <c r="H288">
        <v>2836</v>
      </c>
      <c r="I288">
        <v>2836</v>
      </c>
      <c r="J288">
        <v>2325</v>
      </c>
      <c r="K288">
        <f t="shared" si="9"/>
        <v>-0.21978494623655914</v>
      </c>
    </row>
    <row r="289" spans="1:11">
      <c r="A289">
        <v>2026</v>
      </c>
      <c r="B289">
        <v>33</v>
      </c>
      <c r="C289" t="s">
        <v>67</v>
      </c>
      <c r="D289" t="s">
        <v>10</v>
      </c>
      <c r="E289" t="s">
        <v>213</v>
      </c>
      <c r="F289" t="s">
        <v>76</v>
      </c>
      <c r="G289" t="str">
        <f t="shared" si="8"/>
        <v>33013LUMIA</v>
      </c>
      <c r="H289">
        <v>460</v>
      </c>
      <c r="I289">
        <v>409</v>
      </c>
      <c r="J289">
        <v>480</v>
      </c>
      <c r="K289">
        <f t="shared" si="9"/>
        <v>0.14791666666666667</v>
      </c>
    </row>
    <row r="290" spans="1:11">
      <c r="A290">
        <v>2026</v>
      </c>
      <c r="B290">
        <v>33</v>
      </c>
      <c r="C290" t="s">
        <v>67</v>
      </c>
      <c r="D290" t="s">
        <v>10</v>
      </c>
      <c r="E290" t="s">
        <v>213</v>
      </c>
      <c r="F290" t="s">
        <v>105</v>
      </c>
      <c r="G290" t="str">
        <f t="shared" si="8"/>
        <v>33013VENDELA</v>
      </c>
      <c r="H290">
        <v>9764</v>
      </c>
      <c r="I290">
        <v>9764</v>
      </c>
      <c r="J290">
        <v>6090</v>
      </c>
      <c r="K290">
        <f t="shared" si="9"/>
        <v>-0.60328407224958946</v>
      </c>
    </row>
    <row r="291" spans="1:11">
      <c r="A291">
        <v>2026</v>
      </c>
      <c r="B291">
        <v>33</v>
      </c>
      <c r="C291" t="s">
        <v>67</v>
      </c>
      <c r="D291" t="s">
        <v>10</v>
      </c>
      <c r="E291" t="s">
        <v>193</v>
      </c>
      <c r="F291" t="s">
        <v>131</v>
      </c>
      <c r="G291" t="str">
        <f t="shared" si="8"/>
        <v>33014STARDUST</v>
      </c>
      <c r="H291">
        <v>3965</v>
      </c>
      <c r="I291">
        <v>3965</v>
      </c>
      <c r="J291">
        <v>4650</v>
      </c>
      <c r="K291">
        <f t="shared" si="9"/>
        <v>0.14731182795698924</v>
      </c>
    </row>
    <row r="292" spans="1:11">
      <c r="A292">
        <v>2026</v>
      </c>
      <c r="B292">
        <v>33</v>
      </c>
      <c r="C292" t="s">
        <v>67</v>
      </c>
      <c r="D292" t="s">
        <v>10</v>
      </c>
      <c r="E292" t="s">
        <v>194</v>
      </c>
      <c r="F292" t="s">
        <v>89</v>
      </c>
      <c r="G292" t="str">
        <f t="shared" si="8"/>
        <v>33015JOCKER</v>
      </c>
      <c r="H292">
        <v>3068</v>
      </c>
      <c r="I292">
        <v>3068</v>
      </c>
      <c r="J292">
        <v>2975</v>
      </c>
      <c r="K292">
        <f t="shared" si="9"/>
        <v>-3.1260504201680674E-2</v>
      </c>
    </row>
    <row r="293" spans="1:11">
      <c r="A293">
        <v>2026</v>
      </c>
      <c r="B293">
        <v>33</v>
      </c>
      <c r="C293" t="s">
        <v>67</v>
      </c>
      <c r="D293" t="s">
        <v>10</v>
      </c>
      <c r="E293" t="s">
        <v>195</v>
      </c>
      <c r="F293" t="s">
        <v>143</v>
      </c>
      <c r="G293" t="str">
        <f t="shared" si="8"/>
        <v>33016DREAM IN PEACH</v>
      </c>
      <c r="H293">
        <v>669</v>
      </c>
      <c r="I293">
        <v>595</v>
      </c>
      <c r="J293">
        <v>1500</v>
      </c>
      <c r="K293">
        <f t="shared" si="9"/>
        <v>0.60333333333333339</v>
      </c>
    </row>
    <row r="294" spans="1:11">
      <c r="A294">
        <v>2026</v>
      </c>
      <c r="B294">
        <v>33</v>
      </c>
      <c r="C294" t="s">
        <v>67</v>
      </c>
      <c r="D294" t="s">
        <v>10</v>
      </c>
      <c r="E294" t="s">
        <v>195</v>
      </c>
      <c r="F294" t="s">
        <v>145</v>
      </c>
      <c r="G294" t="str">
        <f t="shared" si="8"/>
        <v>33016NINA</v>
      </c>
      <c r="H294">
        <v>2444</v>
      </c>
      <c r="I294">
        <v>2444</v>
      </c>
      <c r="J294">
        <v>2425</v>
      </c>
      <c r="K294">
        <f t="shared" si="9"/>
        <v>-7.8350515463917522E-3</v>
      </c>
    </row>
    <row r="295" spans="1:11">
      <c r="A295">
        <v>2026</v>
      </c>
      <c r="B295">
        <v>33</v>
      </c>
      <c r="C295" t="s">
        <v>67</v>
      </c>
      <c r="D295" t="s">
        <v>10</v>
      </c>
      <c r="E295" t="s">
        <v>196</v>
      </c>
      <c r="F295" t="s">
        <v>117</v>
      </c>
      <c r="G295" t="str">
        <f t="shared" si="8"/>
        <v>33017FREEDOM</v>
      </c>
      <c r="H295">
        <v>3954</v>
      </c>
      <c r="I295">
        <v>3954</v>
      </c>
      <c r="J295">
        <v>5700</v>
      </c>
      <c r="K295">
        <f t="shared" si="9"/>
        <v>0.30631578947368421</v>
      </c>
    </row>
    <row r="296" spans="1:11">
      <c r="A296">
        <v>2026</v>
      </c>
      <c r="B296">
        <v>33</v>
      </c>
      <c r="C296" t="s">
        <v>67</v>
      </c>
      <c r="D296" t="s">
        <v>10</v>
      </c>
      <c r="E296" t="s">
        <v>196</v>
      </c>
      <c r="F296" t="s">
        <v>102</v>
      </c>
      <c r="G296" t="str">
        <f t="shared" si="8"/>
        <v>33017GOLDFINCH</v>
      </c>
      <c r="H296">
        <v>1989</v>
      </c>
      <c r="I296">
        <v>1770</v>
      </c>
      <c r="J296">
        <v>1850</v>
      </c>
      <c r="K296">
        <f t="shared" si="9"/>
        <v>4.3243243243243246E-2</v>
      </c>
    </row>
    <row r="297" spans="1:11">
      <c r="A297">
        <v>2026</v>
      </c>
      <c r="B297">
        <v>33</v>
      </c>
      <c r="C297" t="s">
        <v>67</v>
      </c>
      <c r="D297" t="s">
        <v>10</v>
      </c>
      <c r="E297" t="s">
        <v>197</v>
      </c>
      <c r="F297" t="s">
        <v>124</v>
      </c>
      <c r="G297" t="str">
        <f t="shared" si="8"/>
        <v>33018BRIGHTON</v>
      </c>
      <c r="H297">
        <v>1527</v>
      </c>
      <c r="I297">
        <v>1359</v>
      </c>
      <c r="J297">
        <v>1225</v>
      </c>
      <c r="K297">
        <f t="shared" si="9"/>
        <v>-0.10938775510204081</v>
      </c>
    </row>
    <row r="298" spans="1:11">
      <c r="A298">
        <v>2026</v>
      </c>
      <c r="B298">
        <v>33</v>
      </c>
      <c r="C298" t="s">
        <v>67</v>
      </c>
      <c r="D298" t="s">
        <v>10</v>
      </c>
      <c r="E298" t="s">
        <v>198</v>
      </c>
      <c r="F298" t="s">
        <v>124</v>
      </c>
      <c r="G298" t="str">
        <f t="shared" si="8"/>
        <v>33019BRIGHTON</v>
      </c>
      <c r="H298">
        <v>4478</v>
      </c>
      <c r="I298">
        <v>4478</v>
      </c>
      <c r="J298">
        <v>5400</v>
      </c>
      <c r="K298">
        <f t="shared" si="9"/>
        <v>0.17074074074074075</v>
      </c>
    </row>
    <row r="299" spans="1:11">
      <c r="A299">
        <v>2026</v>
      </c>
      <c r="B299">
        <v>33</v>
      </c>
      <c r="C299" t="s">
        <v>67</v>
      </c>
      <c r="D299" t="s">
        <v>10</v>
      </c>
      <c r="E299" t="s">
        <v>198</v>
      </c>
      <c r="F299" t="s">
        <v>151</v>
      </c>
      <c r="G299" t="str">
        <f t="shared" si="8"/>
        <v>33019TABATHA</v>
      </c>
      <c r="H299">
        <v>2047</v>
      </c>
      <c r="I299">
        <v>2047</v>
      </c>
      <c r="J299">
        <v>2610</v>
      </c>
      <c r="K299">
        <f t="shared" si="9"/>
        <v>0.2157088122605364</v>
      </c>
    </row>
    <row r="300" spans="1:11">
      <c r="A300">
        <v>2026</v>
      </c>
      <c r="B300">
        <v>33</v>
      </c>
      <c r="C300" t="s">
        <v>67</v>
      </c>
      <c r="D300" t="s">
        <v>10</v>
      </c>
      <c r="E300" t="s">
        <v>199</v>
      </c>
      <c r="F300" t="s">
        <v>124</v>
      </c>
      <c r="G300" t="str">
        <f t="shared" si="8"/>
        <v>33020BRIGHTON</v>
      </c>
      <c r="H300">
        <v>4194</v>
      </c>
      <c r="I300">
        <v>4194</v>
      </c>
      <c r="J300">
        <v>4125</v>
      </c>
      <c r="K300">
        <f t="shared" si="9"/>
        <v>-1.6727272727272726E-2</v>
      </c>
    </row>
    <row r="301" spans="1:11">
      <c r="A301">
        <v>2026</v>
      </c>
      <c r="B301">
        <v>33</v>
      </c>
      <c r="C301" t="s">
        <v>67</v>
      </c>
      <c r="D301" t="s">
        <v>10</v>
      </c>
      <c r="E301" t="s">
        <v>199</v>
      </c>
      <c r="F301" t="s">
        <v>154</v>
      </c>
      <c r="G301" t="str">
        <f t="shared" si="8"/>
        <v>33020TYCOON</v>
      </c>
      <c r="H301">
        <v>1177</v>
      </c>
      <c r="I301">
        <v>1047</v>
      </c>
      <c r="J301">
        <v>840</v>
      </c>
      <c r="K301">
        <f t="shared" si="9"/>
        <v>-0.24642857142857144</v>
      </c>
    </row>
    <row r="302" spans="1:11">
      <c r="A302">
        <v>2026</v>
      </c>
      <c r="B302">
        <v>33</v>
      </c>
      <c r="C302" t="s">
        <v>67</v>
      </c>
      <c r="D302" t="s">
        <v>10</v>
      </c>
      <c r="E302" t="s">
        <v>200</v>
      </c>
      <c r="F302" t="s">
        <v>156</v>
      </c>
      <c r="G302" t="str">
        <f t="shared" si="8"/>
        <v>33021SHOW GIRL</v>
      </c>
      <c r="H302">
        <v>1357</v>
      </c>
      <c r="I302">
        <v>1207</v>
      </c>
      <c r="J302">
        <v>1400</v>
      </c>
      <c r="K302">
        <f t="shared" si="9"/>
        <v>0.13785714285714284</v>
      </c>
    </row>
    <row r="303" spans="1:11">
      <c r="A303">
        <v>2026</v>
      </c>
      <c r="B303">
        <v>33</v>
      </c>
      <c r="C303" t="s">
        <v>67</v>
      </c>
      <c r="D303" t="s">
        <v>10</v>
      </c>
      <c r="E303" t="s">
        <v>201</v>
      </c>
      <c r="F303" t="s">
        <v>158</v>
      </c>
      <c r="G303" t="str">
        <f t="shared" si="8"/>
        <v>33022CORAL REEF</v>
      </c>
      <c r="H303">
        <v>1628</v>
      </c>
      <c r="I303">
        <v>1538</v>
      </c>
      <c r="J303">
        <v>1800</v>
      </c>
      <c r="K303">
        <f t="shared" si="9"/>
        <v>0.14555555555555555</v>
      </c>
    </row>
    <row r="304" spans="1:11">
      <c r="A304">
        <v>2026</v>
      </c>
      <c r="B304">
        <v>33</v>
      </c>
      <c r="C304" t="s">
        <v>67</v>
      </c>
      <c r="D304" t="s">
        <v>10</v>
      </c>
      <c r="E304" t="s">
        <v>214</v>
      </c>
      <c r="F304" t="s">
        <v>93</v>
      </c>
      <c r="G304" t="str">
        <f t="shared" si="8"/>
        <v>33023COTOPAXI</v>
      </c>
      <c r="H304">
        <v>6466</v>
      </c>
      <c r="I304">
        <v>5754</v>
      </c>
      <c r="J304">
        <v>4740</v>
      </c>
      <c r="K304">
        <f t="shared" si="9"/>
        <v>-0.21392405063291139</v>
      </c>
    </row>
    <row r="305" spans="1:11">
      <c r="A305">
        <v>2026</v>
      </c>
      <c r="B305">
        <v>33</v>
      </c>
      <c r="C305" t="s">
        <v>67</v>
      </c>
      <c r="D305" t="s">
        <v>10</v>
      </c>
      <c r="E305" t="s">
        <v>214</v>
      </c>
      <c r="F305" t="s">
        <v>161</v>
      </c>
      <c r="G305" t="str">
        <f t="shared" si="8"/>
        <v>33023FRUTTETO</v>
      </c>
      <c r="H305">
        <v>2877</v>
      </c>
      <c r="I305">
        <v>2877</v>
      </c>
      <c r="J305">
        <v>3870</v>
      </c>
      <c r="K305">
        <f t="shared" si="9"/>
        <v>0.25658914728682169</v>
      </c>
    </row>
    <row r="306" spans="1:11">
      <c r="A306">
        <v>2026</v>
      </c>
      <c r="B306">
        <v>33</v>
      </c>
      <c r="C306" t="s">
        <v>67</v>
      </c>
      <c r="D306" t="s">
        <v>10</v>
      </c>
      <c r="E306" t="s">
        <v>215</v>
      </c>
      <c r="F306" t="s">
        <v>93</v>
      </c>
      <c r="G306" t="str">
        <f t="shared" si="8"/>
        <v>33024COTOPAXI</v>
      </c>
      <c r="H306">
        <v>3066</v>
      </c>
      <c r="I306">
        <v>2728</v>
      </c>
      <c r="J306">
        <v>3000</v>
      </c>
      <c r="K306">
        <f t="shared" si="9"/>
        <v>9.0666666666666673E-2</v>
      </c>
    </row>
    <row r="307" spans="1:11">
      <c r="A307">
        <v>2026</v>
      </c>
      <c r="B307">
        <v>33</v>
      </c>
      <c r="C307" t="s">
        <v>67</v>
      </c>
      <c r="D307" t="s">
        <v>10</v>
      </c>
      <c r="E307" t="s">
        <v>215</v>
      </c>
      <c r="F307" t="s">
        <v>82</v>
      </c>
      <c r="G307" t="str">
        <f t="shared" si="8"/>
        <v>33024SWEETNESS</v>
      </c>
      <c r="H307">
        <v>1390</v>
      </c>
      <c r="I307">
        <v>1390</v>
      </c>
      <c r="J307">
        <v>1710</v>
      </c>
      <c r="K307">
        <f t="shared" si="9"/>
        <v>0.1871345029239766</v>
      </c>
    </row>
    <row r="308" spans="1:11">
      <c r="A308">
        <v>2026</v>
      </c>
      <c r="B308">
        <v>33</v>
      </c>
      <c r="C308" t="s">
        <v>67</v>
      </c>
      <c r="D308" t="s">
        <v>10</v>
      </c>
      <c r="E308" t="s">
        <v>215</v>
      </c>
      <c r="F308" t="s">
        <v>154</v>
      </c>
      <c r="G308" t="str">
        <f t="shared" si="8"/>
        <v>33024TYCOON</v>
      </c>
      <c r="H308">
        <v>2214</v>
      </c>
      <c r="I308">
        <v>2214</v>
      </c>
      <c r="J308">
        <v>3240</v>
      </c>
      <c r="K308">
        <f t="shared" si="9"/>
        <v>0.31666666666666665</v>
      </c>
    </row>
    <row r="309" spans="1:11">
      <c r="A309">
        <v>2026</v>
      </c>
      <c r="B309">
        <v>33</v>
      </c>
      <c r="C309" t="s">
        <v>67</v>
      </c>
      <c r="D309" t="s">
        <v>10</v>
      </c>
      <c r="E309" t="s">
        <v>216</v>
      </c>
      <c r="F309" t="s">
        <v>166</v>
      </c>
      <c r="G309" t="str">
        <f t="shared" si="8"/>
        <v>33025PINK MONDIAL</v>
      </c>
      <c r="H309">
        <v>3948</v>
      </c>
      <c r="I309">
        <v>3948</v>
      </c>
      <c r="J309">
        <v>4625</v>
      </c>
      <c r="K309">
        <f t="shared" si="9"/>
        <v>0.14637837837837839</v>
      </c>
    </row>
    <row r="310" spans="1:11">
      <c r="A310">
        <v>2026</v>
      </c>
      <c r="B310">
        <v>33</v>
      </c>
      <c r="C310" t="s">
        <v>67</v>
      </c>
      <c r="D310" t="s">
        <v>10</v>
      </c>
      <c r="E310" t="s">
        <v>217</v>
      </c>
      <c r="F310" t="s">
        <v>168</v>
      </c>
      <c r="G310" t="str">
        <f t="shared" si="8"/>
        <v>33026LOLA</v>
      </c>
      <c r="H310">
        <v>2632</v>
      </c>
      <c r="I310">
        <v>2632</v>
      </c>
      <c r="J310">
        <v>3050</v>
      </c>
      <c r="K310">
        <f t="shared" si="9"/>
        <v>0.13704918032786886</v>
      </c>
    </row>
    <row r="311" spans="1:11">
      <c r="A311">
        <v>2026</v>
      </c>
      <c r="B311">
        <v>33</v>
      </c>
      <c r="C311" t="s">
        <v>67</v>
      </c>
      <c r="D311" t="s">
        <v>10</v>
      </c>
      <c r="E311" t="s">
        <v>217</v>
      </c>
      <c r="F311" t="s">
        <v>170</v>
      </c>
      <c r="G311" t="str">
        <f t="shared" si="8"/>
        <v>33026PALOMA</v>
      </c>
      <c r="H311">
        <v>3787</v>
      </c>
      <c r="I311">
        <v>3787</v>
      </c>
      <c r="J311">
        <v>3275</v>
      </c>
      <c r="K311">
        <f t="shared" si="9"/>
        <v>-0.15633587786259542</v>
      </c>
    </row>
    <row r="312" spans="1:11">
      <c r="A312">
        <v>2026</v>
      </c>
      <c r="B312">
        <v>33</v>
      </c>
      <c r="C312" t="s">
        <v>67</v>
      </c>
      <c r="D312" t="s">
        <v>10</v>
      </c>
      <c r="E312" t="s">
        <v>218</v>
      </c>
      <c r="F312" t="s">
        <v>172</v>
      </c>
      <c r="G312" t="str">
        <f t="shared" si="8"/>
        <v>33027SATISFACTION</v>
      </c>
      <c r="H312">
        <v>2962</v>
      </c>
      <c r="I312">
        <v>2962</v>
      </c>
      <c r="J312">
        <v>3480</v>
      </c>
      <c r="K312">
        <f t="shared" si="9"/>
        <v>0.14885057471264368</v>
      </c>
    </row>
    <row r="313" spans="1:11">
      <c r="A313">
        <v>2026</v>
      </c>
      <c r="B313">
        <v>33</v>
      </c>
      <c r="C313" t="s">
        <v>67</v>
      </c>
      <c r="D313" t="s">
        <v>10</v>
      </c>
      <c r="E313" t="s">
        <v>218</v>
      </c>
      <c r="F313" t="s">
        <v>174</v>
      </c>
      <c r="G313" t="str">
        <f t="shared" si="8"/>
        <v>33027TIFFANY</v>
      </c>
      <c r="H313">
        <v>2851</v>
      </c>
      <c r="I313">
        <v>2851</v>
      </c>
      <c r="J313">
        <v>4380</v>
      </c>
      <c r="K313">
        <f t="shared" si="9"/>
        <v>0.34908675799086758</v>
      </c>
    </row>
    <row r="314" spans="1:11">
      <c r="A314">
        <v>2026</v>
      </c>
      <c r="B314">
        <v>33</v>
      </c>
      <c r="C314" t="s">
        <v>67</v>
      </c>
      <c r="D314" t="s">
        <v>10</v>
      </c>
      <c r="E314" t="s">
        <v>219</v>
      </c>
      <c r="F314" t="s">
        <v>93</v>
      </c>
      <c r="G314" t="str">
        <f t="shared" si="8"/>
        <v>33028COTOPAXI</v>
      </c>
      <c r="H314">
        <v>3674</v>
      </c>
      <c r="I314">
        <v>3674</v>
      </c>
      <c r="J314">
        <v>5100</v>
      </c>
      <c r="K314">
        <f t="shared" si="9"/>
        <v>0.2796078431372549</v>
      </c>
    </row>
    <row r="315" spans="1:11">
      <c r="A315">
        <v>2026</v>
      </c>
      <c r="B315">
        <v>33</v>
      </c>
      <c r="C315" t="s">
        <v>67</v>
      </c>
      <c r="D315" t="s">
        <v>10</v>
      </c>
      <c r="E315" t="s">
        <v>219</v>
      </c>
      <c r="F315" t="s">
        <v>86</v>
      </c>
      <c r="G315" t="str">
        <f t="shared" si="8"/>
        <v>33028DEEP PURPLE</v>
      </c>
      <c r="H315">
        <v>6114</v>
      </c>
      <c r="I315">
        <v>6114</v>
      </c>
      <c r="J315">
        <v>4350</v>
      </c>
      <c r="K315">
        <f t="shared" si="9"/>
        <v>-0.40551724137931033</v>
      </c>
    </row>
    <row r="316" spans="1:11">
      <c r="A316">
        <v>2026</v>
      </c>
      <c r="B316">
        <v>33</v>
      </c>
      <c r="C316" t="s">
        <v>67</v>
      </c>
      <c r="D316" t="s">
        <v>10</v>
      </c>
      <c r="E316" t="s">
        <v>220</v>
      </c>
      <c r="F316" t="s">
        <v>178</v>
      </c>
      <c r="G316" t="str">
        <f t="shared" si="8"/>
        <v>33029PINK FLOYD</v>
      </c>
      <c r="H316">
        <v>3410</v>
      </c>
      <c r="I316">
        <v>3410</v>
      </c>
      <c r="J316">
        <v>3875</v>
      </c>
      <c r="K316">
        <f t="shared" si="9"/>
        <v>0.12</v>
      </c>
    </row>
    <row r="317" spans="1:11">
      <c r="A317">
        <v>2026</v>
      </c>
      <c r="B317">
        <v>33</v>
      </c>
      <c r="C317" t="s">
        <v>67</v>
      </c>
      <c r="D317" t="s">
        <v>10</v>
      </c>
      <c r="E317" t="s">
        <v>202</v>
      </c>
      <c r="F317" t="s">
        <v>70</v>
      </c>
      <c r="G317" t="str">
        <f t="shared" si="8"/>
        <v>33030EXPLORER</v>
      </c>
      <c r="H317">
        <v>1370</v>
      </c>
      <c r="I317">
        <v>1220</v>
      </c>
      <c r="J317">
        <v>2000</v>
      </c>
      <c r="K317">
        <f t="shared" si="9"/>
        <v>0.39</v>
      </c>
    </row>
    <row r="318" spans="1:11">
      <c r="A318">
        <v>2026</v>
      </c>
      <c r="B318">
        <v>34</v>
      </c>
      <c r="C318" t="s">
        <v>9</v>
      </c>
      <c r="D318" t="s">
        <v>10</v>
      </c>
      <c r="E318" t="s">
        <v>188</v>
      </c>
      <c r="F318" t="s">
        <v>11</v>
      </c>
      <c r="G318" t="str">
        <f t="shared" si="8"/>
        <v>34002SOMERSET</v>
      </c>
      <c r="H318">
        <v>8011</v>
      </c>
      <c r="I318">
        <v>8011</v>
      </c>
      <c r="J318">
        <v>10040</v>
      </c>
      <c r="K318">
        <f t="shared" si="9"/>
        <v>0.20209163346613546</v>
      </c>
    </row>
    <row r="319" spans="1:11">
      <c r="A319">
        <v>2026</v>
      </c>
      <c r="B319">
        <v>34</v>
      </c>
      <c r="C319" t="s">
        <v>9</v>
      </c>
      <c r="D319" t="s">
        <v>10</v>
      </c>
      <c r="E319" t="s">
        <v>189</v>
      </c>
      <c r="F319" t="s">
        <v>13</v>
      </c>
      <c r="G319" t="str">
        <f t="shared" si="8"/>
        <v>34004BELLINA</v>
      </c>
      <c r="H319">
        <v>1172</v>
      </c>
      <c r="I319">
        <v>1043</v>
      </c>
      <c r="J319">
        <v>1020</v>
      </c>
      <c r="K319">
        <f t="shared" si="9"/>
        <v>-2.2549019607843137E-2</v>
      </c>
    </row>
    <row r="320" spans="1:11">
      <c r="A320">
        <v>2026</v>
      </c>
      <c r="B320">
        <v>34</v>
      </c>
      <c r="C320" t="s">
        <v>9</v>
      </c>
      <c r="D320" t="s">
        <v>10</v>
      </c>
      <c r="E320" t="s">
        <v>190</v>
      </c>
      <c r="F320" t="s">
        <v>15</v>
      </c>
      <c r="G320" t="str">
        <f t="shared" si="8"/>
        <v>34005ELBA</v>
      </c>
      <c r="H320">
        <v>9539</v>
      </c>
      <c r="I320">
        <v>9539</v>
      </c>
      <c r="J320">
        <v>7710</v>
      </c>
      <c r="K320">
        <f t="shared" si="9"/>
        <v>-0.23722438391699091</v>
      </c>
    </row>
    <row r="321" spans="1:11">
      <c r="A321">
        <v>2026</v>
      </c>
      <c r="B321">
        <v>34</v>
      </c>
      <c r="C321" t="s">
        <v>9</v>
      </c>
      <c r="D321" t="s">
        <v>10</v>
      </c>
      <c r="E321" t="s">
        <v>190</v>
      </c>
      <c r="F321" t="s">
        <v>17</v>
      </c>
      <c r="G321" t="str">
        <f t="shared" si="8"/>
        <v>34005HOT BUBBLES</v>
      </c>
      <c r="H321">
        <v>1364</v>
      </c>
      <c r="I321">
        <v>1214</v>
      </c>
      <c r="J321">
        <v>1100</v>
      </c>
      <c r="K321">
        <f t="shared" si="9"/>
        <v>-0.10363636363636364</v>
      </c>
    </row>
    <row r="322" spans="1:11">
      <c r="A322">
        <v>2026</v>
      </c>
      <c r="B322">
        <v>34</v>
      </c>
      <c r="C322" t="s">
        <v>9</v>
      </c>
      <c r="D322" t="s">
        <v>10</v>
      </c>
      <c r="E322" t="s">
        <v>190</v>
      </c>
      <c r="F322" t="s">
        <v>19</v>
      </c>
      <c r="G322" t="str">
        <f t="shared" si="8"/>
        <v>34005SUSPIRO</v>
      </c>
      <c r="H322">
        <v>4120</v>
      </c>
      <c r="I322">
        <v>4120</v>
      </c>
      <c r="J322">
        <v>4050</v>
      </c>
      <c r="K322">
        <f t="shared" si="9"/>
        <v>-1.7283950617283949E-2</v>
      </c>
    </row>
    <row r="323" spans="1:11">
      <c r="A323">
        <v>2026</v>
      </c>
      <c r="B323">
        <v>34</v>
      </c>
      <c r="C323" t="s">
        <v>9</v>
      </c>
      <c r="D323" t="s">
        <v>10</v>
      </c>
      <c r="E323" t="s">
        <v>191</v>
      </c>
      <c r="F323" t="s">
        <v>21</v>
      </c>
      <c r="G323" t="str">
        <f t="shared" ref="G323:G386" si="10">+B323&amp;E323&amp;F323</f>
        <v>34007SNOW BUBBLES</v>
      </c>
      <c r="H323">
        <v>1001</v>
      </c>
      <c r="I323">
        <v>891</v>
      </c>
      <c r="J323" t="e">
        <v>#N/A</v>
      </c>
      <c r="K323" t="e">
        <f t="shared" ref="K323:K386" si="11">+(J323-I323)/J323</f>
        <v>#N/A</v>
      </c>
    </row>
    <row r="324" spans="1:11">
      <c r="A324">
        <v>2026</v>
      </c>
      <c r="B324">
        <v>34</v>
      </c>
      <c r="C324" t="s">
        <v>9</v>
      </c>
      <c r="D324" t="s">
        <v>10</v>
      </c>
      <c r="E324" t="s">
        <v>192</v>
      </c>
      <c r="F324" t="s">
        <v>17</v>
      </c>
      <c r="G324" t="str">
        <f t="shared" si="10"/>
        <v>34009HOT BUBBLES</v>
      </c>
      <c r="H324">
        <v>12045</v>
      </c>
      <c r="I324">
        <v>12045</v>
      </c>
      <c r="J324">
        <v>7000</v>
      </c>
      <c r="K324">
        <f t="shared" si="11"/>
        <v>-0.72071428571428575</v>
      </c>
    </row>
    <row r="325" spans="1:11">
      <c r="A325">
        <v>2026</v>
      </c>
      <c r="B325">
        <v>34</v>
      </c>
      <c r="C325" t="s">
        <v>9</v>
      </c>
      <c r="D325" t="s">
        <v>10</v>
      </c>
      <c r="E325" t="s">
        <v>193</v>
      </c>
      <c r="F325" t="s">
        <v>24</v>
      </c>
      <c r="G325" t="str">
        <f t="shared" si="10"/>
        <v>34014FRUITY BUBBLES</v>
      </c>
      <c r="H325">
        <v>2902</v>
      </c>
      <c r="I325">
        <v>2902</v>
      </c>
      <c r="J325">
        <v>1650</v>
      </c>
      <c r="K325">
        <f t="shared" si="11"/>
        <v>-0.75878787878787879</v>
      </c>
    </row>
    <row r="326" spans="1:11">
      <c r="A326">
        <v>2026</v>
      </c>
      <c r="B326">
        <v>34</v>
      </c>
      <c r="C326" t="s">
        <v>9</v>
      </c>
      <c r="D326" t="s">
        <v>10</v>
      </c>
      <c r="E326" t="s">
        <v>194</v>
      </c>
      <c r="F326" t="s">
        <v>26</v>
      </c>
      <c r="G326" t="str">
        <f t="shared" si="10"/>
        <v>34015FELLINI</v>
      </c>
      <c r="H326">
        <v>5348</v>
      </c>
      <c r="I326">
        <v>5348</v>
      </c>
      <c r="J326">
        <v>5600</v>
      </c>
      <c r="K326">
        <f t="shared" si="11"/>
        <v>4.4999999999999998E-2</v>
      </c>
    </row>
    <row r="327" spans="1:11">
      <c r="A327">
        <v>2026</v>
      </c>
      <c r="B327">
        <v>34</v>
      </c>
      <c r="C327" t="s">
        <v>9</v>
      </c>
      <c r="D327" t="s">
        <v>10</v>
      </c>
      <c r="E327" t="s">
        <v>195</v>
      </c>
      <c r="F327" t="s">
        <v>28</v>
      </c>
      <c r="G327" t="str">
        <f t="shared" si="10"/>
        <v>34016GOOD PEACH</v>
      </c>
      <c r="H327">
        <v>3478</v>
      </c>
      <c r="I327">
        <v>3096</v>
      </c>
      <c r="J327">
        <v>2640</v>
      </c>
      <c r="K327">
        <f t="shared" si="11"/>
        <v>-0.17272727272727273</v>
      </c>
    </row>
    <row r="328" spans="1:11">
      <c r="A328">
        <v>2026</v>
      </c>
      <c r="B328">
        <v>34</v>
      </c>
      <c r="C328" t="s">
        <v>9</v>
      </c>
      <c r="D328" t="s">
        <v>10</v>
      </c>
      <c r="E328" t="s">
        <v>195</v>
      </c>
      <c r="F328" t="s">
        <v>30</v>
      </c>
      <c r="G328" t="str">
        <f t="shared" si="10"/>
        <v>34016GOOD YELLOW</v>
      </c>
      <c r="H328">
        <v>3089</v>
      </c>
      <c r="I328">
        <v>2749</v>
      </c>
      <c r="J328">
        <v>3000</v>
      </c>
      <c r="K328">
        <f t="shared" si="11"/>
        <v>8.3666666666666667E-2</v>
      </c>
    </row>
    <row r="329" spans="1:11">
      <c r="A329">
        <v>2026</v>
      </c>
      <c r="B329">
        <v>34</v>
      </c>
      <c r="C329" t="s">
        <v>9</v>
      </c>
      <c r="D329" t="s">
        <v>10</v>
      </c>
      <c r="E329" t="s">
        <v>196</v>
      </c>
      <c r="F329" t="s">
        <v>32</v>
      </c>
      <c r="G329" t="str">
        <f t="shared" si="10"/>
        <v>34017ORANGE STAR</v>
      </c>
      <c r="H329">
        <v>1135</v>
      </c>
      <c r="I329">
        <v>1010</v>
      </c>
      <c r="J329">
        <v>1150</v>
      </c>
      <c r="K329">
        <f t="shared" si="11"/>
        <v>0.12173913043478261</v>
      </c>
    </row>
    <row r="330" spans="1:11">
      <c r="A330">
        <v>2026</v>
      </c>
      <c r="B330">
        <v>34</v>
      </c>
      <c r="C330" t="s">
        <v>9</v>
      </c>
      <c r="D330" t="s">
        <v>10</v>
      </c>
      <c r="E330" t="s">
        <v>197</v>
      </c>
      <c r="F330" t="s">
        <v>34</v>
      </c>
      <c r="G330" t="str">
        <f t="shared" si="10"/>
        <v>34018COSMO</v>
      </c>
      <c r="H330">
        <v>4563</v>
      </c>
      <c r="I330">
        <v>4563</v>
      </c>
      <c r="J330">
        <v>3050</v>
      </c>
      <c r="K330">
        <f t="shared" si="11"/>
        <v>-0.49606557377049182</v>
      </c>
    </row>
    <row r="331" spans="1:11">
      <c r="A331">
        <v>2026</v>
      </c>
      <c r="B331">
        <v>34</v>
      </c>
      <c r="C331" t="s">
        <v>9</v>
      </c>
      <c r="D331" t="s">
        <v>10</v>
      </c>
      <c r="E331" t="s">
        <v>197</v>
      </c>
      <c r="F331" t="s">
        <v>36</v>
      </c>
      <c r="G331" t="str">
        <f t="shared" si="10"/>
        <v>34018RUBICON</v>
      </c>
      <c r="H331">
        <v>4310</v>
      </c>
      <c r="I331">
        <v>3835</v>
      </c>
      <c r="J331">
        <v>3660</v>
      </c>
      <c r="K331">
        <f t="shared" si="11"/>
        <v>-4.7814207650273222E-2</v>
      </c>
    </row>
    <row r="332" spans="1:11">
      <c r="A332">
        <v>2026</v>
      </c>
      <c r="B332">
        <v>34</v>
      </c>
      <c r="C332" t="s">
        <v>9</v>
      </c>
      <c r="D332" t="s">
        <v>10</v>
      </c>
      <c r="E332" t="s">
        <v>198</v>
      </c>
      <c r="F332" t="s">
        <v>13</v>
      </c>
      <c r="G332" t="str">
        <f t="shared" si="10"/>
        <v>34019BELLINA</v>
      </c>
      <c r="H332">
        <v>1377</v>
      </c>
      <c r="I332">
        <v>1225</v>
      </c>
      <c r="J332">
        <v>1545</v>
      </c>
      <c r="K332">
        <f t="shared" si="11"/>
        <v>0.20711974110032363</v>
      </c>
    </row>
    <row r="333" spans="1:11">
      <c r="A333">
        <v>2026</v>
      </c>
      <c r="B333">
        <v>34</v>
      </c>
      <c r="C333" t="s">
        <v>9</v>
      </c>
      <c r="D333" t="s">
        <v>10</v>
      </c>
      <c r="E333" t="s">
        <v>199</v>
      </c>
      <c r="F333" t="s">
        <v>39</v>
      </c>
      <c r="G333" t="str">
        <f t="shared" si="10"/>
        <v>34020SUMMER DANCE</v>
      </c>
      <c r="H333">
        <v>2921</v>
      </c>
      <c r="I333">
        <v>2600</v>
      </c>
      <c r="J333">
        <v>1925</v>
      </c>
      <c r="K333">
        <f t="shared" si="11"/>
        <v>-0.35064935064935066</v>
      </c>
    </row>
    <row r="334" spans="1:11">
      <c r="A334">
        <v>2026</v>
      </c>
      <c r="B334">
        <v>34</v>
      </c>
      <c r="C334" t="s">
        <v>9</v>
      </c>
      <c r="D334" t="s">
        <v>10</v>
      </c>
      <c r="E334" t="s">
        <v>200</v>
      </c>
      <c r="F334" t="s">
        <v>41</v>
      </c>
      <c r="G334" t="str">
        <f t="shared" si="10"/>
        <v>34021ELEGANT ROSEVER</v>
      </c>
      <c r="H334">
        <v>596</v>
      </c>
      <c r="I334">
        <v>530</v>
      </c>
      <c r="J334">
        <v>390</v>
      </c>
      <c r="K334">
        <f t="shared" si="11"/>
        <v>-0.35897435897435898</v>
      </c>
    </row>
    <row r="335" spans="1:11">
      <c r="A335">
        <v>2026</v>
      </c>
      <c r="B335">
        <v>34</v>
      </c>
      <c r="C335" t="s">
        <v>9</v>
      </c>
      <c r="D335" t="s">
        <v>10</v>
      </c>
      <c r="E335" t="s">
        <v>200</v>
      </c>
      <c r="F335" t="s">
        <v>43</v>
      </c>
      <c r="G335" t="str">
        <f t="shared" si="10"/>
        <v>34021FLAME CLUB</v>
      </c>
      <c r="H335">
        <v>1778</v>
      </c>
      <c r="I335">
        <v>1630</v>
      </c>
      <c r="J335">
        <v>1125</v>
      </c>
      <c r="K335">
        <f t="shared" si="11"/>
        <v>-0.44888888888888889</v>
      </c>
    </row>
    <row r="336" spans="1:11">
      <c r="A336">
        <v>2026</v>
      </c>
      <c r="B336">
        <v>34</v>
      </c>
      <c r="C336" t="s">
        <v>9</v>
      </c>
      <c r="D336" t="s">
        <v>10</v>
      </c>
      <c r="E336" t="s">
        <v>200</v>
      </c>
      <c r="F336" t="s">
        <v>45</v>
      </c>
      <c r="G336" t="str">
        <f t="shared" si="10"/>
        <v>34021KELLY</v>
      </c>
      <c r="H336">
        <v>515</v>
      </c>
      <c r="I336">
        <v>458</v>
      </c>
      <c r="J336">
        <v>550</v>
      </c>
      <c r="K336">
        <f t="shared" si="11"/>
        <v>0.16727272727272727</v>
      </c>
    </row>
    <row r="337" spans="1:11">
      <c r="A337">
        <v>2026</v>
      </c>
      <c r="B337">
        <v>34</v>
      </c>
      <c r="C337" t="s">
        <v>9</v>
      </c>
      <c r="D337" t="s">
        <v>10</v>
      </c>
      <c r="E337" t="s">
        <v>200</v>
      </c>
      <c r="F337" t="s">
        <v>47</v>
      </c>
      <c r="G337" t="str">
        <f t="shared" si="10"/>
        <v>34021LEILA</v>
      </c>
      <c r="H337">
        <v>2287</v>
      </c>
      <c r="I337">
        <v>2287</v>
      </c>
      <c r="J337">
        <v>1425</v>
      </c>
      <c r="K337">
        <f t="shared" si="11"/>
        <v>-0.6049122807017544</v>
      </c>
    </row>
    <row r="338" spans="1:11">
      <c r="A338">
        <v>2026</v>
      </c>
      <c r="B338">
        <v>34</v>
      </c>
      <c r="C338" t="s">
        <v>9</v>
      </c>
      <c r="D338" t="s">
        <v>10</v>
      </c>
      <c r="E338" t="s">
        <v>200</v>
      </c>
      <c r="F338" t="s">
        <v>21</v>
      </c>
      <c r="G338" t="str">
        <f t="shared" si="10"/>
        <v>34021SNOW BUBBLES</v>
      </c>
      <c r="H338">
        <v>2311</v>
      </c>
      <c r="I338">
        <v>2311</v>
      </c>
      <c r="J338">
        <v>2220</v>
      </c>
      <c r="K338">
        <f t="shared" si="11"/>
        <v>-4.0990990990990989E-2</v>
      </c>
    </row>
    <row r="339" spans="1:11">
      <c r="A339">
        <v>2026</v>
      </c>
      <c r="B339">
        <v>34</v>
      </c>
      <c r="C339" t="s">
        <v>9</v>
      </c>
      <c r="D339" t="s">
        <v>10</v>
      </c>
      <c r="E339" t="s">
        <v>201</v>
      </c>
      <c r="F339" t="s">
        <v>24</v>
      </c>
      <c r="G339" t="str">
        <f t="shared" si="10"/>
        <v>34022FRUITY BUBBLES</v>
      </c>
      <c r="H339">
        <v>5114</v>
      </c>
      <c r="I339">
        <v>5114</v>
      </c>
      <c r="J339">
        <v>3500</v>
      </c>
      <c r="K339">
        <f t="shared" si="11"/>
        <v>-0.46114285714285713</v>
      </c>
    </row>
    <row r="340" spans="1:11">
      <c r="A340">
        <v>2026</v>
      </c>
      <c r="B340">
        <v>34</v>
      </c>
      <c r="C340" t="s">
        <v>9</v>
      </c>
      <c r="D340" t="s">
        <v>10</v>
      </c>
      <c r="E340" t="s">
        <v>201</v>
      </c>
      <c r="F340" t="s">
        <v>28</v>
      </c>
      <c r="G340" t="str">
        <f t="shared" si="10"/>
        <v>34022GOOD PEACH</v>
      </c>
      <c r="H340">
        <v>1993</v>
      </c>
      <c r="I340">
        <v>1993</v>
      </c>
      <c r="J340">
        <v>2490</v>
      </c>
      <c r="K340">
        <f t="shared" si="11"/>
        <v>0.19959839357429718</v>
      </c>
    </row>
    <row r="341" spans="1:11">
      <c r="A341">
        <v>2026</v>
      </c>
      <c r="B341">
        <v>34</v>
      </c>
      <c r="C341" t="s">
        <v>9</v>
      </c>
      <c r="D341" t="s">
        <v>10</v>
      </c>
      <c r="E341" t="s">
        <v>201</v>
      </c>
      <c r="F341" t="s">
        <v>52</v>
      </c>
      <c r="G341" t="str">
        <f t="shared" si="10"/>
        <v>34022MIRABEL</v>
      </c>
      <c r="H341">
        <v>1551</v>
      </c>
      <c r="I341">
        <v>1433</v>
      </c>
      <c r="J341">
        <v>1200</v>
      </c>
      <c r="K341">
        <f t="shared" si="11"/>
        <v>-0.19416666666666665</v>
      </c>
    </row>
    <row r="342" spans="1:11">
      <c r="A342">
        <v>2026</v>
      </c>
      <c r="B342">
        <v>34</v>
      </c>
      <c r="C342" t="s">
        <v>9</v>
      </c>
      <c r="D342" t="s">
        <v>10</v>
      </c>
      <c r="E342" t="s">
        <v>202</v>
      </c>
      <c r="F342" t="s">
        <v>52</v>
      </c>
      <c r="G342" t="str">
        <f t="shared" si="10"/>
        <v>34030MIRABEL</v>
      </c>
      <c r="H342">
        <v>4115</v>
      </c>
      <c r="I342">
        <v>4115</v>
      </c>
      <c r="J342">
        <v>2820</v>
      </c>
      <c r="K342">
        <f t="shared" si="11"/>
        <v>-0.45921985815602839</v>
      </c>
    </row>
    <row r="343" spans="1:11">
      <c r="A343">
        <v>2026</v>
      </c>
      <c r="B343">
        <v>34</v>
      </c>
      <c r="C343" t="s">
        <v>9</v>
      </c>
      <c r="D343" t="s">
        <v>10</v>
      </c>
      <c r="E343" t="s">
        <v>202</v>
      </c>
      <c r="F343" t="s">
        <v>11</v>
      </c>
      <c r="G343" t="str">
        <f t="shared" si="10"/>
        <v>34030SOMERSET</v>
      </c>
      <c r="H343">
        <v>1953</v>
      </c>
      <c r="I343">
        <v>1953</v>
      </c>
      <c r="J343">
        <v>2400</v>
      </c>
      <c r="K343">
        <f t="shared" si="11"/>
        <v>0.18625</v>
      </c>
    </row>
    <row r="344" spans="1:11">
      <c r="A344">
        <v>2026</v>
      </c>
      <c r="B344">
        <v>34</v>
      </c>
      <c r="C344" t="s">
        <v>9</v>
      </c>
      <c r="D344" t="s">
        <v>10</v>
      </c>
      <c r="E344" t="s">
        <v>203</v>
      </c>
      <c r="F344" t="s">
        <v>56</v>
      </c>
      <c r="G344" t="str">
        <f t="shared" si="10"/>
        <v>3403182989</v>
      </c>
      <c r="H344">
        <v>1556</v>
      </c>
      <c r="I344">
        <v>1385</v>
      </c>
      <c r="J344">
        <v>920</v>
      </c>
      <c r="K344">
        <f t="shared" si="11"/>
        <v>-0.50543478260869568</v>
      </c>
    </row>
    <row r="345" spans="1:11">
      <c r="A345">
        <v>2026</v>
      </c>
      <c r="B345">
        <v>34</v>
      </c>
      <c r="C345" t="s">
        <v>9</v>
      </c>
      <c r="D345" t="s">
        <v>10</v>
      </c>
      <c r="E345" t="s">
        <v>203</v>
      </c>
      <c r="F345" t="s">
        <v>36</v>
      </c>
      <c r="G345" t="str">
        <f t="shared" si="10"/>
        <v>34031RUBICON</v>
      </c>
      <c r="H345">
        <v>1969</v>
      </c>
      <c r="I345">
        <v>1753</v>
      </c>
      <c r="J345">
        <v>1860</v>
      </c>
      <c r="K345">
        <f t="shared" si="11"/>
        <v>5.7526881720430106E-2</v>
      </c>
    </row>
    <row r="346" spans="1:11">
      <c r="A346">
        <v>2026</v>
      </c>
      <c r="B346">
        <v>34</v>
      </c>
      <c r="C346" t="s">
        <v>9</v>
      </c>
      <c r="D346" t="s">
        <v>10</v>
      </c>
      <c r="E346" t="s">
        <v>203</v>
      </c>
      <c r="F346" t="s">
        <v>11</v>
      </c>
      <c r="G346" t="str">
        <f t="shared" si="10"/>
        <v>34031SOMERSET</v>
      </c>
      <c r="H346">
        <v>1546</v>
      </c>
      <c r="I346">
        <v>1546</v>
      </c>
      <c r="J346">
        <v>3320</v>
      </c>
      <c r="K346">
        <f t="shared" si="11"/>
        <v>0.53433734939759037</v>
      </c>
    </row>
    <row r="347" spans="1:11">
      <c r="A347">
        <v>2026</v>
      </c>
      <c r="B347">
        <v>34</v>
      </c>
      <c r="C347" t="s">
        <v>9</v>
      </c>
      <c r="D347" t="s">
        <v>10</v>
      </c>
      <c r="E347" t="s">
        <v>203</v>
      </c>
      <c r="F347" t="s">
        <v>60</v>
      </c>
      <c r="G347" t="str">
        <f t="shared" si="10"/>
        <v>34031VELVET BLOSSOMS</v>
      </c>
      <c r="H347">
        <v>571</v>
      </c>
      <c r="I347">
        <v>508</v>
      </c>
      <c r="J347">
        <v>640</v>
      </c>
      <c r="K347">
        <f t="shared" si="11"/>
        <v>0.20624999999999999</v>
      </c>
    </row>
    <row r="348" spans="1:11">
      <c r="A348">
        <v>2026</v>
      </c>
      <c r="B348">
        <v>34</v>
      </c>
      <c r="C348" t="s">
        <v>9</v>
      </c>
      <c r="D348" t="s">
        <v>10</v>
      </c>
      <c r="E348" t="s">
        <v>204</v>
      </c>
      <c r="F348" t="s">
        <v>15</v>
      </c>
      <c r="G348" t="str">
        <f t="shared" si="10"/>
        <v>34032ELBA</v>
      </c>
      <c r="H348">
        <v>3244</v>
      </c>
      <c r="I348">
        <v>3244</v>
      </c>
      <c r="J348">
        <v>2190</v>
      </c>
      <c r="K348">
        <f t="shared" si="11"/>
        <v>-0.48127853881278537</v>
      </c>
    </row>
    <row r="349" spans="1:11">
      <c r="A349">
        <v>2026</v>
      </c>
      <c r="B349">
        <v>34</v>
      </c>
      <c r="C349" t="s">
        <v>9</v>
      </c>
      <c r="D349" t="s">
        <v>10</v>
      </c>
      <c r="E349" t="s">
        <v>204</v>
      </c>
      <c r="F349" t="s">
        <v>52</v>
      </c>
      <c r="G349" t="str">
        <f t="shared" si="10"/>
        <v>34032MIRABEL</v>
      </c>
      <c r="H349">
        <v>1549</v>
      </c>
      <c r="I349">
        <v>1486</v>
      </c>
      <c r="J349">
        <v>1020</v>
      </c>
      <c r="K349">
        <f t="shared" si="11"/>
        <v>-0.4568627450980392</v>
      </c>
    </row>
    <row r="350" spans="1:11">
      <c r="A350">
        <v>2026</v>
      </c>
      <c r="B350">
        <v>34</v>
      </c>
      <c r="C350" t="s">
        <v>9</v>
      </c>
      <c r="D350" t="s">
        <v>10</v>
      </c>
      <c r="E350" t="s">
        <v>205</v>
      </c>
      <c r="F350" t="s">
        <v>64</v>
      </c>
      <c r="G350" t="str">
        <f t="shared" si="10"/>
        <v>34033CREAMY FOLIES</v>
      </c>
      <c r="H350">
        <v>1373</v>
      </c>
      <c r="I350">
        <v>1222</v>
      </c>
      <c r="J350">
        <v>1410</v>
      </c>
      <c r="K350">
        <f t="shared" si="11"/>
        <v>0.13333333333333333</v>
      </c>
    </row>
    <row r="351" spans="1:11">
      <c r="A351">
        <v>2026</v>
      </c>
      <c r="B351">
        <v>34</v>
      </c>
      <c r="C351" t="s">
        <v>9</v>
      </c>
      <c r="D351" t="s">
        <v>10</v>
      </c>
      <c r="E351" t="s">
        <v>205</v>
      </c>
      <c r="F351" t="s">
        <v>17</v>
      </c>
      <c r="G351" t="str">
        <f t="shared" si="10"/>
        <v>34033HOT BUBBLES</v>
      </c>
      <c r="H351">
        <v>2852</v>
      </c>
      <c r="I351">
        <v>2852</v>
      </c>
      <c r="J351">
        <v>2920</v>
      </c>
      <c r="K351">
        <f t="shared" si="11"/>
        <v>2.3287671232876714E-2</v>
      </c>
    </row>
    <row r="352" spans="1:11">
      <c r="A352">
        <v>2026</v>
      </c>
      <c r="B352">
        <v>34</v>
      </c>
      <c r="C352" t="s">
        <v>67</v>
      </c>
      <c r="D352" t="s">
        <v>10</v>
      </c>
      <c r="E352" t="s">
        <v>206</v>
      </c>
      <c r="F352" t="s">
        <v>68</v>
      </c>
      <c r="G352" t="str">
        <f t="shared" si="10"/>
        <v>34001BELIEVE IN PINK</v>
      </c>
      <c r="H352">
        <v>1193</v>
      </c>
      <c r="I352">
        <v>1061</v>
      </c>
      <c r="J352">
        <v>1320</v>
      </c>
      <c r="K352">
        <f t="shared" si="11"/>
        <v>0.1962121212121212</v>
      </c>
    </row>
    <row r="353" spans="1:11">
      <c r="A353">
        <v>2026</v>
      </c>
      <c r="B353">
        <v>34</v>
      </c>
      <c r="C353" t="s">
        <v>67</v>
      </c>
      <c r="D353" t="s">
        <v>10</v>
      </c>
      <c r="E353" t="s">
        <v>206</v>
      </c>
      <c r="F353" t="s">
        <v>70</v>
      </c>
      <c r="G353" t="str">
        <f t="shared" si="10"/>
        <v>34001EXPLORER</v>
      </c>
      <c r="H353">
        <v>3258</v>
      </c>
      <c r="I353">
        <v>2899</v>
      </c>
      <c r="J353">
        <v>4075</v>
      </c>
      <c r="K353">
        <f t="shared" si="11"/>
        <v>0.2885889570552147</v>
      </c>
    </row>
    <row r="354" spans="1:11">
      <c r="A354">
        <v>2026</v>
      </c>
      <c r="B354">
        <v>34</v>
      </c>
      <c r="C354" t="s">
        <v>67</v>
      </c>
      <c r="D354" t="s">
        <v>10</v>
      </c>
      <c r="E354" t="s">
        <v>206</v>
      </c>
      <c r="F354" t="s">
        <v>72</v>
      </c>
      <c r="G354" t="str">
        <f t="shared" si="10"/>
        <v>34001GRACE KELLY</v>
      </c>
      <c r="H354">
        <v>1496</v>
      </c>
      <c r="I354">
        <v>1332</v>
      </c>
      <c r="J354">
        <v>2160</v>
      </c>
      <c r="K354">
        <f t="shared" si="11"/>
        <v>0.38333333333333336</v>
      </c>
    </row>
    <row r="355" spans="1:11">
      <c r="A355">
        <v>2026</v>
      </c>
      <c r="B355">
        <v>34</v>
      </c>
      <c r="C355" t="s">
        <v>67</v>
      </c>
      <c r="D355" t="s">
        <v>10</v>
      </c>
      <c r="E355" t="s">
        <v>206</v>
      </c>
      <c r="F355" t="s">
        <v>181</v>
      </c>
      <c r="G355" t="str">
        <f t="shared" si="10"/>
        <v>34001IDOLE</v>
      </c>
      <c r="H355">
        <v>777</v>
      </c>
      <c r="I355">
        <v>777</v>
      </c>
      <c r="J355" t="e">
        <v>#N/A</v>
      </c>
      <c r="K355" t="e">
        <f t="shared" si="11"/>
        <v>#N/A</v>
      </c>
    </row>
    <row r="356" spans="1:11">
      <c r="A356">
        <v>2026</v>
      </c>
      <c r="B356">
        <v>34</v>
      </c>
      <c r="C356" t="s">
        <v>67</v>
      </c>
      <c r="D356" t="s">
        <v>10</v>
      </c>
      <c r="E356" t="s">
        <v>206</v>
      </c>
      <c r="F356" t="s">
        <v>74</v>
      </c>
      <c r="G356" t="str">
        <f t="shared" si="10"/>
        <v>34001LIGHT HOUSE</v>
      </c>
      <c r="H356">
        <v>1057</v>
      </c>
      <c r="I356">
        <v>941</v>
      </c>
      <c r="J356">
        <v>1800</v>
      </c>
      <c r="K356">
        <f t="shared" si="11"/>
        <v>0.47722222222222221</v>
      </c>
    </row>
    <row r="357" spans="1:11">
      <c r="A357">
        <v>2026</v>
      </c>
      <c r="B357">
        <v>34</v>
      </c>
      <c r="C357" t="s">
        <v>67</v>
      </c>
      <c r="D357" t="s">
        <v>10</v>
      </c>
      <c r="E357" t="s">
        <v>206</v>
      </c>
      <c r="F357" t="s">
        <v>78</v>
      </c>
      <c r="G357" t="str">
        <f t="shared" si="10"/>
        <v>34001MOMENTUM</v>
      </c>
      <c r="H357">
        <v>3253</v>
      </c>
      <c r="I357">
        <v>3253</v>
      </c>
      <c r="J357">
        <v>3975</v>
      </c>
      <c r="K357">
        <f t="shared" si="11"/>
        <v>0.18163522012578617</v>
      </c>
    </row>
    <row r="358" spans="1:11">
      <c r="A358">
        <v>2026</v>
      </c>
      <c r="B358">
        <v>34</v>
      </c>
      <c r="C358" t="s">
        <v>67</v>
      </c>
      <c r="D358" t="s">
        <v>10</v>
      </c>
      <c r="E358" t="s">
        <v>188</v>
      </c>
      <c r="F358" t="s">
        <v>80</v>
      </c>
      <c r="G358" t="str">
        <f t="shared" si="10"/>
        <v>34002SUMMER ROMANCE</v>
      </c>
      <c r="H358">
        <v>2545</v>
      </c>
      <c r="I358">
        <v>2545</v>
      </c>
      <c r="J358">
        <v>1625</v>
      </c>
      <c r="K358">
        <f t="shared" si="11"/>
        <v>-0.56615384615384612</v>
      </c>
    </row>
    <row r="359" spans="1:11">
      <c r="A359">
        <v>2026</v>
      </c>
      <c r="B359">
        <v>34</v>
      </c>
      <c r="C359" t="s">
        <v>67</v>
      </c>
      <c r="D359" t="s">
        <v>10</v>
      </c>
      <c r="E359" t="s">
        <v>188</v>
      </c>
      <c r="F359" t="s">
        <v>82</v>
      </c>
      <c r="G359" t="str">
        <f t="shared" si="10"/>
        <v>34002SWEETNESS</v>
      </c>
      <c r="H359">
        <v>6254</v>
      </c>
      <c r="I359">
        <v>6254</v>
      </c>
      <c r="J359">
        <v>6630</v>
      </c>
      <c r="K359">
        <f t="shared" si="11"/>
        <v>5.6711915535444947E-2</v>
      </c>
    </row>
    <row r="360" spans="1:11">
      <c r="A360">
        <v>2026</v>
      </c>
      <c r="B360">
        <v>34</v>
      </c>
      <c r="C360" t="s">
        <v>67</v>
      </c>
      <c r="D360" t="s">
        <v>10</v>
      </c>
      <c r="E360" t="s">
        <v>207</v>
      </c>
      <c r="F360" t="s">
        <v>84</v>
      </c>
      <c r="G360" t="str">
        <f t="shared" si="10"/>
        <v>34003CABARET</v>
      </c>
      <c r="H360">
        <v>4008</v>
      </c>
      <c r="I360">
        <v>4008</v>
      </c>
      <c r="J360">
        <v>4170</v>
      </c>
      <c r="K360">
        <f t="shared" si="11"/>
        <v>3.884892086330935E-2</v>
      </c>
    </row>
    <row r="361" spans="1:11">
      <c r="A361">
        <v>2026</v>
      </c>
      <c r="B361">
        <v>34</v>
      </c>
      <c r="C361" t="s">
        <v>67</v>
      </c>
      <c r="D361" t="s">
        <v>10</v>
      </c>
      <c r="E361" t="s">
        <v>207</v>
      </c>
      <c r="F361" t="s">
        <v>86</v>
      </c>
      <c r="G361" t="str">
        <f t="shared" si="10"/>
        <v>34003DEEP PURPLE</v>
      </c>
      <c r="H361">
        <v>5208</v>
      </c>
      <c r="I361">
        <v>5208</v>
      </c>
      <c r="J361">
        <v>8370</v>
      </c>
      <c r="K361">
        <f t="shared" si="11"/>
        <v>0.37777777777777777</v>
      </c>
    </row>
    <row r="362" spans="1:11">
      <c r="A362">
        <v>2026</v>
      </c>
      <c r="B362">
        <v>34</v>
      </c>
      <c r="C362" t="s">
        <v>67</v>
      </c>
      <c r="D362" t="s">
        <v>10</v>
      </c>
      <c r="E362" t="s">
        <v>207</v>
      </c>
      <c r="F362" t="s">
        <v>70</v>
      </c>
      <c r="G362" t="str">
        <f t="shared" si="10"/>
        <v>34003EXPLORER</v>
      </c>
      <c r="H362">
        <v>1867</v>
      </c>
      <c r="I362">
        <v>1747</v>
      </c>
      <c r="J362">
        <v>1475</v>
      </c>
      <c r="K362">
        <f t="shared" si="11"/>
        <v>-0.18440677966101696</v>
      </c>
    </row>
    <row r="363" spans="1:11">
      <c r="A363">
        <v>2026</v>
      </c>
      <c r="B363">
        <v>34</v>
      </c>
      <c r="C363" t="s">
        <v>67</v>
      </c>
      <c r="D363" t="s">
        <v>10</v>
      </c>
      <c r="E363" t="s">
        <v>207</v>
      </c>
      <c r="F363" t="s">
        <v>89</v>
      </c>
      <c r="G363" t="str">
        <f t="shared" si="10"/>
        <v>34003JOCKER</v>
      </c>
      <c r="H363">
        <v>768</v>
      </c>
      <c r="I363">
        <v>683</v>
      </c>
      <c r="J363">
        <v>750</v>
      </c>
      <c r="K363">
        <f t="shared" si="11"/>
        <v>8.9333333333333334E-2</v>
      </c>
    </row>
    <row r="364" spans="1:11">
      <c r="A364">
        <v>2026</v>
      </c>
      <c r="B364">
        <v>34</v>
      </c>
      <c r="C364" t="s">
        <v>67</v>
      </c>
      <c r="D364" t="s">
        <v>10</v>
      </c>
      <c r="E364" t="s">
        <v>207</v>
      </c>
      <c r="F364" t="s">
        <v>91</v>
      </c>
      <c r="G364" t="str">
        <f t="shared" si="10"/>
        <v>34003QUICKSAND</v>
      </c>
      <c r="H364">
        <v>1409</v>
      </c>
      <c r="I364">
        <v>1294</v>
      </c>
      <c r="J364">
        <v>1230</v>
      </c>
      <c r="K364">
        <f t="shared" si="11"/>
        <v>-5.2032520325203252E-2</v>
      </c>
    </row>
    <row r="365" spans="1:11">
      <c r="A365">
        <v>2026</v>
      </c>
      <c r="B365">
        <v>34</v>
      </c>
      <c r="C365" t="s">
        <v>67</v>
      </c>
      <c r="D365" t="s">
        <v>10</v>
      </c>
      <c r="E365" t="s">
        <v>189</v>
      </c>
      <c r="F365" t="s">
        <v>93</v>
      </c>
      <c r="G365" t="str">
        <f t="shared" si="10"/>
        <v>34004COTOPAXI</v>
      </c>
      <c r="H365">
        <v>891</v>
      </c>
      <c r="I365">
        <v>793</v>
      </c>
      <c r="J365">
        <v>990</v>
      </c>
      <c r="K365">
        <f t="shared" si="11"/>
        <v>0.19898989898989899</v>
      </c>
    </row>
    <row r="366" spans="1:11">
      <c r="A366">
        <v>2026</v>
      </c>
      <c r="B366">
        <v>34</v>
      </c>
      <c r="C366" t="s">
        <v>67</v>
      </c>
      <c r="D366" t="s">
        <v>10</v>
      </c>
      <c r="E366" t="s">
        <v>189</v>
      </c>
      <c r="F366" t="s">
        <v>86</v>
      </c>
      <c r="G366" t="str">
        <f t="shared" si="10"/>
        <v>34004DEEP PURPLE</v>
      </c>
      <c r="H366">
        <v>7020</v>
      </c>
      <c r="I366">
        <v>7020</v>
      </c>
      <c r="J366">
        <v>6600</v>
      </c>
      <c r="K366">
        <f t="shared" si="11"/>
        <v>-6.363636363636363E-2</v>
      </c>
    </row>
    <row r="367" spans="1:11">
      <c r="A367">
        <v>2026</v>
      </c>
      <c r="B367">
        <v>34</v>
      </c>
      <c r="C367" t="s">
        <v>67</v>
      </c>
      <c r="D367" t="s">
        <v>10</v>
      </c>
      <c r="E367" t="s">
        <v>189</v>
      </c>
      <c r="F367" t="s">
        <v>96</v>
      </c>
      <c r="G367" t="str">
        <f t="shared" si="10"/>
        <v>34004HOT EXPLORER</v>
      </c>
      <c r="H367">
        <v>2266</v>
      </c>
      <c r="I367">
        <v>2266</v>
      </c>
      <c r="J367">
        <v>1750</v>
      </c>
      <c r="K367">
        <f t="shared" si="11"/>
        <v>-0.29485714285714287</v>
      </c>
    </row>
    <row r="368" spans="1:11">
      <c r="A368">
        <v>2026</v>
      </c>
      <c r="B368">
        <v>34</v>
      </c>
      <c r="C368" t="s">
        <v>67</v>
      </c>
      <c r="D368" t="s">
        <v>10</v>
      </c>
      <c r="E368" t="s">
        <v>189</v>
      </c>
      <c r="F368" t="s">
        <v>98</v>
      </c>
      <c r="G368" t="str">
        <f t="shared" si="10"/>
        <v>34004HOT MERENGUE</v>
      </c>
      <c r="H368">
        <v>1852</v>
      </c>
      <c r="I368">
        <v>1648</v>
      </c>
      <c r="J368">
        <v>3120</v>
      </c>
      <c r="K368">
        <f t="shared" si="11"/>
        <v>0.47179487179487178</v>
      </c>
    </row>
    <row r="369" spans="1:11">
      <c r="A369">
        <v>2026</v>
      </c>
      <c r="B369">
        <v>34</v>
      </c>
      <c r="C369" t="s">
        <v>67</v>
      </c>
      <c r="D369" t="s">
        <v>10</v>
      </c>
      <c r="E369" t="s">
        <v>189</v>
      </c>
      <c r="F369" t="s">
        <v>82</v>
      </c>
      <c r="G369" t="str">
        <f t="shared" si="10"/>
        <v>34004SWEETNESS</v>
      </c>
      <c r="H369">
        <v>549</v>
      </c>
      <c r="I369">
        <v>489</v>
      </c>
      <c r="J369">
        <v>600</v>
      </c>
      <c r="K369">
        <f t="shared" si="11"/>
        <v>0.185</v>
      </c>
    </row>
    <row r="370" spans="1:11">
      <c r="A370">
        <v>2026</v>
      </c>
      <c r="B370">
        <v>34</v>
      </c>
      <c r="C370" t="s">
        <v>67</v>
      </c>
      <c r="D370" t="s">
        <v>10</v>
      </c>
      <c r="E370" t="s">
        <v>190</v>
      </c>
      <c r="F370" t="s">
        <v>70</v>
      </c>
      <c r="G370" t="str">
        <f t="shared" si="10"/>
        <v>34005EXPLORER</v>
      </c>
      <c r="H370">
        <v>1029</v>
      </c>
      <c r="I370">
        <v>915</v>
      </c>
      <c r="J370">
        <v>1425</v>
      </c>
      <c r="K370">
        <f t="shared" si="11"/>
        <v>0.35789473684210527</v>
      </c>
    </row>
    <row r="371" spans="1:11">
      <c r="A371">
        <v>2026</v>
      </c>
      <c r="B371">
        <v>34</v>
      </c>
      <c r="C371" t="s">
        <v>67</v>
      </c>
      <c r="D371" t="s">
        <v>10</v>
      </c>
      <c r="E371" t="s">
        <v>190</v>
      </c>
      <c r="F371" t="s">
        <v>102</v>
      </c>
      <c r="G371" t="str">
        <f t="shared" si="10"/>
        <v>34005GOLDFINCH</v>
      </c>
      <c r="H371">
        <v>607</v>
      </c>
      <c r="I371">
        <v>540</v>
      </c>
      <c r="J371">
        <v>625</v>
      </c>
      <c r="K371">
        <f t="shared" si="11"/>
        <v>0.13600000000000001</v>
      </c>
    </row>
    <row r="372" spans="1:11">
      <c r="A372">
        <v>2026</v>
      </c>
      <c r="B372">
        <v>34</v>
      </c>
      <c r="C372" t="s">
        <v>67</v>
      </c>
      <c r="D372" t="s">
        <v>10</v>
      </c>
      <c r="E372" t="s">
        <v>190</v>
      </c>
      <c r="F372" t="s">
        <v>89</v>
      </c>
      <c r="G372" t="str">
        <f t="shared" si="10"/>
        <v>34005JOCKER</v>
      </c>
      <c r="H372">
        <v>1773</v>
      </c>
      <c r="I372">
        <v>1673</v>
      </c>
      <c r="J372">
        <v>1925</v>
      </c>
      <c r="K372">
        <f t="shared" si="11"/>
        <v>0.13090909090909092</v>
      </c>
    </row>
    <row r="373" spans="1:11">
      <c r="A373">
        <v>2026</v>
      </c>
      <c r="B373">
        <v>34</v>
      </c>
      <c r="C373" t="s">
        <v>67</v>
      </c>
      <c r="D373" t="s">
        <v>10</v>
      </c>
      <c r="E373" t="s">
        <v>190</v>
      </c>
      <c r="F373" t="s">
        <v>105</v>
      </c>
      <c r="G373" t="str">
        <f t="shared" si="10"/>
        <v>34005VENDELA</v>
      </c>
      <c r="H373">
        <v>1911</v>
      </c>
      <c r="I373">
        <v>1911</v>
      </c>
      <c r="J373">
        <v>1560</v>
      </c>
      <c r="K373">
        <f t="shared" si="11"/>
        <v>-0.22500000000000001</v>
      </c>
    </row>
    <row r="374" spans="1:11">
      <c r="A374">
        <v>2026</v>
      </c>
      <c r="B374">
        <v>34</v>
      </c>
      <c r="C374" t="s">
        <v>67</v>
      </c>
      <c r="D374" t="s">
        <v>10</v>
      </c>
      <c r="E374" t="s">
        <v>208</v>
      </c>
      <c r="F374" t="s">
        <v>107</v>
      </c>
      <c r="G374" t="str">
        <f t="shared" si="10"/>
        <v>34006ATOMIC</v>
      </c>
      <c r="H374">
        <v>732</v>
      </c>
      <c r="I374">
        <v>652</v>
      </c>
      <c r="J374" t="e">
        <v>#N/A</v>
      </c>
      <c r="K374" t="e">
        <f t="shared" si="11"/>
        <v>#N/A</v>
      </c>
    </row>
    <row r="375" spans="1:11">
      <c r="A375">
        <v>2026</v>
      </c>
      <c r="B375">
        <v>34</v>
      </c>
      <c r="C375" t="s">
        <v>67</v>
      </c>
      <c r="D375" t="s">
        <v>10</v>
      </c>
      <c r="E375" t="s">
        <v>208</v>
      </c>
      <c r="F375" t="s">
        <v>70</v>
      </c>
      <c r="G375" t="str">
        <f t="shared" si="10"/>
        <v>34006EXPLORER</v>
      </c>
      <c r="H375">
        <v>4768</v>
      </c>
      <c r="I375">
        <v>4768</v>
      </c>
      <c r="J375">
        <v>5750</v>
      </c>
      <c r="K375">
        <f t="shared" si="11"/>
        <v>0.17078260869565218</v>
      </c>
    </row>
    <row r="376" spans="1:11">
      <c r="A376">
        <v>2026</v>
      </c>
      <c r="B376">
        <v>34</v>
      </c>
      <c r="C376" t="s">
        <v>67</v>
      </c>
      <c r="D376" t="s">
        <v>10</v>
      </c>
      <c r="E376" t="s">
        <v>208</v>
      </c>
      <c r="F376" t="s">
        <v>110</v>
      </c>
      <c r="G376" t="str">
        <f t="shared" si="10"/>
        <v>34006MONDIAL</v>
      </c>
      <c r="H376">
        <v>4788</v>
      </c>
      <c r="I376">
        <v>4788</v>
      </c>
      <c r="J376">
        <v>5550</v>
      </c>
      <c r="K376">
        <f t="shared" si="11"/>
        <v>0.13729729729729731</v>
      </c>
    </row>
    <row r="377" spans="1:11">
      <c r="A377">
        <v>2026</v>
      </c>
      <c r="B377">
        <v>34</v>
      </c>
      <c r="C377" t="s">
        <v>67</v>
      </c>
      <c r="D377" t="s">
        <v>10</v>
      </c>
      <c r="E377" t="s">
        <v>191</v>
      </c>
      <c r="F377" t="s">
        <v>93</v>
      </c>
      <c r="G377" t="str">
        <f t="shared" si="10"/>
        <v>34007COTOPAXI</v>
      </c>
      <c r="H377">
        <v>7398</v>
      </c>
      <c r="I377">
        <v>7050</v>
      </c>
      <c r="J377">
        <v>3750</v>
      </c>
      <c r="K377">
        <f t="shared" si="11"/>
        <v>-0.88</v>
      </c>
    </row>
    <row r="378" spans="1:11">
      <c r="A378">
        <v>2026</v>
      </c>
      <c r="B378">
        <v>34</v>
      </c>
      <c r="C378" t="s">
        <v>67</v>
      </c>
      <c r="D378" t="s">
        <v>10</v>
      </c>
      <c r="E378" t="s">
        <v>191</v>
      </c>
      <c r="F378" t="s">
        <v>113</v>
      </c>
      <c r="G378" t="str">
        <f t="shared" si="10"/>
        <v>34007REDIANT</v>
      </c>
      <c r="H378">
        <v>1295</v>
      </c>
      <c r="I378">
        <v>1152</v>
      </c>
      <c r="J378">
        <v>1110</v>
      </c>
      <c r="K378">
        <f t="shared" si="11"/>
        <v>-3.783783783783784E-2</v>
      </c>
    </row>
    <row r="379" spans="1:11">
      <c r="A379">
        <v>2026</v>
      </c>
      <c r="B379">
        <v>34</v>
      </c>
      <c r="C379" t="s">
        <v>67</v>
      </c>
      <c r="D379" t="s">
        <v>10</v>
      </c>
      <c r="E379" t="s">
        <v>191</v>
      </c>
      <c r="F379" t="s">
        <v>105</v>
      </c>
      <c r="G379" t="str">
        <f t="shared" si="10"/>
        <v>34007VENDELA</v>
      </c>
      <c r="H379">
        <v>13539</v>
      </c>
      <c r="I379">
        <v>13539</v>
      </c>
      <c r="J379">
        <v>7680</v>
      </c>
      <c r="K379">
        <f t="shared" si="11"/>
        <v>-0.76289062500000004</v>
      </c>
    </row>
    <row r="380" spans="1:11">
      <c r="A380">
        <v>2026</v>
      </c>
      <c r="B380">
        <v>34</v>
      </c>
      <c r="C380" t="s">
        <v>67</v>
      </c>
      <c r="D380" t="s">
        <v>10</v>
      </c>
      <c r="E380" t="s">
        <v>209</v>
      </c>
      <c r="F380" t="s">
        <v>86</v>
      </c>
      <c r="G380" t="str">
        <f t="shared" si="10"/>
        <v>34008DEEP PURPLE</v>
      </c>
      <c r="H380">
        <v>2427</v>
      </c>
      <c r="I380">
        <v>2427</v>
      </c>
      <c r="J380">
        <v>3900</v>
      </c>
      <c r="K380">
        <f t="shared" si="11"/>
        <v>0.37769230769230772</v>
      </c>
    </row>
    <row r="381" spans="1:11">
      <c r="A381">
        <v>2026</v>
      </c>
      <c r="B381">
        <v>34</v>
      </c>
      <c r="C381" t="s">
        <v>67</v>
      </c>
      <c r="D381" t="s">
        <v>10</v>
      </c>
      <c r="E381" t="s">
        <v>209</v>
      </c>
      <c r="F381" t="s">
        <v>117</v>
      </c>
      <c r="G381" t="str">
        <f t="shared" si="10"/>
        <v>34008FREEDOM</v>
      </c>
      <c r="H381">
        <v>3278</v>
      </c>
      <c r="I381">
        <v>3278</v>
      </c>
      <c r="J381">
        <v>3180</v>
      </c>
      <c r="K381">
        <f t="shared" si="11"/>
        <v>-3.0817610062893082E-2</v>
      </c>
    </row>
    <row r="382" spans="1:11">
      <c r="A382">
        <v>2026</v>
      </c>
      <c r="B382">
        <v>34</v>
      </c>
      <c r="C382" t="s">
        <v>67</v>
      </c>
      <c r="D382" t="s">
        <v>10</v>
      </c>
      <c r="E382" t="s">
        <v>209</v>
      </c>
      <c r="F382" t="s">
        <v>89</v>
      </c>
      <c r="G382" t="str">
        <f t="shared" si="10"/>
        <v>34008JOCKER</v>
      </c>
      <c r="H382">
        <v>3507</v>
      </c>
      <c r="I382">
        <v>3507</v>
      </c>
      <c r="J382">
        <v>4975</v>
      </c>
      <c r="K382">
        <f t="shared" si="11"/>
        <v>0.29507537688442209</v>
      </c>
    </row>
    <row r="383" spans="1:11">
      <c r="A383">
        <v>2026</v>
      </c>
      <c r="B383">
        <v>34</v>
      </c>
      <c r="C383" t="s">
        <v>67</v>
      </c>
      <c r="D383" t="s">
        <v>10</v>
      </c>
      <c r="E383" t="s">
        <v>210</v>
      </c>
      <c r="F383" t="s">
        <v>120</v>
      </c>
      <c r="G383" t="str">
        <f t="shared" si="10"/>
        <v>34010COOLDOWN</v>
      </c>
      <c r="H383">
        <v>3404</v>
      </c>
      <c r="I383">
        <v>3404</v>
      </c>
      <c r="J383">
        <v>1900</v>
      </c>
      <c r="K383">
        <f t="shared" si="11"/>
        <v>-0.79157894736842105</v>
      </c>
    </row>
    <row r="384" spans="1:11">
      <c r="A384">
        <v>2026</v>
      </c>
      <c r="B384">
        <v>34</v>
      </c>
      <c r="C384" t="s">
        <v>67</v>
      </c>
      <c r="D384" t="s">
        <v>10</v>
      </c>
      <c r="E384" t="s">
        <v>210</v>
      </c>
      <c r="F384" t="s">
        <v>122</v>
      </c>
      <c r="G384" t="str">
        <f t="shared" si="10"/>
        <v>34010VIOLET HILL</v>
      </c>
      <c r="H384">
        <v>3436</v>
      </c>
      <c r="I384">
        <v>3436</v>
      </c>
      <c r="J384">
        <v>4440</v>
      </c>
      <c r="K384">
        <f t="shared" si="11"/>
        <v>0.22612612612612612</v>
      </c>
    </row>
    <row r="385" spans="1:11">
      <c r="A385">
        <v>2026</v>
      </c>
      <c r="B385">
        <v>34</v>
      </c>
      <c r="C385" t="s">
        <v>67</v>
      </c>
      <c r="D385" t="s">
        <v>10</v>
      </c>
      <c r="E385" t="s">
        <v>211</v>
      </c>
      <c r="F385" t="s">
        <v>124</v>
      </c>
      <c r="G385" t="str">
        <f t="shared" si="10"/>
        <v>34011BRIGHTON</v>
      </c>
      <c r="H385">
        <v>3160</v>
      </c>
      <c r="I385">
        <v>3160</v>
      </c>
      <c r="J385">
        <v>3375</v>
      </c>
      <c r="K385">
        <f t="shared" si="11"/>
        <v>6.3703703703703707E-2</v>
      </c>
    </row>
    <row r="386" spans="1:11">
      <c r="A386">
        <v>2026</v>
      </c>
      <c r="B386">
        <v>34</v>
      </c>
      <c r="C386" t="s">
        <v>67</v>
      </c>
      <c r="D386" t="s">
        <v>10</v>
      </c>
      <c r="E386" t="s">
        <v>211</v>
      </c>
      <c r="F386" t="s">
        <v>126</v>
      </c>
      <c r="G386" t="str">
        <f t="shared" si="10"/>
        <v>34011CANDLELIGHT</v>
      </c>
      <c r="H386">
        <v>3990</v>
      </c>
      <c r="I386">
        <v>3990</v>
      </c>
      <c r="J386">
        <v>4160</v>
      </c>
      <c r="K386">
        <f t="shared" si="11"/>
        <v>4.0865384615384616E-2</v>
      </c>
    </row>
    <row r="387" spans="1:11">
      <c r="A387">
        <v>2026</v>
      </c>
      <c r="B387">
        <v>34</v>
      </c>
      <c r="C387" t="s">
        <v>67</v>
      </c>
      <c r="D387" t="s">
        <v>10</v>
      </c>
      <c r="E387" t="s">
        <v>211</v>
      </c>
      <c r="F387" t="s">
        <v>128</v>
      </c>
      <c r="G387" t="str">
        <f t="shared" ref="G387:G423" si="12">+B387&amp;E387&amp;F387</f>
        <v>34011CAYENNE</v>
      </c>
      <c r="H387">
        <v>1005</v>
      </c>
      <c r="I387">
        <v>894</v>
      </c>
      <c r="J387">
        <v>1590</v>
      </c>
      <c r="K387">
        <f t="shared" ref="K387:K423" si="13">+(J387-I387)/J387</f>
        <v>0.43773584905660379</v>
      </c>
    </row>
    <row r="388" spans="1:11">
      <c r="A388">
        <v>2026</v>
      </c>
      <c r="B388">
        <v>34</v>
      </c>
      <c r="C388" t="s">
        <v>67</v>
      </c>
      <c r="D388" t="s">
        <v>10</v>
      </c>
      <c r="E388" t="s">
        <v>211</v>
      </c>
      <c r="F388" t="s">
        <v>131</v>
      </c>
      <c r="G388" t="str">
        <f t="shared" si="12"/>
        <v>34011STARDUST</v>
      </c>
      <c r="H388">
        <v>2421</v>
      </c>
      <c r="I388">
        <v>2421</v>
      </c>
      <c r="J388">
        <v>3500</v>
      </c>
      <c r="K388">
        <f t="shared" si="13"/>
        <v>0.30828571428571427</v>
      </c>
    </row>
    <row r="389" spans="1:11">
      <c r="A389">
        <v>2026</v>
      </c>
      <c r="B389">
        <v>34</v>
      </c>
      <c r="C389" t="s">
        <v>67</v>
      </c>
      <c r="D389" t="s">
        <v>10</v>
      </c>
      <c r="E389" t="s">
        <v>212</v>
      </c>
      <c r="F389" t="s">
        <v>86</v>
      </c>
      <c r="G389" t="str">
        <f t="shared" si="12"/>
        <v>34012DEEP PURPLE</v>
      </c>
      <c r="H389">
        <v>9429</v>
      </c>
      <c r="I389">
        <v>9429</v>
      </c>
      <c r="J389">
        <v>12630</v>
      </c>
      <c r="K389">
        <f t="shared" si="13"/>
        <v>0.25344418052256534</v>
      </c>
    </row>
    <row r="390" spans="1:11">
      <c r="A390">
        <v>2026</v>
      </c>
      <c r="B390">
        <v>34</v>
      </c>
      <c r="C390" t="s">
        <v>67</v>
      </c>
      <c r="D390" t="s">
        <v>10</v>
      </c>
      <c r="E390" t="s">
        <v>212</v>
      </c>
      <c r="F390" t="s">
        <v>74</v>
      </c>
      <c r="G390" t="str">
        <f t="shared" si="12"/>
        <v>34012LIGHT HOUSE</v>
      </c>
      <c r="H390">
        <v>1016</v>
      </c>
      <c r="I390">
        <v>904</v>
      </c>
      <c r="J390">
        <v>1020</v>
      </c>
      <c r="K390">
        <f t="shared" si="13"/>
        <v>0.11372549019607843</v>
      </c>
    </row>
    <row r="391" spans="1:11">
      <c r="A391">
        <v>2026</v>
      </c>
      <c r="B391">
        <v>34</v>
      </c>
      <c r="C391" t="s">
        <v>67</v>
      </c>
      <c r="D391" t="s">
        <v>10</v>
      </c>
      <c r="E391" t="s">
        <v>213</v>
      </c>
      <c r="F391" t="s">
        <v>135</v>
      </c>
      <c r="G391" t="str">
        <f t="shared" si="12"/>
        <v>34013COUNTRY BLUES</v>
      </c>
      <c r="H391">
        <v>1453</v>
      </c>
      <c r="I391">
        <v>1293</v>
      </c>
      <c r="J391">
        <v>1060</v>
      </c>
      <c r="K391">
        <f t="shared" si="13"/>
        <v>-0.21981132075471699</v>
      </c>
    </row>
    <row r="392" spans="1:11">
      <c r="A392">
        <v>2026</v>
      </c>
      <c r="B392">
        <v>34</v>
      </c>
      <c r="C392" t="s">
        <v>67</v>
      </c>
      <c r="D392" t="s">
        <v>10</v>
      </c>
      <c r="E392" t="s">
        <v>213</v>
      </c>
      <c r="F392" t="s">
        <v>137</v>
      </c>
      <c r="G392" t="str">
        <f t="shared" si="12"/>
        <v>34013LORRAINE</v>
      </c>
      <c r="H392">
        <v>2212</v>
      </c>
      <c r="I392">
        <v>2164</v>
      </c>
      <c r="J392">
        <v>2550</v>
      </c>
      <c r="K392">
        <f t="shared" si="13"/>
        <v>0.15137254901960784</v>
      </c>
    </row>
    <row r="393" spans="1:11">
      <c r="A393">
        <v>2026</v>
      </c>
      <c r="B393">
        <v>34</v>
      </c>
      <c r="C393" t="s">
        <v>67</v>
      </c>
      <c r="D393" t="s">
        <v>10</v>
      </c>
      <c r="E393" t="s">
        <v>213</v>
      </c>
      <c r="F393" t="s">
        <v>105</v>
      </c>
      <c r="G393" t="str">
        <f t="shared" si="12"/>
        <v>34013VENDELA</v>
      </c>
      <c r="H393">
        <v>7796</v>
      </c>
      <c r="I393">
        <v>7796</v>
      </c>
      <c r="J393">
        <v>7050</v>
      </c>
      <c r="K393">
        <f t="shared" si="13"/>
        <v>-0.10581560283687944</v>
      </c>
    </row>
    <row r="394" spans="1:11">
      <c r="A394">
        <v>2026</v>
      </c>
      <c r="B394">
        <v>34</v>
      </c>
      <c r="C394" t="s">
        <v>67</v>
      </c>
      <c r="D394" t="s">
        <v>10</v>
      </c>
      <c r="E394" t="s">
        <v>193</v>
      </c>
      <c r="F394" t="s">
        <v>131</v>
      </c>
      <c r="G394" t="str">
        <f t="shared" si="12"/>
        <v>34014STARDUST</v>
      </c>
      <c r="H394">
        <v>3336</v>
      </c>
      <c r="I394">
        <v>3336</v>
      </c>
      <c r="J394">
        <v>5150</v>
      </c>
      <c r="K394">
        <f t="shared" si="13"/>
        <v>0.35223300970873789</v>
      </c>
    </row>
    <row r="395" spans="1:11">
      <c r="A395">
        <v>2026</v>
      </c>
      <c r="B395">
        <v>34</v>
      </c>
      <c r="C395" t="s">
        <v>67</v>
      </c>
      <c r="D395" t="s">
        <v>10</v>
      </c>
      <c r="E395" t="s">
        <v>194</v>
      </c>
      <c r="F395" t="s">
        <v>89</v>
      </c>
      <c r="G395" t="str">
        <f t="shared" si="12"/>
        <v>34015JOCKER</v>
      </c>
      <c r="H395">
        <v>2477</v>
      </c>
      <c r="I395">
        <v>2477</v>
      </c>
      <c r="J395">
        <v>3025</v>
      </c>
      <c r="K395">
        <f t="shared" si="13"/>
        <v>0.18115702479338844</v>
      </c>
    </row>
    <row r="396" spans="1:11">
      <c r="A396">
        <v>2026</v>
      </c>
      <c r="B396">
        <v>34</v>
      </c>
      <c r="C396" t="s">
        <v>67</v>
      </c>
      <c r="D396" t="s">
        <v>10</v>
      </c>
      <c r="E396" t="s">
        <v>195</v>
      </c>
      <c r="F396" t="s">
        <v>143</v>
      </c>
      <c r="G396" t="str">
        <f t="shared" si="12"/>
        <v>34016DREAM IN PEACH</v>
      </c>
      <c r="H396">
        <v>652</v>
      </c>
      <c r="I396">
        <v>580</v>
      </c>
      <c r="J396">
        <v>1230</v>
      </c>
      <c r="K396">
        <f t="shared" si="13"/>
        <v>0.52845528455284552</v>
      </c>
    </row>
    <row r="397" spans="1:11">
      <c r="A397">
        <v>2026</v>
      </c>
      <c r="B397">
        <v>34</v>
      </c>
      <c r="C397" t="s">
        <v>67</v>
      </c>
      <c r="D397" t="s">
        <v>10</v>
      </c>
      <c r="E397" t="s">
        <v>195</v>
      </c>
      <c r="F397" t="s">
        <v>145</v>
      </c>
      <c r="G397" t="str">
        <f t="shared" si="12"/>
        <v>34016NINA</v>
      </c>
      <c r="H397">
        <v>2236</v>
      </c>
      <c r="I397">
        <v>2236</v>
      </c>
      <c r="J397">
        <v>1800</v>
      </c>
      <c r="K397">
        <f t="shared" si="13"/>
        <v>-0.24222222222222223</v>
      </c>
    </row>
    <row r="398" spans="1:11">
      <c r="A398">
        <v>2026</v>
      </c>
      <c r="B398">
        <v>34</v>
      </c>
      <c r="C398" t="s">
        <v>67</v>
      </c>
      <c r="D398" t="s">
        <v>10</v>
      </c>
      <c r="E398" t="s">
        <v>196</v>
      </c>
      <c r="F398" t="s">
        <v>117</v>
      </c>
      <c r="G398" t="str">
        <f t="shared" si="12"/>
        <v>34017FREEDOM</v>
      </c>
      <c r="H398">
        <v>3479</v>
      </c>
      <c r="I398">
        <v>3479</v>
      </c>
      <c r="J398">
        <v>4950</v>
      </c>
      <c r="K398">
        <f t="shared" si="13"/>
        <v>0.2971717171717172</v>
      </c>
    </row>
    <row r="399" spans="1:11">
      <c r="A399">
        <v>2026</v>
      </c>
      <c r="B399">
        <v>34</v>
      </c>
      <c r="C399" t="s">
        <v>67</v>
      </c>
      <c r="D399" t="s">
        <v>10</v>
      </c>
      <c r="E399" t="s">
        <v>196</v>
      </c>
      <c r="F399" t="s">
        <v>102</v>
      </c>
      <c r="G399" t="str">
        <f t="shared" si="12"/>
        <v>34017GOLDFINCH</v>
      </c>
      <c r="H399">
        <v>1652</v>
      </c>
      <c r="I399">
        <v>1470</v>
      </c>
      <c r="J399">
        <v>1975</v>
      </c>
      <c r="K399">
        <f t="shared" si="13"/>
        <v>0.25569620253164554</v>
      </c>
    </row>
    <row r="400" spans="1:11">
      <c r="A400">
        <v>2026</v>
      </c>
      <c r="B400">
        <v>34</v>
      </c>
      <c r="C400" t="s">
        <v>67</v>
      </c>
      <c r="D400" t="s">
        <v>10</v>
      </c>
      <c r="E400" t="s">
        <v>197</v>
      </c>
      <c r="F400" t="s">
        <v>124</v>
      </c>
      <c r="G400" t="str">
        <f t="shared" si="12"/>
        <v>34018BRIGHTON</v>
      </c>
      <c r="H400">
        <v>1543</v>
      </c>
      <c r="I400">
        <v>1374</v>
      </c>
      <c r="J400">
        <v>1650</v>
      </c>
      <c r="K400">
        <f t="shared" si="13"/>
        <v>0.16727272727272727</v>
      </c>
    </row>
    <row r="401" spans="1:11">
      <c r="A401">
        <v>2026</v>
      </c>
      <c r="B401">
        <v>34</v>
      </c>
      <c r="C401" t="s">
        <v>67</v>
      </c>
      <c r="D401" t="s">
        <v>10</v>
      </c>
      <c r="E401" t="s">
        <v>198</v>
      </c>
      <c r="F401" t="s">
        <v>124</v>
      </c>
      <c r="G401" t="str">
        <f t="shared" si="12"/>
        <v>34019BRIGHTON</v>
      </c>
      <c r="H401">
        <v>4325</v>
      </c>
      <c r="I401">
        <v>4325</v>
      </c>
      <c r="J401">
        <v>5600</v>
      </c>
      <c r="K401">
        <f t="shared" si="13"/>
        <v>0.22767857142857142</v>
      </c>
    </row>
    <row r="402" spans="1:11">
      <c r="A402">
        <v>2026</v>
      </c>
      <c r="B402">
        <v>34</v>
      </c>
      <c r="C402" t="s">
        <v>67</v>
      </c>
      <c r="D402" t="s">
        <v>10</v>
      </c>
      <c r="E402" t="s">
        <v>198</v>
      </c>
      <c r="F402" t="s">
        <v>151</v>
      </c>
      <c r="G402" t="str">
        <f t="shared" si="12"/>
        <v>34019TABATHA</v>
      </c>
      <c r="H402">
        <v>1700</v>
      </c>
      <c r="I402">
        <v>1556</v>
      </c>
      <c r="J402">
        <v>2370</v>
      </c>
      <c r="K402">
        <f t="shared" si="13"/>
        <v>0.34345991561181433</v>
      </c>
    </row>
    <row r="403" spans="1:11">
      <c r="A403">
        <v>2026</v>
      </c>
      <c r="B403">
        <v>34</v>
      </c>
      <c r="C403" t="s">
        <v>67</v>
      </c>
      <c r="D403" t="s">
        <v>10</v>
      </c>
      <c r="E403" t="s">
        <v>199</v>
      </c>
      <c r="F403" t="s">
        <v>124</v>
      </c>
      <c r="G403" t="str">
        <f t="shared" si="12"/>
        <v>34020BRIGHTON</v>
      </c>
      <c r="H403">
        <v>3685</v>
      </c>
      <c r="I403">
        <v>3685</v>
      </c>
      <c r="J403">
        <v>4125</v>
      </c>
      <c r="K403">
        <f t="shared" si="13"/>
        <v>0.10666666666666667</v>
      </c>
    </row>
    <row r="404" spans="1:11">
      <c r="A404">
        <v>2026</v>
      </c>
      <c r="B404">
        <v>34</v>
      </c>
      <c r="C404" t="s">
        <v>67</v>
      </c>
      <c r="D404" t="s">
        <v>10</v>
      </c>
      <c r="E404" t="s">
        <v>199</v>
      </c>
      <c r="F404" t="s">
        <v>154</v>
      </c>
      <c r="G404" t="str">
        <f t="shared" si="12"/>
        <v>34020TYCOON</v>
      </c>
      <c r="H404">
        <v>996</v>
      </c>
      <c r="I404">
        <v>886</v>
      </c>
      <c r="J404">
        <v>930</v>
      </c>
      <c r="K404">
        <f t="shared" si="13"/>
        <v>4.7311827956989246E-2</v>
      </c>
    </row>
    <row r="405" spans="1:11">
      <c r="A405">
        <v>2026</v>
      </c>
      <c r="B405">
        <v>34</v>
      </c>
      <c r="C405" t="s">
        <v>67</v>
      </c>
      <c r="D405" t="s">
        <v>10</v>
      </c>
      <c r="E405" t="s">
        <v>200</v>
      </c>
      <c r="F405" t="s">
        <v>156</v>
      </c>
      <c r="G405" t="str">
        <f t="shared" si="12"/>
        <v>34021SHOW GIRL</v>
      </c>
      <c r="H405">
        <v>1689</v>
      </c>
      <c r="I405">
        <v>1558</v>
      </c>
      <c r="J405">
        <v>1825</v>
      </c>
      <c r="K405">
        <f t="shared" si="13"/>
        <v>0.1463013698630137</v>
      </c>
    </row>
    <row r="406" spans="1:11">
      <c r="A406">
        <v>2026</v>
      </c>
      <c r="B406">
        <v>34</v>
      </c>
      <c r="C406" t="s">
        <v>67</v>
      </c>
      <c r="D406" t="s">
        <v>10</v>
      </c>
      <c r="E406" t="s">
        <v>201</v>
      </c>
      <c r="F406" t="s">
        <v>158</v>
      </c>
      <c r="G406" t="str">
        <f t="shared" si="12"/>
        <v>34022CORAL REEF</v>
      </c>
      <c r="H406">
        <v>1242</v>
      </c>
      <c r="I406">
        <v>1105</v>
      </c>
      <c r="J406">
        <v>1475</v>
      </c>
      <c r="K406">
        <f t="shared" si="13"/>
        <v>0.25084745762711863</v>
      </c>
    </row>
    <row r="407" spans="1:11">
      <c r="A407">
        <v>2026</v>
      </c>
      <c r="B407">
        <v>34</v>
      </c>
      <c r="C407" t="s">
        <v>67</v>
      </c>
      <c r="D407" t="s">
        <v>10</v>
      </c>
      <c r="E407" t="s">
        <v>214</v>
      </c>
      <c r="F407" t="s">
        <v>93</v>
      </c>
      <c r="G407" t="str">
        <f t="shared" si="12"/>
        <v>34023COTOPAXI</v>
      </c>
      <c r="H407">
        <v>7301</v>
      </c>
      <c r="I407">
        <v>6784</v>
      </c>
      <c r="J407">
        <v>6090</v>
      </c>
      <c r="K407">
        <f t="shared" si="13"/>
        <v>-0.11395730706075534</v>
      </c>
    </row>
    <row r="408" spans="1:11">
      <c r="A408">
        <v>2026</v>
      </c>
      <c r="B408">
        <v>34</v>
      </c>
      <c r="C408" t="s">
        <v>67</v>
      </c>
      <c r="D408" t="s">
        <v>10</v>
      </c>
      <c r="E408" t="s">
        <v>214</v>
      </c>
      <c r="F408" t="s">
        <v>161</v>
      </c>
      <c r="G408" t="str">
        <f t="shared" si="12"/>
        <v>34023FRUTTETO</v>
      </c>
      <c r="H408">
        <v>3139</v>
      </c>
      <c r="I408">
        <v>3139</v>
      </c>
      <c r="J408">
        <v>4650</v>
      </c>
      <c r="K408">
        <f t="shared" si="13"/>
        <v>0.32494623655913979</v>
      </c>
    </row>
    <row r="409" spans="1:11">
      <c r="A409">
        <v>2026</v>
      </c>
      <c r="B409">
        <v>34</v>
      </c>
      <c r="C409" t="s">
        <v>67</v>
      </c>
      <c r="D409" t="s">
        <v>10</v>
      </c>
      <c r="E409" t="s">
        <v>215</v>
      </c>
      <c r="F409" t="s">
        <v>93</v>
      </c>
      <c r="G409" t="str">
        <f t="shared" si="12"/>
        <v>34024COTOPAXI</v>
      </c>
      <c r="H409">
        <v>3262</v>
      </c>
      <c r="I409">
        <v>2903</v>
      </c>
      <c r="J409">
        <v>3120</v>
      </c>
      <c r="K409">
        <f t="shared" si="13"/>
        <v>6.9551282051282054E-2</v>
      </c>
    </row>
    <row r="410" spans="1:11">
      <c r="A410">
        <v>2026</v>
      </c>
      <c r="B410">
        <v>34</v>
      </c>
      <c r="C410" t="s">
        <v>67</v>
      </c>
      <c r="D410" t="s">
        <v>10</v>
      </c>
      <c r="E410" t="s">
        <v>215</v>
      </c>
      <c r="F410" t="s">
        <v>82</v>
      </c>
      <c r="G410" t="str">
        <f t="shared" si="12"/>
        <v>34024SWEETNESS</v>
      </c>
      <c r="H410">
        <v>1666</v>
      </c>
      <c r="I410">
        <v>1666</v>
      </c>
      <c r="J410">
        <v>1980</v>
      </c>
      <c r="K410">
        <f t="shared" si="13"/>
        <v>0.15858585858585858</v>
      </c>
    </row>
    <row r="411" spans="1:11">
      <c r="A411">
        <v>2026</v>
      </c>
      <c r="B411">
        <v>34</v>
      </c>
      <c r="C411" t="s">
        <v>67</v>
      </c>
      <c r="D411" t="s">
        <v>10</v>
      </c>
      <c r="E411" t="s">
        <v>215</v>
      </c>
      <c r="F411" t="s">
        <v>154</v>
      </c>
      <c r="G411" t="str">
        <f t="shared" si="12"/>
        <v>34024TYCOON</v>
      </c>
      <c r="H411">
        <v>2650</v>
      </c>
      <c r="I411">
        <v>2650</v>
      </c>
      <c r="J411">
        <v>3810</v>
      </c>
      <c r="K411">
        <f t="shared" si="13"/>
        <v>0.30446194225721784</v>
      </c>
    </row>
    <row r="412" spans="1:11">
      <c r="A412">
        <v>2026</v>
      </c>
      <c r="B412">
        <v>34</v>
      </c>
      <c r="C412" t="s">
        <v>67</v>
      </c>
      <c r="D412" t="s">
        <v>10</v>
      </c>
      <c r="E412" t="s">
        <v>216</v>
      </c>
      <c r="F412" t="s">
        <v>166</v>
      </c>
      <c r="G412" t="str">
        <f t="shared" si="12"/>
        <v>34025PINK MONDIAL</v>
      </c>
      <c r="H412">
        <v>3417</v>
      </c>
      <c r="I412">
        <v>3417</v>
      </c>
      <c r="J412">
        <v>4450</v>
      </c>
      <c r="K412">
        <f t="shared" si="13"/>
        <v>0.23213483146067415</v>
      </c>
    </row>
    <row r="413" spans="1:11">
      <c r="A413">
        <v>2026</v>
      </c>
      <c r="B413">
        <v>34</v>
      </c>
      <c r="C413" t="s">
        <v>67</v>
      </c>
      <c r="D413" t="s">
        <v>10</v>
      </c>
      <c r="E413" t="s">
        <v>217</v>
      </c>
      <c r="F413" t="s">
        <v>168</v>
      </c>
      <c r="G413" t="str">
        <f t="shared" si="12"/>
        <v>34026LOLA</v>
      </c>
      <c r="H413">
        <v>3011</v>
      </c>
      <c r="I413">
        <v>3011</v>
      </c>
      <c r="J413">
        <v>4000</v>
      </c>
      <c r="K413">
        <f t="shared" si="13"/>
        <v>0.24725</v>
      </c>
    </row>
    <row r="414" spans="1:11">
      <c r="A414">
        <v>2026</v>
      </c>
      <c r="B414">
        <v>34</v>
      </c>
      <c r="C414" t="s">
        <v>67</v>
      </c>
      <c r="D414" t="s">
        <v>10</v>
      </c>
      <c r="E414" t="s">
        <v>217</v>
      </c>
      <c r="F414" t="s">
        <v>170</v>
      </c>
      <c r="G414" t="str">
        <f t="shared" si="12"/>
        <v>34026PALOMA</v>
      </c>
      <c r="H414">
        <v>3821</v>
      </c>
      <c r="I414">
        <v>3821</v>
      </c>
      <c r="J414">
        <v>4150</v>
      </c>
      <c r="K414">
        <f t="shared" si="13"/>
        <v>7.9277108433734936E-2</v>
      </c>
    </row>
    <row r="415" spans="1:11">
      <c r="A415">
        <v>2026</v>
      </c>
      <c r="B415">
        <v>34</v>
      </c>
      <c r="C415" t="s">
        <v>67</v>
      </c>
      <c r="D415" t="s">
        <v>10</v>
      </c>
      <c r="E415" t="s">
        <v>218</v>
      </c>
      <c r="F415" t="s">
        <v>172</v>
      </c>
      <c r="G415" t="str">
        <f t="shared" si="12"/>
        <v>34027SATISFACTION</v>
      </c>
      <c r="H415">
        <v>3516</v>
      </c>
      <c r="I415">
        <v>3516</v>
      </c>
      <c r="J415">
        <v>4230</v>
      </c>
      <c r="K415">
        <f t="shared" si="13"/>
        <v>0.16879432624113475</v>
      </c>
    </row>
    <row r="416" spans="1:11">
      <c r="A416">
        <v>2026</v>
      </c>
      <c r="B416">
        <v>34</v>
      </c>
      <c r="C416" t="s">
        <v>67</v>
      </c>
      <c r="D416" t="s">
        <v>10</v>
      </c>
      <c r="E416" t="s">
        <v>218</v>
      </c>
      <c r="F416" t="s">
        <v>174</v>
      </c>
      <c r="G416" t="str">
        <f t="shared" si="12"/>
        <v>34027TIFFANY</v>
      </c>
      <c r="H416">
        <v>3499</v>
      </c>
      <c r="I416">
        <v>3499</v>
      </c>
      <c r="J416">
        <v>5340</v>
      </c>
      <c r="K416">
        <f t="shared" si="13"/>
        <v>0.3447565543071161</v>
      </c>
    </row>
    <row r="417" spans="1:11">
      <c r="A417">
        <v>2026</v>
      </c>
      <c r="B417">
        <v>34</v>
      </c>
      <c r="C417" t="s">
        <v>67</v>
      </c>
      <c r="D417" t="s">
        <v>10</v>
      </c>
      <c r="E417" t="s">
        <v>219</v>
      </c>
      <c r="F417" t="s">
        <v>93</v>
      </c>
      <c r="G417" t="str">
        <f t="shared" si="12"/>
        <v>34028COTOPAXI</v>
      </c>
      <c r="H417">
        <v>4715</v>
      </c>
      <c r="I417">
        <v>4715</v>
      </c>
      <c r="J417">
        <v>5040</v>
      </c>
      <c r="K417">
        <f t="shared" si="13"/>
        <v>6.4484126984126991E-2</v>
      </c>
    </row>
    <row r="418" spans="1:11">
      <c r="A418">
        <v>2026</v>
      </c>
      <c r="B418">
        <v>34</v>
      </c>
      <c r="C418" t="s">
        <v>67</v>
      </c>
      <c r="D418" t="s">
        <v>10</v>
      </c>
      <c r="E418" t="s">
        <v>219</v>
      </c>
      <c r="F418" t="s">
        <v>86</v>
      </c>
      <c r="G418" t="str">
        <f t="shared" si="12"/>
        <v>34028DEEP PURPLE</v>
      </c>
      <c r="H418">
        <v>5285</v>
      </c>
      <c r="I418">
        <v>4769</v>
      </c>
      <c r="J418">
        <v>5820</v>
      </c>
      <c r="K418">
        <f t="shared" si="13"/>
        <v>0.18058419243986254</v>
      </c>
    </row>
    <row r="419" spans="1:11">
      <c r="A419">
        <v>2026</v>
      </c>
      <c r="B419">
        <v>34</v>
      </c>
      <c r="C419" t="s">
        <v>67</v>
      </c>
      <c r="D419" t="s">
        <v>10</v>
      </c>
      <c r="E419" t="s">
        <v>220</v>
      </c>
      <c r="F419" t="s">
        <v>178</v>
      </c>
      <c r="G419" t="str">
        <f t="shared" si="12"/>
        <v>34029PINK FLOYD</v>
      </c>
      <c r="H419">
        <v>2662</v>
      </c>
      <c r="I419">
        <v>2662</v>
      </c>
      <c r="J419">
        <v>3375</v>
      </c>
      <c r="K419">
        <f t="shared" si="13"/>
        <v>0.21125925925925926</v>
      </c>
    </row>
    <row r="420" spans="1:11">
      <c r="A420">
        <v>2026</v>
      </c>
      <c r="B420">
        <v>34</v>
      </c>
      <c r="C420" t="s">
        <v>67</v>
      </c>
      <c r="D420" t="s">
        <v>10</v>
      </c>
      <c r="E420" t="s">
        <v>202</v>
      </c>
      <c r="F420" t="s">
        <v>70</v>
      </c>
      <c r="G420" t="str">
        <f t="shared" si="12"/>
        <v>34030EXPLORER</v>
      </c>
      <c r="H420">
        <v>1249</v>
      </c>
      <c r="I420">
        <v>1111</v>
      </c>
      <c r="J420">
        <v>1750</v>
      </c>
      <c r="K420">
        <f t="shared" si="13"/>
        <v>0.36514285714285716</v>
      </c>
    </row>
    <row r="421" spans="1:11">
      <c r="A421">
        <v>2026</v>
      </c>
      <c r="B421">
        <v>34</v>
      </c>
      <c r="C421" t="s">
        <v>67</v>
      </c>
      <c r="D421" t="s">
        <v>10</v>
      </c>
      <c r="E421" t="s">
        <v>206</v>
      </c>
      <c r="F421" t="s">
        <v>76</v>
      </c>
      <c r="G421" t="str">
        <f t="shared" si="12"/>
        <v>34001LUMIA</v>
      </c>
      <c r="H421">
        <v>1149</v>
      </c>
      <c r="I421">
        <v>1022</v>
      </c>
      <c r="J421">
        <v>1380</v>
      </c>
      <c r="K421">
        <f t="shared" si="13"/>
        <v>0.25942028985507248</v>
      </c>
    </row>
    <row r="422" spans="1:11">
      <c r="A422">
        <v>2026</v>
      </c>
      <c r="B422">
        <v>34</v>
      </c>
      <c r="C422" t="s">
        <v>67</v>
      </c>
      <c r="D422" t="s">
        <v>10</v>
      </c>
      <c r="E422" t="s">
        <v>211</v>
      </c>
      <c r="F422" t="s">
        <v>76</v>
      </c>
      <c r="G422" t="str">
        <f t="shared" si="12"/>
        <v>34011LUMIA</v>
      </c>
      <c r="H422">
        <v>1389</v>
      </c>
      <c r="I422">
        <v>1236</v>
      </c>
      <c r="J422">
        <v>1500</v>
      </c>
      <c r="K422">
        <f t="shared" si="13"/>
        <v>0.17599999999999999</v>
      </c>
    </row>
    <row r="423" spans="1:11">
      <c r="A423">
        <v>2026</v>
      </c>
      <c r="B423">
        <v>34</v>
      </c>
      <c r="C423" t="s">
        <v>67</v>
      </c>
      <c r="D423" t="s">
        <v>10</v>
      </c>
      <c r="E423" t="s">
        <v>213</v>
      </c>
      <c r="F423" t="s">
        <v>76</v>
      </c>
      <c r="G423" t="str">
        <f t="shared" si="12"/>
        <v>34013LUMIA</v>
      </c>
      <c r="H423">
        <v>395</v>
      </c>
      <c r="I423">
        <v>352</v>
      </c>
      <c r="J423">
        <v>570</v>
      </c>
      <c r="K423">
        <f t="shared" si="13"/>
        <v>0.38245614035087722</v>
      </c>
    </row>
    <row r="424" spans="1:11">
      <c r="K424" t="s">
        <v>187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8"/>
  <sheetViews>
    <sheetView workbookViewId="0"/>
  </sheetViews>
  <sheetFormatPr baseColWidth="10" defaultColWidth="9.140625" defaultRowHeight="15"/>
  <sheetData>
    <row r="1" spans="1:4">
      <c r="A1" s="1" t="s">
        <v>6</v>
      </c>
      <c r="B1" s="1" t="s">
        <v>183</v>
      </c>
      <c r="C1" s="1" t="s">
        <v>184</v>
      </c>
      <c r="D1" s="1" t="s">
        <v>185</v>
      </c>
    </row>
    <row r="2" spans="1:4">
      <c r="A2" t="s">
        <v>12</v>
      </c>
      <c r="B2">
        <v>101472.4670160056</v>
      </c>
      <c r="C2">
        <v>8859583.8041443266</v>
      </c>
      <c r="D2">
        <v>10.358000000000001</v>
      </c>
    </row>
    <row r="3" spans="1:4">
      <c r="A3" t="s">
        <v>14</v>
      </c>
      <c r="B3">
        <v>48088.202197504797</v>
      </c>
      <c r="C3">
        <v>382982.81466332049</v>
      </c>
      <c r="D3">
        <v>9.5289999999999999</v>
      </c>
    </row>
    <row r="4" spans="1:4">
      <c r="A4" t="s">
        <v>16</v>
      </c>
      <c r="B4">
        <v>150578.03625351869</v>
      </c>
      <c r="C4">
        <v>7798893.4720090162</v>
      </c>
      <c r="D4">
        <v>12.653</v>
      </c>
    </row>
    <row r="5" spans="1:4">
      <c r="A5" t="s">
        <v>18</v>
      </c>
      <c r="B5">
        <v>72653.985904996938</v>
      </c>
      <c r="C5">
        <v>161869.4128312415</v>
      </c>
      <c r="D5">
        <v>8.5129999999999999</v>
      </c>
    </row>
    <row r="6" spans="1:4">
      <c r="A6" t="s">
        <v>20</v>
      </c>
      <c r="B6">
        <v>344326.43926800822</v>
      </c>
      <c r="C6">
        <v>4484994.2239578273</v>
      </c>
      <c r="D6">
        <v>13.05</v>
      </c>
    </row>
    <row r="7" spans="1:4">
      <c r="A7" t="s">
        <v>22</v>
      </c>
      <c r="B7">
        <v>137197.3737045294</v>
      </c>
      <c r="C7">
        <v>587476.44444114657</v>
      </c>
      <c r="D7">
        <v>10.766999999999999</v>
      </c>
    </row>
    <row r="8" spans="1:4">
      <c r="A8" t="s">
        <v>23</v>
      </c>
      <c r="B8">
        <v>302425.40888594138</v>
      </c>
      <c r="C8">
        <v>20334970.561020538</v>
      </c>
      <c r="D8">
        <v>13.693</v>
      </c>
    </row>
    <row r="9" spans="1:4">
      <c r="A9" t="s">
        <v>25</v>
      </c>
      <c r="B9">
        <v>132250.67037446349</v>
      </c>
      <c r="C9">
        <v>2120770.99108053</v>
      </c>
      <c r="D9">
        <v>11.645</v>
      </c>
    </row>
    <row r="10" spans="1:4">
      <c r="A10" t="s">
        <v>27</v>
      </c>
      <c r="B10">
        <v>92554.067024567485</v>
      </c>
      <c r="C10">
        <v>3356447.3262696802</v>
      </c>
      <c r="D10">
        <v>11.366</v>
      </c>
    </row>
    <row r="11" spans="1:4">
      <c r="A11" t="s">
        <v>29</v>
      </c>
      <c r="B11">
        <v>246262.2429088995</v>
      </c>
      <c r="C11">
        <v>948997.73109436617</v>
      </c>
      <c r="D11">
        <v>10.959</v>
      </c>
    </row>
    <row r="12" spans="1:4">
      <c r="A12" t="s">
        <v>31</v>
      </c>
      <c r="B12">
        <v>435289.73176597687</v>
      </c>
      <c r="C12">
        <v>1501322.9736535931</v>
      </c>
      <c r="D12">
        <v>11.602</v>
      </c>
    </row>
    <row r="13" spans="1:4">
      <c r="A13" t="s">
        <v>33</v>
      </c>
      <c r="B13">
        <v>60185.479888916911</v>
      </c>
      <c r="C13">
        <v>446498.38419545878</v>
      </c>
      <c r="D13">
        <v>9.8740000000000006</v>
      </c>
    </row>
    <row r="14" spans="1:4">
      <c r="A14" t="s">
        <v>35</v>
      </c>
      <c r="B14">
        <v>212970.03341086561</v>
      </c>
      <c r="C14">
        <v>5015677.3030387014</v>
      </c>
      <c r="D14">
        <v>12.116</v>
      </c>
    </row>
    <row r="15" spans="1:4">
      <c r="A15" t="s">
        <v>37</v>
      </c>
      <c r="B15">
        <v>403249.41589808499</v>
      </c>
      <c r="C15">
        <v>1796307.656931862</v>
      </c>
      <c r="D15">
        <v>11.135999999999999</v>
      </c>
    </row>
    <row r="16" spans="1:4">
      <c r="A16" t="s">
        <v>38</v>
      </c>
      <c r="B16">
        <v>117448.9839283248</v>
      </c>
      <c r="C16">
        <v>769944.25194251293</v>
      </c>
      <c r="D16">
        <v>10.193</v>
      </c>
    </row>
    <row r="17" spans="1:4">
      <c r="A17" t="s">
        <v>40</v>
      </c>
      <c r="B17">
        <v>344087.26405454852</v>
      </c>
      <c r="C17">
        <v>1130439.038798996</v>
      </c>
      <c r="D17">
        <v>11.257</v>
      </c>
    </row>
    <row r="18" spans="1:4">
      <c r="A18" t="s">
        <v>42</v>
      </c>
      <c r="B18">
        <v>74112.437667861828</v>
      </c>
      <c r="C18">
        <v>229112.0611357498</v>
      </c>
      <c r="D18">
        <v>10.736000000000001</v>
      </c>
    </row>
    <row r="19" spans="1:4">
      <c r="A19" t="s">
        <v>44</v>
      </c>
      <c r="B19">
        <v>74365.854621924693</v>
      </c>
      <c r="C19">
        <v>463216.57492472877</v>
      </c>
      <c r="D19">
        <v>10.814</v>
      </c>
    </row>
    <row r="20" spans="1:4">
      <c r="A20" t="s">
        <v>46</v>
      </c>
      <c r="B20">
        <v>19988.551867773709</v>
      </c>
      <c r="C20">
        <v>57639.872051241233</v>
      </c>
      <c r="D20">
        <v>8.5109999999999992</v>
      </c>
    </row>
    <row r="21" spans="1:4">
      <c r="A21" t="s">
        <v>48</v>
      </c>
      <c r="B21">
        <v>265302.60580205289</v>
      </c>
      <c r="C21">
        <v>3778801.0515926629</v>
      </c>
      <c r="D21">
        <v>12.762</v>
      </c>
    </row>
    <row r="22" spans="1:4">
      <c r="A22" t="s">
        <v>49</v>
      </c>
      <c r="B22">
        <v>181694.15886741329</v>
      </c>
      <c r="C22">
        <v>2160104.9739880729</v>
      </c>
      <c r="D22">
        <v>10.757999999999999</v>
      </c>
    </row>
    <row r="23" spans="1:4">
      <c r="A23" t="s">
        <v>50</v>
      </c>
      <c r="B23">
        <v>281267.52778800082</v>
      </c>
      <c r="C23">
        <v>7255675.02372522</v>
      </c>
      <c r="D23">
        <v>10.973000000000001</v>
      </c>
    </row>
    <row r="24" spans="1:4">
      <c r="A24" t="s">
        <v>51</v>
      </c>
      <c r="B24">
        <v>28028.369592814161</v>
      </c>
      <c r="C24">
        <v>412393.53501035599</v>
      </c>
      <c r="D24">
        <v>10.127000000000001</v>
      </c>
    </row>
    <row r="25" spans="1:4">
      <c r="A25" t="s">
        <v>53</v>
      </c>
      <c r="B25">
        <v>66125.073526104388</v>
      </c>
      <c r="C25">
        <v>552837.24619711353</v>
      </c>
      <c r="D25">
        <v>10.673999999999999</v>
      </c>
    </row>
    <row r="26" spans="1:4">
      <c r="A26" t="s">
        <v>54</v>
      </c>
      <c r="B26">
        <v>157187.05001079649</v>
      </c>
      <c r="C26">
        <v>3285630.730493906</v>
      </c>
      <c r="D26">
        <v>11.914</v>
      </c>
    </row>
    <row r="27" spans="1:4">
      <c r="A27" t="s">
        <v>55</v>
      </c>
      <c r="B27">
        <v>279179.36866107432</v>
      </c>
      <c r="C27">
        <v>2928259.0231320178</v>
      </c>
      <c r="D27">
        <v>12.426</v>
      </c>
    </row>
    <row r="28" spans="1:4">
      <c r="A28" t="s">
        <v>57</v>
      </c>
      <c r="B28">
        <v>130787.6341378455</v>
      </c>
      <c r="C28">
        <v>1038090.944467211</v>
      </c>
      <c r="D28">
        <v>10.651</v>
      </c>
    </row>
    <row r="29" spans="1:4">
      <c r="A29" t="s">
        <v>58</v>
      </c>
      <c r="B29">
        <v>218373.78283220049</v>
      </c>
      <c r="C29">
        <v>577078.90770253132</v>
      </c>
      <c r="D29">
        <v>11.128</v>
      </c>
    </row>
    <row r="30" spans="1:4">
      <c r="A30" t="s">
        <v>59</v>
      </c>
      <c r="B30">
        <v>258595.22600308171</v>
      </c>
      <c r="C30">
        <v>2424036.8918382828</v>
      </c>
      <c r="D30">
        <v>12.226000000000001</v>
      </c>
    </row>
    <row r="31" spans="1:4">
      <c r="A31" t="s">
        <v>61</v>
      </c>
      <c r="B31">
        <v>33316.616430621842</v>
      </c>
      <c r="C31">
        <v>79399.422701637915</v>
      </c>
      <c r="D31">
        <v>9.3940000000000001</v>
      </c>
    </row>
    <row r="32" spans="1:4">
      <c r="A32" t="s">
        <v>62</v>
      </c>
      <c r="B32">
        <v>71924.659197480913</v>
      </c>
      <c r="C32">
        <v>1316510.588663928</v>
      </c>
      <c r="D32">
        <v>10.896000000000001</v>
      </c>
    </row>
    <row r="33" spans="1:4">
      <c r="A33" t="s">
        <v>63</v>
      </c>
      <c r="B33">
        <v>140705.2659212315</v>
      </c>
      <c r="C33">
        <v>1273251.826111397</v>
      </c>
      <c r="D33">
        <v>5.8220000000000001</v>
      </c>
    </row>
    <row r="34" spans="1:4">
      <c r="A34" t="s">
        <v>65</v>
      </c>
      <c r="B34">
        <v>42464.510102351727</v>
      </c>
      <c r="C34">
        <v>168556.34715937261</v>
      </c>
      <c r="D34">
        <v>9.3379999999999992</v>
      </c>
    </row>
    <row r="35" spans="1:4">
      <c r="A35" t="s">
        <v>66</v>
      </c>
      <c r="B35">
        <v>192756.60662363679</v>
      </c>
      <c r="C35">
        <v>4209111.0678674905</v>
      </c>
      <c r="D35">
        <v>12.093</v>
      </c>
    </row>
    <row r="36" spans="1:4">
      <c r="A36" t="s">
        <v>69</v>
      </c>
      <c r="B36">
        <v>108293.7886003091</v>
      </c>
      <c r="C36">
        <v>235047.2912604186</v>
      </c>
      <c r="D36">
        <v>9.2249999999999996</v>
      </c>
    </row>
    <row r="37" spans="1:4">
      <c r="A37" t="s">
        <v>71</v>
      </c>
      <c r="B37">
        <v>236426.45035275709</v>
      </c>
      <c r="C37">
        <v>1906056.9616953239</v>
      </c>
      <c r="D37">
        <v>10.544</v>
      </c>
    </row>
    <row r="38" spans="1:4">
      <c r="A38" t="s">
        <v>73</v>
      </c>
      <c r="B38">
        <v>127510.2694259462</v>
      </c>
      <c r="C38">
        <v>1006418.426685844</v>
      </c>
      <c r="D38">
        <v>10.81</v>
      </c>
    </row>
    <row r="39" spans="1:4">
      <c r="A39" t="s">
        <v>182</v>
      </c>
      <c r="B39">
        <v>70286.700219588747</v>
      </c>
      <c r="C39">
        <v>652063.45864074072</v>
      </c>
    </row>
    <row r="40" spans="1:4">
      <c r="A40" t="s">
        <v>75</v>
      </c>
      <c r="B40">
        <v>157626.40504900439</v>
      </c>
      <c r="C40">
        <v>1035530.6344851099</v>
      </c>
      <c r="D40">
        <v>10.215999999999999</v>
      </c>
    </row>
    <row r="41" spans="1:4">
      <c r="A41" t="s">
        <v>77</v>
      </c>
      <c r="B41">
        <v>202323.60272311719</v>
      </c>
      <c r="C41">
        <v>1622035.4982430071</v>
      </c>
      <c r="D41">
        <v>9.8710000000000004</v>
      </c>
    </row>
    <row r="42" spans="1:4">
      <c r="A42" t="s">
        <v>79</v>
      </c>
      <c r="B42">
        <v>150427.73651565539</v>
      </c>
      <c r="C42">
        <v>2952096.020667498</v>
      </c>
      <c r="D42">
        <v>12.036</v>
      </c>
    </row>
    <row r="43" spans="1:4">
      <c r="A43" t="s">
        <v>81</v>
      </c>
      <c r="B43">
        <v>96171.607638575384</v>
      </c>
      <c r="C43">
        <v>687645.47513937217</v>
      </c>
      <c r="D43">
        <v>10.436</v>
      </c>
    </row>
    <row r="44" spans="1:4">
      <c r="A44" t="s">
        <v>83</v>
      </c>
      <c r="B44">
        <v>151911.57259223759</v>
      </c>
      <c r="C44">
        <v>6190682.2441664776</v>
      </c>
      <c r="D44">
        <v>11.843999999999999</v>
      </c>
    </row>
    <row r="45" spans="1:4">
      <c r="A45" t="s">
        <v>85</v>
      </c>
      <c r="B45">
        <v>309836.48833341652</v>
      </c>
      <c r="C45">
        <v>9717085.6747416556</v>
      </c>
      <c r="D45">
        <v>13.058999999999999</v>
      </c>
    </row>
    <row r="46" spans="1:4">
      <c r="A46" t="s">
        <v>87</v>
      </c>
      <c r="B46">
        <v>1228154.8829153089</v>
      </c>
      <c r="C46">
        <v>24669497.719910499</v>
      </c>
      <c r="D46">
        <v>13.694000000000001</v>
      </c>
    </row>
    <row r="47" spans="1:4">
      <c r="A47" t="s">
        <v>88</v>
      </c>
      <c r="B47">
        <v>32877.634843515239</v>
      </c>
      <c r="C47">
        <v>229377.81903725339</v>
      </c>
      <c r="D47">
        <v>9.6120000000000001</v>
      </c>
    </row>
    <row r="48" spans="1:4">
      <c r="A48" t="s">
        <v>90</v>
      </c>
      <c r="B48">
        <v>79834.812549321665</v>
      </c>
      <c r="C48">
        <v>287931.70066060883</v>
      </c>
      <c r="D48">
        <v>8.9489999999999998</v>
      </c>
    </row>
    <row r="49" spans="1:4">
      <c r="A49" t="s">
        <v>92</v>
      </c>
      <c r="B49">
        <v>64140.915340632768</v>
      </c>
      <c r="C49">
        <v>549052.10165616241</v>
      </c>
      <c r="D49">
        <v>9.0990000000000002</v>
      </c>
    </row>
    <row r="50" spans="1:4">
      <c r="A50" t="s">
        <v>94</v>
      </c>
      <c r="B50">
        <v>32384.12306487645</v>
      </c>
      <c r="C50">
        <v>183820.49839327281</v>
      </c>
      <c r="D50">
        <v>8.9819999999999993</v>
      </c>
    </row>
    <row r="51" spans="1:4">
      <c r="A51" t="s">
        <v>95</v>
      </c>
      <c r="B51">
        <v>1192352.648715989</v>
      </c>
      <c r="C51">
        <v>32329960.374925841</v>
      </c>
      <c r="D51">
        <v>12.262</v>
      </c>
    </row>
    <row r="52" spans="1:4">
      <c r="A52" t="s">
        <v>97</v>
      </c>
      <c r="B52">
        <v>34597.183194481273</v>
      </c>
      <c r="C52">
        <v>516126.5105470845</v>
      </c>
      <c r="D52">
        <v>10.064</v>
      </c>
    </row>
    <row r="53" spans="1:4">
      <c r="A53" t="s">
        <v>99</v>
      </c>
      <c r="B53">
        <v>468919.30736693583</v>
      </c>
      <c r="C53">
        <v>1165166.9131825441</v>
      </c>
      <c r="D53">
        <v>10.792999999999999</v>
      </c>
    </row>
    <row r="54" spans="1:4">
      <c r="A54" t="s">
        <v>100</v>
      </c>
      <c r="B54">
        <v>50003.07285970301</v>
      </c>
      <c r="C54">
        <v>136050.82584428761</v>
      </c>
      <c r="D54">
        <v>9.8889999999999993</v>
      </c>
    </row>
    <row r="55" spans="1:4">
      <c r="A55" t="s">
        <v>101</v>
      </c>
      <c r="B55">
        <v>104161.8472814066</v>
      </c>
      <c r="C55">
        <v>437280.03192807018</v>
      </c>
      <c r="D55">
        <v>10.755000000000001</v>
      </c>
    </row>
    <row r="56" spans="1:4">
      <c r="A56" t="s">
        <v>103</v>
      </c>
      <c r="B56">
        <v>167087.490088689</v>
      </c>
      <c r="C56">
        <v>385709.20812049293</v>
      </c>
      <c r="D56">
        <v>9.657</v>
      </c>
    </row>
    <row r="57" spans="1:4">
      <c r="A57" t="s">
        <v>104</v>
      </c>
      <c r="B57">
        <v>89600.907024457818</v>
      </c>
      <c r="C57">
        <v>875115.88607982814</v>
      </c>
      <c r="D57">
        <v>10.57</v>
      </c>
    </row>
    <row r="58" spans="1:4">
      <c r="A58" t="s">
        <v>106</v>
      </c>
      <c r="B58">
        <v>87693.160833713817</v>
      </c>
      <c r="C58">
        <v>648662.26612140646</v>
      </c>
      <c r="D58">
        <v>10.340999999999999</v>
      </c>
    </row>
    <row r="59" spans="1:4">
      <c r="A59" t="s">
        <v>108</v>
      </c>
      <c r="B59">
        <v>121618.94796316361</v>
      </c>
      <c r="C59">
        <v>658594.1081046717</v>
      </c>
      <c r="D59">
        <v>10.664</v>
      </c>
    </row>
    <row r="60" spans="1:4">
      <c r="A60" t="s">
        <v>109</v>
      </c>
      <c r="B60">
        <v>181438.79121794971</v>
      </c>
      <c r="C60">
        <v>4262279.8817604054</v>
      </c>
      <c r="D60">
        <v>12.526</v>
      </c>
    </row>
    <row r="61" spans="1:4">
      <c r="A61" t="s">
        <v>111</v>
      </c>
      <c r="B61">
        <v>385828.73009252938</v>
      </c>
      <c r="C61">
        <v>10796869.98226855</v>
      </c>
      <c r="D61">
        <v>12.694000000000001</v>
      </c>
    </row>
    <row r="62" spans="1:4">
      <c r="A62" t="s">
        <v>112</v>
      </c>
      <c r="B62">
        <v>645336.88135188422</v>
      </c>
      <c r="C62">
        <v>4951838.6573124891</v>
      </c>
      <c r="D62">
        <v>12.673</v>
      </c>
    </row>
    <row r="63" spans="1:4">
      <c r="A63" t="s">
        <v>114</v>
      </c>
      <c r="B63">
        <v>178403.89279783599</v>
      </c>
      <c r="C63">
        <v>573371.87536052079</v>
      </c>
      <c r="D63">
        <v>10.88</v>
      </c>
    </row>
    <row r="64" spans="1:4">
      <c r="A64" t="s">
        <v>115</v>
      </c>
      <c r="B64">
        <v>337843.09163460409</v>
      </c>
      <c r="C64">
        <v>14406176.332357541</v>
      </c>
      <c r="D64">
        <v>13.173</v>
      </c>
    </row>
    <row r="65" spans="1:4">
      <c r="A65" t="s">
        <v>116</v>
      </c>
      <c r="B65">
        <v>1044793.9691460551</v>
      </c>
      <c r="C65">
        <v>12721410.031749289</v>
      </c>
      <c r="D65">
        <v>12.36</v>
      </c>
    </row>
    <row r="66" spans="1:4">
      <c r="A66" t="s">
        <v>186</v>
      </c>
      <c r="B66">
        <v>283006.84078883851</v>
      </c>
      <c r="C66">
        <v>1971240.4849274319</v>
      </c>
    </row>
    <row r="67" spans="1:4">
      <c r="A67" t="s">
        <v>118</v>
      </c>
      <c r="B67">
        <v>225651.5294825625</v>
      </c>
      <c r="C67">
        <v>4176526.9209359381</v>
      </c>
      <c r="D67">
        <v>10.039</v>
      </c>
    </row>
    <row r="68" spans="1:4">
      <c r="A68" t="s">
        <v>119</v>
      </c>
      <c r="B68">
        <v>386443.7178455494</v>
      </c>
      <c r="C68">
        <v>7855516.8664106838</v>
      </c>
      <c r="D68">
        <v>11.861000000000001</v>
      </c>
    </row>
    <row r="69" spans="1:4">
      <c r="A69" t="s">
        <v>121</v>
      </c>
      <c r="B69">
        <v>197950.1877732595</v>
      </c>
      <c r="C69">
        <v>1522149.314368915</v>
      </c>
      <c r="D69">
        <v>10.864000000000001</v>
      </c>
    </row>
    <row r="70" spans="1:4">
      <c r="A70" t="s">
        <v>123</v>
      </c>
      <c r="B70">
        <v>113527.83230249429</v>
      </c>
      <c r="C70">
        <v>3702243.1367768128</v>
      </c>
      <c r="D70">
        <v>11.843999999999999</v>
      </c>
    </row>
    <row r="71" spans="1:4">
      <c r="A71" t="s">
        <v>125</v>
      </c>
      <c r="B71">
        <v>294899.77515507658</v>
      </c>
      <c r="C71">
        <v>3512925.8112948458</v>
      </c>
      <c r="D71">
        <v>12.628</v>
      </c>
    </row>
    <row r="72" spans="1:4">
      <c r="A72" t="s">
        <v>127</v>
      </c>
      <c r="B72">
        <v>154289.02938142529</v>
      </c>
      <c r="C72">
        <v>3534938.34850907</v>
      </c>
      <c r="D72">
        <v>12.167999999999999</v>
      </c>
    </row>
    <row r="73" spans="1:4">
      <c r="A73" t="s">
        <v>129</v>
      </c>
      <c r="B73">
        <v>97469.683604938618</v>
      </c>
      <c r="C73">
        <v>250550.86027310349</v>
      </c>
      <c r="D73">
        <v>10.079000000000001</v>
      </c>
    </row>
    <row r="74" spans="1:4">
      <c r="A74" t="s">
        <v>130</v>
      </c>
      <c r="B74">
        <v>129410.5156438798</v>
      </c>
      <c r="C74">
        <v>857403.62203771237</v>
      </c>
      <c r="D74">
        <v>9.24</v>
      </c>
    </row>
    <row r="75" spans="1:4">
      <c r="A75" t="s">
        <v>132</v>
      </c>
      <c r="B75">
        <v>117193.2509033013</v>
      </c>
      <c r="C75">
        <v>3115577.158296634</v>
      </c>
      <c r="D75">
        <v>11.632</v>
      </c>
    </row>
    <row r="76" spans="1:4">
      <c r="A76" t="s">
        <v>133</v>
      </c>
      <c r="B76">
        <v>2905918.6550941239</v>
      </c>
      <c r="C76">
        <v>106517041.9558136</v>
      </c>
      <c r="D76">
        <v>14.395</v>
      </c>
    </row>
    <row r="77" spans="1:4">
      <c r="A77" t="s">
        <v>134</v>
      </c>
      <c r="B77">
        <v>95164.949356414378</v>
      </c>
      <c r="C77">
        <v>583115.00107314298</v>
      </c>
      <c r="D77">
        <v>10.192</v>
      </c>
    </row>
    <row r="78" spans="1:4">
      <c r="A78" t="s">
        <v>136</v>
      </c>
      <c r="B78">
        <v>51347.581788326883</v>
      </c>
      <c r="C78">
        <v>300571.10150162538</v>
      </c>
      <c r="D78">
        <v>8.1829999999999998</v>
      </c>
    </row>
    <row r="79" spans="1:4">
      <c r="A79" t="s">
        <v>138</v>
      </c>
      <c r="B79">
        <v>133584.560575574</v>
      </c>
      <c r="C79">
        <v>1676517.674545726</v>
      </c>
      <c r="D79">
        <v>11.083</v>
      </c>
    </row>
    <row r="80" spans="1:4">
      <c r="A80" t="s">
        <v>139</v>
      </c>
      <c r="B80">
        <v>89112.947983879843</v>
      </c>
      <c r="C80">
        <v>267636.23575573409</v>
      </c>
      <c r="D80">
        <v>8.5079999999999991</v>
      </c>
    </row>
    <row r="81" spans="1:4">
      <c r="A81" t="s">
        <v>140</v>
      </c>
      <c r="B81">
        <v>372187.4337688188</v>
      </c>
      <c r="C81">
        <v>12867527.907193519</v>
      </c>
      <c r="D81">
        <v>12.907</v>
      </c>
    </row>
    <row r="82" spans="1:4">
      <c r="A82" t="s">
        <v>141</v>
      </c>
      <c r="B82">
        <v>352444.67538611009</v>
      </c>
      <c r="C82">
        <v>8552192.1951756943</v>
      </c>
      <c r="D82">
        <v>11.784000000000001</v>
      </c>
    </row>
    <row r="83" spans="1:4">
      <c r="A83" t="s">
        <v>142</v>
      </c>
      <c r="B83">
        <v>434890.89874725352</v>
      </c>
      <c r="C83">
        <v>8513191.3046432398</v>
      </c>
      <c r="D83">
        <v>12.888</v>
      </c>
    </row>
    <row r="84" spans="1:4">
      <c r="A84" t="s">
        <v>144</v>
      </c>
      <c r="B84">
        <v>113378.5318159437</v>
      </c>
      <c r="C84">
        <v>580910.48849657457</v>
      </c>
      <c r="D84">
        <v>10.013</v>
      </c>
    </row>
    <row r="85" spans="1:4">
      <c r="A85" t="s">
        <v>146</v>
      </c>
      <c r="B85">
        <v>198167.89922986229</v>
      </c>
      <c r="C85">
        <v>2012228.8293297091</v>
      </c>
      <c r="D85">
        <v>10.840999999999999</v>
      </c>
    </row>
    <row r="86" spans="1:4">
      <c r="A86" t="s">
        <v>147</v>
      </c>
      <c r="B86">
        <v>483878.40267019602</v>
      </c>
      <c r="C86">
        <v>6696775.4183573462</v>
      </c>
      <c r="D86">
        <v>12.206</v>
      </c>
    </row>
    <row r="87" spans="1:4">
      <c r="A87" t="s">
        <v>148</v>
      </c>
      <c r="B87">
        <v>364854.28089965793</v>
      </c>
      <c r="C87">
        <v>1483138.817598369</v>
      </c>
      <c r="D87">
        <v>10.829000000000001</v>
      </c>
    </row>
    <row r="88" spans="1:4">
      <c r="A88" t="s">
        <v>149</v>
      </c>
      <c r="B88">
        <v>93526.524570296489</v>
      </c>
      <c r="C88">
        <v>806485.58587020845</v>
      </c>
      <c r="D88">
        <v>9.7100000000000009</v>
      </c>
    </row>
    <row r="89" spans="1:4">
      <c r="A89" t="s">
        <v>150</v>
      </c>
      <c r="B89">
        <v>298791.7116013203</v>
      </c>
      <c r="C89">
        <v>9172671.309991248</v>
      </c>
      <c r="D89">
        <v>12.58</v>
      </c>
    </row>
    <row r="90" spans="1:4">
      <c r="A90" t="s">
        <v>152</v>
      </c>
      <c r="B90">
        <v>75496.133889826291</v>
      </c>
      <c r="C90">
        <v>854812.83591334522</v>
      </c>
      <c r="D90">
        <v>10.763</v>
      </c>
    </row>
    <row r="91" spans="1:4">
      <c r="A91" t="s">
        <v>153</v>
      </c>
      <c r="B91">
        <v>245480.0878373681</v>
      </c>
      <c r="C91">
        <v>5564792.4614237752</v>
      </c>
      <c r="D91">
        <v>11.964</v>
      </c>
    </row>
    <row r="92" spans="1:4">
      <c r="A92" t="s">
        <v>155</v>
      </c>
      <c r="B92">
        <v>84553.165485416044</v>
      </c>
      <c r="C92">
        <v>350980.2655415872</v>
      </c>
      <c r="D92">
        <v>9.7539999999999996</v>
      </c>
    </row>
    <row r="93" spans="1:4">
      <c r="A93" t="s">
        <v>157</v>
      </c>
      <c r="B93">
        <v>65243.157842836328</v>
      </c>
      <c r="C93">
        <v>580931.22570870258</v>
      </c>
      <c r="D93">
        <v>10.007999999999999</v>
      </c>
    </row>
    <row r="94" spans="1:4">
      <c r="A94" t="s">
        <v>159</v>
      </c>
      <c r="B94">
        <v>134914.796594796</v>
      </c>
      <c r="C94">
        <v>1163248.05712478</v>
      </c>
      <c r="D94">
        <v>10.991</v>
      </c>
    </row>
    <row r="95" spans="1:4">
      <c r="A95" t="s">
        <v>160</v>
      </c>
      <c r="B95">
        <v>822194.86595362006</v>
      </c>
      <c r="C95">
        <v>5352951.5054629399</v>
      </c>
      <c r="D95">
        <v>12.946999999999999</v>
      </c>
    </row>
    <row r="96" spans="1:4">
      <c r="A96" t="s">
        <v>162</v>
      </c>
      <c r="B96">
        <v>1082367.187751014</v>
      </c>
      <c r="C96">
        <v>28025232.236434031</v>
      </c>
      <c r="D96">
        <v>12.433999999999999</v>
      </c>
    </row>
    <row r="97" spans="1:4">
      <c r="A97" t="s">
        <v>163</v>
      </c>
      <c r="B97">
        <v>562075.67126494832</v>
      </c>
      <c r="C97">
        <v>1946256.454836983</v>
      </c>
      <c r="D97">
        <v>12.16</v>
      </c>
    </row>
    <row r="98" spans="1:4">
      <c r="A98" t="s">
        <v>164</v>
      </c>
      <c r="B98">
        <v>60801.234468720912</v>
      </c>
      <c r="C98">
        <v>1123745.5754937101</v>
      </c>
      <c r="D98">
        <v>11.173999999999999</v>
      </c>
    </row>
    <row r="99" spans="1:4">
      <c r="A99" t="s">
        <v>165</v>
      </c>
      <c r="B99">
        <v>100116.66199534709</v>
      </c>
      <c r="C99">
        <v>3779627.0538950539</v>
      </c>
      <c r="D99">
        <v>11.167</v>
      </c>
    </row>
    <row r="100" spans="1:4">
      <c r="A100" t="s">
        <v>167</v>
      </c>
      <c r="B100">
        <v>173571.38297718199</v>
      </c>
      <c r="C100">
        <v>3933466.5046317852</v>
      </c>
      <c r="D100">
        <v>12.199</v>
      </c>
    </row>
    <row r="101" spans="1:4">
      <c r="A101" t="s">
        <v>169</v>
      </c>
      <c r="B101">
        <v>416245.55368648598</v>
      </c>
      <c r="C101">
        <v>6540216.4204649776</v>
      </c>
      <c r="D101">
        <v>12.977</v>
      </c>
    </row>
    <row r="102" spans="1:4">
      <c r="A102" t="s">
        <v>171</v>
      </c>
      <c r="B102">
        <v>172209.61489394779</v>
      </c>
      <c r="C102">
        <v>3954382.8121555462</v>
      </c>
      <c r="D102">
        <v>11.603</v>
      </c>
    </row>
    <row r="103" spans="1:4">
      <c r="A103" t="s">
        <v>173</v>
      </c>
      <c r="B103">
        <v>454326.65706823202</v>
      </c>
      <c r="C103">
        <v>7826584.8882649587</v>
      </c>
      <c r="D103">
        <v>11.798999999999999</v>
      </c>
    </row>
    <row r="104" spans="1:4">
      <c r="A104" t="s">
        <v>175</v>
      </c>
      <c r="B104">
        <v>325303.36753708287</v>
      </c>
      <c r="C104">
        <v>6008478.2406763388</v>
      </c>
      <c r="D104">
        <v>11.199</v>
      </c>
    </row>
    <row r="105" spans="1:4">
      <c r="A105" t="s">
        <v>176</v>
      </c>
      <c r="B105">
        <v>144931.23364333401</v>
      </c>
      <c r="C105">
        <v>4473842.0658811992</v>
      </c>
      <c r="D105">
        <v>11.603</v>
      </c>
    </row>
    <row r="106" spans="1:4">
      <c r="A106" t="s">
        <v>177</v>
      </c>
      <c r="B106">
        <v>2050432.4579834491</v>
      </c>
      <c r="C106">
        <v>16902329.032550398</v>
      </c>
      <c r="D106">
        <v>12.195</v>
      </c>
    </row>
    <row r="107" spans="1:4">
      <c r="A107" t="s">
        <v>179</v>
      </c>
      <c r="B107">
        <v>163698.29457195909</v>
      </c>
      <c r="C107">
        <v>4845214.9061420383</v>
      </c>
      <c r="D107">
        <v>12.481</v>
      </c>
    </row>
    <row r="108" spans="1:4">
      <c r="A108" t="s">
        <v>180</v>
      </c>
      <c r="B108">
        <v>120589.7683798042</v>
      </c>
      <c r="C108">
        <v>660951.650471973</v>
      </c>
      <c r="D108">
        <v>9.8130000000000006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Estimado_modelo</vt:lpstr>
      <vt:lpstr>MSE_por_BloqueVarid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SGuerra</cp:lastModifiedBy>
  <dcterms:created xsi:type="dcterms:W3CDTF">2026-09-02T19:27:26Z</dcterms:created>
  <dcterms:modified xsi:type="dcterms:W3CDTF">2026-09-02T19:43:42Z</dcterms:modified>
</cp:coreProperties>
</file>