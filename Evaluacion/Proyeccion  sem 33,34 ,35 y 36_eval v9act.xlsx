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55" yWindow="-90" windowWidth="12630" windowHeight="8055"/>
  </bookViews>
  <sheets>
    <sheet name="Proyeccion_original" sheetId="1" r:id="rId1"/>
    <sheet name="Analisis_avanzado" sheetId="2" r:id="rId2"/>
  </sheets>
  <externalReferences>
    <externalReference r:id="rId3"/>
  </externalReferences>
  <calcPr calcId="125725"/>
  <fileRecoveryPr repairLoad="1"/>
</workbook>
</file>

<file path=xl/calcChain.xml><?xml version="1.0" encoding="utf-8"?>
<calcChain xmlns="http://schemas.openxmlformats.org/spreadsheetml/2006/main">
  <c r="I441" i="1"/>
  <c r="J441" s="1"/>
  <c r="I440"/>
  <c r="J440" s="1"/>
  <c r="I439"/>
  <c r="J439" s="1"/>
  <c r="I438"/>
  <c r="J438" s="1"/>
  <c r="I437"/>
  <c r="J437" s="1"/>
  <c r="I436"/>
  <c r="J436" s="1"/>
  <c r="I435"/>
  <c r="J435" s="1"/>
  <c r="I434"/>
  <c r="J434" s="1"/>
  <c r="I433"/>
  <c r="J433" s="1"/>
  <c r="I432"/>
  <c r="J432" s="1"/>
  <c r="I431"/>
  <c r="J431" s="1"/>
  <c r="I430"/>
  <c r="J430" s="1"/>
  <c r="I429"/>
  <c r="J429" s="1"/>
  <c r="I428"/>
  <c r="J428" s="1"/>
  <c r="I427"/>
  <c r="J427" s="1"/>
  <c r="I426"/>
  <c r="J426" s="1"/>
  <c r="I425"/>
  <c r="J425" s="1"/>
  <c r="I424"/>
  <c r="J424" s="1"/>
  <c r="I423"/>
  <c r="J423" s="1"/>
  <c r="I422"/>
  <c r="J422" s="1"/>
  <c r="I421"/>
  <c r="J421" s="1"/>
  <c r="I420"/>
  <c r="J420" s="1"/>
  <c r="I419"/>
  <c r="J419" s="1"/>
  <c r="I418"/>
  <c r="J418" s="1"/>
  <c r="I417"/>
  <c r="J417" s="1"/>
  <c r="I416"/>
  <c r="J416" s="1"/>
  <c r="I415"/>
  <c r="J415" s="1"/>
  <c r="I414"/>
  <c r="J414" s="1"/>
  <c r="I413"/>
  <c r="J413" s="1"/>
  <c r="I412"/>
  <c r="J412" s="1"/>
  <c r="I411"/>
  <c r="J411" s="1"/>
  <c r="I410"/>
  <c r="J410" s="1"/>
  <c r="I409"/>
  <c r="J409" s="1"/>
  <c r="I408"/>
  <c r="J408" s="1"/>
  <c r="I407"/>
  <c r="J407" s="1"/>
  <c r="I406"/>
  <c r="J406" s="1"/>
  <c r="I405"/>
  <c r="J405" s="1"/>
  <c r="I404"/>
  <c r="J404" s="1"/>
  <c r="I403"/>
  <c r="J403" s="1"/>
  <c r="I402"/>
  <c r="J402" s="1"/>
  <c r="I401"/>
  <c r="J401" s="1"/>
  <c r="I400"/>
  <c r="J400" s="1"/>
  <c r="I399"/>
  <c r="J399" s="1"/>
  <c r="I398"/>
  <c r="J398" s="1"/>
  <c r="I397"/>
  <c r="J397" s="1"/>
  <c r="I396"/>
  <c r="J396" s="1"/>
  <c r="I395"/>
  <c r="J395" s="1"/>
  <c r="I394"/>
  <c r="J394" s="1"/>
  <c r="I393"/>
  <c r="J393" s="1"/>
  <c r="I392"/>
  <c r="J392" s="1"/>
  <c r="I391"/>
  <c r="J391" s="1"/>
  <c r="I390"/>
  <c r="J390" s="1"/>
  <c r="I389"/>
  <c r="J389" s="1"/>
  <c r="I388"/>
  <c r="J388" s="1"/>
  <c r="I387"/>
  <c r="J387" s="1"/>
  <c r="I386"/>
  <c r="J386" s="1"/>
  <c r="I385"/>
  <c r="J385" s="1"/>
  <c r="I384"/>
  <c r="J384" s="1"/>
  <c r="I383"/>
  <c r="J383" s="1"/>
  <c r="I382"/>
  <c r="J382" s="1"/>
  <c r="I381"/>
  <c r="J381" s="1"/>
  <c r="I380"/>
  <c r="J380" s="1"/>
  <c r="I379"/>
  <c r="J379" s="1"/>
  <c r="I378"/>
  <c r="J378" s="1"/>
  <c r="I377"/>
  <c r="J377" s="1"/>
  <c r="I376"/>
  <c r="J376" s="1"/>
  <c r="I375"/>
  <c r="J375" s="1"/>
  <c r="I374"/>
  <c r="J374" s="1"/>
  <c r="I373"/>
  <c r="J373" s="1"/>
  <c r="I372"/>
  <c r="J372" s="1"/>
  <c r="I371"/>
  <c r="J371" s="1"/>
  <c r="I370"/>
  <c r="J370" s="1"/>
  <c r="I369"/>
  <c r="J369" s="1"/>
  <c r="I368"/>
  <c r="J368" s="1"/>
  <c r="I367"/>
  <c r="J367" s="1"/>
  <c r="I366"/>
  <c r="J366" s="1"/>
  <c r="I365"/>
  <c r="J365" s="1"/>
  <c r="I364"/>
  <c r="J364" s="1"/>
  <c r="I363"/>
  <c r="J363" s="1"/>
  <c r="I362"/>
  <c r="J362" s="1"/>
  <c r="I361"/>
  <c r="J361" s="1"/>
  <c r="I360"/>
  <c r="J360" s="1"/>
  <c r="I359"/>
  <c r="J359" s="1"/>
  <c r="I358"/>
  <c r="J358" s="1"/>
  <c r="I357"/>
  <c r="J357" s="1"/>
  <c r="I356"/>
  <c r="J356" s="1"/>
  <c r="I355"/>
  <c r="J355" s="1"/>
  <c r="I354"/>
  <c r="J354" s="1"/>
  <c r="I353"/>
  <c r="J353" s="1"/>
  <c r="I352"/>
  <c r="J352" s="1"/>
  <c r="I351"/>
  <c r="J351" s="1"/>
  <c r="I350"/>
  <c r="J350" s="1"/>
  <c r="I349"/>
  <c r="J349" s="1"/>
  <c r="I348"/>
  <c r="J348" s="1"/>
  <c r="I347"/>
  <c r="J347" s="1"/>
  <c r="I346"/>
  <c r="J346" s="1"/>
  <c r="I345"/>
  <c r="J345" s="1"/>
  <c r="I344"/>
  <c r="J344" s="1"/>
  <c r="I343"/>
  <c r="J343" s="1"/>
  <c r="I342"/>
  <c r="J342" s="1"/>
  <c r="I341"/>
  <c r="J341" s="1"/>
  <c r="I340"/>
  <c r="J340" s="1"/>
  <c r="I339"/>
  <c r="J339" s="1"/>
  <c r="I338"/>
  <c r="J338" s="1"/>
  <c r="I337"/>
  <c r="J337" s="1"/>
  <c r="I336"/>
  <c r="J336" s="1"/>
  <c r="I335"/>
  <c r="J335" s="1"/>
  <c r="I334"/>
  <c r="J334" s="1"/>
  <c r="I333"/>
  <c r="J333" s="1"/>
  <c r="I332"/>
  <c r="J332" s="1"/>
  <c r="I331"/>
  <c r="J331" s="1"/>
  <c r="I330"/>
  <c r="J330" s="1"/>
  <c r="I329"/>
  <c r="J329" s="1"/>
  <c r="I328"/>
  <c r="J328" s="1"/>
  <c r="I327"/>
  <c r="J327" s="1"/>
  <c r="I326"/>
  <c r="J326" s="1"/>
  <c r="I325"/>
  <c r="J325" s="1"/>
  <c r="I324"/>
  <c r="J324" s="1"/>
  <c r="I323"/>
  <c r="J323" s="1"/>
  <c r="I322"/>
  <c r="J322" s="1"/>
  <c r="I321"/>
  <c r="J321" s="1"/>
  <c r="I320"/>
  <c r="J320" s="1"/>
  <c r="I319"/>
  <c r="J319" s="1"/>
  <c r="I318"/>
  <c r="J318" s="1"/>
  <c r="I317"/>
  <c r="J317" s="1"/>
  <c r="I316"/>
  <c r="J316" s="1"/>
  <c r="I315"/>
  <c r="J315" s="1"/>
  <c r="I314"/>
  <c r="J314" s="1"/>
  <c r="I313"/>
  <c r="J313" s="1"/>
  <c r="I312"/>
  <c r="J312" s="1"/>
  <c r="I311"/>
  <c r="J311" s="1"/>
  <c r="I310"/>
  <c r="J310" s="1"/>
  <c r="I309"/>
  <c r="J309" s="1"/>
  <c r="I308"/>
  <c r="J308" s="1"/>
  <c r="I307"/>
  <c r="J307" s="1"/>
  <c r="I306"/>
  <c r="J306" s="1"/>
  <c r="I305"/>
  <c r="J305" s="1"/>
  <c r="I304"/>
  <c r="J304" s="1"/>
  <c r="I303"/>
  <c r="J303" s="1"/>
  <c r="I302"/>
  <c r="J302" s="1"/>
  <c r="I301"/>
  <c r="J301" s="1"/>
  <c r="I300"/>
  <c r="J300" s="1"/>
  <c r="I299"/>
  <c r="J299" s="1"/>
  <c r="I298"/>
  <c r="J298" s="1"/>
  <c r="I297"/>
  <c r="J297" s="1"/>
  <c r="I296"/>
  <c r="J296" s="1"/>
  <c r="I295"/>
  <c r="J295" s="1"/>
  <c r="I294"/>
  <c r="J294" s="1"/>
  <c r="I293"/>
  <c r="J293" s="1"/>
  <c r="I292"/>
  <c r="J292" s="1"/>
  <c r="I291"/>
  <c r="J291" s="1"/>
  <c r="I290"/>
  <c r="J290" s="1"/>
  <c r="I289"/>
  <c r="J289" s="1"/>
  <c r="I288"/>
  <c r="J288" s="1"/>
  <c r="I287"/>
  <c r="J287" s="1"/>
  <c r="I286"/>
  <c r="J286" s="1"/>
  <c r="I285"/>
  <c r="J285" s="1"/>
  <c r="I284"/>
  <c r="J284" s="1"/>
  <c r="I283"/>
  <c r="J283" s="1"/>
  <c r="I282"/>
  <c r="J282" s="1"/>
  <c r="I281"/>
  <c r="J281" s="1"/>
  <c r="I280"/>
  <c r="J280" s="1"/>
  <c r="I279"/>
  <c r="J279" s="1"/>
  <c r="I278"/>
  <c r="J278" s="1"/>
  <c r="I277"/>
  <c r="J277" s="1"/>
  <c r="I276"/>
  <c r="J276" s="1"/>
  <c r="I275"/>
  <c r="J275" s="1"/>
  <c r="I274"/>
  <c r="J274" s="1"/>
  <c r="I273"/>
  <c r="J273" s="1"/>
  <c r="I272"/>
  <c r="J272" s="1"/>
  <c r="I271"/>
  <c r="J271" s="1"/>
  <c r="I270"/>
  <c r="J270" s="1"/>
  <c r="I269"/>
  <c r="J269" s="1"/>
  <c r="I268"/>
  <c r="J268" s="1"/>
  <c r="I267"/>
  <c r="J267" s="1"/>
  <c r="I266"/>
  <c r="J266" s="1"/>
  <c r="I265"/>
  <c r="J265" s="1"/>
  <c r="I264"/>
  <c r="J264" s="1"/>
  <c r="I263"/>
  <c r="J263" s="1"/>
  <c r="I262"/>
  <c r="J262" s="1"/>
  <c r="I261"/>
  <c r="J261" s="1"/>
  <c r="I260"/>
  <c r="J260" s="1"/>
  <c r="I259"/>
  <c r="J259" s="1"/>
  <c r="I258"/>
  <c r="J258" s="1"/>
  <c r="I257"/>
  <c r="J257" s="1"/>
  <c r="I256"/>
  <c r="J256" s="1"/>
  <c r="I255"/>
  <c r="J255" s="1"/>
  <c r="I254"/>
  <c r="J254" s="1"/>
  <c r="I253"/>
  <c r="J253" s="1"/>
  <c r="I252"/>
  <c r="J252" s="1"/>
  <c r="I251"/>
  <c r="J251" s="1"/>
  <c r="I250"/>
  <c r="J250" s="1"/>
  <c r="I249"/>
  <c r="J249" s="1"/>
  <c r="I248"/>
  <c r="J248" s="1"/>
  <c r="I247"/>
  <c r="J247" s="1"/>
  <c r="I246"/>
  <c r="J246" s="1"/>
  <c r="I245"/>
  <c r="J245" s="1"/>
  <c r="I244"/>
  <c r="J244" s="1"/>
  <c r="I243"/>
  <c r="J243" s="1"/>
  <c r="I242"/>
  <c r="J242" s="1"/>
  <c r="I241"/>
  <c r="J241" s="1"/>
  <c r="I240"/>
  <c r="J240" s="1"/>
  <c r="I239"/>
  <c r="J239" s="1"/>
  <c r="I238"/>
  <c r="J238" s="1"/>
  <c r="I237"/>
  <c r="J237" s="1"/>
  <c r="I236"/>
  <c r="J236" s="1"/>
  <c r="I235"/>
  <c r="J235" s="1"/>
  <c r="I234"/>
  <c r="J234" s="1"/>
  <c r="I233"/>
  <c r="J233" s="1"/>
  <c r="I232"/>
  <c r="J232" s="1"/>
  <c r="I231"/>
  <c r="J231" s="1"/>
  <c r="I230"/>
  <c r="J230" s="1"/>
  <c r="I229"/>
  <c r="J229" s="1"/>
  <c r="I228"/>
  <c r="J228" s="1"/>
  <c r="I227"/>
  <c r="J227" s="1"/>
  <c r="I226"/>
  <c r="J226" s="1"/>
  <c r="I225"/>
  <c r="J225" s="1"/>
  <c r="I224"/>
  <c r="J224" s="1"/>
  <c r="I223"/>
  <c r="J223" s="1"/>
  <c r="I222"/>
  <c r="J222" s="1"/>
  <c r="I221"/>
  <c r="J221" s="1"/>
  <c r="I220"/>
  <c r="J220" s="1"/>
  <c r="I219"/>
  <c r="J219" s="1"/>
  <c r="I218"/>
  <c r="J218" s="1"/>
  <c r="I217"/>
  <c r="J217" s="1"/>
  <c r="I216"/>
  <c r="J216" s="1"/>
  <c r="I215"/>
  <c r="J215" s="1"/>
  <c r="I214"/>
  <c r="J214" s="1"/>
  <c r="I213"/>
  <c r="J213" s="1"/>
  <c r="I212"/>
  <c r="J212" s="1"/>
  <c r="I211"/>
  <c r="J211" s="1"/>
  <c r="I210"/>
  <c r="J210" s="1"/>
  <c r="I209"/>
  <c r="J209" s="1"/>
  <c r="I208"/>
  <c r="J208" s="1"/>
  <c r="I207"/>
  <c r="J207" s="1"/>
  <c r="I206"/>
  <c r="J206" s="1"/>
  <c r="I205"/>
  <c r="J205" s="1"/>
  <c r="I204"/>
  <c r="J204" s="1"/>
  <c r="I203"/>
  <c r="J203" s="1"/>
  <c r="I202"/>
  <c r="J202" s="1"/>
  <c r="I201"/>
  <c r="J201" s="1"/>
  <c r="I200"/>
  <c r="J200" s="1"/>
  <c r="I199"/>
  <c r="J199" s="1"/>
  <c r="I198"/>
  <c r="J198" s="1"/>
  <c r="I197"/>
  <c r="J197" s="1"/>
  <c r="I196"/>
  <c r="J196" s="1"/>
  <c r="I195"/>
  <c r="J195" s="1"/>
  <c r="I194"/>
  <c r="J194" s="1"/>
  <c r="I193"/>
  <c r="J193" s="1"/>
  <c r="I192"/>
  <c r="J192" s="1"/>
  <c r="I191"/>
  <c r="J191" s="1"/>
  <c r="I190"/>
  <c r="J190" s="1"/>
  <c r="I189"/>
  <c r="J189" s="1"/>
  <c r="I188"/>
  <c r="J188" s="1"/>
  <c r="I187"/>
  <c r="J187" s="1"/>
  <c r="I186"/>
  <c r="J186" s="1"/>
  <c r="I185"/>
  <c r="J185" s="1"/>
  <c r="I184"/>
  <c r="J184" s="1"/>
  <c r="I183"/>
  <c r="J183" s="1"/>
  <c r="I182"/>
  <c r="J182" s="1"/>
  <c r="I181"/>
  <c r="J181" s="1"/>
  <c r="I180"/>
  <c r="J180" s="1"/>
  <c r="I179"/>
  <c r="J179" s="1"/>
  <c r="I178"/>
  <c r="J178" s="1"/>
  <c r="I177"/>
  <c r="J177" s="1"/>
  <c r="I176"/>
  <c r="J176" s="1"/>
  <c r="I175"/>
  <c r="J175" s="1"/>
  <c r="I174"/>
  <c r="J174" s="1"/>
  <c r="I173"/>
  <c r="J173" s="1"/>
  <c r="I172"/>
  <c r="J172" s="1"/>
  <c r="I171"/>
  <c r="J171" s="1"/>
  <c r="I170"/>
  <c r="J170" s="1"/>
  <c r="I169"/>
  <c r="J169" s="1"/>
  <c r="I168"/>
  <c r="J168" s="1"/>
  <c r="I167"/>
  <c r="J167" s="1"/>
  <c r="I166"/>
  <c r="J166" s="1"/>
  <c r="I165"/>
  <c r="J165" s="1"/>
  <c r="I164"/>
  <c r="J164" s="1"/>
  <c r="I163"/>
  <c r="J163" s="1"/>
  <c r="I162"/>
  <c r="J162" s="1"/>
  <c r="I161"/>
  <c r="J161" s="1"/>
  <c r="I160"/>
  <c r="J160" s="1"/>
  <c r="I159"/>
  <c r="J159" s="1"/>
  <c r="I158"/>
  <c r="J158" s="1"/>
  <c r="I157"/>
  <c r="J157" s="1"/>
  <c r="I156"/>
  <c r="J156" s="1"/>
  <c r="I155"/>
  <c r="J155" s="1"/>
  <c r="I154"/>
  <c r="J154" s="1"/>
  <c r="I153"/>
  <c r="J153" s="1"/>
  <c r="I152"/>
  <c r="J152" s="1"/>
  <c r="I151"/>
  <c r="J151" s="1"/>
  <c r="I150"/>
  <c r="J150" s="1"/>
  <c r="I149"/>
  <c r="J149" s="1"/>
  <c r="I148"/>
  <c r="J148" s="1"/>
  <c r="I147"/>
  <c r="J147" s="1"/>
  <c r="I146"/>
  <c r="J146" s="1"/>
  <c r="I145"/>
  <c r="J145" s="1"/>
  <c r="I144"/>
  <c r="J144" s="1"/>
  <c r="I143"/>
  <c r="J143" s="1"/>
  <c r="I142"/>
  <c r="J142" s="1"/>
  <c r="I141"/>
  <c r="J141" s="1"/>
  <c r="I140"/>
  <c r="J140" s="1"/>
  <c r="I139"/>
  <c r="J139" s="1"/>
  <c r="I138"/>
  <c r="J138" s="1"/>
  <c r="I137"/>
  <c r="J137" s="1"/>
  <c r="I136"/>
  <c r="J136" s="1"/>
  <c r="I135"/>
  <c r="J135" s="1"/>
  <c r="I134"/>
  <c r="J134" s="1"/>
  <c r="I133"/>
  <c r="J133" s="1"/>
  <c r="I132"/>
  <c r="J132" s="1"/>
  <c r="I131"/>
  <c r="J131" s="1"/>
  <c r="I130"/>
  <c r="J130" s="1"/>
  <c r="I129"/>
  <c r="J129" s="1"/>
  <c r="I128"/>
  <c r="J128" s="1"/>
  <c r="I127"/>
  <c r="J127" s="1"/>
  <c r="I126"/>
  <c r="J126" s="1"/>
  <c r="I125"/>
  <c r="J125" s="1"/>
  <c r="I124"/>
  <c r="J124" s="1"/>
  <c r="I123"/>
  <c r="J123" s="1"/>
  <c r="I122"/>
  <c r="J122" s="1"/>
  <c r="I121"/>
  <c r="J121" s="1"/>
  <c r="I120"/>
  <c r="J120" s="1"/>
  <c r="I119"/>
  <c r="J119" s="1"/>
  <c r="I118"/>
  <c r="J118" s="1"/>
  <c r="I117"/>
  <c r="J117" s="1"/>
  <c r="I116"/>
  <c r="J116" s="1"/>
  <c r="I115"/>
  <c r="J115" s="1"/>
  <c r="I114"/>
  <c r="J114" s="1"/>
  <c r="I113"/>
  <c r="J113" s="1"/>
  <c r="I112"/>
  <c r="J112" s="1"/>
  <c r="I111"/>
  <c r="J111" s="1"/>
  <c r="I110"/>
  <c r="J110" s="1"/>
  <c r="I109"/>
  <c r="J109" s="1"/>
  <c r="I108"/>
  <c r="J108" s="1"/>
  <c r="I107"/>
  <c r="J107" s="1"/>
  <c r="I106"/>
  <c r="J106" s="1"/>
  <c r="I105"/>
  <c r="J105" s="1"/>
  <c r="I104"/>
  <c r="J104" s="1"/>
  <c r="I103"/>
  <c r="J103" s="1"/>
  <c r="I102"/>
  <c r="J102" s="1"/>
  <c r="I101"/>
  <c r="J101" s="1"/>
  <c r="I100"/>
  <c r="J100" s="1"/>
  <c r="I99"/>
  <c r="J99" s="1"/>
  <c r="I98"/>
  <c r="J98" s="1"/>
  <c r="I97"/>
  <c r="J97" s="1"/>
  <c r="I96"/>
  <c r="J96" s="1"/>
  <c r="I95"/>
  <c r="J95" s="1"/>
  <c r="I94"/>
  <c r="J94" s="1"/>
  <c r="I93"/>
  <c r="J93" s="1"/>
  <c r="I92"/>
  <c r="J92" s="1"/>
  <c r="I91"/>
  <c r="J91" s="1"/>
  <c r="I90"/>
  <c r="J90" s="1"/>
  <c r="I89"/>
  <c r="J89" s="1"/>
  <c r="I88"/>
  <c r="J88" s="1"/>
  <c r="I87"/>
  <c r="J87" s="1"/>
  <c r="I86"/>
  <c r="J86" s="1"/>
  <c r="I85"/>
  <c r="J85" s="1"/>
  <c r="I84"/>
  <c r="J84" s="1"/>
  <c r="I83"/>
  <c r="J83" s="1"/>
  <c r="I82"/>
  <c r="J82" s="1"/>
  <c r="I81"/>
  <c r="J81" s="1"/>
  <c r="I80"/>
  <c r="J80" s="1"/>
  <c r="I79"/>
  <c r="J79" s="1"/>
  <c r="I78"/>
  <c r="J78" s="1"/>
  <c r="I77"/>
  <c r="J77" s="1"/>
  <c r="I76"/>
  <c r="J76" s="1"/>
  <c r="I75"/>
  <c r="J75" s="1"/>
  <c r="I74"/>
  <c r="J74" s="1"/>
  <c r="I73"/>
  <c r="J73" s="1"/>
  <c r="I72"/>
  <c r="J72" s="1"/>
  <c r="I71"/>
  <c r="J71" s="1"/>
  <c r="I70"/>
  <c r="J70" s="1"/>
  <c r="I69"/>
  <c r="J69" s="1"/>
  <c r="I68"/>
  <c r="J68" s="1"/>
  <c r="I67"/>
  <c r="J67" s="1"/>
  <c r="I66"/>
  <c r="J66" s="1"/>
  <c r="I65"/>
  <c r="J65" s="1"/>
  <c r="I64"/>
  <c r="J64" s="1"/>
  <c r="I63"/>
  <c r="J63" s="1"/>
  <c r="I62"/>
  <c r="J62" s="1"/>
  <c r="I61"/>
  <c r="J61" s="1"/>
  <c r="I60"/>
  <c r="J60" s="1"/>
  <c r="I59"/>
  <c r="J59" s="1"/>
  <c r="I58"/>
  <c r="J58" s="1"/>
  <c r="I57"/>
  <c r="J57" s="1"/>
  <c r="I56"/>
  <c r="J56" s="1"/>
  <c r="I55"/>
  <c r="J55" s="1"/>
  <c r="I54"/>
  <c r="J54" s="1"/>
  <c r="I53"/>
  <c r="J53" s="1"/>
  <c r="I52"/>
  <c r="J52" s="1"/>
  <c r="I51"/>
  <c r="J51" s="1"/>
  <c r="I50"/>
  <c r="J50" s="1"/>
  <c r="I49"/>
  <c r="J49" s="1"/>
  <c r="I48"/>
  <c r="J48" s="1"/>
  <c r="I47"/>
  <c r="J47" s="1"/>
  <c r="I46"/>
  <c r="J46" s="1"/>
  <c r="I45"/>
  <c r="J45" s="1"/>
  <c r="I44"/>
  <c r="J44" s="1"/>
  <c r="I43"/>
  <c r="J43" s="1"/>
  <c r="I42"/>
  <c r="J42" s="1"/>
  <c r="I41"/>
  <c r="J41" s="1"/>
  <c r="I40"/>
  <c r="J40" s="1"/>
  <c r="I39"/>
  <c r="J39" s="1"/>
  <c r="I38"/>
  <c r="J38" s="1"/>
  <c r="I37"/>
  <c r="J37" s="1"/>
  <c r="I36"/>
  <c r="J36" s="1"/>
  <c r="I35"/>
  <c r="J35" s="1"/>
  <c r="I34"/>
  <c r="J34" s="1"/>
  <c r="I33"/>
  <c r="J33" s="1"/>
  <c r="I32"/>
  <c r="J32" s="1"/>
  <c r="I31"/>
  <c r="J31" s="1"/>
  <c r="I30"/>
  <c r="J30" s="1"/>
  <c r="I29"/>
  <c r="J29" s="1"/>
  <c r="I28"/>
  <c r="J28" s="1"/>
  <c r="I27"/>
  <c r="J27" s="1"/>
  <c r="I26"/>
  <c r="J26" s="1"/>
  <c r="I25"/>
  <c r="J25" s="1"/>
  <c r="I24"/>
  <c r="J24" s="1"/>
  <c r="I23"/>
  <c r="J23" s="1"/>
  <c r="I22"/>
  <c r="J22" s="1"/>
  <c r="I21"/>
  <c r="J21" s="1"/>
  <c r="I20"/>
  <c r="J20" s="1"/>
  <c r="I19"/>
  <c r="J19" s="1"/>
  <c r="I18"/>
  <c r="J18" s="1"/>
  <c r="I17"/>
  <c r="J17" s="1"/>
  <c r="I16"/>
  <c r="J16" s="1"/>
  <c r="I15"/>
  <c r="J15" s="1"/>
  <c r="I14"/>
  <c r="J14" s="1"/>
  <c r="I13"/>
  <c r="J13" s="1"/>
  <c r="I12"/>
  <c r="J12" s="1"/>
  <c r="I11"/>
  <c r="J11" s="1"/>
  <c r="I10"/>
  <c r="J10" s="1"/>
  <c r="I9"/>
  <c r="J9" s="1"/>
  <c r="I8"/>
  <c r="J8" s="1"/>
  <c r="I7"/>
  <c r="J7" s="1"/>
  <c r="I6"/>
  <c r="J6" s="1"/>
  <c r="I5"/>
  <c r="J5" s="1"/>
  <c r="I4"/>
  <c r="J4" s="1"/>
  <c r="I3"/>
  <c r="J3" s="1"/>
  <c r="I2"/>
  <c r="J2" s="1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</calcChain>
</file>

<file path=xl/sharedStrings.xml><?xml version="1.0" encoding="utf-8"?>
<sst xmlns="http://schemas.openxmlformats.org/spreadsheetml/2006/main" count="1889" uniqueCount="230">
  <si>
    <t>Anio</t>
  </si>
  <si>
    <t>Semana</t>
  </si>
  <si>
    <t>Producto</t>
  </si>
  <si>
    <t>Finca</t>
  </si>
  <si>
    <t>Bloque</t>
  </si>
  <si>
    <t>Variedad</t>
  </si>
  <si>
    <t>Bloque&amp;Varid</t>
  </si>
  <si>
    <t>Estimado_modelo</t>
  </si>
  <si>
    <t>STANDARD</t>
  </si>
  <si>
    <t>ASTROFLORES</t>
  </si>
  <si>
    <t>LUMIA</t>
  </si>
  <si>
    <t>008LUMIA</t>
  </si>
  <si>
    <t>SPRAY</t>
  </si>
  <si>
    <t>PISTACHIO KISS</t>
  </si>
  <si>
    <t>021PISTACHIO KISS</t>
  </si>
  <si>
    <t>SOMERSET</t>
  </si>
  <si>
    <t>002SOMERSET</t>
  </si>
  <si>
    <t>BELLINA</t>
  </si>
  <si>
    <t>004BELLINA</t>
  </si>
  <si>
    <t>ELBA</t>
  </si>
  <si>
    <t>005ELBA</t>
  </si>
  <si>
    <t>HOT BUBBLES</t>
  </si>
  <si>
    <t>005HOT BUBBLES</t>
  </si>
  <si>
    <t>SUSPIRO</t>
  </si>
  <si>
    <t>005SUSPIRO</t>
  </si>
  <si>
    <t>SNOW BUBBLES</t>
  </si>
  <si>
    <t>007SNOW BUBBLES</t>
  </si>
  <si>
    <t>009HOT BUBBLES</t>
  </si>
  <si>
    <t>FRUITY BUBBLES</t>
  </si>
  <si>
    <t>014FRUITY BUBBLES</t>
  </si>
  <si>
    <t>FELLINI</t>
  </si>
  <si>
    <t>015FELLINI</t>
  </si>
  <si>
    <t>GOOD PEACH</t>
  </si>
  <si>
    <t>016GOOD PEACH</t>
  </si>
  <si>
    <t>GOOD YELLOW</t>
  </si>
  <si>
    <t>016GOOD YELLOW</t>
  </si>
  <si>
    <t>ORANGE STAR</t>
  </si>
  <si>
    <t>017ORANGE STAR</t>
  </si>
  <si>
    <t>COSMO</t>
  </si>
  <si>
    <t>018COSMO</t>
  </si>
  <si>
    <t>RUBICON</t>
  </si>
  <si>
    <t>018RUBICON</t>
  </si>
  <si>
    <t>019BELLINA</t>
  </si>
  <si>
    <t>SUMMER DANCE</t>
  </si>
  <si>
    <t>020SUMMER DANCE</t>
  </si>
  <si>
    <t>ELEGANT ROSEVER</t>
  </si>
  <si>
    <t>021ELEGANT ROSEVER</t>
  </si>
  <si>
    <t>FLAME CLUB</t>
  </si>
  <si>
    <t>021FLAME CLUB</t>
  </si>
  <si>
    <t>KELLY</t>
  </si>
  <si>
    <t>021KELLY</t>
  </si>
  <si>
    <t>LEILA</t>
  </si>
  <si>
    <t>021LEILA</t>
  </si>
  <si>
    <t>021SNOW BUBBLES</t>
  </si>
  <si>
    <t>022FRUITY BUBBLES</t>
  </si>
  <si>
    <t>022GOOD PEACH</t>
  </si>
  <si>
    <t>MIRABEL</t>
  </si>
  <si>
    <t>022MIRABEL</t>
  </si>
  <si>
    <t>PURPLE BUBBLY</t>
  </si>
  <si>
    <t>026PURPLE BUBBLY</t>
  </si>
  <si>
    <t>030MIRABEL</t>
  </si>
  <si>
    <t>030SOMERSET</t>
  </si>
  <si>
    <t>82989</t>
  </si>
  <si>
    <t>03182989</t>
  </si>
  <si>
    <t>031RUBICON</t>
  </si>
  <si>
    <t>031SOMERSET</t>
  </si>
  <si>
    <t>VELVET BLOSSOMS</t>
  </si>
  <si>
    <t>031VELVET BLOSSOMS</t>
  </si>
  <si>
    <t>032ELBA</t>
  </si>
  <si>
    <t>032MIRABEL</t>
  </si>
  <si>
    <t>CREAMY FOLIES</t>
  </si>
  <si>
    <t>033CREAMY FOLIES</t>
  </si>
  <si>
    <t>033HOT BUBBLES</t>
  </si>
  <si>
    <t>BELIEVE IN PINK</t>
  </si>
  <si>
    <t>001BELIEVE IN PINK</t>
  </si>
  <si>
    <t>EXPLORER</t>
  </si>
  <si>
    <t>001EXPLORER</t>
  </si>
  <si>
    <t>GRACE KELLY</t>
  </si>
  <si>
    <t>001GRACE KELLY</t>
  </si>
  <si>
    <t>IDOLE</t>
  </si>
  <si>
    <t>001IDOLE</t>
  </si>
  <si>
    <t>LIGHT HOUSE</t>
  </si>
  <si>
    <t>001LIGHT HOUSE</t>
  </si>
  <si>
    <t>001LUMIA</t>
  </si>
  <si>
    <t>MOMENTUM</t>
  </si>
  <si>
    <t>001MOMENTUM</t>
  </si>
  <si>
    <t>SUMMER ROMANCE</t>
  </si>
  <si>
    <t>002SUMMER ROMANCE</t>
  </si>
  <si>
    <t>SWEETNESS</t>
  </si>
  <si>
    <t>002SWEETNESS</t>
  </si>
  <si>
    <t>CABARET</t>
  </si>
  <si>
    <t>003CABARET</t>
  </si>
  <si>
    <t>DEEP PURPLE</t>
  </si>
  <si>
    <t>003DEEP PURPLE</t>
  </si>
  <si>
    <t>003EXPLORER</t>
  </si>
  <si>
    <t>JOCKER</t>
  </si>
  <si>
    <t>003JOCKER</t>
  </si>
  <si>
    <t>QUICKSAND</t>
  </si>
  <si>
    <t>003QUICKSAND</t>
  </si>
  <si>
    <t>COTOPAXI</t>
  </si>
  <si>
    <t>004COTOPAXI</t>
  </si>
  <si>
    <t>004DEEP PURPLE</t>
  </si>
  <si>
    <t>HOT EXPLORER</t>
  </si>
  <si>
    <t>004HOT EXPLORER</t>
  </si>
  <si>
    <t>HOT MERENGUE</t>
  </si>
  <si>
    <t>004HOT MERENGUE</t>
  </si>
  <si>
    <t>004SWEETNESS</t>
  </si>
  <si>
    <t>005EXPLORER</t>
  </si>
  <si>
    <t>GOLDFINCH</t>
  </si>
  <si>
    <t>005GOLDFINCH</t>
  </si>
  <si>
    <t>005JOCKER</t>
  </si>
  <si>
    <t>VENDELA</t>
  </si>
  <si>
    <t>005VENDELA</t>
  </si>
  <si>
    <t>ATOMIC</t>
  </si>
  <si>
    <t>006ATOMIC</t>
  </si>
  <si>
    <t>006EXPLORER</t>
  </si>
  <si>
    <t>MONDIAL</t>
  </si>
  <si>
    <t>006MONDIAL</t>
  </si>
  <si>
    <t>007COTOPAXI</t>
  </si>
  <si>
    <t>REDIANT</t>
  </si>
  <si>
    <t>007REDIANT</t>
  </si>
  <si>
    <t>007SUMMER ROMANCE</t>
  </si>
  <si>
    <t>007VENDELA</t>
  </si>
  <si>
    <t>008DEEP PURPLE</t>
  </si>
  <si>
    <t>FREEDOM</t>
  </si>
  <si>
    <t>008FREEDOM</t>
  </si>
  <si>
    <t>008JOCKER</t>
  </si>
  <si>
    <t>COOLDOWN</t>
  </si>
  <si>
    <t>010COOLDOWN</t>
  </si>
  <si>
    <t>VIOLET HILL</t>
  </si>
  <si>
    <t>010VIOLET HILL</t>
  </si>
  <si>
    <t>BRIGHTON</t>
  </si>
  <si>
    <t>011BRIGHTON</t>
  </si>
  <si>
    <t>CANDLELIGHT</t>
  </si>
  <si>
    <t>011CANDLELIGHT</t>
  </si>
  <si>
    <t>CAYENNE</t>
  </si>
  <si>
    <t>011CAYENNE</t>
  </si>
  <si>
    <t>011LUMIA</t>
  </si>
  <si>
    <t>STARDUST</t>
  </si>
  <si>
    <t>011STARDUST</t>
  </si>
  <si>
    <t>012DEEP PURPLE</t>
  </si>
  <si>
    <t>012LIGHT HOUSE</t>
  </si>
  <si>
    <t>COUNTRY BLUES</t>
  </si>
  <si>
    <t>013COUNTRY BLUES</t>
  </si>
  <si>
    <t>LORRAINE</t>
  </si>
  <si>
    <t>013LORRAINE</t>
  </si>
  <si>
    <t>013LUMIA</t>
  </si>
  <si>
    <t>013VENDELA</t>
  </si>
  <si>
    <t>014STARDUST</t>
  </si>
  <si>
    <t>015JOCKER</t>
  </si>
  <si>
    <t>DREAM IN PEACH</t>
  </si>
  <si>
    <t>016DREAM IN PEACH</t>
  </si>
  <si>
    <t>NINA</t>
  </si>
  <si>
    <t>016NINA</t>
  </si>
  <si>
    <t>017FREEDOM</t>
  </si>
  <si>
    <t>017GOLDFINCH</t>
  </si>
  <si>
    <t>018BRIGHTON</t>
  </si>
  <si>
    <t>019BRIGHTON</t>
  </si>
  <si>
    <t>TABATHA</t>
  </si>
  <si>
    <t>019TABATHA</t>
  </si>
  <si>
    <t>020BRIGHTON</t>
  </si>
  <si>
    <t>TYCOON</t>
  </si>
  <si>
    <t>020TYCOON</t>
  </si>
  <si>
    <t>SHOW GIRL</t>
  </si>
  <si>
    <t>021SHOW GIRL</t>
  </si>
  <si>
    <t>CORAL REEF</t>
  </si>
  <si>
    <t>022CORAL REEF</t>
  </si>
  <si>
    <t>023COTOPAXI</t>
  </si>
  <si>
    <t>FRUTTETO</t>
  </si>
  <si>
    <t>023FRUTTETO</t>
  </si>
  <si>
    <t>024COTOPAXI</t>
  </si>
  <si>
    <t>024SWEETNESS</t>
  </si>
  <si>
    <t>024TYCOON</t>
  </si>
  <si>
    <t>PINK MONDIAL</t>
  </si>
  <si>
    <t>025PINK MONDIAL</t>
  </si>
  <si>
    <t>LOLA</t>
  </si>
  <si>
    <t>026LOLA</t>
  </si>
  <si>
    <t>PALOMA</t>
  </si>
  <si>
    <t>026PALOMA</t>
  </si>
  <si>
    <t>SATISFACTION</t>
  </si>
  <si>
    <t>027SATISFACTION</t>
  </si>
  <si>
    <t>TIFFANY</t>
  </si>
  <si>
    <t>027TIFFANY</t>
  </si>
  <si>
    <t>028COTOPAXI</t>
  </si>
  <si>
    <t>028DEEP PURPLE</t>
  </si>
  <si>
    <t>PINK FLOYD</t>
  </si>
  <si>
    <t>029PINK FLOYD</t>
  </si>
  <si>
    <t>030EXPLORER</t>
  </si>
  <si>
    <t>Variedad_proyectada</t>
  </si>
  <si>
    <t>area_calculada_m2</t>
  </si>
  <si>
    <t>m2_variedad</t>
  </si>
  <si>
    <t>porcentaje_amortiguador_sobre_m2_variedad</t>
  </si>
  <si>
    <t>promedio_tallos_m2_ultimas_12_semanas</t>
  </si>
  <si>
    <t>producto_m2_por_promedio_tallos_m2</t>
  </si>
  <si>
    <t>xx</t>
  </si>
  <si>
    <t>008</t>
  </si>
  <si>
    <t>021</t>
  </si>
  <si>
    <t>002</t>
  </si>
  <si>
    <t>004</t>
  </si>
  <si>
    <t>005</t>
  </si>
  <si>
    <t>007</t>
  </si>
  <si>
    <t>009</t>
  </si>
  <si>
    <t>014</t>
  </si>
  <si>
    <t>015</t>
  </si>
  <si>
    <t>016</t>
  </si>
  <si>
    <t>017</t>
  </si>
  <si>
    <t>018</t>
  </si>
  <si>
    <t>019</t>
  </si>
  <si>
    <t>020</t>
  </si>
  <si>
    <t>022</t>
  </si>
  <si>
    <t>026</t>
  </si>
  <si>
    <t>030</t>
  </si>
  <si>
    <t>031</t>
  </si>
  <si>
    <t>032</t>
  </si>
  <si>
    <t>033</t>
  </si>
  <si>
    <t>001</t>
  </si>
  <si>
    <t>003</t>
  </si>
  <si>
    <t>006</t>
  </si>
  <si>
    <t>010</t>
  </si>
  <si>
    <t>011</t>
  </si>
  <si>
    <t>012</t>
  </si>
  <si>
    <t>013</t>
  </si>
  <si>
    <t>023</t>
  </si>
  <si>
    <t>024</t>
  </si>
  <si>
    <t>025</t>
  </si>
  <si>
    <t>027</t>
  </si>
  <si>
    <t>028</t>
  </si>
  <si>
    <t>029</t>
  </si>
  <si>
    <t>Produccion</t>
  </si>
  <si>
    <t>%dif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</si>
</sst>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PycharmProjects/PythonProject/Produccion%20Astroflores%20BL25-26-27-28%20a%20la%20Semana%2036_entrenamient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</sheetNames>
    <sheetDataSet>
      <sheetData sheetId="0">
        <row r="9143">
          <cell r="G9143" t="str">
            <v>33008LUMIA</v>
          </cell>
          <cell r="H9143">
            <v>2340</v>
          </cell>
        </row>
        <row r="9144">
          <cell r="G9144" t="str">
            <v>34008LUMIA</v>
          </cell>
          <cell r="H9144">
            <v>2400</v>
          </cell>
        </row>
        <row r="9145">
          <cell r="G9145" t="str">
            <v>021PISTACHIO KISS</v>
          </cell>
          <cell r="H9145">
            <v>200</v>
          </cell>
        </row>
        <row r="9146">
          <cell r="G9146" t="str">
            <v>021PISTACHIO KISS</v>
          </cell>
          <cell r="H9146">
            <v>125</v>
          </cell>
        </row>
        <row r="9147">
          <cell r="G9147" t="str">
            <v>021PISTACHIO KISS</v>
          </cell>
          <cell r="H9147">
            <v>25</v>
          </cell>
        </row>
        <row r="9148">
          <cell r="G9148" t="str">
            <v>021PISTACHIO KISS</v>
          </cell>
          <cell r="H9148">
            <v>25</v>
          </cell>
        </row>
        <row r="9149">
          <cell r="G9149" t="str">
            <v>021PISTACHIO KISS</v>
          </cell>
          <cell r="H9149">
            <v>75</v>
          </cell>
        </row>
        <row r="9150">
          <cell r="G9150" t="str">
            <v>021PISTACHIO KISS</v>
          </cell>
          <cell r="H9150">
            <v>75</v>
          </cell>
        </row>
        <row r="9151">
          <cell r="G9151" t="str">
            <v>021PISTACHIO KISS</v>
          </cell>
          <cell r="H9151">
            <v>50</v>
          </cell>
        </row>
        <row r="9152">
          <cell r="G9152" t="str">
            <v>021PISTACHIO KISS</v>
          </cell>
          <cell r="H9152">
            <v>75</v>
          </cell>
        </row>
        <row r="9153">
          <cell r="G9153" t="str">
            <v>021PISTACHIO KISS</v>
          </cell>
          <cell r="H9153">
            <v>800</v>
          </cell>
        </row>
        <row r="9154">
          <cell r="G9154" t="str">
            <v>021PISTACHIO KISS</v>
          </cell>
          <cell r="H9154">
            <v>625</v>
          </cell>
        </row>
        <row r="9155">
          <cell r="G9155" t="str">
            <v>33021PISTACHIO KISS</v>
          </cell>
          <cell r="H9155">
            <v>960</v>
          </cell>
        </row>
        <row r="9156">
          <cell r="G9156" t="str">
            <v>34021PISTACHIO KISS</v>
          </cell>
          <cell r="H9156">
            <v>760</v>
          </cell>
        </row>
        <row r="9157">
          <cell r="G9157" t="str">
            <v>33002SOMERSET</v>
          </cell>
          <cell r="H9157">
            <v>8220</v>
          </cell>
        </row>
        <row r="9158">
          <cell r="G9158" t="str">
            <v>33004BELLINA</v>
          </cell>
          <cell r="H9158">
            <v>1245</v>
          </cell>
        </row>
        <row r="9159">
          <cell r="G9159" t="str">
            <v>33005ELBA</v>
          </cell>
          <cell r="H9159">
            <v>6930</v>
          </cell>
        </row>
        <row r="9160">
          <cell r="G9160" t="str">
            <v>33005HOT BUBBLES</v>
          </cell>
          <cell r="H9160">
            <v>960</v>
          </cell>
        </row>
        <row r="9161">
          <cell r="G9161" t="str">
            <v>33005SUSPIRO</v>
          </cell>
          <cell r="H9161">
            <v>4590</v>
          </cell>
        </row>
        <row r="9162">
          <cell r="G9162" t="str">
            <v>33009HOT BUBBLES</v>
          </cell>
          <cell r="H9162">
            <v>6260</v>
          </cell>
        </row>
        <row r="9163">
          <cell r="G9163" t="str">
            <v>33014FRUITY BUBBLES</v>
          </cell>
          <cell r="H9163">
            <v>2075</v>
          </cell>
        </row>
        <row r="9164">
          <cell r="G9164" t="str">
            <v>33015FELLINI</v>
          </cell>
          <cell r="H9164">
            <v>6200</v>
          </cell>
        </row>
        <row r="9165">
          <cell r="G9165" t="str">
            <v>33016GOOD PEACH</v>
          </cell>
          <cell r="H9165">
            <v>3000</v>
          </cell>
        </row>
        <row r="9166">
          <cell r="G9166" t="str">
            <v>33016GOOD YELLOW</v>
          </cell>
          <cell r="H9166">
            <v>4020</v>
          </cell>
        </row>
        <row r="9167">
          <cell r="G9167" t="str">
            <v>33017ORANGE STAR</v>
          </cell>
          <cell r="H9167">
            <v>875</v>
          </cell>
        </row>
        <row r="9168">
          <cell r="G9168" t="str">
            <v>33018COSMO</v>
          </cell>
          <cell r="H9168">
            <v>3275</v>
          </cell>
        </row>
        <row r="9169">
          <cell r="G9169" t="str">
            <v>33018RUBICON</v>
          </cell>
          <cell r="H9169">
            <v>3090</v>
          </cell>
        </row>
        <row r="9170">
          <cell r="G9170" t="str">
            <v>33019BELLINA</v>
          </cell>
          <cell r="H9170">
            <v>1755</v>
          </cell>
        </row>
        <row r="9171">
          <cell r="G9171" t="str">
            <v>33020SUMMER DANCE</v>
          </cell>
          <cell r="H9171">
            <v>2475</v>
          </cell>
        </row>
        <row r="9172">
          <cell r="G9172" t="str">
            <v>33021ELEGANT ROSEVER</v>
          </cell>
          <cell r="H9172">
            <v>600</v>
          </cell>
        </row>
        <row r="9173">
          <cell r="G9173" t="str">
            <v>33021FLAME CLUB</v>
          </cell>
          <cell r="H9173">
            <v>1275</v>
          </cell>
        </row>
        <row r="9174">
          <cell r="G9174" t="str">
            <v>33021KELLY</v>
          </cell>
          <cell r="H9174">
            <v>625</v>
          </cell>
        </row>
        <row r="9175">
          <cell r="G9175" t="str">
            <v>33021LEILA</v>
          </cell>
          <cell r="H9175">
            <v>1500</v>
          </cell>
        </row>
        <row r="9176">
          <cell r="G9176" t="str">
            <v>33021SNOW BUBBLES</v>
          </cell>
          <cell r="H9176">
            <v>3040</v>
          </cell>
        </row>
        <row r="9177">
          <cell r="G9177" t="str">
            <v>33022FRUITY BUBBLES</v>
          </cell>
          <cell r="H9177">
            <v>4700</v>
          </cell>
        </row>
        <row r="9178">
          <cell r="G9178" t="str">
            <v>33022GOOD PEACH</v>
          </cell>
          <cell r="H9178">
            <v>2460</v>
          </cell>
        </row>
        <row r="9179">
          <cell r="G9179" t="str">
            <v>33022MIRABEL</v>
          </cell>
          <cell r="H9179">
            <v>1520</v>
          </cell>
        </row>
        <row r="9180">
          <cell r="G9180" t="str">
            <v>33030MIRABEL</v>
          </cell>
          <cell r="H9180">
            <v>2660</v>
          </cell>
        </row>
        <row r="9181">
          <cell r="G9181" t="str">
            <v>33030SOMERSET</v>
          </cell>
          <cell r="H9181">
            <v>2780</v>
          </cell>
        </row>
        <row r="9182">
          <cell r="G9182" t="str">
            <v>3303182989</v>
          </cell>
          <cell r="H9182">
            <v>600</v>
          </cell>
        </row>
        <row r="9183">
          <cell r="G9183" t="str">
            <v>33031RUBICON</v>
          </cell>
          <cell r="H9183">
            <v>1680</v>
          </cell>
        </row>
        <row r="9184">
          <cell r="G9184" t="str">
            <v>33031SOMERSET</v>
          </cell>
          <cell r="H9184">
            <v>2540</v>
          </cell>
        </row>
        <row r="9185">
          <cell r="G9185" t="str">
            <v>33031VELVET BLOSSOMS</v>
          </cell>
          <cell r="H9185">
            <v>620</v>
          </cell>
        </row>
        <row r="9186">
          <cell r="G9186" t="str">
            <v>33032ELBA</v>
          </cell>
          <cell r="H9186">
            <v>2160</v>
          </cell>
        </row>
        <row r="9187">
          <cell r="G9187" t="str">
            <v>33032MIRABEL</v>
          </cell>
          <cell r="H9187">
            <v>1160</v>
          </cell>
        </row>
        <row r="9188">
          <cell r="G9188" t="str">
            <v>33033CREAMY FOLIES</v>
          </cell>
          <cell r="H9188">
            <v>1230</v>
          </cell>
        </row>
        <row r="9189">
          <cell r="G9189" t="str">
            <v>33033HOT BUBBLES</v>
          </cell>
          <cell r="H9189">
            <v>4320</v>
          </cell>
        </row>
        <row r="9190">
          <cell r="G9190" t="str">
            <v>33001BELIEVE IN PINK</v>
          </cell>
          <cell r="H9190">
            <v>1140</v>
          </cell>
        </row>
        <row r="9191">
          <cell r="G9191" t="str">
            <v>33001EXPLORER</v>
          </cell>
          <cell r="H9191">
            <v>5125</v>
          </cell>
        </row>
        <row r="9192">
          <cell r="G9192" t="str">
            <v>33001GRACE KELLY</v>
          </cell>
          <cell r="H9192">
            <v>1710</v>
          </cell>
        </row>
        <row r="9193">
          <cell r="G9193" t="str">
            <v>33001LIGHT HOUSE</v>
          </cell>
          <cell r="H9193">
            <v>2040</v>
          </cell>
        </row>
        <row r="9194">
          <cell r="G9194" t="str">
            <v>33001LUMIA</v>
          </cell>
          <cell r="H9194">
            <v>1680</v>
          </cell>
        </row>
        <row r="9195">
          <cell r="G9195" t="str">
            <v>33001MOMENTUM</v>
          </cell>
          <cell r="H9195">
            <v>3600</v>
          </cell>
        </row>
        <row r="9196">
          <cell r="G9196" t="str">
            <v>33002SUMMER ROMANCE</v>
          </cell>
          <cell r="H9196">
            <v>1600</v>
          </cell>
        </row>
        <row r="9197">
          <cell r="G9197" t="str">
            <v>33002SWEETNESS</v>
          </cell>
          <cell r="H9197">
            <v>5280</v>
          </cell>
        </row>
        <row r="9198">
          <cell r="G9198" t="str">
            <v>33003CABARET</v>
          </cell>
          <cell r="H9198">
            <v>3660</v>
          </cell>
        </row>
        <row r="9199">
          <cell r="G9199" t="str">
            <v>33003DEEP PURPLE</v>
          </cell>
          <cell r="H9199">
            <v>8220</v>
          </cell>
        </row>
        <row r="9200">
          <cell r="G9200" t="str">
            <v>33003EXPLORER</v>
          </cell>
          <cell r="H9200">
            <v>1625</v>
          </cell>
        </row>
        <row r="9201">
          <cell r="G9201" t="str">
            <v>33003JOCKER</v>
          </cell>
          <cell r="H9201">
            <v>1075</v>
          </cell>
        </row>
        <row r="9202">
          <cell r="G9202" t="str">
            <v>33003QUICKSAND</v>
          </cell>
          <cell r="H9202">
            <v>1980</v>
          </cell>
        </row>
        <row r="9203">
          <cell r="G9203" t="str">
            <v>33004COTOPAXI</v>
          </cell>
          <cell r="H9203">
            <v>900</v>
          </cell>
        </row>
        <row r="9204">
          <cell r="G9204" t="str">
            <v>33004DEEP PURPLE</v>
          </cell>
          <cell r="H9204">
            <v>6030</v>
          </cell>
        </row>
        <row r="9205">
          <cell r="G9205" t="str">
            <v>33004HOT EXPLORER</v>
          </cell>
          <cell r="H9205">
            <v>1550</v>
          </cell>
        </row>
        <row r="9206">
          <cell r="G9206" t="str">
            <v>33004HOT MERENGUE</v>
          </cell>
          <cell r="H9206">
            <v>3120</v>
          </cell>
        </row>
        <row r="9207">
          <cell r="G9207" t="str">
            <v>33004SWEETNESS</v>
          </cell>
          <cell r="H9207">
            <v>510</v>
          </cell>
        </row>
        <row r="9208">
          <cell r="G9208" t="str">
            <v>33005EXPLORER</v>
          </cell>
          <cell r="H9208">
            <v>1650</v>
          </cell>
        </row>
        <row r="9209">
          <cell r="G9209" t="str">
            <v>33005GOLDFINCH</v>
          </cell>
          <cell r="H9209">
            <v>825</v>
          </cell>
        </row>
        <row r="9210">
          <cell r="G9210" t="str">
            <v>33005JOCKER</v>
          </cell>
          <cell r="H9210">
            <v>2425</v>
          </cell>
        </row>
        <row r="9211">
          <cell r="G9211" t="str">
            <v>33005VENDELA</v>
          </cell>
          <cell r="H9211">
            <v>1590</v>
          </cell>
        </row>
        <row r="9212">
          <cell r="G9212" t="str">
            <v>33006EXPLORER</v>
          </cell>
          <cell r="H9212">
            <v>6775</v>
          </cell>
        </row>
        <row r="9213">
          <cell r="G9213" t="str">
            <v>33006MONDIAL</v>
          </cell>
          <cell r="H9213">
            <v>6250</v>
          </cell>
        </row>
        <row r="9214">
          <cell r="G9214" t="str">
            <v>33007COTOPAXI</v>
          </cell>
          <cell r="H9214">
            <v>3870</v>
          </cell>
        </row>
        <row r="9215">
          <cell r="G9215" t="str">
            <v>33007REDIANT</v>
          </cell>
          <cell r="H9215">
            <v>1320</v>
          </cell>
        </row>
        <row r="9216">
          <cell r="G9216" t="str">
            <v>33007SUMMER ROMANCE</v>
          </cell>
          <cell r="H9216">
            <v>1000</v>
          </cell>
        </row>
        <row r="9217">
          <cell r="G9217" t="str">
            <v>33007VENDELA</v>
          </cell>
          <cell r="H9217">
            <v>8190</v>
          </cell>
        </row>
        <row r="9218">
          <cell r="G9218" t="str">
            <v>33008DEEP PURPLE</v>
          </cell>
          <cell r="H9218">
            <v>3570</v>
          </cell>
        </row>
        <row r="9219">
          <cell r="G9219" t="str">
            <v>33008FREEDOM</v>
          </cell>
          <cell r="H9219">
            <v>3870</v>
          </cell>
        </row>
        <row r="9220">
          <cell r="G9220" t="str">
            <v>33008JOCKER</v>
          </cell>
          <cell r="H9220">
            <v>5600</v>
          </cell>
        </row>
        <row r="9221">
          <cell r="G9221" t="str">
            <v>33010COOLDOWN</v>
          </cell>
          <cell r="H9221">
            <v>3075</v>
          </cell>
        </row>
        <row r="9222">
          <cell r="G9222" t="str">
            <v>33010VIOLET HILL</v>
          </cell>
          <cell r="H9222">
            <v>5730</v>
          </cell>
        </row>
        <row r="9223">
          <cell r="G9223" t="str">
            <v>33011BRIGHTON</v>
          </cell>
          <cell r="H9223">
            <v>2475</v>
          </cell>
        </row>
        <row r="9224">
          <cell r="G9224" t="str">
            <v>33011CANDLELIGHT</v>
          </cell>
          <cell r="H9224">
            <v>3380</v>
          </cell>
        </row>
        <row r="9225">
          <cell r="G9225" t="str">
            <v>33011CAYENNE</v>
          </cell>
          <cell r="H9225">
            <v>1170</v>
          </cell>
        </row>
        <row r="9226">
          <cell r="G9226" t="str">
            <v>33011LUMIA</v>
          </cell>
          <cell r="H9226">
            <v>1590</v>
          </cell>
        </row>
        <row r="9227">
          <cell r="G9227" t="str">
            <v>33011STARDUST</v>
          </cell>
          <cell r="H9227">
            <v>2275</v>
          </cell>
        </row>
        <row r="9228">
          <cell r="G9228" t="str">
            <v>33012DEEP PURPLE</v>
          </cell>
          <cell r="H9228">
            <v>12570</v>
          </cell>
        </row>
        <row r="9229">
          <cell r="G9229" t="str">
            <v>33012LIGHT HOUSE</v>
          </cell>
          <cell r="H9229">
            <v>840</v>
          </cell>
        </row>
        <row r="9230">
          <cell r="G9230" t="str">
            <v>33013COUNTRY BLUES</v>
          </cell>
          <cell r="H9230">
            <v>720</v>
          </cell>
        </row>
        <row r="9231">
          <cell r="G9231" t="str">
            <v>33013LORRAINE</v>
          </cell>
          <cell r="H9231">
            <v>2325</v>
          </cell>
        </row>
        <row r="9232">
          <cell r="G9232" t="str">
            <v>33013LUMIA</v>
          </cell>
          <cell r="H9232">
            <v>480</v>
          </cell>
        </row>
        <row r="9233">
          <cell r="G9233" t="str">
            <v>33013VENDELA</v>
          </cell>
          <cell r="H9233">
            <v>6090</v>
          </cell>
        </row>
        <row r="9234">
          <cell r="G9234" t="str">
            <v>33014STARDUST</v>
          </cell>
          <cell r="H9234">
            <v>4650</v>
          </cell>
        </row>
        <row r="9235">
          <cell r="G9235" t="str">
            <v>33015JOCKER</v>
          </cell>
          <cell r="H9235">
            <v>2975</v>
          </cell>
        </row>
        <row r="9236">
          <cell r="G9236" t="str">
            <v>33016DREAM IN PEACH</v>
          </cell>
          <cell r="H9236">
            <v>1500</v>
          </cell>
        </row>
        <row r="9237">
          <cell r="G9237" t="str">
            <v>33016NINA</v>
          </cell>
          <cell r="H9237">
            <v>2425</v>
          </cell>
        </row>
        <row r="9238">
          <cell r="G9238" t="str">
            <v>33017FREEDOM</v>
          </cell>
          <cell r="H9238">
            <v>5700</v>
          </cell>
        </row>
        <row r="9239">
          <cell r="G9239" t="str">
            <v>33017GOLDFINCH</v>
          </cell>
          <cell r="H9239">
            <v>1850</v>
          </cell>
        </row>
        <row r="9240">
          <cell r="G9240" t="str">
            <v>33018BRIGHTON</v>
          </cell>
          <cell r="H9240">
            <v>1225</v>
          </cell>
        </row>
        <row r="9241">
          <cell r="G9241" t="str">
            <v>33019BRIGHTON</v>
          </cell>
          <cell r="H9241">
            <v>5400</v>
          </cell>
        </row>
        <row r="9242">
          <cell r="G9242" t="str">
            <v>33019TABATHA</v>
          </cell>
          <cell r="H9242">
            <v>2610</v>
          </cell>
        </row>
        <row r="9243">
          <cell r="G9243" t="str">
            <v>33020BRIGHTON</v>
          </cell>
          <cell r="H9243">
            <v>4125</v>
          </cell>
        </row>
        <row r="9244">
          <cell r="G9244" t="str">
            <v>33020TYCOON</v>
          </cell>
          <cell r="H9244">
            <v>840</v>
          </cell>
        </row>
        <row r="9245">
          <cell r="G9245" t="str">
            <v>33021SHOW GIRL</v>
          </cell>
          <cell r="H9245">
            <v>1400</v>
          </cell>
        </row>
        <row r="9246">
          <cell r="G9246" t="str">
            <v>33022CORAL REEF</v>
          </cell>
          <cell r="H9246">
            <v>1800</v>
          </cell>
        </row>
        <row r="9247">
          <cell r="G9247" t="str">
            <v>33023COTOPAXI</v>
          </cell>
          <cell r="H9247">
            <v>4740</v>
          </cell>
        </row>
        <row r="9248">
          <cell r="G9248" t="str">
            <v>33023FRUTTETO</v>
          </cell>
          <cell r="H9248">
            <v>3870</v>
          </cell>
        </row>
        <row r="9249">
          <cell r="G9249" t="str">
            <v>33024COTOPAXI</v>
          </cell>
          <cell r="H9249">
            <v>3000</v>
          </cell>
        </row>
        <row r="9250">
          <cell r="G9250" t="str">
            <v>33024SWEETNESS</v>
          </cell>
          <cell r="H9250">
            <v>1710</v>
          </cell>
        </row>
        <row r="9251">
          <cell r="G9251" t="str">
            <v>33024TYCOON</v>
          </cell>
          <cell r="H9251">
            <v>3240</v>
          </cell>
        </row>
        <row r="9252">
          <cell r="G9252" t="str">
            <v>33025PINK MONDIAL</v>
          </cell>
          <cell r="H9252">
            <v>4625</v>
          </cell>
        </row>
        <row r="9253">
          <cell r="G9253" t="str">
            <v>33026LOLA</v>
          </cell>
          <cell r="H9253">
            <v>3050</v>
          </cell>
        </row>
        <row r="9254">
          <cell r="G9254" t="str">
            <v>33026PALOMA</v>
          </cell>
          <cell r="H9254">
            <v>3275</v>
          </cell>
        </row>
        <row r="9255">
          <cell r="G9255" t="str">
            <v>33027SATISFACTION</v>
          </cell>
          <cell r="H9255">
            <v>3480</v>
          </cell>
        </row>
        <row r="9256">
          <cell r="G9256" t="str">
            <v>33027TIFFANY</v>
          </cell>
          <cell r="H9256">
            <v>4380</v>
          </cell>
        </row>
        <row r="9257">
          <cell r="G9257" t="str">
            <v>33028COTOPAXI</v>
          </cell>
          <cell r="H9257">
            <v>5100</v>
          </cell>
        </row>
        <row r="9258">
          <cell r="G9258" t="str">
            <v>33028DEEP PURPLE</v>
          </cell>
          <cell r="H9258">
            <v>4350</v>
          </cell>
        </row>
        <row r="9259">
          <cell r="G9259" t="str">
            <v>33029PINK FLOYD</v>
          </cell>
          <cell r="H9259">
            <v>3875</v>
          </cell>
        </row>
        <row r="9260">
          <cell r="G9260" t="str">
            <v>33030EXPLORER</v>
          </cell>
          <cell r="H9260">
            <v>2000</v>
          </cell>
        </row>
        <row r="9261">
          <cell r="G9261" t="str">
            <v>33021PISTACHIO KISS</v>
          </cell>
          <cell r="H9261">
            <v>960</v>
          </cell>
        </row>
        <row r="9262">
          <cell r="G9262" t="str">
            <v>34002SOMERSET</v>
          </cell>
          <cell r="H9262">
            <v>10040</v>
          </cell>
        </row>
        <row r="9263">
          <cell r="G9263" t="str">
            <v>34004BELLINA</v>
          </cell>
          <cell r="H9263">
            <v>1020</v>
          </cell>
        </row>
        <row r="9264">
          <cell r="G9264" t="str">
            <v>34005ELBA</v>
          </cell>
          <cell r="H9264">
            <v>7710</v>
          </cell>
        </row>
        <row r="9265">
          <cell r="G9265" t="str">
            <v>34005HOT BUBBLES</v>
          </cell>
          <cell r="H9265">
            <v>1100</v>
          </cell>
        </row>
        <row r="9266">
          <cell r="G9266" t="str">
            <v>34005SUSPIRO</v>
          </cell>
          <cell r="H9266">
            <v>4050</v>
          </cell>
        </row>
        <row r="9267">
          <cell r="G9267" t="str">
            <v>34009HOT BUBBLES</v>
          </cell>
          <cell r="H9267">
            <v>7000</v>
          </cell>
        </row>
        <row r="9268">
          <cell r="G9268" t="str">
            <v>34014FRUITY BUBBLES</v>
          </cell>
          <cell r="H9268">
            <v>1650</v>
          </cell>
        </row>
        <row r="9269">
          <cell r="G9269" t="str">
            <v>34015FELLINI</v>
          </cell>
          <cell r="H9269">
            <v>5600</v>
          </cell>
        </row>
        <row r="9270">
          <cell r="G9270" t="str">
            <v>34016GOOD PEACH</v>
          </cell>
          <cell r="H9270">
            <v>2640</v>
          </cell>
        </row>
        <row r="9271">
          <cell r="G9271" t="str">
            <v>34016GOOD YELLOW</v>
          </cell>
          <cell r="H9271">
            <v>3000</v>
          </cell>
        </row>
        <row r="9272">
          <cell r="G9272" t="str">
            <v>34017ORANGE STAR</v>
          </cell>
          <cell r="H9272">
            <v>1150</v>
          </cell>
        </row>
        <row r="9273">
          <cell r="G9273" t="str">
            <v>34018COSMO</v>
          </cell>
          <cell r="H9273">
            <v>3050</v>
          </cell>
        </row>
        <row r="9274">
          <cell r="G9274" t="str">
            <v>34018RUBICON</v>
          </cell>
          <cell r="H9274">
            <v>3660</v>
          </cell>
        </row>
        <row r="9275">
          <cell r="G9275" t="str">
            <v>34019BELLINA</v>
          </cell>
          <cell r="H9275">
            <v>1545</v>
          </cell>
        </row>
        <row r="9276">
          <cell r="G9276" t="str">
            <v>34020SUMMER DANCE</v>
          </cell>
          <cell r="H9276">
            <v>1925</v>
          </cell>
        </row>
        <row r="9277">
          <cell r="G9277" t="str">
            <v>34021ELEGANT ROSEVER</v>
          </cell>
          <cell r="H9277">
            <v>390</v>
          </cell>
        </row>
        <row r="9278">
          <cell r="G9278" t="str">
            <v>34021FLAME CLUB</v>
          </cell>
          <cell r="H9278">
            <v>1125</v>
          </cell>
        </row>
        <row r="9279">
          <cell r="G9279" t="str">
            <v>34021KELLY</v>
          </cell>
          <cell r="H9279">
            <v>550</v>
          </cell>
        </row>
        <row r="9280">
          <cell r="G9280" t="str">
            <v>34021LEILA</v>
          </cell>
          <cell r="H9280">
            <v>1425</v>
          </cell>
        </row>
        <row r="9281">
          <cell r="G9281" t="str">
            <v>34021SNOW BUBBLES</v>
          </cell>
          <cell r="H9281">
            <v>2220</v>
          </cell>
        </row>
        <row r="9282">
          <cell r="G9282" t="str">
            <v>34022FRUITY BUBBLES</v>
          </cell>
          <cell r="H9282">
            <v>3500</v>
          </cell>
        </row>
        <row r="9283">
          <cell r="G9283" t="str">
            <v>34022GOOD PEACH</v>
          </cell>
          <cell r="H9283">
            <v>2490</v>
          </cell>
        </row>
        <row r="9284">
          <cell r="G9284" t="str">
            <v>34022MIRABEL</v>
          </cell>
          <cell r="H9284">
            <v>1200</v>
          </cell>
        </row>
        <row r="9285">
          <cell r="G9285" t="str">
            <v>34030MIRABEL</v>
          </cell>
          <cell r="H9285">
            <v>2820</v>
          </cell>
        </row>
        <row r="9286">
          <cell r="G9286" t="str">
            <v>34030SOMERSET</v>
          </cell>
          <cell r="H9286">
            <v>2400</v>
          </cell>
        </row>
        <row r="9287">
          <cell r="G9287" t="str">
            <v>3403182989</v>
          </cell>
          <cell r="H9287">
            <v>920</v>
          </cell>
        </row>
        <row r="9288">
          <cell r="G9288" t="str">
            <v>34031RUBICON</v>
          </cell>
          <cell r="H9288">
            <v>1860</v>
          </cell>
        </row>
        <row r="9289">
          <cell r="G9289" t="str">
            <v>34031SOMERSET</v>
          </cell>
          <cell r="H9289">
            <v>3320</v>
          </cell>
        </row>
        <row r="9290">
          <cell r="G9290" t="str">
            <v>34031VELVET BLOSSOMS</v>
          </cell>
          <cell r="H9290">
            <v>640</v>
          </cell>
        </row>
        <row r="9291">
          <cell r="G9291" t="str">
            <v>34032ELBA</v>
          </cell>
          <cell r="H9291">
            <v>2190</v>
          </cell>
        </row>
        <row r="9292">
          <cell r="G9292" t="str">
            <v>34032MIRABEL</v>
          </cell>
          <cell r="H9292">
            <v>1020</v>
          </cell>
        </row>
        <row r="9293">
          <cell r="G9293" t="str">
            <v>34033CREAMY FOLIES</v>
          </cell>
          <cell r="H9293">
            <v>1410</v>
          </cell>
        </row>
        <row r="9294">
          <cell r="G9294" t="str">
            <v>34033HOT BUBBLES</v>
          </cell>
          <cell r="H9294">
            <v>2920</v>
          </cell>
        </row>
        <row r="9295">
          <cell r="G9295" t="str">
            <v>34001BELIEVE IN PINK</v>
          </cell>
          <cell r="H9295">
            <v>1320</v>
          </cell>
        </row>
        <row r="9296">
          <cell r="G9296" t="str">
            <v>34001EXPLORER</v>
          </cell>
          <cell r="H9296">
            <v>4075</v>
          </cell>
        </row>
        <row r="9297">
          <cell r="G9297" t="str">
            <v>34001GRACE KELLY</v>
          </cell>
          <cell r="H9297">
            <v>2160</v>
          </cell>
        </row>
        <row r="9298">
          <cell r="G9298" t="str">
            <v>34001LIGHT HOUSE</v>
          </cell>
          <cell r="H9298">
            <v>1800</v>
          </cell>
        </row>
        <row r="9299">
          <cell r="G9299" t="str">
            <v>34001MOMENTUM</v>
          </cell>
          <cell r="H9299">
            <v>3975</v>
          </cell>
        </row>
        <row r="9300">
          <cell r="G9300" t="str">
            <v>34002SUMMER ROMANCE</v>
          </cell>
          <cell r="H9300">
            <v>1625</v>
          </cell>
        </row>
        <row r="9301">
          <cell r="G9301" t="str">
            <v>34002SWEETNESS</v>
          </cell>
          <cell r="H9301">
            <v>6630</v>
          </cell>
        </row>
        <row r="9302">
          <cell r="G9302" t="str">
            <v>34003CABARET</v>
          </cell>
          <cell r="H9302">
            <v>4170</v>
          </cell>
        </row>
        <row r="9303">
          <cell r="G9303" t="str">
            <v>34003DEEP PURPLE</v>
          </cell>
          <cell r="H9303">
            <v>8370</v>
          </cell>
        </row>
        <row r="9304">
          <cell r="G9304" t="str">
            <v>34003EXPLORER</v>
          </cell>
          <cell r="H9304">
            <v>1475</v>
          </cell>
        </row>
        <row r="9305">
          <cell r="G9305" t="str">
            <v>34003JOCKER</v>
          </cell>
          <cell r="H9305">
            <v>750</v>
          </cell>
        </row>
        <row r="9306">
          <cell r="G9306" t="str">
            <v>34003QUICKSAND</v>
          </cell>
          <cell r="H9306">
            <v>1230</v>
          </cell>
        </row>
        <row r="9307">
          <cell r="G9307" t="str">
            <v>34004COTOPAXI</v>
          </cell>
          <cell r="H9307">
            <v>990</v>
          </cell>
        </row>
        <row r="9308">
          <cell r="G9308" t="str">
            <v>34004DEEP PURPLE</v>
          </cell>
          <cell r="H9308">
            <v>6600</v>
          </cell>
        </row>
        <row r="9309">
          <cell r="G9309" t="str">
            <v>34004HOT EXPLORER</v>
          </cell>
          <cell r="H9309">
            <v>1750</v>
          </cell>
        </row>
        <row r="9310">
          <cell r="G9310" t="str">
            <v>34004HOT MERENGUE</v>
          </cell>
          <cell r="H9310">
            <v>3120</v>
          </cell>
        </row>
        <row r="9311">
          <cell r="G9311" t="str">
            <v>34004SWEETNESS</v>
          </cell>
          <cell r="H9311">
            <v>600</v>
          </cell>
        </row>
        <row r="9312">
          <cell r="G9312" t="str">
            <v>34005EXPLORER</v>
          </cell>
          <cell r="H9312">
            <v>1425</v>
          </cell>
        </row>
        <row r="9313">
          <cell r="G9313" t="str">
            <v>34005GOLDFINCH</v>
          </cell>
          <cell r="H9313">
            <v>625</v>
          </cell>
        </row>
        <row r="9314">
          <cell r="G9314" t="str">
            <v>34005JOCKER</v>
          </cell>
          <cell r="H9314">
            <v>1925</v>
          </cell>
        </row>
        <row r="9315">
          <cell r="G9315" t="str">
            <v>34005VENDELA</v>
          </cell>
          <cell r="H9315">
            <v>1560</v>
          </cell>
        </row>
        <row r="9316">
          <cell r="G9316" t="str">
            <v>34006EXPLORER</v>
          </cell>
          <cell r="H9316">
            <v>5750</v>
          </cell>
        </row>
        <row r="9317">
          <cell r="G9317" t="str">
            <v>34006MONDIAL</v>
          </cell>
          <cell r="H9317">
            <v>5550</v>
          </cell>
        </row>
        <row r="9318">
          <cell r="G9318" t="str">
            <v>34007COTOPAXI</v>
          </cell>
          <cell r="H9318">
            <v>3750</v>
          </cell>
        </row>
        <row r="9319">
          <cell r="G9319" t="str">
            <v>34007REDIANT</v>
          </cell>
          <cell r="H9319">
            <v>1110</v>
          </cell>
        </row>
        <row r="9320">
          <cell r="G9320" t="str">
            <v>34007SUMMER ROMANCE</v>
          </cell>
          <cell r="H9320">
            <v>975</v>
          </cell>
        </row>
        <row r="9321">
          <cell r="G9321" t="str">
            <v>34007VENDELA</v>
          </cell>
          <cell r="H9321">
            <v>7680</v>
          </cell>
        </row>
        <row r="9322">
          <cell r="G9322" t="str">
            <v>34008DEEP PURPLE</v>
          </cell>
          <cell r="H9322">
            <v>3900</v>
          </cell>
        </row>
        <row r="9323">
          <cell r="G9323" t="str">
            <v>34008FREEDOM</v>
          </cell>
          <cell r="H9323">
            <v>3180</v>
          </cell>
        </row>
        <row r="9324">
          <cell r="G9324" t="str">
            <v>34008JOCKER</v>
          </cell>
          <cell r="H9324">
            <v>4975</v>
          </cell>
        </row>
        <row r="9325">
          <cell r="G9325" t="str">
            <v>34010COOLDOWN</v>
          </cell>
          <cell r="H9325">
            <v>1900</v>
          </cell>
        </row>
        <row r="9326">
          <cell r="G9326" t="str">
            <v>34010VIOLET HILL</v>
          </cell>
          <cell r="H9326">
            <v>4440</v>
          </cell>
        </row>
        <row r="9327">
          <cell r="G9327" t="str">
            <v>34011BRIGHTON</v>
          </cell>
          <cell r="H9327">
            <v>3375</v>
          </cell>
        </row>
        <row r="9328">
          <cell r="G9328" t="str">
            <v>34011CANDLELIGHT</v>
          </cell>
          <cell r="H9328">
            <v>4160</v>
          </cell>
        </row>
        <row r="9329">
          <cell r="G9329" t="str">
            <v>34011CAYENNE</v>
          </cell>
          <cell r="H9329">
            <v>1590</v>
          </cell>
        </row>
        <row r="9330">
          <cell r="G9330" t="str">
            <v>34011STARDUST</v>
          </cell>
          <cell r="H9330">
            <v>3500</v>
          </cell>
        </row>
        <row r="9331">
          <cell r="G9331" t="str">
            <v>34012DEEP PURPLE</v>
          </cell>
          <cell r="H9331">
            <v>12630</v>
          </cell>
        </row>
        <row r="9332">
          <cell r="G9332" t="str">
            <v>34012LIGHT HOUSE</v>
          </cell>
          <cell r="H9332">
            <v>1020</v>
          </cell>
        </row>
        <row r="9333">
          <cell r="G9333" t="str">
            <v>34013COUNTRY BLUES</v>
          </cell>
          <cell r="H9333">
            <v>1060</v>
          </cell>
        </row>
        <row r="9334">
          <cell r="G9334" t="str">
            <v>34013LORRAINE</v>
          </cell>
          <cell r="H9334">
            <v>2550</v>
          </cell>
        </row>
        <row r="9335">
          <cell r="G9335" t="str">
            <v>34013VENDELA</v>
          </cell>
          <cell r="H9335">
            <v>7050</v>
          </cell>
        </row>
        <row r="9336">
          <cell r="G9336" t="str">
            <v>34014STARDUST</v>
          </cell>
          <cell r="H9336">
            <v>5150</v>
          </cell>
        </row>
        <row r="9337">
          <cell r="G9337" t="str">
            <v>34015JOCKER</v>
          </cell>
          <cell r="H9337">
            <v>3025</v>
          </cell>
        </row>
        <row r="9338">
          <cell r="G9338" t="str">
            <v>34016DREAM IN PEACH</v>
          </cell>
          <cell r="H9338">
            <v>1230</v>
          </cell>
        </row>
        <row r="9339">
          <cell r="G9339" t="str">
            <v>34016NINA</v>
          </cell>
          <cell r="H9339">
            <v>1800</v>
          </cell>
        </row>
        <row r="9340">
          <cell r="G9340" t="str">
            <v>34017FREEDOM</v>
          </cell>
          <cell r="H9340">
            <v>4950</v>
          </cell>
        </row>
        <row r="9341">
          <cell r="G9341" t="str">
            <v>34017GOLDFINCH</v>
          </cell>
          <cell r="H9341">
            <v>1975</v>
          </cell>
        </row>
        <row r="9342">
          <cell r="G9342" t="str">
            <v>34018BRIGHTON</v>
          </cell>
          <cell r="H9342">
            <v>1650</v>
          </cell>
        </row>
        <row r="9343">
          <cell r="G9343" t="str">
            <v>34019BRIGHTON</v>
          </cell>
          <cell r="H9343">
            <v>5600</v>
          </cell>
        </row>
        <row r="9344">
          <cell r="G9344" t="str">
            <v>34019TABATHA</v>
          </cell>
          <cell r="H9344">
            <v>2370</v>
          </cell>
        </row>
        <row r="9345">
          <cell r="G9345" t="str">
            <v>34020BRIGHTON</v>
          </cell>
          <cell r="H9345">
            <v>4125</v>
          </cell>
        </row>
        <row r="9346">
          <cell r="G9346" t="str">
            <v>34020TYCOON</v>
          </cell>
          <cell r="H9346">
            <v>930</v>
          </cell>
        </row>
        <row r="9347">
          <cell r="G9347" t="str">
            <v>34021SHOW GIRL</v>
          </cell>
          <cell r="H9347">
            <v>1825</v>
          </cell>
        </row>
        <row r="9348">
          <cell r="G9348" t="str">
            <v>34022CORAL REEF</v>
          </cell>
          <cell r="H9348">
            <v>1475</v>
          </cell>
        </row>
        <row r="9349">
          <cell r="G9349" t="str">
            <v>34023COTOPAXI</v>
          </cell>
          <cell r="H9349">
            <v>6090</v>
          </cell>
        </row>
        <row r="9350">
          <cell r="G9350" t="str">
            <v>34023FRUTTETO</v>
          </cell>
          <cell r="H9350">
            <v>4650</v>
          </cell>
        </row>
        <row r="9351">
          <cell r="G9351" t="str">
            <v>34024COTOPAXI</v>
          </cell>
          <cell r="H9351">
            <v>3120</v>
          </cell>
        </row>
        <row r="9352">
          <cell r="G9352" t="str">
            <v>34024SWEETNESS</v>
          </cell>
          <cell r="H9352">
            <v>1980</v>
          </cell>
        </row>
        <row r="9353">
          <cell r="G9353" t="str">
            <v>34024TYCOON</v>
          </cell>
          <cell r="H9353">
            <v>3810</v>
          </cell>
        </row>
        <row r="9354">
          <cell r="G9354" t="str">
            <v>34025PINK MONDIAL</v>
          </cell>
          <cell r="H9354">
            <v>4450</v>
          </cell>
        </row>
        <row r="9355">
          <cell r="G9355" t="str">
            <v>34026LOLA</v>
          </cell>
          <cell r="H9355">
            <v>4000</v>
          </cell>
        </row>
        <row r="9356">
          <cell r="G9356" t="str">
            <v>34026PALOMA</v>
          </cell>
          <cell r="H9356">
            <v>4150</v>
          </cell>
        </row>
        <row r="9357">
          <cell r="G9357" t="str">
            <v>34027SATISFACTION</v>
          </cell>
          <cell r="H9357">
            <v>4230</v>
          </cell>
        </row>
        <row r="9358">
          <cell r="G9358" t="str">
            <v>34027TIFFANY</v>
          </cell>
          <cell r="H9358">
            <v>5340</v>
          </cell>
        </row>
        <row r="9359">
          <cell r="G9359" t="str">
            <v>34028COTOPAXI</v>
          </cell>
          <cell r="H9359">
            <v>5040</v>
          </cell>
        </row>
        <row r="9360">
          <cell r="G9360" t="str">
            <v>34028DEEP PURPLE</v>
          </cell>
          <cell r="H9360">
            <v>5820</v>
          </cell>
        </row>
        <row r="9361">
          <cell r="G9361" t="str">
            <v>34029PINK FLOYD</v>
          </cell>
          <cell r="H9361">
            <v>3375</v>
          </cell>
        </row>
        <row r="9362">
          <cell r="G9362" t="str">
            <v>34030EXPLORER</v>
          </cell>
          <cell r="H9362">
            <v>1750</v>
          </cell>
        </row>
        <row r="9363">
          <cell r="G9363" t="str">
            <v>34001LUMIA</v>
          </cell>
          <cell r="H9363">
            <v>1380</v>
          </cell>
        </row>
        <row r="9364">
          <cell r="G9364" t="str">
            <v>34011LUMIA</v>
          </cell>
          <cell r="H9364">
            <v>1500</v>
          </cell>
        </row>
        <row r="9365">
          <cell r="G9365" t="str">
            <v>34013LUMIA</v>
          </cell>
          <cell r="H9365">
            <v>570</v>
          </cell>
        </row>
        <row r="9366">
          <cell r="G9366" t="str">
            <v>35002SOMERSET</v>
          </cell>
          <cell r="H9366">
            <v>10240</v>
          </cell>
        </row>
        <row r="9367">
          <cell r="G9367" t="str">
            <v>35004BELLINA</v>
          </cell>
          <cell r="H9367">
            <v>1200</v>
          </cell>
        </row>
        <row r="9368">
          <cell r="G9368" t="str">
            <v>35005ELBA</v>
          </cell>
          <cell r="H9368">
            <v>8040</v>
          </cell>
        </row>
        <row r="9369">
          <cell r="G9369" t="str">
            <v>35005HOT BUBBLES</v>
          </cell>
          <cell r="H9369">
            <v>1140</v>
          </cell>
        </row>
        <row r="9370">
          <cell r="G9370" t="str">
            <v>35005SUSPIRO</v>
          </cell>
          <cell r="H9370">
            <v>4530</v>
          </cell>
        </row>
        <row r="9371">
          <cell r="G9371" t="str">
            <v>35009HOT BUBBLES</v>
          </cell>
          <cell r="H9371">
            <v>8020</v>
          </cell>
        </row>
        <row r="9372">
          <cell r="G9372" t="str">
            <v>35014FRUITY BUBBLES</v>
          </cell>
          <cell r="H9372">
            <v>1375</v>
          </cell>
        </row>
        <row r="9373">
          <cell r="G9373" t="str">
            <v>35015FELLINI</v>
          </cell>
          <cell r="H9373">
            <v>5400</v>
          </cell>
        </row>
        <row r="9374">
          <cell r="G9374" t="str">
            <v>35016GOOD PEACH</v>
          </cell>
          <cell r="H9374">
            <v>2610</v>
          </cell>
        </row>
        <row r="9375">
          <cell r="G9375" t="str">
            <v>35016GOOD YELLOW</v>
          </cell>
          <cell r="H9375">
            <v>3000</v>
          </cell>
        </row>
        <row r="9376">
          <cell r="G9376" t="str">
            <v>35017ORANGE STAR</v>
          </cell>
          <cell r="H9376">
            <v>1325</v>
          </cell>
        </row>
        <row r="9377">
          <cell r="G9377" t="str">
            <v>35018COSMO</v>
          </cell>
          <cell r="H9377">
            <v>3200</v>
          </cell>
        </row>
        <row r="9378">
          <cell r="G9378" t="str">
            <v>35018RUBICON</v>
          </cell>
          <cell r="H9378">
            <v>3900</v>
          </cell>
        </row>
        <row r="9379">
          <cell r="G9379" t="str">
            <v>35019BELLINA</v>
          </cell>
          <cell r="H9379">
            <v>1545</v>
          </cell>
        </row>
        <row r="9380">
          <cell r="G9380" t="str">
            <v>35020SUMMER DANCE</v>
          </cell>
          <cell r="H9380">
            <v>1950</v>
          </cell>
        </row>
        <row r="9381">
          <cell r="G9381" t="str">
            <v>35021ELEGANT ROSEVER</v>
          </cell>
          <cell r="H9381">
            <v>240</v>
          </cell>
        </row>
        <row r="9382">
          <cell r="G9382" t="str">
            <v>35021FLAME CLUB</v>
          </cell>
          <cell r="H9382">
            <v>1350</v>
          </cell>
        </row>
        <row r="9383">
          <cell r="G9383" t="str">
            <v>35021KELLY</v>
          </cell>
          <cell r="H9383">
            <v>500</v>
          </cell>
        </row>
        <row r="9384">
          <cell r="G9384" t="str">
            <v>35021LEILA</v>
          </cell>
          <cell r="H9384">
            <v>1150</v>
          </cell>
        </row>
        <row r="9385">
          <cell r="G9385" t="str">
            <v>35021SNOW BUBBLES</v>
          </cell>
          <cell r="H9385">
            <v>1780</v>
          </cell>
        </row>
        <row r="9386">
          <cell r="G9386" t="str">
            <v>35022FRUITY BUBBLES</v>
          </cell>
          <cell r="H9386">
            <v>2675</v>
          </cell>
        </row>
        <row r="9387">
          <cell r="G9387" t="str">
            <v>35022GOOD PEACH</v>
          </cell>
          <cell r="H9387">
            <v>2220</v>
          </cell>
        </row>
        <row r="9388">
          <cell r="G9388" t="str">
            <v>35022MIRABEL</v>
          </cell>
          <cell r="H9388">
            <v>1160</v>
          </cell>
        </row>
        <row r="9389">
          <cell r="G9389" t="str">
            <v>35030MIRABEL</v>
          </cell>
          <cell r="H9389">
            <v>3500</v>
          </cell>
        </row>
        <row r="9390">
          <cell r="G9390" t="str">
            <v>35030SOMERSET</v>
          </cell>
          <cell r="H9390">
            <v>3100</v>
          </cell>
        </row>
        <row r="9391">
          <cell r="G9391" t="str">
            <v>3503182989</v>
          </cell>
          <cell r="H9391">
            <v>840</v>
          </cell>
        </row>
        <row r="9392">
          <cell r="G9392" t="str">
            <v>35031RUBICON</v>
          </cell>
          <cell r="H9392">
            <v>1770</v>
          </cell>
        </row>
        <row r="9393">
          <cell r="G9393" t="str">
            <v>35031SOMERSET</v>
          </cell>
          <cell r="H9393">
            <v>4240</v>
          </cell>
        </row>
        <row r="9394">
          <cell r="G9394" t="str">
            <v>35031VELVET BLOSSOMS</v>
          </cell>
          <cell r="H9394">
            <v>440</v>
          </cell>
        </row>
        <row r="9395">
          <cell r="G9395" t="str">
            <v>35032ELBA</v>
          </cell>
          <cell r="H9395">
            <v>2730</v>
          </cell>
        </row>
        <row r="9396">
          <cell r="G9396" t="str">
            <v>35032MIRABEL</v>
          </cell>
          <cell r="H9396">
            <v>1500</v>
          </cell>
        </row>
        <row r="9397">
          <cell r="G9397" t="str">
            <v>35033CREAMY FOLIES</v>
          </cell>
          <cell r="H9397">
            <v>1440</v>
          </cell>
        </row>
        <row r="9398">
          <cell r="G9398" t="str">
            <v>35033HOT BUBBLES</v>
          </cell>
          <cell r="H9398">
            <v>2380</v>
          </cell>
        </row>
        <row r="9399">
          <cell r="G9399" t="str">
            <v>35001BELIEVE IN PINK</v>
          </cell>
          <cell r="H9399">
            <v>1200</v>
          </cell>
        </row>
        <row r="9400">
          <cell r="G9400" t="str">
            <v>35001EXPLORER</v>
          </cell>
          <cell r="H9400">
            <v>4025</v>
          </cell>
        </row>
        <row r="9401">
          <cell r="G9401" t="str">
            <v>35001GRACE KELLY</v>
          </cell>
          <cell r="H9401">
            <v>1440</v>
          </cell>
        </row>
        <row r="9402">
          <cell r="G9402" t="str">
            <v>35001LIGHT HOUSE</v>
          </cell>
          <cell r="H9402">
            <v>1800</v>
          </cell>
        </row>
        <row r="9403">
          <cell r="G9403" t="str">
            <v>35001LUMIA</v>
          </cell>
          <cell r="H9403">
            <v>1170</v>
          </cell>
        </row>
        <row r="9404">
          <cell r="G9404" t="str">
            <v>35001MOMENTUM</v>
          </cell>
          <cell r="H9404">
            <v>3550</v>
          </cell>
        </row>
        <row r="9405">
          <cell r="G9405" t="str">
            <v>35002SUMMER ROMANCE</v>
          </cell>
          <cell r="H9405">
            <v>1625</v>
          </cell>
        </row>
        <row r="9406">
          <cell r="G9406" t="str">
            <v>35002SWEETNESS</v>
          </cell>
          <cell r="H9406">
            <v>5790</v>
          </cell>
        </row>
        <row r="9407">
          <cell r="G9407" t="str">
            <v>35003CABARET</v>
          </cell>
          <cell r="H9407">
            <v>4110</v>
          </cell>
        </row>
        <row r="9408">
          <cell r="G9408" t="str">
            <v>35003DEEP PURPLE</v>
          </cell>
          <cell r="H9408">
            <v>9300</v>
          </cell>
        </row>
        <row r="9409">
          <cell r="G9409" t="str">
            <v>35003EXPLORER</v>
          </cell>
          <cell r="H9409">
            <v>1675</v>
          </cell>
        </row>
        <row r="9410">
          <cell r="G9410" t="str">
            <v>35003JOCKER</v>
          </cell>
          <cell r="H9410">
            <v>650</v>
          </cell>
        </row>
        <row r="9411">
          <cell r="G9411" t="str">
            <v>35003QUICKSAND</v>
          </cell>
          <cell r="H9411">
            <v>900</v>
          </cell>
        </row>
        <row r="9412">
          <cell r="G9412" t="str">
            <v>35004COTOPAXI</v>
          </cell>
          <cell r="H9412">
            <v>900</v>
          </cell>
        </row>
        <row r="9413">
          <cell r="G9413" t="str">
            <v>35004DEEP PURPLE</v>
          </cell>
          <cell r="H9413">
            <v>9570</v>
          </cell>
        </row>
        <row r="9414">
          <cell r="G9414" t="str">
            <v>35004HOT EXPLORER</v>
          </cell>
          <cell r="H9414">
            <v>2025</v>
          </cell>
        </row>
        <row r="9415">
          <cell r="G9415" t="str">
            <v>35004HOT MERENGUE</v>
          </cell>
          <cell r="H9415">
            <v>3930</v>
          </cell>
        </row>
        <row r="9416">
          <cell r="G9416" t="str">
            <v>35004SWEETNESS</v>
          </cell>
          <cell r="H9416">
            <v>510</v>
          </cell>
        </row>
        <row r="9417">
          <cell r="G9417" t="str">
            <v>35005EXPLORER</v>
          </cell>
          <cell r="H9417">
            <v>1225</v>
          </cell>
        </row>
        <row r="9418">
          <cell r="G9418" t="str">
            <v>35005GOLDFINCH</v>
          </cell>
          <cell r="H9418">
            <v>950</v>
          </cell>
        </row>
        <row r="9419">
          <cell r="G9419" t="str">
            <v>35005JOCKER</v>
          </cell>
          <cell r="H9419">
            <v>1550</v>
          </cell>
        </row>
        <row r="9420">
          <cell r="G9420" t="str">
            <v>35005VENDELA</v>
          </cell>
          <cell r="H9420">
            <v>1440</v>
          </cell>
        </row>
        <row r="9421">
          <cell r="G9421" t="str">
            <v>35006EXPLORER</v>
          </cell>
          <cell r="H9421">
            <v>5425</v>
          </cell>
        </row>
        <row r="9422">
          <cell r="G9422" t="str">
            <v>35006MONDIAL</v>
          </cell>
          <cell r="H9422">
            <v>6000</v>
          </cell>
        </row>
        <row r="9423">
          <cell r="G9423" t="str">
            <v>35007COTOPAXI</v>
          </cell>
          <cell r="H9423">
            <v>4680</v>
          </cell>
        </row>
        <row r="9424">
          <cell r="G9424" t="str">
            <v>35007REDIANT</v>
          </cell>
          <cell r="H9424">
            <v>1410</v>
          </cell>
        </row>
        <row r="9425">
          <cell r="G9425" t="str">
            <v>35007SUMMER ROMANCE</v>
          </cell>
          <cell r="H9425">
            <v>925</v>
          </cell>
        </row>
        <row r="9426">
          <cell r="G9426" t="str">
            <v>35007VENDELA</v>
          </cell>
          <cell r="H9426">
            <v>7680</v>
          </cell>
        </row>
        <row r="9427">
          <cell r="G9427" t="str">
            <v>35008DEEP PURPLE</v>
          </cell>
          <cell r="H9427">
            <v>3660</v>
          </cell>
        </row>
        <row r="9428">
          <cell r="G9428" t="str">
            <v>35008FREEDOM</v>
          </cell>
          <cell r="H9428">
            <v>3480</v>
          </cell>
        </row>
        <row r="9429">
          <cell r="G9429" t="str">
            <v>35008JOCKER</v>
          </cell>
          <cell r="H9429">
            <v>3550</v>
          </cell>
        </row>
        <row r="9430">
          <cell r="G9430" t="str">
            <v>35008LUMIA</v>
          </cell>
          <cell r="H9430">
            <v>1710</v>
          </cell>
        </row>
        <row r="9431">
          <cell r="G9431" t="str">
            <v>35010COOLDOWN</v>
          </cell>
          <cell r="H9431">
            <v>3700</v>
          </cell>
        </row>
        <row r="9432">
          <cell r="G9432" t="str">
            <v>35010VIOLET HILL</v>
          </cell>
          <cell r="H9432">
            <v>4980</v>
          </cell>
        </row>
        <row r="9433">
          <cell r="G9433" t="str">
            <v>35011BRIGHTON</v>
          </cell>
          <cell r="H9433">
            <v>3150</v>
          </cell>
        </row>
        <row r="9434">
          <cell r="G9434" t="str">
            <v>35011CANDLELIGHT</v>
          </cell>
          <cell r="H9434">
            <v>3700</v>
          </cell>
        </row>
        <row r="9435">
          <cell r="G9435" t="str">
            <v>35011CAYENNE</v>
          </cell>
          <cell r="H9435">
            <v>1950</v>
          </cell>
        </row>
        <row r="9436">
          <cell r="G9436" t="str">
            <v>35011LUMIA</v>
          </cell>
          <cell r="H9436">
            <v>1260</v>
          </cell>
        </row>
        <row r="9437">
          <cell r="G9437" t="str">
            <v>35011STARDUST</v>
          </cell>
          <cell r="H9437">
            <v>3725</v>
          </cell>
        </row>
        <row r="9438">
          <cell r="G9438" t="str">
            <v>35012DEEP PURPLE</v>
          </cell>
          <cell r="H9438">
            <v>15720</v>
          </cell>
        </row>
        <row r="9439">
          <cell r="G9439" t="str">
            <v>35012LIGHT HOUSE</v>
          </cell>
          <cell r="H9439">
            <v>1140</v>
          </cell>
        </row>
        <row r="9440">
          <cell r="G9440" t="str">
            <v>35013COUNTRY BLUES</v>
          </cell>
          <cell r="H9440">
            <v>1160</v>
          </cell>
        </row>
        <row r="9441">
          <cell r="G9441" t="str">
            <v>35013LORRAINE</v>
          </cell>
          <cell r="H9441">
            <v>2600</v>
          </cell>
        </row>
        <row r="9442">
          <cell r="G9442" t="str">
            <v>35013LUMIA</v>
          </cell>
          <cell r="H9442">
            <v>300</v>
          </cell>
        </row>
        <row r="9443">
          <cell r="G9443" t="str">
            <v>35013VENDELA</v>
          </cell>
          <cell r="H9443">
            <v>8700</v>
          </cell>
        </row>
        <row r="9444">
          <cell r="G9444" t="str">
            <v>35014STARDUST</v>
          </cell>
          <cell r="H9444">
            <v>4450</v>
          </cell>
        </row>
        <row r="9445">
          <cell r="G9445" t="str">
            <v>35015JOCKER</v>
          </cell>
          <cell r="H9445">
            <v>2450</v>
          </cell>
        </row>
        <row r="9446">
          <cell r="G9446" t="str">
            <v>35016DREAM IN PEACH</v>
          </cell>
          <cell r="H9446">
            <v>990</v>
          </cell>
        </row>
        <row r="9447">
          <cell r="G9447" t="str">
            <v>35016NINA</v>
          </cell>
          <cell r="H9447">
            <v>1575</v>
          </cell>
        </row>
        <row r="9448">
          <cell r="G9448" t="str">
            <v>35017FREEDOM</v>
          </cell>
          <cell r="H9448">
            <v>5850</v>
          </cell>
        </row>
        <row r="9449">
          <cell r="G9449" t="str">
            <v>35017GOLDFINCH</v>
          </cell>
          <cell r="H9449">
            <v>1675</v>
          </cell>
        </row>
        <row r="9450">
          <cell r="G9450" t="str">
            <v>35018BRIGHTON</v>
          </cell>
          <cell r="H9450">
            <v>1350</v>
          </cell>
        </row>
        <row r="9451">
          <cell r="G9451" t="str">
            <v>35019BRIGHTON</v>
          </cell>
          <cell r="H9451">
            <v>6100</v>
          </cell>
        </row>
        <row r="9452">
          <cell r="G9452" t="str">
            <v>35019TABATHA</v>
          </cell>
          <cell r="H9452">
            <v>2220</v>
          </cell>
        </row>
        <row r="9453">
          <cell r="G9453" t="str">
            <v>35020BRIGHTON</v>
          </cell>
          <cell r="H9453">
            <v>3900</v>
          </cell>
        </row>
        <row r="9454">
          <cell r="G9454" t="str">
            <v>35020TYCOON</v>
          </cell>
          <cell r="H9454">
            <v>840</v>
          </cell>
        </row>
        <row r="9455">
          <cell r="G9455" t="str">
            <v>35021SHOW GIRL</v>
          </cell>
          <cell r="H9455">
            <v>1450</v>
          </cell>
        </row>
        <row r="9456">
          <cell r="G9456" t="str">
            <v>35022CORAL REEF</v>
          </cell>
          <cell r="H9456">
            <v>1950</v>
          </cell>
        </row>
        <row r="9457">
          <cell r="G9457" t="str">
            <v>35023COTOPAXI</v>
          </cell>
          <cell r="H9457">
            <v>5820</v>
          </cell>
        </row>
        <row r="9458">
          <cell r="G9458" t="str">
            <v>35023FRUTTETO</v>
          </cell>
          <cell r="H9458">
            <v>5610</v>
          </cell>
        </row>
        <row r="9459">
          <cell r="G9459" t="str">
            <v>35024COTOPAXI</v>
          </cell>
          <cell r="H9459">
            <v>2940</v>
          </cell>
        </row>
        <row r="9460">
          <cell r="G9460" t="str">
            <v>35024SWEETNESS</v>
          </cell>
          <cell r="H9460">
            <v>1650</v>
          </cell>
        </row>
        <row r="9461">
          <cell r="G9461" t="str">
            <v>35024TYCOON</v>
          </cell>
          <cell r="H9461">
            <v>4230</v>
          </cell>
        </row>
        <row r="9462">
          <cell r="G9462" t="str">
            <v>35025PINK MONDIAL</v>
          </cell>
          <cell r="H9462">
            <v>4300</v>
          </cell>
        </row>
        <row r="9463">
          <cell r="G9463" t="str">
            <v>35026LOLA</v>
          </cell>
          <cell r="H9463">
            <v>3325</v>
          </cell>
        </row>
        <row r="9464">
          <cell r="G9464" t="str">
            <v>35026PALOMA</v>
          </cell>
          <cell r="H9464">
            <v>3100</v>
          </cell>
        </row>
        <row r="9465">
          <cell r="G9465" t="str">
            <v>35027SATISFACTION</v>
          </cell>
          <cell r="H9465">
            <v>4680</v>
          </cell>
        </row>
        <row r="9466">
          <cell r="G9466" t="str">
            <v>35027TIFFANY</v>
          </cell>
          <cell r="H9466">
            <v>5880</v>
          </cell>
        </row>
        <row r="9467">
          <cell r="G9467" t="str">
            <v>35028COTOPAXI</v>
          </cell>
          <cell r="H9467">
            <v>4530</v>
          </cell>
        </row>
        <row r="9468">
          <cell r="G9468" t="str">
            <v>35028DEEP PURPLE</v>
          </cell>
          <cell r="H9468">
            <v>5640</v>
          </cell>
        </row>
        <row r="9469">
          <cell r="G9469" t="str">
            <v>35029PINK FLOYD</v>
          </cell>
          <cell r="H9469">
            <v>3625</v>
          </cell>
        </row>
        <row r="9470">
          <cell r="G9470" t="str">
            <v>35030EXPLORER</v>
          </cell>
          <cell r="H9470">
            <v>1750</v>
          </cell>
        </row>
        <row r="9471">
          <cell r="G9471" t="str">
            <v>36002SOMERSET</v>
          </cell>
          <cell r="H9471">
            <v>7560</v>
          </cell>
        </row>
        <row r="9472">
          <cell r="G9472" t="str">
            <v>36004BELLINA</v>
          </cell>
          <cell r="H9472">
            <v>1065</v>
          </cell>
        </row>
        <row r="9473">
          <cell r="G9473" t="str">
            <v>36005ELBA</v>
          </cell>
          <cell r="H9473">
            <v>6600</v>
          </cell>
        </row>
        <row r="9474">
          <cell r="G9474" t="str">
            <v>36005HOT BUBBLES</v>
          </cell>
          <cell r="H9474">
            <v>1040</v>
          </cell>
        </row>
        <row r="9475">
          <cell r="G9475" t="str">
            <v>36005SUSPIRO</v>
          </cell>
          <cell r="H9475">
            <v>3870</v>
          </cell>
        </row>
        <row r="9476">
          <cell r="G9476" t="str">
            <v>36009HOT BUBBLES</v>
          </cell>
          <cell r="H9476">
            <v>6360</v>
          </cell>
        </row>
        <row r="9477">
          <cell r="G9477" t="str">
            <v>36014FRUITY BUBBLES</v>
          </cell>
          <cell r="H9477">
            <v>1025</v>
          </cell>
        </row>
        <row r="9478">
          <cell r="G9478" t="str">
            <v>36015FELLINI</v>
          </cell>
          <cell r="H9478">
            <v>5080</v>
          </cell>
        </row>
        <row r="9479">
          <cell r="G9479" t="str">
            <v>36016GOOD PEACH</v>
          </cell>
          <cell r="H9479">
            <v>1920</v>
          </cell>
        </row>
        <row r="9480">
          <cell r="G9480" t="str">
            <v>36016GOOD YELLOW</v>
          </cell>
          <cell r="H9480">
            <v>2580</v>
          </cell>
        </row>
        <row r="9481">
          <cell r="G9481" t="str">
            <v>36017ORANGE STAR</v>
          </cell>
          <cell r="H9481">
            <v>1375</v>
          </cell>
        </row>
        <row r="9482">
          <cell r="G9482" t="str">
            <v>36018COSMO</v>
          </cell>
          <cell r="H9482">
            <v>2925</v>
          </cell>
        </row>
        <row r="9483">
          <cell r="G9483" t="str">
            <v>36018RUBICON</v>
          </cell>
          <cell r="H9483">
            <v>3150</v>
          </cell>
        </row>
        <row r="9484">
          <cell r="G9484" t="str">
            <v>36019BELLINA</v>
          </cell>
          <cell r="H9484">
            <v>1365</v>
          </cell>
        </row>
        <row r="9485">
          <cell r="G9485" t="str">
            <v>36020SUMMER DANCE</v>
          </cell>
          <cell r="H9485">
            <v>2100</v>
          </cell>
        </row>
        <row r="9486">
          <cell r="G9486" t="str">
            <v>36021ELEGANT ROSEVER</v>
          </cell>
          <cell r="H9486">
            <v>420</v>
          </cell>
        </row>
        <row r="9487">
          <cell r="G9487" t="str">
            <v>36021FLAME CLUB</v>
          </cell>
          <cell r="H9487">
            <v>1400</v>
          </cell>
        </row>
        <row r="9488">
          <cell r="G9488" t="str">
            <v>36021KELLY</v>
          </cell>
          <cell r="H9488">
            <v>500</v>
          </cell>
        </row>
        <row r="9489">
          <cell r="G9489" t="str">
            <v>36021LEILA</v>
          </cell>
          <cell r="H9489">
            <v>1075</v>
          </cell>
        </row>
        <row r="9490">
          <cell r="G9490" t="str">
            <v>36021SNOW BUBBLES</v>
          </cell>
          <cell r="H9490">
            <v>1200</v>
          </cell>
        </row>
        <row r="9491">
          <cell r="G9491" t="str">
            <v>36022FRUITY BUBBLES</v>
          </cell>
          <cell r="H9491">
            <v>2175</v>
          </cell>
        </row>
        <row r="9492">
          <cell r="G9492" t="str">
            <v>36022GOOD PEACH</v>
          </cell>
          <cell r="H9492">
            <v>1740</v>
          </cell>
        </row>
        <row r="9493">
          <cell r="G9493" t="str">
            <v>36022MIRABEL</v>
          </cell>
          <cell r="H9493">
            <v>1080</v>
          </cell>
        </row>
        <row r="9494">
          <cell r="G9494" t="str">
            <v>36030MIRABEL</v>
          </cell>
          <cell r="H9494">
            <v>3100</v>
          </cell>
        </row>
        <row r="9495">
          <cell r="G9495" t="str">
            <v>36030SOMERSET</v>
          </cell>
          <cell r="H9495">
            <v>2080</v>
          </cell>
        </row>
        <row r="9496">
          <cell r="G9496" t="str">
            <v>3603182989</v>
          </cell>
          <cell r="H9496">
            <v>980</v>
          </cell>
        </row>
        <row r="9497">
          <cell r="G9497" t="str">
            <v>36031RUBICON</v>
          </cell>
          <cell r="H9497">
            <v>1500</v>
          </cell>
        </row>
        <row r="9498">
          <cell r="G9498" t="str">
            <v>36031SOMERSET</v>
          </cell>
          <cell r="H9498">
            <v>3040</v>
          </cell>
        </row>
        <row r="9499">
          <cell r="G9499" t="str">
            <v>36031VELVET BLOSSOMS</v>
          </cell>
          <cell r="H9499">
            <v>480</v>
          </cell>
        </row>
        <row r="9500">
          <cell r="G9500" t="str">
            <v>36032ELBA</v>
          </cell>
          <cell r="H9500">
            <v>3210</v>
          </cell>
        </row>
        <row r="9501">
          <cell r="G9501" t="str">
            <v>36032MIRABEL</v>
          </cell>
          <cell r="H9501">
            <v>2300</v>
          </cell>
        </row>
        <row r="9502">
          <cell r="G9502" t="str">
            <v>36033CREAMY FOLIES</v>
          </cell>
          <cell r="H9502">
            <v>1470</v>
          </cell>
        </row>
        <row r="9503">
          <cell r="G9503" t="str">
            <v>36033HOT BUBBLES</v>
          </cell>
          <cell r="H9503">
            <v>3220</v>
          </cell>
        </row>
        <row r="9504">
          <cell r="G9504" t="str">
            <v>36001BELIEVE IN PINK</v>
          </cell>
          <cell r="H9504">
            <v>1110</v>
          </cell>
        </row>
        <row r="9505">
          <cell r="G9505" t="str">
            <v>36001EXPLORER</v>
          </cell>
          <cell r="H9505">
            <v>3800</v>
          </cell>
        </row>
        <row r="9506">
          <cell r="G9506" t="str">
            <v>36001GRACE KELLY</v>
          </cell>
          <cell r="H9506">
            <v>1350</v>
          </cell>
        </row>
        <row r="9507">
          <cell r="G9507" t="str">
            <v>36001LIGHT HOUSE</v>
          </cell>
          <cell r="H9507">
            <v>2130</v>
          </cell>
        </row>
        <row r="9508">
          <cell r="G9508" t="str">
            <v>36001LUMIA</v>
          </cell>
          <cell r="H9508">
            <v>1140</v>
          </cell>
        </row>
        <row r="9509">
          <cell r="G9509" t="str">
            <v>36001MOMENTUM</v>
          </cell>
          <cell r="H9509">
            <v>2400</v>
          </cell>
        </row>
        <row r="9510">
          <cell r="G9510" t="str">
            <v>36002SUMMER ROMANCE</v>
          </cell>
          <cell r="H9510">
            <v>1450</v>
          </cell>
        </row>
        <row r="9511">
          <cell r="G9511" t="str">
            <v>36002SWEETNESS</v>
          </cell>
          <cell r="H9511">
            <v>4410</v>
          </cell>
        </row>
        <row r="9512">
          <cell r="G9512" t="str">
            <v>36003CABARET</v>
          </cell>
          <cell r="H9512">
            <v>5310</v>
          </cell>
        </row>
        <row r="9513">
          <cell r="G9513" t="str">
            <v>36003DEEP PURPLE</v>
          </cell>
          <cell r="H9513">
            <v>7320</v>
          </cell>
        </row>
        <row r="9514">
          <cell r="G9514" t="str">
            <v>36003EXPLORER</v>
          </cell>
          <cell r="H9514">
            <v>1675</v>
          </cell>
        </row>
        <row r="9515">
          <cell r="G9515" t="str">
            <v>36003JOCKER</v>
          </cell>
          <cell r="H9515">
            <v>525</v>
          </cell>
        </row>
        <row r="9516">
          <cell r="G9516" t="str">
            <v>36003QUICKSAND</v>
          </cell>
          <cell r="H9516">
            <v>1200</v>
          </cell>
        </row>
        <row r="9517">
          <cell r="G9517" t="str">
            <v>36004COTOPAXI</v>
          </cell>
          <cell r="H9517">
            <v>720</v>
          </cell>
        </row>
        <row r="9518">
          <cell r="G9518" t="str">
            <v>36004DEEP PURPLE</v>
          </cell>
          <cell r="H9518">
            <v>11040</v>
          </cell>
        </row>
        <row r="9519">
          <cell r="G9519" t="str">
            <v>36004HOT EXPLORER</v>
          </cell>
          <cell r="H9519">
            <v>3150</v>
          </cell>
        </row>
        <row r="9520">
          <cell r="G9520" t="str">
            <v>36004HOT MERENGUE</v>
          </cell>
          <cell r="H9520">
            <v>3690</v>
          </cell>
        </row>
        <row r="9521">
          <cell r="G9521" t="str">
            <v>36004SWEETNESS</v>
          </cell>
          <cell r="H9521">
            <v>480</v>
          </cell>
        </row>
        <row r="9522">
          <cell r="G9522" t="str">
            <v>36005EXPLORER</v>
          </cell>
          <cell r="H9522">
            <v>1375</v>
          </cell>
        </row>
        <row r="9523">
          <cell r="G9523" t="str">
            <v>36005GOLDFINCH</v>
          </cell>
          <cell r="H9523">
            <v>1200</v>
          </cell>
        </row>
        <row r="9524">
          <cell r="G9524" t="str">
            <v>36005JOCKER</v>
          </cell>
          <cell r="H9524">
            <v>1925</v>
          </cell>
        </row>
        <row r="9525">
          <cell r="G9525" t="str">
            <v>36005VENDELA</v>
          </cell>
          <cell r="H9525">
            <v>1200</v>
          </cell>
        </row>
        <row r="9526">
          <cell r="G9526" t="str">
            <v>36006EXPLORER</v>
          </cell>
          <cell r="H9526">
            <v>5300</v>
          </cell>
        </row>
        <row r="9527">
          <cell r="G9527" t="str">
            <v>36006MONDIAL</v>
          </cell>
          <cell r="H9527">
            <v>6475</v>
          </cell>
        </row>
        <row r="9528">
          <cell r="G9528" t="str">
            <v>36007COTOPAXI</v>
          </cell>
          <cell r="H9528">
            <v>4110</v>
          </cell>
        </row>
        <row r="9529">
          <cell r="G9529" t="str">
            <v>36007REDIANT</v>
          </cell>
          <cell r="H9529">
            <v>1650</v>
          </cell>
        </row>
        <row r="9530">
          <cell r="G9530" t="str">
            <v>36007SUMMER ROMANCE</v>
          </cell>
          <cell r="H9530">
            <v>875</v>
          </cell>
        </row>
        <row r="9531">
          <cell r="G9531" t="str">
            <v>36007VENDELA</v>
          </cell>
          <cell r="H9531">
            <v>9450</v>
          </cell>
        </row>
        <row r="9532">
          <cell r="G9532" t="str">
            <v>36008DEEP PURPLE</v>
          </cell>
          <cell r="H9532">
            <v>4050</v>
          </cell>
        </row>
        <row r="9533">
          <cell r="G9533" t="str">
            <v>36008FREEDOM</v>
          </cell>
          <cell r="H9533">
            <v>4740</v>
          </cell>
        </row>
        <row r="9534">
          <cell r="G9534" t="str">
            <v>36008JOCKER</v>
          </cell>
          <cell r="H9534">
            <v>3500</v>
          </cell>
        </row>
        <row r="9535">
          <cell r="G9535" t="str">
            <v>36008LUMIA</v>
          </cell>
          <cell r="H9535">
            <v>2400</v>
          </cell>
        </row>
        <row r="9536">
          <cell r="G9536" t="str">
            <v>36010COOLDOWN</v>
          </cell>
          <cell r="H9536">
            <v>3500</v>
          </cell>
        </row>
        <row r="9537">
          <cell r="G9537" t="str">
            <v>36010VIOLET HILL</v>
          </cell>
          <cell r="H9537">
            <v>3870</v>
          </cell>
        </row>
        <row r="9538">
          <cell r="G9538" t="str">
            <v>36011BRIGHTON</v>
          </cell>
          <cell r="H9538">
            <v>3350</v>
          </cell>
        </row>
        <row r="9539">
          <cell r="G9539" t="str">
            <v>36011CANDLELIGHT</v>
          </cell>
          <cell r="H9539">
            <v>5020</v>
          </cell>
        </row>
        <row r="9540">
          <cell r="G9540" t="str">
            <v>36011CAYENNE</v>
          </cell>
          <cell r="H9540">
            <v>1470</v>
          </cell>
        </row>
        <row r="9541">
          <cell r="G9541" t="str">
            <v>36011LUMIA</v>
          </cell>
          <cell r="H9541">
            <v>1680</v>
          </cell>
        </row>
        <row r="9542">
          <cell r="G9542" t="str">
            <v>36011STARDUST</v>
          </cell>
          <cell r="H9542">
            <v>2850</v>
          </cell>
        </row>
        <row r="9543">
          <cell r="G9543" t="str">
            <v>36012DEEP PURPLE</v>
          </cell>
          <cell r="H9543">
            <v>13770</v>
          </cell>
        </row>
        <row r="9544">
          <cell r="G9544" t="str">
            <v>36012LIGHT HOUSE</v>
          </cell>
          <cell r="H9544">
            <v>1170</v>
          </cell>
        </row>
        <row r="9545">
          <cell r="G9545" t="str">
            <v>36013COUNTRY BLUES</v>
          </cell>
          <cell r="H9545">
            <v>980</v>
          </cell>
        </row>
        <row r="9546">
          <cell r="G9546" t="str">
            <v>36013LORRAINE</v>
          </cell>
          <cell r="H9546">
            <v>1900</v>
          </cell>
        </row>
        <row r="9547">
          <cell r="G9547" t="str">
            <v>36013LUMIA</v>
          </cell>
          <cell r="H9547">
            <v>570</v>
          </cell>
        </row>
        <row r="9548">
          <cell r="G9548" t="str">
            <v>36013VENDELA</v>
          </cell>
          <cell r="H9548">
            <v>9960</v>
          </cell>
        </row>
        <row r="9549">
          <cell r="G9549" t="str">
            <v>36014STARDUST</v>
          </cell>
          <cell r="H9549">
            <v>3825</v>
          </cell>
        </row>
        <row r="9550">
          <cell r="G9550" t="str">
            <v>36015JOCKER</v>
          </cell>
          <cell r="H9550">
            <v>2925</v>
          </cell>
        </row>
        <row r="9551">
          <cell r="G9551" t="str">
            <v>36016DREAM IN PEACH</v>
          </cell>
          <cell r="H9551">
            <v>1230</v>
          </cell>
        </row>
        <row r="9552">
          <cell r="G9552" t="str">
            <v>36016NINA</v>
          </cell>
          <cell r="H9552">
            <v>2400</v>
          </cell>
        </row>
        <row r="9553">
          <cell r="G9553" t="str">
            <v>36017FREEDOM</v>
          </cell>
          <cell r="H9553">
            <v>6600</v>
          </cell>
        </row>
        <row r="9554">
          <cell r="G9554" t="str">
            <v>36017GOLDFINCH</v>
          </cell>
          <cell r="H9554">
            <v>1900</v>
          </cell>
        </row>
        <row r="9555">
          <cell r="G9555" t="str">
            <v>36018BRIGHTON</v>
          </cell>
          <cell r="H9555">
            <v>1375</v>
          </cell>
        </row>
        <row r="9556">
          <cell r="G9556" t="str">
            <v>36019BRIGHTON</v>
          </cell>
          <cell r="H9556">
            <v>5875</v>
          </cell>
        </row>
        <row r="9557">
          <cell r="G9557" t="str">
            <v>36019TABATHA</v>
          </cell>
          <cell r="H9557">
            <v>2340</v>
          </cell>
        </row>
        <row r="9558">
          <cell r="G9558" t="str">
            <v>36020BRIGHTON</v>
          </cell>
          <cell r="H9558">
            <v>3900</v>
          </cell>
        </row>
        <row r="9559">
          <cell r="G9559" t="str">
            <v>36020TYCOON</v>
          </cell>
          <cell r="H9559">
            <v>810</v>
          </cell>
        </row>
        <row r="9560">
          <cell r="G9560" t="str">
            <v>36021SHOW GIRL</v>
          </cell>
          <cell r="H9560">
            <v>1175</v>
          </cell>
        </row>
        <row r="9561">
          <cell r="G9561" t="str">
            <v>36022CORAL REEF</v>
          </cell>
          <cell r="H9561">
            <v>2000</v>
          </cell>
        </row>
        <row r="9562">
          <cell r="G9562" t="str">
            <v>36023COTOPAXI</v>
          </cell>
          <cell r="H9562">
            <v>4830</v>
          </cell>
        </row>
        <row r="9563">
          <cell r="G9563" t="str">
            <v>36023FRUTTETO</v>
          </cell>
          <cell r="H9563">
            <v>6630</v>
          </cell>
        </row>
        <row r="9564">
          <cell r="G9564" t="str">
            <v>36024COTOPAXI</v>
          </cell>
          <cell r="H9564">
            <v>2700</v>
          </cell>
        </row>
        <row r="9565">
          <cell r="G9565" t="str">
            <v>36024SWEETNESS</v>
          </cell>
          <cell r="H9565">
            <v>1680</v>
          </cell>
        </row>
        <row r="9566">
          <cell r="G9566" t="str">
            <v>36024TYCOON</v>
          </cell>
          <cell r="H9566">
            <v>3870</v>
          </cell>
        </row>
        <row r="9567">
          <cell r="G9567" t="str">
            <v>36025PINK MONDIAL</v>
          </cell>
          <cell r="H9567">
            <v>4875</v>
          </cell>
        </row>
        <row r="9568">
          <cell r="G9568" t="str">
            <v>36026LOLA</v>
          </cell>
          <cell r="H9568">
            <v>5925</v>
          </cell>
        </row>
        <row r="9569">
          <cell r="G9569" t="str">
            <v>36026PALOMA</v>
          </cell>
          <cell r="H9569">
            <v>4950</v>
          </cell>
        </row>
        <row r="9570">
          <cell r="G9570" t="str">
            <v>36027SATISFACTION</v>
          </cell>
          <cell r="H9570">
            <v>4920</v>
          </cell>
        </row>
        <row r="9571">
          <cell r="G9571" t="str">
            <v>36027TIFFANY</v>
          </cell>
          <cell r="H9571">
            <v>5520</v>
          </cell>
        </row>
        <row r="9572">
          <cell r="G9572" t="str">
            <v>36028COTOPAXI</v>
          </cell>
          <cell r="H9572">
            <v>3690</v>
          </cell>
        </row>
        <row r="9573">
          <cell r="G9573" t="str">
            <v>36028DEEP PURPLE</v>
          </cell>
          <cell r="H9573">
            <v>5400</v>
          </cell>
        </row>
        <row r="9574">
          <cell r="G9574" t="str">
            <v>36029PINK FLOYD</v>
          </cell>
          <cell r="H9574">
            <v>3275</v>
          </cell>
        </row>
        <row r="9575">
          <cell r="G9575" t="str">
            <v>36030EXPLORER</v>
          </cell>
          <cell r="H9575">
            <v>1550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2"/>
  <sheetViews>
    <sheetView tabSelected="1" workbookViewId="0">
      <selection activeCell="J2" sqref="J2"/>
    </sheetView>
  </sheetViews>
  <sheetFormatPr baseColWidth="10" defaultColWidth="9.140625"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228</v>
      </c>
      <c r="J1" s="2" t="s">
        <v>229</v>
      </c>
    </row>
    <row r="2" spans="1:10">
      <c r="A2">
        <v>2026</v>
      </c>
      <c r="B2">
        <v>33</v>
      </c>
      <c r="C2" t="s">
        <v>8</v>
      </c>
      <c r="D2" t="s">
        <v>9</v>
      </c>
      <c r="E2" t="s">
        <v>195</v>
      </c>
      <c r="F2" t="s">
        <v>10</v>
      </c>
      <c r="G2" t="str">
        <f>+B2&amp;E2&amp;F2</f>
        <v>33008LUMIA</v>
      </c>
      <c r="H2">
        <v>2591</v>
      </c>
      <c r="I2">
        <f>VLOOKUP(G2,[1]Hoja1!$G$9143:$H$9575,2,FALSE)</f>
        <v>2340</v>
      </c>
      <c r="J2">
        <f>+(I2-H2)/I2</f>
        <v>-0.10726495726495726</v>
      </c>
    </row>
    <row r="3" spans="1:10">
      <c r="A3">
        <v>2026</v>
      </c>
      <c r="B3">
        <v>34</v>
      </c>
      <c r="C3" t="s">
        <v>8</v>
      </c>
      <c r="D3" t="s">
        <v>9</v>
      </c>
      <c r="E3" t="s">
        <v>195</v>
      </c>
      <c r="F3" t="s">
        <v>10</v>
      </c>
      <c r="G3" t="str">
        <f t="shared" ref="G3:G66" si="0">+B3&amp;E3&amp;F3</f>
        <v>34008LUMIA</v>
      </c>
      <c r="H3">
        <v>1903</v>
      </c>
      <c r="I3">
        <f>VLOOKUP(G3,[1]Hoja1!$G$9143:$H$9575,2,FALSE)</f>
        <v>2400</v>
      </c>
      <c r="J3">
        <f t="shared" ref="J3:J66" si="1">+(I3-H3)/I3</f>
        <v>0.20708333333333334</v>
      </c>
    </row>
    <row r="4" spans="1:10">
      <c r="A4">
        <v>2026</v>
      </c>
      <c r="B4">
        <v>33</v>
      </c>
      <c r="C4" t="s">
        <v>12</v>
      </c>
      <c r="D4" t="s">
        <v>9</v>
      </c>
      <c r="E4" t="s">
        <v>196</v>
      </c>
      <c r="F4" t="s">
        <v>13</v>
      </c>
      <c r="G4" t="str">
        <f t="shared" si="0"/>
        <v>33021PISTACHIO KISS</v>
      </c>
      <c r="H4">
        <v>35</v>
      </c>
      <c r="I4">
        <f>VLOOKUP(G4,[1]Hoja1!$G$9143:$H$9575,2,FALSE)</f>
        <v>960</v>
      </c>
      <c r="J4">
        <f t="shared" si="1"/>
        <v>0.96354166666666663</v>
      </c>
    </row>
    <row r="5" spans="1:10">
      <c r="A5">
        <v>2026</v>
      </c>
      <c r="B5">
        <v>34</v>
      </c>
      <c r="C5" t="s">
        <v>12</v>
      </c>
      <c r="D5" t="s">
        <v>9</v>
      </c>
      <c r="E5" t="s">
        <v>196</v>
      </c>
      <c r="F5" t="s">
        <v>13</v>
      </c>
      <c r="G5" t="str">
        <f t="shared" si="0"/>
        <v>34021PISTACHIO KISS</v>
      </c>
      <c r="H5">
        <v>34</v>
      </c>
      <c r="I5">
        <f>VLOOKUP(G5,[1]Hoja1!$G$9143:$H$9575,2,FALSE)</f>
        <v>760</v>
      </c>
      <c r="J5">
        <f t="shared" si="1"/>
        <v>0.95526315789473681</v>
      </c>
    </row>
    <row r="6" spans="1:10">
      <c r="A6">
        <v>2026</v>
      </c>
      <c r="B6">
        <v>33</v>
      </c>
      <c r="C6" t="s">
        <v>12</v>
      </c>
      <c r="D6" t="s">
        <v>9</v>
      </c>
      <c r="E6" t="s">
        <v>197</v>
      </c>
      <c r="F6" t="s">
        <v>15</v>
      </c>
      <c r="G6" t="str">
        <f t="shared" si="0"/>
        <v>33002SOMERSET</v>
      </c>
      <c r="H6">
        <v>11453</v>
      </c>
      <c r="I6">
        <f>VLOOKUP(G6,[1]Hoja1!$G$9143:$H$9575,2,FALSE)</f>
        <v>8220</v>
      </c>
      <c r="J6">
        <f t="shared" si="1"/>
        <v>-0.39330900243309003</v>
      </c>
    </row>
    <row r="7" spans="1:10">
      <c r="A7">
        <v>2026</v>
      </c>
      <c r="B7">
        <v>33</v>
      </c>
      <c r="C7" t="s">
        <v>12</v>
      </c>
      <c r="D7" t="s">
        <v>9</v>
      </c>
      <c r="E7" t="s">
        <v>198</v>
      </c>
      <c r="F7" t="s">
        <v>17</v>
      </c>
      <c r="G7" t="str">
        <f t="shared" si="0"/>
        <v>33004BELLINA</v>
      </c>
      <c r="H7">
        <v>1192</v>
      </c>
      <c r="I7">
        <f>VLOOKUP(G7,[1]Hoja1!$G$9143:$H$9575,2,FALSE)</f>
        <v>1245</v>
      </c>
      <c r="J7">
        <f t="shared" si="1"/>
        <v>4.257028112449799E-2</v>
      </c>
    </row>
    <row r="8" spans="1:10">
      <c r="A8">
        <v>2026</v>
      </c>
      <c r="B8">
        <v>33</v>
      </c>
      <c r="C8" t="s">
        <v>12</v>
      </c>
      <c r="D8" t="s">
        <v>9</v>
      </c>
      <c r="E8" t="s">
        <v>199</v>
      </c>
      <c r="F8" t="s">
        <v>19</v>
      </c>
      <c r="G8" t="str">
        <f t="shared" si="0"/>
        <v>33005ELBA</v>
      </c>
      <c r="H8">
        <v>7629</v>
      </c>
      <c r="I8">
        <f>VLOOKUP(G8,[1]Hoja1!$G$9143:$H$9575,2,FALSE)</f>
        <v>6930</v>
      </c>
      <c r="J8">
        <f t="shared" si="1"/>
        <v>-0.10086580086580087</v>
      </c>
    </row>
    <row r="9" spans="1:10">
      <c r="A9">
        <v>2026</v>
      </c>
      <c r="B9">
        <v>33</v>
      </c>
      <c r="C9" t="s">
        <v>12</v>
      </c>
      <c r="D9" t="s">
        <v>9</v>
      </c>
      <c r="E9" t="s">
        <v>199</v>
      </c>
      <c r="F9" t="s">
        <v>21</v>
      </c>
      <c r="G9" t="str">
        <f t="shared" si="0"/>
        <v>33005HOT BUBBLES</v>
      </c>
      <c r="H9">
        <v>1315</v>
      </c>
      <c r="I9">
        <f>VLOOKUP(G9,[1]Hoja1!$G$9143:$H$9575,2,FALSE)</f>
        <v>960</v>
      </c>
      <c r="J9">
        <f t="shared" si="1"/>
        <v>-0.36979166666666669</v>
      </c>
    </row>
    <row r="10" spans="1:10">
      <c r="A10">
        <v>2026</v>
      </c>
      <c r="B10">
        <v>33</v>
      </c>
      <c r="C10" t="s">
        <v>12</v>
      </c>
      <c r="D10" t="s">
        <v>9</v>
      </c>
      <c r="E10" t="s">
        <v>199</v>
      </c>
      <c r="F10" t="s">
        <v>23</v>
      </c>
      <c r="G10" t="str">
        <f t="shared" si="0"/>
        <v>33005SUSPIRO</v>
      </c>
      <c r="H10">
        <v>3301</v>
      </c>
      <c r="I10">
        <f>VLOOKUP(G10,[1]Hoja1!$G$9143:$H$9575,2,FALSE)</f>
        <v>4590</v>
      </c>
      <c r="J10">
        <f t="shared" si="1"/>
        <v>0.28082788671023967</v>
      </c>
    </row>
    <row r="11" spans="1:10">
      <c r="A11">
        <v>2026</v>
      </c>
      <c r="B11">
        <v>33</v>
      </c>
      <c r="C11" t="s">
        <v>12</v>
      </c>
      <c r="D11" t="s">
        <v>9</v>
      </c>
      <c r="E11" t="s">
        <v>200</v>
      </c>
      <c r="F11" t="s">
        <v>25</v>
      </c>
      <c r="G11" t="str">
        <f t="shared" si="0"/>
        <v>33007SNOW BUBBLES</v>
      </c>
      <c r="H11">
        <v>1003</v>
      </c>
      <c r="I11" t="e">
        <f>VLOOKUP(G11,[1]Hoja1!$G$9143:$H$9575,2,FALSE)</f>
        <v>#N/A</v>
      </c>
      <c r="J11" t="e">
        <f t="shared" si="1"/>
        <v>#N/A</v>
      </c>
    </row>
    <row r="12" spans="1:10">
      <c r="A12">
        <v>2026</v>
      </c>
      <c r="B12">
        <v>33</v>
      </c>
      <c r="C12" t="s">
        <v>12</v>
      </c>
      <c r="D12" t="s">
        <v>9</v>
      </c>
      <c r="E12" t="s">
        <v>201</v>
      </c>
      <c r="F12" t="s">
        <v>21</v>
      </c>
      <c r="G12" t="str">
        <f t="shared" si="0"/>
        <v>33009HOT BUBBLES</v>
      </c>
      <c r="H12">
        <v>13432</v>
      </c>
      <c r="I12">
        <f>VLOOKUP(G12,[1]Hoja1!$G$9143:$H$9575,2,FALSE)</f>
        <v>6260</v>
      </c>
      <c r="J12">
        <f t="shared" si="1"/>
        <v>-1.1456869009584665</v>
      </c>
    </row>
    <row r="13" spans="1:10">
      <c r="A13">
        <v>2026</v>
      </c>
      <c r="B13">
        <v>33</v>
      </c>
      <c r="C13" t="s">
        <v>12</v>
      </c>
      <c r="D13" t="s">
        <v>9</v>
      </c>
      <c r="E13" t="s">
        <v>202</v>
      </c>
      <c r="F13" t="s">
        <v>28</v>
      </c>
      <c r="G13" t="str">
        <f t="shared" si="0"/>
        <v>33014FRUITY BUBBLES</v>
      </c>
      <c r="H13">
        <v>3629</v>
      </c>
      <c r="I13">
        <f>VLOOKUP(G13,[1]Hoja1!$G$9143:$H$9575,2,FALSE)</f>
        <v>2075</v>
      </c>
      <c r="J13">
        <f t="shared" si="1"/>
        <v>-0.74891566265060239</v>
      </c>
    </row>
    <row r="14" spans="1:10">
      <c r="A14">
        <v>2026</v>
      </c>
      <c r="B14">
        <v>33</v>
      </c>
      <c r="C14" t="s">
        <v>12</v>
      </c>
      <c r="D14" t="s">
        <v>9</v>
      </c>
      <c r="E14" t="s">
        <v>203</v>
      </c>
      <c r="F14" t="s">
        <v>30</v>
      </c>
      <c r="G14" t="str">
        <f t="shared" si="0"/>
        <v>33015FELLINI</v>
      </c>
      <c r="H14">
        <v>5406</v>
      </c>
      <c r="I14">
        <f>VLOOKUP(G14,[1]Hoja1!$G$9143:$H$9575,2,FALSE)</f>
        <v>6200</v>
      </c>
      <c r="J14">
        <f t="shared" si="1"/>
        <v>0.12806451612903225</v>
      </c>
    </row>
    <row r="15" spans="1:10">
      <c r="A15">
        <v>2026</v>
      </c>
      <c r="B15">
        <v>33</v>
      </c>
      <c r="C15" t="s">
        <v>12</v>
      </c>
      <c r="D15" t="s">
        <v>9</v>
      </c>
      <c r="E15" t="s">
        <v>204</v>
      </c>
      <c r="F15" t="s">
        <v>32</v>
      </c>
      <c r="G15" t="str">
        <f t="shared" si="0"/>
        <v>33016GOOD PEACH</v>
      </c>
      <c r="H15">
        <v>2834</v>
      </c>
      <c r="I15">
        <f>VLOOKUP(G15,[1]Hoja1!$G$9143:$H$9575,2,FALSE)</f>
        <v>3000</v>
      </c>
      <c r="J15">
        <f t="shared" si="1"/>
        <v>5.5333333333333332E-2</v>
      </c>
    </row>
    <row r="16" spans="1:10">
      <c r="A16">
        <v>2026</v>
      </c>
      <c r="B16">
        <v>33</v>
      </c>
      <c r="C16" t="s">
        <v>12</v>
      </c>
      <c r="D16" t="s">
        <v>9</v>
      </c>
      <c r="E16" t="s">
        <v>204</v>
      </c>
      <c r="F16" t="s">
        <v>34</v>
      </c>
      <c r="G16" t="str">
        <f t="shared" si="0"/>
        <v>33016GOOD YELLOW</v>
      </c>
      <c r="H16">
        <v>2969</v>
      </c>
      <c r="I16">
        <f>VLOOKUP(G16,[1]Hoja1!$G$9143:$H$9575,2,FALSE)</f>
        <v>4020</v>
      </c>
      <c r="J16">
        <f t="shared" si="1"/>
        <v>0.26144278606965177</v>
      </c>
    </row>
    <row r="17" spans="1:10">
      <c r="A17">
        <v>2026</v>
      </c>
      <c r="B17">
        <v>33</v>
      </c>
      <c r="C17" t="s">
        <v>12</v>
      </c>
      <c r="D17" t="s">
        <v>9</v>
      </c>
      <c r="E17" t="s">
        <v>205</v>
      </c>
      <c r="F17" t="s">
        <v>36</v>
      </c>
      <c r="G17" t="str">
        <f t="shared" si="0"/>
        <v>33017ORANGE STAR</v>
      </c>
      <c r="H17">
        <v>1633</v>
      </c>
      <c r="I17">
        <f>VLOOKUP(G17,[1]Hoja1!$G$9143:$H$9575,2,FALSE)</f>
        <v>875</v>
      </c>
      <c r="J17">
        <f t="shared" si="1"/>
        <v>-0.86628571428571433</v>
      </c>
    </row>
    <row r="18" spans="1:10">
      <c r="A18">
        <v>2026</v>
      </c>
      <c r="B18">
        <v>33</v>
      </c>
      <c r="C18" t="s">
        <v>12</v>
      </c>
      <c r="D18" t="s">
        <v>9</v>
      </c>
      <c r="E18" t="s">
        <v>206</v>
      </c>
      <c r="F18" t="s">
        <v>38</v>
      </c>
      <c r="G18" t="str">
        <f t="shared" si="0"/>
        <v>33018COSMO</v>
      </c>
      <c r="H18">
        <v>4897</v>
      </c>
      <c r="I18">
        <f>VLOOKUP(G18,[1]Hoja1!$G$9143:$H$9575,2,FALSE)</f>
        <v>3275</v>
      </c>
      <c r="J18">
        <f t="shared" si="1"/>
        <v>-0.49526717557251909</v>
      </c>
    </row>
    <row r="19" spans="1:10">
      <c r="A19">
        <v>2026</v>
      </c>
      <c r="B19">
        <v>33</v>
      </c>
      <c r="C19" t="s">
        <v>12</v>
      </c>
      <c r="D19" t="s">
        <v>9</v>
      </c>
      <c r="E19" t="s">
        <v>206</v>
      </c>
      <c r="F19" t="s">
        <v>40</v>
      </c>
      <c r="G19" t="str">
        <f t="shared" si="0"/>
        <v>33018RUBICON</v>
      </c>
      <c r="H19">
        <v>4043</v>
      </c>
      <c r="I19">
        <f>VLOOKUP(G19,[1]Hoja1!$G$9143:$H$9575,2,FALSE)</f>
        <v>3090</v>
      </c>
      <c r="J19">
        <f t="shared" si="1"/>
        <v>-0.30841423948220065</v>
      </c>
    </row>
    <row r="20" spans="1:10">
      <c r="A20">
        <v>2026</v>
      </c>
      <c r="B20">
        <v>33</v>
      </c>
      <c r="C20" t="s">
        <v>12</v>
      </c>
      <c r="D20" t="s">
        <v>9</v>
      </c>
      <c r="E20" t="s">
        <v>207</v>
      </c>
      <c r="F20" t="s">
        <v>17</v>
      </c>
      <c r="G20" t="str">
        <f t="shared" si="0"/>
        <v>33019BELLINA</v>
      </c>
      <c r="H20">
        <v>1343</v>
      </c>
      <c r="I20">
        <f>VLOOKUP(G20,[1]Hoja1!$G$9143:$H$9575,2,FALSE)</f>
        <v>1755</v>
      </c>
      <c r="J20">
        <f t="shared" si="1"/>
        <v>0.23475783475783477</v>
      </c>
    </row>
    <row r="21" spans="1:10">
      <c r="A21">
        <v>2026</v>
      </c>
      <c r="B21">
        <v>33</v>
      </c>
      <c r="C21" t="s">
        <v>12</v>
      </c>
      <c r="D21" t="s">
        <v>9</v>
      </c>
      <c r="E21" t="s">
        <v>208</v>
      </c>
      <c r="F21" t="s">
        <v>43</v>
      </c>
      <c r="G21" t="str">
        <f t="shared" si="0"/>
        <v>33020SUMMER DANCE</v>
      </c>
      <c r="H21">
        <v>2659</v>
      </c>
      <c r="I21">
        <f>VLOOKUP(G21,[1]Hoja1!$G$9143:$H$9575,2,FALSE)</f>
        <v>2475</v>
      </c>
      <c r="J21">
        <f t="shared" si="1"/>
        <v>-7.434343434343435E-2</v>
      </c>
    </row>
    <row r="22" spans="1:10">
      <c r="A22">
        <v>2026</v>
      </c>
      <c r="B22">
        <v>33</v>
      </c>
      <c r="C22" t="s">
        <v>12</v>
      </c>
      <c r="D22" t="s">
        <v>9</v>
      </c>
      <c r="E22" t="s">
        <v>196</v>
      </c>
      <c r="F22" t="s">
        <v>45</v>
      </c>
      <c r="G22" t="str">
        <f t="shared" si="0"/>
        <v>33021ELEGANT ROSEVER</v>
      </c>
      <c r="H22">
        <v>525</v>
      </c>
      <c r="I22">
        <f>VLOOKUP(G22,[1]Hoja1!$G$9143:$H$9575,2,FALSE)</f>
        <v>600</v>
      </c>
      <c r="J22">
        <f t="shared" si="1"/>
        <v>0.125</v>
      </c>
    </row>
    <row r="23" spans="1:10">
      <c r="A23">
        <v>2026</v>
      </c>
      <c r="B23">
        <v>33</v>
      </c>
      <c r="C23" t="s">
        <v>12</v>
      </c>
      <c r="D23" t="s">
        <v>9</v>
      </c>
      <c r="E23" t="s">
        <v>196</v>
      </c>
      <c r="F23" t="s">
        <v>47</v>
      </c>
      <c r="G23" t="str">
        <f t="shared" si="0"/>
        <v>33021FLAME CLUB</v>
      </c>
      <c r="H23">
        <v>1394</v>
      </c>
      <c r="I23">
        <f>VLOOKUP(G23,[1]Hoja1!$G$9143:$H$9575,2,FALSE)</f>
        <v>1275</v>
      </c>
      <c r="J23">
        <f t="shared" si="1"/>
        <v>-9.3333333333333338E-2</v>
      </c>
    </row>
    <row r="24" spans="1:10">
      <c r="A24">
        <v>2026</v>
      </c>
      <c r="B24">
        <v>33</v>
      </c>
      <c r="C24" t="s">
        <v>12</v>
      </c>
      <c r="D24" t="s">
        <v>9</v>
      </c>
      <c r="E24" t="s">
        <v>196</v>
      </c>
      <c r="F24" t="s">
        <v>49</v>
      </c>
      <c r="G24" t="str">
        <f t="shared" si="0"/>
        <v>33021KELLY</v>
      </c>
      <c r="H24">
        <v>554</v>
      </c>
      <c r="I24">
        <f>VLOOKUP(G24,[1]Hoja1!$G$9143:$H$9575,2,FALSE)</f>
        <v>625</v>
      </c>
      <c r="J24">
        <f t="shared" si="1"/>
        <v>0.11360000000000001</v>
      </c>
    </row>
    <row r="25" spans="1:10">
      <c r="A25">
        <v>2026</v>
      </c>
      <c r="B25">
        <v>33</v>
      </c>
      <c r="C25" t="s">
        <v>12</v>
      </c>
      <c r="D25" t="s">
        <v>9</v>
      </c>
      <c r="E25" t="s">
        <v>196</v>
      </c>
      <c r="F25" t="s">
        <v>51</v>
      </c>
      <c r="G25" t="str">
        <f t="shared" si="0"/>
        <v>33021LEILA</v>
      </c>
      <c r="H25">
        <v>2303</v>
      </c>
      <c r="I25">
        <f>VLOOKUP(G25,[1]Hoja1!$G$9143:$H$9575,2,FALSE)</f>
        <v>1500</v>
      </c>
      <c r="J25">
        <f t="shared" si="1"/>
        <v>-0.53533333333333333</v>
      </c>
    </row>
    <row r="26" spans="1:10">
      <c r="A26">
        <v>2026</v>
      </c>
      <c r="B26">
        <v>33</v>
      </c>
      <c r="C26" t="s">
        <v>12</v>
      </c>
      <c r="D26" t="s">
        <v>9</v>
      </c>
      <c r="E26" t="s">
        <v>196</v>
      </c>
      <c r="F26" t="s">
        <v>25</v>
      </c>
      <c r="G26" t="str">
        <f t="shared" si="0"/>
        <v>33021SNOW BUBBLES</v>
      </c>
      <c r="H26">
        <v>3154</v>
      </c>
      <c r="I26">
        <f>VLOOKUP(G26,[1]Hoja1!$G$9143:$H$9575,2,FALSE)</f>
        <v>3040</v>
      </c>
      <c r="J26">
        <f t="shared" si="1"/>
        <v>-3.7499999999999999E-2</v>
      </c>
    </row>
    <row r="27" spans="1:10">
      <c r="A27">
        <v>2026</v>
      </c>
      <c r="B27">
        <v>33</v>
      </c>
      <c r="C27" t="s">
        <v>12</v>
      </c>
      <c r="D27" t="s">
        <v>9</v>
      </c>
      <c r="E27" t="s">
        <v>209</v>
      </c>
      <c r="F27" t="s">
        <v>28</v>
      </c>
      <c r="G27" t="str">
        <f t="shared" si="0"/>
        <v>33022FRUITY BUBBLES</v>
      </c>
      <c r="H27">
        <v>4836</v>
      </c>
      <c r="I27">
        <f>VLOOKUP(G27,[1]Hoja1!$G$9143:$H$9575,2,FALSE)</f>
        <v>4700</v>
      </c>
      <c r="J27">
        <f t="shared" si="1"/>
        <v>-2.8936170212765958E-2</v>
      </c>
    </row>
    <row r="28" spans="1:10">
      <c r="A28">
        <v>2026</v>
      </c>
      <c r="B28">
        <v>33</v>
      </c>
      <c r="C28" t="s">
        <v>12</v>
      </c>
      <c r="D28" t="s">
        <v>9</v>
      </c>
      <c r="E28" t="s">
        <v>209</v>
      </c>
      <c r="F28" t="s">
        <v>32</v>
      </c>
      <c r="G28" t="str">
        <f t="shared" si="0"/>
        <v>33022GOOD PEACH</v>
      </c>
      <c r="H28">
        <v>1891</v>
      </c>
      <c r="I28">
        <f>VLOOKUP(G28,[1]Hoja1!$G$9143:$H$9575,2,FALSE)</f>
        <v>2460</v>
      </c>
      <c r="J28">
        <f t="shared" si="1"/>
        <v>0.23130081300813007</v>
      </c>
    </row>
    <row r="29" spans="1:10">
      <c r="A29">
        <v>2026</v>
      </c>
      <c r="B29">
        <v>33</v>
      </c>
      <c r="C29" t="s">
        <v>12</v>
      </c>
      <c r="D29" t="s">
        <v>9</v>
      </c>
      <c r="E29" t="s">
        <v>209</v>
      </c>
      <c r="F29" t="s">
        <v>56</v>
      </c>
      <c r="G29" t="str">
        <f t="shared" si="0"/>
        <v>33022MIRABEL</v>
      </c>
      <c r="H29">
        <v>1414</v>
      </c>
      <c r="I29">
        <f>VLOOKUP(G29,[1]Hoja1!$G$9143:$H$9575,2,FALSE)</f>
        <v>1520</v>
      </c>
      <c r="J29">
        <f t="shared" si="1"/>
        <v>6.9736842105263153E-2</v>
      </c>
    </row>
    <row r="30" spans="1:10">
      <c r="A30">
        <v>2026</v>
      </c>
      <c r="B30">
        <v>33</v>
      </c>
      <c r="C30" t="s">
        <v>12</v>
      </c>
      <c r="D30" t="s">
        <v>9</v>
      </c>
      <c r="E30" t="s">
        <v>210</v>
      </c>
      <c r="F30" t="s">
        <v>58</v>
      </c>
      <c r="G30" t="str">
        <f t="shared" si="0"/>
        <v>33026PURPLE BUBBLY</v>
      </c>
      <c r="H30">
        <v>398</v>
      </c>
      <c r="I30" t="e">
        <f>VLOOKUP(G30,[1]Hoja1!$G$9143:$H$9575,2,FALSE)</f>
        <v>#N/A</v>
      </c>
      <c r="J30" t="e">
        <f t="shared" si="1"/>
        <v>#N/A</v>
      </c>
    </row>
    <row r="31" spans="1:10">
      <c r="A31">
        <v>2026</v>
      </c>
      <c r="B31">
        <v>33</v>
      </c>
      <c r="C31" t="s">
        <v>12</v>
      </c>
      <c r="D31" t="s">
        <v>9</v>
      </c>
      <c r="E31" t="s">
        <v>211</v>
      </c>
      <c r="F31" t="s">
        <v>56</v>
      </c>
      <c r="G31" t="str">
        <f t="shared" si="0"/>
        <v>33030MIRABEL</v>
      </c>
      <c r="H31">
        <v>4678</v>
      </c>
      <c r="I31">
        <f>VLOOKUP(G31,[1]Hoja1!$G$9143:$H$9575,2,FALSE)</f>
        <v>2660</v>
      </c>
      <c r="J31">
        <f t="shared" si="1"/>
        <v>-0.75864661654135335</v>
      </c>
    </row>
    <row r="32" spans="1:10">
      <c r="A32">
        <v>2026</v>
      </c>
      <c r="B32">
        <v>33</v>
      </c>
      <c r="C32" t="s">
        <v>12</v>
      </c>
      <c r="D32" t="s">
        <v>9</v>
      </c>
      <c r="E32" t="s">
        <v>211</v>
      </c>
      <c r="F32" t="s">
        <v>15</v>
      </c>
      <c r="G32" t="str">
        <f t="shared" si="0"/>
        <v>33030SOMERSET</v>
      </c>
      <c r="H32">
        <v>3897</v>
      </c>
      <c r="I32">
        <f>VLOOKUP(G32,[1]Hoja1!$G$9143:$H$9575,2,FALSE)</f>
        <v>2780</v>
      </c>
      <c r="J32">
        <f t="shared" si="1"/>
        <v>-0.40179856115107915</v>
      </c>
    </row>
    <row r="33" spans="1:10">
      <c r="A33">
        <v>2026</v>
      </c>
      <c r="B33">
        <v>33</v>
      </c>
      <c r="C33" t="s">
        <v>12</v>
      </c>
      <c r="D33" t="s">
        <v>9</v>
      </c>
      <c r="E33" t="s">
        <v>212</v>
      </c>
      <c r="F33" t="s">
        <v>62</v>
      </c>
      <c r="G33" t="str">
        <f t="shared" si="0"/>
        <v>3303182989</v>
      </c>
      <c r="H33">
        <v>1532</v>
      </c>
      <c r="I33">
        <f>VLOOKUP(G33,[1]Hoja1!$G$9143:$H$9575,2,FALSE)</f>
        <v>600</v>
      </c>
      <c r="J33">
        <f t="shared" si="1"/>
        <v>-1.5533333333333332</v>
      </c>
    </row>
    <row r="34" spans="1:10">
      <c r="A34">
        <v>2026</v>
      </c>
      <c r="B34">
        <v>33</v>
      </c>
      <c r="C34" t="s">
        <v>12</v>
      </c>
      <c r="D34" t="s">
        <v>9</v>
      </c>
      <c r="E34" t="s">
        <v>212</v>
      </c>
      <c r="F34" t="s">
        <v>40</v>
      </c>
      <c r="G34" t="str">
        <f t="shared" si="0"/>
        <v>33031RUBICON</v>
      </c>
      <c r="H34">
        <v>2033</v>
      </c>
      <c r="I34">
        <f>VLOOKUP(G34,[1]Hoja1!$G$9143:$H$9575,2,FALSE)</f>
        <v>1680</v>
      </c>
      <c r="J34">
        <f t="shared" si="1"/>
        <v>-0.21011904761904762</v>
      </c>
    </row>
    <row r="35" spans="1:10">
      <c r="A35">
        <v>2026</v>
      </c>
      <c r="B35">
        <v>33</v>
      </c>
      <c r="C35" t="s">
        <v>12</v>
      </c>
      <c r="D35" t="s">
        <v>9</v>
      </c>
      <c r="E35" t="s">
        <v>212</v>
      </c>
      <c r="F35" t="s">
        <v>15</v>
      </c>
      <c r="G35" t="str">
        <f t="shared" si="0"/>
        <v>33031SOMERSET</v>
      </c>
      <c r="H35">
        <v>2569</v>
      </c>
      <c r="I35">
        <f>VLOOKUP(G35,[1]Hoja1!$G$9143:$H$9575,2,FALSE)</f>
        <v>2540</v>
      </c>
      <c r="J35">
        <f t="shared" si="1"/>
        <v>-1.1417322834645669E-2</v>
      </c>
    </row>
    <row r="36" spans="1:10">
      <c r="A36">
        <v>2026</v>
      </c>
      <c r="B36">
        <v>33</v>
      </c>
      <c r="C36" t="s">
        <v>12</v>
      </c>
      <c r="D36" t="s">
        <v>9</v>
      </c>
      <c r="E36" t="s">
        <v>212</v>
      </c>
      <c r="F36" t="s">
        <v>66</v>
      </c>
      <c r="G36" t="str">
        <f t="shared" si="0"/>
        <v>33031VELVET BLOSSOMS</v>
      </c>
      <c r="H36">
        <v>246</v>
      </c>
      <c r="I36">
        <f>VLOOKUP(G36,[1]Hoja1!$G$9143:$H$9575,2,FALSE)</f>
        <v>620</v>
      </c>
      <c r="J36">
        <f t="shared" si="1"/>
        <v>0.60322580645161294</v>
      </c>
    </row>
    <row r="37" spans="1:10">
      <c r="A37">
        <v>2026</v>
      </c>
      <c r="B37">
        <v>33</v>
      </c>
      <c r="C37" t="s">
        <v>12</v>
      </c>
      <c r="D37" t="s">
        <v>9</v>
      </c>
      <c r="E37" t="s">
        <v>213</v>
      </c>
      <c r="F37" t="s">
        <v>19</v>
      </c>
      <c r="G37" t="str">
        <f t="shared" si="0"/>
        <v>33032ELBA</v>
      </c>
      <c r="H37">
        <v>3525</v>
      </c>
      <c r="I37">
        <f>VLOOKUP(G37,[1]Hoja1!$G$9143:$H$9575,2,FALSE)</f>
        <v>2160</v>
      </c>
      <c r="J37">
        <f t="shared" si="1"/>
        <v>-0.63194444444444442</v>
      </c>
    </row>
    <row r="38" spans="1:10">
      <c r="A38">
        <v>2026</v>
      </c>
      <c r="B38">
        <v>33</v>
      </c>
      <c r="C38" t="s">
        <v>12</v>
      </c>
      <c r="D38" t="s">
        <v>9</v>
      </c>
      <c r="E38" t="s">
        <v>213</v>
      </c>
      <c r="F38" t="s">
        <v>56</v>
      </c>
      <c r="G38" t="str">
        <f t="shared" si="0"/>
        <v>33032MIRABEL</v>
      </c>
      <c r="H38">
        <v>2000</v>
      </c>
      <c r="I38">
        <f>VLOOKUP(G38,[1]Hoja1!$G$9143:$H$9575,2,FALSE)</f>
        <v>1160</v>
      </c>
      <c r="J38">
        <f t="shared" si="1"/>
        <v>-0.72413793103448276</v>
      </c>
    </row>
    <row r="39" spans="1:10">
      <c r="A39">
        <v>2026</v>
      </c>
      <c r="B39">
        <v>33</v>
      </c>
      <c r="C39" t="s">
        <v>12</v>
      </c>
      <c r="D39" t="s">
        <v>9</v>
      </c>
      <c r="E39" t="s">
        <v>214</v>
      </c>
      <c r="F39" t="s">
        <v>70</v>
      </c>
      <c r="G39" t="str">
        <f t="shared" si="0"/>
        <v>33033CREAMY FOLIES</v>
      </c>
      <c r="H39">
        <v>1084</v>
      </c>
      <c r="I39">
        <f>VLOOKUP(G39,[1]Hoja1!$G$9143:$H$9575,2,FALSE)</f>
        <v>1230</v>
      </c>
      <c r="J39">
        <f t="shared" si="1"/>
        <v>0.11869918699186992</v>
      </c>
    </row>
    <row r="40" spans="1:10">
      <c r="A40">
        <v>2026</v>
      </c>
      <c r="B40">
        <v>33</v>
      </c>
      <c r="C40" t="s">
        <v>12</v>
      </c>
      <c r="D40" t="s">
        <v>9</v>
      </c>
      <c r="E40" t="s">
        <v>214</v>
      </c>
      <c r="F40" t="s">
        <v>21</v>
      </c>
      <c r="G40" t="str">
        <f t="shared" si="0"/>
        <v>33033HOT BUBBLES</v>
      </c>
      <c r="H40">
        <v>2805</v>
      </c>
      <c r="I40">
        <f>VLOOKUP(G40,[1]Hoja1!$G$9143:$H$9575,2,FALSE)</f>
        <v>4320</v>
      </c>
      <c r="J40">
        <f t="shared" si="1"/>
        <v>0.35069444444444442</v>
      </c>
    </row>
    <row r="41" spans="1:10">
      <c r="A41">
        <v>2026</v>
      </c>
      <c r="B41">
        <v>33</v>
      </c>
      <c r="C41" t="s">
        <v>8</v>
      </c>
      <c r="D41" t="s">
        <v>9</v>
      </c>
      <c r="E41" t="s">
        <v>215</v>
      </c>
      <c r="F41" t="s">
        <v>73</v>
      </c>
      <c r="G41" t="str">
        <f t="shared" si="0"/>
        <v>33001BELIEVE IN PINK</v>
      </c>
      <c r="H41">
        <v>1018</v>
      </c>
      <c r="I41">
        <f>VLOOKUP(G41,[1]Hoja1!$G$9143:$H$9575,2,FALSE)</f>
        <v>1140</v>
      </c>
      <c r="J41">
        <f t="shared" si="1"/>
        <v>0.10701754385964912</v>
      </c>
    </row>
    <row r="42" spans="1:10">
      <c r="A42">
        <v>2026</v>
      </c>
      <c r="B42">
        <v>33</v>
      </c>
      <c r="C42" t="s">
        <v>8</v>
      </c>
      <c r="D42" t="s">
        <v>9</v>
      </c>
      <c r="E42" t="s">
        <v>215</v>
      </c>
      <c r="F42" t="s">
        <v>75</v>
      </c>
      <c r="G42" t="str">
        <f t="shared" si="0"/>
        <v>33001EXPLORER</v>
      </c>
      <c r="H42">
        <v>3599</v>
      </c>
      <c r="I42">
        <f>VLOOKUP(G42,[1]Hoja1!$G$9143:$H$9575,2,FALSE)</f>
        <v>5125</v>
      </c>
      <c r="J42">
        <f t="shared" si="1"/>
        <v>0.2977560975609756</v>
      </c>
    </row>
    <row r="43" spans="1:10">
      <c r="A43">
        <v>2026</v>
      </c>
      <c r="B43">
        <v>33</v>
      </c>
      <c r="C43" t="s">
        <v>8</v>
      </c>
      <c r="D43" t="s">
        <v>9</v>
      </c>
      <c r="E43" t="s">
        <v>215</v>
      </c>
      <c r="F43" t="s">
        <v>77</v>
      </c>
      <c r="G43" t="str">
        <f t="shared" si="0"/>
        <v>33001GRACE KELLY</v>
      </c>
      <c r="H43">
        <v>1424</v>
      </c>
      <c r="I43">
        <f>VLOOKUP(G43,[1]Hoja1!$G$9143:$H$9575,2,FALSE)</f>
        <v>1710</v>
      </c>
      <c r="J43">
        <f t="shared" si="1"/>
        <v>0.1672514619883041</v>
      </c>
    </row>
    <row r="44" spans="1:10">
      <c r="A44">
        <v>2026</v>
      </c>
      <c r="B44">
        <v>33</v>
      </c>
      <c r="C44" t="s">
        <v>8</v>
      </c>
      <c r="D44" t="s">
        <v>9</v>
      </c>
      <c r="E44" t="s">
        <v>215</v>
      </c>
      <c r="F44" t="s">
        <v>79</v>
      </c>
      <c r="G44" t="str">
        <f t="shared" si="0"/>
        <v>33001IDOLE</v>
      </c>
      <c r="H44">
        <v>1202</v>
      </c>
      <c r="I44" t="e">
        <f>VLOOKUP(G44,[1]Hoja1!$G$9143:$H$9575,2,FALSE)</f>
        <v>#N/A</v>
      </c>
      <c r="J44" t="e">
        <f t="shared" si="1"/>
        <v>#N/A</v>
      </c>
    </row>
    <row r="45" spans="1:10">
      <c r="A45">
        <v>2026</v>
      </c>
      <c r="B45">
        <v>33</v>
      </c>
      <c r="C45" t="s">
        <v>8</v>
      </c>
      <c r="D45" t="s">
        <v>9</v>
      </c>
      <c r="E45" t="s">
        <v>215</v>
      </c>
      <c r="F45" t="s">
        <v>81</v>
      </c>
      <c r="G45" t="str">
        <f t="shared" si="0"/>
        <v>33001LIGHT HOUSE</v>
      </c>
      <c r="H45">
        <v>1882</v>
      </c>
      <c r="I45">
        <f>VLOOKUP(G45,[1]Hoja1!$G$9143:$H$9575,2,FALSE)</f>
        <v>2040</v>
      </c>
      <c r="J45">
        <f t="shared" si="1"/>
        <v>7.7450980392156865E-2</v>
      </c>
    </row>
    <row r="46" spans="1:10">
      <c r="A46">
        <v>2026</v>
      </c>
      <c r="B46">
        <v>33</v>
      </c>
      <c r="C46" t="s">
        <v>8</v>
      </c>
      <c r="D46" t="s">
        <v>9</v>
      </c>
      <c r="E46" t="s">
        <v>215</v>
      </c>
      <c r="F46" t="s">
        <v>10</v>
      </c>
      <c r="G46" t="str">
        <f t="shared" si="0"/>
        <v>33001LUMIA</v>
      </c>
      <c r="H46">
        <v>1615</v>
      </c>
      <c r="I46">
        <f>VLOOKUP(G46,[1]Hoja1!$G$9143:$H$9575,2,FALSE)</f>
        <v>1680</v>
      </c>
      <c r="J46">
        <f t="shared" si="1"/>
        <v>3.8690476190476192E-2</v>
      </c>
    </row>
    <row r="47" spans="1:10">
      <c r="A47">
        <v>2026</v>
      </c>
      <c r="B47">
        <v>33</v>
      </c>
      <c r="C47" t="s">
        <v>8</v>
      </c>
      <c r="D47" t="s">
        <v>9</v>
      </c>
      <c r="E47" t="s">
        <v>215</v>
      </c>
      <c r="F47" t="s">
        <v>84</v>
      </c>
      <c r="G47" t="str">
        <f t="shared" si="0"/>
        <v>33001MOMENTUM</v>
      </c>
      <c r="H47">
        <v>3593</v>
      </c>
      <c r="I47">
        <f>VLOOKUP(G47,[1]Hoja1!$G$9143:$H$9575,2,FALSE)</f>
        <v>3600</v>
      </c>
      <c r="J47">
        <f t="shared" si="1"/>
        <v>1.9444444444444444E-3</v>
      </c>
    </row>
    <row r="48" spans="1:10">
      <c r="A48">
        <v>2026</v>
      </c>
      <c r="B48">
        <v>33</v>
      </c>
      <c r="C48" t="s">
        <v>8</v>
      </c>
      <c r="D48" t="s">
        <v>9</v>
      </c>
      <c r="E48" t="s">
        <v>197</v>
      </c>
      <c r="F48" t="s">
        <v>86</v>
      </c>
      <c r="G48" t="str">
        <f t="shared" si="0"/>
        <v>33002SUMMER ROMANCE</v>
      </c>
      <c r="H48">
        <v>1359</v>
      </c>
      <c r="I48">
        <f>VLOOKUP(G48,[1]Hoja1!$G$9143:$H$9575,2,FALSE)</f>
        <v>1600</v>
      </c>
      <c r="J48">
        <f t="shared" si="1"/>
        <v>0.15062500000000001</v>
      </c>
    </row>
    <row r="49" spans="1:10">
      <c r="A49">
        <v>2026</v>
      </c>
      <c r="B49">
        <v>33</v>
      </c>
      <c r="C49" t="s">
        <v>8</v>
      </c>
      <c r="D49" t="s">
        <v>9</v>
      </c>
      <c r="E49" t="s">
        <v>197</v>
      </c>
      <c r="F49" t="s">
        <v>88</v>
      </c>
      <c r="G49" t="str">
        <f t="shared" si="0"/>
        <v>33002SWEETNESS</v>
      </c>
      <c r="H49">
        <v>5214</v>
      </c>
      <c r="I49">
        <f>VLOOKUP(G49,[1]Hoja1!$G$9143:$H$9575,2,FALSE)</f>
        <v>5280</v>
      </c>
      <c r="J49">
        <f t="shared" si="1"/>
        <v>1.2500000000000001E-2</v>
      </c>
    </row>
    <row r="50" spans="1:10">
      <c r="A50">
        <v>2026</v>
      </c>
      <c r="B50">
        <v>33</v>
      </c>
      <c r="C50" t="s">
        <v>8</v>
      </c>
      <c r="D50" t="s">
        <v>9</v>
      </c>
      <c r="E50" t="s">
        <v>216</v>
      </c>
      <c r="F50" t="s">
        <v>90</v>
      </c>
      <c r="G50" t="str">
        <f t="shared" si="0"/>
        <v>33003CABARET</v>
      </c>
      <c r="H50">
        <v>4331</v>
      </c>
      <c r="I50">
        <f>VLOOKUP(G50,[1]Hoja1!$G$9143:$H$9575,2,FALSE)</f>
        <v>3660</v>
      </c>
      <c r="J50">
        <f t="shared" si="1"/>
        <v>-0.18333333333333332</v>
      </c>
    </row>
    <row r="51" spans="1:10">
      <c r="A51">
        <v>2026</v>
      </c>
      <c r="B51">
        <v>33</v>
      </c>
      <c r="C51" t="s">
        <v>8</v>
      </c>
      <c r="D51" t="s">
        <v>9</v>
      </c>
      <c r="E51" t="s">
        <v>216</v>
      </c>
      <c r="F51" t="s">
        <v>92</v>
      </c>
      <c r="G51" t="str">
        <f t="shared" si="0"/>
        <v>33003DEEP PURPLE</v>
      </c>
      <c r="H51">
        <v>10212</v>
      </c>
      <c r="I51">
        <f>VLOOKUP(G51,[1]Hoja1!$G$9143:$H$9575,2,FALSE)</f>
        <v>8220</v>
      </c>
      <c r="J51">
        <f t="shared" si="1"/>
        <v>-0.24233576642335766</v>
      </c>
    </row>
    <row r="52" spans="1:10">
      <c r="A52">
        <v>2026</v>
      </c>
      <c r="B52">
        <v>33</v>
      </c>
      <c r="C52" t="s">
        <v>8</v>
      </c>
      <c r="D52" t="s">
        <v>9</v>
      </c>
      <c r="E52" t="s">
        <v>216</v>
      </c>
      <c r="F52" t="s">
        <v>75</v>
      </c>
      <c r="G52" t="str">
        <f t="shared" si="0"/>
        <v>33003EXPLORER</v>
      </c>
      <c r="H52">
        <v>1734</v>
      </c>
      <c r="I52">
        <f>VLOOKUP(G52,[1]Hoja1!$G$9143:$H$9575,2,FALSE)</f>
        <v>1625</v>
      </c>
      <c r="J52">
        <f t="shared" si="1"/>
        <v>-6.7076923076923076E-2</v>
      </c>
    </row>
    <row r="53" spans="1:10">
      <c r="A53">
        <v>2026</v>
      </c>
      <c r="B53">
        <v>33</v>
      </c>
      <c r="C53" t="s">
        <v>8</v>
      </c>
      <c r="D53" t="s">
        <v>9</v>
      </c>
      <c r="E53" t="s">
        <v>216</v>
      </c>
      <c r="F53" t="s">
        <v>95</v>
      </c>
      <c r="G53" t="str">
        <f t="shared" si="0"/>
        <v>33003JOCKER</v>
      </c>
      <c r="H53">
        <v>642</v>
      </c>
      <c r="I53">
        <f>VLOOKUP(G53,[1]Hoja1!$G$9143:$H$9575,2,FALSE)</f>
        <v>1075</v>
      </c>
      <c r="J53">
        <f t="shared" si="1"/>
        <v>0.40279069767441861</v>
      </c>
    </row>
    <row r="54" spans="1:10">
      <c r="A54">
        <v>2026</v>
      </c>
      <c r="B54">
        <v>33</v>
      </c>
      <c r="C54" t="s">
        <v>8</v>
      </c>
      <c r="D54" t="s">
        <v>9</v>
      </c>
      <c r="E54" t="s">
        <v>216</v>
      </c>
      <c r="F54" t="s">
        <v>97</v>
      </c>
      <c r="G54" t="str">
        <f t="shared" si="0"/>
        <v>33003QUICKSAND</v>
      </c>
      <c r="H54">
        <v>1285</v>
      </c>
      <c r="I54">
        <f>VLOOKUP(G54,[1]Hoja1!$G$9143:$H$9575,2,FALSE)</f>
        <v>1980</v>
      </c>
      <c r="J54">
        <f t="shared" si="1"/>
        <v>0.35101010101010099</v>
      </c>
    </row>
    <row r="55" spans="1:10">
      <c r="A55">
        <v>2026</v>
      </c>
      <c r="B55">
        <v>33</v>
      </c>
      <c r="C55" t="s">
        <v>8</v>
      </c>
      <c r="D55" t="s">
        <v>9</v>
      </c>
      <c r="E55" t="s">
        <v>198</v>
      </c>
      <c r="F55" t="s">
        <v>99</v>
      </c>
      <c r="G55" t="str">
        <f t="shared" si="0"/>
        <v>33004COTOPAXI</v>
      </c>
      <c r="H55">
        <v>741</v>
      </c>
      <c r="I55">
        <f>VLOOKUP(G55,[1]Hoja1!$G$9143:$H$9575,2,FALSE)</f>
        <v>900</v>
      </c>
      <c r="J55">
        <f t="shared" si="1"/>
        <v>0.17666666666666667</v>
      </c>
    </row>
    <row r="56" spans="1:10">
      <c r="A56">
        <v>2026</v>
      </c>
      <c r="B56">
        <v>33</v>
      </c>
      <c r="C56" t="s">
        <v>8</v>
      </c>
      <c r="D56" t="s">
        <v>9</v>
      </c>
      <c r="E56" t="s">
        <v>198</v>
      </c>
      <c r="F56" t="s">
        <v>92</v>
      </c>
      <c r="G56" t="str">
        <f t="shared" si="0"/>
        <v>33004DEEP PURPLE</v>
      </c>
      <c r="H56">
        <v>10418</v>
      </c>
      <c r="I56">
        <f>VLOOKUP(G56,[1]Hoja1!$G$9143:$H$9575,2,FALSE)</f>
        <v>6030</v>
      </c>
      <c r="J56">
        <f t="shared" si="1"/>
        <v>-0.72769485903814257</v>
      </c>
    </row>
    <row r="57" spans="1:10">
      <c r="A57">
        <v>2026</v>
      </c>
      <c r="B57">
        <v>33</v>
      </c>
      <c r="C57" t="s">
        <v>8</v>
      </c>
      <c r="D57" t="s">
        <v>9</v>
      </c>
      <c r="E57" t="s">
        <v>198</v>
      </c>
      <c r="F57" t="s">
        <v>102</v>
      </c>
      <c r="G57" t="str">
        <f t="shared" si="0"/>
        <v>33004HOT EXPLORER</v>
      </c>
      <c r="H57">
        <v>2238</v>
      </c>
      <c r="I57">
        <f>VLOOKUP(G57,[1]Hoja1!$G$9143:$H$9575,2,FALSE)</f>
        <v>1550</v>
      </c>
      <c r="J57">
        <f t="shared" si="1"/>
        <v>-0.44387096774193546</v>
      </c>
    </row>
    <row r="58" spans="1:10">
      <c r="A58">
        <v>2026</v>
      </c>
      <c r="B58">
        <v>33</v>
      </c>
      <c r="C58" t="s">
        <v>8</v>
      </c>
      <c r="D58" t="s">
        <v>9</v>
      </c>
      <c r="E58" t="s">
        <v>198</v>
      </c>
      <c r="F58" t="s">
        <v>104</v>
      </c>
      <c r="G58" t="str">
        <f t="shared" si="0"/>
        <v>33004HOT MERENGUE</v>
      </c>
      <c r="H58">
        <v>2853</v>
      </c>
      <c r="I58">
        <f>VLOOKUP(G58,[1]Hoja1!$G$9143:$H$9575,2,FALSE)</f>
        <v>3120</v>
      </c>
      <c r="J58">
        <f t="shared" si="1"/>
        <v>8.5576923076923078E-2</v>
      </c>
    </row>
    <row r="59" spans="1:10">
      <c r="A59">
        <v>2026</v>
      </c>
      <c r="B59">
        <v>33</v>
      </c>
      <c r="C59" t="s">
        <v>8</v>
      </c>
      <c r="D59" t="s">
        <v>9</v>
      </c>
      <c r="E59" t="s">
        <v>198</v>
      </c>
      <c r="F59" t="s">
        <v>88</v>
      </c>
      <c r="G59" t="str">
        <f t="shared" si="0"/>
        <v>33004SWEETNESS</v>
      </c>
      <c r="H59">
        <v>607</v>
      </c>
      <c r="I59">
        <f>VLOOKUP(G59,[1]Hoja1!$G$9143:$H$9575,2,FALSE)</f>
        <v>510</v>
      </c>
      <c r="J59">
        <f t="shared" si="1"/>
        <v>-0.19019607843137254</v>
      </c>
    </row>
    <row r="60" spans="1:10">
      <c r="A60">
        <v>2026</v>
      </c>
      <c r="B60">
        <v>33</v>
      </c>
      <c r="C60" t="s">
        <v>8</v>
      </c>
      <c r="D60" t="s">
        <v>9</v>
      </c>
      <c r="E60" t="s">
        <v>199</v>
      </c>
      <c r="F60" t="s">
        <v>75</v>
      </c>
      <c r="G60" t="str">
        <f t="shared" si="0"/>
        <v>33005EXPLORER</v>
      </c>
      <c r="H60">
        <v>1098</v>
      </c>
      <c r="I60">
        <f>VLOOKUP(G60,[1]Hoja1!$G$9143:$H$9575,2,FALSE)</f>
        <v>1650</v>
      </c>
      <c r="J60">
        <f t="shared" si="1"/>
        <v>0.33454545454545453</v>
      </c>
    </row>
    <row r="61" spans="1:10">
      <c r="A61">
        <v>2026</v>
      </c>
      <c r="B61">
        <v>33</v>
      </c>
      <c r="C61" t="s">
        <v>8</v>
      </c>
      <c r="D61" t="s">
        <v>9</v>
      </c>
      <c r="E61" t="s">
        <v>199</v>
      </c>
      <c r="F61" t="s">
        <v>108</v>
      </c>
      <c r="G61" t="str">
        <f t="shared" si="0"/>
        <v>33005GOLDFINCH</v>
      </c>
      <c r="H61">
        <v>872</v>
      </c>
      <c r="I61">
        <f>VLOOKUP(G61,[1]Hoja1!$G$9143:$H$9575,2,FALSE)</f>
        <v>825</v>
      </c>
      <c r="J61">
        <f t="shared" si="1"/>
        <v>-5.6969696969696969E-2</v>
      </c>
    </row>
    <row r="62" spans="1:10">
      <c r="A62">
        <v>2026</v>
      </c>
      <c r="B62">
        <v>33</v>
      </c>
      <c r="C62" t="s">
        <v>8</v>
      </c>
      <c r="D62" t="s">
        <v>9</v>
      </c>
      <c r="E62" t="s">
        <v>199</v>
      </c>
      <c r="F62" t="s">
        <v>95</v>
      </c>
      <c r="G62" t="str">
        <f t="shared" si="0"/>
        <v>33005JOCKER</v>
      </c>
      <c r="H62">
        <v>1614</v>
      </c>
      <c r="I62">
        <f>VLOOKUP(G62,[1]Hoja1!$G$9143:$H$9575,2,FALSE)</f>
        <v>2425</v>
      </c>
      <c r="J62">
        <f t="shared" si="1"/>
        <v>0.33443298969072166</v>
      </c>
    </row>
    <row r="63" spans="1:10">
      <c r="A63">
        <v>2026</v>
      </c>
      <c r="B63">
        <v>33</v>
      </c>
      <c r="C63" t="s">
        <v>8</v>
      </c>
      <c r="D63" t="s">
        <v>9</v>
      </c>
      <c r="E63" t="s">
        <v>199</v>
      </c>
      <c r="F63" t="s">
        <v>111</v>
      </c>
      <c r="G63" t="str">
        <f t="shared" si="0"/>
        <v>33005VENDELA</v>
      </c>
      <c r="H63">
        <v>2065</v>
      </c>
      <c r="I63">
        <f>VLOOKUP(G63,[1]Hoja1!$G$9143:$H$9575,2,FALSE)</f>
        <v>1590</v>
      </c>
      <c r="J63">
        <f t="shared" si="1"/>
        <v>-0.29874213836477986</v>
      </c>
    </row>
    <row r="64" spans="1:10">
      <c r="A64">
        <v>2026</v>
      </c>
      <c r="B64">
        <v>33</v>
      </c>
      <c r="C64" t="s">
        <v>8</v>
      </c>
      <c r="D64" t="s">
        <v>9</v>
      </c>
      <c r="E64" t="s">
        <v>217</v>
      </c>
      <c r="F64" t="s">
        <v>113</v>
      </c>
      <c r="G64" t="str">
        <f t="shared" si="0"/>
        <v>33006ATOMIC</v>
      </c>
      <c r="H64">
        <v>810</v>
      </c>
      <c r="I64" t="e">
        <f>VLOOKUP(G64,[1]Hoja1!$G$9143:$H$9575,2,FALSE)</f>
        <v>#N/A</v>
      </c>
      <c r="J64" t="e">
        <f t="shared" si="1"/>
        <v>#N/A</v>
      </c>
    </row>
    <row r="65" spans="1:10">
      <c r="A65">
        <v>2026</v>
      </c>
      <c r="B65">
        <v>33</v>
      </c>
      <c r="C65" t="s">
        <v>8</v>
      </c>
      <c r="D65" t="s">
        <v>9</v>
      </c>
      <c r="E65" t="s">
        <v>217</v>
      </c>
      <c r="F65" t="s">
        <v>75</v>
      </c>
      <c r="G65" t="str">
        <f t="shared" si="0"/>
        <v>33006EXPLORER</v>
      </c>
      <c r="H65">
        <v>4508</v>
      </c>
      <c r="I65">
        <f>VLOOKUP(G65,[1]Hoja1!$G$9143:$H$9575,2,FALSE)</f>
        <v>6775</v>
      </c>
      <c r="J65">
        <f t="shared" si="1"/>
        <v>0.33461254612546126</v>
      </c>
    </row>
    <row r="66" spans="1:10">
      <c r="A66">
        <v>2026</v>
      </c>
      <c r="B66">
        <v>33</v>
      </c>
      <c r="C66" t="s">
        <v>8</v>
      </c>
      <c r="D66" t="s">
        <v>9</v>
      </c>
      <c r="E66" t="s">
        <v>217</v>
      </c>
      <c r="F66" t="s">
        <v>116</v>
      </c>
      <c r="G66" t="str">
        <f t="shared" si="0"/>
        <v>33006MONDIAL</v>
      </c>
      <c r="H66">
        <v>4961</v>
      </c>
      <c r="I66">
        <f>VLOOKUP(G66,[1]Hoja1!$G$9143:$H$9575,2,FALSE)</f>
        <v>6250</v>
      </c>
      <c r="J66">
        <f t="shared" si="1"/>
        <v>0.20624000000000001</v>
      </c>
    </row>
    <row r="67" spans="1:10">
      <c r="A67">
        <v>2026</v>
      </c>
      <c r="B67">
        <v>33</v>
      </c>
      <c r="C67" t="s">
        <v>8</v>
      </c>
      <c r="D67" t="s">
        <v>9</v>
      </c>
      <c r="E67" t="s">
        <v>200</v>
      </c>
      <c r="F67" t="s">
        <v>99</v>
      </c>
      <c r="G67" t="str">
        <f t="shared" ref="G67:G130" si="2">+B67&amp;E67&amp;F67</f>
        <v>33007COTOPAXI</v>
      </c>
      <c r="H67">
        <v>4347</v>
      </c>
      <c r="I67">
        <f>VLOOKUP(G67,[1]Hoja1!$G$9143:$H$9575,2,FALSE)</f>
        <v>3870</v>
      </c>
      <c r="J67">
        <f t="shared" ref="J67:J130" si="3">+(I67-H67)/I67</f>
        <v>-0.12325581395348838</v>
      </c>
    </row>
    <row r="68" spans="1:10">
      <c r="A68">
        <v>2026</v>
      </c>
      <c r="B68">
        <v>33</v>
      </c>
      <c r="C68" t="s">
        <v>8</v>
      </c>
      <c r="D68" t="s">
        <v>9</v>
      </c>
      <c r="E68" t="s">
        <v>200</v>
      </c>
      <c r="F68" t="s">
        <v>119</v>
      </c>
      <c r="G68" t="str">
        <f t="shared" si="2"/>
        <v>33007REDIANT</v>
      </c>
      <c r="H68">
        <v>1195</v>
      </c>
      <c r="I68">
        <f>VLOOKUP(G68,[1]Hoja1!$G$9143:$H$9575,2,FALSE)</f>
        <v>1320</v>
      </c>
      <c r="J68">
        <f t="shared" si="3"/>
        <v>9.4696969696969696E-2</v>
      </c>
    </row>
    <row r="69" spans="1:10">
      <c r="A69">
        <v>2026</v>
      </c>
      <c r="B69">
        <v>33</v>
      </c>
      <c r="C69" t="s">
        <v>8</v>
      </c>
      <c r="D69" t="s">
        <v>9</v>
      </c>
      <c r="E69" t="s">
        <v>200</v>
      </c>
      <c r="F69" t="s">
        <v>86</v>
      </c>
      <c r="G69" t="str">
        <f t="shared" si="2"/>
        <v>33007SUMMER ROMANCE</v>
      </c>
      <c r="H69">
        <v>195</v>
      </c>
      <c r="I69">
        <f>VLOOKUP(G69,[1]Hoja1!$G$9143:$H$9575,2,FALSE)</f>
        <v>1000</v>
      </c>
      <c r="J69">
        <f t="shared" si="3"/>
        <v>0.80500000000000005</v>
      </c>
    </row>
    <row r="70" spans="1:10">
      <c r="A70">
        <v>2026</v>
      </c>
      <c r="B70">
        <v>33</v>
      </c>
      <c r="C70" t="s">
        <v>8</v>
      </c>
      <c r="D70" t="s">
        <v>9</v>
      </c>
      <c r="E70" t="s">
        <v>200</v>
      </c>
      <c r="F70" t="s">
        <v>111</v>
      </c>
      <c r="G70" t="str">
        <f t="shared" si="2"/>
        <v>33007VENDELA</v>
      </c>
      <c r="H70">
        <v>10807</v>
      </c>
      <c r="I70">
        <f>VLOOKUP(G70,[1]Hoja1!$G$9143:$H$9575,2,FALSE)</f>
        <v>8190</v>
      </c>
      <c r="J70">
        <f t="shared" si="3"/>
        <v>-0.31953601953601951</v>
      </c>
    </row>
    <row r="71" spans="1:10">
      <c r="A71">
        <v>2026</v>
      </c>
      <c r="B71">
        <v>33</v>
      </c>
      <c r="C71" t="s">
        <v>8</v>
      </c>
      <c r="D71" t="s">
        <v>9</v>
      </c>
      <c r="E71" t="s">
        <v>195</v>
      </c>
      <c r="F71" t="s">
        <v>92</v>
      </c>
      <c r="G71" t="str">
        <f t="shared" si="2"/>
        <v>33008DEEP PURPLE</v>
      </c>
      <c r="H71">
        <v>4425</v>
      </c>
      <c r="I71">
        <f>VLOOKUP(G71,[1]Hoja1!$G$9143:$H$9575,2,FALSE)</f>
        <v>3570</v>
      </c>
      <c r="J71">
        <f t="shared" si="3"/>
        <v>-0.23949579831932774</v>
      </c>
    </row>
    <row r="72" spans="1:10">
      <c r="A72">
        <v>2026</v>
      </c>
      <c r="B72">
        <v>33</v>
      </c>
      <c r="C72" t="s">
        <v>8</v>
      </c>
      <c r="D72" t="s">
        <v>9</v>
      </c>
      <c r="E72" t="s">
        <v>195</v>
      </c>
      <c r="F72" t="s">
        <v>124</v>
      </c>
      <c r="G72" t="str">
        <f t="shared" si="2"/>
        <v>33008FREEDOM</v>
      </c>
      <c r="H72">
        <v>3975</v>
      </c>
      <c r="I72">
        <f>VLOOKUP(G72,[1]Hoja1!$G$9143:$H$9575,2,FALSE)</f>
        <v>3870</v>
      </c>
      <c r="J72">
        <f t="shared" si="3"/>
        <v>-2.7131782945736434E-2</v>
      </c>
    </row>
    <row r="73" spans="1:10">
      <c r="A73">
        <v>2026</v>
      </c>
      <c r="B73">
        <v>33</v>
      </c>
      <c r="C73" t="s">
        <v>8</v>
      </c>
      <c r="D73" t="s">
        <v>9</v>
      </c>
      <c r="E73" t="s">
        <v>195</v>
      </c>
      <c r="F73" t="s">
        <v>95</v>
      </c>
      <c r="G73" t="str">
        <f t="shared" si="2"/>
        <v>33008JOCKER</v>
      </c>
      <c r="H73">
        <v>3770</v>
      </c>
      <c r="I73">
        <f>VLOOKUP(G73,[1]Hoja1!$G$9143:$H$9575,2,FALSE)</f>
        <v>5600</v>
      </c>
      <c r="J73">
        <f t="shared" si="3"/>
        <v>0.32678571428571429</v>
      </c>
    </row>
    <row r="74" spans="1:10">
      <c r="A74">
        <v>2026</v>
      </c>
      <c r="B74">
        <v>33</v>
      </c>
      <c r="C74" t="s">
        <v>8</v>
      </c>
      <c r="D74" t="s">
        <v>9</v>
      </c>
      <c r="E74" t="s">
        <v>218</v>
      </c>
      <c r="F74" t="s">
        <v>127</v>
      </c>
      <c r="G74" t="str">
        <f t="shared" si="2"/>
        <v>33010COOLDOWN</v>
      </c>
      <c r="H74">
        <v>1871</v>
      </c>
      <c r="I74">
        <f>VLOOKUP(G74,[1]Hoja1!$G$9143:$H$9575,2,FALSE)</f>
        <v>3075</v>
      </c>
      <c r="J74">
        <f t="shared" si="3"/>
        <v>0.39154471544715447</v>
      </c>
    </row>
    <row r="75" spans="1:10">
      <c r="A75">
        <v>2026</v>
      </c>
      <c r="B75">
        <v>33</v>
      </c>
      <c r="C75" t="s">
        <v>8</v>
      </c>
      <c r="D75" t="s">
        <v>9</v>
      </c>
      <c r="E75" t="s">
        <v>218</v>
      </c>
      <c r="F75" t="s">
        <v>129</v>
      </c>
      <c r="G75" t="str">
        <f t="shared" si="2"/>
        <v>33010VIOLET HILL</v>
      </c>
      <c r="H75">
        <v>3272</v>
      </c>
      <c r="I75">
        <f>VLOOKUP(G75,[1]Hoja1!$G$9143:$H$9575,2,FALSE)</f>
        <v>5730</v>
      </c>
      <c r="J75">
        <f t="shared" si="3"/>
        <v>0.42897033158813264</v>
      </c>
    </row>
    <row r="76" spans="1:10">
      <c r="A76">
        <v>2026</v>
      </c>
      <c r="B76">
        <v>33</v>
      </c>
      <c r="C76" t="s">
        <v>8</v>
      </c>
      <c r="D76" t="s">
        <v>9</v>
      </c>
      <c r="E76" t="s">
        <v>219</v>
      </c>
      <c r="F76" t="s">
        <v>131</v>
      </c>
      <c r="G76" t="str">
        <f t="shared" si="2"/>
        <v>33011BRIGHTON</v>
      </c>
      <c r="H76">
        <v>3127</v>
      </c>
      <c r="I76">
        <f>VLOOKUP(G76,[1]Hoja1!$G$9143:$H$9575,2,FALSE)</f>
        <v>2475</v>
      </c>
      <c r="J76">
        <f t="shared" si="3"/>
        <v>-0.26343434343434341</v>
      </c>
    </row>
    <row r="77" spans="1:10">
      <c r="A77">
        <v>2026</v>
      </c>
      <c r="B77">
        <v>33</v>
      </c>
      <c r="C77" t="s">
        <v>8</v>
      </c>
      <c r="D77" t="s">
        <v>9</v>
      </c>
      <c r="E77" t="s">
        <v>219</v>
      </c>
      <c r="F77" t="s">
        <v>133</v>
      </c>
      <c r="G77" t="str">
        <f t="shared" si="2"/>
        <v>33011CANDLELIGHT</v>
      </c>
      <c r="H77">
        <v>3835</v>
      </c>
      <c r="I77">
        <f>VLOOKUP(G77,[1]Hoja1!$G$9143:$H$9575,2,FALSE)</f>
        <v>3380</v>
      </c>
      <c r="J77">
        <f t="shared" si="3"/>
        <v>-0.13461538461538461</v>
      </c>
    </row>
    <row r="78" spans="1:10">
      <c r="A78">
        <v>2026</v>
      </c>
      <c r="B78">
        <v>33</v>
      </c>
      <c r="C78" t="s">
        <v>8</v>
      </c>
      <c r="D78" t="s">
        <v>9</v>
      </c>
      <c r="E78" t="s">
        <v>219</v>
      </c>
      <c r="F78" t="s">
        <v>135</v>
      </c>
      <c r="G78" t="str">
        <f t="shared" si="2"/>
        <v>33011CAYENNE</v>
      </c>
      <c r="H78">
        <v>1490</v>
      </c>
      <c r="I78">
        <f>VLOOKUP(G78,[1]Hoja1!$G$9143:$H$9575,2,FALSE)</f>
        <v>1170</v>
      </c>
      <c r="J78">
        <f t="shared" si="3"/>
        <v>-0.27350427350427353</v>
      </c>
    </row>
    <row r="79" spans="1:10">
      <c r="A79">
        <v>2026</v>
      </c>
      <c r="B79">
        <v>33</v>
      </c>
      <c r="C79" t="s">
        <v>8</v>
      </c>
      <c r="D79" t="s">
        <v>9</v>
      </c>
      <c r="E79" t="s">
        <v>219</v>
      </c>
      <c r="F79" t="s">
        <v>10</v>
      </c>
      <c r="G79" t="str">
        <f t="shared" si="2"/>
        <v>33011LUMIA</v>
      </c>
      <c r="H79">
        <v>1371</v>
      </c>
      <c r="I79">
        <f>VLOOKUP(G79,[1]Hoja1!$G$9143:$H$9575,2,FALSE)</f>
        <v>1590</v>
      </c>
      <c r="J79">
        <f t="shared" si="3"/>
        <v>0.13773584905660377</v>
      </c>
    </row>
    <row r="80" spans="1:10">
      <c r="A80">
        <v>2026</v>
      </c>
      <c r="B80">
        <v>33</v>
      </c>
      <c r="C80" t="s">
        <v>8</v>
      </c>
      <c r="D80" t="s">
        <v>9</v>
      </c>
      <c r="E80" t="s">
        <v>219</v>
      </c>
      <c r="F80" t="s">
        <v>138</v>
      </c>
      <c r="G80" t="str">
        <f t="shared" si="2"/>
        <v>33011STARDUST</v>
      </c>
      <c r="H80">
        <v>2790</v>
      </c>
      <c r="I80">
        <f>VLOOKUP(G80,[1]Hoja1!$G$9143:$H$9575,2,FALSE)</f>
        <v>2275</v>
      </c>
      <c r="J80">
        <f t="shared" si="3"/>
        <v>-0.22637362637362637</v>
      </c>
    </row>
    <row r="81" spans="1:10">
      <c r="A81">
        <v>2026</v>
      </c>
      <c r="B81">
        <v>33</v>
      </c>
      <c r="C81" t="s">
        <v>8</v>
      </c>
      <c r="D81" t="s">
        <v>9</v>
      </c>
      <c r="E81" t="s">
        <v>220</v>
      </c>
      <c r="F81" t="s">
        <v>92</v>
      </c>
      <c r="G81" t="str">
        <f t="shared" si="2"/>
        <v>33012DEEP PURPLE</v>
      </c>
      <c r="H81">
        <v>16743</v>
      </c>
      <c r="I81">
        <f>VLOOKUP(G81,[1]Hoja1!$G$9143:$H$9575,2,FALSE)</f>
        <v>12570</v>
      </c>
      <c r="J81">
        <f t="shared" si="3"/>
        <v>-0.33198090692124105</v>
      </c>
    </row>
    <row r="82" spans="1:10">
      <c r="A82">
        <v>2026</v>
      </c>
      <c r="B82">
        <v>33</v>
      </c>
      <c r="C82" t="s">
        <v>8</v>
      </c>
      <c r="D82" t="s">
        <v>9</v>
      </c>
      <c r="E82" t="s">
        <v>220</v>
      </c>
      <c r="F82" t="s">
        <v>81</v>
      </c>
      <c r="G82" t="str">
        <f t="shared" si="2"/>
        <v>33012LIGHT HOUSE</v>
      </c>
      <c r="H82">
        <v>1519</v>
      </c>
      <c r="I82">
        <f>VLOOKUP(G82,[1]Hoja1!$G$9143:$H$9575,2,FALSE)</f>
        <v>840</v>
      </c>
      <c r="J82">
        <f t="shared" si="3"/>
        <v>-0.80833333333333335</v>
      </c>
    </row>
    <row r="83" spans="1:10">
      <c r="A83">
        <v>2026</v>
      </c>
      <c r="B83">
        <v>33</v>
      </c>
      <c r="C83" t="s">
        <v>8</v>
      </c>
      <c r="D83" t="s">
        <v>9</v>
      </c>
      <c r="E83" t="s">
        <v>221</v>
      </c>
      <c r="F83" t="s">
        <v>142</v>
      </c>
      <c r="G83" t="str">
        <f t="shared" si="2"/>
        <v>33013COUNTRY BLUES</v>
      </c>
      <c r="H83">
        <v>1232</v>
      </c>
      <c r="I83">
        <f>VLOOKUP(G83,[1]Hoja1!$G$9143:$H$9575,2,FALSE)</f>
        <v>720</v>
      </c>
      <c r="J83">
        <f t="shared" si="3"/>
        <v>-0.71111111111111114</v>
      </c>
    </row>
    <row r="84" spans="1:10">
      <c r="A84">
        <v>2026</v>
      </c>
      <c r="B84">
        <v>33</v>
      </c>
      <c r="C84" t="s">
        <v>8</v>
      </c>
      <c r="D84" t="s">
        <v>9</v>
      </c>
      <c r="E84" t="s">
        <v>221</v>
      </c>
      <c r="F84" t="s">
        <v>144</v>
      </c>
      <c r="G84" t="str">
        <f t="shared" si="2"/>
        <v>33013LORRAINE</v>
      </c>
      <c r="H84">
        <v>3213</v>
      </c>
      <c r="I84">
        <f>VLOOKUP(G84,[1]Hoja1!$G$9143:$H$9575,2,FALSE)</f>
        <v>2325</v>
      </c>
      <c r="J84">
        <f t="shared" si="3"/>
        <v>-0.38193548387096776</v>
      </c>
    </row>
    <row r="85" spans="1:10">
      <c r="A85">
        <v>2026</v>
      </c>
      <c r="B85">
        <v>33</v>
      </c>
      <c r="C85" t="s">
        <v>8</v>
      </c>
      <c r="D85" t="s">
        <v>9</v>
      </c>
      <c r="E85" t="s">
        <v>221</v>
      </c>
      <c r="F85" t="s">
        <v>10</v>
      </c>
      <c r="G85" t="str">
        <f t="shared" si="2"/>
        <v>33013LUMIA</v>
      </c>
      <c r="H85">
        <v>444</v>
      </c>
      <c r="I85">
        <f>VLOOKUP(G85,[1]Hoja1!$G$9143:$H$9575,2,FALSE)</f>
        <v>480</v>
      </c>
      <c r="J85">
        <f t="shared" si="3"/>
        <v>7.4999999999999997E-2</v>
      </c>
    </row>
    <row r="86" spans="1:10">
      <c r="A86">
        <v>2026</v>
      </c>
      <c r="B86">
        <v>33</v>
      </c>
      <c r="C86" t="s">
        <v>8</v>
      </c>
      <c r="D86" t="s">
        <v>9</v>
      </c>
      <c r="E86" t="s">
        <v>221</v>
      </c>
      <c r="F86" t="s">
        <v>111</v>
      </c>
      <c r="G86" t="str">
        <f t="shared" si="2"/>
        <v>33013VENDELA</v>
      </c>
      <c r="H86">
        <v>8569</v>
      </c>
      <c r="I86">
        <f>VLOOKUP(G86,[1]Hoja1!$G$9143:$H$9575,2,FALSE)</f>
        <v>6090</v>
      </c>
      <c r="J86">
        <f t="shared" si="3"/>
        <v>-0.4070607553366174</v>
      </c>
    </row>
    <row r="87" spans="1:10">
      <c r="A87">
        <v>2026</v>
      </c>
      <c r="B87">
        <v>33</v>
      </c>
      <c r="C87" t="s">
        <v>8</v>
      </c>
      <c r="D87" t="s">
        <v>9</v>
      </c>
      <c r="E87" t="s">
        <v>202</v>
      </c>
      <c r="F87" t="s">
        <v>138</v>
      </c>
      <c r="G87" t="str">
        <f t="shared" si="2"/>
        <v>33014STARDUST</v>
      </c>
      <c r="H87">
        <v>3750</v>
      </c>
      <c r="I87">
        <f>VLOOKUP(G87,[1]Hoja1!$G$9143:$H$9575,2,FALSE)</f>
        <v>4650</v>
      </c>
      <c r="J87">
        <f t="shared" si="3"/>
        <v>0.19354838709677419</v>
      </c>
    </row>
    <row r="88" spans="1:10">
      <c r="A88">
        <v>2026</v>
      </c>
      <c r="B88">
        <v>33</v>
      </c>
      <c r="C88" t="s">
        <v>8</v>
      </c>
      <c r="D88" t="s">
        <v>9</v>
      </c>
      <c r="E88" t="s">
        <v>203</v>
      </c>
      <c r="F88" t="s">
        <v>95</v>
      </c>
      <c r="G88" t="str">
        <f t="shared" si="2"/>
        <v>33015JOCKER</v>
      </c>
      <c r="H88">
        <v>3083</v>
      </c>
      <c r="I88">
        <f>VLOOKUP(G88,[1]Hoja1!$G$9143:$H$9575,2,FALSE)</f>
        <v>2975</v>
      </c>
      <c r="J88">
        <f t="shared" si="3"/>
        <v>-3.6302521008403359E-2</v>
      </c>
    </row>
    <row r="89" spans="1:10">
      <c r="A89">
        <v>2026</v>
      </c>
      <c r="B89">
        <v>33</v>
      </c>
      <c r="C89" t="s">
        <v>8</v>
      </c>
      <c r="D89" t="s">
        <v>9</v>
      </c>
      <c r="E89" t="s">
        <v>204</v>
      </c>
      <c r="F89" t="s">
        <v>150</v>
      </c>
      <c r="G89" t="str">
        <f t="shared" si="2"/>
        <v>33016DREAM IN PEACH</v>
      </c>
      <c r="H89">
        <v>936</v>
      </c>
      <c r="I89">
        <f>VLOOKUP(G89,[1]Hoja1!$G$9143:$H$9575,2,FALSE)</f>
        <v>1500</v>
      </c>
      <c r="J89">
        <f t="shared" si="3"/>
        <v>0.376</v>
      </c>
    </row>
    <row r="90" spans="1:10">
      <c r="A90">
        <v>2026</v>
      </c>
      <c r="B90">
        <v>33</v>
      </c>
      <c r="C90" t="s">
        <v>8</v>
      </c>
      <c r="D90" t="s">
        <v>9</v>
      </c>
      <c r="E90" t="s">
        <v>204</v>
      </c>
      <c r="F90" t="s">
        <v>152</v>
      </c>
      <c r="G90" t="str">
        <f t="shared" si="2"/>
        <v>33016NINA</v>
      </c>
      <c r="H90">
        <v>2641</v>
      </c>
      <c r="I90">
        <f>VLOOKUP(G90,[1]Hoja1!$G$9143:$H$9575,2,FALSE)</f>
        <v>2425</v>
      </c>
      <c r="J90">
        <f t="shared" si="3"/>
        <v>-8.9072164948453603E-2</v>
      </c>
    </row>
    <row r="91" spans="1:10">
      <c r="A91">
        <v>2026</v>
      </c>
      <c r="B91">
        <v>33</v>
      </c>
      <c r="C91" t="s">
        <v>8</v>
      </c>
      <c r="D91" t="s">
        <v>9</v>
      </c>
      <c r="E91" t="s">
        <v>205</v>
      </c>
      <c r="F91" t="s">
        <v>124</v>
      </c>
      <c r="G91" t="str">
        <f t="shared" si="2"/>
        <v>33017FREEDOM</v>
      </c>
      <c r="H91">
        <v>5604</v>
      </c>
      <c r="I91">
        <f>VLOOKUP(G91,[1]Hoja1!$G$9143:$H$9575,2,FALSE)</f>
        <v>5700</v>
      </c>
      <c r="J91">
        <f t="shared" si="3"/>
        <v>1.6842105263157894E-2</v>
      </c>
    </row>
    <row r="92" spans="1:10">
      <c r="A92">
        <v>2026</v>
      </c>
      <c r="B92">
        <v>33</v>
      </c>
      <c r="C92" t="s">
        <v>8</v>
      </c>
      <c r="D92" t="s">
        <v>9</v>
      </c>
      <c r="E92" t="s">
        <v>205</v>
      </c>
      <c r="F92" t="s">
        <v>108</v>
      </c>
      <c r="G92" t="str">
        <f t="shared" si="2"/>
        <v>33017GOLDFINCH</v>
      </c>
      <c r="H92">
        <v>2128</v>
      </c>
      <c r="I92">
        <f>VLOOKUP(G92,[1]Hoja1!$G$9143:$H$9575,2,FALSE)</f>
        <v>1850</v>
      </c>
      <c r="J92">
        <f t="shared" si="3"/>
        <v>-0.15027027027027026</v>
      </c>
    </row>
    <row r="93" spans="1:10">
      <c r="A93">
        <v>2026</v>
      </c>
      <c r="B93">
        <v>33</v>
      </c>
      <c r="C93" t="s">
        <v>8</v>
      </c>
      <c r="D93" t="s">
        <v>9</v>
      </c>
      <c r="E93" t="s">
        <v>206</v>
      </c>
      <c r="F93" t="s">
        <v>131</v>
      </c>
      <c r="G93" t="str">
        <f t="shared" si="2"/>
        <v>33018BRIGHTON</v>
      </c>
      <c r="H93">
        <v>1233</v>
      </c>
      <c r="I93">
        <f>VLOOKUP(G93,[1]Hoja1!$G$9143:$H$9575,2,FALSE)</f>
        <v>1225</v>
      </c>
      <c r="J93">
        <f t="shared" si="3"/>
        <v>-6.5306122448979594E-3</v>
      </c>
    </row>
    <row r="94" spans="1:10">
      <c r="A94">
        <v>2026</v>
      </c>
      <c r="B94">
        <v>33</v>
      </c>
      <c r="C94" t="s">
        <v>8</v>
      </c>
      <c r="D94" t="s">
        <v>9</v>
      </c>
      <c r="E94" t="s">
        <v>207</v>
      </c>
      <c r="F94" t="s">
        <v>131</v>
      </c>
      <c r="G94" t="str">
        <f t="shared" si="2"/>
        <v>33019BRIGHTON</v>
      </c>
      <c r="H94">
        <v>5211</v>
      </c>
      <c r="I94">
        <f>VLOOKUP(G94,[1]Hoja1!$G$9143:$H$9575,2,FALSE)</f>
        <v>5400</v>
      </c>
      <c r="J94">
        <f t="shared" si="3"/>
        <v>3.5000000000000003E-2</v>
      </c>
    </row>
    <row r="95" spans="1:10">
      <c r="A95">
        <v>2026</v>
      </c>
      <c r="B95">
        <v>33</v>
      </c>
      <c r="C95" t="s">
        <v>8</v>
      </c>
      <c r="D95" t="s">
        <v>9</v>
      </c>
      <c r="E95" t="s">
        <v>207</v>
      </c>
      <c r="F95" t="s">
        <v>158</v>
      </c>
      <c r="G95" t="str">
        <f t="shared" si="2"/>
        <v>33019TABATHA</v>
      </c>
      <c r="H95">
        <v>2783</v>
      </c>
      <c r="I95">
        <f>VLOOKUP(G95,[1]Hoja1!$G$9143:$H$9575,2,FALSE)</f>
        <v>2610</v>
      </c>
      <c r="J95">
        <f t="shared" si="3"/>
        <v>-6.6283524904214561E-2</v>
      </c>
    </row>
    <row r="96" spans="1:10">
      <c r="A96">
        <v>2026</v>
      </c>
      <c r="B96">
        <v>33</v>
      </c>
      <c r="C96" t="s">
        <v>8</v>
      </c>
      <c r="D96" t="s">
        <v>9</v>
      </c>
      <c r="E96" t="s">
        <v>208</v>
      </c>
      <c r="F96" t="s">
        <v>131</v>
      </c>
      <c r="G96" t="str">
        <f t="shared" si="2"/>
        <v>33020BRIGHTON</v>
      </c>
      <c r="H96">
        <v>4866</v>
      </c>
      <c r="I96">
        <f>VLOOKUP(G96,[1]Hoja1!$G$9143:$H$9575,2,FALSE)</f>
        <v>4125</v>
      </c>
      <c r="J96">
        <f t="shared" si="3"/>
        <v>-0.17963636363636365</v>
      </c>
    </row>
    <row r="97" spans="1:10">
      <c r="A97">
        <v>2026</v>
      </c>
      <c r="B97">
        <v>33</v>
      </c>
      <c r="C97" t="s">
        <v>8</v>
      </c>
      <c r="D97" t="s">
        <v>9</v>
      </c>
      <c r="E97" t="s">
        <v>208</v>
      </c>
      <c r="F97" t="s">
        <v>161</v>
      </c>
      <c r="G97" t="str">
        <f t="shared" si="2"/>
        <v>33020TYCOON</v>
      </c>
      <c r="H97">
        <v>1255</v>
      </c>
      <c r="I97">
        <f>VLOOKUP(G97,[1]Hoja1!$G$9143:$H$9575,2,FALSE)</f>
        <v>840</v>
      </c>
      <c r="J97">
        <f t="shared" si="3"/>
        <v>-0.49404761904761907</v>
      </c>
    </row>
    <row r="98" spans="1:10">
      <c r="A98">
        <v>2026</v>
      </c>
      <c r="B98">
        <v>33</v>
      </c>
      <c r="C98" t="s">
        <v>8</v>
      </c>
      <c r="D98" t="s">
        <v>9</v>
      </c>
      <c r="E98" t="s">
        <v>196</v>
      </c>
      <c r="F98" t="s">
        <v>163</v>
      </c>
      <c r="G98" t="str">
        <f t="shared" si="2"/>
        <v>33021SHOW GIRL</v>
      </c>
      <c r="H98">
        <v>1597</v>
      </c>
      <c r="I98">
        <f>VLOOKUP(G98,[1]Hoja1!$G$9143:$H$9575,2,FALSE)</f>
        <v>1400</v>
      </c>
      <c r="J98">
        <f t="shared" si="3"/>
        <v>-0.14071428571428571</v>
      </c>
    </row>
    <row r="99" spans="1:10">
      <c r="A99">
        <v>2026</v>
      </c>
      <c r="B99">
        <v>33</v>
      </c>
      <c r="C99" t="s">
        <v>8</v>
      </c>
      <c r="D99" t="s">
        <v>9</v>
      </c>
      <c r="E99" t="s">
        <v>209</v>
      </c>
      <c r="F99" t="s">
        <v>165</v>
      </c>
      <c r="G99" t="str">
        <f t="shared" si="2"/>
        <v>33022CORAL REEF</v>
      </c>
      <c r="H99">
        <v>1780</v>
      </c>
      <c r="I99">
        <f>VLOOKUP(G99,[1]Hoja1!$G$9143:$H$9575,2,FALSE)</f>
        <v>1800</v>
      </c>
      <c r="J99">
        <f t="shared" si="3"/>
        <v>1.1111111111111112E-2</v>
      </c>
    </row>
    <row r="100" spans="1:10">
      <c r="A100">
        <v>2026</v>
      </c>
      <c r="B100">
        <v>33</v>
      </c>
      <c r="C100" t="s">
        <v>8</v>
      </c>
      <c r="D100" t="s">
        <v>9</v>
      </c>
      <c r="E100" t="s">
        <v>222</v>
      </c>
      <c r="F100" t="s">
        <v>99</v>
      </c>
      <c r="G100" t="str">
        <f t="shared" si="2"/>
        <v>33023COTOPAXI</v>
      </c>
      <c r="H100">
        <v>4483</v>
      </c>
      <c r="I100">
        <f>VLOOKUP(G100,[1]Hoja1!$G$9143:$H$9575,2,FALSE)</f>
        <v>4740</v>
      </c>
      <c r="J100">
        <f t="shared" si="3"/>
        <v>5.4219409282700422E-2</v>
      </c>
    </row>
    <row r="101" spans="1:10">
      <c r="A101">
        <v>2026</v>
      </c>
      <c r="B101">
        <v>33</v>
      </c>
      <c r="C101" t="s">
        <v>8</v>
      </c>
      <c r="D101" t="s">
        <v>9</v>
      </c>
      <c r="E101" t="s">
        <v>222</v>
      </c>
      <c r="F101" t="s">
        <v>168</v>
      </c>
      <c r="G101" t="str">
        <f t="shared" si="2"/>
        <v>33023FRUTTETO</v>
      </c>
      <c r="H101">
        <v>4895</v>
      </c>
      <c r="I101">
        <f>VLOOKUP(G101,[1]Hoja1!$G$9143:$H$9575,2,FALSE)</f>
        <v>3870</v>
      </c>
      <c r="J101">
        <f t="shared" si="3"/>
        <v>-0.26485788113695091</v>
      </c>
    </row>
    <row r="102" spans="1:10">
      <c r="A102">
        <v>2026</v>
      </c>
      <c r="B102">
        <v>33</v>
      </c>
      <c r="C102" t="s">
        <v>8</v>
      </c>
      <c r="D102" t="s">
        <v>9</v>
      </c>
      <c r="E102" t="s">
        <v>223</v>
      </c>
      <c r="F102" t="s">
        <v>99</v>
      </c>
      <c r="G102" t="str">
        <f t="shared" si="2"/>
        <v>33024COTOPAXI</v>
      </c>
      <c r="H102">
        <v>2439</v>
      </c>
      <c r="I102">
        <f>VLOOKUP(G102,[1]Hoja1!$G$9143:$H$9575,2,FALSE)</f>
        <v>3000</v>
      </c>
      <c r="J102">
        <f t="shared" si="3"/>
        <v>0.187</v>
      </c>
    </row>
    <row r="103" spans="1:10">
      <c r="A103">
        <v>2026</v>
      </c>
      <c r="B103">
        <v>33</v>
      </c>
      <c r="C103" t="s">
        <v>8</v>
      </c>
      <c r="D103" t="s">
        <v>9</v>
      </c>
      <c r="E103" t="s">
        <v>223</v>
      </c>
      <c r="F103" t="s">
        <v>88</v>
      </c>
      <c r="G103" t="str">
        <f t="shared" si="2"/>
        <v>33024SWEETNESS</v>
      </c>
      <c r="H103">
        <v>1577</v>
      </c>
      <c r="I103">
        <f>VLOOKUP(G103,[1]Hoja1!$G$9143:$H$9575,2,FALSE)</f>
        <v>1710</v>
      </c>
      <c r="J103">
        <f t="shared" si="3"/>
        <v>7.7777777777777779E-2</v>
      </c>
    </row>
    <row r="104" spans="1:10">
      <c r="A104">
        <v>2026</v>
      </c>
      <c r="B104">
        <v>33</v>
      </c>
      <c r="C104" t="s">
        <v>8</v>
      </c>
      <c r="D104" t="s">
        <v>9</v>
      </c>
      <c r="E104" t="s">
        <v>223</v>
      </c>
      <c r="F104" t="s">
        <v>161</v>
      </c>
      <c r="G104" t="str">
        <f t="shared" si="2"/>
        <v>33024TYCOON</v>
      </c>
      <c r="H104">
        <v>2562</v>
      </c>
      <c r="I104">
        <f>VLOOKUP(G104,[1]Hoja1!$G$9143:$H$9575,2,FALSE)</f>
        <v>3240</v>
      </c>
      <c r="J104">
        <f t="shared" si="3"/>
        <v>0.20925925925925926</v>
      </c>
    </row>
    <row r="105" spans="1:10">
      <c r="A105">
        <v>2026</v>
      </c>
      <c r="B105">
        <v>33</v>
      </c>
      <c r="C105" t="s">
        <v>8</v>
      </c>
      <c r="D105" t="s">
        <v>9</v>
      </c>
      <c r="E105" t="s">
        <v>224</v>
      </c>
      <c r="F105" t="s">
        <v>173</v>
      </c>
      <c r="G105" t="str">
        <f t="shared" si="2"/>
        <v>33025PINK MONDIAL</v>
      </c>
      <c r="H105">
        <v>4837</v>
      </c>
      <c r="I105">
        <f>VLOOKUP(G105,[1]Hoja1!$G$9143:$H$9575,2,FALSE)</f>
        <v>4625</v>
      </c>
      <c r="J105">
        <f t="shared" si="3"/>
        <v>-4.583783783783784E-2</v>
      </c>
    </row>
    <row r="106" spans="1:10">
      <c r="A106">
        <v>2026</v>
      </c>
      <c r="B106">
        <v>33</v>
      </c>
      <c r="C106" t="s">
        <v>8</v>
      </c>
      <c r="D106" t="s">
        <v>9</v>
      </c>
      <c r="E106" t="s">
        <v>210</v>
      </c>
      <c r="F106" t="s">
        <v>175</v>
      </c>
      <c r="G106" t="str">
        <f t="shared" si="2"/>
        <v>33026LOLA</v>
      </c>
      <c r="H106">
        <v>3801</v>
      </c>
      <c r="I106">
        <f>VLOOKUP(G106,[1]Hoja1!$G$9143:$H$9575,2,FALSE)</f>
        <v>3050</v>
      </c>
      <c r="J106">
        <f t="shared" si="3"/>
        <v>-0.24622950819672132</v>
      </c>
    </row>
    <row r="107" spans="1:10">
      <c r="A107">
        <v>2026</v>
      </c>
      <c r="B107">
        <v>33</v>
      </c>
      <c r="C107" t="s">
        <v>8</v>
      </c>
      <c r="D107" t="s">
        <v>9</v>
      </c>
      <c r="E107" t="s">
        <v>210</v>
      </c>
      <c r="F107" t="s">
        <v>177</v>
      </c>
      <c r="G107" t="str">
        <f t="shared" si="2"/>
        <v>33026PALOMA</v>
      </c>
      <c r="H107">
        <v>4032</v>
      </c>
      <c r="I107">
        <f>VLOOKUP(G107,[1]Hoja1!$G$9143:$H$9575,2,FALSE)</f>
        <v>3275</v>
      </c>
      <c r="J107">
        <f t="shared" si="3"/>
        <v>-0.23114503816793894</v>
      </c>
    </row>
    <row r="108" spans="1:10">
      <c r="A108">
        <v>2026</v>
      </c>
      <c r="B108">
        <v>33</v>
      </c>
      <c r="C108" t="s">
        <v>8</v>
      </c>
      <c r="D108" t="s">
        <v>9</v>
      </c>
      <c r="E108" t="s">
        <v>225</v>
      </c>
      <c r="F108" t="s">
        <v>179</v>
      </c>
      <c r="G108" t="str">
        <f t="shared" si="2"/>
        <v>33027SATISFACTION</v>
      </c>
      <c r="H108">
        <v>3316</v>
      </c>
      <c r="I108">
        <f>VLOOKUP(G108,[1]Hoja1!$G$9143:$H$9575,2,FALSE)</f>
        <v>3480</v>
      </c>
      <c r="J108">
        <f t="shared" si="3"/>
        <v>4.7126436781609195E-2</v>
      </c>
    </row>
    <row r="109" spans="1:10">
      <c r="A109">
        <v>2026</v>
      </c>
      <c r="B109">
        <v>33</v>
      </c>
      <c r="C109" t="s">
        <v>8</v>
      </c>
      <c r="D109" t="s">
        <v>9</v>
      </c>
      <c r="E109" t="s">
        <v>225</v>
      </c>
      <c r="F109" t="s">
        <v>181</v>
      </c>
      <c r="G109" t="str">
        <f t="shared" si="2"/>
        <v>33027TIFFANY</v>
      </c>
      <c r="H109">
        <v>4409</v>
      </c>
      <c r="I109">
        <f>VLOOKUP(G109,[1]Hoja1!$G$9143:$H$9575,2,FALSE)</f>
        <v>4380</v>
      </c>
      <c r="J109">
        <f t="shared" si="3"/>
        <v>-6.6210045662100456E-3</v>
      </c>
    </row>
    <row r="110" spans="1:10">
      <c r="A110">
        <v>2026</v>
      </c>
      <c r="B110">
        <v>33</v>
      </c>
      <c r="C110" t="s">
        <v>8</v>
      </c>
      <c r="D110" t="s">
        <v>9</v>
      </c>
      <c r="E110" t="s">
        <v>226</v>
      </c>
      <c r="F110" t="s">
        <v>99</v>
      </c>
      <c r="G110" t="str">
        <f t="shared" si="2"/>
        <v>33028COTOPAXI</v>
      </c>
      <c r="H110">
        <v>3303</v>
      </c>
      <c r="I110">
        <f>VLOOKUP(G110,[1]Hoja1!$G$9143:$H$9575,2,FALSE)</f>
        <v>5100</v>
      </c>
      <c r="J110">
        <f t="shared" si="3"/>
        <v>0.35235294117647059</v>
      </c>
    </row>
    <row r="111" spans="1:10">
      <c r="A111">
        <v>2026</v>
      </c>
      <c r="B111">
        <v>33</v>
      </c>
      <c r="C111" t="s">
        <v>8</v>
      </c>
      <c r="D111" t="s">
        <v>9</v>
      </c>
      <c r="E111" t="s">
        <v>226</v>
      </c>
      <c r="F111" t="s">
        <v>92</v>
      </c>
      <c r="G111" t="str">
        <f t="shared" si="2"/>
        <v>33028DEEP PURPLE</v>
      </c>
      <c r="H111">
        <v>7979</v>
      </c>
      <c r="I111">
        <f>VLOOKUP(G111,[1]Hoja1!$G$9143:$H$9575,2,FALSE)</f>
        <v>4350</v>
      </c>
      <c r="J111">
        <f t="shared" si="3"/>
        <v>-0.83425287356321842</v>
      </c>
    </row>
    <row r="112" spans="1:10">
      <c r="A112">
        <v>2026</v>
      </c>
      <c r="B112">
        <v>33</v>
      </c>
      <c r="C112" t="s">
        <v>8</v>
      </c>
      <c r="D112" t="s">
        <v>9</v>
      </c>
      <c r="E112" t="s">
        <v>227</v>
      </c>
      <c r="F112" t="s">
        <v>185</v>
      </c>
      <c r="G112" t="str">
        <f t="shared" si="2"/>
        <v>33029PINK FLOYD</v>
      </c>
      <c r="H112">
        <v>5077</v>
      </c>
      <c r="I112">
        <f>VLOOKUP(G112,[1]Hoja1!$G$9143:$H$9575,2,FALSE)</f>
        <v>3875</v>
      </c>
      <c r="J112">
        <f t="shared" si="3"/>
        <v>-0.31019354838709678</v>
      </c>
    </row>
    <row r="113" spans="1:10">
      <c r="A113">
        <v>2026</v>
      </c>
      <c r="B113">
        <v>33</v>
      </c>
      <c r="C113" t="s">
        <v>8</v>
      </c>
      <c r="D113" t="s">
        <v>9</v>
      </c>
      <c r="E113" t="s">
        <v>211</v>
      </c>
      <c r="F113" t="s">
        <v>75</v>
      </c>
      <c r="G113" t="str">
        <f t="shared" si="2"/>
        <v>33030EXPLORER</v>
      </c>
      <c r="H113">
        <v>1689</v>
      </c>
      <c r="I113">
        <f>VLOOKUP(G113,[1]Hoja1!$G$9143:$H$9575,2,FALSE)</f>
        <v>2000</v>
      </c>
      <c r="J113">
        <f t="shared" si="3"/>
        <v>0.1555</v>
      </c>
    </row>
    <row r="114" spans="1:10">
      <c r="A114">
        <v>2026</v>
      </c>
      <c r="B114">
        <v>33</v>
      </c>
      <c r="C114" t="s">
        <v>12</v>
      </c>
      <c r="D114" t="s">
        <v>9</v>
      </c>
      <c r="E114" t="s">
        <v>196</v>
      </c>
      <c r="F114" t="s">
        <v>13</v>
      </c>
      <c r="G114" t="str">
        <f t="shared" si="2"/>
        <v>33021PISTACHIO KISS</v>
      </c>
      <c r="H114">
        <v>35</v>
      </c>
      <c r="I114">
        <f>VLOOKUP(G114,[1]Hoja1!$G$9143:$H$9575,2,FALSE)</f>
        <v>960</v>
      </c>
      <c r="J114">
        <f t="shared" si="3"/>
        <v>0.96354166666666663</v>
      </c>
    </row>
    <row r="115" spans="1:10">
      <c r="A115">
        <v>2026</v>
      </c>
      <c r="B115">
        <v>33</v>
      </c>
      <c r="C115" t="s">
        <v>12</v>
      </c>
      <c r="D115" t="s">
        <v>9</v>
      </c>
      <c r="E115" t="s">
        <v>196</v>
      </c>
      <c r="F115" t="s">
        <v>13</v>
      </c>
      <c r="G115" t="str">
        <f t="shared" si="2"/>
        <v>33021PISTACHIO KISS</v>
      </c>
      <c r="H115">
        <v>33</v>
      </c>
      <c r="I115">
        <f>VLOOKUP(G115,[1]Hoja1!$G$9143:$H$9575,2,FALSE)</f>
        <v>960</v>
      </c>
      <c r="J115">
        <f t="shared" si="3"/>
        <v>0.96562499999999996</v>
      </c>
    </row>
    <row r="116" spans="1:10">
      <c r="A116">
        <v>2026</v>
      </c>
      <c r="B116">
        <v>34</v>
      </c>
      <c r="C116" t="s">
        <v>12</v>
      </c>
      <c r="D116" t="s">
        <v>9</v>
      </c>
      <c r="E116" t="s">
        <v>197</v>
      </c>
      <c r="F116" t="s">
        <v>15</v>
      </c>
      <c r="G116" t="str">
        <f t="shared" si="2"/>
        <v>34002SOMERSET</v>
      </c>
      <c r="H116">
        <v>10773</v>
      </c>
      <c r="I116">
        <f>VLOOKUP(G116,[1]Hoja1!$G$9143:$H$9575,2,FALSE)</f>
        <v>10040</v>
      </c>
      <c r="J116">
        <f t="shared" si="3"/>
        <v>-7.3007968127490039E-2</v>
      </c>
    </row>
    <row r="117" spans="1:10">
      <c r="A117">
        <v>2026</v>
      </c>
      <c r="B117">
        <v>34</v>
      </c>
      <c r="C117" t="s">
        <v>12</v>
      </c>
      <c r="D117" t="s">
        <v>9</v>
      </c>
      <c r="E117" t="s">
        <v>198</v>
      </c>
      <c r="F117" t="s">
        <v>17</v>
      </c>
      <c r="G117" t="str">
        <f t="shared" si="2"/>
        <v>34004BELLINA</v>
      </c>
      <c r="H117">
        <v>965</v>
      </c>
      <c r="I117">
        <f>VLOOKUP(G117,[1]Hoja1!$G$9143:$H$9575,2,FALSE)</f>
        <v>1020</v>
      </c>
      <c r="J117">
        <f t="shared" si="3"/>
        <v>5.3921568627450983E-2</v>
      </c>
    </row>
    <row r="118" spans="1:10">
      <c r="A118">
        <v>2026</v>
      </c>
      <c r="B118">
        <v>34</v>
      </c>
      <c r="C118" t="s">
        <v>12</v>
      </c>
      <c r="D118" t="s">
        <v>9</v>
      </c>
      <c r="E118" t="s">
        <v>199</v>
      </c>
      <c r="F118" t="s">
        <v>19</v>
      </c>
      <c r="G118" t="str">
        <f t="shared" si="2"/>
        <v>34005ELBA</v>
      </c>
      <c r="H118">
        <v>8175</v>
      </c>
      <c r="I118">
        <f>VLOOKUP(G118,[1]Hoja1!$G$9143:$H$9575,2,FALSE)</f>
        <v>7710</v>
      </c>
      <c r="J118">
        <f t="shared" si="3"/>
        <v>-6.0311284046692608E-2</v>
      </c>
    </row>
    <row r="119" spans="1:10">
      <c r="A119">
        <v>2026</v>
      </c>
      <c r="B119">
        <v>34</v>
      </c>
      <c r="C119" t="s">
        <v>12</v>
      </c>
      <c r="D119" t="s">
        <v>9</v>
      </c>
      <c r="E119" t="s">
        <v>199</v>
      </c>
      <c r="F119" t="s">
        <v>21</v>
      </c>
      <c r="G119" t="str">
        <f t="shared" si="2"/>
        <v>34005HOT BUBBLES</v>
      </c>
      <c r="H119">
        <v>1443</v>
      </c>
      <c r="I119">
        <f>VLOOKUP(G119,[1]Hoja1!$G$9143:$H$9575,2,FALSE)</f>
        <v>1100</v>
      </c>
      <c r="J119">
        <f t="shared" si="3"/>
        <v>-0.31181818181818183</v>
      </c>
    </row>
    <row r="120" spans="1:10">
      <c r="A120">
        <v>2026</v>
      </c>
      <c r="B120">
        <v>34</v>
      </c>
      <c r="C120" t="s">
        <v>12</v>
      </c>
      <c r="D120" t="s">
        <v>9</v>
      </c>
      <c r="E120" t="s">
        <v>199</v>
      </c>
      <c r="F120" t="s">
        <v>23</v>
      </c>
      <c r="G120" t="str">
        <f t="shared" si="2"/>
        <v>34005SUSPIRO</v>
      </c>
      <c r="H120">
        <v>3075</v>
      </c>
      <c r="I120">
        <f>VLOOKUP(G120,[1]Hoja1!$G$9143:$H$9575,2,FALSE)</f>
        <v>4050</v>
      </c>
      <c r="J120">
        <f t="shared" si="3"/>
        <v>0.24074074074074073</v>
      </c>
    </row>
    <row r="121" spans="1:10">
      <c r="A121">
        <v>2026</v>
      </c>
      <c r="B121">
        <v>34</v>
      </c>
      <c r="C121" t="s">
        <v>12</v>
      </c>
      <c r="D121" t="s">
        <v>9</v>
      </c>
      <c r="E121" t="s">
        <v>200</v>
      </c>
      <c r="F121" t="s">
        <v>25</v>
      </c>
      <c r="G121" t="str">
        <f t="shared" si="2"/>
        <v>34007SNOW BUBBLES</v>
      </c>
      <c r="H121">
        <v>1035</v>
      </c>
      <c r="I121" t="e">
        <f>VLOOKUP(G121,[1]Hoja1!$G$9143:$H$9575,2,FALSE)</f>
        <v>#N/A</v>
      </c>
      <c r="J121" t="e">
        <f t="shared" si="3"/>
        <v>#N/A</v>
      </c>
    </row>
    <row r="122" spans="1:10">
      <c r="A122">
        <v>2026</v>
      </c>
      <c r="B122">
        <v>34</v>
      </c>
      <c r="C122" t="s">
        <v>12</v>
      </c>
      <c r="D122" t="s">
        <v>9</v>
      </c>
      <c r="E122" t="s">
        <v>201</v>
      </c>
      <c r="F122" t="s">
        <v>21</v>
      </c>
      <c r="G122" t="str">
        <f t="shared" si="2"/>
        <v>34009HOT BUBBLES</v>
      </c>
      <c r="H122">
        <v>15171</v>
      </c>
      <c r="I122">
        <f>VLOOKUP(G122,[1]Hoja1!$G$9143:$H$9575,2,FALSE)</f>
        <v>7000</v>
      </c>
      <c r="J122">
        <f t="shared" si="3"/>
        <v>-1.1672857142857143</v>
      </c>
    </row>
    <row r="123" spans="1:10">
      <c r="A123">
        <v>2026</v>
      </c>
      <c r="B123">
        <v>34</v>
      </c>
      <c r="C123" t="s">
        <v>12</v>
      </c>
      <c r="D123" t="s">
        <v>9</v>
      </c>
      <c r="E123" t="s">
        <v>202</v>
      </c>
      <c r="F123" t="s">
        <v>28</v>
      </c>
      <c r="G123" t="str">
        <f t="shared" si="2"/>
        <v>34014FRUITY BUBBLES</v>
      </c>
      <c r="H123">
        <v>2864</v>
      </c>
      <c r="I123">
        <f>VLOOKUP(G123,[1]Hoja1!$G$9143:$H$9575,2,FALSE)</f>
        <v>1650</v>
      </c>
      <c r="J123">
        <f t="shared" si="3"/>
        <v>-0.73575757575757572</v>
      </c>
    </row>
    <row r="124" spans="1:10">
      <c r="A124">
        <v>2026</v>
      </c>
      <c r="B124">
        <v>34</v>
      </c>
      <c r="C124" t="s">
        <v>12</v>
      </c>
      <c r="D124" t="s">
        <v>9</v>
      </c>
      <c r="E124" t="s">
        <v>203</v>
      </c>
      <c r="F124" t="s">
        <v>30</v>
      </c>
      <c r="G124" t="str">
        <f t="shared" si="2"/>
        <v>34015FELLINI</v>
      </c>
      <c r="H124">
        <v>4646</v>
      </c>
      <c r="I124">
        <f>VLOOKUP(G124,[1]Hoja1!$G$9143:$H$9575,2,FALSE)</f>
        <v>5600</v>
      </c>
      <c r="J124">
        <f t="shared" si="3"/>
        <v>0.17035714285714285</v>
      </c>
    </row>
    <row r="125" spans="1:10">
      <c r="A125">
        <v>2026</v>
      </c>
      <c r="B125">
        <v>34</v>
      </c>
      <c r="C125" t="s">
        <v>12</v>
      </c>
      <c r="D125" t="s">
        <v>9</v>
      </c>
      <c r="E125" t="s">
        <v>204</v>
      </c>
      <c r="F125" t="s">
        <v>32</v>
      </c>
      <c r="G125" t="str">
        <f t="shared" si="2"/>
        <v>34016GOOD PEACH</v>
      </c>
      <c r="H125">
        <v>2752</v>
      </c>
      <c r="I125">
        <f>VLOOKUP(G125,[1]Hoja1!$G$9143:$H$9575,2,FALSE)</f>
        <v>2640</v>
      </c>
      <c r="J125">
        <f t="shared" si="3"/>
        <v>-4.2424242424242427E-2</v>
      </c>
    </row>
    <row r="126" spans="1:10">
      <c r="A126">
        <v>2026</v>
      </c>
      <c r="B126">
        <v>34</v>
      </c>
      <c r="C126" t="s">
        <v>12</v>
      </c>
      <c r="D126" t="s">
        <v>9</v>
      </c>
      <c r="E126" t="s">
        <v>204</v>
      </c>
      <c r="F126" t="s">
        <v>34</v>
      </c>
      <c r="G126" t="str">
        <f t="shared" si="2"/>
        <v>34016GOOD YELLOW</v>
      </c>
      <c r="H126">
        <v>2768</v>
      </c>
      <c r="I126">
        <f>VLOOKUP(G126,[1]Hoja1!$G$9143:$H$9575,2,FALSE)</f>
        <v>3000</v>
      </c>
      <c r="J126">
        <f t="shared" si="3"/>
        <v>7.7333333333333337E-2</v>
      </c>
    </row>
    <row r="127" spans="1:10">
      <c r="A127">
        <v>2026</v>
      </c>
      <c r="B127">
        <v>34</v>
      </c>
      <c r="C127" t="s">
        <v>12</v>
      </c>
      <c r="D127" t="s">
        <v>9</v>
      </c>
      <c r="E127" t="s">
        <v>205</v>
      </c>
      <c r="F127" t="s">
        <v>36</v>
      </c>
      <c r="G127" t="str">
        <f t="shared" si="2"/>
        <v>34017ORANGE STAR</v>
      </c>
      <c r="H127">
        <v>1269</v>
      </c>
      <c r="I127">
        <f>VLOOKUP(G127,[1]Hoja1!$G$9143:$H$9575,2,FALSE)</f>
        <v>1150</v>
      </c>
      <c r="J127">
        <f t="shared" si="3"/>
        <v>-0.10347826086956521</v>
      </c>
    </row>
    <row r="128" spans="1:10">
      <c r="A128">
        <v>2026</v>
      </c>
      <c r="B128">
        <v>34</v>
      </c>
      <c r="C128" t="s">
        <v>12</v>
      </c>
      <c r="D128" t="s">
        <v>9</v>
      </c>
      <c r="E128" t="s">
        <v>206</v>
      </c>
      <c r="F128" t="s">
        <v>38</v>
      </c>
      <c r="G128" t="str">
        <f t="shared" si="2"/>
        <v>34018COSMO</v>
      </c>
      <c r="H128">
        <v>4365</v>
      </c>
      <c r="I128">
        <f>VLOOKUP(G128,[1]Hoja1!$G$9143:$H$9575,2,FALSE)</f>
        <v>3050</v>
      </c>
      <c r="J128">
        <f t="shared" si="3"/>
        <v>-0.43114754098360658</v>
      </c>
    </row>
    <row r="129" spans="1:10">
      <c r="A129">
        <v>2026</v>
      </c>
      <c r="B129">
        <v>34</v>
      </c>
      <c r="C129" t="s">
        <v>12</v>
      </c>
      <c r="D129" t="s">
        <v>9</v>
      </c>
      <c r="E129" t="s">
        <v>206</v>
      </c>
      <c r="F129" t="s">
        <v>40</v>
      </c>
      <c r="G129" t="str">
        <f t="shared" si="2"/>
        <v>34018RUBICON</v>
      </c>
      <c r="H129">
        <v>4269</v>
      </c>
      <c r="I129">
        <f>VLOOKUP(G129,[1]Hoja1!$G$9143:$H$9575,2,FALSE)</f>
        <v>3660</v>
      </c>
      <c r="J129">
        <f t="shared" si="3"/>
        <v>-0.16639344262295083</v>
      </c>
    </row>
    <row r="130" spans="1:10">
      <c r="A130">
        <v>2026</v>
      </c>
      <c r="B130">
        <v>34</v>
      </c>
      <c r="C130" t="s">
        <v>12</v>
      </c>
      <c r="D130" t="s">
        <v>9</v>
      </c>
      <c r="E130" t="s">
        <v>207</v>
      </c>
      <c r="F130" t="s">
        <v>17</v>
      </c>
      <c r="G130" t="str">
        <f t="shared" si="2"/>
        <v>34019BELLINA</v>
      </c>
      <c r="H130">
        <v>1397</v>
      </c>
      <c r="I130">
        <f>VLOOKUP(G130,[1]Hoja1!$G$9143:$H$9575,2,FALSE)</f>
        <v>1545</v>
      </c>
      <c r="J130">
        <f t="shared" si="3"/>
        <v>9.5792880258899676E-2</v>
      </c>
    </row>
    <row r="131" spans="1:10">
      <c r="A131">
        <v>2026</v>
      </c>
      <c r="B131">
        <v>34</v>
      </c>
      <c r="C131" t="s">
        <v>12</v>
      </c>
      <c r="D131" t="s">
        <v>9</v>
      </c>
      <c r="E131" t="s">
        <v>208</v>
      </c>
      <c r="F131" t="s">
        <v>43</v>
      </c>
      <c r="G131" t="str">
        <f t="shared" ref="G131:G194" si="4">+B131&amp;E131&amp;F131</f>
        <v>34020SUMMER DANCE</v>
      </c>
      <c r="H131">
        <v>2213</v>
      </c>
      <c r="I131">
        <f>VLOOKUP(G131,[1]Hoja1!$G$9143:$H$9575,2,FALSE)</f>
        <v>1925</v>
      </c>
      <c r="J131">
        <f t="shared" ref="J131:J194" si="5">+(I131-H131)/I131</f>
        <v>-0.14961038961038961</v>
      </c>
    </row>
    <row r="132" spans="1:10">
      <c r="A132">
        <v>2026</v>
      </c>
      <c r="B132">
        <v>34</v>
      </c>
      <c r="C132" t="s">
        <v>12</v>
      </c>
      <c r="D132" t="s">
        <v>9</v>
      </c>
      <c r="E132" t="s">
        <v>196</v>
      </c>
      <c r="F132" t="s">
        <v>45</v>
      </c>
      <c r="G132" t="str">
        <f t="shared" si="4"/>
        <v>34021ELEGANT ROSEVER</v>
      </c>
      <c r="H132">
        <v>530</v>
      </c>
      <c r="I132">
        <f>VLOOKUP(G132,[1]Hoja1!$G$9143:$H$9575,2,FALSE)</f>
        <v>390</v>
      </c>
      <c r="J132">
        <f t="shared" si="5"/>
        <v>-0.35897435897435898</v>
      </c>
    </row>
    <row r="133" spans="1:10">
      <c r="A133">
        <v>2026</v>
      </c>
      <c r="B133">
        <v>34</v>
      </c>
      <c r="C133" t="s">
        <v>12</v>
      </c>
      <c r="D133" t="s">
        <v>9</v>
      </c>
      <c r="E133" t="s">
        <v>196</v>
      </c>
      <c r="F133" t="s">
        <v>47</v>
      </c>
      <c r="G133" t="str">
        <f t="shared" si="4"/>
        <v>34021FLAME CLUB</v>
      </c>
      <c r="H133">
        <v>1288</v>
      </c>
      <c r="I133">
        <f>VLOOKUP(G133,[1]Hoja1!$G$9143:$H$9575,2,FALSE)</f>
        <v>1125</v>
      </c>
      <c r="J133">
        <f t="shared" si="5"/>
        <v>-0.1448888888888889</v>
      </c>
    </row>
    <row r="134" spans="1:10">
      <c r="A134">
        <v>2026</v>
      </c>
      <c r="B134">
        <v>34</v>
      </c>
      <c r="C134" t="s">
        <v>12</v>
      </c>
      <c r="D134" t="s">
        <v>9</v>
      </c>
      <c r="E134" t="s">
        <v>196</v>
      </c>
      <c r="F134" t="s">
        <v>49</v>
      </c>
      <c r="G134" t="str">
        <f t="shared" si="4"/>
        <v>34021KELLY</v>
      </c>
      <c r="H134">
        <v>569</v>
      </c>
      <c r="I134">
        <f>VLOOKUP(G134,[1]Hoja1!$G$9143:$H$9575,2,FALSE)</f>
        <v>550</v>
      </c>
      <c r="J134">
        <f t="shared" si="5"/>
        <v>-3.4545454545454546E-2</v>
      </c>
    </row>
    <row r="135" spans="1:10">
      <c r="A135">
        <v>2026</v>
      </c>
      <c r="B135">
        <v>34</v>
      </c>
      <c r="C135" t="s">
        <v>12</v>
      </c>
      <c r="D135" t="s">
        <v>9</v>
      </c>
      <c r="E135" t="s">
        <v>196</v>
      </c>
      <c r="F135" t="s">
        <v>51</v>
      </c>
      <c r="G135" t="str">
        <f t="shared" si="4"/>
        <v>34021LEILA</v>
      </c>
      <c r="H135">
        <v>2074</v>
      </c>
      <c r="I135">
        <f>VLOOKUP(G135,[1]Hoja1!$G$9143:$H$9575,2,FALSE)</f>
        <v>1425</v>
      </c>
      <c r="J135">
        <f t="shared" si="5"/>
        <v>-0.45543859649122809</v>
      </c>
    </row>
    <row r="136" spans="1:10">
      <c r="A136">
        <v>2026</v>
      </c>
      <c r="B136">
        <v>34</v>
      </c>
      <c r="C136" t="s">
        <v>12</v>
      </c>
      <c r="D136" t="s">
        <v>9</v>
      </c>
      <c r="E136" t="s">
        <v>196</v>
      </c>
      <c r="F136" t="s">
        <v>25</v>
      </c>
      <c r="G136" t="str">
        <f t="shared" si="4"/>
        <v>34021SNOW BUBBLES</v>
      </c>
      <c r="H136">
        <v>2740</v>
      </c>
      <c r="I136">
        <f>VLOOKUP(G136,[1]Hoja1!$G$9143:$H$9575,2,FALSE)</f>
        <v>2220</v>
      </c>
      <c r="J136">
        <f t="shared" si="5"/>
        <v>-0.23423423423423423</v>
      </c>
    </row>
    <row r="137" spans="1:10">
      <c r="A137">
        <v>2026</v>
      </c>
      <c r="B137">
        <v>34</v>
      </c>
      <c r="C137" t="s">
        <v>12</v>
      </c>
      <c r="D137" t="s">
        <v>9</v>
      </c>
      <c r="E137" t="s">
        <v>209</v>
      </c>
      <c r="F137" t="s">
        <v>28</v>
      </c>
      <c r="G137" t="str">
        <f t="shared" si="4"/>
        <v>34022FRUITY BUBBLES</v>
      </c>
      <c r="H137">
        <v>4499</v>
      </c>
      <c r="I137">
        <f>VLOOKUP(G137,[1]Hoja1!$G$9143:$H$9575,2,FALSE)</f>
        <v>3500</v>
      </c>
      <c r="J137">
        <f t="shared" si="5"/>
        <v>-0.28542857142857142</v>
      </c>
    </row>
    <row r="138" spans="1:10">
      <c r="A138">
        <v>2026</v>
      </c>
      <c r="B138">
        <v>34</v>
      </c>
      <c r="C138" t="s">
        <v>12</v>
      </c>
      <c r="D138" t="s">
        <v>9</v>
      </c>
      <c r="E138" t="s">
        <v>209</v>
      </c>
      <c r="F138" t="s">
        <v>32</v>
      </c>
      <c r="G138" t="str">
        <f t="shared" si="4"/>
        <v>34022GOOD PEACH</v>
      </c>
      <c r="H138">
        <v>1900</v>
      </c>
      <c r="I138">
        <f>VLOOKUP(G138,[1]Hoja1!$G$9143:$H$9575,2,FALSE)</f>
        <v>2490</v>
      </c>
      <c r="J138">
        <f t="shared" si="5"/>
        <v>0.23694779116465864</v>
      </c>
    </row>
    <row r="139" spans="1:10">
      <c r="A139">
        <v>2026</v>
      </c>
      <c r="B139">
        <v>34</v>
      </c>
      <c r="C139" t="s">
        <v>12</v>
      </c>
      <c r="D139" t="s">
        <v>9</v>
      </c>
      <c r="E139" t="s">
        <v>209</v>
      </c>
      <c r="F139" t="s">
        <v>56</v>
      </c>
      <c r="G139" t="str">
        <f t="shared" si="4"/>
        <v>34022MIRABEL</v>
      </c>
      <c r="H139">
        <v>1475</v>
      </c>
      <c r="I139">
        <f>VLOOKUP(G139,[1]Hoja1!$G$9143:$H$9575,2,FALSE)</f>
        <v>1200</v>
      </c>
      <c r="J139">
        <f t="shared" si="5"/>
        <v>-0.22916666666666666</v>
      </c>
    </row>
    <row r="140" spans="1:10">
      <c r="A140">
        <v>2026</v>
      </c>
      <c r="B140">
        <v>34</v>
      </c>
      <c r="C140" t="s">
        <v>12</v>
      </c>
      <c r="D140" t="s">
        <v>9</v>
      </c>
      <c r="E140" t="s">
        <v>210</v>
      </c>
      <c r="F140" t="s">
        <v>58</v>
      </c>
      <c r="G140" t="str">
        <f t="shared" si="4"/>
        <v>34026PURPLE BUBBLY</v>
      </c>
      <c r="H140">
        <v>405</v>
      </c>
      <c r="I140" t="e">
        <f>VLOOKUP(G140,[1]Hoja1!$G$9143:$H$9575,2,FALSE)</f>
        <v>#N/A</v>
      </c>
      <c r="J140" t="e">
        <f t="shared" si="5"/>
        <v>#N/A</v>
      </c>
    </row>
    <row r="141" spans="1:10">
      <c r="A141">
        <v>2026</v>
      </c>
      <c r="B141">
        <v>34</v>
      </c>
      <c r="C141" t="s">
        <v>12</v>
      </c>
      <c r="D141" t="s">
        <v>9</v>
      </c>
      <c r="E141" t="s">
        <v>211</v>
      </c>
      <c r="F141" t="s">
        <v>56</v>
      </c>
      <c r="G141" t="str">
        <f t="shared" si="4"/>
        <v>34030MIRABEL</v>
      </c>
      <c r="H141">
        <v>4758</v>
      </c>
      <c r="I141">
        <f>VLOOKUP(G141,[1]Hoja1!$G$9143:$H$9575,2,FALSE)</f>
        <v>2820</v>
      </c>
      <c r="J141">
        <f t="shared" si="5"/>
        <v>-0.68723404255319154</v>
      </c>
    </row>
    <row r="142" spans="1:10">
      <c r="A142">
        <v>2026</v>
      </c>
      <c r="B142">
        <v>34</v>
      </c>
      <c r="C142" t="s">
        <v>12</v>
      </c>
      <c r="D142" t="s">
        <v>9</v>
      </c>
      <c r="E142" t="s">
        <v>211</v>
      </c>
      <c r="F142" t="s">
        <v>15</v>
      </c>
      <c r="G142" t="str">
        <f t="shared" si="4"/>
        <v>34030SOMERSET</v>
      </c>
      <c r="H142">
        <v>3381</v>
      </c>
      <c r="I142">
        <f>VLOOKUP(G142,[1]Hoja1!$G$9143:$H$9575,2,FALSE)</f>
        <v>2400</v>
      </c>
      <c r="J142">
        <f t="shared" si="5"/>
        <v>-0.40875</v>
      </c>
    </row>
    <row r="143" spans="1:10">
      <c r="A143">
        <v>2026</v>
      </c>
      <c r="B143">
        <v>34</v>
      </c>
      <c r="C143" t="s">
        <v>12</v>
      </c>
      <c r="D143" t="s">
        <v>9</v>
      </c>
      <c r="E143" t="s">
        <v>212</v>
      </c>
      <c r="F143" t="s">
        <v>62</v>
      </c>
      <c r="G143" t="str">
        <f t="shared" si="4"/>
        <v>3403182989</v>
      </c>
      <c r="H143">
        <v>1547</v>
      </c>
      <c r="I143">
        <f>VLOOKUP(G143,[1]Hoja1!$G$9143:$H$9575,2,FALSE)</f>
        <v>920</v>
      </c>
      <c r="J143">
        <f t="shared" si="5"/>
        <v>-0.68152173913043479</v>
      </c>
    </row>
    <row r="144" spans="1:10">
      <c r="A144">
        <v>2026</v>
      </c>
      <c r="B144">
        <v>34</v>
      </c>
      <c r="C144" t="s">
        <v>12</v>
      </c>
      <c r="D144" t="s">
        <v>9</v>
      </c>
      <c r="E144" t="s">
        <v>212</v>
      </c>
      <c r="F144" t="s">
        <v>40</v>
      </c>
      <c r="G144" t="str">
        <f t="shared" si="4"/>
        <v>34031RUBICON</v>
      </c>
      <c r="H144">
        <v>1840</v>
      </c>
      <c r="I144">
        <f>VLOOKUP(G144,[1]Hoja1!$G$9143:$H$9575,2,FALSE)</f>
        <v>1860</v>
      </c>
      <c r="J144">
        <f t="shared" si="5"/>
        <v>1.0752688172043012E-2</v>
      </c>
    </row>
    <row r="145" spans="1:10">
      <c r="A145">
        <v>2026</v>
      </c>
      <c r="B145">
        <v>34</v>
      </c>
      <c r="C145" t="s">
        <v>12</v>
      </c>
      <c r="D145" t="s">
        <v>9</v>
      </c>
      <c r="E145" t="s">
        <v>212</v>
      </c>
      <c r="F145" t="s">
        <v>15</v>
      </c>
      <c r="G145" t="str">
        <f t="shared" si="4"/>
        <v>34031SOMERSET</v>
      </c>
      <c r="H145">
        <v>2336</v>
      </c>
      <c r="I145">
        <f>VLOOKUP(G145,[1]Hoja1!$G$9143:$H$9575,2,FALSE)</f>
        <v>3320</v>
      </c>
      <c r="J145">
        <f t="shared" si="5"/>
        <v>0.29638554216867469</v>
      </c>
    </row>
    <row r="146" spans="1:10">
      <c r="A146">
        <v>2026</v>
      </c>
      <c r="B146">
        <v>34</v>
      </c>
      <c r="C146" t="s">
        <v>12</v>
      </c>
      <c r="D146" t="s">
        <v>9</v>
      </c>
      <c r="E146" t="s">
        <v>212</v>
      </c>
      <c r="F146" t="s">
        <v>66</v>
      </c>
      <c r="G146" t="str">
        <f t="shared" si="4"/>
        <v>34031VELVET BLOSSOMS</v>
      </c>
      <c r="H146">
        <v>437</v>
      </c>
      <c r="I146">
        <f>VLOOKUP(G146,[1]Hoja1!$G$9143:$H$9575,2,FALSE)</f>
        <v>640</v>
      </c>
      <c r="J146">
        <f t="shared" si="5"/>
        <v>0.31718750000000001</v>
      </c>
    </row>
    <row r="147" spans="1:10">
      <c r="A147">
        <v>2026</v>
      </c>
      <c r="B147">
        <v>34</v>
      </c>
      <c r="C147" t="s">
        <v>12</v>
      </c>
      <c r="D147" t="s">
        <v>9</v>
      </c>
      <c r="E147" t="s">
        <v>213</v>
      </c>
      <c r="F147" t="s">
        <v>19</v>
      </c>
      <c r="G147" t="str">
        <f t="shared" si="4"/>
        <v>34032ELBA</v>
      </c>
      <c r="H147">
        <v>3389</v>
      </c>
      <c r="I147">
        <f>VLOOKUP(G147,[1]Hoja1!$G$9143:$H$9575,2,FALSE)</f>
        <v>2190</v>
      </c>
      <c r="J147">
        <f t="shared" si="5"/>
        <v>-0.5474885844748858</v>
      </c>
    </row>
    <row r="148" spans="1:10">
      <c r="A148">
        <v>2026</v>
      </c>
      <c r="B148">
        <v>34</v>
      </c>
      <c r="C148" t="s">
        <v>12</v>
      </c>
      <c r="D148" t="s">
        <v>9</v>
      </c>
      <c r="E148" t="s">
        <v>213</v>
      </c>
      <c r="F148" t="s">
        <v>56</v>
      </c>
      <c r="G148" t="str">
        <f t="shared" si="4"/>
        <v>34032MIRABEL</v>
      </c>
      <c r="H148">
        <v>1875</v>
      </c>
      <c r="I148">
        <f>VLOOKUP(G148,[1]Hoja1!$G$9143:$H$9575,2,FALSE)</f>
        <v>1020</v>
      </c>
      <c r="J148">
        <f t="shared" si="5"/>
        <v>-0.83823529411764708</v>
      </c>
    </row>
    <row r="149" spans="1:10">
      <c r="A149">
        <v>2026</v>
      </c>
      <c r="B149">
        <v>34</v>
      </c>
      <c r="C149" t="s">
        <v>12</v>
      </c>
      <c r="D149" t="s">
        <v>9</v>
      </c>
      <c r="E149" t="s">
        <v>214</v>
      </c>
      <c r="F149" t="s">
        <v>70</v>
      </c>
      <c r="G149" t="str">
        <f t="shared" si="4"/>
        <v>34033CREAMY FOLIES</v>
      </c>
      <c r="H149">
        <v>1182</v>
      </c>
      <c r="I149">
        <f>VLOOKUP(G149,[1]Hoja1!$G$9143:$H$9575,2,FALSE)</f>
        <v>1410</v>
      </c>
      <c r="J149">
        <f t="shared" si="5"/>
        <v>0.16170212765957448</v>
      </c>
    </row>
    <row r="150" spans="1:10">
      <c r="A150">
        <v>2026</v>
      </c>
      <c r="B150">
        <v>34</v>
      </c>
      <c r="C150" t="s">
        <v>12</v>
      </c>
      <c r="D150" t="s">
        <v>9</v>
      </c>
      <c r="E150" t="s">
        <v>214</v>
      </c>
      <c r="F150" t="s">
        <v>21</v>
      </c>
      <c r="G150" t="str">
        <f t="shared" si="4"/>
        <v>34033HOT BUBBLES</v>
      </c>
      <c r="H150">
        <v>2730</v>
      </c>
      <c r="I150">
        <f>VLOOKUP(G150,[1]Hoja1!$G$9143:$H$9575,2,FALSE)</f>
        <v>2920</v>
      </c>
      <c r="J150">
        <f t="shared" si="5"/>
        <v>6.5068493150684928E-2</v>
      </c>
    </row>
    <row r="151" spans="1:10">
      <c r="A151">
        <v>2026</v>
      </c>
      <c r="B151">
        <v>34</v>
      </c>
      <c r="C151" t="s">
        <v>8</v>
      </c>
      <c r="D151" t="s">
        <v>9</v>
      </c>
      <c r="E151" t="s">
        <v>215</v>
      </c>
      <c r="F151" t="s">
        <v>73</v>
      </c>
      <c r="G151" t="str">
        <f t="shared" si="4"/>
        <v>34001BELIEVE IN PINK</v>
      </c>
      <c r="H151">
        <v>871</v>
      </c>
      <c r="I151">
        <f>VLOOKUP(G151,[1]Hoja1!$G$9143:$H$9575,2,FALSE)</f>
        <v>1320</v>
      </c>
      <c r="J151">
        <f t="shared" si="5"/>
        <v>0.34015151515151515</v>
      </c>
    </row>
    <row r="152" spans="1:10">
      <c r="A152">
        <v>2026</v>
      </c>
      <c r="B152">
        <v>34</v>
      </c>
      <c r="C152" t="s">
        <v>8</v>
      </c>
      <c r="D152" t="s">
        <v>9</v>
      </c>
      <c r="E152" t="s">
        <v>215</v>
      </c>
      <c r="F152" t="s">
        <v>75</v>
      </c>
      <c r="G152" t="str">
        <f t="shared" si="4"/>
        <v>34001EXPLORER</v>
      </c>
      <c r="H152">
        <v>3194</v>
      </c>
      <c r="I152">
        <f>VLOOKUP(G152,[1]Hoja1!$G$9143:$H$9575,2,FALSE)</f>
        <v>4075</v>
      </c>
      <c r="J152">
        <f t="shared" si="5"/>
        <v>0.21619631901840491</v>
      </c>
    </row>
    <row r="153" spans="1:10">
      <c r="A153">
        <v>2026</v>
      </c>
      <c r="B153">
        <v>34</v>
      </c>
      <c r="C153" t="s">
        <v>8</v>
      </c>
      <c r="D153" t="s">
        <v>9</v>
      </c>
      <c r="E153" t="s">
        <v>215</v>
      </c>
      <c r="F153" t="s">
        <v>77</v>
      </c>
      <c r="G153" t="str">
        <f t="shared" si="4"/>
        <v>34001GRACE KELLY</v>
      </c>
      <c r="H153">
        <v>1485</v>
      </c>
      <c r="I153">
        <f>VLOOKUP(G153,[1]Hoja1!$G$9143:$H$9575,2,FALSE)</f>
        <v>2160</v>
      </c>
      <c r="J153">
        <f t="shared" si="5"/>
        <v>0.3125</v>
      </c>
    </row>
    <row r="154" spans="1:10">
      <c r="A154">
        <v>2026</v>
      </c>
      <c r="B154">
        <v>34</v>
      </c>
      <c r="C154" t="s">
        <v>8</v>
      </c>
      <c r="D154" t="s">
        <v>9</v>
      </c>
      <c r="E154" t="s">
        <v>215</v>
      </c>
      <c r="F154" t="s">
        <v>79</v>
      </c>
      <c r="G154" t="str">
        <f t="shared" si="4"/>
        <v>34001IDOLE</v>
      </c>
      <c r="H154">
        <v>1029</v>
      </c>
      <c r="I154" t="e">
        <f>VLOOKUP(G154,[1]Hoja1!$G$9143:$H$9575,2,FALSE)</f>
        <v>#N/A</v>
      </c>
      <c r="J154" t="e">
        <f t="shared" si="5"/>
        <v>#N/A</v>
      </c>
    </row>
    <row r="155" spans="1:10">
      <c r="A155">
        <v>2026</v>
      </c>
      <c r="B155">
        <v>34</v>
      </c>
      <c r="C155" t="s">
        <v>8</v>
      </c>
      <c r="D155" t="s">
        <v>9</v>
      </c>
      <c r="E155" t="s">
        <v>215</v>
      </c>
      <c r="F155" t="s">
        <v>81</v>
      </c>
      <c r="G155" t="str">
        <f t="shared" si="4"/>
        <v>34001LIGHT HOUSE</v>
      </c>
      <c r="H155">
        <v>1497</v>
      </c>
      <c r="I155">
        <f>VLOOKUP(G155,[1]Hoja1!$G$9143:$H$9575,2,FALSE)</f>
        <v>1800</v>
      </c>
      <c r="J155">
        <f t="shared" si="5"/>
        <v>0.16833333333333333</v>
      </c>
    </row>
    <row r="156" spans="1:10">
      <c r="A156">
        <v>2026</v>
      </c>
      <c r="B156">
        <v>34</v>
      </c>
      <c r="C156" t="s">
        <v>8</v>
      </c>
      <c r="D156" t="s">
        <v>9</v>
      </c>
      <c r="E156" t="s">
        <v>215</v>
      </c>
      <c r="F156" t="s">
        <v>84</v>
      </c>
      <c r="G156" t="str">
        <f t="shared" si="4"/>
        <v>34001MOMENTUM</v>
      </c>
      <c r="H156">
        <v>3766</v>
      </c>
      <c r="I156">
        <f>VLOOKUP(G156,[1]Hoja1!$G$9143:$H$9575,2,FALSE)</f>
        <v>3975</v>
      </c>
      <c r="J156">
        <f t="shared" si="5"/>
        <v>5.2578616352201256E-2</v>
      </c>
    </row>
    <row r="157" spans="1:10">
      <c r="A157">
        <v>2026</v>
      </c>
      <c r="B157">
        <v>34</v>
      </c>
      <c r="C157" t="s">
        <v>8</v>
      </c>
      <c r="D157" t="s">
        <v>9</v>
      </c>
      <c r="E157" t="s">
        <v>197</v>
      </c>
      <c r="F157" t="s">
        <v>86</v>
      </c>
      <c r="G157" t="str">
        <f t="shared" si="4"/>
        <v>34002SUMMER ROMANCE</v>
      </c>
      <c r="H157">
        <v>1941</v>
      </c>
      <c r="I157">
        <f>VLOOKUP(G157,[1]Hoja1!$G$9143:$H$9575,2,FALSE)</f>
        <v>1625</v>
      </c>
      <c r="J157">
        <f t="shared" si="5"/>
        <v>-0.19446153846153846</v>
      </c>
    </row>
    <row r="158" spans="1:10">
      <c r="A158">
        <v>2026</v>
      </c>
      <c r="B158">
        <v>34</v>
      </c>
      <c r="C158" t="s">
        <v>8</v>
      </c>
      <c r="D158" t="s">
        <v>9</v>
      </c>
      <c r="E158" t="s">
        <v>197</v>
      </c>
      <c r="F158" t="s">
        <v>88</v>
      </c>
      <c r="G158" t="str">
        <f t="shared" si="4"/>
        <v>34002SWEETNESS</v>
      </c>
      <c r="H158">
        <v>5012</v>
      </c>
      <c r="I158">
        <f>VLOOKUP(G158,[1]Hoja1!$G$9143:$H$9575,2,FALSE)</f>
        <v>6630</v>
      </c>
      <c r="J158">
        <f t="shared" si="5"/>
        <v>0.24404223227752639</v>
      </c>
    </row>
    <row r="159" spans="1:10">
      <c r="A159">
        <v>2026</v>
      </c>
      <c r="B159">
        <v>34</v>
      </c>
      <c r="C159" t="s">
        <v>8</v>
      </c>
      <c r="D159" t="s">
        <v>9</v>
      </c>
      <c r="E159" t="s">
        <v>216</v>
      </c>
      <c r="F159" t="s">
        <v>90</v>
      </c>
      <c r="G159" t="str">
        <f t="shared" si="4"/>
        <v>34003CABARET</v>
      </c>
      <c r="H159">
        <v>3762</v>
      </c>
      <c r="I159">
        <f>VLOOKUP(G159,[1]Hoja1!$G$9143:$H$9575,2,FALSE)</f>
        <v>4170</v>
      </c>
      <c r="J159">
        <f t="shared" si="5"/>
        <v>9.7841726618705036E-2</v>
      </c>
    </row>
    <row r="160" spans="1:10">
      <c r="A160">
        <v>2026</v>
      </c>
      <c r="B160">
        <v>34</v>
      </c>
      <c r="C160" t="s">
        <v>8</v>
      </c>
      <c r="D160" t="s">
        <v>9</v>
      </c>
      <c r="E160" t="s">
        <v>216</v>
      </c>
      <c r="F160" t="s">
        <v>92</v>
      </c>
      <c r="G160" t="str">
        <f t="shared" si="4"/>
        <v>34003DEEP PURPLE</v>
      </c>
      <c r="H160">
        <v>7931</v>
      </c>
      <c r="I160">
        <f>VLOOKUP(G160,[1]Hoja1!$G$9143:$H$9575,2,FALSE)</f>
        <v>8370</v>
      </c>
      <c r="J160">
        <f t="shared" si="5"/>
        <v>5.2449223416965354E-2</v>
      </c>
    </row>
    <row r="161" spans="1:10">
      <c r="A161">
        <v>2026</v>
      </c>
      <c r="B161">
        <v>34</v>
      </c>
      <c r="C161" t="s">
        <v>8</v>
      </c>
      <c r="D161" t="s">
        <v>9</v>
      </c>
      <c r="E161" t="s">
        <v>216</v>
      </c>
      <c r="F161" t="s">
        <v>75</v>
      </c>
      <c r="G161" t="str">
        <f t="shared" si="4"/>
        <v>34003EXPLORER</v>
      </c>
      <c r="H161">
        <v>1774</v>
      </c>
      <c r="I161">
        <f>VLOOKUP(G161,[1]Hoja1!$G$9143:$H$9575,2,FALSE)</f>
        <v>1475</v>
      </c>
      <c r="J161">
        <f t="shared" si="5"/>
        <v>-0.20271186440677966</v>
      </c>
    </row>
    <row r="162" spans="1:10">
      <c r="A162">
        <v>2026</v>
      </c>
      <c r="B162">
        <v>34</v>
      </c>
      <c r="C162" t="s">
        <v>8</v>
      </c>
      <c r="D162" t="s">
        <v>9</v>
      </c>
      <c r="E162" t="s">
        <v>216</v>
      </c>
      <c r="F162" t="s">
        <v>95</v>
      </c>
      <c r="G162" t="str">
        <f t="shared" si="4"/>
        <v>34003JOCKER</v>
      </c>
      <c r="H162">
        <v>691</v>
      </c>
      <c r="I162">
        <f>VLOOKUP(G162,[1]Hoja1!$G$9143:$H$9575,2,FALSE)</f>
        <v>750</v>
      </c>
      <c r="J162">
        <f t="shared" si="5"/>
        <v>7.8666666666666663E-2</v>
      </c>
    </row>
    <row r="163" spans="1:10">
      <c r="A163">
        <v>2026</v>
      </c>
      <c r="B163">
        <v>34</v>
      </c>
      <c r="C163" t="s">
        <v>8</v>
      </c>
      <c r="D163" t="s">
        <v>9</v>
      </c>
      <c r="E163" t="s">
        <v>216</v>
      </c>
      <c r="F163" t="s">
        <v>97</v>
      </c>
      <c r="G163" t="str">
        <f t="shared" si="4"/>
        <v>34003QUICKSAND</v>
      </c>
      <c r="H163">
        <v>1406</v>
      </c>
      <c r="I163">
        <f>VLOOKUP(G163,[1]Hoja1!$G$9143:$H$9575,2,FALSE)</f>
        <v>1230</v>
      </c>
      <c r="J163">
        <f t="shared" si="5"/>
        <v>-0.14308943089430895</v>
      </c>
    </row>
    <row r="164" spans="1:10">
      <c r="A164">
        <v>2026</v>
      </c>
      <c r="B164">
        <v>34</v>
      </c>
      <c r="C164" t="s">
        <v>8</v>
      </c>
      <c r="D164" t="s">
        <v>9</v>
      </c>
      <c r="E164" t="s">
        <v>198</v>
      </c>
      <c r="F164" t="s">
        <v>99</v>
      </c>
      <c r="G164" t="str">
        <f t="shared" si="4"/>
        <v>34004COTOPAXI</v>
      </c>
      <c r="H164">
        <v>1072</v>
      </c>
      <c r="I164">
        <f>VLOOKUP(G164,[1]Hoja1!$G$9143:$H$9575,2,FALSE)</f>
        <v>990</v>
      </c>
      <c r="J164">
        <f t="shared" si="5"/>
        <v>-8.2828282828282834E-2</v>
      </c>
    </row>
    <row r="165" spans="1:10">
      <c r="A165">
        <v>2026</v>
      </c>
      <c r="B165">
        <v>34</v>
      </c>
      <c r="C165" t="s">
        <v>8</v>
      </c>
      <c r="D165" t="s">
        <v>9</v>
      </c>
      <c r="E165" t="s">
        <v>198</v>
      </c>
      <c r="F165" t="s">
        <v>92</v>
      </c>
      <c r="G165" t="str">
        <f t="shared" si="4"/>
        <v>34004DEEP PURPLE</v>
      </c>
      <c r="H165">
        <v>8224</v>
      </c>
      <c r="I165">
        <f>VLOOKUP(G165,[1]Hoja1!$G$9143:$H$9575,2,FALSE)</f>
        <v>6600</v>
      </c>
      <c r="J165">
        <f t="shared" si="5"/>
        <v>-0.24606060606060606</v>
      </c>
    </row>
    <row r="166" spans="1:10">
      <c r="A166">
        <v>2026</v>
      </c>
      <c r="B166">
        <v>34</v>
      </c>
      <c r="C166" t="s">
        <v>8</v>
      </c>
      <c r="D166" t="s">
        <v>9</v>
      </c>
      <c r="E166" t="s">
        <v>198</v>
      </c>
      <c r="F166" t="s">
        <v>102</v>
      </c>
      <c r="G166" t="str">
        <f t="shared" si="4"/>
        <v>34004HOT EXPLORER</v>
      </c>
      <c r="H166">
        <v>2192</v>
      </c>
      <c r="I166">
        <f>VLOOKUP(G166,[1]Hoja1!$G$9143:$H$9575,2,FALSE)</f>
        <v>1750</v>
      </c>
      <c r="J166">
        <f t="shared" si="5"/>
        <v>-0.25257142857142856</v>
      </c>
    </row>
    <row r="167" spans="1:10">
      <c r="A167">
        <v>2026</v>
      </c>
      <c r="B167">
        <v>34</v>
      </c>
      <c r="C167" t="s">
        <v>8</v>
      </c>
      <c r="D167" t="s">
        <v>9</v>
      </c>
      <c r="E167" t="s">
        <v>198</v>
      </c>
      <c r="F167" t="s">
        <v>104</v>
      </c>
      <c r="G167" t="str">
        <f t="shared" si="4"/>
        <v>34004HOT MERENGUE</v>
      </c>
      <c r="H167">
        <v>2328</v>
      </c>
      <c r="I167">
        <f>VLOOKUP(G167,[1]Hoja1!$G$9143:$H$9575,2,FALSE)</f>
        <v>3120</v>
      </c>
      <c r="J167">
        <f t="shared" si="5"/>
        <v>0.25384615384615383</v>
      </c>
    </row>
    <row r="168" spans="1:10">
      <c r="A168">
        <v>2026</v>
      </c>
      <c r="B168">
        <v>34</v>
      </c>
      <c r="C168" t="s">
        <v>8</v>
      </c>
      <c r="D168" t="s">
        <v>9</v>
      </c>
      <c r="E168" t="s">
        <v>198</v>
      </c>
      <c r="F168" t="s">
        <v>88</v>
      </c>
      <c r="G168" t="str">
        <f t="shared" si="4"/>
        <v>34004SWEETNESS</v>
      </c>
      <c r="H168">
        <v>555</v>
      </c>
      <c r="I168">
        <f>VLOOKUP(G168,[1]Hoja1!$G$9143:$H$9575,2,FALSE)</f>
        <v>600</v>
      </c>
      <c r="J168">
        <f t="shared" si="5"/>
        <v>7.4999999999999997E-2</v>
      </c>
    </row>
    <row r="169" spans="1:10">
      <c r="A169">
        <v>2026</v>
      </c>
      <c r="B169">
        <v>34</v>
      </c>
      <c r="C169" t="s">
        <v>8</v>
      </c>
      <c r="D169" t="s">
        <v>9</v>
      </c>
      <c r="E169" t="s">
        <v>199</v>
      </c>
      <c r="F169" t="s">
        <v>75</v>
      </c>
      <c r="G169" t="str">
        <f t="shared" si="4"/>
        <v>34005EXPLORER</v>
      </c>
      <c r="H169">
        <v>1168</v>
      </c>
      <c r="I169">
        <f>VLOOKUP(G169,[1]Hoja1!$G$9143:$H$9575,2,FALSE)</f>
        <v>1425</v>
      </c>
      <c r="J169">
        <f t="shared" si="5"/>
        <v>0.18035087719298246</v>
      </c>
    </row>
    <row r="170" spans="1:10">
      <c r="A170">
        <v>2026</v>
      </c>
      <c r="B170">
        <v>34</v>
      </c>
      <c r="C170" t="s">
        <v>8</v>
      </c>
      <c r="D170" t="s">
        <v>9</v>
      </c>
      <c r="E170" t="s">
        <v>199</v>
      </c>
      <c r="F170" t="s">
        <v>108</v>
      </c>
      <c r="G170" t="str">
        <f t="shared" si="4"/>
        <v>34005GOLDFINCH</v>
      </c>
      <c r="H170">
        <v>749</v>
      </c>
      <c r="I170">
        <f>VLOOKUP(G170,[1]Hoja1!$G$9143:$H$9575,2,FALSE)</f>
        <v>625</v>
      </c>
      <c r="J170">
        <f t="shared" si="5"/>
        <v>-0.19839999999999999</v>
      </c>
    </row>
    <row r="171" spans="1:10">
      <c r="A171">
        <v>2026</v>
      </c>
      <c r="B171">
        <v>34</v>
      </c>
      <c r="C171" t="s">
        <v>8</v>
      </c>
      <c r="D171" t="s">
        <v>9</v>
      </c>
      <c r="E171" t="s">
        <v>199</v>
      </c>
      <c r="F171" t="s">
        <v>95</v>
      </c>
      <c r="G171" t="str">
        <f t="shared" si="4"/>
        <v>34005JOCKER</v>
      </c>
      <c r="H171">
        <v>1621</v>
      </c>
      <c r="I171">
        <f>VLOOKUP(G171,[1]Hoja1!$G$9143:$H$9575,2,FALSE)</f>
        <v>1925</v>
      </c>
      <c r="J171">
        <f t="shared" si="5"/>
        <v>0.15792207792207794</v>
      </c>
    </row>
    <row r="172" spans="1:10">
      <c r="A172">
        <v>2026</v>
      </c>
      <c r="B172">
        <v>34</v>
      </c>
      <c r="C172" t="s">
        <v>8</v>
      </c>
      <c r="D172" t="s">
        <v>9</v>
      </c>
      <c r="E172" t="s">
        <v>199</v>
      </c>
      <c r="F172" t="s">
        <v>111</v>
      </c>
      <c r="G172" t="str">
        <f t="shared" si="4"/>
        <v>34005VENDELA</v>
      </c>
      <c r="H172">
        <v>1865</v>
      </c>
      <c r="I172">
        <f>VLOOKUP(G172,[1]Hoja1!$G$9143:$H$9575,2,FALSE)</f>
        <v>1560</v>
      </c>
      <c r="J172">
        <f t="shared" si="5"/>
        <v>-0.19551282051282051</v>
      </c>
    </row>
    <row r="173" spans="1:10">
      <c r="A173">
        <v>2026</v>
      </c>
      <c r="B173">
        <v>34</v>
      </c>
      <c r="C173" t="s">
        <v>8</v>
      </c>
      <c r="D173" t="s">
        <v>9</v>
      </c>
      <c r="E173" t="s">
        <v>217</v>
      </c>
      <c r="F173" t="s">
        <v>113</v>
      </c>
      <c r="G173" t="str">
        <f t="shared" si="4"/>
        <v>34006ATOMIC</v>
      </c>
      <c r="H173">
        <v>683</v>
      </c>
      <c r="I173" t="e">
        <f>VLOOKUP(G173,[1]Hoja1!$G$9143:$H$9575,2,FALSE)</f>
        <v>#N/A</v>
      </c>
      <c r="J173" t="e">
        <f t="shared" si="5"/>
        <v>#N/A</v>
      </c>
    </row>
    <row r="174" spans="1:10">
      <c r="A174">
        <v>2026</v>
      </c>
      <c r="B174">
        <v>34</v>
      </c>
      <c r="C174" t="s">
        <v>8</v>
      </c>
      <c r="D174" t="s">
        <v>9</v>
      </c>
      <c r="E174" t="s">
        <v>217</v>
      </c>
      <c r="F174" t="s">
        <v>75</v>
      </c>
      <c r="G174" t="str">
        <f t="shared" si="4"/>
        <v>34006EXPLORER</v>
      </c>
      <c r="H174">
        <v>4669</v>
      </c>
      <c r="I174">
        <f>VLOOKUP(G174,[1]Hoja1!$G$9143:$H$9575,2,FALSE)</f>
        <v>5750</v>
      </c>
      <c r="J174">
        <f t="shared" si="5"/>
        <v>0.188</v>
      </c>
    </row>
    <row r="175" spans="1:10">
      <c r="A175">
        <v>2026</v>
      </c>
      <c r="B175">
        <v>34</v>
      </c>
      <c r="C175" t="s">
        <v>8</v>
      </c>
      <c r="D175" t="s">
        <v>9</v>
      </c>
      <c r="E175" t="s">
        <v>217</v>
      </c>
      <c r="F175" t="s">
        <v>116</v>
      </c>
      <c r="G175" t="str">
        <f t="shared" si="4"/>
        <v>34006MONDIAL</v>
      </c>
      <c r="H175">
        <v>5034</v>
      </c>
      <c r="I175">
        <f>VLOOKUP(G175,[1]Hoja1!$G$9143:$H$9575,2,FALSE)</f>
        <v>5550</v>
      </c>
      <c r="J175">
        <f t="shared" si="5"/>
        <v>9.2972972972972967E-2</v>
      </c>
    </row>
    <row r="176" spans="1:10">
      <c r="A176">
        <v>2026</v>
      </c>
      <c r="B176">
        <v>34</v>
      </c>
      <c r="C176" t="s">
        <v>8</v>
      </c>
      <c r="D176" t="s">
        <v>9</v>
      </c>
      <c r="E176" t="s">
        <v>200</v>
      </c>
      <c r="F176" t="s">
        <v>99</v>
      </c>
      <c r="G176" t="str">
        <f t="shared" si="4"/>
        <v>34007COTOPAXI</v>
      </c>
      <c r="H176">
        <v>6160</v>
      </c>
      <c r="I176">
        <f>VLOOKUP(G176,[1]Hoja1!$G$9143:$H$9575,2,FALSE)</f>
        <v>3750</v>
      </c>
      <c r="J176">
        <f t="shared" si="5"/>
        <v>-0.64266666666666672</v>
      </c>
    </row>
    <row r="177" spans="1:10">
      <c r="A177">
        <v>2026</v>
      </c>
      <c r="B177">
        <v>34</v>
      </c>
      <c r="C177" t="s">
        <v>8</v>
      </c>
      <c r="D177" t="s">
        <v>9</v>
      </c>
      <c r="E177" t="s">
        <v>200</v>
      </c>
      <c r="F177" t="s">
        <v>119</v>
      </c>
      <c r="G177" t="str">
        <f t="shared" si="4"/>
        <v>34007REDIANT</v>
      </c>
      <c r="H177">
        <v>1777</v>
      </c>
      <c r="I177">
        <f>VLOOKUP(G177,[1]Hoja1!$G$9143:$H$9575,2,FALSE)</f>
        <v>1110</v>
      </c>
      <c r="J177">
        <f t="shared" si="5"/>
        <v>-0.60090090090090087</v>
      </c>
    </row>
    <row r="178" spans="1:10">
      <c r="A178">
        <v>2026</v>
      </c>
      <c r="B178">
        <v>34</v>
      </c>
      <c r="C178" t="s">
        <v>8</v>
      </c>
      <c r="D178" t="s">
        <v>9</v>
      </c>
      <c r="E178" t="s">
        <v>200</v>
      </c>
      <c r="F178" t="s">
        <v>86</v>
      </c>
      <c r="G178" t="str">
        <f t="shared" si="4"/>
        <v>34007SUMMER ROMANCE</v>
      </c>
      <c r="H178">
        <v>330</v>
      </c>
      <c r="I178">
        <f>VLOOKUP(G178,[1]Hoja1!$G$9143:$H$9575,2,FALSE)</f>
        <v>975</v>
      </c>
      <c r="J178">
        <f t="shared" si="5"/>
        <v>0.66153846153846152</v>
      </c>
    </row>
    <row r="179" spans="1:10">
      <c r="A179">
        <v>2026</v>
      </c>
      <c r="B179">
        <v>34</v>
      </c>
      <c r="C179" t="s">
        <v>8</v>
      </c>
      <c r="D179" t="s">
        <v>9</v>
      </c>
      <c r="E179" t="s">
        <v>200</v>
      </c>
      <c r="F179" t="s">
        <v>111</v>
      </c>
      <c r="G179" t="str">
        <f t="shared" si="4"/>
        <v>34007VENDELA</v>
      </c>
      <c r="H179">
        <v>10411</v>
      </c>
      <c r="I179">
        <f>VLOOKUP(G179,[1]Hoja1!$G$9143:$H$9575,2,FALSE)</f>
        <v>7680</v>
      </c>
      <c r="J179">
        <f t="shared" si="5"/>
        <v>-0.35559895833333333</v>
      </c>
    </row>
    <row r="180" spans="1:10">
      <c r="A180">
        <v>2026</v>
      </c>
      <c r="B180">
        <v>34</v>
      </c>
      <c r="C180" t="s">
        <v>8</v>
      </c>
      <c r="D180" t="s">
        <v>9</v>
      </c>
      <c r="E180" t="s">
        <v>195</v>
      </c>
      <c r="F180" t="s">
        <v>92</v>
      </c>
      <c r="G180" t="str">
        <f t="shared" si="4"/>
        <v>34008DEEP PURPLE</v>
      </c>
      <c r="H180">
        <v>3549</v>
      </c>
      <c r="I180">
        <f>VLOOKUP(G180,[1]Hoja1!$G$9143:$H$9575,2,FALSE)</f>
        <v>3900</v>
      </c>
      <c r="J180">
        <f t="shared" si="5"/>
        <v>0.09</v>
      </c>
    </row>
    <row r="181" spans="1:10">
      <c r="A181">
        <v>2026</v>
      </c>
      <c r="B181">
        <v>34</v>
      </c>
      <c r="C181" t="s">
        <v>8</v>
      </c>
      <c r="D181" t="s">
        <v>9</v>
      </c>
      <c r="E181" t="s">
        <v>195</v>
      </c>
      <c r="F181" t="s">
        <v>124</v>
      </c>
      <c r="G181" t="str">
        <f t="shared" si="4"/>
        <v>34008FREEDOM</v>
      </c>
      <c r="H181">
        <v>3477</v>
      </c>
      <c r="I181">
        <f>VLOOKUP(G181,[1]Hoja1!$G$9143:$H$9575,2,FALSE)</f>
        <v>3180</v>
      </c>
      <c r="J181">
        <f t="shared" si="5"/>
        <v>-9.3396226415094333E-2</v>
      </c>
    </row>
    <row r="182" spans="1:10">
      <c r="A182">
        <v>2026</v>
      </c>
      <c r="B182">
        <v>34</v>
      </c>
      <c r="C182" t="s">
        <v>8</v>
      </c>
      <c r="D182" t="s">
        <v>9</v>
      </c>
      <c r="E182" t="s">
        <v>195</v>
      </c>
      <c r="F182" t="s">
        <v>95</v>
      </c>
      <c r="G182" t="str">
        <f t="shared" si="4"/>
        <v>34008JOCKER</v>
      </c>
      <c r="H182">
        <v>3784</v>
      </c>
      <c r="I182">
        <f>VLOOKUP(G182,[1]Hoja1!$G$9143:$H$9575,2,FALSE)</f>
        <v>4975</v>
      </c>
      <c r="J182">
        <f t="shared" si="5"/>
        <v>0.23939698492462311</v>
      </c>
    </row>
    <row r="183" spans="1:10">
      <c r="A183">
        <v>2026</v>
      </c>
      <c r="B183">
        <v>34</v>
      </c>
      <c r="C183" t="s">
        <v>8</v>
      </c>
      <c r="D183" t="s">
        <v>9</v>
      </c>
      <c r="E183" t="s">
        <v>218</v>
      </c>
      <c r="F183" t="s">
        <v>127</v>
      </c>
      <c r="G183" t="str">
        <f t="shared" si="4"/>
        <v>34010COOLDOWN</v>
      </c>
      <c r="H183">
        <v>1899</v>
      </c>
      <c r="I183">
        <f>VLOOKUP(G183,[1]Hoja1!$G$9143:$H$9575,2,FALSE)</f>
        <v>1900</v>
      </c>
      <c r="J183">
        <f t="shared" si="5"/>
        <v>5.263157894736842E-4</v>
      </c>
    </row>
    <row r="184" spans="1:10">
      <c r="A184">
        <v>2026</v>
      </c>
      <c r="B184">
        <v>34</v>
      </c>
      <c r="C184" t="s">
        <v>8</v>
      </c>
      <c r="D184" t="s">
        <v>9</v>
      </c>
      <c r="E184" t="s">
        <v>218</v>
      </c>
      <c r="F184" t="s">
        <v>129</v>
      </c>
      <c r="G184" t="str">
        <f t="shared" si="4"/>
        <v>34010VIOLET HILL</v>
      </c>
      <c r="H184">
        <v>3575</v>
      </c>
      <c r="I184">
        <f>VLOOKUP(G184,[1]Hoja1!$G$9143:$H$9575,2,FALSE)</f>
        <v>4440</v>
      </c>
      <c r="J184">
        <f t="shared" si="5"/>
        <v>0.19481981981981983</v>
      </c>
    </row>
    <row r="185" spans="1:10">
      <c r="A185">
        <v>2026</v>
      </c>
      <c r="B185">
        <v>34</v>
      </c>
      <c r="C185" t="s">
        <v>8</v>
      </c>
      <c r="D185" t="s">
        <v>9</v>
      </c>
      <c r="E185" t="s">
        <v>219</v>
      </c>
      <c r="F185" t="s">
        <v>131</v>
      </c>
      <c r="G185" t="str">
        <f t="shared" si="4"/>
        <v>34011BRIGHTON</v>
      </c>
      <c r="H185">
        <v>2910</v>
      </c>
      <c r="I185">
        <f>VLOOKUP(G185,[1]Hoja1!$G$9143:$H$9575,2,FALSE)</f>
        <v>3375</v>
      </c>
      <c r="J185">
        <f t="shared" si="5"/>
        <v>0.13777777777777778</v>
      </c>
    </row>
    <row r="186" spans="1:10">
      <c r="A186">
        <v>2026</v>
      </c>
      <c r="B186">
        <v>34</v>
      </c>
      <c r="C186" t="s">
        <v>8</v>
      </c>
      <c r="D186" t="s">
        <v>9</v>
      </c>
      <c r="E186" t="s">
        <v>219</v>
      </c>
      <c r="F186" t="s">
        <v>133</v>
      </c>
      <c r="G186" t="str">
        <f t="shared" si="4"/>
        <v>34011CANDLELIGHT</v>
      </c>
      <c r="H186">
        <v>4082</v>
      </c>
      <c r="I186">
        <f>VLOOKUP(G186,[1]Hoja1!$G$9143:$H$9575,2,FALSE)</f>
        <v>4160</v>
      </c>
      <c r="J186">
        <f t="shared" si="5"/>
        <v>1.8749999999999999E-2</v>
      </c>
    </row>
    <row r="187" spans="1:10">
      <c r="A187">
        <v>2026</v>
      </c>
      <c r="B187">
        <v>34</v>
      </c>
      <c r="C187" t="s">
        <v>8</v>
      </c>
      <c r="D187" t="s">
        <v>9</v>
      </c>
      <c r="E187" t="s">
        <v>219</v>
      </c>
      <c r="F187" t="s">
        <v>135</v>
      </c>
      <c r="G187" t="str">
        <f t="shared" si="4"/>
        <v>34011CAYENNE</v>
      </c>
      <c r="H187">
        <v>1272</v>
      </c>
      <c r="I187">
        <f>VLOOKUP(G187,[1]Hoja1!$G$9143:$H$9575,2,FALSE)</f>
        <v>1590</v>
      </c>
      <c r="J187">
        <f t="shared" si="5"/>
        <v>0.2</v>
      </c>
    </row>
    <row r="188" spans="1:10">
      <c r="A188">
        <v>2026</v>
      </c>
      <c r="B188">
        <v>34</v>
      </c>
      <c r="C188" t="s">
        <v>8</v>
      </c>
      <c r="D188" t="s">
        <v>9</v>
      </c>
      <c r="E188" t="s">
        <v>219</v>
      </c>
      <c r="F188" t="s">
        <v>138</v>
      </c>
      <c r="G188" t="str">
        <f t="shared" si="4"/>
        <v>34011STARDUST</v>
      </c>
      <c r="H188">
        <v>3040</v>
      </c>
      <c r="I188">
        <f>VLOOKUP(G188,[1]Hoja1!$G$9143:$H$9575,2,FALSE)</f>
        <v>3500</v>
      </c>
      <c r="J188">
        <f t="shared" si="5"/>
        <v>0.13142857142857142</v>
      </c>
    </row>
    <row r="189" spans="1:10">
      <c r="A189">
        <v>2026</v>
      </c>
      <c r="B189">
        <v>34</v>
      </c>
      <c r="C189" t="s">
        <v>8</v>
      </c>
      <c r="D189" t="s">
        <v>9</v>
      </c>
      <c r="E189" t="s">
        <v>220</v>
      </c>
      <c r="F189" t="s">
        <v>92</v>
      </c>
      <c r="G189" t="str">
        <f t="shared" si="4"/>
        <v>34012DEEP PURPLE</v>
      </c>
      <c r="H189">
        <v>13750</v>
      </c>
      <c r="I189">
        <f>VLOOKUP(G189,[1]Hoja1!$G$9143:$H$9575,2,FALSE)</f>
        <v>12630</v>
      </c>
      <c r="J189">
        <f t="shared" si="5"/>
        <v>-8.8677751385589865E-2</v>
      </c>
    </row>
    <row r="190" spans="1:10">
      <c r="A190">
        <v>2026</v>
      </c>
      <c r="B190">
        <v>34</v>
      </c>
      <c r="C190" t="s">
        <v>8</v>
      </c>
      <c r="D190" t="s">
        <v>9</v>
      </c>
      <c r="E190" t="s">
        <v>220</v>
      </c>
      <c r="F190" t="s">
        <v>81</v>
      </c>
      <c r="G190" t="str">
        <f t="shared" si="4"/>
        <v>34012LIGHT HOUSE</v>
      </c>
      <c r="H190">
        <v>1218</v>
      </c>
      <c r="I190">
        <f>VLOOKUP(G190,[1]Hoja1!$G$9143:$H$9575,2,FALSE)</f>
        <v>1020</v>
      </c>
      <c r="J190">
        <f t="shared" si="5"/>
        <v>-0.19411764705882353</v>
      </c>
    </row>
    <row r="191" spans="1:10">
      <c r="A191">
        <v>2026</v>
      </c>
      <c r="B191">
        <v>34</v>
      </c>
      <c r="C191" t="s">
        <v>8</v>
      </c>
      <c r="D191" t="s">
        <v>9</v>
      </c>
      <c r="E191" t="s">
        <v>221</v>
      </c>
      <c r="F191" t="s">
        <v>142</v>
      </c>
      <c r="G191" t="str">
        <f t="shared" si="4"/>
        <v>34013COUNTRY BLUES</v>
      </c>
      <c r="H191">
        <v>1179</v>
      </c>
      <c r="I191">
        <f>VLOOKUP(G191,[1]Hoja1!$G$9143:$H$9575,2,FALSE)</f>
        <v>1060</v>
      </c>
      <c r="J191">
        <f t="shared" si="5"/>
        <v>-0.11226415094339623</v>
      </c>
    </row>
    <row r="192" spans="1:10">
      <c r="A192">
        <v>2026</v>
      </c>
      <c r="B192">
        <v>34</v>
      </c>
      <c r="C192" t="s">
        <v>8</v>
      </c>
      <c r="D192" t="s">
        <v>9</v>
      </c>
      <c r="E192" t="s">
        <v>221</v>
      </c>
      <c r="F192" t="s">
        <v>144</v>
      </c>
      <c r="G192" t="str">
        <f t="shared" si="4"/>
        <v>34013LORRAINE</v>
      </c>
      <c r="H192">
        <v>2489</v>
      </c>
      <c r="I192">
        <f>VLOOKUP(G192,[1]Hoja1!$G$9143:$H$9575,2,FALSE)</f>
        <v>2550</v>
      </c>
      <c r="J192">
        <f t="shared" si="5"/>
        <v>2.3921568627450981E-2</v>
      </c>
    </row>
    <row r="193" spans="1:10">
      <c r="A193">
        <v>2026</v>
      </c>
      <c r="B193">
        <v>34</v>
      </c>
      <c r="C193" t="s">
        <v>8</v>
      </c>
      <c r="D193" t="s">
        <v>9</v>
      </c>
      <c r="E193" t="s">
        <v>221</v>
      </c>
      <c r="F193" t="s">
        <v>111</v>
      </c>
      <c r="G193" t="str">
        <f t="shared" si="4"/>
        <v>34013VENDELA</v>
      </c>
      <c r="H193">
        <v>7414</v>
      </c>
      <c r="I193">
        <f>VLOOKUP(G193,[1]Hoja1!$G$9143:$H$9575,2,FALSE)</f>
        <v>7050</v>
      </c>
      <c r="J193">
        <f t="shared" si="5"/>
        <v>-5.1631205673758868E-2</v>
      </c>
    </row>
    <row r="194" spans="1:10">
      <c r="A194">
        <v>2026</v>
      </c>
      <c r="B194">
        <v>34</v>
      </c>
      <c r="C194" t="s">
        <v>8</v>
      </c>
      <c r="D194" t="s">
        <v>9</v>
      </c>
      <c r="E194" t="s">
        <v>202</v>
      </c>
      <c r="F194" t="s">
        <v>138</v>
      </c>
      <c r="G194" t="str">
        <f t="shared" si="4"/>
        <v>34014STARDUST</v>
      </c>
      <c r="H194">
        <v>3271</v>
      </c>
      <c r="I194">
        <f>VLOOKUP(G194,[1]Hoja1!$G$9143:$H$9575,2,FALSE)</f>
        <v>5150</v>
      </c>
      <c r="J194">
        <f t="shared" si="5"/>
        <v>0.36485436893203882</v>
      </c>
    </row>
    <row r="195" spans="1:10">
      <c r="A195">
        <v>2026</v>
      </c>
      <c r="B195">
        <v>34</v>
      </c>
      <c r="C195" t="s">
        <v>8</v>
      </c>
      <c r="D195" t="s">
        <v>9</v>
      </c>
      <c r="E195" t="s">
        <v>203</v>
      </c>
      <c r="F195" t="s">
        <v>95</v>
      </c>
      <c r="G195" t="str">
        <f t="shared" ref="G195:G258" si="6">+B195&amp;E195&amp;F195</f>
        <v>34015JOCKER</v>
      </c>
      <c r="H195">
        <v>2695</v>
      </c>
      <c r="I195">
        <f>VLOOKUP(G195,[1]Hoja1!$G$9143:$H$9575,2,FALSE)</f>
        <v>3025</v>
      </c>
      <c r="J195">
        <f t="shared" ref="J195:J258" si="7">+(I195-H195)/I195</f>
        <v>0.10909090909090909</v>
      </c>
    </row>
    <row r="196" spans="1:10">
      <c r="A196">
        <v>2026</v>
      </c>
      <c r="B196">
        <v>34</v>
      </c>
      <c r="C196" t="s">
        <v>8</v>
      </c>
      <c r="D196" t="s">
        <v>9</v>
      </c>
      <c r="E196" t="s">
        <v>204</v>
      </c>
      <c r="F196" t="s">
        <v>150</v>
      </c>
      <c r="G196" t="str">
        <f t="shared" si="6"/>
        <v>34016DREAM IN PEACH</v>
      </c>
      <c r="H196">
        <v>745</v>
      </c>
      <c r="I196">
        <f>VLOOKUP(G196,[1]Hoja1!$G$9143:$H$9575,2,FALSE)</f>
        <v>1230</v>
      </c>
      <c r="J196">
        <f t="shared" si="7"/>
        <v>0.39430894308943087</v>
      </c>
    </row>
    <row r="197" spans="1:10">
      <c r="A197">
        <v>2026</v>
      </c>
      <c r="B197">
        <v>34</v>
      </c>
      <c r="C197" t="s">
        <v>8</v>
      </c>
      <c r="D197" t="s">
        <v>9</v>
      </c>
      <c r="E197" t="s">
        <v>204</v>
      </c>
      <c r="F197" t="s">
        <v>152</v>
      </c>
      <c r="G197" t="str">
        <f t="shared" si="6"/>
        <v>34016NINA</v>
      </c>
      <c r="H197">
        <v>2192</v>
      </c>
      <c r="I197">
        <f>VLOOKUP(G197,[1]Hoja1!$G$9143:$H$9575,2,FALSE)</f>
        <v>1800</v>
      </c>
      <c r="J197">
        <f t="shared" si="7"/>
        <v>-0.21777777777777776</v>
      </c>
    </row>
    <row r="198" spans="1:10">
      <c r="A198">
        <v>2026</v>
      </c>
      <c r="B198">
        <v>34</v>
      </c>
      <c r="C198" t="s">
        <v>8</v>
      </c>
      <c r="D198" t="s">
        <v>9</v>
      </c>
      <c r="E198" t="s">
        <v>205</v>
      </c>
      <c r="F198" t="s">
        <v>124</v>
      </c>
      <c r="G198" t="str">
        <f t="shared" si="6"/>
        <v>34017FREEDOM</v>
      </c>
      <c r="H198">
        <v>4697</v>
      </c>
      <c r="I198">
        <f>VLOOKUP(G198,[1]Hoja1!$G$9143:$H$9575,2,FALSE)</f>
        <v>4950</v>
      </c>
      <c r="J198">
        <f t="shared" si="7"/>
        <v>5.1111111111111114E-2</v>
      </c>
    </row>
    <row r="199" spans="1:10">
      <c r="A199">
        <v>2026</v>
      </c>
      <c r="B199">
        <v>34</v>
      </c>
      <c r="C199" t="s">
        <v>8</v>
      </c>
      <c r="D199" t="s">
        <v>9</v>
      </c>
      <c r="E199" t="s">
        <v>205</v>
      </c>
      <c r="F199" t="s">
        <v>108</v>
      </c>
      <c r="G199" t="str">
        <f t="shared" si="6"/>
        <v>34017GOLDFINCH</v>
      </c>
      <c r="H199">
        <v>2049</v>
      </c>
      <c r="I199">
        <f>VLOOKUP(G199,[1]Hoja1!$G$9143:$H$9575,2,FALSE)</f>
        <v>1975</v>
      </c>
      <c r="J199">
        <f t="shared" si="7"/>
        <v>-3.7468354430379748E-2</v>
      </c>
    </row>
    <row r="200" spans="1:10">
      <c r="A200">
        <v>2026</v>
      </c>
      <c r="B200">
        <v>34</v>
      </c>
      <c r="C200" t="s">
        <v>8</v>
      </c>
      <c r="D200" t="s">
        <v>9</v>
      </c>
      <c r="E200" t="s">
        <v>206</v>
      </c>
      <c r="F200" t="s">
        <v>131</v>
      </c>
      <c r="G200" t="str">
        <f t="shared" si="6"/>
        <v>34018BRIGHTON</v>
      </c>
      <c r="H200">
        <v>1208</v>
      </c>
      <c r="I200">
        <f>VLOOKUP(G200,[1]Hoja1!$G$9143:$H$9575,2,FALSE)</f>
        <v>1650</v>
      </c>
      <c r="J200">
        <f t="shared" si="7"/>
        <v>0.26787878787878788</v>
      </c>
    </row>
    <row r="201" spans="1:10">
      <c r="A201">
        <v>2026</v>
      </c>
      <c r="B201">
        <v>34</v>
      </c>
      <c r="C201" t="s">
        <v>8</v>
      </c>
      <c r="D201" t="s">
        <v>9</v>
      </c>
      <c r="E201" t="s">
        <v>207</v>
      </c>
      <c r="F201" t="s">
        <v>131</v>
      </c>
      <c r="G201" t="str">
        <f t="shared" si="6"/>
        <v>34019BRIGHTON</v>
      </c>
      <c r="H201">
        <v>5266</v>
      </c>
      <c r="I201">
        <f>VLOOKUP(G201,[1]Hoja1!$G$9143:$H$9575,2,FALSE)</f>
        <v>5600</v>
      </c>
      <c r="J201">
        <f t="shared" si="7"/>
        <v>5.9642857142857143E-2</v>
      </c>
    </row>
    <row r="202" spans="1:10">
      <c r="A202">
        <v>2026</v>
      </c>
      <c r="B202">
        <v>34</v>
      </c>
      <c r="C202" t="s">
        <v>8</v>
      </c>
      <c r="D202" t="s">
        <v>9</v>
      </c>
      <c r="E202" t="s">
        <v>207</v>
      </c>
      <c r="F202" t="s">
        <v>158</v>
      </c>
      <c r="G202" t="str">
        <f t="shared" si="6"/>
        <v>34019TABATHA</v>
      </c>
      <c r="H202">
        <v>2222</v>
      </c>
      <c r="I202">
        <f>VLOOKUP(G202,[1]Hoja1!$G$9143:$H$9575,2,FALSE)</f>
        <v>2370</v>
      </c>
      <c r="J202">
        <f t="shared" si="7"/>
        <v>6.2447257383966247E-2</v>
      </c>
    </row>
    <row r="203" spans="1:10">
      <c r="A203">
        <v>2026</v>
      </c>
      <c r="B203">
        <v>34</v>
      </c>
      <c r="C203" t="s">
        <v>8</v>
      </c>
      <c r="D203" t="s">
        <v>9</v>
      </c>
      <c r="E203" t="s">
        <v>208</v>
      </c>
      <c r="F203" t="s">
        <v>131</v>
      </c>
      <c r="G203" t="str">
        <f t="shared" si="6"/>
        <v>34020BRIGHTON</v>
      </c>
      <c r="H203">
        <v>4242</v>
      </c>
      <c r="I203">
        <f>VLOOKUP(G203,[1]Hoja1!$G$9143:$H$9575,2,FALSE)</f>
        <v>4125</v>
      </c>
      <c r="J203">
        <f t="shared" si="7"/>
        <v>-2.8363636363636365E-2</v>
      </c>
    </row>
    <row r="204" spans="1:10">
      <c r="A204">
        <v>2026</v>
      </c>
      <c r="B204">
        <v>34</v>
      </c>
      <c r="C204" t="s">
        <v>8</v>
      </c>
      <c r="D204" t="s">
        <v>9</v>
      </c>
      <c r="E204" t="s">
        <v>208</v>
      </c>
      <c r="F204" t="s">
        <v>161</v>
      </c>
      <c r="G204" t="str">
        <f t="shared" si="6"/>
        <v>34020TYCOON</v>
      </c>
      <c r="H204">
        <v>950</v>
      </c>
      <c r="I204">
        <f>VLOOKUP(G204,[1]Hoja1!$G$9143:$H$9575,2,FALSE)</f>
        <v>930</v>
      </c>
      <c r="J204">
        <f t="shared" si="7"/>
        <v>-2.1505376344086023E-2</v>
      </c>
    </row>
    <row r="205" spans="1:10">
      <c r="A205">
        <v>2026</v>
      </c>
      <c r="B205">
        <v>34</v>
      </c>
      <c r="C205" t="s">
        <v>8</v>
      </c>
      <c r="D205" t="s">
        <v>9</v>
      </c>
      <c r="E205" t="s">
        <v>196</v>
      </c>
      <c r="F205" t="s">
        <v>163</v>
      </c>
      <c r="G205" t="str">
        <f t="shared" si="6"/>
        <v>34021SHOW GIRL</v>
      </c>
      <c r="H205">
        <v>1842</v>
      </c>
      <c r="I205">
        <f>VLOOKUP(G205,[1]Hoja1!$G$9143:$H$9575,2,FALSE)</f>
        <v>1825</v>
      </c>
      <c r="J205">
        <f t="shared" si="7"/>
        <v>-9.3150684931506845E-3</v>
      </c>
    </row>
    <row r="206" spans="1:10">
      <c r="A206">
        <v>2026</v>
      </c>
      <c r="B206">
        <v>34</v>
      </c>
      <c r="C206" t="s">
        <v>8</v>
      </c>
      <c r="D206" t="s">
        <v>9</v>
      </c>
      <c r="E206" t="s">
        <v>209</v>
      </c>
      <c r="F206" t="s">
        <v>165</v>
      </c>
      <c r="G206" t="str">
        <f t="shared" si="6"/>
        <v>34022CORAL REEF</v>
      </c>
      <c r="H206">
        <v>1792</v>
      </c>
      <c r="I206">
        <f>VLOOKUP(G206,[1]Hoja1!$G$9143:$H$9575,2,FALSE)</f>
        <v>1475</v>
      </c>
      <c r="J206">
        <f t="shared" si="7"/>
        <v>-0.21491525423728813</v>
      </c>
    </row>
    <row r="207" spans="1:10">
      <c r="A207">
        <v>2026</v>
      </c>
      <c r="B207">
        <v>34</v>
      </c>
      <c r="C207" t="s">
        <v>8</v>
      </c>
      <c r="D207" t="s">
        <v>9</v>
      </c>
      <c r="E207" t="s">
        <v>222</v>
      </c>
      <c r="F207" t="s">
        <v>99</v>
      </c>
      <c r="G207" t="str">
        <f t="shared" si="6"/>
        <v>34023COTOPAXI</v>
      </c>
      <c r="H207">
        <v>5851</v>
      </c>
      <c r="I207">
        <f>VLOOKUP(G207,[1]Hoja1!$G$9143:$H$9575,2,FALSE)</f>
        <v>6090</v>
      </c>
      <c r="J207">
        <f t="shared" si="7"/>
        <v>3.924466338259442E-2</v>
      </c>
    </row>
    <row r="208" spans="1:10">
      <c r="A208">
        <v>2026</v>
      </c>
      <c r="B208">
        <v>34</v>
      </c>
      <c r="C208" t="s">
        <v>8</v>
      </c>
      <c r="D208" t="s">
        <v>9</v>
      </c>
      <c r="E208" t="s">
        <v>222</v>
      </c>
      <c r="F208" t="s">
        <v>168</v>
      </c>
      <c r="G208" t="str">
        <f t="shared" si="6"/>
        <v>34023FRUTTETO</v>
      </c>
      <c r="H208">
        <v>4266</v>
      </c>
      <c r="I208">
        <f>VLOOKUP(G208,[1]Hoja1!$G$9143:$H$9575,2,FALSE)</f>
        <v>4650</v>
      </c>
      <c r="J208">
        <f t="shared" si="7"/>
        <v>8.2580645161290323E-2</v>
      </c>
    </row>
    <row r="209" spans="1:10">
      <c r="A209">
        <v>2026</v>
      </c>
      <c r="B209">
        <v>34</v>
      </c>
      <c r="C209" t="s">
        <v>8</v>
      </c>
      <c r="D209" t="s">
        <v>9</v>
      </c>
      <c r="E209" t="s">
        <v>223</v>
      </c>
      <c r="F209" t="s">
        <v>99</v>
      </c>
      <c r="G209" t="str">
        <f t="shared" si="6"/>
        <v>34024COTOPAXI</v>
      </c>
      <c r="H209">
        <v>3086</v>
      </c>
      <c r="I209">
        <f>VLOOKUP(G209,[1]Hoja1!$G$9143:$H$9575,2,FALSE)</f>
        <v>3120</v>
      </c>
      <c r="J209">
        <f t="shared" si="7"/>
        <v>1.0897435897435897E-2</v>
      </c>
    </row>
    <row r="210" spans="1:10">
      <c r="A210">
        <v>2026</v>
      </c>
      <c r="B210">
        <v>34</v>
      </c>
      <c r="C210" t="s">
        <v>8</v>
      </c>
      <c r="D210" t="s">
        <v>9</v>
      </c>
      <c r="E210" t="s">
        <v>223</v>
      </c>
      <c r="F210" t="s">
        <v>88</v>
      </c>
      <c r="G210" t="str">
        <f t="shared" si="6"/>
        <v>34024SWEETNESS</v>
      </c>
      <c r="H210">
        <v>2012</v>
      </c>
      <c r="I210">
        <f>VLOOKUP(G210,[1]Hoja1!$G$9143:$H$9575,2,FALSE)</f>
        <v>1980</v>
      </c>
      <c r="J210">
        <f t="shared" si="7"/>
        <v>-1.6161616161616162E-2</v>
      </c>
    </row>
    <row r="211" spans="1:10">
      <c r="A211">
        <v>2026</v>
      </c>
      <c r="B211">
        <v>34</v>
      </c>
      <c r="C211" t="s">
        <v>8</v>
      </c>
      <c r="D211" t="s">
        <v>9</v>
      </c>
      <c r="E211" t="s">
        <v>223</v>
      </c>
      <c r="F211" t="s">
        <v>161</v>
      </c>
      <c r="G211" t="str">
        <f t="shared" si="6"/>
        <v>34024TYCOON</v>
      </c>
      <c r="H211">
        <v>3107</v>
      </c>
      <c r="I211">
        <f>VLOOKUP(G211,[1]Hoja1!$G$9143:$H$9575,2,FALSE)</f>
        <v>3810</v>
      </c>
      <c r="J211">
        <f t="shared" si="7"/>
        <v>0.18451443569553805</v>
      </c>
    </row>
    <row r="212" spans="1:10">
      <c r="A212">
        <v>2026</v>
      </c>
      <c r="B212">
        <v>34</v>
      </c>
      <c r="C212" t="s">
        <v>8</v>
      </c>
      <c r="D212" t="s">
        <v>9</v>
      </c>
      <c r="E212" t="s">
        <v>224</v>
      </c>
      <c r="F212" t="s">
        <v>173</v>
      </c>
      <c r="G212" t="str">
        <f t="shared" si="6"/>
        <v>34025PINK MONDIAL</v>
      </c>
      <c r="H212">
        <v>4888</v>
      </c>
      <c r="I212">
        <f>VLOOKUP(G212,[1]Hoja1!$G$9143:$H$9575,2,FALSE)</f>
        <v>4450</v>
      </c>
      <c r="J212">
        <f t="shared" si="7"/>
        <v>-9.8426966292134835E-2</v>
      </c>
    </row>
    <row r="213" spans="1:10">
      <c r="A213">
        <v>2026</v>
      </c>
      <c r="B213">
        <v>34</v>
      </c>
      <c r="C213" t="s">
        <v>8</v>
      </c>
      <c r="D213" t="s">
        <v>9</v>
      </c>
      <c r="E213" t="s">
        <v>210</v>
      </c>
      <c r="F213" t="s">
        <v>175</v>
      </c>
      <c r="G213" t="str">
        <f t="shared" si="6"/>
        <v>34026LOLA</v>
      </c>
      <c r="H213">
        <v>4045</v>
      </c>
      <c r="I213">
        <f>VLOOKUP(G213,[1]Hoja1!$G$9143:$H$9575,2,FALSE)</f>
        <v>4000</v>
      </c>
      <c r="J213">
        <f t="shared" si="7"/>
        <v>-1.125E-2</v>
      </c>
    </row>
    <row r="214" spans="1:10">
      <c r="A214">
        <v>2026</v>
      </c>
      <c r="B214">
        <v>34</v>
      </c>
      <c r="C214" t="s">
        <v>8</v>
      </c>
      <c r="D214" t="s">
        <v>9</v>
      </c>
      <c r="E214" t="s">
        <v>210</v>
      </c>
      <c r="F214" t="s">
        <v>177</v>
      </c>
      <c r="G214" t="str">
        <f t="shared" si="6"/>
        <v>34026PALOMA</v>
      </c>
      <c r="H214">
        <v>3426</v>
      </c>
      <c r="I214">
        <f>VLOOKUP(G214,[1]Hoja1!$G$9143:$H$9575,2,FALSE)</f>
        <v>4150</v>
      </c>
      <c r="J214">
        <f t="shared" si="7"/>
        <v>0.17445783132530121</v>
      </c>
    </row>
    <row r="215" spans="1:10">
      <c r="A215">
        <v>2026</v>
      </c>
      <c r="B215">
        <v>34</v>
      </c>
      <c r="C215" t="s">
        <v>8</v>
      </c>
      <c r="D215" t="s">
        <v>9</v>
      </c>
      <c r="E215" t="s">
        <v>225</v>
      </c>
      <c r="F215" t="s">
        <v>179</v>
      </c>
      <c r="G215" t="str">
        <f t="shared" si="6"/>
        <v>34027SATISFACTION</v>
      </c>
      <c r="H215">
        <v>4187</v>
      </c>
      <c r="I215">
        <f>VLOOKUP(G215,[1]Hoja1!$G$9143:$H$9575,2,FALSE)</f>
        <v>4230</v>
      </c>
      <c r="J215">
        <f t="shared" si="7"/>
        <v>1.0165484633569741E-2</v>
      </c>
    </row>
    <row r="216" spans="1:10">
      <c r="A216">
        <v>2026</v>
      </c>
      <c r="B216">
        <v>34</v>
      </c>
      <c r="C216" t="s">
        <v>8</v>
      </c>
      <c r="D216" t="s">
        <v>9</v>
      </c>
      <c r="E216" t="s">
        <v>225</v>
      </c>
      <c r="F216" t="s">
        <v>181</v>
      </c>
      <c r="G216" t="str">
        <f t="shared" si="6"/>
        <v>34027TIFFANY</v>
      </c>
      <c r="H216">
        <v>5591</v>
      </c>
      <c r="I216">
        <f>VLOOKUP(G216,[1]Hoja1!$G$9143:$H$9575,2,FALSE)</f>
        <v>5340</v>
      </c>
      <c r="J216">
        <f t="shared" si="7"/>
        <v>-4.700374531835206E-2</v>
      </c>
    </row>
    <row r="217" spans="1:10">
      <c r="A217">
        <v>2026</v>
      </c>
      <c r="B217">
        <v>34</v>
      </c>
      <c r="C217" t="s">
        <v>8</v>
      </c>
      <c r="D217" t="s">
        <v>9</v>
      </c>
      <c r="E217" t="s">
        <v>226</v>
      </c>
      <c r="F217" t="s">
        <v>99</v>
      </c>
      <c r="G217" t="str">
        <f t="shared" si="6"/>
        <v>34028COTOPAXI</v>
      </c>
      <c r="H217">
        <v>4752</v>
      </c>
      <c r="I217">
        <f>VLOOKUP(G217,[1]Hoja1!$G$9143:$H$9575,2,FALSE)</f>
        <v>5040</v>
      </c>
      <c r="J217">
        <f t="shared" si="7"/>
        <v>5.7142857142857141E-2</v>
      </c>
    </row>
    <row r="218" spans="1:10">
      <c r="A218">
        <v>2026</v>
      </c>
      <c r="B218">
        <v>34</v>
      </c>
      <c r="C218" t="s">
        <v>8</v>
      </c>
      <c r="D218" t="s">
        <v>9</v>
      </c>
      <c r="E218" t="s">
        <v>226</v>
      </c>
      <c r="F218" t="s">
        <v>92</v>
      </c>
      <c r="G218" t="str">
        <f t="shared" si="6"/>
        <v>34028DEEP PURPLE</v>
      </c>
      <c r="H218">
        <v>6990</v>
      </c>
      <c r="I218">
        <f>VLOOKUP(G218,[1]Hoja1!$G$9143:$H$9575,2,FALSE)</f>
        <v>5820</v>
      </c>
      <c r="J218">
        <f t="shared" si="7"/>
        <v>-0.20103092783505155</v>
      </c>
    </row>
    <row r="219" spans="1:10">
      <c r="A219">
        <v>2026</v>
      </c>
      <c r="B219">
        <v>34</v>
      </c>
      <c r="C219" t="s">
        <v>8</v>
      </c>
      <c r="D219" t="s">
        <v>9</v>
      </c>
      <c r="E219" t="s">
        <v>227</v>
      </c>
      <c r="F219" t="s">
        <v>185</v>
      </c>
      <c r="G219" t="str">
        <f t="shared" si="6"/>
        <v>34029PINK FLOYD</v>
      </c>
      <c r="H219">
        <v>4254</v>
      </c>
      <c r="I219">
        <f>VLOOKUP(G219,[1]Hoja1!$G$9143:$H$9575,2,FALSE)</f>
        <v>3375</v>
      </c>
      <c r="J219">
        <f t="shared" si="7"/>
        <v>-0.26044444444444442</v>
      </c>
    </row>
    <row r="220" spans="1:10">
      <c r="A220">
        <v>2026</v>
      </c>
      <c r="B220">
        <v>34</v>
      </c>
      <c r="C220" t="s">
        <v>8</v>
      </c>
      <c r="D220" t="s">
        <v>9</v>
      </c>
      <c r="E220" t="s">
        <v>211</v>
      </c>
      <c r="F220" t="s">
        <v>75</v>
      </c>
      <c r="G220" t="str">
        <f t="shared" si="6"/>
        <v>34030EXPLORER</v>
      </c>
      <c r="H220">
        <v>1428</v>
      </c>
      <c r="I220">
        <f>VLOOKUP(G220,[1]Hoja1!$G$9143:$H$9575,2,FALSE)</f>
        <v>1750</v>
      </c>
      <c r="J220">
        <f t="shared" si="7"/>
        <v>0.184</v>
      </c>
    </row>
    <row r="221" spans="1:10">
      <c r="A221">
        <v>2026</v>
      </c>
      <c r="B221">
        <v>34</v>
      </c>
      <c r="C221" t="s">
        <v>8</v>
      </c>
      <c r="D221" t="s">
        <v>9</v>
      </c>
      <c r="E221" t="s">
        <v>215</v>
      </c>
      <c r="F221" t="s">
        <v>10</v>
      </c>
      <c r="G221" t="str">
        <f t="shared" si="6"/>
        <v>34001LUMIA</v>
      </c>
      <c r="H221">
        <v>1395</v>
      </c>
      <c r="I221">
        <f>VLOOKUP(G221,[1]Hoja1!$G$9143:$H$9575,2,FALSE)</f>
        <v>1380</v>
      </c>
      <c r="J221">
        <f t="shared" si="7"/>
        <v>-1.0869565217391304E-2</v>
      </c>
    </row>
    <row r="222" spans="1:10">
      <c r="A222">
        <v>2026</v>
      </c>
      <c r="B222">
        <v>34</v>
      </c>
      <c r="C222" t="s">
        <v>8</v>
      </c>
      <c r="D222" t="s">
        <v>9</v>
      </c>
      <c r="E222" t="s">
        <v>219</v>
      </c>
      <c r="F222" t="s">
        <v>10</v>
      </c>
      <c r="G222" t="str">
        <f t="shared" si="6"/>
        <v>34011LUMIA</v>
      </c>
      <c r="H222">
        <v>1120</v>
      </c>
      <c r="I222">
        <f>VLOOKUP(G222,[1]Hoja1!$G$9143:$H$9575,2,FALSE)</f>
        <v>1500</v>
      </c>
      <c r="J222">
        <f t="shared" si="7"/>
        <v>0.25333333333333335</v>
      </c>
    </row>
    <row r="223" spans="1:10">
      <c r="A223">
        <v>2026</v>
      </c>
      <c r="B223">
        <v>34</v>
      </c>
      <c r="C223" t="s">
        <v>8</v>
      </c>
      <c r="D223" t="s">
        <v>9</v>
      </c>
      <c r="E223" t="s">
        <v>221</v>
      </c>
      <c r="F223" t="s">
        <v>10</v>
      </c>
      <c r="G223" t="str">
        <f t="shared" si="6"/>
        <v>34013LUMIA</v>
      </c>
      <c r="H223">
        <v>470</v>
      </c>
      <c r="I223">
        <f>VLOOKUP(G223,[1]Hoja1!$G$9143:$H$9575,2,FALSE)</f>
        <v>570</v>
      </c>
      <c r="J223">
        <f t="shared" si="7"/>
        <v>0.17543859649122806</v>
      </c>
    </row>
    <row r="224" spans="1:10">
      <c r="A224">
        <v>2026</v>
      </c>
      <c r="B224">
        <v>35</v>
      </c>
      <c r="C224" t="s">
        <v>12</v>
      </c>
      <c r="D224" t="s">
        <v>9</v>
      </c>
      <c r="E224" t="s">
        <v>197</v>
      </c>
      <c r="F224" t="s">
        <v>15</v>
      </c>
      <c r="G224" t="str">
        <f t="shared" si="6"/>
        <v>35002SOMERSET</v>
      </c>
      <c r="H224">
        <v>9570</v>
      </c>
      <c r="I224">
        <f>VLOOKUP(G224,[1]Hoja1!$G$9143:$H$9575,2,FALSE)</f>
        <v>10240</v>
      </c>
      <c r="J224">
        <f t="shared" si="7"/>
        <v>6.54296875E-2</v>
      </c>
    </row>
    <row r="225" spans="1:10">
      <c r="A225">
        <v>2026</v>
      </c>
      <c r="B225">
        <v>35</v>
      </c>
      <c r="C225" t="s">
        <v>12</v>
      </c>
      <c r="D225" t="s">
        <v>9</v>
      </c>
      <c r="E225" t="s">
        <v>198</v>
      </c>
      <c r="F225" t="s">
        <v>17</v>
      </c>
      <c r="G225" t="str">
        <f t="shared" si="6"/>
        <v>35004BELLINA</v>
      </c>
      <c r="H225">
        <v>1069</v>
      </c>
      <c r="I225">
        <f>VLOOKUP(G225,[1]Hoja1!$G$9143:$H$9575,2,FALSE)</f>
        <v>1200</v>
      </c>
      <c r="J225">
        <f t="shared" si="7"/>
        <v>0.10916666666666666</v>
      </c>
    </row>
    <row r="226" spans="1:10">
      <c r="A226">
        <v>2026</v>
      </c>
      <c r="B226">
        <v>35</v>
      </c>
      <c r="C226" t="s">
        <v>12</v>
      </c>
      <c r="D226" t="s">
        <v>9</v>
      </c>
      <c r="E226" t="s">
        <v>199</v>
      </c>
      <c r="F226" t="s">
        <v>19</v>
      </c>
      <c r="G226" t="str">
        <f t="shared" si="6"/>
        <v>35005ELBA</v>
      </c>
      <c r="H226">
        <v>6638</v>
      </c>
      <c r="I226">
        <f>VLOOKUP(G226,[1]Hoja1!$G$9143:$H$9575,2,FALSE)</f>
        <v>8040</v>
      </c>
      <c r="J226">
        <f t="shared" si="7"/>
        <v>0.17437810945273632</v>
      </c>
    </row>
    <row r="227" spans="1:10">
      <c r="A227">
        <v>2026</v>
      </c>
      <c r="B227">
        <v>35</v>
      </c>
      <c r="C227" t="s">
        <v>12</v>
      </c>
      <c r="D227" t="s">
        <v>9</v>
      </c>
      <c r="E227" t="s">
        <v>199</v>
      </c>
      <c r="F227" t="s">
        <v>21</v>
      </c>
      <c r="G227" t="str">
        <f t="shared" si="6"/>
        <v>35005HOT BUBBLES</v>
      </c>
      <c r="H227">
        <v>1420</v>
      </c>
      <c r="I227">
        <f>VLOOKUP(G227,[1]Hoja1!$G$9143:$H$9575,2,FALSE)</f>
        <v>1140</v>
      </c>
      <c r="J227">
        <f t="shared" si="7"/>
        <v>-0.24561403508771928</v>
      </c>
    </row>
    <row r="228" spans="1:10">
      <c r="A228">
        <v>2026</v>
      </c>
      <c r="B228">
        <v>35</v>
      </c>
      <c r="C228" t="s">
        <v>12</v>
      </c>
      <c r="D228" t="s">
        <v>9</v>
      </c>
      <c r="E228" t="s">
        <v>199</v>
      </c>
      <c r="F228" t="s">
        <v>23</v>
      </c>
      <c r="G228" t="str">
        <f t="shared" si="6"/>
        <v>35005SUSPIRO</v>
      </c>
      <c r="H228">
        <v>2979</v>
      </c>
      <c r="I228">
        <f>VLOOKUP(G228,[1]Hoja1!$G$9143:$H$9575,2,FALSE)</f>
        <v>4530</v>
      </c>
      <c r="J228">
        <f t="shared" si="7"/>
        <v>0.34238410596026492</v>
      </c>
    </row>
    <row r="229" spans="1:10">
      <c r="A229">
        <v>2026</v>
      </c>
      <c r="B229">
        <v>35</v>
      </c>
      <c r="C229" t="s">
        <v>12</v>
      </c>
      <c r="D229" t="s">
        <v>9</v>
      </c>
      <c r="E229" t="s">
        <v>200</v>
      </c>
      <c r="F229" t="s">
        <v>25</v>
      </c>
      <c r="G229" t="str">
        <f t="shared" si="6"/>
        <v>35007SNOW BUBBLES</v>
      </c>
      <c r="H229">
        <v>1037</v>
      </c>
      <c r="I229" t="e">
        <f>VLOOKUP(G229,[1]Hoja1!$G$9143:$H$9575,2,FALSE)</f>
        <v>#N/A</v>
      </c>
      <c r="J229" t="e">
        <f t="shared" si="7"/>
        <v>#N/A</v>
      </c>
    </row>
    <row r="230" spans="1:10">
      <c r="A230">
        <v>2026</v>
      </c>
      <c r="B230">
        <v>35</v>
      </c>
      <c r="C230" t="s">
        <v>12</v>
      </c>
      <c r="D230" t="s">
        <v>9</v>
      </c>
      <c r="E230" t="s">
        <v>201</v>
      </c>
      <c r="F230" t="s">
        <v>21</v>
      </c>
      <c r="G230" t="str">
        <f t="shared" si="6"/>
        <v>35009HOT BUBBLES</v>
      </c>
      <c r="H230">
        <v>14410</v>
      </c>
      <c r="I230">
        <f>VLOOKUP(G230,[1]Hoja1!$G$9143:$H$9575,2,FALSE)</f>
        <v>8020</v>
      </c>
      <c r="J230">
        <f t="shared" si="7"/>
        <v>-0.79675810473815456</v>
      </c>
    </row>
    <row r="231" spans="1:10">
      <c r="A231">
        <v>2026</v>
      </c>
      <c r="B231">
        <v>35</v>
      </c>
      <c r="C231" t="s">
        <v>12</v>
      </c>
      <c r="D231" t="s">
        <v>9</v>
      </c>
      <c r="E231" t="s">
        <v>202</v>
      </c>
      <c r="F231" t="s">
        <v>28</v>
      </c>
      <c r="G231" t="str">
        <f t="shared" si="6"/>
        <v>35014FRUITY BUBBLES</v>
      </c>
      <c r="H231">
        <v>2985</v>
      </c>
      <c r="I231">
        <f>VLOOKUP(G231,[1]Hoja1!$G$9143:$H$9575,2,FALSE)</f>
        <v>1375</v>
      </c>
      <c r="J231">
        <f t="shared" si="7"/>
        <v>-1.1709090909090909</v>
      </c>
    </row>
    <row r="232" spans="1:10">
      <c r="A232">
        <v>2026</v>
      </c>
      <c r="B232">
        <v>35</v>
      </c>
      <c r="C232" t="s">
        <v>12</v>
      </c>
      <c r="D232" t="s">
        <v>9</v>
      </c>
      <c r="E232" t="s">
        <v>203</v>
      </c>
      <c r="F232" t="s">
        <v>30</v>
      </c>
      <c r="G232" t="str">
        <f t="shared" si="6"/>
        <v>35015FELLINI</v>
      </c>
      <c r="H232">
        <v>4916</v>
      </c>
      <c r="I232">
        <f>VLOOKUP(G232,[1]Hoja1!$G$9143:$H$9575,2,FALSE)</f>
        <v>5400</v>
      </c>
      <c r="J232">
        <f t="shared" si="7"/>
        <v>8.9629629629629629E-2</v>
      </c>
    </row>
    <row r="233" spans="1:10">
      <c r="A233">
        <v>2026</v>
      </c>
      <c r="B233">
        <v>35</v>
      </c>
      <c r="C233" t="s">
        <v>12</v>
      </c>
      <c r="D233" t="s">
        <v>9</v>
      </c>
      <c r="E233" t="s">
        <v>204</v>
      </c>
      <c r="F233" t="s">
        <v>32</v>
      </c>
      <c r="G233" t="str">
        <f t="shared" si="6"/>
        <v>35016GOOD PEACH</v>
      </c>
      <c r="H233">
        <v>3386</v>
      </c>
      <c r="I233">
        <f>VLOOKUP(G233,[1]Hoja1!$G$9143:$H$9575,2,FALSE)</f>
        <v>2610</v>
      </c>
      <c r="J233">
        <f t="shared" si="7"/>
        <v>-0.29731800766283523</v>
      </c>
    </row>
    <row r="234" spans="1:10">
      <c r="A234">
        <v>2026</v>
      </c>
      <c r="B234">
        <v>35</v>
      </c>
      <c r="C234" t="s">
        <v>12</v>
      </c>
      <c r="D234" t="s">
        <v>9</v>
      </c>
      <c r="E234" t="s">
        <v>204</v>
      </c>
      <c r="F234" t="s">
        <v>34</v>
      </c>
      <c r="G234" t="str">
        <f t="shared" si="6"/>
        <v>35016GOOD YELLOW</v>
      </c>
      <c r="H234">
        <v>3323</v>
      </c>
      <c r="I234">
        <f>VLOOKUP(G234,[1]Hoja1!$G$9143:$H$9575,2,FALSE)</f>
        <v>3000</v>
      </c>
      <c r="J234">
        <f t="shared" si="7"/>
        <v>-0.10766666666666666</v>
      </c>
    </row>
    <row r="235" spans="1:10">
      <c r="A235">
        <v>2026</v>
      </c>
      <c r="B235">
        <v>35</v>
      </c>
      <c r="C235" t="s">
        <v>12</v>
      </c>
      <c r="D235" t="s">
        <v>9</v>
      </c>
      <c r="E235" t="s">
        <v>205</v>
      </c>
      <c r="F235" t="s">
        <v>36</v>
      </c>
      <c r="G235" t="str">
        <f t="shared" si="6"/>
        <v>35017ORANGE STAR</v>
      </c>
      <c r="H235">
        <v>893</v>
      </c>
      <c r="I235">
        <f>VLOOKUP(G235,[1]Hoja1!$G$9143:$H$9575,2,FALSE)</f>
        <v>1325</v>
      </c>
      <c r="J235">
        <f t="shared" si="7"/>
        <v>0.3260377358490566</v>
      </c>
    </row>
    <row r="236" spans="1:10">
      <c r="A236">
        <v>2026</v>
      </c>
      <c r="B236">
        <v>35</v>
      </c>
      <c r="C236" t="s">
        <v>12</v>
      </c>
      <c r="D236" t="s">
        <v>9</v>
      </c>
      <c r="E236" t="s">
        <v>206</v>
      </c>
      <c r="F236" t="s">
        <v>38</v>
      </c>
      <c r="G236" t="str">
        <f t="shared" si="6"/>
        <v>35018COSMO</v>
      </c>
      <c r="H236">
        <v>4563</v>
      </c>
      <c r="I236">
        <f>VLOOKUP(G236,[1]Hoja1!$G$9143:$H$9575,2,FALSE)</f>
        <v>3200</v>
      </c>
      <c r="J236">
        <f t="shared" si="7"/>
        <v>-0.42593750000000002</v>
      </c>
    </row>
    <row r="237" spans="1:10">
      <c r="A237">
        <v>2026</v>
      </c>
      <c r="B237">
        <v>35</v>
      </c>
      <c r="C237" t="s">
        <v>12</v>
      </c>
      <c r="D237" t="s">
        <v>9</v>
      </c>
      <c r="E237" t="s">
        <v>206</v>
      </c>
      <c r="F237" t="s">
        <v>40</v>
      </c>
      <c r="G237" t="str">
        <f t="shared" si="6"/>
        <v>35018RUBICON</v>
      </c>
      <c r="H237">
        <v>3982</v>
      </c>
      <c r="I237">
        <f>VLOOKUP(G237,[1]Hoja1!$G$9143:$H$9575,2,FALSE)</f>
        <v>3900</v>
      </c>
      <c r="J237">
        <f t="shared" si="7"/>
        <v>-2.1025641025641025E-2</v>
      </c>
    </row>
    <row r="238" spans="1:10">
      <c r="A238">
        <v>2026</v>
      </c>
      <c r="B238">
        <v>35</v>
      </c>
      <c r="C238" t="s">
        <v>12</v>
      </c>
      <c r="D238" t="s">
        <v>9</v>
      </c>
      <c r="E238" t="s">
        <v>207</v>
      </c>
      <c r="F238" t="s">
        <v>17</v>
      </c>
      <c r="G238" t="str">
        <f t="shared" si="6"/>
        <v>35019BELLINA</v>
      </c>
      <c r="H238">
        <v>1459</v>
      </c>
      <c r="I238">
        <f>VLOOKUP(G238,[1]Hoja1!$G$9143:$H$9575,2,FALSE)</f>
        <v>1545</v>
      </c>
      <c r="J238">
        <f t="shared" si="7"/>
        <v>5.5663430420711972E-2</v>
      </c>
    </row>
    <row r="239" spans="1:10">
      <c r="A239">
        <v>2026</v>
      </c>
      <c r="B239">
        <v>35</v>
      </c>
      <c r="C239" t="s">
        <v>12</v>
      </c>
      <c r="D239" t="s">
        <v>9</v>
      </c>
      <c r="E239" t="s">
        <v>208</v>
      </c>
      <c r="F239" t="s">
        <v>43</v>
      </c>
      <c r="G239" t="str">
        <f t="shared" si="6"/>
        <v>35020SUMMER DANCE</v>
      </c>
      <c r="H239">
        <v>2264</v>
      </c>
      <c r="I239">
        <f>VLOOKUP(G239,[1]Hoja1!$G$9143:$H$9575,2,FALSE)</f>
        <v>1950</v>
      </c>
      <c r="J239">
        <f t="shared" si="7"/>
        <v>-0.16102564102564101</v>
      </c>
    </row>
    <row r="240" spans="1:10">
      <c r="A240">
        <v>2026</v>
      </c>
      <c r="B240">
        <v>35</v>
      </c>
      <c r="C240" t="s">
        <v>12</v>
      </c>
      <c r="D240" t="s">
        <v>9</v>
      </c>
      <c r="E240" t="s">
        <v>196</v>
      </c>
      <c r="F240" t="s">
        <v>45</v>
      </c>
      <c r="G240" t="str">
        <f t="shared" si="6"/>
        <v>35021ELEGANT ROSEVER</v>
      </c>
      <c r="H240">
        <v>541</v>
      </c>
      <c r="I240">
        <f>VLOOKUP(G240,[1]Hoja1!$G$9143:$H$9575,2,FALSE)</f>
        <v>240</v>
      </c>
      <c r="J240">
        <f t="shared" si="7"/>
        <v>-1.2541666666666667</v>
      </c>
    </row>
    <row r="241" spans="1:10">
      <c r="A241">
        <v>2026</v>
      </c>
      <c r="B241">
        <v>35</v>
      </c>
      <c r="C241" t="s">
        <v>12</v>
      </c>
      <c r="D241" t="s">
        <v>9</v>
      </c>
      <c r="E241" t="s">
        <v>196</v>
      </c>
      <c r="F241" t="s">
        <v>47</v>
      </c>
      <c r="G241" t="str">
        <f t="shared" si="6"/>
        <v>35021FLAME CLUB</v>
      </c>
      <c r="H241">
        <v>1618</v>
      </c>
      <c r="I241">
        <f>VLOOKUP(G241,[1]Hoja1!$G$9143:$H$9575,2,FALSE)</f>
        <v>1350</v>
      </c>
      <c r="J241">
        <f t="shared" si="7"/>
        <v>-0.19851851851851851</v>
      </c>
    </row>
    <row r="242" spans="1:10">
      <c r="A242">
        <v>2026</v>
      </c>
      <c r="B242">
        <v>35</v>
      </c>
      <c r="C242" t="s">
        <v>12</v>
      </c>
      <c r="D242" t="s">
        <v>9</v>
      </c>
      <c r="E242" t="s">
        <v>196</v>
      </c>
      <c r="F242" t="s">
        <v>49</v>
      </c>
      <c r="G242" t="str">
        <f t="shared" si="6"/>
        <v>35021KELLY</v>
      </c>
      <c r="H242">
        <v>631</v>
      </c>
      <c r="I242">
        <f>VLOOKUP(G242,[1]Hoja1!$G$9143:$H$9575,2,FALSE)</f>
        <v>500</v>
      </c>
      <c r="J242">
        <f t="shared" si="7"/>
        <v>-0.26200000000000001</v>
      </c>
    </row>
    <row r="243" spans="1:10">
      <c r="A243">
        <v>2026</v>
      </c>
      <c r="B243">
        <v>35</v>
      </c>
      <c r="C243" t="s">
        <v>12</v>
      </c>
      <c r="D243" t="s">
        <v>9</v>
      </c>
      <c r="E243" t="s">
        <v>196</v>
      </c>
      <c r="F243" t="s">
        <v>51</v>
      </c>
      <c r="G243" t="str">
        <f t="shared" si="6"/>
        <v>35021LEILA</v>
      </c>
      <c r="H243">
        <v>2145</v>
      </c>
      <c r="I243">
        <f>VLOOKUP(G243,[1]Hoja1!$G$9143:$H$9575,2,FALSE)</f>
        <v>1150</v>
      </c>
      <c r="J243">
        <f t="shared" si="7"/>
        <v>-0.86521739130434783</v>
      </c>
    </row>
    <row r="244" spans="1:10">
      <c r="A244">
        <v>2026</v>
      </c>
      <c r="B244">
        <v>35</v>
      </c>
      <c r="C244" t="s">
        <v>12</v>
      </c>
      <c r="D244" t="s">
        <v>9</v>
      </c>
      <c r="E244" t="s">
        <v>196</v>
      </c>
      <c r="F244" t="s">
        <v>25</v>
      </c>
      <c r="G244" t="str">
        <f t="shared" si="6"/>
        <v>35021SNOW BUBBLES</v>
      </c>
      <c r="H244">
        <v>2904</v>
      </c>
      <c r="I244">
        <f>VLOOKUP(G244,[1]Hoja1!$G$9143:$H$9575,2,FALSE)</f>
        <v>1780</v>
      </c>
      <c r="J244">
        <f t="shared" si="7"/>
        <v>-0.63146067415730334</v>
      </c>
    </row>
    <row r="245" spans="1:10">
      <c r="A245">
        <v>2026</v>
      </c>
      <c r="B245">
        <v>35</v>
      </c>
      <c r="C245" t="s">
        <v>12</v>
      </c>
      <c r="D245" t="s">
        <v>9</v>
      </c>
      <c r="E245" t="s">
        <v>209</v>
      </c>
      <c r="F245" t="s">
        <v>28</v>
      </c>
      <c r="G245" t="str">
        <f t="shared" si="6"/>
        <v>35022FRUITY BUBBLES</v>
      </c>
      <c r="H245">
        <v>4164</v>
      </c>
      <c r="I245">
        <f>VLOOKUP(G245,[1]Hoja1!$G$9143:$H$9575,2,FALSE)</f>
        <v>2675</v>
      </c>
      <c r="J245">
        <f t="shared" si="7"/>
        <v>-0.5566355140186916</v>
      </c>
    </row>
    <row r="246" spans="1:10">
      <c r="A246">
        <v>2026</v>
      </c>
      <c r="B246">
        <v>35</v>
      </c>
      <c r="C246" t="s">
        <v>12</v>
      </c>
      <c r="D246" t="s">
        <v>9</v>
      </c>
      <c r="E246" t="s">
        <v>209</v>
      </c>
      <c r="F246" t="s">
        <v>32</v>
      </c>
      <c r="G246" t="str">
        <f t="shared" si="6"/>
        <v>35022GOOD PEACH</v>
      </c>
      <c r="H246">
        <v>1861</v>
      </c>
      <c r="I246">
        <f>VLOOKUP(G246,[1]Hoja1!$G$9143:$H$9575,2,FALSE)</f>
        <v>2220</v>
      </c>
      <c r="J246">
        <f t="shared" si="7"/>
        <v>0.16171171171171173</v>
      </c>
    </row>
    <row r="247" spans="1:10">
      <c r="A247">
        <v>2026</v>
      </c>
      <c r="B247">
        <v>35</v>
      </c>
      <c r="C247" t="s">
        <v>12</v>
      </c>
      <c r="D247" t="s">
        <v>9</v>
      </c>
      <c r="E247" t="s">
        <v>209</v>
      </c>
      <c r="F247" t="s">
        <v>56</v>
      </c>
      <c r="G247" t="str">
        <f t="shared" si="6"/>
        <v>35022MIRABEL</v>
      </c>
      <c r="H247">
        <v>1446</v>
      </c>
      <c r="I247">
        <f>VLOOKUP(G247,[1]Hoja1!$G$9143:$H$9575,2,FALSE)</f>
        <v>1160</v>
      </c>
      <c r="J247">
        <f t="shared" si="7"/>
        <v>-0.24655172413793103</v>
      </c>
    </row>
    <row r="248" spans="1:10">
      <c r="A248">
        <v>2026</v>
      </c>
      <c r="B248">
        <v>35</v>
      </c>
      <c r="C248" t="s">
        <v>12</v>
      </c>
      <c r="D248" t="s">
        <v>9</v>
      </c>
      <c r="E248" t="s">
        <v>210</v>
      </c>
      <c r="F248" t="s">
        <v>58</v>
      </c>
      <c r="G248" t="str">
        <f t="shared" si="6"/>
        <v>35026PURPLE BUBBLY</v>
      </c>
      <c r="H248">
        <v>412</v>
      </c>
      <c r="I248" t="e">
        <f>VLOOKUP(G248,[1]Hoja1!$G$9143:$H$9575,2,FALSE)</f>
        <v>#N/A</v>
      </c>
      <c r="J248" t="e">
        <f t="shared" si="7"/>
        <v>#N/A</v>
      </c>
    </row>
    <row r="249" spans="1:10">
      <c r="A249">
        <v>2026</v>
      </c>
      <c r="B249">
        <v>35</v>
      </c>
      <c r="C249" t="s">
        <v>12</v>
      </c>
      <c r="D249" t="s">
        <v>9</v>
      </c>
      <c r="E249" t="s">
        <v>211</v>
      </c>
      <c r="F249" t="s">
        <v>56</v>
      </c>
      <c r="G249" t="str">
        <f t="shared" si="6"/>
        <v>35030MIRABEL</v>
      </c>
      <c r="H249">
        <v>4847</v>
      </c>
      <c r="I249">
        <f>VLOOKUP(G249,[1]Hoja1!$G$9143:$H$9575,2,FALSE)</f>
        <v>3500</v>
      </c>
      <c r="J249">
        <f t="shared" si="7"/>
        <v>-0.38485714285714284</v>
      </c>
    </row>
    <row r="250" spans="1:10">
      <c r="A250">
        <v>2026</v>
      </c>
      <c r="B250">
        <v>35</v>
      </c>
      <c r="C250" t="s">
        <v>12</v>
      </c>
      <c r="D250" t="s">
        <v>9</v>
      </c>
      <c r="E250" t="s">
        <v>211</v>
      </c>
      <c r="F250" t="s">
        <v>15</v>
      </c>
      <c r="G250" t="str">
        <f t="shared" si="6"/>
        <v>35030SOMERSET</v>
      </c>
      <c r="H250">
        <v>3123</v>
      </c>
      <c r="I250">
        <f>VLOOKUP(G250,[1]Hoja1!$G$9143:$H$9575,2,FALSE)</f>
        <v>3100</v>
      </c>
      <c r="J250">
        <f t="shared" si="7"/>
        <v>-7.4193548387096776E-3</v>
      </c>
    </row>
    <row r="251" spans="1:10">
      <c r="A251">
        <v>2026</v>
      </c>
      <c r="B251">
        <v>35</v>
      </c>
      <c r="C251" t="s">
        <v>12</v>
      </c>
      <c r="D251" t="s">
        <v>9</v>
      </c>
      <c r="E251" t="s">
        <v>212</v>
      </c>
      <c r="F251" t="s">
        <v>62</v>
      </c>
      <c r="G251" t="str">
        <f t="shared" si="6"/>
        <v>3503182989</v>
      </c>
      <c r="H251">
        <v>1913</v>
      </c>
      <c r="I251">
        <f>VLOOKUP(G251,[1]Hoja1!$G$9143:$H$9575,2,FALSE)</f>
        <v>840</v>
      </c>
      <c r="J251">
        <f t="shared" si="7"/>
        <v>-1.2773809523809523</v>
      </c>
    </row>
    <row r="252" spans="1:10">
      <c r="A252">
        <v>2026</v>
      </c>
      <c r="B252">
        <v>35</v>
      </c>
      <c r="C252" t="s">
        <v>12</v>
      </c>
      <c r="D252" t="s">
        <v>9</v>
      </c>
      <c r="E252" t="s">
        <v>212</v>
      </c>
      <c r="F252" t="s">
        <v>40</v>
      </c>
      <c r="G252" t="str">
        <f t="shared" si="6"/>
        <v>35031RUBICON</v>
      </c>
      <c r="H252">
        <v>1805</v>
      </c>
      <c r="I252">
        <f>VLOOKUP(G252,[1]Hoja1!$G$9143:$H$9575,2,FALSE)</f>
        <v>1770</v>
      </c>
      <c r="J252">
        <f t="shared" si="7"/>
        <v>-1.977401129943503E-2</v>
      </c>
    </row>
    <row r="253" spans="1:10">
      <c r="A253">
        <v>2026</v>
      </c>
      <c r="B253">
        <v>35</v>
      </c>
      <c r="C253" t="s">
        <v>12</v>
      </c>
      <c r="D253" t="s">
        <v>9</v>
      </c>
      <c r="E253" t="s">
        <v>212</v>
      </c>
      <c r="F253" t="s">
        <v>15</v>
      </c>
      <c r="G253" t="str">
        <f t="shared" si="6"/>
        <v>35031SOMERSET</v>
      </c>
      <c r="H253">
        <v>2268</v>
      </c>
      <c r="I253">
        <f>VLOOKUP(G253,[1]Hoja1!$G$9143:$H$9575,2,FALSE)</f>
        <v>4240</v>
      </c>
      <c r="J253">
        <f t="shared" si="7"/>
        <v>0.46509433962264152</v>
      </c>
    </row>
    <row r="254" spans="1:10">
      <c r="A254">
        <v>2026</v>
      </c>
      <c r="B254">
        <v>35</v>
      </c>
      <c r="C254" t="s">
        <v>12</v>
      </c>
      <c r="D254" t="s">
        <v>9</v>
      </c>
      <c r="E254" t="s">
        <v>212</v>
      </c>
      <c r="F254" t="s">
        <v>66</v>
      </c>
      <c r="G254" t="str">
        <f t="shared" si="6"/>
        <v>35031VELVET BLOSSOMS</v>
      </c>
      <c r="H254">
        <v>508</v>
      </c>
      <c r="I254">
        <f>VLOOKUP(G254,[1]Hoja1!$G$9143:$H$9575,2,FALSE)</f>
        <v>440</v>
      </c>
      <c r="J254">
        <f t="shared" si="7"/>
        <v>-0.15454545454545454</v>
      </c>
    </row>
    <row r="255" spans="1:10">
      <c r="A255">
        <v>2026</v>
      </c>
      <c r="B255">
        <v>35</v>
      </c>
      <c r="C255" t="s">
        <v>12</v>
      </c>
      <c r="D255" t="s">
        <v>9</v>
      </c>
      <c r="E255" t="s">
        <v>213</v>
      </c>
      <c r="F255" t="s">
        <v>19</v>
      </c>
      <c r="G255" t="str">
        <f t="shared" si="6"/>
        <v>35032ELBA</v>
      </c>
      <c r="H255">
        <v>3687</v>
      </c>
      <c r="I255">
        <f>VLOOKUP(G255,[1]Hoja1!$G$9143:$H$9575,2,FALSE)</f>
        <v>2730</v>
      </c>
      <c r="J255">
        <f t="shared" si="7"/>
        <v>-0.35054945054945053</v>
      </c>
    </row>
    <row r="256" spans="1:10">
      <c r="A256">
        <v>2026</v>
      </c>
      <c r="B256">
        <v>35</v>
      </c>
      <c r="C256" t="s">
        <v>12</v>
      </c>
      <c r="D256" t="s">
        <v>9</v>
      </c>
      <c r="E256" t="s">
        <v>213</v>
      </c>
      <c r="F256" t="s">
        <v>56</v>
      </c>
      <c r="G256" t="str">
        <f t="shared" si="6"/>
        <v>35032MIRABEL</v>
      </c>
      <c r="H256">
        <v>1630</v>
      </c>
      <c r="I256">
        <f>VLOOKUP(G256,[1]Hoja1!$G$9143:$H$9575,2,FALSE)</f>
        <v>1500</v>
      </c>
      <c r="J256">
        <f t="shared" si="7"/>
        <v>-8.666666666666667E-2</v>
      </c>
    </row>
    <row r="257" spans="1:10">
      <c r="A257">
        <v>2026</v>
      </c>
      <c r="B257">
        <v>35</v>
      </c>
      <c r="C257" t="s">
        <v>12</v>
      </c>
      <c r="D257" t="s">
        <v>9</v>
      </c>
      <c r="E257" t="s">
        <v>214</v>
      </c>
      <c r="F257" t="s">
        <v>70</v>
      </c>
      <c r="G257" t="str">
        <f t="shared" si="6"/>
        <v>35033CREAMY FOLIES</v>
      </c>
      <c r="H257">
        <v>1188</v>
      </c>
      <c r="I257">
        <f>VLOOKUP(G257,[1]Hoja1!$G$9143:$H$9575,2,FALSE)</f>
        <v>1440</v>
      </c>
      <c r="J257">
        <f t="shared" si="7"/>
        <v>0.17499999999999999</v>
      </c>
    </row>
    <row r="258" spans="1:10">
      <c r="A258">
        <v>2026</v>
      </c>
      <c r="B258">
        <v>35</v>
      </c>
      <c r="C258" t="s">
        <v>12</v>
      </c>
      <c r="D258" t="s">
        <v>9</v>
      </c>
      <c r="E258" t="s">
        <v>214</v>
      </c>
      <c r="F258" t="s">
        <v>21</v>
      </c>
      <c r="G258" t="str">
        <f t="shared" si="6"/>
        <v>35033HOT BUBBLES</v>
      </c>
      <c r="H258">
        <v>3445</v>
      </c>
      <c r="I258">
        <f>VLOOKUP(G258,[1]Hoja1!$G$9143:$H$9575,2,FALSE)</f>
        <v>2380</v>
      </c>
      <c r="J258">
        <f t="shared" si="7"/>
        <v>-0.44747899159663868</v>
      </c>
    </row>
    <row r="259" spans="1:10">
      <c r="A259">
        <v>2026</v>
      </c>
      <c r="B259">
        <v>35</v>
      </c>
      <c r="C259" t="s">
        <v>8</v>
      </c>
      <c r="D259" t="s">
        <v>9</v>
      </c>
      <c r="E259" t="s">
        <v>215</v>
      </c>
      <c r="F259" t="s">
        <v>73</v>
      </c>
      <c r="G259" t="str">
        <f t="shared" ref="G259:G322" si="8">+B259&amp;E259&amp;F259</f>
        <v>35001BELIEVE IN PINK</v>
      </c>
      <c r="H259">
        <v>769</v>
      </c>
      <c r="I259">
        <f>VLOOKUP(G259,[1]Hoja1!$G$9143:$H$9575,2,FALSE)</f>
        <v>1200</v>
      </c>
      <c r="J259">
        <f t="shared" ref="J259:J322" si="9">+(I259-H259)/I259</f>
        <v>0.35916666666666669</v>
      </c>
    </row>
    <row r="260" spans="1:10">
      <c r="A260">
        <v>2026</v>
      </c>
      <c r="B260">
        <v>35</v>
      </c>
      <c r="C260" t="s">
        <v>8</v>
      </c>
      <c r="D260" t="s">
        <v>9</v>
      </c>
      <c r="E260" t="s">
        <v>215</v>
      </c>
      <c r="F260" t="s">
        <v>75</v>
      </c>
      <c r="G260" t="str">
        <f t="shared" si="8"/>
        <v>35001EXPLORER</v>
      </c>
      <c r="H260">
        <v>3380</v>
      </c>
      <c r="I260">
        <f>VLOOKUP(G260,[1]Hoja1!$G$9143:$H$9575,2,FALSE)</f>
        <v>4025</v>
      </c>
      <c r="J260">
        <f t="shared" si="9"/>
        <v>0.16024844720496895</v>
      </c>
    </row>
    <row r="261" spans="1:10">
      <c r="A261">
        <v>2026</v>
      </c>
      <c r="B261">
        <v>35</v>
      </c>
      <c r="C261" t="s">
        <v>8</v>
      </c>
      <c r="D261" t="s">
        <v>9</v>
      </c>
      <c r="E261" t="s">
        <v>215</v>
      </c>
      <c r="F261" t="s">
        <v>77</v>
      </c>
      <c r="G261" t="str">
        <f t="shared" si="8"/>
        <v>35001GRACE KELLY</v>
      </c>
      <c r="H261">
        <v>1477</v>
      </c>
      <c r="I261">
        <f>VLOOKUP(G261,[1]Hoja1!$G$9143:$H$9575,2,FALSE)</f>
        <v>1440</v>
      </c>
      <c r="J261">
        <f t="shared" si="9"/>
        <v>-2.5694444444444443E-2</v>
      </c>
    </row>
    <row r="262" spans="1:10">
      <c r="A262">
        <v>2026</v>
      </c>
      <c r="B262">
        <v>35</v>
      </c>
      <c r="C262" t="s">
        <v>8</v>
      </c>
      <c r="D262" t="s">
        <v>9</v>
      </c>
      <c r="E262" t="s">
        <v>215</v>
      </c>
      <c r="F262" t="s">
        <v>79</v>
      </c>
      <c r="G262" t="str">
        <f t="shared" si="8"/>
        <v>35001IDOLE</v>
      </c>
      <c r="H262">
        <v>1062</v>
      </c>
      <c r="I262" t="e">
        <f>VLOOKUP(G262,[1]Hoja1!$G$9143:$H$9575,2,FALSE)</f>
        <v>#N/A</v>
      </c>
      <c r="J262" t="e">
        <f t="shared" si="9"/>
        <v>#N/A</v>
      </c>
    </row>
    <row r="263" spans="1:10">
      <c r="A263">
        <v>2026</v>
      </c>
      <c r="B263">
        <v>35</v>
      </c>
      <c r="C263" t="s">
        <v>8</v>
      </c>
      <c r="D263" t="s">
        <v>9</v>
      </c>
      <c r="E263" t="s">
        <v>215</v>
      </c>
      <c r="F263" t="s">
        <v>81</v>
      </c>
      <c r="G263" t="str">
        <f t="shared" si="8"/>
        <v>35001LIGHT HOUSE</v>
      </c>
      <c r="H263">
        <v>1488</v>
      </c>
      <c r="I263">
        <f>VLOOKUP(G263,[1]Hoja1!$G$9143:$H$9575,2,FALSE)</f>
        <v>1800</v>
      </c>
      <c r="J263">
        <f t="shared" si="9"/>
        <v>0.17333333333333334</v>
      </c>
    </row>
    <row r="264" spans="1:10">
      <c r="A264">
        <v>2026</v>
      </c>
      <c r="B264">
        <v>35</v>
      </c>
      <c r="C264" t="s">
        <v>8</v>
      </c>
      <c r="D264" t="s">
        <v>9</v>
      </c>
      <c r="E264" t="s">
        <v>215</v>
      </c>
      <c r="F264" t="s">
        <v>10</v>
      </c>
      <c r="G264" t="str">
        <f t="shared" si="8"/>
        <v>35001LUMIA</v>
      </c>
      <c r="H264">
        <v>1238</v>
      </c>
      <c r="I264">
        <f>VLOOKUP(G264,[1]Hoja1!$G$9143:$H$9575,2,FALSE)</f>
        <v>1170</v>
      </c>
      <c r="J264">
        <f t="shared" si="9"/>
        <v>-5.8119658119658121E-2</v>
      </c>
    </row>
    <row r="265" spans="1:10">
      <c r="A265">
        <v>2026</v>
      </c>
      <c r="B265">
        <v>35</v>
      </c>
      <c r="C265" t="s">
        <v>8</v>
      </c>
      <c r="D265" t="s">
        <v>9</v>
      </c>
      <c r="E265" t="s">
        <v>215</v>
      </c>
      <c r="F265" t="s">
        <v>84</v>
      </c>
      <c r="G265" t="str">
        <f t="shared" si="8"/>
        <v>35001MOMENTUM</v>
      </c>
      <c r="H265">
        <v>4009</v>
      </c>
      <c r="I265">
        <f>VLOOKUP(G265,[1]Hoja1!$G$9143:$H$9575,2,FALSE)</f>
        <v>3550</v>
      </c>
      <c r="J265">
        <f t="shared" si="9"/>
        <v>-0.12929577464788733</v>
      </c>
    </row>
    <row r="266" spans="1:10">
      <c r="A266">
        <v>2026</v>
      </c>
      <c r="B266">
        <v>35</v>
      </c>
      <c r="C266" t="s">
        <v>8</v>
      </c>
      <c r="D266" t="s">
        <v>9</v>
      </c>
      <c r="E266" t="s">
        <v>197</v>
      </c>
      <c r="F266" t="s">
        <v>86</v>
      </c>
      <c r="G266" t="str">
        <f t="shared" si="8"/>
        <v>35002SUMMER ROMANCE</v>
      </c>
      <c r="H266">
        <v>2011</v>
      </c>
      <c r="I266">
        <f>VLOOKUP(G266,[1]Hoja1!$G$9143:$H$9575,2,FALSE)</f>
        <v>1625</v>
      </c>
      <c r="J266">
        <f t="shared" si="9"/>
        <v>-0.23753846153846153</v>
      </c>
    </row>
    <row r="267" spans="1:10">
      <c r="A267">
        <v>2026</v>
      </c>
      <c r="B267">
        <v>35</v>
      </c>
      <c r="C267" t="s">
        <v>8</v>
      </c>
      <c r="D267" t="s">
        <v>9</v>
      </c>
      <c r="E267" t="s">
        <v>197</v>
      </c>
      <c r="F267" t="s">
        <v>88</v>
      </c>
      <c r="G267" t="str">
        <f t="shared" si="8"/>
        <v>35002SWEETNESS</v>
      </c>
      <c r="H267">
        <v>5428</v>
      </c>
      <c r="I267">
        <f>VLOOKUP(G267,[1]Hoja1!$G$9143:$H$9575,2,FALSE)</f>
        <v>5790</v>
      </c>
      <c r="J267">
        <f t="shared" si="9"/>
        <v>6.2521588946459414E-2</v>
      </c>
    </row>
    <row r="268" spans="1:10">
      <c r="A268">
        <v>2026</v>
      </c>
      <c r="B268">
        <v>35</v>
      </c>
      <c r="C268" t="s">
        <v>8</v>
      </c>
      <c r="D268" t="s">
        <v>9</v>
      </c>
      <c r="E268" t="s">
        <v>216</v>
      </c>
      <c r="F268" t="s">
        <v>90</v>
      </c>
      <c r="G268" t="str">
        <f t="shared" si="8"/>
        <v>35003CABARET</v>
      </c>
      <c r="H268">
        <v>3285</v>
      </c>
      <c r="I268">
        <f>VLOOKUP(G268,[1]Hoja1!$G$9143:$H$9575,2,FALSE)</f>
        <v>4110</v>
      </c>
      <c r="J268">
        <f t="shared" si="9"/>
        <v>0.20072992700729927</v>
      </c>
    </row>
    <row r="269" spans="1:10">
      <c r="A269">
        <v>2026</v>
      </c>
      <c r="B269">
        <v>35</v>
      </c>
      <c r="C269" t="s">
        <v>8</v>
      </c>
      <c r="D269" t="s">
        <v>9</v>
      </c>
      <c r="E269" t="s">
        <v>216</v>
      </c>
      <c r="F269" t="s">
        <v>92</v>
      </c>
      <c r="G269" t="str">
        <f t="shared" si="8"/>
        <v>35003DEEP PURPLE</v>
      </c>
      <c r="H269">
        <v>6933</v>
      </c>
      <c r="I269">
        <f>VLOOKUP(G269,[1]Hoja1!$G$9143:$H$9575,2,FALSE)</f>
        <v>9300</v>
      </c>
      <c r="J269">
        <f t="shared" si="9"/>
        <v>0.25451612903225806</v>
      </c>
    </row>
    <row r="270" spans="1:10">
      <c r="A270">
        <v>2026</v>
      </c>
      <c r="B270">
        <v>35</v>
      </c>
      <c r="C270" t="s">
        <v>8</v>
      </c>
      <c r="D270" t="s">
        <v>9</v>
      </c>
      <c r="E270" t="s">
        <v>216</v>
      </c>
      <c r="F270" t="s">
        <v>75</v>
      </c>
      <c r="G270" t="str">
        <f t="shared" si="8"/>
        <v>35003EXPLORER</v>
      </c>
      <c r="H270">
        <v>2020</v>
      </c>
      <c r="I270">
        <f>VLOOKUP(G270,[1]Hoja1!$G$9143:$H$9575,2,FALSE)</f>
        <v>1675</v>
      </c>
      <c r="J270">
        <f t="shared" si="9"/>
        <v>-0.20597014925373133</v>
      </c>
    </row>
    <row r="271" spans="1:10">
      <c r="A271">
        <v>2026</v>
      </c>
      <c r="B271">
        <v>35</v>
      </c>
      <c r="C271" t="s">
        <v>8</v>
      </c>
      <c r="D271" t="s">
        <v>9</v>
      </c>
      <c r="E271" t="s">
        <v>216</v>
      </c>
      <c r="F271" t="s">
        <v>95</v>
      </c>
      <c r="G271" t="str">
        <f t="shared" si="8"/>
        <v>35003JOCKER</v>
      </c>
      <c r="H271">
        <v>564</v>
      </c>
      <c r="I271">
        <f>VLOOKUP(G271,[1]Hoja1!$G$9143:$H$9575,2,FALSE)</f>
        <v>650</v>
      </c>
      <c r="J271">
        <f t="shared" si="9"/>
        <v>0.13230769230769232</v>
      </c>
    </row>
    <row r="272" spans="1:10">
      <c r="A272">
        <v>2026</v>
      </c>
      <c r="B272">
        <v>35</v>
      </c>
      <c r="C272" t="s">
        <v>8</v>
      </c>
      <c r="D272" t="s">
        <v>9</v>
      </c>
      <c r="E272" t="s">
        <v>216</v>
      </c>
      <c r="F272" t="s">
        <v>97</v>
      </c>
      <c r="G272" t="str">
        <f t="shared" si="8"/>
        <v>35003QUICKSAND</v>
      </c>
      <c r="H272">
        <v>1197</v>
      </c>
      <c r="I272">
        <f>VLOOKUP(G272,[1]Hoja1!$G$9143:$H$9575,2,FALSE)</f>
        <v>900</v>
      </c>
      <c r="J272">
        <f t="shared" si="9"/>
        <v>-0.33</v>
      </c>
    </row>
    <row r="273" spans="1:10">
      <c r="A273">
        <v>2026</v>
      </c>
      <c r="B273">
        <v>35</v>
      </c>
      <c r="C273" t="s">
        <v>8</v>
      </c>
      <c r="D273" t="s">
        <v>9</v>
      </c>
      <c r="E273" t="s">
        <v>198</v>
      </c>
      <c r="F273" t="s">
        <v>99</v>
      </c>
      <c r="G273" t="str">
        <f t="shared" si="8"/>
        <v>35004COTOPAXI</v>
      </c>
      <c r="H273">
        <v>1285</v>
      </c>
      <c r="I273">
        <f>VLOOKUP(G273,[1]Hoja1!$G$9143:$H$9575,2,FALSE)</f>
        <v>900</v>
      </c>
      <c r="J273">
        <f t="shared" si="9"/>
        <v>-0.42777777777777776</v>
      </c>
    </row>
    <row r="274" spans="1:10">
      <c r="A274">
        <v>2026</v>
      </c>
      <c r="B274">
        <v>35</v>
      </c>
      <c r="C274" t="s">
        <v>8</v>
      </c>
      <c r="D274" t="s">
        <v>9</v>
      </c>
      <c r="E274" t="s">
        <v>198</v>
      </c>
      <c r="F274" t="s">
        <v>92</v>
      </c>
      <c r="G274" t="str">
        <f t="shared" si="8"/>
        <v>35004DEEP PURPLE</v>
      </c>
      <c r="H274">
        <v>7613</v>
      </c>
      <c r="I274">
        <f>VLOOKUP(G274,[1]Hoja1!$G$9143:$H$9575,2,FALSE)</f>
        <v>9570</v>
      </c>
      <c r="J274">
        <f t="shared" si="9"/>
        <v>0.20449320794148379</v>
      </c>
    </row>
    <row r="275" spans="1:10">
      <c r="A275">
        <v>2026</v>
      </c>
      <c r="B275">
        <v>35</v>
      </c>
      <c r="C275" t="s">
        <v>8</v>
      </c>
      <c r="D275" t="s">
        <v>9</v>
      </c>
      <c r="E275" t="s">
        <v>198</v>
      </c>
      <c r="F275" t="s">
        <v>102</v>
      </c>
      <c r="G275" t="str">
        <f t="shared" si="8"/>
        <v>35004HOT EXPLORER</v>
      </c>
      <c r="H275">
        <v>2434</v>
      </c>
      <c r="I275">
        <f>VLOOKUP(G275,[1]Hoja1!$G$9143:$H$9575,2,FALSE)</f>
        <v>2025</v>
      </c>
      <c r="J275">
        <f t="shared" si="9"/>
        <v>-0.2019753086419753</v>
      </c>
    </row>
    <row r="276" spans="1:10">
      <c r="A276">
        <v>2026</v>
      </c>
      <c r="B276">
        <v>35</v>
      </c>
      <c r="C276" t="s">
        <v>8</v>
      </c>
      <c r="D276" t="s">
        <v>9</v>
      </c>
      <c r="E276" t="s">
        <v>198</v>
      </c>
      <c r="F276" t="s">
        <v>104</v>
      </c>
      <c r="G276" t="str">
        <f t="shared" si="8"/>
        <v>35004HOT MERENGUE</v>
      </c>
      <c r="H276">
        <v>1742</v>
      </c>
      <c r="I276">
        <f>VLOOKUP(G276,[1]Hoja1!$G$9143:$H$9575,2,FALSE)</f>
        <v>3930</v>
      </c>
      <c r="J276">
        <f t="shared" si="9"/>
        <v>0.55674300254452924</v>
      </c>
    </row>
    <row r="277" spans="1:10">
      <c r="A277">
        <v>2026</v>
      </c>
      <c r="B277">
        <v>35</v>
      </c>
      <c r="C277" t="s">
        <v>8</v>
      </c>
      <c r="D277" t="s">
        <v>9</v>
      </c>
      <c r="E277" t="s">
        <v>198</v>
      </c>
      <c r="F277" t="s">
        <v>88</v>
      </c>
      <c r="G277" t="str">
        <f t="shared" si="8"/>
        <v>35004SWEETNESS</v>
      </c>
      <c r="H277">
        <v>582</v>
      </c>
      <c r="I277">
        <f>VLOOKUP(G277,[1]Hoja1!$G$9143:$H$9575,2,FALSE)</f>
        <v>510</v>
      </c>
      <c r="J277">
        <f t="shared" si="9"/>
        <v>-0.14117647058823529</v>
      </c>
    </row>
    <row r="278" spans="1:10">
      <c r="A278">
        <v>2026</v>
      </c>
      <c r="B278">
        <v>35</v>
      </c>
      <c r="C278" t="s">
        <v>8</v>
      </c>
      <c r="D278" t="s">
        <v>9</v>
      </c>
      <c r="E278" t="s">
        <v>199</v>
      </c>
      <c r="F278" t="s">
        <v>75</v>
      </c>
      <c r="G278" t="str">
        <f t="shared" si="8"/>
        <v>35005EXPLORER</v>
      </c>
      <c r="H278">
        <v>1125</v>
      </c>
      <c r="I278">
        <f>VLOOKUP(G278,[1]Hoja1!$G$9143:$H$9575,2,FALSE)</f>
        <v>1225</v>
      </c>
      <c r="J278">
        <f t="shared" si="9"/>
        <v>8.1632653061224483E-2</v>
      </c>
    </row>
    <row r="279" spans="1:10">
      <c r="A279">
        <v>2026</v>
      </c>
      <c r="B279">
        <v>35</v>
      </c>
      <c r="C279" t="s">
        <v>8</v>
      </c>
      <c r="D279" t="s">
        <v>9</v>
      </c>
      <c r="E279" t="s">
        <v>199</v>
      </c>
      <c r="F279" t="s">
        <v>108</v>
      </c>
      <c r="G279" t="str">
        <f t="shared" si="8"/>
        <v>35005GOLDFINCH</v>
      </c>
      <c r="H279">
        <v>635</v>
      </c>
      <c r="I279">
        <f>VLOOKUP(G279,[1]Hoja1!$G$9143:$H$9575,2,FALSE)</f>
        <v>950</v>
      </c>
      <c r="J279">
        <f t="shared" si="9"/>
        <v>0.33157894736842103</v>
      </c>
    </row>
    <row r="280" spans="1:10">
      <c r="A280">
        <v>2026</v>
      </c>
      <c r="B280">
        <v>35</v>
      </c>
      <c r="C280" t="s">
        <v>8</v>
      </c>
      <c r="D280" t="s">
        <v>9</v>
      </c>
      <c r="E280" t="s">
        <v>199</v>
      </c>
      <c r="F280" t="s">
        <v>95</v>
      </c>
      <c r="G280" t="str">
        <f t="shared" si="8"/>
        <v>35005JOCKER</v>
      </c>
      <c r="H280">
        <v>1561</v>
      </c>
      <c r="I280">
        <f>VLOOKUP(G280,[1]Hoja1!$G$9143:$H$9575,2,FALSE)</f>
        <v>1550</v>
      </c>
      <c r="J280">
        <f t="shared" si="9"/>
        <v>-7.0967741935483875E-3</v>
      </c>
    </row>
    <row r="281" spans="1:10">
      <c r="A281">
        <v>2026</v>
      </c>
      <c r="B281">
        <v>35</v>
      </c>
      <c r="C281" t="s">
        <v>8</v>
      </c>
      <c r="D281" t="s">
        <v>9</v>
      </c>
      <c r="E281" t="s">
        <v>199</v>
      </c>
      <c r="F281" t="s">
        <v>111</v>
      </c>
      <c r="G281" t="str">
        <f t="shared" si="8"/>
        <v>35005VENDELA</v>
      </c>
      <c r="H281">
        <v>1823</v>
      </c>
      <c r="I281">
        <f>VLOOKUP(G281,[1]Hoja1!$G$9143:$H$9575,2,FALSE)</f>
        <v>1440</v>
      </c>
      <c r="J281">
        <f t="shared" si="9"/>
        <v>-0.26597222222222222</v>
      </c>
    </row>
    <row r="282" spans="1:10">
      <c r="A282">
        <v>2026</v>
      </c>
      <c r="B282">
        <v>35</v>
      </c>
      <c r="C282" t="s">
        <v>8</v>
      </c>
      <c r="D282" t="s">
        <v>9</v>
      </c>
      <c r="E282" t="s">
        <v>217</v>
      </c>
      <c r="F282" t="s">
        <v>113</v>
      </c>
      <c r="G282" t="str">
        <f t="shared" si="8"/>
        <v>35006ATOMIC</v>
      </c>
      <c r="H282">
        <v>685</v>
      </c>
      <c r="I282" t="e">
        <f>VLOOKUP(G282,[1]Hoja1!$G$9143:$H$9575,2,FALSE)</f>
        <v>#N/A</v>
      </c>
      <c r="J282" t="e">
        <f t="shared" si="9"/>
        <v>#N/A</v>
      </c>
    </row>
    <row r="283" spans="1:10">
      <c r="A283">
        <v>2026</v>
      </c>
      <c r="B283">
        <v>35</v>
      </c>
      <c r="C283" t="s">
        <v>8</v>
      </c>
      <c r="D283" t="s">
        <v>9</v>
      </c>
      <c r="E283" t="s">
        <v>217</v>
      </c>
      <c r="F283" t="s">
        <v>75</v>
      </c>
      <c r="G283" t="str">
        <f t="shared" si="8"/>
        <v>35006EXPLORER</v>
      </c>
      <c r="H283">
        <v>4545</v>
      </c>
      <c r="I283">
        <f>VLOOKUP(G283,[1]Hoja1!$G$9143:$H$9575,2,FALSE)</f>
        <v>5425</v>
      </c>
      <c r="J283">
        <f t="shared" si="9"/>
        <v>0.16221198156682029</v>
      </c>
    </row>
    <row r="284" spans="1:10">
      <c r="A284">
        <v>2026</v>
      </c>
      <c r="B284">
        <v>35</v>
      </c>
      <c r="C284" t="s">
        <v>8</v>
      </c>
      <c r="D284" t="s">
        <v>9</v>
      </c>
      <c r="E284" t="s">
        <v>217</v>
      </c>
      <c r="F284" t="s">
        <v>116</v>
      </c>
      <c r="G284" t="str">
        <f t="shared" si="8"/>
        <v>35006MONDIAL</v>
      </c>
      <c r="H284">
        <v>4144</v>
      </c>
      <c r="I284">
        <f>VLOOKUP(G284,[1]Hoja1!$G$9143:$H$9575,2,FALSE)</f>
        <v>6000</v>
      </c>
      <c r="J284">
        <f t="shared" si="9"/>
        <v>0.30933333333333335</v>
      </c>
    </row>
    <row r="285" spans="1:10">
      <c r="A285">
        <v>2026</v>
      </c>
      <c r="B285">
        <v>35</v>
      </c>
      <c r="C285" t="s">
        <v>8</v>
      </c>
      <c r="D285" t="s">
        <v>9</v>
      </c>
      <c r="E285" t="s">
        <v>200</v>
      </c>
      <c r="F285" t="s">
        <v>99</v>
      </c>
      <c r="G285" t="str">
        <f t="shared" si="8"/>
        <v>35007COTOPAXI</v>
      </c>
      <c r="H285">
        <v>7139</v>
      </c>
      <c r="I285">
        <f>VLOOKUP(G285,[1]Hoja1!$G$9143:$H$9575,2,FALSE)</f>
        <v>4680</v>
      </c>
      <c r="J285">
        <f t="shared" si="9"/>
        <v>-0.52542735042735045</v>
      </c>
    </row>
    <row r="286" spans="1:10">
      <c r="A286">
        <v>2026</v>
      </c>
      <c r="B286">
        <v>35</v>
      </c>
      <c r="C286" t="s">
        <v>8</v>
      </c>
      <c r="D286" t="s">
        <v>9</v>
      </c>
      <c r="E286" t="s">
        <v>200</v>
      </c>
      <c r="F286" t="s">
        <v>119</v>
      </c>
      <c r="G286" t="str">
        <f t="shared" si="8"/>
        <v>35007REDIANT</v>
      </c>
      <c r="H286">
        <v>1922</v>
      </c>
      <c r="I286">
        <f>VLOOKUP(G286,[1]Hoja1!$G$9143:$H$9575,2,FALSE)</f>
        <v>1410</v>
      </c>
      <c r="J286">
        <f t="shared" si="9"/>
        <v>-0.36312056737588655</v>
      </c>
    </row>
    <row r="287" spans="1:10">
      <c r="A287">
        <v>2026</v>
      </c>
      <c r="B287">
        <v>35</v>
      </c>
      <c r="C287" t="s">
        <v>8</v>
      </c>
      <c r="D287" t="s">
        <v>9</v>
      </c>
      <c r="E287" t="s">
        <v>200</v>
      </c>
      <c r="F287" t="s">
        <v>86</v>
      </c>
      <c r="G287" t="str">
        <f t="shared" si="8"/>
        <v>35007SUMMER ROMANCE</v>
      </c>
      <c r="H287">
        <v>344</v>
      </c>
      <c r="I287">
        <f>VLOOKUP(G287,[1]Hoja1!$G$9143:$H$9575,2,FALSE)</f>
        <v>925</v>
      </c>
      <c r="J287">
        <f t="shared" si="9"/>
        <v>0.62810810810810813</v>
      </c>
    </row>
    <row r="288" spans="1:10">
      <c r="A288">
        <v>2026</v>
      </c>
      <c r="B288">
        <v>35</v>
      </c>
      <c r="C288" t="s">
        <v>8</v>
      </c>
      <c r="D288" t="s">
        <v>9</v>
      </c>
      <c r="E288" t="s">
        <v>200</v>
      </c>
      <c r="F288" t="s">
        <v>111</v>
      </c>
      <c r="G288" t="str">
        <f t="shared" si="8"/>
        <v>35007VENDELA</v>
      </c>
      <c r="H288">
        <v>10037</v>
      </c>
      <c r="I288">
        <f>VLOOKUP(G288,[1]Hoja1!$G$9143:$H$9575,2,FALSE)</f>
        <v>7680</v>
      </c>
      <c r="J288">
        <f t="shared" si="9"/>
        <v>-0.30690104166666665</v>
      </c>
    </row>
    <row r="289" spans="1:10">
      <c r="A289">
        <v>2026</v>
      </c>
      <c r="B289">
        <v>35</v>
      </c>
      <c r="C289" t="s">
        <v>8</v>
      </c>
      <c r="D289" t="s">
        <v>9</v>
      </c>
      <c r="E289" t="s">
        <v>195</v>
      </c>
      <c r="F289" t="s">
        <v>92</v>
      </c>
      <c r="G289" t="str">
        <f t="shared" si="8"/>
        <v>35008DEEP PURPLE</v>
      </c>
      <c r="H289">
        <v>3130</v>
      </c>
      <c r="I289">
        <f>VLOOKUP(G289,[1]Hoja1!$G$9143:$H$9575,2,FALSE)</f>
        <v>3660</v>
      </c>
      <c r="J289">
        <f t="shared" si="9"/>
        <v>0.1448087431693989</v>
      </c>
    </row>
    <row r="290" spans="1:10">
      <c r="A290">
        <v>2026</v>
      </c>
      <c r="B290">
        <v>35</v>
      </c>
      <c r="C290" t="s">
        <v>8</v>
      </c>
      <c r="D290" t="s">
        <v>9</v>
      </c>
      <c r="E290" t="s">
        <v>195</v>
      </c>
      <c r="F290" t="s">
        <v>124</v>
      </c>
      <c r="G290" t="str">
        <f t="shared" si="8"/>
        <v>35008FREEDOM</v>
      </c>
      <c r="H290">
        <v>2859</v>
      </c>
      <c r="I290">
        <f>VLOOKUP(G290,[1]Hoja1!$G$9143:$H$9575,2,FALSE)</f>
        <v>3480</v>
      </c>
      <c r="J290">
        <f t="shared" si="9"/>
        <v>0.17844827586206896</v>
      </c>
    </row>
    <row r="291" spans="1:10">
      <c r="A291">
        <v>2026</v>
      </c>
      <c r="B291">
        <v>35</v>
      </c>
      <c r="C291" t="s">
        <v>8</v>
      </c>
      <c r="D291" t="s">
        <v>9</v>
      </c>
      <c r="E291" t="s">
        <v>195</v>
      </c>
      <c r="F291" t="s">
        <v>95</v>
      </c>
      <c r="G291" t="str">
        <f t="shared" si="8"/>
        <v>35008JOCKER</v>
      </c>
      <c r="H291">
        <v>3527</v>
      </c>
      <c r="I291">
        <f>VLOOKUP(G291,[1]Hoja1!$G$9143:$H$9575,2,FALSE)</f>
        <v>3550</v>
      </c>
      <c r="J291">
        <f t="shared" si="9"/>
        <v>6.4788732394366194E-3</v>
      </c>
    </row>
    <row r="292" spans="1:10">
      <c r="A292">
        <v>2026</v>
      </c>
      <c r="B292">
        <v>35</v>
      </c>
      <c r="C292" t="s">
        <v>8</v>
      </c>
      <c r="D292" t="s">
        <v>9</v>
      </c>
      <c r="E292" t="s">
        <v>195</v>
      </c>
      <c r="F292" t="s">
        <v>10</v>
      </c>
      <c r="G292" t="str">
        <f t="shared" si="8"/>
        <v>35008LUMIA</v>
      </c>
      <c r="H292">
        <v>1187</v>
      </c>
      <c r="I292">
        <f>VLOOKUP(G292,[1]Hoja1!$G$9143:$H$9575,2,FALSE)</f>
        <v>1710</v>
      </c>
      <c r="J292">
        <f t="shared" si="9"/>
        <v>0.30584795321637426</v>
      </c>
    </row>
    <row r="293" spans="1:10">
      <c r="A293">
        <v>2026</v>
      </c>
      <c r="B293">
        <v>35</v>
      </c>
      <c r="C293" t="s">
        <v>8</v>
      </c>
      <c r="D293" t="s">
        <v>9</v>
      </c>
      <c r="E293" t="s">
        <v>218</v>
      </c>
      <c r="F293" t="s">
        <v>127</v>
      </c>
      <c r="G293" t="str">
        <f t="shared" si="8"/>
        <v>35010COOLDOWN</v>
      </c>
      <c r="H293">
        <v>2235</v>
      </c>
      <c r="I293">
        <f>VLOOKUP(G293,[1]Hoja1!$G$9143:$H$9575,2,FALSE)</f>
        <v>3700</v>
      </c>
      <c r="J293">
        <f t="shared" si="9"/>
        <v>0.39594594594594595</v>
      </c>
    </row>
    <row r="294" spans="1:10">
      <c r="A294">
        <v>2026</v>
      </c>
      <c r="B294">
        <v>35</v>
      </c>
      <c r="C294" t="s">
        <v>8</v>
      </c>
      <c r="D294" t="s">
        <v>9</v>
      </c>
      <c r="E294" t="s">
        <v>218</v>
      </c>
      <c r="F294" t="s">
        <v>129</v>
      </c>
      <c r="G294" t="str">
        <f t="shared" si="8"/>
        <v>35010VIOLET HILL</v>
      </c>
      <c r="H294">
        <v>4583</v>
      </c>
      <c r="I294">
        <f>VLOOKUP(G294,[1]Hoja1!$G$9143:$H$9575,2,FALSE)</f>
        <v>4980</v>
      </c>
      <c r="J294">
        <f t="shared" si="9"/>
        <v>7.9718875502008027E-2</v>
      </c>
    </row>
    <row r="295" spans="1:10">
      <c r="A295">
        <v>2026</v>
      </c>
      <c r="B295">
        <v>35</v>
      </c>
      <c r="C295" t="s">
        <v>8</v>
      </c>
      <c r="D295" t="s">
        <v>9</v>
      </c>
      <c r="E295" t="s">
        <v>219</v>
      </c>
      <c r="F295" t="s">
        <v>131</v>
      </c>
      <c r="G295" t="str">
        <f t="shared" si="8"/>
        <v>35011BRIGHTON</v>
      </c>
      <c r="H295">
        <v>3131</v>
      </c>
      <c r="I295">
        <f>VLOOKUP(G295,[1]Hoja1!$G$9143:$H$9575,2,FALSE)</f>
        <v>3150</v>
      </c>
      <c r="J295">
        <f t="shared" si="9"/>
        <v>6.0317460317460322E-3</v>
      </c>
    </row>
    <row r="296" spans="1:10">
      <c r="A296">
        <v>2026</v>
      </c>
      <c r="B296">
        <v>35</v>
      </c>
      <c r="C296" t="s">
        <v>8</v>
      </c>
      <c r="D296" t="s">
        <v>9</v>
      </c>
      <c r="E296" t="s">
        <v>219</v>
      </c>
      <c r="F296" t="s">
        <v>133</v>
      </c>
      <c r="G296" t="str">
        <f t="shared" si="8"/>
        <v>35011CANDLELIGHT</v>
      </c>
      <c r="H296">
        <v>4191</v>
      </c>
      <c r="I296">
        <f>VLOOKUP(G296,[1]Hoja1!$G$9143:$H$9575,2,FALSE)</f>
        <v>3700</v>
      </c>
      <c r="J296">
        <f t="shared" si="9"/>
        <v>-0.13270270270270271</v>
      </c>
    </row>
    <row r="297" spans="1:10">
      <c r="A297">
        <v>2026</v>
      </c>
      <c r="B297">
        <v>35</v>
      </c>
      <c r="C297" t="s">
        <v>8</v>
      </c>
      <c r="D297" t="s">
        <v>9</v>
      </c>
      <c r="E297" t="s">
        <v>219</v>
      </c>
      <c r="F297" t="s">
        <v>135</v>
      </c>
      <c r="G297" t="str">
        <f t="shared" si="8"/>
        <v>35011CAYENNE</v>
      </c>
      <c r="H297">
        <v>1046</v>
      </c>
      <c r="I297">
        <f>VLOOKUP(G297,[1]Hoja1!$G$9143:$H$9575,2,FALSE)</f>
        <v>1950</v>
      </c>
      <c r="J297">
        <f t="shared" si="9"/>
        <v>0.46358974358974359</v>
      </c>
    </row>
    <row r="298" spans="1:10">
      <c r="A298">
        <v>2026</v>
      </c>
      <c r="B298">
        <v>35</v>
      </c>
      <c r="C298" t="s">
        <v>8</v>
      </c>
      <c r="D298" t="s">
        <v>9</v>
      </c>
      <c r="E298" t="s">
        <v>219</v>
      </c>
      <c r="F298" t="s">
        <v>10</v>
      </c>
      <c r="G298" t="str">
        <f t="shared" si="8"/>
        <v>35011LUMIA</v>
      </c>
      <c r="H298">
        <v>1079</v>
      </c>
      <c r="I298">
        <f>VLOOKUP(G298,[1]Hoja1!$G$9143:$H$9575,2,FALSE)</f>
        <v>1260</v>
      </c>
      <c r="J298">
        <f t="shared" si="9"/>
        <v>0.14365079365079364</v>
      </c>
    </row>
    <row r="299" spans="1:10">
      <c r="A299">
        <v>2026</v>
      </c>
      <c r="B299">
        <v>35</v>
      </c>
      <c r="C299" t="s">
        <v>8</v>
      </c>
      <c r="D299" t="s">
        <v>9</v>
      </c>
      <c r="E299" t="s">
        <v>219</v>
      </c>
      <c r="F299" t="s">
        <v>138</v>
      </c>
      <c r="G299" t="str">
        <f t="shared" si="8"/>
        <v>35011STARDUST</v>
      </c>
      <c r="H299">
        <v>3064</v>
      </c>
      <c r="I299">
        <f>VLOOKUP(G299,[1]Hoja1!$G$9143:$H$9575,2,FALSE)</f>
        <v>3725</v>
      </c>
      <c r="J299">
        <f t="shared" si="9"/>
        <v>0.1774496644295302</v>
      </c>
    </row>
    <row r="300" spans="1:10">
      <c r="A300">
        <v>2026</v>
      </c>
      <c r="B300">
        <v>35</v>
      </c>
      <c r="C300" t="s">
        <v>8</v>
      </c>
      <c r="D300" t="s">
        <v>9</v>
      </c>
      <c r="E300" t="s">
        <v>220</v>
      </c>
      <c r="F300" t="s">
        <v>92</v>
      </c>
      <c r="G300" t="str">
        <f t="shared" si="8"/>
        <v>35012DEEP PURPLE</v>
      </c>
      <c r="H300">
        <v>11005</v>
      </c>
      <c r="I300">
        <f>VLOOKUP(G300,[1]Hoja1!$G$9143:$H$9575,2,FALSE)</f>
        <v>15720</v>
      </c>
      <c r="J300">
        <f t="shared" si="9"/>
        <v>0.29993638676844786</v>
      </c>
    </row>
    <row r="301" spans="1:10">
      <c r="A301">
        <v>2026</v>
      </c>
      <c r="B301">
        <v>35</v>
      </c>
      <c r="C301" t="s">
        <v>8</v>
      </c>
      <c r="D301" t="s">
        <v>9</v>
      </c>
      <c r="E301" t="s">
        <v>220</v>
      </c>
      <c r="F301" t="s">
        <v>81</v>
      </c>
      <c r="G301" t="str">
        <f t="shared" si="8"/>
        <v>35012LIGHT HOUSE</v>
      </c>
      <c r="H301">
        <v>1212</v>
      </c>
      <c r="I301">
        <f>VLOOKUP(G301,[1]Hoja1!$G$9143:$H$9575,2,FALSE)</f>
        <v>1140</v>
      </c>
      <c r="J301">
        <f t="shared" si="9"/>
        <v>-6.3157894736842107E-2</v>
      </c>
    </row>
    <row r="302" spans="1:10">
      <c r="A302">
        <v>2026</v>
      </c>
      <c r="B302">
        <v>35</v>
      </c>
      <c r="C302" t="s">
        <v>8</v>
      </c>
      <c r="D302" t="s">
        <v>9</v>
      </c>
      <c r="E302" t="s">
        <v>221</v>
      </c>
      <c r="F302" t="s">
        <v>142</v>
      </c>
      <c r="G302" t="str">
        <f t="shared" si="8"/>
        <v>35013COUNTRY BLUES</v>
      </c>
      <c r="H302">
        <v>1056</v>
      </c>
      <c r="I302">
        <f>VLOOKUP(G302,[1]Hoja1!$G$9143:$H$9575,2,FALSE)</f>
        <v>1160</v>
      </c>
      <c r="J302">
        <f t="shared" si="9"/>
        <v>8.9655172413793102E-2</v>
      </c>
    </row>
    <row r="303" spans="1:10">
      <c r="A303">
        <v>2026</v>
      </c>
      <c r="B303">
        <v>35</v>
      </c>
      <c r="C303" t="s">
        <v>8</v>
      </c>
      <c r="D303" t="s">
        <v>9</v>
      </c>
      <c r="E303" t="s">
        <v>221</v>
      </c>
      <c r="F303" t="s">
        <v>144</v>
      </c>
      <c r="G303" t="str">
        <f t="shared" si="8"/>
        <v>35013LORRAINE</v>
      </c>
      <c r="H303">
        <v>2520</v>
      </c>
      <c r="I303">
        <f>VLOOKUP(G303,[1]Hoja1!$G$9143:$H$9575,2,FALSE)</f>
        <v>2600</v>
      </c>
      <c r="J303">
        <f t="shared" si="9"/>
        <v>3.0769230769230771E-2</v>
      </c>
    </row>
    <row r="304" spans="1:10">
      <c r="A304">
        <v>2026</v>
      </c>
      <c r="B304">
        <v>35</v>
      </c>
      <c r="C304" t="s">
        <v>8</v>
      </c>
      <c r="D304" t="s">
        <v>9</v>
      </c>
      <c r="E304" t="s">
        <v>221</v>
      </c>
      <c r="F304" t="s">
        <v>10</v>
      </c>
      <c r="G304" t="str">
        <f t="shared" si="8"/>
        <v>35013LUMIA</v>
      </c>
      <c r="H304">
        <v>546</v>
      </c>
      <c r="I304">
        <f>VLOOKUP(G304,[1]Hoja1!$G$9143:$H$9575,2,FALSE)</f>
        <v>300</v>
      </c>
      <c r="J304">
        <f t="shared" si="9"/>
        <v>-0.82</v>
      </c>
    </row>
    <row r="305" spans="1:10">
      <c r="A305">
        <v>2026</v>
      </c>
      <c r="B305">
        <v>35</v>
      </c>
      <c r="C305" t="s">
        <v>8</v>
      </c>
      <c r="D305" t="s">
        <v>9</v>
      </c>
      <c r="E305" t="s">
        <v>221</v>
      </c>
      <c r="F305" t="s">
        <v>111</v>
      </c>
      <c r="G305" t="str">
        <f t="shared" si="8"/>
        <v>35013VENDELA</v>
      </c>
      <c r="H305">
        <v>7689</v>
      </c>
      <c r="I305">
        <f>VLOOKUP(G305,[1]Hoja1!$G$9143:$H$9575,2,FALSE)</f>
        <v>8700</v>
      </c>
      <c r="J305">
        <f t="shared" si="9"/>
        <v>0.11620689655172414</v>
      </c>
    </row>
    <row r="306" spans="1:10">
      <c r="A306">
        <v>2026</v>
      </c>
      <c r="B306">
        <v>35</v>
      </c>
      <c r="C306" t="s">
        <v>8</v>
      </c>
      <c r="D306" t="s">
        <v>9</v>
      </c>
      <c r="E306" t="s">
        <v>202</v>
      </c>
      <c r="F306" t="s">
        <v>138</v>
      </c>
      <c r="G306" t="str">
        <f t="shared" si="8"/>
        <v>35014STARDUST</v>
      </c>
      <c r="H306">
        <v>4090</v>
      </c>
      <c r="I306">
        <f>VLOOKUP(G306,[1]Hoja1!$G$9143:$H$9575,2,FALSE)</f>
        <v>4450</v>
      </c>
      <c r="J306">
        <f t="shared" si="9"/>
        <v>8.0898876404494377E-2</v>
      </c>
    </row>
    <row r="307" spans="1:10">
      <c r="A307">
        <v>2026</v>
      </c>
      <c r="B307">
        <v>35</v>
      </c>
      <c r="C307" t="s">
        <v>8</v>
      </c>
      <c r="D307" t="s">
        <v>9</v>
      </c>
      <c r="E307" t="s">
        <v>203</v>
      </c>
      <c r="F307" t="s">
        <v>95</v>
      </c>
      <c r="G307" t="str">
        <f t="shared" si="8"/>
        <v>35015JOCKER</v>
      </c>
      <c r="H307">
        <v>2317</v>
      </c>
      <c r="I307">
        <f>VLOOKUP(G307,[1]Hoja1!$G$9143:$H$9575,2,FALSE)</f>
        <v>2450</v>
      </c>
      <c r="J307">
        <f t="shared" si="9"/>
        <v>5.4285714285714284E-2</v>
      </c>
    </row>
    <row r="308" spans="1:10">
      <c r="A308">
        <v>2026</v>
      </c>
      <c r="B308">
        <v>35</v>
      </c>
      <c r="C308" t="s">
        <v>8</v>
      </c>
      <c r="D308" t="s">
        <v>9</v>
      </c>
      <c r="E308" t="s">
        <v>204</v>
      </c>
      <c r="F308" t="s">
        <v>150</v>
      </c>
      <c r="G308" t="str">
        <f t="shared" si="8"/>
        <v>35016DREAM IN PEACH</v>
      </c>
      <c r="H308">
        <v>1080</v>
      </c>
      <c r="I308">
        <f>VLOOKUP(G308,[1]Hoja1!$G$9143:$H$9575,2,FALSE)</f>
        <v>990</v>
      </c>
      <c r="J308">
        <f t="shared" si="9"/>
        <v>-9.0909090909090912E-2</v>
      </c>
    </row>
    <row r="309" spans="1:10">
      <c r="A309">
        <v>2026</v>
      </c>
      <c r="B309">
        <v>35</v>
      </c>
      <c r="C309" t="s">
        <v>8</v>
      </c>
      <c r="D309" t="s">
        <v>9</v>
      </c>
      <c r="E309" t="s">
        <v>204</v>
      </c>
      <c r="F309" t="s">
        <v>152</v>
      </c>
      <c r="G309" t="str">
        <f t="shared" si="8"/>
        <v>35016NINA</v>
      </c>
      <c r="H309">
        <v>2072</v>
      </c>
      <c r="I309">
        <f>VLOOKUP(G309,[1]Hoja1!$G$9143:$H$9575,2,FALSE)</f>
        <v>1575</v>
      </c>
      <c r="J309">
        <f t="shared" si="9"/>
        <v>-0.31555555555555553</v>
      </c>
    </row>
    <row r="310" spans="1:10">
      <c r="A310">
        <v>2026</v>
      </c>
      <c r="B310">
        <v>35</v>
      </c>
      <c r="C310" t="s">
        <v>8</v>
      </c>
      <c r="D310" t="s">
        <v>9</v>
      </c>
      <c r="E310" t="s">
        <v>205</v>
      </c>
      <c r="F310" t="s">
        <v>124</v>
      </c>
      <c r="G310" t="str">
        <f t="shared" si="8"/>
        <v>35017FREEDOM</v>
      </c>
      <c r="H310">
        <v>4069</v>
      </c>
      <c r="I310">
        <f>VLOOKUP(G310,[1]Hoja1!$G$9143:$H$9575,2,FALSE)</f>
        <v>5850</v>
      </c>
      <c r="J310">
        <f t="shared" si="9"/>
        <v>0.30444444444444446</v>
      </c>
    </row>
    <row r="311" spans="1:10">
      <c r="A311">
        <v>2026</v>
      </c>
      <c r="B311">
        <v>35</v>
      </c>
      <c r="C311" t="s">
        <v>8</v>
      </c>
      <c r="D311" t="s">
        <v>9</v>
      </c>
      <c r="E311" t="s">
        <v>205</v>
      </c>
      <c r="F311" t="s">
        <v>108</v>
      </c>
      <c r="G311" t="str">
        <f t="shared" si="8"/>
        <v>35017GOLDFINCH</v>
      </c>
      <c r="H311">
        <v>2041</v>
      </c>
      <c r="I311">
        <f>VLOOKUP(G311,[1]Hoja1!$G$9143:$H$9575,2,FALSE)</f>
        <v>1675</v>
      </c>
      <c r="J311">
        <f t="shared" si="9"/>
        <v>-0.21850746268656718</v>
      </c>
    </row>
    <row r="312" spans="1:10">
      <c r="A312">
        <v>2026</v>
      </c>
      <c r="B312">
        <v>35</v>
      </c>
      <c r="C312" t="s">
        <v>8</v>
      </c>
      <c r="D312" t="s">
        <v>9</v>
      </c>
      <c r="E312" t="s">
        <v>206</v>
      </c>
      <c r="F312" t="s">
        <v>131</v>
      </c>
      <c r="G312" t="str">
        <f t="shared" si="8"/>
        <v>35018BRIGHTON</v>
      </c>
      <c r="H312">
        <v>1195</v>
      </c>
      <c r="I312">
        <f>VLOOKUP(G312,[1]Hoja1!$G$9143:$H$9575,2,FALSE)</f>
        <v>1350</v>
      </c>
      <c r="J312">
        <f t="shared" si="9"/>
        <v>0.11481481481481481</v>
      </c>
    </row>
    <row r="313" spans="1:10">
      <c r="A313">
        <v>2026</v>
      </c>
      <c r="B313">
        <v>35</v>
      </c>
      <c r="C313" t="s">
        <v>8</v>
      </c>
      <c r="D313" t="s">
        <v>9</v>
      </c>
      <c r="E313" t="s">
        <v>207</v>
      </c>
      <c r="F313" t="s">
        <v>131</v>
      </c>
      <c r="G313" t="str">
        <f t="shared" si="8"/>
        <v>35019BRIGHTON</v>
      </c>
      <c r="H313">
        <v>5726</v>
      </c>
      <c r="I313">
        <f>VLOOKUP(G313,[1]Hoja1!$G$9143:$H$9575,2,FALSE)</f>
        <v>6100</v>
      </c>
      <c r="J313">
        <f t="shared" si="9"/>
        <v>6.1311475409836065E-2</v>
      </c>
    </row>
    <row r="314" spans="1:10">
      <c r="A314">
        <v>2026</v>
      </c>
      <c r="B314">
        <v>35</v>
      </c>
      <c r="C314" t="s">
        <v>8</v>
      </c>
      <c r="D314" t="s">
        <v>9</v>
      </c>
      <c r="E314" t="s">
        <v>207</v>
      </c>
      <c r="F314" t="s">
        <v>158</v>
      </c>
      <c r="G314" t="str">
        <f t="shared" si="8"/>
        <v>35019TABATHA</v>
      </c>
      <c r="H314">
        <v>2126</v>
      </c>
      <c r="I314">
        <f>VLOOKUP(G314,[1]Hoja1!$G$9143:$H$9575,2,FALSE)</f>
        <v>2220</v>
      </c>
      <c r="J314">
        <f t="shared" si="9"/>
        <v>4.234234234234234E-2</v>
      </c>
    </row>
    <row r="315" spans="1:10">
      <c r="A315">
        <v>2026</v>
      </c>
      <c r="B315">
        <v>35</v>
      </c>
      <c r="C315" t="s">
        <v>8</v>
      </c>
      <c r="D315" t="s">
        <v>9</v>
      </c>
      <c r="E315" t="s">
        <v>208</v>
      </c>
      <c r="F315" t="s">
        <v>131</v>
      </c>
      <c r="G315" t="str">
        <f t="shared" si="8"/>
        <v>35020BRIGHTON</v>
      </c>
      <c r="H315">
        <v>4529</v>
      </c>
      <c r="I315">
        <f>VLOOKUP(G315,[1]Hoja1!$G$9143:$H$9575,2,FALSE)</f>
        <v>3900</v>
      </c>
      <c r="J315">
        <f t="shared" si="9"/>
        <v>-0.16128205128205128</v>
      </c>
    </row>
    <row r="316" spans="1:10">
      <c r="A316">
        <v>2026</v>
      </c>
      <c r="B316">
        <v>35</v>
      </c>
      <c r="C316" t="s">
        <v>8</v>
      </c>
      <c r="D316" t="s">
        <v>9</v>
      </c>
      <c r="E316" t="s">
        <v>208</v>
      </c>
      <c r="F316" t="s">
        <v>161</v>
      </c>
      <c r="G316" t="str">
        <f t="shared" si="8"/>
        <v>35020TYCOON</v>
      </c>
      <c r="H316">
        <v>903</v>
      </c>
      <c r="I316">
        <f>VLOOKUP(G316,[1]Hoja1!$G$9143:$H$9575,2,FALSE)</f>
        <v>840</v>
      </c>
      <c r="J316">
        <f t="shared" si="9"/>
        <v>-7.4999999999999997E-2</v>
      </c>
    </row>
    <row r="317" spans="1:10">
      <c r="A317">
        <v>2026</v>
      </c>
      <c r="B317">
        <v>35</v>
      </c>
      <c r="C317" t="s">
        <v>8</v>
      </c>
      <c r="D317" t="s">
        <v>9</v>
      </c>
      <c r="E317" t="s">
        <v>196</v>
      </c>
      <c r="F317" t="s">
        <v>163</v>
      </c>
      <c r="G317" t="str">
        <f t="shared" si="8"/>
        <v>35021SHOW GIRL</v>
      </c>
      <c r="H317">
        <v>1860</v>
      </c>
      <c r="I317">
        <f>VLOOKUP(G317,[1]Hoja1!$G$9143:$H$9575,2,FALSE)</f>
        <v>1450</v>
      </c>
      <c r="J317">
        <f t="shared" si="9"/>
        <v>-0.28275862068965518</v>
      </c>
    </row>
    <row r="318" spans="1:10">
      <c r="A318">
        <v>2026</v>
      </c>
      <c r="B318">
        <v>35</v>
      </c>
      <c r="C318" t="s">
        <v>8</v>
      </c>
      <c r="D318" t="s">
        <v>9</v>
      </c>
      <c r="E318" t="s">
        <v>209</v>
      </c>
      <c r="F318" t="s">
        <v>165</v>
      </c>
      <c r="G318" t="str">
        <f t="shared" si="8"/>
        <v>35022CORAL REEF</v>
      </c>
      <c r="H318">
        <v>2130</v>
      </c>
      <c r="I318">
        <f>VLOOKUP(G318,[1]Hoja1!$G$9143:$H$9575,2,FALSE)</f>
        <v>1950</v>
      </c>
      <c r="J318">
        <f t="shared" si="9"/>
        <v>-9.2307692307692313E-2</v>
      </c>
    </row>
    <row r="319" spans="1:10">
      <c r="A319">
        <v>2026</v>
      </c>
      <c r="B319">
        <v>35</v>
      </c>
      <c r="C319" t="s">
        <v>8</v>
      </c>
      <c r="D319" t="s">
        <v>9</v>
      </c>
      <c r="E319" t="s">
        <v>222</v>
      </c>
      <c r="F319" t="s">
        <v>99</v>
      </c>
      <c r="G319" t="str">
        <f t="shared" si="8"/>
        <v>35023COTOPAXI</v>
      </c>
      <c r="H319">
        <v>6951</v>
      </c>
      <c r="I319">
        <f>VLOOKUP(G319,[1]Hoja1!$G$9143:$H$9575,2,FALSE)</f>
        <v>5820</v>
      </c>
      <c r="J319">
        <f t="shared" si="9"/>
        <v>-0.1943298969072165</v>
      </c>
    </row>
    <row r="320" spans="1:10">
      <c r="A320">
        <v>2026</v>
      </c>
      <c r="B320">
        <v>35</v>
      </c>
      <c r="C320" t="s">
        <v>8</v>
      </c>
      <c r="D320" t="s">
        <v>9</v>
      </c>
      <c r="E320" t="s">
        <v>222</v>
      </c>
      <c r="F320" t="s">
        <v>168</v>
      </c>
      <c r="G320" t="str">
        <f t="shared" si="8"/>
        <v>35023FRUTTETO</v>
      </c>
      <c r="H320">
        <v>4285</v>
      </c>
      <c r="I320">
        <f>VLOOKUP(G320,[1]Hoja1!$G$9143:$H$9575,2,FALSE)</f>
        <v>5610</v>
      </c>
      <c r="J320">
        <f t="shared" si="9"/>
        <v>0.23618538324420676</v>
      </c>
    </row>
    <row r="321" spans="1:10">
      <c r="A321">
        <v>2026</v>
      </c>
      <c r="B321">
        <v>35</v>
      </c>
      <c r="C321" t="s">
        <v>8</v>
      </c>
      <c r="D321" t="s">
        <v>9</v>
      </c>
      <c r="E321" t="s">
        <v>223</v>
      </c>
      <c r="F321" t="s">
        <v>99</v>
      </c>
      <c r="G321" t="str">
        <f t="shared" si="8"/>
        <v>35024COTOPAXI</v>
      </c>
      <c r="H321">
        <v>3784</v>
      </c>
      <c r="I321">
        <f>VLOOKUP(G321,[1]Hoja1!$G$9143:$H$9575,2,FALSE)</f>
        <v>2940</v>
      </c>
      <c r="J321">
        <f t="shared" si="9"/>
        <v>-0.28707482993197281</v>
      </c>
    </row>
    <row r="322" spans="1:10">
      <c r="A322">
        <v>2026</v>
      </c>
      <c r="B322">
        <v>35</v>
      </c>
      <c r="C322" t="s">
        <v>8</v>
      </c>
      <c r="D322" t="s">
        <v>9</v>
      </c>
      <c r="E322" t="s">
        <v>223</v>
      </c>
      <c r="F322" t="s">
        <v>88</v>
      </c>
      <c r="G322" t="str">
        <f t="shared" si="8"/>
        <v>35024SWEETNESS</v>
      </c>
      <c r="H322">
        <v>2668</v>
      </c>
      <c r="I322">
        <f>VLOOKUP(G322,[1]Hoja1!$G$9143:$H$9575,2,FALSE)</f>
        <v>1650</v>
      </c>
      <c r="J322">
        <f t="shared" si="9"/>
        <v>-0.61696969696969695</v>
      </c>
    </row>
    <row r="323" spans="1:10">
      <c r="A323">
        <v>2026</v>
      </c>
      <c r="B323">
        <v>35</v>
      </c>
      <c r="C323" t="s">
        <v>8</v>
      </c>
      <c r="D323" t="s">
        <v>9</v>
      </c>
      <c r="E323" t="s">
        <v>223</v>
      </c>
      <c r="F323" t="s">
        <v>161</v>
      </c>
      <c r="G323" t="str">
        <f t="shared" ref="G323:G386" si="10">+B323&amp;E323&amp;F323</f>
        <v>35024TYCOON</v>
      </c>
      <c r="H323">
        <v>3848</v>
      </c>
      <c r="I323">
        <f>VLOOKUP(G323,[1]Hoja1!$G$9143:$H$9575,2,FALSE)</f>
        <v>4230</v>
      </c>
      <c r="J323">
        <f t="shared" ref="J323:J386" si="11">+(I323-H323)/I323</f>
        <v>9.0307328605200951E-2</v>
      </c>
    </row>
    <row r="324" spans="1:10">
      <c r="A324">
        <v>2026</v>
      </c>
      <c r="B324">
        <v>35</v>
      </c>
      <c r="C324" t="s">
        <v>8</v>
      </c>
      <c r="D324" t="s">
        <v>9</v>
      </c>
      <c r="E324" t="s">
        <v>224</v>
      </c>
      <c r="F324" t="s">
        <v>173</v>
      </c>
      <c r="G324" t="str">
        <f t="shared" si="10"/>
        <v>35025PINK MONDIAL</v>
      </c>
      <c r="H324">
        <v>4215</v>
      </c>
      <c r="I324">
        <f>VLOOKUP(G324,[1]Hoja1!$G$9143:$H$9575,2,FALSE)</f>
        <v>4300</v>
      </c>
      <c r="J324">
        <f t="shared" si="11"/>
        <v>1.9767441860465116E-2</v>
      </c>
    </row>
    <row r="325" spans="1:10">
      <c r="A325">
        <v>2026</v>
      </c>
      <c r="B325">
        <v>35</v>
      </c>
      <c r="C325" t="s">
        <v>8</v>
      </c>
      <c r="D325" t="s">
        <v>9</v>
      </c>
      <c r="E325" t="s">
        <v>210</v>
      </c>
      <c r="F325" t="s">
        <v>175</v>
      </c>
      <c r="G325" t="str">
        <f t="shared" si="10"/>
        <v>35026LOLA</v>
      </c>
      <c r="H325">
        <v>3230</v>
      </c>
      <c r="I325">
        <f>VLOOKUP(G325,[1]Hoja1!$G$9143:$H$9575,2,FALSE)</f>
        <v>3325</v>
      </c>
      <c r="J325">
        <f t="shared" si="11"/>
        <v>2.8571428571428571E-2</v>
      </c>
    </row>
    <row r="326" spans="1:10">
      <c r="A326">
        <v>2026</v>
      </c>
      <c r="B326">
        <v>35</v>
      </c>
      <c r="C326" t="s">
        <v>8</v>
      </c>
      <c r="D326" t="s">
        <v>9</v>
      </c>
      <c r="E326" t="s">
        <v>210</v>
      </c>
      <c r="F326" t="s">
        <v>177</v>
      </c>
      <c r="G326" t="str">
        <f t="shared" si="10"/>
        <v>35026PALOMA</v>
      </c>
      <c r="H326">
        <v>2645</v>
      </c>
      <c r="I326">
        <f>VLOOKUP(G326,[1]Hoja1!$G$9143:$H$9575,2,FALSE)</f>
        <v>3100</v>
      </c>
      <c r="J326">
        <f t="shared" si="11"/>
        <v>0.14677419354838708</v>
      </c>
    </row>
    <row r="327" spans="1:10">
      <c r="A327">
        <v>2026</v>
      </c>
      <c r="B327">
        <v>35</v>
      </c>
      <c r="C327" t="s">
        <v>8</v>
      </c>
      <c r="D327" t="s">
        <v>9</v>
      </c>
      <c r="E327" t="s">
        <v>225</v>
      </c>
      <c r="F327" t="s">
        <v>179</v>
      </c>
      <c r="G327" t="str">
        <f t="shared" si="10"/>
        <v>35027SATISFACTION</v>
      </c>
      <c r="H327">
        <v>5238</v>
      </c>
      <c r="I327">
        <f>VLOOKUP(G327,[1]Hoja1!$G$9143:$H$9575,2,FALSE)</f>
        <v>4680</v>
      </c>
      <c r="J327">
        <f t="shared" si="11"/>
        <v>-0.11923076923076924</v>
      </c>
    </row>
    <row r="328" spans="1:10">
      <c r="A328">
        <v>2026</v>
      </c>
      <c r="B328">
        <v>35</v>
      </c>
      <c r="C328" t="s">
        <v>8</v>
      </c>
      <c r="D328" t="s">
        <v>9</v>
      </c>
      <c r="E328" t="s">
        <v>225</v>
      </c>
      <c r="F328" t="s">
        <v>181</v>
      </c>
      <c r="G328" t="str">
        <f t="shared" si="10"/>
        <v>35027TIFFANY</v>
      </c>
      <c r="H328">
        <v>6616</v>
      </c>
      <c r="I328">
        <f>VLOOKUP(G328,[1]Hoja1!$G$9143:$H$9575,2,FALSE)</f>
        <v>5880</v>
      </c>
      <c r="J328">
        <f t="shared" si="11"/>
        <v>-0.1251700680272109</v>
      </c>
    </row>
    <row r="329" spans="1:10">
      <c r="A329">
        <v>2026</v>
      </c>
      <c r="B329">
        <v>35</v>
      </c>
      <c r="C329" t="s">
        <v>8</v>
      </c>
      <c r="D329" t="s">
        <v>9</v>
      </c>
      <c r="E329" t="s">
        <v>226</v>
      </c>
      <c r="F329" t="s">
        <v>99</v>
      </c>
      <c r="G329" t="str">
        <f t="shared" si="10"/>
        <v>35028COTOPAXI</v>
      </c>
      <c r="H329">
        <v>5610</v>
      </c>
      <c r="I329">
        <f>VLOOKUP(G329,[1]Hoja1!$G$9143:$H$9575,2,FALSE)</f>
        <v>4530</v>
      </c>
      <c r="J329">
        <f t="shared" si="11"/>
        <v>-0.23841059602649006</v>
      </c>
    </row>
    <row r="330" spans="1:10">
      <c r="A330">
        <v>2026</v>
      </c>
      <c r="B330">
        <v>35</v>
      </c>
      <c r="C330" t="s">
        <v>8</v>
      </c>
      <c r="D330" t="s">
        <v>9</v>
      </c>
      <c r="E330" t="s">
        <v>226</v>
      </c>
      <c r="F330" t="s">
        <v>92</v>
      </c>
      <c r="G330" t="str">
        <f t="shared" si="10"/>
        <v>35028DEEP PURPLE</v>
      </c>
      <c r="H330">
        <v>6004</v>
      </c>
      <c r="I330">
        <f>VLOOKUP(G330,[1]Hoja1!$G$9143:$H$9575,2,FALSE)</f>
        <v>5640</v>
      </c>
      <c r="J330">
        <f t="shared" si="11"/>
        <v>-6.4539007092198578E-2</v>
      </c>
    </row>
    <row r="331" spans="1:10">
      <c r="A331">
        <v>2026</v>
      </c>
      <c r="B331">
        <v>35</v>
      </c>
      <c r="C331" t="s">
        <v>8</v>
      </c>
      <c r="D331" t="s">
        <v>9</v>
      </c>
      <c r="E331" t="s">
        <v>227</v>
      </c>
      <c r="F331" t="s">
        <v>185</v>
      </c>
      <c r="G331" t="str">
        <f t="shared" si="10"/>
        <v>35029PINK FLOYD</v>
      </c>
      <c r="H331">
        <v>3812</v>
      </c>
      <c r="I331">
        <f>VLOOKUP(G331,[1]Hoja1!$G$9143:$H$9575,2,FALSE)</f>
        <v>3625</v>
      </c>
      <c r="J331">
        <f t="shared" si="11"/>
        <v>-5.1586206896551724E-2</v>
      </c>
    </row>
    <row r="332" spans="1:10">
      <c r="A332">
        <v>2026</v>
      </c>
      <c r="B332">
        <v>35</v>
      </c>
      <c r="C332" t="s">
        <v>8</v>
      </c>
      <c r="D332" t="s">
        <v>9</v>
      </c>
      <c r="E332" t="s">
        <v>211</v>
      </c>
      <c r="F332" t="s">
        <v>75</v>
      </c>
      <c r="G332" t="str">
        <f t="shared" si="10"/>
        <v>35030EXPLORER</v>
      </c>
      <c r="H332">
        <v>1559</v>
      </c>
      <c r="I332">
        <f>VLOOKUP(G332,[1]Hoja1!$G$9143:$H$9575,2,FALSE)</f>
        <v>1750</v>
      </c>
      <c r="J332">
        <f t="shared" si="11"/>
        <v>0.10914285714285714</v>
      </c>
    </row>
    <row r="333" spans="1:10">
      <c r="A333">
        <v>2026</v>
      </c>
      <c r="B333">
        <v>36</v>
      </c>
      <c r="C333" t="s">
        <v>12</v>
      </c>
      <c r="D333" t="s">
        <v>9</v>
      </c>
      <c r="E333" t="s">
        <v>197</v>
      </c>
      <c r="F333" t="s">
        <v>15</v>
      </c>
      <c r="G333" t="str">
        <f t="shared" si="10"/>
        <v>36002SOMERSET</v>
      </c>
      <c r="H333">
        <v>9630</v>
      </c>
      <c r="I333">
        <f>VLOOKUP(G333,[1]Hoja1!$G$9143:$H$9575,2,FALSE)</f>
        <v>7560</v>
      </c>
      <c r="J333">
        <f t="shared" si="11"/>
        <v>-0.27380952380952384</v>
      </c>
    </row>
    <row r="334" spans="1:10">
      <c r="A334">
        <v>2026</v>
      </c>
      <c r="B334">
        <v>36</v>
      </c>
      <c r="C334" t="s">
        <v>12</v>
      </c>
      <c r="D334" t="s">
        <v>9</v>
      </c>
      <c r="E334" t="s">
        <v>198</v>
      </c>
      <c r="F334" t="s">
        <v>17</v>
      </c>
      <c r="G334" t="str">
        <f t="shared" si="10"/>
        <v>36004BELLINA</v>
      </c>
      <c r="H334">
        <v>1273</v>
      </c>
      <c r="I334">
        <f>VLOOKUP(G334,[1]Hoja1!$G$9143:$H$9575,2,FALSE)</f>
        <v>1065</v>
      </c>
      <c r="J334">
        <f t="shared" si="11"/>
        <v>-0.19530516431924883</v>
      </c>
    </row>
    <row r="335" spans="1:10">
      <c r="A335">
        <v>2026</v>
      </c>
      <c r="B335">
        <v>36</v>
      </c>
      <c r="C335" t="s">
        <v>12</v>
      </c>
      <c r="D335" t="s">
        <v>9</v>
      </c>
      <c r="E335" t="s">
        <v>199</v>
      </c>
      <c r="F335" t="s">
        <v>19</v>
      </c>
      <c r="G335" t="str">
        <f t="shared" si="10"/>
        <v>36005ELBA</v>
      </c>
      <c r="H335">
        <v>6007</v>
      </c>
      <c r="I335">
        <f>VLOOKUP(G335,[1]Hoja1!$G$9143:$H$9575,2,FALSE)</f>
        <v>6600</v>
      </c>
      <c r="J335">
        <f t="shared" si="11"/>
        <v>8.9848484848484844E-2</v>
      </c>
    </row>
    <row r="336" spans="1:10">
      <c r="A336">
        <v>2026</v>
      </c>
      <c r="B336">
        <v>36</v>
      </c>
      <c r="C336" t="s">
        <v>12</v>
      </c>
      <c r="D336" t="s">
        <v>9</v>
      </c>
      <c r="E336" t="s">
        <v>199</v>
      </c>
      <c r="F336" t="s">
        <v>21</v>
      </c>
      <c r="G336" t="str">
        <f t="shared" si="10"/>
        <v>36005HOT BUBBLES</v>
      </c>
      <c r="H336">
        <v>1138</v>
      </c>
      <c r="I336">
        <f>VLOOKUP(G336,[1]Hoja1!$G$9143:$H$9575,2,FALSE)</f>
        <v>1040</v>
      </c>
      <c r="J336">
        <f t="shared" si="11"/>
        <v>-9.4230769230769229E-2</v>
      </c>
    </row>
    <row r="337" spans="1:10">
      <c r="A337">
        <v>2026</v>
      </c>
      <c r="B337">
        <v>36</v>
      </c>
      <c r="C337" t="s">
        <v>12</v>
      </c>
      <c r="D337" t="s">
        <v>9</v>
      </c>
      <c r="E337" t="s">
        <v>199</v>
      </c>
      <c r="F337" t="s">
        <v>23</v>
      </c>
      <c r="G337" t="str">
        <f t="shared" si="10"/>
        <v>36005SUSPIRO</v>
      </c>
      <c r="H337">
        <v>2608</v>
      </c>
      <c r="I337">
        <f>VLOOKUP(G337,[1]Hoja1!$G$9143:$H$9575,2,FALSE)</f>
        <v>3870</v>
      </c>
      <c r="J337">
        <f t="shared" si="11"/>
        <v>0.32609819121447026</v>
      </c>
    </row>
    <row r="338" spans="1:10">
      <c r="A338">
        <v>2026</v>
      </c>
      <c r="B338">
        <v>36</v>
      </c>
      <c r="C338" t="s">
        <v>12</v>
      </c>
      <c r="D338" t="s">
        <v>9</v>
      </c>
      <c r="E338" t="s">
        <v>200</v>
      </c>
      <c r="F338" t="s">
        <v>25</v>
      </c>
      <c r="G338" t="str">
        <f t="shared" si="10"/>
        <v>36007SNOW BUBBLES</v>
      </c>
      <c r="H338">
        <v>716</v>
      </c>
      <c r="I338" t="e">
        <f>VLOOKUP(G338,[1]Hoja1!$G$9143:$H$9575,2,FALSE)</f>
        <v>#N/A</v>
      </c>
      <c r="J338" t="e">
        <f t="shared" si="11"/>
        <v>#N/A</v>
      </c>
    </row>
    <row r="339" spans="1:10">
      <c r="A339">
        <v>2026</v>
      </c>
      <c r="B339">
        <v>36</v>
      </c>
      <c r="C339" t="s">
        <v>12</v>
      </c>
      <c r="D339" t="s">
        <v>9</v>
      </c>
      <c r="E339" t="s">
        <v>201</v>
      </c>
      <c r="F339" t="s">
        <v>21</v>
      </c>
      <c r="G339" t="str">
        <f t="shared" si="10"/>
        <v>36009HOT BUBBLES</v>
      </c>
      <c r="H339">
        <v>11376</v>
      </c>
      <c r="I339">
        <f>VLOOKUP(G339,[1]Hoja1!$G$9143:$H$9575,2,FALSE)</f>
        <v>6360</v>
      </c>
      <c r="J339">
        <f t="shared" si="11"/>
        <v>-0.78867924528301891</v>
      </c>
    </row>
    <row r="340" spans="1:10">
      <c r="A340">
        <v>2026</v>
      </c>
      <c r="B340">
        <v>36</v>
      </c>
      <c r="C340" t="s">
        <v>12</v>
      </c>
      <c r="D340" t="s">
        <v>9</v>
      </c>
      <c r="E340" t="s">
        <v>202</v>
      </c>
      <c r="F340" t="s">
        <v>28</v>
      </c>
      <c r="G340" t="str">
        <f t="shared" si="10"/>
        <v>36014FRUITY BUBBLES</v>
      </c>
      <c r="H340">
        <v>2686</v>
      </c>
      <c r="I340">
        <f>VLOOKUP(G340,[1]Hoja1!$G$9143:$H$9575,2,FALSE)</f>
        <v>1025</v>
      </c>
      <c r="J340">
        <f t="shared" si="11"/>
        <v>-1.6204878048780489</v>
      </c>
    </row>
    <row r="341" spans="1:10">
      <c r="A341">
        <v>2026</v>
      </c>
      <c r="B341">
        <v>36</v>
      </c>
      <c r="C341" t="s">
        <v>12</v>
      </c>
      <c r="D341" t="s">
        <v>9</v>
      </c>
      <c r="E341" t="s">
        <v>203</v>
      </c>
      <c r="F341" t="s">
        <v>30</v>
      </c>
      <c r="G341" t="str">
        <f t="shared" si="10"/>
        <v>36015FELLINI</v>
      </c>
      <c r="H341">
        <v>4381</v>
      </c>
      <c r="I341">
        <f>VLOOKUP(G341,[1]Hoja1!$G$9143:$H$9575,2,FALSE)</f>
        <v>5080</v>
      </c>
      <c r="J341">
        <f t="shared" si="11"/>
        <v>0.13759842519685039</v>
      </c>
    </row>
    <row r="342" spans="1:10">
      <c r="A342">
        <v>2026</v>
      </c>
      <c r="B342">
        <v>36</v>
      </c>
      <c r="C342" t="s">
        <v>12</v>
      </c>
      <c r="D342" t="s">
        <v>9</v>
      </c>
      <c r="E342" t="s">
        <v>204</v>
      </c>
      <c r="F342" t="s">
        <v>32</v>
      </c>
      <c r="G342" t="str">
        <f t="shared" si="10"/>
        <v>36016GOOD PEACH</v>
      </c>
      <c r="H342">
        <v>3252</v>
      </c>
      <c r="I342">
        <f>VLOOKUP(G342,[1]Hoja1!$G$9143:$H$9575,2,FALSE)</f>
        <v>1920</v>
      </c>
      <c r="J342">
        <f t="shared" si="11"/>
        <v>-0.69374999999999998</v>
      </c>
    </row>
    <row r="343" spans="1:10">
      <c r="A343">
        <v>2026</v>
      </c>
      <c r="B343">
        <v>36</v>
      </c>
      <c r="C343" t="s">
        <v>12</v>
      </c>
      <c r="D343" t="s">
        <v>9</v>
      </c>
      <c r="E343" t="s">
        <v>204</v>
      </c>
      <c r="F343" t="s">
        <v>34</v>
      </c>
      <c r="G343" t="str">
        <f t="shared" si="10"/>
        <v>36016GOOD YELLOW</v>
      </c>
      <c r="H343">
        <v>3271</v>
      </c>
      <c r="I343">
        <f>VLOOKUP(G343,[1]Hoja1!$G$9143:$H$9575,2,FALSE)</f>
        <v>2580</v>
      </c>
      <c r="J343">
        <f t="shared" si="11"/>
        <v>-0.26782945736434111</v>
      </c>
    </row>
    <row r="344" spans="1:10">
      <c r="A344">
        <v>2026</v>
      </c>
      <c r="B344">
        <v>36</v>
      </c>
      <c r="C344" t="s">
        <v>12</v>
      </c>
      <c r="D344" t="s">
        <v>9</v>
      </c>
      <c r="E344" t="s">
        <v>205</v>
      </c>
      <c r="F344" t="s">
        <v>36</v>
      </c>
      <c r="G344" t="str">
        <f t="shared" si="10"/>
        <v>36017ORANGE STAR</v>
      </c>
      <c r="H344">
        <v>925</v>
      </c>
      <c r="I344">
        <f>VLOOKUP(G344,[1]Hoja1!$G$9143:$H$9575,2,FALSE)</f>
        <v>1375</v>
      </c>
      <c r="J344">
        <f t="shared" si="11"/>
        <v>0.32727272727272727</v>
      </c>
    </row>
    <row r="345" spans="1:10">
      <c r="A345">
        <v>2026</v>
      </c>
      <c r="B345">
        <v>36</v>
      </c>
      <c r="C345" t="s">
        <v>12</v>
      </c>
      <c r="D345" t="s">
        <v>9</v>
      </c>
      <c r="E345" t="s">
        <v>206</v>
      </c>
      <c r="F345" t="s">
        <v>38</v>
      </c>
      <c r="G345" t="str">
        <f t="shared" si="10"/>
        <v>36018COSMO</v>
      </c>
      <c r="H345">
        <v>3629</v>
      </c>
      <c r="I345">
        <f>VLOOKUP(G345,[1]Hoja1!$G$9143:$H$9575,2,FALSE)</f>
        <v>2925</v>
      </c>
      <c r="J345">
        <f t="shared" si="11"/>
        <v>-0.24068376068376068</v>
      </c>
    </row>
    <row r="346" spans="1:10">
      <c r="A346">
        <v>2026</v>
      </c>
      <c r="B346">
        <v>36</v>
      </c>
      <c r="C346" t="s">
        <v>12</v>
      </c>
      <c r="D346" t="s">
        <v>9</v>
      </c>
      <c r="E346" t="s">
        <v>206</v>
      </c>
      <c r="F346" t="s">
        <v>40</v>
      </c>
      <c r="G346" t="str">
        <f t="shared" si="10"/>
        <v>36018RUBICON</v>
      </c>
      <c r="H346">
        <v>3804</v>
      </c>
      <c r="I346">
        <f>VLOOKUP(G346,[1]Hoja1!$G$9143:$H$9575,2,FALSE)</f>
        <v>3150</v>
      </c>
      <c r="J346">
        <f t="shared" si="11"/>
        <v>-0.20761904761904762</v>
      </c>
    </row>
    <row r="347" spans="1:10">
      <c r="A347">
        <v>2026</v>
      </c>
      <c r="B347">
        <v>36</v>
      </c>
      <c r="C347" t="s">
        <v>12</v>
      </c>
      <c r="D347" t="s">
        <v>9</v>
      </c>
      <c r="E347" t="s">
        <v>207</v>
      </c>
      <c r="F347" t="s">
        <v>17</v>
      </c>
      <c r="G347" t="str">
        <f t="shared" si="10"/>
        <v>36019BELLINA</v>
      </c>
      <c r="H347">
        <v>1210</v>
      </c>
      <c r="I347">
        <f>VLOOKUP(G347,[1]Hoja1!$G$9143:$H$9575,2,FALSE)</f>
        <v>1365</v>
      </c>
      <c r="J347">
        <f t="shared" si="11"/>
        <v>0.11355311355311355</v>
      </c>
    </row>
    <row r="348" spans="1:10">
      <c r="A348">
        <v>2026</v>
      </c>
      <c r="B348">
        <v>36</v>
      </c>
      <c r="C348" t="s">
        <v>12</v>
      </c>
      <c r="D348" t="s">
        <v>9</v>
      </c>
      <c r="E348" t="s">
        <v>208</v>
      </c>
      <c r="F348" t="s">
        <v>43</v>
      </c>
      <c r="G348" t="str">
        <f t="shared" si="10"/>
        <v>36020SUMMER DANCE</v>
      </c>
      <c r="H348">
        <v>2277</v>
      </c>
      <c r="I348">
        <f>VLOOKUP(G348,[1]Hoja1!$G$9143:$H$9575,2,FALSE)</f>
        <v>2100</v>
      </c>
      <c r="J348">
        <f t="shared" si="11"/>
        <v>-8.4285714285714283E-2</v>
      </c>
    </row>
    <row r="349" spans="1:10">
      <c r="A349">
        <v>2026</v>
      </c>
      <c r="B349">
        <v>36</v>
      </c>
      <c r="C349" t="s">
        <v>12</v>
      </c>
      <c r="D349" t="s">
        <v>9</v>
      </c>
      <c r="E349" t="s">
        <v>196</v>
      </c>
      <c r="F349" t="s">
        <v>45</v>
      </c>
      <c r="G349" t="str">
        <f t="shared" si="10"/>
        <v>36021ELEGANT ROSEVER</v>
      </c>
      <c r="H349">
        <v>592</v>
      </c>
      <c r="I349">
        <f>VLOOKUP(G349,[1]Hoja1!$G$9143:$H$9575,2,FALSE)</f>
        <v>420</v>
      </c>
      <c r="J349">
        <f t="shared" si="11"/>
        <v>-0.40952380952380951</v>
      </c>
    </row>
    <row r="350" spans="1:10">
      <c r="A350">
        <v>2026</v>
      </c>
      <c r="B350">
        <v>36</v>
      </c>
      <c r="C350" t="s">
        <v>12</v>
      </c>
      <c r="D350" t="s">
        <v>9</v>
      </c>
      <c r="E350" t="s">
        <v>196</v>
      </c>
      <c r="F350" t="s">
        <v>47</v>
      </c>
      <c r="G350" t="str">
        <f t="shared" si="10"/>
        <v>36021FLAME CLUB</v>
      </c>
      <c r="H350">
        <v>1234</v>
      </c>
      <c r="I350">
        <f>VLOOKUP(G350,[1]Hoja1!$G$9143:$H$9575,2,FALSE)</f>
        <v>1400</v>
      </c>
      <c r="J350">
        <f t="shared" si="11"/>
        <v>0.11857142857142858</v>
      </c>
    </row>
    <row r="351" spans="1:10">
      <c r="A351">
        <v>2026</v>
      </c>
      <c r="B351">
        <v>36</v>
      </c>
      <c r="C351" t="s">
        <v>12</v>
      </c>
      <c r="D351" t="s">
        <v>9</v>
      </c>
      <c r="E351" t="s">
        <v>196</v>
      </c>
      <c r="F351" t="s">
        <v>49</v>
      </c>
      <c r="G351" t="str">
        <f t="shared" si="10"/>
        <v>36021KELLY</v>
      </c>
      <c r="H351">
        <v>640</v>
      </c>
      <c r="I351">
        <f>VLOOKUP(G351,[1]Hoja1!$G$9143:$H$9575,2,FALSE)</f>
        <v>500</v>
      </c>
      <c r="J351">
        <f t="shared" si="11"/>
        <v>-0.28000000000000003</v>
      </c>
    </row>
    <row r="352" spans="1:10">
      <c r="A352">
        <v>2026</v>
      </c>
      <c r="B352">
        <v>36</v>
      </c>
      <c r="C352" t="s">
        <v>12</v>
      </c>
      <c r="D352" t="s">
        <v>9</v>
      </c>
      <c r="E352" t="s">
        <v>196</v>
      </c>
      <c r="F352" t="s">
        <v>51</v>
      </c>
      <c r="G352" t="str">
        <f t="shared" si="10"/>
        <v>36021LEILA</v>
      </c>
      <c r="H352">
        <v>2088</v>
      </c>
      <c r="I352">
        <f>VLOOKUP(G352,[1]Hoja1!$G$9143:$H$9575,2,FALSE)</f>
        <v>1075</v>
      </c>
      <c r="J352">
        <f t="shared" si="11"/>
        <v>-0.94232558139534883</v>
      </c>
    </row>
    <row r="353" spans="1:10">
      <c r="A353">
        <v>2026</v>
      </c>
      <c r="B353">
        <v>36</v>
      </c>
      <c r="C353" t="s">
        <v>12</v>
      </c>
      <c r="D353" t="s">
        <v>9</v>
      </c>
      <c r="E353" t="s">
        <v>196</v>
      </c>
      <c r="F353" t="s">
        <v>25</v>
      </c>
      <c r="G353" t="str">
        <f t="shared" si="10"/>
        <v>36021SNOW BUBBLES</v>
      </c>
      <c r="H353">
        <v>2537</v>
      </c>
      <c r="I353">
        <f>VLOOKUP(G353,[1]Hoja1!$G$9143:$H$9575,2,FALSE)</f>
        <v>1200</v>
      </c>
      <c r="J353">
        <f t="shared" si="11"/>
        <v>-1.1141666666666667</v>
      </c>
    </row>
    <row r="354" spans="1:10">
      <c r="A354">
        <v>2026</v>
      </c>
      <c r="B354">
        <v>36</v>
      </c>
      <c r="C354" t="s">
        <v>12</v>
      </c>
      <c r="D354" t="s">
        <v>9</v>
      </c>
      <c r="E354" t="s">
        <v>209</v>
      </c>
      <c r="F354" t="s">
        <v>28</v>
      </c>
      <c r="G354" t="str">
        <f t="shared" si="10"/>
        <v>36022FRUITY BUBBLES</v>
      </c>
      <c r="H354">
        <v>3760</v>
      </c>
      <c r="I354">
        <f>VLOOKUP(G354,[1]Hoja1!$G$9143:$H$9575,2,FALSE)</f>
        <v>2175</v>
      </c>
      <c r="J354">
        <f t="shared" si="11"/>
        <v>-0.72873563218390802</v>
      </c>
    </row>
    <row r="355" spans="1:10">
      <c r="A355">
        <v>2026</v>
      </c>
      <c r="B355">
        <v>36</v>
      </c>
      <c r="C355" t="s">
        <v>12</v>
      </c>
      <c r="D355" t="s">
        <v>9</v>
      </c>
      <c r="E355" t="s">
        <v>209</v>
      </c>
      <c r="F355" t="s">
        <v>32</v>
      </c>
      <c r="G355" t="str">
        <f t="shared" si="10"/>
        <v>36022GOOD PEACH</v>
      </c>
      <c r="H355">
        <v>1721</v>
      </c>
      <c r="I355">
        <f>VLOOKUP(G355,[1]Hoja1!$G$9143:$H$9575,2,FALSE)</f>
        <v>1740</v>
      </c>
      <c r="J355">
        <f t="shared" si="11"/>
        <v>1.0919540229885057E-2</v>
      </c>
    </row>
    <row r="356" spans="1:10">
      <c r="A356">
        <v>2026</v>
      </c>
      <c r="B356">
        <v>36</v>
      </c>
      <c r="C356" t="s">
        <v>12</v>
      </c>
      <c r="D356" t="s">
        <v>9</v>
      </c>
      <c r="E356" t="s">
        <v>209</v>
      </c>
      <c r="F356" t="s">
        <v>56</v>
      </c>
      <c r="G356" t="str">
        <f t="shared" si="10"/>
        <v>36022MIRABEL</v>
      </c>
      <c r="H356">
        <v>1284</v>
      </c>
      <c r="I356">
        <f>VLOOKUP(G356,[1]Hoja1!$G$9143:$H$9575,2,FALSE)</f>
        <v>1080</v>
      </c>
      <c r="J356">
        <f t="shared" si="11"/>
        <v>-0.18888888888888888</v>
      </c>
    </row>
    <row r="357" spans="1:10">
      <c r="A357">
        <v>2026</v>
      </c>
      <c r="B357">
        <v>36</v>
      </c>
      <c r="C357" t="s">
        <v>12</v>
      </c>
      <c r="D357" t="s">
        <v>9</v>
      </c>
      <c r="E357" t="s">
        <v>210</v>
      </c>
      <c r="F357" t="s">
        <v>58</v>
      </c>
      <c r="G357" t="str">
        <f t="shared" si="10"/>
        <v>36026PURPLE BUBBLY</v>
      </c>
      <c r="H357">
        <v>381</v>
      </c>
      <c r="I357" t="e">
        <f>VLOOKUP(G357,[1]Hoja1!$G$9143:$H$9575,2,FALSE)</f>
        <v>#N/A</v>
      </c>
      <c r="J357" t="e">
        <f t="shared" si="11"/>
        <v>#N/A</v>
      </c>
    </row>
    <row r="358" spans="1:10">
      <c r="A358">
        <v>2026</v>
      </c>
      <c r="B358">
        <v>36</v>
      </c>
      <c r="C358" t="s">
        <v>12</v>
      </c>
      <c r="D358" t="s">
        <v>9</v>
      </c>
      <c r="E358" t="s">
        <v>211</v>
      </c>
      <c r="F358" t="s">
        <v>56</v>
      </c>
      <c r="G358" t="str">
        <f t="shared" si="10"/>
        <v>36030MIRABEL</v>
      </c>
      <c r="H358">
        <v>4263</v>
      </c>
      <c r="I358">
        <f>VLOOKUP(G358,[1]Hoja1!$G$9143:$H$9575,2,FALSE)</f>
        <v>3100</v>
      </c>
      <c r="J358">
        <f t="shared" si="11"/>
        <v>-0.37516129032258067</v>
      </c>
    </row>
    <row r="359" spans="1:10">
      <c r="A359">
        <v>2026</v>
      </c>
      <c r="B359">
        <v>36</v>
      </c>
      <c r="C359" t="s">
        <v>12</v>
      </c>
      <c r="D359" t="s">
        <v>9</v>
      </c>
      <c r="E359" t="s">
        <v>211</v>
      </c>
      <c r="F359" t="s">
        <v>15</v>
      </c>
      <c r="G359" t="str">
        <f t="shared" si="10"/>
        <v>36030SOMERSET</v>
      </c>
      <c r="H359">
        <v>3232</v>
      </c>
      <c r="I359">
        <f>VLOOKUP(G359,[1]Hoja1!$G$9143:$H$9575,2,FALSE)</f>
        <v>2080</v>
      </c>
      <c r="J359">
        <f t="shared" si="11"/>
        <v>-0.55384615384615388</v>
      </c>
    </row>
    <row r="360" spans="1:10">
      <c r="A360">
        <v>2026</v>
      </c>
      <c r="B360">
        <v>36</v>
      </c>
      <c r="C360" t="s">
        <v>12</v>
      </c>
      <c r="D360" t="s">
        <v>9</v>
      </c>
      <c r="E360" t="s">
        <v>212</v>
      </c>
      <c r="F360" t="s">
        <v>62</v>
      </c>
      <c r="G360" t="str">
        <f t="shared" si="10"/>
        <v>3603182989</v>
      </c>
      <c r="H360">
        <v>1796</v>
      </c>
      <c r="I360">
        <f>VLOOKUP(G360,[1]Hoja1!$G$9143:$H$9575,2,FALSE)</f>
        <v>980</v>
      </c>
      <c r="J360">
        <f t="shared" si="11"/>
        <v>-0.83265306122448979</v>
      </c>
    </row>
    <row r="361" spans="1:10">
      <c r="A361">
        <v>2026</v>
      </c>
      <c r="B361">
        <v>36</v>
      </c>
      <c r="C361" t="s">
        <v>12</v>
      </c>
      <c r="D361" t="s">
        <v>9</v>
      </c>
      <c r="E361" t="s">
        <v>212</v>
      </c>
      <c r="F361" t="s">
        <v>40</v>
      </c>
      <c r="G361" t="str">
        <f t="shared" si="10"/>
        <v>36031RUBICON</v>
      </c>
      <c r="H361">
        <v>1666</v>
      </c>
      <c r="I361">
        <f>VLOOKUP(G361,[1]Hoja1!$G$9143:$H$9575,2,FALSE)</f>
        <v>1500</v>
      </c>
      <c r="J361">
        <f t="shared" si="11"/>
        <v>-0.11066666666666666</v>
      </c>
    </row>
    <row r="362" spans="1:10">
      <c r="A362">
        <v>2026</v>
      </c>
      <c r="B362">
        <v>36</v>
      </c>
      <c r="C362" t="s">
        <v>12</v>
      </c>
      <c r="D362" t="s">
        <v>9</v>
      </c>
      <c r="E362" t="s">
        <v>212</v>
      </c>
      <c r="F362" t="s">
        <v>15</v>
      </c>
      <c r="G362" t="str">
        <f t="shared" si="10"/>
        <v>36031SOMERSET</v>
      </c>
      <c r="H362">
        <v>2448</v>
      </c>
      <c r="I362">
        <f>VLOOKUP(G362,[1]Hoja1!$G$9143:$H$9575,2,FALSE)</f>
        <v>3040</v>
      </c>
      <c r="J362">
        <f t="shared" si="11"/>
        <v>0.19473684210526315</v>
      </c>
    </row>
    <row r="363" spans="1:10">
      <c r="A363">
        <v>2026</v>
      </c>
      <c r="B363">
        <v>36</v>
      </c>
      <c r="C363" t="s">
        <v>12</v>
      </c>
      <c r="D363" t="s">
        <v>9</v>
      </c>
      <c r="E363" t="s">
        <v>212</v>
      </c>
      <c r="F363" t="s">
        <v>66</v>
      </c>
      <c r="G363" t="str">
        <f t="shared" si="10"/>
        <v>36031VELVET BLOSSOMS</v>
      </c>
      <c r="H363">
        <v>547</v>
      </c>
      <c r="I363">
        <f>VLOOKUP(G363,[1]Hoja1!$G$9143:$H$9575,2,FALSE)</f>
        <v>480</v>
      </c>
      <c r="J363">
        <f t="shared" si="11"/>
        <v>-0.13958333333333334</v>
      </c>
    </row>
    <row r="364" spans="1:10">
      <c r="A364">
        <v>2026</v>
      </c>
      <c r="B364">
        <v>36</v>
      </c>
      <c r="C364" t="s">
        <v>12</v>
      </c>
      <c r="D364" t="s">
        <v>9</v>
      </c>
      <c r="E364" t="s">
        <v>213</v>
      </c>
      <c r="F364" t="s">
        <v>19</v>
      </c>
      <c r="G364" t="str">
        <f t="shared" si="10"/>
        <v>36032ELBA</v>
      </c>
      <c r="H364">
        <v>4259</v>
      </c>
      <c r="I364">
        <f>VLOOKUP(G364,[1]Hoja1!$G$9143:$H$9575,2,FALSE)</f>
        <v>3210</v>
      </c>
      <c r="J364">
        <f t="shared" si="11"/>
        <v>-0.32679127725856699</v>
      </c>
    </row>
    <row r="365" spans="1:10">
      <c r="A365">
        <v>2026</v>
      </c>
      <c r="B365">
        <v>36</v>
      </c>
      <c r="C365" t="s">
        <v>12</v>
      </c>
      <c r="D365" t="s">
        <v>9</v>
      </c>
      <c r="E365" t="s">
        <v>213</v>
      </c>
      <c r="F365" t="s">
        <v>56</v>
      </c>
      <c r="G365" t="str">
        <f t="shared" si="10"/>
        <v>36032MIRABEL</v>
      </c>
      <c r="H365">
        <v>1434</v>
      </c>
      <c r="I365">
        <f>VLOOKUP(G365,[1]Hoja1!$G$9143:$H$9575,2,FALSE)</f>
        <v>2300</v>
      </c>
      <c r="J365">
        <f t="shared" si="11"/>
        <v>0.3765217391304348</v>
      </c>
    </row>
    <row r="366" spans="1:10">
      <c r="A366">
        <v>2026</v>
      </c>
      <c r="B366">
        <v>36</v>
      </c>
      <c r="C366" t="s">
        <v>12</v>
      </c>
      <c r="D366" t="s">
        <v>9</v>
      </c>
      <c r="E366" t="s">
        <v>214</v>
      </c>
      <c r="F366" t="s">
        <v>70</v>
      </c>
      <c r="G366" t="str">
        <f t="shared" si="10"/>
        <v>36033CREAMY FOLIES</v>
      </c>
      <c r="H366">
        <v>965</v>
      </c>
      <c r="I366">
        <f>VLOOKUP(G366,[1]Hoja1!$G$9143:$H$9575,2,FALSE)</f>
        <v>1470</v>
      </c>
      <c r="J366">
        <f t="shared" si="11"/>
        <v>0.34353741496598639</v>
      </c>
    </row>
    <row r="367" spans="1:10">
      <c r="A367">
        <v>2026</v>
      </c>
      <c r="B367">
        <v>36</v>
      </c>
      <c r="C367" t="s">
        <v>12</v>
      </c>
      <c r="D367" t="s">
        <v>9</v>
      </c>
      <c r="E367" t="s">
        <v>214</v>
      </c>
      <c r="F367" t="s">
        <v>21</v>
      </c>
      <c r="G367" t="str">
        <f t="shared" si="10"/>
        <v>36033HOT BUBBLES</v>
      </c>
      <c r="H367">
        <v>3663</v>
      </c>
      <c r="I367">
        <f>VLOOKUP(G367,[1]Hoja1!$G$9143:$H$9575,2,FALSE)</f>
        <v>3220</v>
      </c>
      <c r="J367">
        <f t="shared" si="11"/>
        <v>-0.13757763975155279</v>
      </c>
    </row>
    <row r="368" spans="1:10">
      <c r="A368">
        <v>2026</v>
      </c>
      <c r="B368">
        <v>36</v>
      </c>
      <c r="C368" t="s">
        <v>8</v>
      </c>
      <c r="D368" t="s">
        <v>9</v>
      </c>
      <c r="E368" t="s">
        <v>215</v>
      </c>
      <c r="F368" t="s">
        <v>73</v>
      </c>
      <c r="G368" t="str">
        <f t="shared" si="10"/>
        <v>36001BELIEVE IN PINK</v>
      </c>
      <c r="H368">
        <v>912</v>
      </c>
      <c r="I368">
        <f>VLOOKUP(G368,[1]Hoja1!$G$9143:$H$9575,2,FALSE)</f>
        <v>1110</v>
      </c>
      <c r="J368">
        <f t="shared" si="11"/>
        <v>0.17837837837837839</v>
      </c>
    </row>
    <row r="369" spans="1:10">
      <c r="A369">
        <v>2026</v>
      </c>
      <c r="B369">
        <v>36</v>
      </c>
      <c r="C369" t="s">
        <v>8</v>
      </c>
      <c r="D369" t="s">
        <v>9</v>
      </c>
      <c r="E369" t="s">
        <v>215</v>
      </c>
      <c r="F369" t="s">
        <v>75</v>
      </c>
      <c r="G369" t="str">
        <f t="shared" si="10"/>
        <v>36001EXPLORER</v>
      </c>
      <c r="H369">
        <v>3681</v>
      </c>
      <c r="I369">
        <f>VLOOKUP(G369,[1]Hoja1!$G$9143:$H$9575,2,FALSE)</f>
        <v>3800</v>
      </c>
      <c r="J369">
        <f t="shared" si="11"/>
        <v>3.1315789473684214E-2</v>
      </c>
    </row>
    <row r="370" spans="1:10">
      <c r="A370">
        <v>2026</v>
      </c>
      <c r="B370">
        <v>36</v>
      </c>
      <c r="C370" t="s">
        <v>8</v>
      </c>
      <c r="D370" t="s">
        <v>9</v>
      </c>
      <c r="E370" t="s">
        <v>215</v>
      </c>
      <c r="F370" t="s">
        <v>77</v>
      </c>
      <c r="G370" t="str">
        <f t="shared" si="10"/>
        <v>36001GRACE KELLY</v>
      </c>
      <c r="H370">
        <v>1411</v>
      </c>
      <c r="I370">
        <f>VLOOKUP(G370,[1]Hoja1!$G$9143:$H$9575,2,FALSE)</f>
        <v>1350</v>
      </c>
      <c r="J370">
        <f t="shared" si="11"/>
        <v>-4.5185185185185182E-2</v>
      </c>
    </row>
    <row r="371" spans="1:10">
      <c r="A371">
        <v>2026</v>
      </c>
      <c r="B371">
        <v>36</v>
      </c>
      <c r="C371" t="s">
        <v>8</v>
      </c>
      <c r="D371" t="s">
        <v>9</v>
      </c>
      <c r="E371" t="s">
        <v>215</v>
      </c>
      <c r="F371" t="s">
        <v>79</v>
      </c>
      <c r="G371" t="str">
        <f t="shared" si="10"/>
        <v>36001IDOLE</v>
      </c>
      <c r="H371">
        <v>825</v>
      </c>
      <c r="I371" t="e">
        <f>VLOOKUP(G371,[1]Hoja1!$G$9143:$H$9575,2,FALSE)</f>
        <v>#N/A</v>
      </c>
      <c r="J371" t="e">
        <f t="shared" si="11"/>
        <v>#N/A</v>
      </c>
    </row>
    <row r="372" spans="1:10">
      <c r="A372">
        <v>2026</v>
      </c>
      <c r="B372">
        <v>36</v>
      </c>
      <c r="C372" t="s">
        <v>8</v>
      </c>
      <c r="D372" t="s">
        <v>9</v>
      </c>
      <c r="E372" t="s">
        <v>215</v>
      </c>
      <c r="F372" t="s">
        <v>81</v>
      </c>
      <c r="G372" t="str">
        <f t="shared" si="10"/>
        <v>36001LIGHT HOUSE</v>
      </c>
      <c r="H372">
        <v>1327</v>
      </c>
      <c r="I372">
        <f>VLOOKUP(G372,[1]Hoja1!$G$9143:$H$9575,2,FALSE)</f>
        <v>2130</v>
      </c>
      <c r="J372">
        <f t="shared" si="11"/>
        <v>0.37699530516431923</v>
      </c>
    </row>
    <row r="373" spans="1:10">
      <c r="A373">
        <v>2026</v>
      </c>
      <c r="B373">
        <v>36</v>
      </c>
      <c r="C373" t="s">
        <v>8</v>
      </c>
      <c r="D373" t="s">
        <v>9</v>
      </c>
      <c r="E373" t="s">
        <v>215</v>
      </c>
      <c r="F373" t="s">
        <v>10</v>
      </c>
      <c r="G373" t="str">
        <f t="shared" si="10"/>
        <v>36001LUMIA</v>
      </c>
      <c r="H373">
        <v>1531</v>
      </c>
      <c r="I373">
        <f>VLOOKUP(G373,[1]Hoja1!$G$9143:$H$9575,2,FALSE)</f>
        <v>1140</v>
      </c>
      <c r="J373">
        <f t="shared" si="11"/>
        <v>-0.34298245614035089</v>
      </c>
    </row>
    <row r="374" spans="1:10">
      <c r="A374">
        <v>2026</v>
      </c>
      <c r="B374">
        <v>36</v>
      </c>
      <c r="C374" t="s">
        <v>8</v>
      </c>
      <c r="D374" t="s">
        <v>9</v>
      </c>
      <c r="E374" t="s">
        <v>215</v>
      </c>
      <c r="F374" t="s">
        <v>84</v>
      </c>
      <c r="G374" t="str">
        <f t="shared" si="10"/>
        <v>36001MOMENTUM</v>
      </c>
      <c r="H374">
        <v>3609</v>
      </c>
      <c r="I374">
        <f>VLOOKUP(G374,[1]Hoja1!$G$9143:$H$9575,2,FALSE)</f>
        <v>2400</v>
      </c>
      <c r="J374">
        <f t="shared" si="11"/>
        <v>-0.50375000000000003</v>
      </c>
    </row>
    <row r="375" spans="1:10">
      <c r="A375">
        <v>2026</v>
      </c>
      <c r="B375">
        <v>36</v>
      </c>
      <c r="C375" t="s">
        <v>8</v>
      </c>
      <c r="D375" t="s">
        <v>9</v>
      </c>
      <c r="E375" t="s">
        <v>197</v>
      </c>
      <c r="F375" t="s">
        <v>86</v>
      </c>
      <c r="G375" t="str">
        <f t="shared" si="10"/>
        <v>36002SUMMER ROMANCE</v>
      </c>
      <c r="H375">
        <v>2141</v>
      </c>
      <c r="I375">
        <f>VLOOKUP(G375,[1]Hoja1!$G$9143:$H$9575,2,FALSE)</f>
        <v>1450</v>
      </c>
      <c r="J375">
        <f t="shared" si="11"/>
        <v>-0.47655172413793101</v>
      </c>
    </row>
    <row r="376" spans="1:10">
      <c r="A376">
        <v>2026</v>
      </c>
      <c r="B376">
        <v>36</v>
      </c>
      <c r="C376" t="s">
        <v>8</v>
      </c>
      <c r="D376" t="s">
        <v>9</v>
      </c>
      <c r="E376" t="s">
        <v>197</v>
      </c>
      <c r="F376" t="s">
        <v>88</v>
      </c>
      <c r="G376" t="str">
        <f t="shared" si="10"/>
        <v>36002SWEETNESS</v>
      </c>
      <c r="H376">
        <v>5341</v>
      </c>
      <c r="I376">
        <f>VLOOKUP(G376,[1]Hoja1!$G$9143:$H$9575,2,FALSE)</f>
        <v>4410</v>
      </c>
      <c r="J376">
        <f t="shared" si="11"/>
        <v>-0.21111111111111111</v>
      </c>
    </row>
    <row r="377" spans="1:10">
      <c r="A377">
        <v>2026</v>
      </c>
      <c r="B377">
        <v>36</v>
      </c>
      <c r="C377" t="s">
        <v>8</v>
      </c>
      <c r="D377" t="s">
        <v>9</v>
      </c>
      <c r="E377" t="s">
        <v>216</v>
      </c>
      <c r="F377" t="s">
        <v>90</v>
      </c>
      <c r="G377" t="str">
        <f t="shared" si="10"/>
        <v>36003CABARET</v>
      </c>
      <c r="H377">
        <v>3921</v>
      </c>
      <c r="I377">
        <f>VLOOKUP(G377,[1]Hoja1!$G$9143:$H$9575,2,FALSE)</f>
        <v>5310</v>
      </c>
      <c r="J377">
        <f t="shared" si="11"/>
        <v>0.26158192090395482</v>
      </c>
    </row>
    <row r="378" spans="1:10">
      <c r="A378">
        <v>2026</v>
      </c>
      <c r="B378">
        <v>36</v>
      </c>
      <c r="C378" t="s">
        <v>8</v>
      </c>
      <c r="D378" t="s">
        <v>9</v>
      </c>
      <c r="E378" t="s">
        <v>216</v>
      </c>
      <c r="F378" t="s">
        <v>92</v>
      </c>
      <c r="G378" t="str">
        <f t="shared" si="10"/>
        <v>36003DEEP PURPLE</v>
      </c>
      <c r="H378">
        <v>7118</v>
      </c>
      <c r="I378">
        <f>VLOOKUP(G378,[1]Hoja1!$G$9143:$H$9575,2,FALSE)</f>
        <v>7320</v>
      </c>
      <c r="J378">
        <f t="shared" si="11"/>
        <v>2.7595628415300548E-2</v>
      </c>
    </row>
    <row r="379" spans="1:10">
      <c r="A379">
        <v>2026</v>
      </c>
      <c r="B379">
        <v>36</v>
      </c>
      <c r="C379" t="s">
        <v>8</v>
      </c>
      <c r="D379" t="s">
        <v>9</v>
      </c>
      <c r="E379" t="s">
        <v>216</v>
      </c>
      <c r="F379" t="s">
        <v>75</v>
      </c>
      <c r="G379" t="str">
        <f t="shared" si="10"/>
        <v>36003EXPLORER</v>
      </c>
      <c r="H379">
        <v>2154</v>
      </c>
      <c r="I379">
        <f>VLOOKUP(G379,[1]Hoja1!$G$9143:$H$9575,2,FALSE)</f>
        <v>1675</v>
      </c>
      <c r="J379">
        <f t="shared" si="11"/>
        <v>-0.28597014925373132</v>
      </c>
    </row>
    <row r="380" spans="1:10">
      <c r="A380">
        <v>2026</v>
      </c>
      <c r="B380">
        <v>36</v>
      </c>
      <c r="C380" t="s">
        <v>8</v>
      </c>
      <c r="D380" t="s">
        <v>9</v>
      </c>
      <c r="E380" t="s">
        <v>216</v>
      </c>
      <c r="F380" t="s">
        <v>95</v>
      </c>
      <c r="G380" t="str">
        <f t="shared" si="10"/>
        <v>36003JOCKER</v>
      </c>
      <c r="H380">
        <v>652</v>
      </c>
      <c r="I380">
        <f>VLOOKUP(G380,[1]Hoja1!$G$9143:$H$9575,2,FALSE)</f>
        <v>525</v>
      </c>
      <c r="J380">
        <f t="shared" si="11"/>
        <v>-0.2419047619047619</v>
      </c>
    </row>
    <row r="381" spans="1:10">
      <c r="A381">
        <v>2026</v>
      </c>
      <c r="B381">
        <v>36</v>
      </c>
      <c r="C381" t="s">
        <v>8</v>
      </c>
      <c r="D381" t="s">
        <v>9</v>
      </c>
      <c r="E381" t="s">
        <v>216</v>
      </c>
      <c r="F381" t="s">
        <v>97</v>
      </c>
      <c r="G381" t="str">
        <f t="shared" si="10"/>
        <v>36003QUICKSAND</v>
      </c>
      <c r="H381">
        <v>1341</v>
      </c>
      <c r="I381">
        <f>VLOOKUP(G381,[1]Hoja1!$G$9143:$H$9575,2,FALSE)</f>
        <v>1200</v>
      </c>
      <c r="J381">
        <f t="shared" si="11"/>
        <v>-0.11749999999999999</v>
      </c>
    </row>
    <row r="382" spans="1:10">
      <c r="A382">
        <v>2026</v>
      </c>
      <c r="B382">
        <v>36</v>
      </c>
      <c r="C382" t="s">
        <v>8</v>
      </c>
      <c r="D382" t="s">
        <v>9</v>
      </c>
      <c r="E382" t="s">
        <v>198</v>
      </c>
      <c r="F382" t="s">
        <v>99</v>
      </c>
      <c r="G382" t="str">
        <f t="shared" si="10"/>
        <v>36004COTOPAXI</v>
      </c>
      <c r="H382">
        <v>1033</v>
      </c>
      <c r="I382">
        <f>VLOOKUP(G382,[1]Hoja1!$G$9143:$H$9575,2,FALSE)</f>
        <v>720</v>
      </c>
      <c r="J382">
        <f t="shared" si="11"/>
        <v>-0.43472222222222223</v>
      </c>
    </row>
    <row r="383" spans="1:10">
      <c r="A383">
        <v>2026</v>
      </c>
      <c r="B383">
        <v>36</v>
      </c>
      <c r="C383" t="s">
        <v>8</v>
      </c>
      <c r="D383" t="s">
        <v>9</v>
      </c>
      <c r="E383" t="s">
        <v>198</v>
      </c>
      <c r="F383" t="s">
        <v>92</v>
      </c>
      <c r="G383" t="str">
        <f t="shared" si="10"/>
        <v>36004DEEP PURPLE</v>
      </c>
      <c r="H383">
        <v>7688</v>
      </c>
      <c r="I383">
        <f>VLOOKUP(G383,[1]Hoja1!$G$9143:$H$9575,2,FALSE)</f>
        <v>11040</v>
      </c>
      <c r="J383">
        <f t="shared" si="11"/>
        <v>0.30362318840579711</v>
      </c>
    </row>
    <row r="384" spans="1:10">
      <c r="A384">
        <v>2026</v>
      </c>
      <c r="B384">
        <v>36</v>
      </c>
      <c r="C384" t="s">
        <v>8</v>
      </c>
      <c r="D384" t="s">
        <v>9</v>
      </c>
      <c r="E384" t="s">
        <v>198</v>
      </c>
      <c r="F384" t="s">
        <v>102</v>
      </c>
      <c r="G384" t="str">
        <f t="shared" si="10"/>
        <v>36004HOT EXPLORER</v>
      </c>
      <c r="H384">
        <v>2553</v>
      </c>
      <c r="I384">
        <f>VLOOKUP(G384,[1]Hoja1!$G$9143:$H$9575,2,FALSE)</f>
        <v>3150</v>
      </c>
      <c r="J384">
        <f t="shared" si="11"/>
        <v>0.18952380952380951</v>
      </c>
    </row>
    <row r="385" spans="1:10">
      <c r="A385">
        <v>2026</v>
      </c>
      <c r="B385">
        <v>36</v>
      </c>
      <c r="C385" t="s">
        <v>8</v>
      </c>
      <c r="D385" t="s">
        <v>9</v>
      </c>
      <c r="E385" t="s">
        <v>198</v>
      </c>
      <c r="F385" t="s">
        <v>104</v>
      </c>
      <c r="G385" t="str">
        <f t="shared" si="10"/>
        <v>36004HOT MERENGUE</v>
      </c>
      <c r="H385">
        <v>1810</v>
      </c>
      <c r="I385">
        <f>VLOOKUP(G385,[1]Hoja1!$G$9143:$H$9575,2,FALSE)</f>
        <v>3690</v>
      </c>
      <c r="J385">
        <f t="shared" si="11"/>
        <v>0.50948509485094851</v>
      </c>
    </row>
    <row r="386" spans="1:10">
      <c r="A386">
        <v>2026</v>
      </c>
      <c r="B386">
        <v>36</v>
      </c>
      <c r="C386" t="s">
        <v>8</v>
      </c>
      <c r="D386" t="s">
        <v>9</v>
      </c>
      <c r="E386" t="s">
        <v>198</v>
      </c>
      <c r="F386" t="s">
        <v>88</v>
      </c>
      <c r="G386" t="str">
        <f t="shared" si="10"/>
        <v>36004SWEETNESS</v>
      </c>
      <c r="H386">
        <v>481</v>
      </c>
      <c r="I386">
        <f>VLOOKUP(G386,[1]Hoja1!$G$9143:$H$9575,2,FALSE)</f>
        <v>480</v>
      </c>
      <c r="J386">
        <f t="shared" si="11"/>
        <v>-2.0833333333333333E-3</v>
      </c>
    </row>
    <row r="387" spans="1:10">
      <c r="A387">
        <v>2026</v>
      </c>
      <c r="B387">
        <v>36</v>
      </c>
      <c r="C387" t="s">
        <v>8</v>
      </c>
      <c r="D387" t="s">
        <v>9</v>
      </c>
      <c r="E387" t="s">
        <v>199</v>
      </c>
      <c r="F387" t="s">
        <v>75</v>
      </c>
      <c r="G387" t="str">
        <f t="shared" ref="G387:G441" si="12">+B387&amp;E387&amp;F387</f>
        <v>36005EXPLORER</v>
      </c>
      <c r="H387">
        <v>1207</v>
      </c>
      <c r="I387">
        <f>VLOOKUP(G387,[1]Hoja1!$G$9143:$H$9575,2,FALSE)</f>
        <v>1375</v>
      </c>
      <c r="J387">
        <f t="shared" ref="J387:J441" si="13">+(I387-H387)/I387</f>
        <v>0.12218181818181818</v>
      </c>
    </row>
    <row r="388" spans="1:10">
      <c r="A388">
        <v>2026</v>
      </c>
      <c r="B388">
        <v>36</v>
      </c>
      <c r="C388" t="s">
        <v>8</v>
      </c>
      <c r="D388" t="s">
        <v>9</v>
      </c>
      <c r="E388" t="s">
        <v>199</v>
      </c>
      <c r="F388" t="s">
        <v>108</v>
      </c>
      <c r="G388" t="str">
        <f t="shared" si="12"/>
        <v>36005GOLDFINCH</v>
      </c>
      <c r="H388">
        <v>774</v>
      </c>
      <c r="I388">
        <f>VLOOKUP(G388,[1]Hoja1!$G$9143:$H$9575,2,FALSE)</f>
        <v>1200</v>
      </c>
      <c r="J388">
        <f t="shared" si="13"/>
        <v>0.35499999999999998</v>
      </c>
    </row>
    <row r="389" spans="1:10">
      <c r="A389">
        <v>2026</v>
      </c>
      <c r="B389">
        <v>36</v>
      </c>
      <c r="C389" t="s">
        <v>8</v>
      </c>
      <c r="D389" t="s">
        <v>9</v>
      </c>
      <c r="E389" t="s">
        <v>199</v>
      </c>
      <c r="F389" t="s">
        <v>95</v>
      </c>
      <c r="G389" t="str">
        <f t="shared" si="12"/>
        <v>36005JOCKER</v>
      </c>
      <c r="H389">
        <v>1527</v>
      </c>
      <c r="I389">
        <f>VLOOKUP(G389,[1]Hoja1!$G$9143:$H$9575,2,FALSE)</f>
        <v>1925</v>
      </c>
      <c r="J389">
        <f t="shared" si="13"/>
        <v>0.20675324675324674</v>
      </c>
    </row>
    <row r="390" spans="1:10">
      <c r="A390">
        <v>2026</v>
      </c>
      <c r="B390">
        <v>36</v>
      </c>
      <c r="C390" t="s">
        <v>8</v>
      </c>
      <c r="D390" t="s">
        <v>9</v>
      </c>
      <c r="E390" t="s">
        <v>199</v>
      </c>
      <c r="F390" t="s">
        <v>111</v>
      </c>
      <c r="G390" t="str">
        <f t="shared" si="12"/>
        <v>36005VENDELA</v>
      </c>
      <c r="H390">
        <v>1428</v>
      </c>
      <c r="I390">
        <f>VLOOKUP(G390,[1]Hoja1!$G$9143:$H$9575,2,FALSE)</f>
        <v>1200</v>
      </c>
      <c r="J390">
        <f t="shared" si="13"/>
        <v>-0.19</v>
      </c>
    </row>
    <row r="391" spans="1:10">
      <c r="A391">
        <v>2026</v>
      </c>
      <c r="B391">
        <v>36</v>
      </c>
      <c r="C391" t="s">
        <v>8</v>
      </c>
      <c r="D391" t="s">
        <v>9</v>
      </c>
      <c r="E391" t="s">
        <v>217</v>
      </c>
      <c r="F391" t="s">
        <v>113</v>
      </c>
      <c r="G391" t="str">
        <f t="shared" si="12"/>
        <v>36006ATOMIC</v>
      </c>
      <c r="H391">
        <v>705</v>
      </c>
      <c r="I391" t="e">
        <f>VLOOKUP(G391,[1]Hoja1!$G$9143:$H$9575,2,FALSE)</f>
        <v>#N/A</v>
      </c>
      <c r="J391" t="e">
        <f t="shared" si="13"/>
        <v>#N/A</v>
      </c>
    </row>
    <row r="392" spans="1:10">
      <c r="A392">
        <v>2026</v>
      </c>
      <c r="B392">
        <v>36</v>
      </c>
      <c r="C392" t="s">
        <v>8</v>
      </c>
      <c r="D392" t="s">
        <v>9</v>
      </c>
      <c r="E392" t="s">
        <v>217</v>
      </c>
      <c r="F392" t="s">
        <v>75</v>
      </c>
      <c r="G392" t="str">
        <f t="shared" si="12"/>
        <v>36006EXPLORER</v>
      </c>
      <c r="H392">
        <v>4865</v>
      </c>
      <c r="I392">
        <f>VLOOKUP(G392,[1]Hoja1!$G$9143:$H$9575,2,FALSE)</f>
        <v>5300</v>
      </c>
      <c r="J392">
        <f t="shared" si="13"/>
        <v>8.2075471698113203E-2</v>
      </c>
    </row>
    <row r="393" spans="1:10">
      <c r="A393">
        <v>2026</v>
      </c>
      <c r="B393">
        <v>36</v>
      </c>
      <c r="C393" t="s">
        <v>8</v>
      </c>
      <c r="D393" t="s">
        <v>9</v>
      </c>
      <c r="E393" t="s">
        <v>217</v>
      </c>
      <c r="F393" t="s">
        <v>116</v>
      </c>
      <c r="G393" t="str">
        <f t="shared" si="12"/>
        <v>36006MONDIAL</v>
      </c>
      <c r="H393">
        <v>4764</v>
      </c>
      <c r="I393">
        <f>VLOOKUP(G393,[1]Hoja1!$G$9143:$H$9575,2,FALSE)</f>
        <v>6475</v>
      </c>
      <c r="J393">
        <f t="shared" si="13"/>
        <v>0.26424710424710424</v>
      </c>
    </row>
    <row r="394" spans="1:10">
      <c r="A394">
        <v>2026</v>
      </c>
      <c r="B394">
        <v>36</v>
      </c>
      <c r="C394" t="s">
        <v>8</v>
      </c>
      <c r="D394" t="s">
        <v>9</v>
      </c>
      <c r="E394" t="s">
        <v>200</v>
      </c>
      <c r="F394" t="s">
        <v>99</v>
      </c>
      <c r="G394" t="str">
        <f t="shared" si="12"/>
        <v>36007COTOPAXI</v>
      </c>
      <c r="H394">
        <v>5845</v>
      </c>
      <c r="I394">
        <f>VLOOKUP(G394,[1]Hoja1!$G$9143:$H$9575,2,FALSE)</f>
        <v>4110</v>
      </c>
      <c r="J394">
        <f t="shared" si="13"/>
        <v>-0.42214111922141118</v>
      </c>
    </row>
    <row r="395" spans="1:10">
      <c r="A395">
        <v>2026</v>
      </c>
      <c r="B395">
        <v>36</v>
      </c>
      <c r="C395" t="s">
        <v>8</v>
      </c>
      <c r="D395" t="s">
        <v>9</v>
      </c>
      <c r="E395" t="s">
        <v>200</v>
      </c>
      <c r="F395" t="s">
        <v>119</v>
      </c>
      <c r="G395" t="str">
        <f t="shared" si="12"/>
        <v>36007REDIANT</v>
      </c>
      <c r="H395">
        <v>1877</v>
      </c>
      <c r="I395">
        <f>VLOOKUP(G395,[1]Hoja1!$G$9143:$H$9575,2,FALSE)</f>
        <v>1650</v>
      </c>
      <c r="J395">
        <f t="shared" si="13"/>
        <v>-0.13757575757575757</v>
      </c>
    </row>
    <row r="396" spans="1:10">
      <c r="A396">
        <v>2026</v>
      </c>
      <c r="B396">
        <v>36</v>
      </c>
      <c r="C396" t="s">
        <v>8</v>
      </c>
      <c r="D396" t="s">
        <v>9</v>
      </c>
      <c r="E396" t="s">
        <v>200</v>
      </c>
      <c r="F396" t="s">
        <v>86</v>
      </c>
      <c r="G396" t="str">
        <f t="shared" si="12"/>
        <v>36007SUMMER ROMANCE</v>
      </c>
      <c r="H396">
        <v>534</v>
      </c>
      <c r="I396">
        <f>VLOOKUP(G396,[1]Hoja1!$G$9143:$H$9575,2,FALSE)</f>
        <v>875</v>
      </c>
      <c r="J396">
        <f t="shared" si="13"/>
        <v>0.38971428571428574</v>
      </c>
    </row>
    <row r="397" spans="1:10">
      <c r="A397">
        <v>2026</v>
      </c>
      <c r="B397">
        <v>36</v>
      </c>
      <c r="C397" t="s">
        <v>8</v>
      </c>
      <c r="D397" t="s">
        <v>9</v>
      </c>
      <c r="E397" t="s">
        <v>200</v>
      </c>
      <c r="F397" t="s">
        <v>111</v>
      </c>
      <c r="G397" t="str">
        <f t="shared" si="12"/>
        <v>36007VENDELA</v>
      </c>
      <c r="H397">
        <v>8093</v>
      </c>
      <c r="I397">
        <f>VLOOKUP(G397,[1]Hoja1!$G$9143:$H$9575,2,FALSE)</f>
        <v>9450</v>
      </c>
      <c r="J397">
        <f t="shared" si="13"/>
        <v>0.14359788359788359</v>
      </c>
    </row>
    <row r="398" spans="1:10">
      <c r="A398">
        <v>2026</v>
      </c>
      <c r="B398">
        <v>36</v>
      </c>
      <c r="C398" t="s">
        <v>8</v>
      </c>
      <c r="D398" t="s">
        <v>9</v>
      </c>
      <c r="E398" t="s">
        <v>195</v>
      </c>
      <c r="F398" t="s">
        <v>92</v>
      </c>
      <c r="G398" t="str">
        <f t="shared" si="12"/>
        <v>36008DEEP PURPLE</v>
      </c>
      <c r="H398">
        <v>3252</v>
      </c>
      <c r="I398">
        <f>VLOOKUP(G398,[1]Hoja1!$G$9143:$H$9575,2,FALSE)</f>
        <v>4050</v>
      </c>
      <c r="J398">
        <f t="shared" si="13"/>
        <v>0.19703703703703704</v>
      </c>
    </row>
    <row r="399" spans="1:10">
      <c r="A399">
        <v>2026</v>
      </c>
      <c r="B399">
        <v>36</v>
      </c>
      <c r="C399" t="s">
        <v>8</v>
      </c>
      <c r="D399" t="s">
        <v>9</v>
      </c>
      <c r="E399" t="s">
        <v>195</v>
      </c>
      <c r="F399" t="s">
        <v>124</v>
      </c>
      <c r="G399" t="str">
        <f t="shared" si="12"/>
        <v>36008FREEDOM</v>
      </c>
      <c r="H399">
        <v>3339</v>
      </c>
      <c r="I399">
        <f>VLOOKUP(G399,[1]Hoja1!$G$9143:$H$9575,2,FALSE)</f>
        <v>4740</v>
      </c>
      <c r="J399">
        <f t="shared" si="13"/>
        <v>0.29556962025316458</v>
      </c>
    </row>
    <row r="400" spans="1:10">
      <c r="A400">
        <v>2026</v>
      </c>
      <c r="B400">
        <v>36</v>
      </c>
      <c r="C400" t="s">
        <v>8</v>
      </c>
      <c r="D400" t="s">
        <v>9</v>
      </c>
      <c r="E400" t="s">
        <v>195</v>
      </c>
      <c r="F400" t="s">
        <v>95</v>
      </c>
      <c r="G400" t="str">
        <f t="shared" si="12"/>
        <v>36008JOCKER</v>
      </c>
      <c r="H400">
        <v>3419</v>
      </c>
      <c r="I400">
        <f>VLOOKUP(G400,[1]Hoja1!$G$9143:$H$9575,2,FALSE)</f>
        <v>3500</v>
      </c>
      <c r="J400">
        <f t="shared" si="13"/>
        <v>2.3142857142857142E-2</v>
      </c>
    </row>
    <row r="401" spans="1:10">
      <c r="A401">
        <v>2026</v>
      </c>
      <c r="B401">
        <v>36</v>
      </c>
      <c r="C401" t="s">
        <v>8</v>
      </c>
      <c r="D401" t="s">
        <v>9</v>
      </c>
      <c r="E401" t="s">
        <v>195</v>
      </c>
      <c r="F401" t="s">
        <v>10</v>
      </c>
      <c r="G401" t="str">
        <f t="shared" si="12"/>
        <v>36008LUMIA</v>
      </c>
      <c r="H401">
        <v>1402</v>
      </c>
      <c r="I401">
        <f>VLOOKUP(G401,[1]Hoja1!$G$9143:$H$9575,2,FALSE)</f>
        <v>2400</v>
      </c>
      <c r="J401">
        <f t="shared" si="13"/>
        <v>0.41583333333333333</v>
      </c>
    </row>
    <row r="402" spans="1:10">
      <c r="A402">
        <v>2026</v>
      </c>
      <c r="B402">
        <v>36</v>
      </c>
      <c r="C402" t="s">
        <v>8</v>
      </c>
      <c r="D402" t="s">
        <v>9</v>
      </c>
      <c r="E402" t="s">
        <v>218</v>
      </c>
      <c r="F402" t="s">
        <v>127</v>
      </c>
      <c r="G402" t="str">
        <f t="shared" si="12"/>
        <v>36010COOLDOWN</v>
      </c>
      <c r="H402">
        <v>2237</v>
      </c>
      <c r="I402">
        <f>VLOOKUP(G402,[1]Hoja1!$G$9143:$H$9575,2,FALSE)</f>
        <v>3500</v>
      </c>
      <c r="J402">
        <f t="shared" si="13"/>
        <v>0.36085714285714288</v>
      </c>
    </row>
    <row r="403" spans="1:10">
      <c r="A403">
        <v>2026</v>
      </c>
      <c r="B403">
        <v>36</v>
      </c>
      <c r="C403" t="s">
        <v>8</v>
      </c>
      <c r="D403" t="s">
        <v>9</v>
      </c>
      <c r="E403" t="s">
        <v>218</v>
      </c>
      <c r="F403" t="s">
        <v>129</v>
      </c>
      <c r="G403" t="str">
        <f t="shared" si="12"/>
        <v>36010VIOLET HILL</v>
      </c>
      <c r="H403">
        <v>5978</v>
      </c>
      <c r="I403">
        <f>VLOOKUP(G403,[1]Hoja1!$G$9143:$H$9575,2,FALSE)</f>
        <v>3870</v>
      </c>
      <c r="J403">
        <f t="shared" si="13"/>
        <v>-0.54470284237726097</v>
      </c>
    </row>
    <row r="404" spans="1:10">
      <c r="A404">
        <v>2026</v>
      </c>
      <c r="B404">
        <v>36</v>
      </c>
      <c r="C404" t="s">
        <v>8</v>
      </c>
      <c r="D404" t="s">
        <v>9</v>
      </c>
      <c r="E404" t="s">
        <v>219</v>
      </c>
      <c r="F404" t="s">
        <v>131</v>
      </c>
      <c r="G404" t="str">
        <f t="shared" si="12"/>
        <v>36011BRIGHTON</v>
      </c>
      <c r="H404">
        <v>2467</v>
      </c>
      <c r="I404">
        <f>VLOOKUP(G404,[1]Hoja1!$G$9143:$H$9575,2,FALSE)</f>
        <v>3350</v>
      </c>
      <c r="J404">
        <f t="shared" si="13"/>
        <v>0.26358208955223883</v>
      </c>
    </row>
    <row r="405" spans="1:10">
      <c r="A405">
        <v>2026</v>
      </c>
      <c r="B405">
        <v>36</v>
      </c>
      <c r="C405" t="s">
        <v>8</v>
      </c>
      <c r="D405" t="s">
        <v>9</v>
      </c>
      <c r="E405" t="s">
        <v>219</v>
      </c>
      <c r="F405" t="s">
        <v>133</v>
      </c>
      <c r="G405" t="str">
        <f t="shared" si="12"/>
        <v>36011CANDLELIGHT</v>
      </c>
      <c r="H405">
        <v>4751</v>
      </c>
      <c r="I405">
        <f>VLOOKUP(G405,[1]Hoja1!$G$9143:$H$9575,2,FALSE)</f>
        <v>5020</v>
      </c>
      <c r="J405">
        <f t="shared" si="13"/>
        <v>5.3585657370517931E-2</v>
      </c>
    </row>
    <row r="406" spans="1:10">
      <c r="A406">
        <v>2026</v>
      </c>
      <c r="B406">
        <v>36</v>
      </c>
      <c r="C406" t="s">
        <v>8</v>
      </c>
      <c r="D406" t="s">
        <v>9</v>
      </c>
      <c r="E406" t="s">
        <v>219</v>
      </c>
      <c r="F406" t="s">
        <v>135</v>
      </c>
      <c r="G406" t="str">
        <f t="shared" si="12"/>
        <v>36011CAYENNE</v>
      </c>
      <c r="H406">
        <v>1236</v>
      </c>
      <c r="I406">
        <f>VLOOKUP(G406,[1]Hoja1!$G$9143:$H$9575,2,FALSE)</f>
        <v>1470</v>
      </c>
      <c r="J406">
        <f t="shared" si="13"/>
        <v>0.15918367346938775</v>
      </c>
    </row>
    <row r="407" spans="1:10">
      <c r="A407">
        <v>2026</v>
      </c>
      <c r="B407">
        <v>36</v>
      </c>
      <c r="C407" t="s">
        <v>8</v>
      </c>
      <c r="D407" t="s">
        <v>9</v>
      </c>
      <c r="E407" t="s">
        <v>219</v>
      </c>
      <c r="F407" t="s">
        <v>10</v>
      </c>
      <c r="G407" t="str">
        <f t="shared" si="12"/>
        <v>36011LUMIA</v>
      </c>
      <c r="H407">
        <v>1289</v>
      </c>
      <c r="I407">
        <f>VLOOKUP(G407,[1]Hoja1!$G$9143:$H$9575,2,FALSE)</f>
        <v>1680</v>
      </c>
      <c r="J407">
        <f t="shared" si="13"/>
        <v>0.23273809523809524</v>
      </c>
    </row>
    <row r="408" spans="1:10">
      <c r="A408">
        <v>2026</v>
      </c>
      <c r="B408">
        <v>36</v>
      </c>
      <c r="C408" t="s">
        <v>8</v>
      </c>
      <c r="D408" t="s">
        <v>9</v>
      </c>
      <c r="E408" t="s">
        <v>219</v>
      </c>
      <c r="F408" t="s">
        <v>138</v>
      </c>
      <c r="G408" t="str">
        <f t="shared" si="12"/>
        <v>36011STARDUST</v>
      </c>
      <c r="H408">
        <v>3450</v>
      </c>
      <c r="I408">
        <f>VLOOKUP(G408,[1]Hoja1!$G$9143:$H$9575,2,FALSE)</f>
        <v>2850</v>
      </c>
      <c r="J408">
        <f t="shared" si="13"/>
        <v>-0.21052631578947367</v>
      </c>
    </row>
    <row r="409" spans="1:10">
      <c r="A409">
        <v>2026</v>
      </c>
      <c r="B409">
        <v>36</v>
      </c>
      <c r="C409" t="s">
        <v>8</v>
      </c>
      <c r="D409" t="s">
        <v>9</v>
      </c>
      <c r="E409" t="s">
        <v>220</v>
      </c>
      <c r="F409" t="s">
        <v>92</v>
      </c>
      <c r="G409" t="str">
        <f t="shared" si="12"/>
        <v>36012DEEP PURPLE</v>
      </c>
      <c r="H409">
        <v>12875</v>
      </c>
      <c r="I409">
        <f>VLOOKUP(G409,[1]Hoja1!$G$9143:$H$9575,2,FALSE)</f>
        <v>13770</v>
      </c>
      <c r="J409">
        <f t="shared" si="13"/>
        <v>6.4996368917937544E-2</v>
      </c>
    </row>
    <row r="410" spans="1:10">
      <c r="A410">
        <v>2026</v>
      </c>
      <c r="B410">
        <v>36</v>
      </c>
      <c r="C410" t="s">
        <v>8</v>
      </c>
      <c r="D410" t="s">
        <v>9</v>
      </c>
      <c r="E410" t="s">
        <v>220</v>
      </c>
      <c r="F410" t="s">
        <v>81</v>
      </c>
      <c r="G410" t="str">
        <f t="shared" si="12"/>
        <v>36012LIGHT HOUSE</v>
      </c>
      <c r="H410">
        <v>991</v>
      </c>
      <c r="I410">
        <f>VLOOKUP(G410,[1]Hoja1!$G$9143:$H$9575,2,FALSE)</f>
        <v>1170</v>
      </c>
      <c r="J410">
        <f t="shared" si="13"/>
        <v>0.152991452991453</v>
      </c>
    </row>
    <row r="411" spans="1:10">
      <c r="A411">
        <v>2026</v>
      </c>
      <c r="B411">
        <v>36</v>
      </c>
      <c r="C411" t="s">
        <v>8</v>
      </c>
      <c r="D411" t="s">
        <v>9</v>
      </c>
      <c r="E411" t="s">
        <v>221</v>
      </c>
      <c r="F411" t="s">
        <v>142</v>
      </c>
      <c r="G411" t="str">
        <f t="shared" si="12"/>
        <v>36013COUNTRY BLUES</v>
      </c>
      <c r="H411">
        <v>917</v>
      </c>
      <c r="I411">
        <f>VLOOKUP(G411,[1]Hoja1!$G$9143:$H$9575,2,FALSE)</f>
        <v>980</v>
      </c>
      <c r="J411">
        <f t="shared" si="13"/>
        <v>6.4285714285714279E-2</v>
      </c>
    </row>
    <row r="412" spans="1:10">
      <c r="A412">
        <v>2026</v>
      </c>
      <c r="B412">
        <v>36</v>
      </c>
      <c r="C412" t="s">
        <v>8</v>
      </c>
      <c r="D412" t="s">
        <v>9</v>
      </c>
      <c r="E412" t="s">
        <v>221</v>
      </c>
      <c r="F412" t="s">
        <v>144</v>
      </c>
      <c r="G412" t="str">
        <f t="shared" si="12"/>
        <v>36013LORRAINE</v>
      </c>
      <c r="H412">
        <v>2421</v>
      </c>
      <c r="I412">
        <f>VLOOKUP(G412,[1]Hoja1!$G$9143:$H$9575,2,FALSE)</f>
        <v>1900</v>
      </c>
      <c r="J412">
        <f t="shared" si="13"/>
        <v>-0.27421052631578946</v>
      </c>
    </row>
    <row r="413" spans="1:10">
      <c r="A413">
        <v>2026</v>
      </c>
      <c r="B413">
        <v>36</v>
      </c>
      <c r="C413" t="s">
        <v>8</v>
      </c>
      <c r="D413" t="s">
        <v>9</v>
      </c>
      <c r="E413" t="s">
        <v>221</v>
      </c>
      <c r="F413" t="s">
        <v>10</v>
      </c>
      <c r="G413" t="str">
        <f t="shared" si="12"/>
        <v>36013LUMIA</v>
      </c>
      <c r="H413">
        <v>485</v>
      </c>
      <c r="I413">
        <f>VLOOKUP(G413,[1]Hoja1!$G$9143:$H$9575,2,FALSE)</f>
        <v>570</v>
      </c>
      <c r="J413">
        <f t="shared" si="13"/>
        <v>0.14912280701754385</v>
      </c>
    </row>
    <row r="414" spans="1:10">
      <c r="A414">
        <v>2026</v>
      </c>
      <c r="B414">
        <v>36</v>
      </c>
      <c r="C414" t="s">
        <v>8</v>
      </c>
      <c r="D414" t="s">
        <v>9</v>
      </c>
      <c r="E414" t="s">
        <v>221</v>
      </c>
      <c r="F414" t="s">
        <v>111</v>
      </c>
      <c r="G414" t="str">
        <f t="shared" si="12"/>
        <v>36013VENDELA</v>
      </c>
      <c r="H414">
        <v>5636</v>
      </c>
      <c r="I414">
        <f>VLOOKUP(G414,[1]Hoja1!$G$9143:$H$9575,2,FALSE)</f>
        <v>9960</v>
      </c>
      <c r="J414">
        <f t="shared" si="13"/>
        <v>0.43413654618473896</v>
      </c>
    </row>
    <row r="415" spans="1:10">
      <c r="A415">
        <v>2026</v>
      </c>
      <c r="B415">
        <v>36</v>
      </c>
      <c r="C415" t="s">
        <v>8</v>
      </c>
      <c r="D415" t="s">
        <v>9</v>
      </c>
      <c r="E415" t="s">
        <v>202</v>
      </c>
      <c r="F415" t="s">
        <v>138</v>
      </c>
      <c r="G415" t="str">
        <f t="shared" si="12"/>
        <v>36014STARDUST</v>
      </c>
      <c r="H415">
        <v>4569</v>
      </c>
      <c r="I415">
        <f>VLOOKUP(G415,[1]Hoja1!$G$9143:$H$9575,2,FALSE)</f>
        <v>3825</v>
      </c>
      <c r="J415">
        <f t="shared" si="13"/>
        <v>-0.19450980392156864</v>
      </c>
    </row>
    <row r="416" spans="1:10">
      <c r="A416">
        <v>2026</v>
      </c>
      <c r="B416">
        <v>36</v>
      </c>
      <c r="C416" t="s">
        <v>8</v>
      </c>
      <c r="D416" t="s">
        <v>9</v>
      </c>
      <c r="E416" t="s">
        <v>203</v>
      </c>
      <c r="F416" t="s">
        <v>95</v>
      </c>
      <c r="G416" t="str">
        <f t="shared" si="12"/>
        <v>36015JOCKER</v>
      </c>
      <c r="H416">
        <v>3641</v>
      </c>
      <c r="I416">
        <f>VLOOKUP(G416,[1]Hoja1!$G$9143:$H$9575,2,FALSE)</f>
        <v>2925</v>
      </c>
      <c r="J416">
        <f t="shared" si="13"/>
        <v>-0.24478632478632478</v>
      </c>
    </row>
    <row r="417" spans="1:10">
      <c r="A417">
        <v>2026</v>
      </c>
      <c r="B417">
        <v>36</v>
      </c>
      <c r="C417" t="s">
        <v>8</v>
      </c>
      <c r="D417" t="s">
        <v>9</v>
      </c>
      <c r="E417" t="s">
        <v>204</v>
      </c>
      <c r="F417" t="s">
        <v>150</v>
      </c>
      <c r="G417" t="str">
        <f t="shared" si="12"/>
        <v>36016DREAM IN PEACH</v>
      </c>
      <c r="H417">
        <v>949</v>
      </c>
      <c r="I417">
        <f>VLOOKUP(G417,[1]Hoja1!$G$9143:$H$9575,2,FALSE)</f>
        <v>1230</v>
      </c>
      <c r="J417">
        <f t="shared" si="13"/>
        <v>0.22845528455284553</v>
      </c>
    </row>
    <row r="418" spans="1:10">
      <c r="A418">
        <v>2026</v>
      </c>
      <c r="B418">
        <v>36</v>
      </c>
      <c r="C418" t="s">
        <v>8</v>
      </c>
      <c r="D418" t="s">
        <v>9</v>
      </c>
      <c r="E418" t="s">
        <v>204</v>
      </c>
      <c r="F418" t="s">
        <v>152</v>
      </c>
      <c r="G418" t="str">
        <f t="shared" si="12"/>
        <v>36016NINA</v>
      </c>
      <c r="H418">
        <v>2295</v>
      </c>
      <c r="I418">
        <f>VLOOKUP(G418,[1]Hoja1!$G$9143:$H$9575,2,FALSE)</f>
        <v>2400</v>
      </c>
      <c r="J418">
        <f t="shared" si="13"/>
        <v>4.3749999999999997E-2</v>
      </c>
    </row>
    <row r="419" spans="1:10">
      <c r="A419">
        <v>2026</v>
      </c>
      <c r="B419">
        <v>36</v>
      </c>
      <c r="C419" t="s">
        <v>8</v>
      </c>
      <c r="D419" t="s">
        <v>9</v>
      </c>
      <c r="E419" t="s">
        <v>205</v>
      </c>
      <c r="F419" t="s">
        <v>124</v>
      </c>
      <c r="G419" t="str">
        <f t="shared" si="12"/>
        <v>36017FREEDOM</v>
      </c>
      <c r="H419">
        <v>4459</v>
      </c>
      <c r="I419">
        <f>VLOOKUP(G419,[1]Hoja1!$G$9143:$H$9575,2,FALSE)</f>
        <v>6600</v>
      </c>
      <c r="J419">
        <f t="shared" si="13"/>
        <v>0.3243939393939394</v>
      </c>
    </row>
    <row r="420" spans="1:10">
      <c r="A420">
        <v>2026</v>
      </c>
      <c r="B420">
        <v>36</v>
      </c>
      <c r="C420" t="s">
        <v>8</v>
      </c>
      <c r="D420" t="s">
        <v>9</v>
      </c>
      <c r="E420" t="s">
        <v>205</v>
      </c>
      <c r="F420" t="s">
        <v>108</v>
      </c>
      <c r="G420" t="str">
        <f t="shared" si="12"/>
        <v>36017GOLDFINCH</v>
      </c>
      <c r="H420">
        <v>2153</v>
      </c>
      <c r="I420">
        <f>VLOOKUP(G420,[1]Hoja1!$G$9143:$H$9575,2,FALSE)</f>
        <v>1900</v>
      </c>
      <c r="J420">
        <f t="shared" si="13"/>
        <v>-0.13315789473684211</v>
      </c>
    </row>
    <row r="421" spans="1:10">
      <c r="A421">
        <v>2026</v>
      </c>
      <c r="B421">
        <v>36</v>
      </c>
      <c r="C421" t="s">
        <v>8</v>
      </c>
      <c r="D421" t="s">
        <v>9</v>
      </c>
      <c r="E421" t="s">
        <v>206</v>
      </c>
      <c r="F421" t="s">
        <v>131</v>
      </c>
      <c r="G421" t="str">
        <f t="shared" si="12"/>
        <v>36018BRIGHTON</v>
      </c>
      <c r="H421">
        <v>1031</v>
      </c>
      <c r="I421">
        <f>VLOOKUP(G421,[1]Hoja1!$G$9143:$H$9575,2,FALSE)</f>
        <v>1375</v>
      </c>
      <c r="J421">
        <f t="shared" si="13"/>
        <v>0.25018181818181817</v>
      </c>
    </row>
    <row r="422" spans="1:10">
      <c r="A422">
        <v>2026</v>
      </c>
      <c r="B422">
        <v>36</v>
      </c>
      <c r="C422" t="s">
        <v>8</v>
      </c>
      <c r="D422" t="s">
        <v>9</v>
      </c>
      <c r="E422" t="s">
        <v>207</v>
      </c>
      <c r="F422" t="s">
        <v>131</v>
      </c>
      <c r="G422" t="str">
        <f t="shared" si="12"/>
        <v>36019BRIGHTON</v>
      </c>
      <c r="H422">
        <v>5093</v>
      </c>
      <c r="I422">
        <f>VLOOKUP(G422,[1]Hoja1!$G$9143:$H$9575,2,FALSE)</f>
        <v>5875</v>
      </c>
      <c r="J422">
        <f t="shared" si="13"/>
        <v>0.1331063829787234</v>
      </c>
    </row>
    <row r="423" spans="1:10">
      <c r="A423">
        <v>2026</v>
      </c>
      <c r="B423">
        <v>36</v>
      </c>
      <c r="C423" t="s">
        <v>8</v>
      </c>
      <c r="D423" t="s">
        <v>9</v>
      </c>
      <c r="E423" t="s">
        <v>207</v>
      </c>
      <c r="F423" t="s">
        <v>158</v>
      </c>
      <c r="G423" t="str">
        <f t="shared" si="12"/>
        <v>36019TABATHA</v>
      </c>
      <c r="H423">
        <v>2356</v>
      </c>
      <c r="I423">
        <f>VLOOKUP(G423,[1]Hoja1!$G$9143:$H$9575,2,FALSE)</f>
        <v>2340</v>
      </c>
      <c r="J423">
        <f t="shared" si="13"/>
        <v>-6.8376068376068376E-3</v>
      </c>
    </row>
    <row r="424" spans="1:10">
      <c r="A424">
        <v>2026</v>
      </c>
      <c r="B424">
        <v>36</v>
      </c>
      <c r="C424" t="s">
        <v>8</v>
      </c>
      <c r="D424" t="s">
        <v>9</v>
      </c>
      <c r="E424" t="s">
        <v>208</v>
      </c>
      <c r="F424" t="s">
        <v>131</v>
      </c>
      <c r="G424" t="str">
        <f t="shared" si="12"/>
        <v>36020BRIGHTON</v>
      </c>
      <c r="H424">
        <v>3878</v>
      </c>
      <c r="I424">
        <f>VLOOKUP(G424,[1]Hoja1!$G$9143:$H$9575,2,FALSE)</f>
        <v>3900</v>
      </c>
      <c r="J424">
        <f t="shared" si="13"/>
        <v>5.6410256410256415E-3</v>
      </c>
    </row>
    <row r="425" spans="1:10">
      <c r="A425">
        <v>2026</v>
      </c>
      <c r="B425">
        <v>36</v>
      </c>
      <c r="C425" t="s">
        <v>8</v>
      </c>
      <c r="D425" t="s">
        <v>9</v>
      </c>
      <c r="E425" t="s">
        <v>208</v>
      </c>
      <c r="F425" t="s">
        <v>161</v>
      </c>
      <c r="G425" t="str">
        <f t="shared" si="12"/>
        <v>36020TYCOON</v>
      </c>
      <c r="H425">
        <v>1125</v>
      </c>
      <c r="I425">
        <f>VLOOKUP(G425,[1]Hoja1!$G$9143:$H$9575,2,FALSE)</f>
        <v>810</v>
      </c>
      <c r="J425">
        <f t="shared" si="13"/>
        <v>-0.3888888888888889</v>
      </c>
    </row>
    <row r="426" spans="1:10">
      <c r="A426">
        <v>2026</v>
      </c>
      <c r="B426">
        <v>36</v>
      </c>
      <c r="C426" t="s">
        <v>8</v>
      </c>
      <c r="D426" t="s">
        <v>9</v>
      </c>
      <c r="E426" t="s">
        <v>196</v>
      </c>
      <c r="F426" t="s">
        <v>163</v>
      </c>
      <c r="G426" t="str">
        <f t="shared" si="12"/>
        <v>36021SHOW GIRL</v>
      </c>
      <c r="H426">
        <v>1617</v>
      </c>
      <c r="I426">
        <f>VLOOKUP(G426,[1]Hoja1!$G$9143:$H$9575,2,FALSE)</f>
        <v>1175</v>
      </c>
      <c r="J426">
        <f t="shared" si="13"/>
        <v>-0.37617021276595747</v>
      </c>
    </row>
    <row r="427" spans="1:10">
      <c r="A427">
        <v>2026</v>
      </c>
      <c r="B427">
        <v>36</v>
      </c>
      <c r="C427" t="s">
        <v>8</v>
      </c>
      <c r="D427" t="s">
        <v>9</v>
      </c>
      <c r="E427" t="s">
        <v>209</v>
      </c>
      <c r="F427" t="s">
        <v>165</v>
      </c>
      <c r="G427" t="str">
        <f t="shared" si="12"/>
        <v>36022CORAL REEF</v>
      </c>
      <c r="H427">
        <v>1899</v>
      </c>
      <c r="I427">
        <f>VLOOKUP(G427,[1]Hoja1!$G$9143:$H$9575,2,FALSE)</f>
        <v>2000</v>
      </c>
      <c r="J427">
        <f t="shared" si="13"/>
        <v>5.0500000000000003E-2</v>
      </c>
    </row>
    <row r="428" spans="1:10">
      <c r="A428">
        <v>2026</v>
      </c>
      <c r="B428">
        <v>36</v>
      </c>
      <c r="C428" t="s">
        <v>8</v>
      </c>
      <c r="D428" t="s">
        <v>9</v>
      </c>
      <c r="E428" t="s">
        <v>222</v>
      </c>
      <c r="F428" t="s">
        <v>99</v>
      </c>
      <c r="G428" t="str">
        <f t="shared" si="12"/>
        <v>36023COTOPAXI</v>
      </c>
      <c r="H428">
        <v>6827</v>
      </c>
      <c r="I428">
        <f>VLOOKUP(G428,[1]Hoja1!$G$9143:$H$9575,2,FALSE)</f>
        <v>4830</v>
      </c>
      <c r="J428">
        <f t="shared" si="13"/>
        <v>-0.41345755693581782</v>
      </c>
    </row>
    <row r="429" spans="1:10">
      <c r="A429">
        <v>2026</v>
      </c>
      <c r="B429">
        <v>36</v>
      </c>
      <c r="C429" t="s">
        <v>8</v>
      </c>
      <c r="D429" t="s">
        <v>9</v>
      </c>
      <c r="E429" t="s">
        <v>222</v>
      </c>
      <c r="F429" t="s">
        <v>168</v>
      </c>
      <c r="G429" t="str">
        <f t="shared" si="12"/>
        <v>36023FRUTTETO</v>
      </c>
      <c r="H429">
        <v>4162</v>
      </c>
      <c r="I429">
        <f>VLOOKUP(G429,[1]Hoja1!$G$9143:$H$9575,2,FALSE)</f>
        <v>6630</v>
      </c>
      <c r="J429">
        <f t="shared" si="13"/>
        <v>0.37224736048265461</v>
      </c>
    </row>
    <row r="430" spans="1:10">
      <c r="A430">
        <v>2026</v>
      </c>
      <c r="B430">
        <v>36</v>
      </c>
      <c r="C430" t="s">
        <v>8</v>
      </c>
      <c r="D430" t="s">
        <v>9</v>
      </c>
      <c r="E430" t="s">
        <v>223</v>
      </c>
      <c r="F430" t="s">
        <v>99</v>
      </c>
      <c r="G430" t="str">
        <f t="shared" si="12"/>
        <v>36024COTOPAXI</v>
      </c>
      <c r="H430">
        <v>3739</v>
      </c>
      <c r="I430">
        <f>VLOOKUP(G430,[1]Hoja1!$G$9143:$H$9575,2,FALSE)</f>
        <v>2700</v>
      </c>
      <c r="J430">
        <f t="shared" si="13"/>
        <v>-0.38481481481481483</v>
      </c>
    </row>
    <row r="431" spans="1:10">
      <c r="A431">
        <v>2026</v>
      </c>
      <c r="B431">
        <v>36</v>
      </c>
      <c r="C431" t="s">
        <v>8</v>
      </c>
      <c r="D431" t="s">
        <v>9</v>
      </c>
      <c r="E431" t="s">
        <v>223</v>
      </c>
      <c r="F431" t="s">
        <v>88</v>
      </c>
      <c r="G431" t="str">
        <f t="shared" si="12"/>
        <v>36024SWEETNESS</v>
      </c>
      <c r="H431">
        <v>3152</v>
      </c>
      <c r="I431">
        <f>VLOOKUP(G431,[1]Hoja1!$G$9143:$H$9575,2,FALSE)</f>
        <v>1680</v>
      </c>
      <c r="J431">
        <f t="shared" si="13"/>
        <v>-0.87619047619047619</v>
      </c>
    </row>
    <row r="432" spans="1:10">
      <c r="A432">
        <v>2026</v>
      </c>
      <c r="B432">
        <v>36</v>
      </c>
      <c r="C432" t="s">
        <v>8</v>
      </c>
      <c r="D432" t="s">
        <v>9</v>
      </c>
      <c r="E432" t="s">
        <v>223</v>
      </c>
      <c r="F432" t="s">
        <v>161</v>
      </c>
      <c r="G432" t="str">
        <f t="shared" si="12"/>
        <v>36024TYCOON</v>
      </c>
      <c r="H432">
        <v>4725</v>
      </c>
      <c r="I432">
        <f>VLOOKUP(G432,[1]Hoja1!$G$9143:$H$9575,2,FALSE)</f>
        <v>3870</v>
      </c>
      <c r="J432">
        <f t="shared" si="13"/>
        <v>-0.22093023255813954</v>
      </c>
    </row>
    <row r="433" spans="1:10">
      <c r="A433">
        <v>2026</v>
      </c>
      <c r="B433">
        <v>36</v>
      </c>
      <c r="C433" t="s">
        <v>8</v>
      </c>
      <c r="D433" t="s">
        <v>9</v>
      </c>
      <c r="E433" t="s">
        <v>224</v>
      </c>
      <c r="F433" t="s">
        <v>173</v>
      </c>
      <c r="G433" t="str">
        <f t="shared" si="12"/>
        <v>36025PINK MONDIAL</v>
      </c>
      <c r="H433">
        <v>4979</v>
      </c>
      <c r="I433">
        <f>VLOOKUP(G433,[1]Hoja1!$G$9143:$H$9575,2,FALSE)</f>
        <v>4875</v>
      </c>
      <c r="J433">
        <f t="shared" si="13"/>
        <v>-2.1333333333333333E-2</v>
      </c>
    </row>
    <row r="434" spans="1:10">
      <c r="A434">
        <v>2026</v>
      </c>
      <c r="B434">
        <v>36</v>
      </c>
      <c r="C434" t="s">
        <v>8</v>
      </c>
      <c r="D434" t="s">
        <v>9</v>
      </c>
      <c r="E434" t="s">
        <v>210</v>
      </c>
      <c r="F434" t="s">
        <v>175</v>
      </c>
      <c r="G434" t="str">
        <f t="shared" si="12"/>
        <v>36026LOLA</v>
      </c>
      <c r="H434">
        <v>3943</v>
      </c>
      <c r="I434">
        <f>VLOOKUP(G434,[1]Hoja1!$G$9143:$H$9575,2,FALSE)</f>
        <v>5925</v>
      </c>
      <c r="J434">
        <f t="shared" si="13"/>
        <v>0.33451476793248947</v>
      </c>
    </row>
    <row r="435" spans="1:10">
      <c r="A435">
        <v>2026</v>
      </c>
      <c r="B435">
        <v>36</v>
      </c>
      <c r="C435" t="s">
        <v>8</v>
      </c>
      <c r="D435" t="s">
        <v>9</v>
      </c>
      <c r="E435" t="s">
        <v>210</v>
      </c>
      <c r="F435" t="s">
        <v>177</v>
      </c>
      <c r="G435" t="str">
        <f t="shared" si="12"/>
        <v>36026PALOMA</v>
      </c>
      <c r="H435">
        <v>2975</v>
      </c>
      <c r="I435">
        <f>VLOOKUP(G435,[1]Hoja1!$G$9143:$H$9575,2,FALSE)</f>
        <v>4950</v>
      </c>
      <c r="J435">
        <f t="shared" si="13"/>
        <v>0.39898989898989901</v>
      </c>
    </row>
    <row r="436" spans="1:10">
      <c r="A436">
        <v>2026</v>
      </c>
      <c r="B436">
        <v>36</v>
      </c>
      <c r="C436" t="s">
        <v>8</v>
      </c>
      <c r="D436" t="s">
        <v>9</v>
      </c>
      <c r="E436" t="s">
        <v>225</v>
      </c>
      <c r="F436" t="s">
        <v>179</v>
      </c>
      <c r="G436" t="str">
        <f t="shared" si="12"/>
        <v>36027SATISFACTION</v>
      </c>
      <c r="H436">
        <v>3889</v>
      </c>
      <c r="I436">
        <f>VLOOKUP(G436,[1]Hoja1!$G$9143:$H$9575,2,FALSE)</f>
        <v>4920</v>
      </c>
      <c r="J436">
        <f t="shared" si="13"/>
        <v>0.20955284552845529</v>
      </c>
    </row>
    <row r="437" spans="1:10">
      <c r="A437">
        <v>2026</v>
      </c>
      <c r="B437">
        <v>36</v>
      </c>
      <c r="C437" t="s">
        <v>8</v>
      </c>
      <c r="D437" t="s">
        <v>9</v>
      </c>
      <c r="E437" t="s">
        <v>225</v>
      </c>
      <c r="F437" t="s">
        <v>181</v>
      </c>
      <c r="G437" t="str">
        <f t="shared" si="12"/>
        <v>36027TIFFANY</v>
      </c>
      <c r="H437">
        <v>4965</v>
      </c>
      <c r="I437">
        <f>VLOOKUP(G437,[1]Hoja1!$G$9143:$H$9575,2,FALSE)</f>
        <v>5520</v>
      </c>
      <c r="J437">
        <f t="shared" si="13"/>
        <v>0.10054347826086957</v>
      </c>
    </row>
    <row r="438" spans="1:10">
      <c r="A438">
        <v>2026</v>
      </c>
      <c r="B438">
        <v>36</v>
      </c>
      <c r="C438" t="s">
        <v>8</v>
      </c>
      <c r="D438" t="s">
        <v>9</v>
      </c>
      <c r="E438" t="s">
        <v>226</v>
      </c>
      <c r="F438" t="s">
        <v>99</v>
      </c>
      <c r="G438" t="str">
        <f t="shared" si="12"/>
        <v>36028COTOPAXI</v>
      </c>
      <c r="H438">
        <v>5276</v>
      </c>
      <c r="I438">
        <f>VLOOKUP(G438,[1]Hoja1!$G$9143:$H$9575,2,FALSE)</f>
        <v>3690</v>
      </c>
      <c r="J438">
        <f t="shared" si="13"/>
        <v>-0.42981029810298105</v>
      </c>
    </row>
    <row r="439" spans="1:10">
      <c r="A439">
        <v>2026</v>
      </c>
      <c r="B439">
        <v>36</v>
      </c>
      <c r="C439" t="s">
        <v>8</v>
      </c>
      <c r="D439" t="s">
        <v>9</v>
      </c>
      <c r="E439" t="s">
        <v>226</v>
      </c>
      <c r="F439" t="s">
        <v>92</v>
      </c>
      <c r="G439" t="str">
        <f t="shared" si="12"/>
        <v>36028DEEP PURPLE</v>
      </c>
      <c r="H439">
        <v>6880</v>
      </c>
      <c r="I439">
        <f>VLOOKUP(G439,[1]Hoja1!$G$9143:$H$9575,2,FALSE)</f>
        <v>5400</v>
      </c>
      <c r="J439">
        <f t="shared" si="13"/>
        <v>-0.27407407407407408</v>
      </c>
    </row>
    <row r="440" spans="1:10">
      <c r="A440">
        <v>2026</v>
      </c>
      <c r="B440">
        <v>36</v>
      </c>
      <c r="C440" t="s">
        <v>8</v>
      </c>
      <c r="D440" t="s">
        <v>9</v>
      </c>
      <c r="E440" t="s">
        <v>227</v>
      </c>
      <c r="F440" t="s">
        <v>185</v>
      </c>
      <c r="G440" t="str">
        <f t="shared" si="12"/>
        <v>36029PINK FLOYD</v>
      </c>
      <c r="H440">
        <v>3784</v>
      </c>
      <c r="I440">
        <f>VLOOKUP(G440,[1]Hoja1!$G$9143:$H$9575,2,FALSE)</f>
        <v>3275</v>
      </c>
      <c r="J440">
        <f t="shared" si="13"/>
        <v>-0.15541984732824426</v>
      </c>
    </row>
    <row r="441" spans="1:10">
      <c r="A441">
        <v>2026</v>
      </c>
      <c r="B441">
        <v>36</v>
      </c>
      <c r="C441" t="s">
        <v>8</v>
      </c>
      <c r="D441" t="s">
        <v>9</v>
      </c>
      <c r="E441" t="s">
        <v>211</v>
      </c>
      <c r="F441" t="s">
        <v>75</v>
      </c>
      <c r="G441" t="str">
        <f t="shared" si="12"/>
        <v>36030EXPLORER</v>
      </c>
      <c r="H441">
        <v>1665</v>
      </c>
      <c r="I441">
        <f>VLOOKUP(G441,[1]Hoja1!$G$9143:$H$9575,2,FALSE)</f>
        <v>1550</v>
      </c>
      <c r="J441">
        <f t="shared" si="13"/>
        <v>-7.4193548387096769E-2</v>
      </c>
    </row>
    <row r="442" spans="1:10">
      <c r="E442" t="s">
        <v>194</v>
      </c>
      <c r="I442" t="s">
        <v>194</v>
      </c>
      <c r="J442" t="s">
        <v>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baseColWidth="10" defaultColWidth="9.140625" defaultRowHeight="15"/>
  <sheetData>
    <row r="1" spans="1:6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spans="1:6">
      <c r="A2" t="s">
        <v>74</v>
      </c>
      <c r="B2">
        <v>-52</v>
      </c>
      <c r="C2">
        <v>528.37933349609375</v>
      </c>
      <c r="D2">
        <v>-9.84</v>
      </c>
      <c r="E2">
        <v>1.6890470854159201</v>
      </c>
      <c r="F2">
        <v>-88</v>
      </c>
    </row>
    <row r="3" spans="1:6">
      <c r="A3" t="s">
        <v>76</v>
      </c>
      <c r="B3">
        <v>227</v>
      </c>
      <c r="C3">
        <v>2272.031005859375</v>
      </c>
      <c r="D3">
        <v>9.99</v>
      </c>
      <c r="E3">
        <v>1.5244896215049439</v>
      </c>
      <c r="F3">
        <v>346</v>
      </c>
    </row>
    <row r="4" spans="1:6">
      <c r="A4" t="s">
        <v>78</v>
      </c>
      <c r="B4">
        <v>-116</v>
      </c>
      <c r="C4">
        <v>1162.434448242188</v>
      </c>
      <c r="D4">
        <v>-9.98</v>
      </c>
      <c r="E4">
        <v>1.246774118481158</v>
      </c>
      <c r="F4">
        <v>-145</v>
      </c>
    </row>
    <row r="5" spans="1:6">
      <c r="A5" t="s">
        <v>80</v>
      </c>
      <c r="B5">
        <v>-116</v>
      </c>
      <c r="C5">
        <v>1162.434448242188</v>
      </c>
      <c r="D5">
        <v>-9.98</v>
      </c>
      <c r="E5">
        <v>0.88562433412002217</v>
      </c>
      <c r="F5">
        <v>-103</v>
      </c>
    </row>
    <row r="6" spans="1:6">
      <c r="A6" t="s">
        <v>82</v>
      </c>
      <c r="B6">
        <v>105</v>
      </c>
      <c r="C6">
        <v>1056.758666992188</v>
      </c>
      <c r="D6">
        <v>9.94</v>
      </c>
      <c r="E6">
        <v>1.465367646354989</v>
      </c>
      <c r="F6">
        <v>154</v>
      </c>
    </row>
    <row r="7" spans="1:6">
      <c r="A7" t="s">
        <v>83</v>
      </c>
      <c r="B7">
        <v>-110</v>
      </c>
      <c r="C7">
        <v>1109.596557617188</v>
      </c>
      <c r="D7">
        <v>-9.91</v>
      </c>
      <c r="E7">
        <v>1.302201051137557</v>
      </c>
      <c r="F7">
        <v>-143</v>
      </c>
    </row>
    <row r="8" spans="1:6">
      <c r="A8" t="s">
        <v>85</v>
      </c>
      <c r="B8">
        <v>190</v>
      </c>
      <c r="C8">
        <v>1902.16552734375</v>
      </c>
      <c r="D8">
        <v>9.99</v>
      </c>
      <c r="E8">
        <v>1.968463659559025</v>
      </c>
      <c r="F8">
        <v>374</v>
      </c>
    </row>
    <row r="9" spans="1:6">
      <c r="A9" t="s">
        <v>16</v>
      </c>
      <c r="B9">
        <v>0</v>
      </c>
      <c r="C9">
        <v>4121.46435546875</v>
      </c>
      <c r="D9">
        <v>0</v>
      </c>
      <c r="E9">
        <v>2.5128319479817032</v>
      </c>
      <c r="F9">
        <v>0</v>
      </c>
    </row>
    <row r="10" spans="1:6">
      <c r="A10" t="s">
        <v>87</v>
      </c>
      <c r="B10">
        <v>95</v>
      </c>
      <c r="C10">
        <v>951.10711669921875</v>
      </c>
      <c r="D10">
        <v>9.99</v>
      </c>
      <c r="E10">
        <v>1.9585488685407451</v>
      </c>
      <c r="F10">
        <v>186</v>
      </c>
    </row>
    <row r="11" spans="1:6">
      <c r="A11" t="s">
        <v>89</v>
      </c>
      <c r="B11">
        <v>-347</v>
      </c>
      <c r="C11">
        <v>3804.428466796875</v>
      </c>
      <c r="D11">
        <v>-9.1199999999999992</v>
      </c>
      <c r="E11">
        <v>1.379634065863514</v>
      </c>
      <c r="F11">
        <v>-479</v>
      </c>
    </row>
    <row r="12" spans="1:6">
      <c r="A12" t="s">
        <v>91</v>
      </c>
      <c r="B12">
        <v>-264</v>
      </c>
      <c r="C12">
        <v>2641.896484375</v>
      </c>
      <c r="D12">
        <v>-9.99</v>
      </c>
      <c r="E12">
        <v>1.447620253756545</v>
      </c>
      <c r="F12">
        <v>-382</v>
      </c>
    </row>
    <row r="13" spans="1:6">
      <c r="A13" t="s">
        <v>93</v>
      </c>
      <c r="B13">
        <v>359</v>
      </c>
      <c r="C13">
        <v>3592.979248046875</v>
      </c>
      <c r="D13">
        <v>9.99</v>
      </c>
      <c r="E13">
        <v>2.2400864914089542</v>
      </c>
      <c r="F13">
        <v>804</v>
      </c>
    </row>
    <row r="14" spans="1:6">
      <c r="A14" t="s">
        <v>94</v>
      </c>
      <c r="B14">
        <v>-126</v>
      </c>
      <c r="C14">
        <v>1268.1103515625</v>
      </c>
      <c r="D14">
        <v>-9.94</v>
      </c>
      <c r="E14">
        <v>1.514297276084372</v>
      </c>
      <c r="F14">
        <v>-191</v>
      </c>
    </row>
    <row r="15" spans="1:6">
      <c r="A15" t="s">
        <v>96</v>
      </c>
      <c r="B15">
        <v>-52</v>
      </c>
      <c r="C15">
        <v>528.37933349609375</v>
      </c>
      <c r="D15">
        <v>-9.84</v>
      </c>
      <c r="E15">
        <v>1.2056567044303159</v>
      </c>
      <c r="F15">
        <v>-63</v>
      </c>
    </row>
    <row r="16" spans="1:6">
      <c r="A16" t="s">
        <v>98</v>
      </c>
      <c r="B16">
        <v>-116</v>
      </c>
      <c r="C16">
        <v>1162.434448242188</v>
      </c>
      <c r="D16">
        <v>-9.98</v>
      </c>
      <c r="E16">
        <v>1.124299621875591</v>
      </c>
      <c r="F16">
        <v>-130</v>
      </c>
    </row>
    <row r="17" spans="1:6">
      <c r="A17" t="s">
        <v>18</v>
      </c>
      <c r="B17">
        <v>-105</v>
      </c>
      <c r="C17">
        <v>1056.785766601562</v>
      </c>
      <c r="D17">
        <v>-9.94</v>
      </c>
      <c r="E17">
        <v>1.06433407495599</v>
      </c>
      <c r="F17">
        <v>-112</v>
      </c>
    </row>
    <row r="18" spans="1:6">
      <c r="A18" t="s">
        <v>100</v>
      </c>
      <c r="B18">
        <v>-52</v>
      </c>
      <c r="C18">
        <v>528.3914794921875</v>
      </c>
      <c r="D18">
        <v>-9.84</v>
      </c>
      <c r="E18">
        <v>1.954311710301212</v>
      </c>
      <c r="F18">
        <v>-102</v>
      </c>
    </row>
    <row r="19" spans="1:6">
      <c r="A19" t="s">
        <v>101</v>
      </c>
      <c r="B19">
        <v>391</v>
      </c>
      <c r="C19">
        <v>3910.107177734375</v>
      </c>
      <c r="D19">
        <v>10</v>
      </c>
      <c r="E19">
        <v>2.170188153427643</v>
      </c>
      <c r="F19">
        <v>849</v>
      </c>
    </row>
    <row r="20" spans="1:6">
      <c r="A20" t="s">
        <v>103</v>
      </c>
      <c r="B20">
        <v>-190</v>
      </c>
      <c r="C20">
        <v>1902.214233398438</v>
      </c>
      <c r="D20">
        <v>-9.99</v>
      </c>
      <c r="E20">
        <v>1.2377437914193989</v>
      </c>
      <c r="F20">
        <v>-235</v>
      </c>
    </row>
    <row r="21" spans="1:6">
      <c r="A21" t="s">
        <v>105</v>
      </c>
      <c r="B21">
        <v>116</v>
      </c>
      <c r="C21">
        <v>1162.464233398438</v>
      </c>
      <c r="D21">
        <v>9.98</v>
      </c>
      <c r="E21">
        <v>1.8780922556309549</v>
      </c>
      <c r="F21">
        <v>218</v>
      </c>
    </row>
    <row r="22" spans="1:6">
      <c r="A22" t="s">
        <v>106</v>
      </c>
      <c r="B22">
        <v>-31</v>
      </c>
      <c r="C22">
        <v>317.03570556640619</v>
      </c>
      <c r="D22">
        <v>-9.7799999999999994</v>
      </c>
      <c r="E22">
        <v>1.7546939289339301</v>
      </c>
      <c r="F22">
        <v>-54</v>
      </c>
    </row>
    <row r="23" spans="1:6">
      <c r="A23" t="s">
        <v>20</v>
      </c>
      <c r="B23">
        <v>-263</v>
      </c>
      <c r="C23">
        <v>2641.96435546875</v>
      </c>
      <c r="D23">
        <v>-9.9499999999999993</v>
      </c>
      <c r="E23">
        <v>2.6919389206160962</v>
      </c>
      <c r="F23">
        <v>-708</v>
      </c>
    </row>
    <row r="24" spans="1:6">
      <c r="A24" t="s">
        <v>107</v>
      </c>
      <c r="B24">
        <v>-95</v>
      </c>
      <c r="C24">
        <v>951.10711669921875</v>
      </c>
      <c r="D24">
        <v>-9.99</v>
      </c>
      <c r="E24">
        <v>1.2088966449630469</v>
      </c>
      <c r="F24">
        <v>-115</v>
      </c>
    </row>
    <row r="25" spans="1:6">
      <c r="A25" t="s">
        <v>109</v>
      </c>
      <c r="B25">
        <v>-89</v>
      </c>
      <c r="C25">
        <v>898.26788330078125</v>
      </c>
      <c r="D25">
        <v>-9.91</v>
      </c>
      <c r="E25">
        <v>0.84326798688430038</v>
      </c>
      <c r="F25">
        <v>-75</v>
      </c>
    </row>
    <row r="26" spans="1:6">
      <c r="A26" t="s">
        <v>22</v>
      </c>
      <c r="B26">
        <v>-52</v>
      </c>
      <c r="C26">
        <v>528.39288330078125</v>
      </c>
      <c r="D26">
        <v>-9.84</v>
      </c>
      <c r="E26">
        <v>2.5148532184827701</v>
      </c>
      <c r="F26">
        <v>-131</v>
      </c>
    </row>
    <row r="27" spans="1:6">
      <c r="A27" t="s">
        <v>110</v>
      </c>
      <c r="B27">
        <v>-126</v>
      </c>
      <c r="C27">
        <v>1268.142822265625</v>
      </c>
      <c r="D27">
        <v>-9.94</v>
      </c>
      <c r="E27">
        <v>1.246462354852687</v>
      </c>
      <c r="F27">
        <v>-157</v>
      </c>
    </row>
    <row r="28" spans="1:6">
      <c r="A28" t="s">
        <v>24</v>
      </c>
      <c r="B28">
        <v>-190</v>
      </c>
      <c r="C28">
        <v>1902.214233398438</v>
      </c>
      <c r="D28">
        <v>-9.99</v>
      </c>
      <c r="E28">
        <v>1.5721806348750069</v>
      </c>
      <c r="F28">
        <v>-299</v>
      </c>
    </row>
    <row r="29" spans="1:6">
      <c r="A29" t="s">
        <v>112</v>
      </c>
      <c r="B29">
        <v>-68</v>
      </c>
      <c r="C29">
        <v>686.91070556640625</v>
      </c>
      <c r="D29">
        <v>-9.9</v>
      </c>
      <c r="E29">
        <v>2.612969316181474</v>
      </c>
      <c r="F29">
        <v>-178</v>
      </c>
    </row>
    <row r="30" spans="1:6">
      <c r="A30" t="s">
        <v>114</v>
      </c>
      <c r="B30">
        <v>-84</v>
      </c>
      <c r="C30">
        <v>845.4285888671875</v>
      </c>
      <c r="D30">
        <v>-9.94</v>
      </c>
      <c r="E30">
        <v>0.85252052308978776</v>
      </c>
      <c r="F30">
        <v>-72</v>
      </c>
    </row>
    <row r="31" spans="1:6">
      <c r="A31" t="s">
        <v>115</v>
      </c>
      <c r="B31">
        <v>-124</v>
      </c>
      <c r="C31">
        <v>4015.78564453125</v>
      </c>
      <c r="D31">
        <v>-3.09</v>
      </c>
      <c r="E31">
        <v>1.1571613673810419</v>
      </c>
      <c r="F31">
        <v>-143</v>
      </c>
    </row>
    <row r="32" spans="1:6">
      <c r="A32" t="s">
        <v>117</v>
      </c>
      <c r="B32">
        <v>-210</v>
      </c>
      <c r="C32">
        <v>4015.78564453125</v>
      </c>
      <c r="D32">
        <v>-5.23</v>
      </c>
      <c r="E32">
        <v>1.1768023295852841</v>
      </c>
      <c r="F32">
        <v>-247</v>
      </c>
    </row>
    <row r="33" spans="1:6">
      <c r="A33" t="s">
        <v>118</v>
      </c>
      <c r="B33">
        <v>-274</v>
      </c>
      <c r="C33">
        <v>2747.5751953125</v>
      </c>
      <c r="D33">
        <v>-9.9700000000000006</v>
      </c>
      <c r="E33">
        <v>2.1374595769627889</v>
      </c>
      <c r="F33">
        <v>-586</v>
      </c>
    </row>
    <row r="34" spans="1:6">
      <c r="A34" t="s">
        <v>120</v>
      </c>
      <c r="B34">
        <v>105</v>
      </c>
      <c r="C34">
        <v>1056.758666992188</v>
      </c>
      <c r="D34">
        <v>9.94</v>
      </c>
      <c r="E34">
        <v>1.6018298350127329</v>
      </c>
      <c r="F34">
        <v>168</v>
      </c>
    </row>
    <row r="35" spans="1:6">
      <c r="A35" t="s">
        <v>26</v>
      </c>
      <c r="B35">
        <v>-68</v>
      </c>
      <c r="C35">
        <v>686.89447021484375</v>
      </c>
      <c r="D35">
        <v>-9.9</v>
      </c>
      <c r="E35">
        <v>1.380198350161957</v>
      </c>
      <c r="F35">
        <v>-94</v>
      </c>
    </row>
    <row r="36" spans="1:6">
      <c r="A36" t="s">
        <v>121</v>
      </c>
      <c r="B36">
        <v>31</v>
      </c>
      <c r="C36">
        <v>317.02999877929687</v>
      </c>
      <c r="D36">
        <v>9.7799999999999994</v>
      </c>
      <c r="E36">
        <v>1.106115779264272</v>
      </c>
      <c r="F36">
        <v>34</v>
      </c>
    </row>
    <row r="37" spans="1:6">
      <c r="A37" t="s">
        <v>122</v>
      </c>
      <c r="B37">
        <v>-359</v>
      </c>
      <c r="C37">
        <v>3592.979248046875</v>
      </c>
      <c r="D37">
        <v>-9.99</v>
      </c>
      <c r="E37">
        <v>2.737828528968306</v>
      </c>
      <c r="F37">
        <v>-983</v>
      </c>
    </row>
    <row r="38" spans="1:6">
      <c r="A38" t="s">
        <v>123</v>
      </c>
      <c r="B38">
        <v>158</v>
      </c>
      <c r="C38">
        <v>1585.22216796875</v>
      </c>
      <c r="D38">
        <v>9.9700000000000006</v>
      </c>
      <c r="E38">
        <v>2.2639476249908919</v>
      </c>
      <c r="F38">
        <v>358</v>
      </c>
    </row>
    <row r="39" spans="1:6">
      <c r="A39" t="s">
        <v>125</v>
      </c>
      <c r="B39">
        <v>221</v>
      </c>
      <c r="C39">
        <v>2219.31103515625</v>
      </c>
      <c r="D39">
        <v>9.9600000000000009</v>
      </c>
      <c r="E39">
        <v>1.537666365516547</v>
      </c>
      <c r="F39">
        <v>340</v>
      </c>
    </row>
    <row r="40" spans="1:6">
      <c r="A40" t="s">
        <v>126</v>
      </c>
      <c r="B40">
        <v>-295</v>
      </c>
      <c r="C40">
        <v>2959.08154296875</v>
      </c>
      <c r="D40">
        <v>-9.9700000000000006</v>
      </c>
      <c r="E40">
        <v>1.225115716352368</v>
      </c>
      <c r="F40">
        <v>-361</v>
      </c>
    </row>
    <row r="41" spans="1:6">
      <c r="A41" t="s">
        <v>11</v>
      </c>
      <c r="B41">
        <v>179</v>
      </c>
      <c r="C41">
        <v>1796.585205078125</v>
      </c>
      <c r="D41">
        <v>9.9600000000000009</v>
      </c>
      <c r="E41">
        <v>0.98548958369632145</v>
      </c>
      <c r="F41">
        <v>176</v>
      </c>
    </row>
    <row r="42" spans="1:6">
      <c r="A42" t="s">
        <v>27</v>
      </c>
      <c r="B42">
        <v>252</v>
      </c>
      <c r="C42">
        <v>4488</v>
      </c>
      <c r="D42">
        <v>5.61</v>
      </c>
      <c r="E42">
        <v>3.0297236429246208</v>
      </c>
      <c r="F42">
        <v>763</v>
      </c>
    </row>
    <row r="43" spans="1:6">
      <c r="A43" t="s">
        <v>128</v>
      </c>
      <c r="B43">
        <v>-191</v>
      </c>
      <c r="C43">
        <v>1912.354248046875</v>
      </c>
      <c r="D43">
        <v>-9.99</v>
      </c>
      <c r="E43">
        <v>1.0774387233525029</v>
      </c>
      <c r="F43">
        <v>-206</v>
      </c>
    </row>
    <row r="44" spans="1:6">
      <c r="A44" t="s">
        <v>130</v>
      </c>
      <c r="B44">
        <v>0</v>
      </c>
      <c r="C44">
        <v>2812.28564453125</v>
      </c>
      <c r="D44">
        <v>0</v>
      </c>
      <c r="E44">
        <v>1.547506341746316</v>
      </c>
      <c r="F44">
        <v>0</v>
      </c>
    </row>
    <row r="45" spans="1:6">
      <c r="A45" t="s">
        <v>132</v>
      </c>
      <c r="B45">
        <v>-84</v>
      </c>
      <c r="C45">
        <v>1768.837646484375</v>
      </c>
      <c r="D45">
        <v>-4.75</v>
      </c>
      <c r="E45">
        <v>1.6443878264670111</v>
      </c>
      <c r="F45">
        <v>-138</v>
      </c>
    </row>
    <row r="46" spans="1:6">
      <c r="A46" t="s">
        <v>134</v>
      </c>
      <c r="B46">
        <v>-30</v>
      </c>
      <c r="C46">
        <v>2263.800048828125</v>
      </c>
      <c r="D46">
        <v>-1.33</v>
      </c>
      <c r="E46">
        <v>1.8618071904760991</v>
      </c>
      <c r="F46">
        <v>-56</v>
      </c>
    </row>
    <row r="47" spans="1:6">
      <c r="A47" t="s">
        <v>136</v>
      </c>
      <c r="B47">
        <v>99</v>
      </c>
      <c r="C47">
        <v>994.97119140625</v>
      </c>
      <c r="D47">
        <v>9.9499999999999993</v>
      </c>
      <c r="E47">
        <v>1.2675127190452791</v>
      </c>
      <c r="F47">
        <v>125</v>
      </c>
    </row>
    <row r="48" spans="1:6">
      <c r="A48" t="s">
        <v>137</v>
      </c>
      <c r="B48">
        <v>-99</v>
      </c>
      <c r="C48">
        <v>994.97119140625</v>
      </c>
      <c r="D48">
        <v>-9.9499999999999993</v>
      </c>
      <c r="E48">
        <v>1.220950895669598</v>
      </c>
      <c r="F48">
        <v>-121</v>
      </c>
    </row>
    <row r="49" spans="1:6">
      <c r="A49" t="s">
        <v>139</v>
      </c>
      <c r="B49">
        <v>226</v>
      </c>
      <c r="C49">
        <v>2263.800048828125</v>
      </c>
      <c r="D49">
        <v>9.98</v>
      </c>
      <c r="E49">
        <v>1.363166698003025</v>
      </c>
      <c r="F49">
        <v>308</v>
      </c>
    </row>
    <row r="50" spans="1:6">
      <c r="A50" t="s">
        <v>140</v>
      </c>
      <c r="B50">
        <v>508</v>
      </c>
      <c r="C50">
        <v>6727.0498046875</v>
      </c>
      <c r="D50">
        <v>7.55</v>
      </c>
      <c r="E50">
        <v>2.0206891610993241</v>
      </c>
      <c r="F50">
        <v>1027</v>
      </c>
    </row>
    <row r="51" spans="1:6">
      <c r="A51" t="s">
        <v>141</v>
      </c>
      <c r="B51">
        <v>99</v>
      </c>
      <c r="C51">
        <v>994.95001220703125</v>
      </c>
      <c r="D51">
        <v>9.9499999999999993</v>
      </c>
      <c r="E51">
        <v>1.2410585374804051</v>
      </c>
      <c r="F51">
        <v>123</v>
      </c>
    </row>
    <row r="52" spans="1:6">
      <c r="A52" t="s">
        <v>143</v>
      </c>
      <c r="B52">
        <v>-83</v>
      </c>
      <c r="C52">
        <v>831.5999755859375</v>
      </c>
      <c r="D52">
        <v>-9.98</v>
      </c>
      <c r="E52">
        <v>1.3179415328976509</v>
      </c>
      <c r="F52">
        <v>-109</v>
      </c>
    </row>
    <row r="53" spans="1:6">
      <c r="A53" t="s">
        <v>145</v>
      </c>
      <c r="B53">
        <v>-126</v>
      </c>
      <c r="C53">
        <v>1267.199951171875</v>
      </c>
      <c r="D53">
        <v>-9.94</v>
      </c>
      <c r="E53">
        <v>2.0997707525227369</v>
      </c>
      <c r="F53">
        <v>-265</v>
      </c>
    </row>
    <row r="54" spans="1:6">
      <c r="A54" t="s">
        <v>146</v>
      </c>
      <c r="B54">
        <v>31</v>
      </c>
      <c r="C54">
        <v>316.79998779296881</v>
      </c>
      <c r="D54">
        <v>9.7899999999999991</v>
      </c>
      <c r="E54">
        <v>1.5344664418660281</v>
      </c>
      <c r="F54">
        <v>48</v>
      </c>
    </row>
    <row r="55" spans="1:6">
      <c r="A55" t="s">
        <v>147</v>
      </c>
      <c r="B55">
        <v>-360</v>
      </c>
      <c r="C55">
        <v>3603.60009765625</v>
      </c>
      <c r="D55">
        <v>-9.99</v>
      </c>
      <c r="E55">
        <v>2.0332077465852612</v>
      </c>
      <c r="F55">
        <v>-732</v>
      </c>
    </row>
    <row r="56" spans="1:6">
      <c r="A56" t="s">
        <v>29</v>
      </c>
      <c r="B56">
        <v>-170</v>
      </c>
      <c r="C56">
        <v>1702.800048828125</v>
      </c>
      <c r="D56">
        <v>-9.98</v>
      </c>
      <c r="E56">
        <v>1.7858441433096679</v>
      </c>
      <c r="F56">
        <v>-304</v>
      </c>
    </row>
    <row r="57" spans="1:6">
      <c r="A57" t="s">
        <v>148</v>
      </c>
      <c r="B57">
        <v>-368</v>
      </c>
      <c r="C57">
        <v>3682.800048828125</v>
      </c>
      <c r="D57">
        <v>-9.99</v>
      </c>
      <c r="E57">
        <v>1.064453183645111</v>
      </c>
      <c r="F57">
        <v>-392</v>
      </c>
    </row>
    <row r="58" spans="1:6">
      <c r="A58" t="s">
        <v>31</v>
      </c>
      <c r="B58">
        <v>-300</v>
      </c>
      <c r="C58">
        <v>3009.60009765625</v>
      </c>
      <c r="D58">
        <v>-9.9700000000000006</v>
      </c>
      <c r="E58">
        <v>1.6072706920246791</v>
      </c>
      <c r="F58">
        <v>-482</v>
      </c>
    </row>
    <row r="59" spans="1:6">
      <c r="A59" t="s">
        <v>149</v>
      </c>
      <c r="B59">
        <v>-25</v>
      </c>
      <c r="C59">
        <v>2376</v>
      </c>
      <c r="D59">
        <v>-1.05</v>
      </c>
      <c r="E59">
        <v>1.2348550026475349</v>
      </c>
      <c r="F59">
        <v>-31</v>
      </c>
    </row>
    <row r="60" spans="1:6">
      <c r="A60" t="s">
        <v>151</v>
      </c>
      <c r="B60">
        <v>-95</v>
      </c>
      <c r="C60">
        <v>950.4000244140625</v>
      </c>
      <c r="D60">
        <v>-10</v>
      </c>
      <c r="E60">
        <v>0.97576950038931587</v>
      </c>
      <c r="F60">
        <v>-93</v>
      </c>
    </row>
    <row r="61" spans="1:6">
      <c r="A61" t="s">
        <v>33</v>
      </c>
      <c r="B61">
        <v>-138</v>
      </c>
      <c r="C61">
        <v>1386</v>
      </c>
      <c r="D61">
        <v>-9.9600000000000009</v>
      </c>
      <c r="E61">
        <v>2.204858657500457</v>
      </c>
      <c r="F61">
        <v>-304</v>
      </c>
    </row>
    <row r="62" spans="1:6">
      <c r="A62" t="s">
        <v>35</v>
      </c>
      <c r="B62">
        <v>-138</v>
      </c>
      <c r="C62">
        <v>1386</v>
      </c>
      <c r="D62">
        <v>-9.9600000000000009</v>
      </c>
      <c r="E62">
        <v>2.2241137533744308</v>
      </c>
      <c r="F62">
        <v>-307</v>
      </c>
    </row>
    <row r="63" spans="1:6">
      <c r="A63" t="s">
        <v>153</v>
      </c>
      <c r="B63">
        <v>-134</v>
      </c>
      <c r="C63">
        <v>1346.400024414062</v>
      </c>
      <c r="D63">
        <v>-9.9499999999999993</v>
      </c>
      <c r="E63">
        <v>1.7082900115074411</v>
      </c>
      <c r="F63">
        <v>-229</v>
      </c>
    </row>
    <row r="64" spans="1:6">
      <c r="A64" t="s">
        <v>154</v>
      </c>
      <c r="B64">
        <v>207</v>
      </c>
      <c r="C64">
        <v>2851.199951171875</v>
      </c>
      <c r="D64">
        <v>7.26</v>
      </c>
      <c r="E64">
        <v>1.6509537128801519</v>
      </c>
      <c r="F64">
        <v>342</v>
      </c>
    </row>
    <row r="65" spans="1:6">
      <c r="A65" t="s">
        <v>155</v>
      </c>
      <c r="B65">
        <v>-213</v>
      </c>
      <c r="C65">
        <v>2138.39990234375</v>
      </c>
      <c r="D65">
        <v>-9.9600000000000009</v>
      </c>
      <c r="E65">
        <v>0.9787185705664474</v>
      </c>
      <c r="F65">
        <v>-208</v>
      </c>
    </row>
    <row r="66" spans="1:6">
      <c r="A66" t="s">
        <v>37</v>
      </c>
      <c r="B66">
        <v>102</v>
      </c>
      <c r="C66">
        <v>1029.599975585938</v>
      </c>
      <c r="D66">
        <v>9.91</v>
      </c>
      <c r="E66">
        <v>1.145801074378888</v>
      </c>
      <c r="F66">
        <v>117</v>
      </c>
    </row>
    <row r="67" spans="1:6">
      <c r="A67" t="s">
        <v>156</v>
      </c>
      <c r="B67">
        <v>-96</v>
      </c>
      <c r="C67">
        <v>963.5999755859375</v>
      </c>
      <c r="D67">
        <v>-9.9600000000000009</v>
      </c>
      <c r="E67">
        <v>1.2108027356895861</v>
      </c>
      <c r="F67">
        <v>-116</v>
      </c>
    </row>
    <row r="68" spans="1:6">
      <c r="A68" t="s">
        <v>39</v>
      </c>
      <c r="B68">
        <v>265</v>
      </c>
      <c r="C68">
        <v>2653.199951171875</v>
      </c>
      <c r="D68">
        <v>9.99</v>
      </c>
      <c r="E68">
        <v>1.6445899871892751</v>
      </c>
      <c r="F68">
        <v>436</v>
      </c>
    </row>
    <row r="69" spans="1:6">
      <c r="A69" t="s">
        <v>41</v>
      </c>
      <c r="B69">
        <v>-176</v>
      </c>
      <c r="C69">
        <v>1768.800048828125</v>
      </c>
      <c r="D69">
        <v>-9.9499999999999993</v>
      </c>
      <c r="E69">
        <v>2.27531359874071</v>
      </c>
      <c r="F69">
        <v>-400</v>
      </c>
    </row>
    <row r="70" spans="1:6">
      <c r="A70" t="s">
        <v>42</v>
      </c>
      <c r="B70">
        <v>-102</v>
      </c>
      <c r="C70">
        <v>1029.599975585938</v>
      </c>
      <c r="D70">
        <v>-9.91</v>
      </c>
      <c r="E70">
        <v>1.3134251342945229</v>
      </c>
      <c r="F70">
        <v>-134</v>
      </c>
    </row>
    <row r="71" spans="1:6">
      <c r="A71" t="s">
        <v>157</v>
      </c>
      <c r="B71">
        <v>316</v>
      </c>
      <c r="C71">
        <v>3168</v>
      </c>
      <c r="D71">
        <v>9.9700000000000006</v>
      </c>
      <c r="E71">
        <v>1.680555165690826</v>
      </c>
      <c r="F71">
        <v>531</v>
      </c>
    </row>
    <row r="72" spans="1:6">
      <c r="A72" t="s">
        <v>159</v>
      </c>
      <c r="B72">
        <v>118</v>
      </c>
      <c r="C72">
        <v>1188</v>
      </c>
      <c r="D72">
        <v>9.93</v>
      </c>
      <c r="E72">
        <v>1.996293458108773</v>
      </c>
      <c r="F72">
        <v>236</v>
      </c>
    </row>
    <row r="73" spans="1:6">
      <c r="A73" t="s">
        <v>160</v>
      </c>
      <c r="B73">
        <v>273</v>
      </c>
      <c r="C73">
        <v>2732.39990234375</v>
      </c>
      <c r="D73">
        <v>9.99</v>
      </c>
      <c r="E73">
        <v>1.6025892108055051</v>
      </c>
      <c r="F73">
        <v>438</v>
      </c>
    </row>
    <row r="74" spans="1:6">
      <c r="A74" t="s">
        <v>44</v>
      </c>
      <c r="B74">
        <v>-134</v>
      </c>
      <c r="C74">
        <v>1346.400024414062</v>
      </c>
      <c r="D74">
        <v>-9.9499999999999993</v>
      </c>
      <c r="E74">
        <v>1.747683250954946</v>
      </c>
      <c r="F74">
        <v>-234</v>
      </c>
    </row>
    <row r="75" spans="1:6">
      <c r="A75" t="s">
        <v>162</v>
      </c>
      <c r="B75">
        <v>67</v>
      </c>
      <c r="C75">
        <v>673.20001220703125</v>
      </c>
      <c r="D75">
        <v>9.9499999999999993</v>
      </c>
      <c r="E75">
        <v>1.571961994797664</v>
      </c>
      <c r="F75">
        <v>105</v>
      </c>
    </row>
    <row r="76" spans="1:6">
      <c r="A76" t="s">
        <v>46</v>
      </c>
      <c r="B76">
        <v>-44</v>
      </c>
      <c r="C76">
        <v>440.19000244140619</v>
      </c>
      <c r="D76">
        <v>-10</v>
      </c>
      <c r="E76">
        <v>1.242300813146245</v>
      </c>
      <c r="F76">
        <v>-55</v>
      </c>
    </row>
    <row r="77" spans="1:6">
      <c r="A77" t="s">
        <v>48</v>
      </c>
      <c r="B77">
        <v>-88</v>
      </c>
      <c r="C77">
        <v>880.3800048828125</v>
      </c>
      <c r="D77">
        <v>-10</v>
      </c>
      <c r="E77">
        <v>1.5715520043125231</v>
      </c>
      <c r="F77">
        <v>-138</v>
      </c>
    </row>
    <row r="78" spans="1:6">
      <c r="A78" t="s">
        <v>50</v>
      </c>
      <c r="B78">
        <v>33</v>
      </c>
      <c r="C78">
        <v>330.14248657226562</v>
      </c>
      <c r="D78">
        <v>10</v>
      </c>
      <c r="E78">
        <v>1.8129508397733449</v>
      </c>
      <c r="F78">
        <v>60</v>
      </c>
    </row>
    <row r="79" spans="1:6">
      <c r="A79" t="s">
        <v>52</v>
      </c>
      <c r="B79">
        <v>-163</v>
      </c>
      <c r="C79">
        <v>1650.712524414062</v>
      </c>
      <c r="D79">
        <v>-9.8699999999999992</v>
      </c>
      <c r="E79">
        <v>1.3039472564937411</v>
      </c>
      <c r="F79">
        <v>-213</v>
      </c>
    </row>
    <row r="80" spans="1:6">
      <c r="A80" t="s">
        <v>14</v>
      </c>
      <c r="B80">
        <v>22</v>
      </c>
      <c r="C80">
        <v>220.0950012207031</v>
      </c>
      <c r="D80">
        <v>10</v>
      </c>
      <c r="E80">
        <v>0.15517899065067259</v>
      </c>
      <c r="F80">
        <v>3</v>
      </c>
    </row>
    <row r="81" spans="1:6">
      <c r="A81" t="s">
        <v>164</v>
      </c>
      <c r="B81">
        <v>-110</v>
      </c>
      <c r="C81">
        <v>1100.474975585938</v>
      </c>
      <c r="D81">
        <v>-10</v>
      </c>
      <c r="E81">
        <v>1.5709882778691511</v>
      </c>
      <c r="F81">
        <v>-173</v>
      </c>
    </row>
    <row r="82" spans="1:6">
      <c r="A82" t="s">
        <v>53</v>
      </c>
      <c r="B82">
        <v>128</v>
      </c>
      <c r="C82">
        <v>1287</v>
      </c>
      <c r="D82">
        <v>9.9499999999999993</v>
      </c>
      <c r="E82">
        <v>2.201980776490426</v>
      </c>
      <c r="F82">
        <v>282</v>
      </c>
    </row>
    <row r="83" spans="1:6">
      <c r="A83" t="s">
        <v>166</v>
      </c>
      <c r="B83">
        <v>128</v>
      </c>
      <c r="C83">
        <v>1287</v>
      </c>
      <c r="D83">
        <v>9.9499999999999993</v>
      </c>
      <c r="E83">
        <v>1.476411991596424</v>
      </c>
      <c r="F83">
        <v>189</v>
      </c>
    </row>
    <row r="84" spans="1:6">
      <c r="A84" t="s">
        <v>54</v>
      </c>
      <c r="B84">
        <v>-264</v>
      </c>
      <c r="C84">
        <v>2641.139892578125</v>
      </c>
      <c r="D84">
        <v>-10</v>
      </c>
      <c r="E84">
        <v>1.6336527410573221</v>
      </c>
      <c r="F84">
        <v>-431</v>
      </c>
    </row>
    <row r="85" spans="1:6">
      <c r="A85" t="s">
        <v>55</v>
      </c>
      <c r="B85">
        <v>-88</v>
      </c>
      <c r="C85">
        <v>880.3800048828125</v>
      </c>
      <c r="D85">
        <v>-10</v>
      </c>
      <c r="E85">
        <v>2.0933805294292491</v>
      </c>
      <c r="F85">
        <v>-184</v>
      </c>
    </row>
    <row r="86" spans="1:6">
      <c r="A86" t="s">
        <v>57</v>
      </c>
      <c r="B86">
        <v>-88</v>
      </c>
      <c r="C86">
        <v>880.3800048828125</v>
      </c>
      <c r="D86">
        <v>-10</v>
      </c>
      <c r="E86">
        <v>1.595838775803051</v>
      </c>
      <c r="F86">
        <v>-140</v>
      </c>
    </row>
    <row r="87" spans="1:6">
      <c r="A87" t="s">
        <v>167</v>
      </c>
      <c r="B87">
        <v>-264</v>
      </c>
      <c r="C87">
        <v>2641.139892578125</v>
      </c>
      <c r="D87">
        <v>-10</v>
      </c>
      <c r="E87">
        <v>2.2823574405047582</v>
      </c>
      <c r="F87">
        <v>-603</v>
      </c>
    </row>
    <row r="88" spans="1:6">
      <c r="A88" t="s">
        <v>169</v>
      </c>
      <c r="B88">
        <v>-264</v>
      </c>
      <c r="C88">
        <v>2641.139892578125</v>
      </c>
      <c r="D88">
        <v>-10</v>
      </c>
      <c r="E88">
        <v>1.6667944689459551</v>
      </c>
      <c r="F88">
        <v>-440</v>
      </c>
    </row>
    <row r="89" spans="1:6">
      <c r="A89" t="s">
        <v>170</v>
      </c>
      <c r="B89">
        <v>-143</v>
      </c>
      <c r="C89">
        <v>1430.617431640625</v>
      </c>
      <c r="D89">
        <v>-10</v>
      </c>
      <c r="E89">
        <v>2.28013334883696</v>
      </c>
      <c r="F89">
        <v>-326</v>
      </c>
    </row>
    <row r="90" spans="1:6">
      <c r="A90" t="s">
        <v>171</v>
      </c>
      <c r="B90">
        <v>143</v>
      </c>
      <c r="C90">
        <v>1430.617553710938</v>
      </c>
      <c r="D90">
        <v>10</v>
      </c>
      <c r="E90">
        <v>1.6444090155677791</v>
      </c>
      <c r="F90">
        <v>235</v>
      </c>
    </row>
    <row r="91" spans="1:6">
      <c r="A91" t="s">
        <v>172</v>
      </c>
      <c r="B91">
        <v>-286</v>
      </c>
      <c r="C91">
        <v>2861.235107421875</v>
      </c>
      <c r="D91">
        <v>-10</v>
      </c>
      <c r="E91">
        <v>1.2443714901759251</v>
      </c>
      <c r="F91">
        <v>-356</v>
      </c>
    </row>
    <row r="92" spans="1:6">
      <c r="A92" t="s">
        <v>174</v>
      </c>
      <c r="B92">
        <v>307</v>
      </c>
      <c r="C92">
        <v>3071.95068359375</v>
      </c>
      <c r="D92">
        <v>9.99</v>
      </c>
      <c r="E92">
        <v>1.5397571757888759</v>
      </c>
      <c r="F92">
        <v>473</v>
      </c>
    </row>
    <row r="93" spans="1:6">
      <c r="A93" t="s">
        <v>176</v>
      </c>
      <c r="B93">
        <v>109</v>
      </c>
      <c r="C93">
        <v>1097.125</v>
      </c>
      <c r="D93">
        <v>9.94</v>
      </c>
      <c r="E93">
        <v>3.4225549468738512</v>
      </c>
      <c r="F93">
        <v>373</v>
      </c>
    </row>
    <row r="94" spans="1:6">
      <c r="A94" t="s">
        <v>178</v>
      </c>
      <c r="B94">
        <v>-285</v>
      </c>
      <c r="C94">
        <v>2852.52490234375</v>
      </c>
      <c r="D94">
        <v>-9.99</v>
      </c>
      <c r="E94">
        <v>1.1461968135634111</v>
      </c>
      <c r="F94">
        <v>-327</v>
      </c>
    </row>
    <row r="95" spans="1:6">
      <c r="A95" t="s">
        <v>59</v>
      </c>
      <c r="B95">
        <v>-175</v>
      </c>
      <c r="C95">
        <v>1755.400024414062</v>
      </c>
      <c r="D95">
        <v>-9.9700000000000006</v>
      </c>
      <c r="E95">
        <v>0.22722308902429161</v>
      </c>
      <c r="F95">
        <v>-40</v>
      </c>
    </row>
    <row r="96" spans="1:6">
      <c r="A96" t="s">
        <v>180</v>
      </c>
      <c r="B96">
        <v>-263</v>
      </c>
      <c r="C96">
        <v>2633.10009765625</v>
      </c>
      <c r="D96">
        <v>-9.99</v>
      </c>
      <c r="E96">
        <v>1.578895782840438</v>
      </c>
      <c r="F96">
        <v>-415</v>
      </c>
    </row>
    <row r="97" spans="1:6">
      <c r="A97" t="s">
        <v>182</v>
      </c>
      <c r="B97">
        <v>0</v>
      </c>
      <c r="C97">
        <v>2633.10009765625</v>
      </c>
      <c r="D97">
        <v>0</v>
      </c>
      <c r="E97">
        <v>2.0489883233371069</v>
      </c>
      <c r="F97">
        <v>0</v>
      </c>
    </row>
    <row r="98" spans="1:6">
      <c r="A98" t="s">
        <v>183</v>
      </c>
      <c r="B98">
        <v>-285</v>
      </c>
      <c r="C98">
        <v>2852.52490234375</v>
      </c>
      <c r="D98">
        <v>-9.99</v>
      </c>
      <c r="E98">
        <v>1.659903023238003</v>
      </c>
      <c r="F98">
        <v>-473</v>
      </c>
    </row>
    <row r="99" spans="1:6">
      <c r="A99" t="s">
        <v>184</v>
      </c>
      <c r="B99">
        <v>285</v>
      </c>
      <c r="C99">
        <v>2852.52490234375</v>
      </c>
      <c r="D99">
        <v>9.99</v>
      </c>
      <c r="E99">
        <v>2.4411370017834351</v>
      </c>
      <c r="F99">
        <v>696</v>
      </c>
    </row>
    <row r="100" spans="1:6">
      <c r="A100" t="s">
        <v>186</v>
      </c>
      <c r="B100">
        <v>307</v>
      </c>
      <c r="C100">
        <v>3071.949951171875</v>
      </c>
      <c r="D100">
        <v>9.99</v>
      </c>
      <c r="E100">
        <v>1.377550154762649</v>
      </c>
      <c r="F100">
        <v>423</v>
      </c>
    </row>
    <row r="101" spans="1:6">
      <c r="A101" t="s">
        <v>187</v>
      </c>
      <c r="B101">
        <v>-164</v>
      </c>
      <c r="C101">
        <v>1645.6875</v>
      </c>
      <c r="D101">
        <v>-9.9700000000000006</v>
      </c>
      <c r="E101">
        <v>0.9633325559825876</v>
      </c>
      <c r="F101">
        <v>-158</v>
      </c>
    </row>
    <row r="102" spans="1:6">
      <c r="A102" t="s">
        <v>60</v>
      </c>
      <c r="B102">
        <v>-241</v>
      </c>
      <c r="C102">
        <v>2413.675048828125</v>
      </c>
      <c r="D102">
        <v>-9.98</v>
      </c>
      <c r="E102">
        <v>1.9209084201709461</v>
      </c>
      <c r="F102">
        <v>-463</v>
      </c>
    </row>
    <row r="103" spans="1:6">
      <c r="A103" t="s">
        <v>61</v>
      </c>
      <c r="B103">
        <v>0</v>
      </c>
      <c r="C103">
        <v>1645.6875</v>
      </c>
      <c r="D103">
        <v>0</v>
      </c>
      <c r="E103">
        <v>2.0710295845642488</v>
      </c>
      <c r="F103">
        <v>0</v>
      </c>
    </row>
    <row r="104" spans="1:6">
      <c r="A104" t="s">
        <v>63</v>
      </c>
      <c r="B104">
        <v>-72</v>
      </c>
      <c r="C104">
        <v>726.32012939453125</v>
      </c>
      <c r="D104">
        <v>-9.91</v>
      </c>
      <c r="E104">
        <v>2.3366415446738071</v>
      </c>
      <c r="F104">
        <v>-168</v>
      </c>
    </row>
    <row r="105" spans="1:6">
      <c r="A105" t="s">
        <v>64</v>
      </c>
      <c r="B105">
        <v>-92</v>
      </c>
      <c r="C105">
        <v>924.39959716796875</v>
      </c>
      <c r="D105">
        <v>-9.9499999999999993</v>
      </c>
      <c r="E105">
        <v>1.9860374584322731</v>
      </c>
      <c r="F105">
        <v>-183</v>
      </c>
    </row>
    <row r="106" spans="1:6">
      <c r="A106" t="s">
        <v>65</v>
      </c>
      <c r="B106">
        <v>112</v>
      </c>
      <c r="C106">
        <v>1122.485229492188</v>
      </c>
      <c r="D106">
        <v>9.98</v>
      </c>
      <c r="E106">
        <v>2.14264569841635</v>
      </c>
      <c r="F106">
        <v>240</v>
      </c>
    </row>
    <row r="107" spans="1:6">
      <c r="A107" t="s">
        <v>67</v>
      </c>
      <c r="B107">
        <v>-39</v>
      </c>
      <c r="C107">
        <v>396.1712646484375</v>
      </c>
      <c r="D107">
        <v>-9.84</v>
      </c>
      <c r="E107">
        <v>1.0967380891164711</v>
      </c>
      <c r="F107">
        <v>-43</v>
      </c>
    </row>
    <row r="108" spans="1:6">
      <c r="A108" t="s">
        <v>68</v>
      </c>
      <c r="B108">
        <v>153</v>
      </c>
      <c r="C108">
        <v>1535.974975585938</v>
      </c>
      <c r="D108">
        <v>9.9600000000000009</v>
      </c>
      <c r="E108">
        <v>2.4184909806636128</v>
      </c>
      <c r="F108">
        <v>370</v>
      </c>
    </row>
    <row r="109" spans="1:6">
      <c r="A109" t="s">
        <v>69</v>
      </c>
      <c r="B109">
        <v>-153</v>
      </c>
      <c r="C109">
        <v>1535.974975585938</v>
      </c>
      <c r="D109">
        <v>-9.9600000000000009</v>
      </c>
      <c r="E109">
        <v>1.1293612304316609</v>
      </c>
      <c r="F109">
        <v>-173</v>
      </c>
    </row>
    <row r="110" spans="1:6">
      <c r="A110" t="s">
        <v>71</v>
      </c>
      <c r="B110">
        <v>-59</v>
      </c>
      <c r="C110">
        <v>594.25689697265625</v>
      </c>
      <c r="D110">
        <v>-9.93</v>
      </c>
      <c r="E110">
        <v>1.8595643024056849</v>
      </c>
      <c r="F110">
        <v>-110</v>
      </c>
    </row>
    <row r="111" spans="1:6">
      <c r="A111" t="s">
        <v>72</v>
      </c>
      <c r="B111">
        <v>-257</v>
      </c>
      <c r="C111">
        <v>2575.113037109375</v>
      </c>
      <c r="D111">
        <v>-9.98</v>
      </c>
      <c r="E111">
        <v>1.227482804834934</v>
      </c>
      <c r="F111">
        <v>-315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Proyeccion_original</vt:lpstr>
      <vt:lpstr>Analisis_avanzado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SGuerra</cp:lastModifiedBy>
  <dcterms:created xsi:type="dcterms:W3CDTF">2026-09-15T18:01:44Z</dcterms:created>
  <dcterms:modified xsi:type="dcterms:W3CDTF">2026-09-16T15:47:52Z</dcterms:modified>
</cp:coreProperties>
</file>