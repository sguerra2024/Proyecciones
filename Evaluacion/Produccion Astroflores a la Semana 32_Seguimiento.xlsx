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0245" yWindow="-15" windowWidth="10290" windowHeight="7365"/>
  </bookViews>
  <sheets>
    <sheet name="Astroflores" sheetId="1" r:id="rId1"/>
  </sheets>
  <externalReferences>
    <externalReference r:id="rId2"/>
  </externalReferences>
  <definedNames>
    <definedName name="_xlnm._FilterDatabase" localSheetId="0" hidden="1">Astroflores!$A$1:$K$110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G110" l="1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110" l="1"/>
  <c r="K109" l="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</calcChain>
</file>

<file path=xl/sharedStrings.xml><?xml version="1.0" encoding="utf-8"?>
<sst xmlns="http://schemas.openxmlformats.org/spreadsheetml/2006/main" count="449" uniqueCount="114">
  <si>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</si>
  <si>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</si>
  <si>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</si>
  <si>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</si>
  <si>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</si>
  <si>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</si>
  <si>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</si>
  <si>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</si>
  <si>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</si>
  <si>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</si>
  <si>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</si>
  <si>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</si>
  <si>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</si>
  <si>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</si>
  <si>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</si>
  <si>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</si>
  <si>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</si>
  <si>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</si>
  <si>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</si>
  <si>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</si>
  <si>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</si>
  <si>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</si>
  <si>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</si>
  <si>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</si>
  <si>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</si>
  <si>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</si>
  <si>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</si>
  <si>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</si>
  <si>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</si>
  <si>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</si>
  <si>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</si>
  <si>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</si>
  <si>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</si>
  <si>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</si>
  <si>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</si>
  <si>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</si>
  <si>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</si>
  <si>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</si>
  <si>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</si>
  <si>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</si>
  <si>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</si>
  <si>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</si>
  <si>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</si>
  <si>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</si>
  <si>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</si>
  <si>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</si>
  <si>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</si>
  <si>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</si>
  <si>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</si>
  <si>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</si>
  <si>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</si>
  <si>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</si>
  <si>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</si>
  <si>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</si>
  <si>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</si>
  <si>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</si>
  <si>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</si>
  <si>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</si>
  <si>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</si>
  <si>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</si>
  <si>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</si>
  <si>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</si>
  <si>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</si>
  <si>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</si>
  <si>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</si>
  <si>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</si>
  <si>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</si>
  <si>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</si>
  <si>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</si>
  <si>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</si>
  <si>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</si>
  <si>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</si>
  <si>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</si>
  <si>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</si>
  <si>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</si>
  <si>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</si>
  <si>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</si>
  <si>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</si>
  <si>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</si>
  <si>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</si>
  <si>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</si>
  <si>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</si>
  <si>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</si>
  <si>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</si>
  <si>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</si>
  <si>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</si>
  <si>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</si>
  <si>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</si>
  <si>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</si>
  <si>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</si>
  <si>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</si>
  <si>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</si>
  <si>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</si>
  <si>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</si>
  <si>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</si>
  <si>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</si>
  <si>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</si>
  <si>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</si>
  <si>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</si>
  <si>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</si>
  <si>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</si>
  <si>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</si>
  <si>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</si>
  <si>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</si>
  <si>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</si>
  <si>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</si>
  <si>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</si>
  <si>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</si>
  <si>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</si>
  <si>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</si>
  <si>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</si>
  <si>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Bloque&amp;Varid</t>
  </si>
  <si>
    <t>ModeloSem30</t>
  </si>
  <si>
    <t>Dif%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</si>
</sst>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  <xf numFmtId="43" fontId="0" fillId="0" borderId="0" xfId="1" applyNumberFormat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PycharmProjects/PythonProject/Produccion%20Astroflores%20BL25-26-27-28%20a%20la%20Semana%2030_entrenamient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9024">
          <cell r="G9024" t="str">
            <v>002SOMERSET</v>
          </cell>
          <cell r="H9024">
            <v>8860</v>
          </cell>
        </row>
        <row r="9025">
          <cell r="G9025" t="str">
            <v>004BELLINA</v>
          </cell>
          <cell r="H9025">
            <v>1470</v>
          </cell>
        </row>
        <row r="9026">
          <cell r="G9026" t="str">
            <v>005ELBA</v>
          </cell>
          <cell r="H9026">
            <v>7200</v>
          </cell>
        </row>
        <row r="9027">
          <cell r="G9027" t="str">
            <v>005HOT BUBBLES</v>
          </cell>
          <cell r="H9027">
            <v>1160</v>
          </cell>
        </row>
        <row r="9028">
          <cell r="G9028" t="str">
            <v>005SUSPIRO</v>
          </cell>
          <cell r="H9028">
            <v>2490</v>
          </cell>
        </row>
        <row r="9029">
          <cell r="G9029" t="str">
            <v>007SNOW BUBBLES</v>
          </cell>
          <cell r="H9029">
            <v>1100</v>
          </cell>
        </row>
        <row r="9030">
          <cell r="G9030" t="str">
            <v>009HOT BUBBLES</v>
          </cell>
          <cell r="H9030">
            <v>9660</v>
          </cell>
        </row>
        <row r="9031">
          <cell r="G9031" t="str">
            <v>014FRUITY BUBBLES</v>
          </cell>
          <cell r="H9031">
            <v>3625</v>
          </cell>
        </row>
        <row r="9032">
          <cell r="G9032" t="str">
            <v>015FELLINI</v>
          </cell>
          <cell r="H9032">
            <v>6700</v>
          </cell>
        </row>
        <row r="9033">
          <cell r="G9033" t="str">
            <v>016GOOD PEACH</v>
          </cell>
          <cell r="H9033">
            <v>2670</v>
          </cell>
        </row>
        <row r="9034">
          <cell r="G9034" t="str">
            <v>016GOOD YELLOW</v>
          </cell>
          <cell r="H9034">
            <v>2910</v>
          </cell>
        </row>
        <row r="9035">
          <cell r="G9035" t="str">
            <v>017ORANGE STAR</v>
          </cell>
          <cell r="H9035">
            <v>1875</v>
          </cell>
        </row>
        <row r="9036">
          <cell r="G9036" t="str">
            <v>018COSMO</v>
          </cell>
          <cell r="H9036">
            <v>5825</v>
          </cell>
        </row>
        <row r="9037">
          <cell r="G9037" t="str">
            <v>018RUBICON</v>
          </cell>
          <cell r="H9037">
            <v>4980</v>
          </cell>
        </row>
        <row r="9038">
          <cell r="G9038" t="str">
            <v>019BELLINA</v>
          </cell>
          <cell r="H9038">
            <v>2010</v>
          </cell>
        </row>
        <row r="9039">
          <cell r="G9039" t="str">
            <v>020SUMMER DANCE</v>
          </cell>
          <cell r="H9039">
            <v>4350</v>
          </cell>
        </row>
        <row r="9040">
          <cell r="G9040" t="str">
            <v>021ELEGANT ROSEVER</v>
          </cell>
          <cell r="H9040">
            <v>510</v>
          </cell>
        </row>
        <row r="9041">
          <cell r="G9041" t="str">
            <v>021FLAME CLUB</v>
          </cell>
          <cell r="H9041">
            <v>2075</v>
          </cell>
        </row>
        <row r="9042">
          <cell r="G9042" t="str">
            <v>021KELLY</v>
          </cell>
          <cell r="H9042">
            <v>650</v>
          </cell>
        </row>
        <row r="9043">
          <cell r="G9043" t="str">
            <v>021LEILA</v>
          </cell>
          <cell r="H9043">
            <v>2200</v>
          </cell>
        </row>
        <row r="9044">
          <cell r="G9044" t="str">
            <v>021SNOW BUBBLES</v>
          </cell>
          <cell r="H9044">
            <v>3880</v>
          </cell>
        </row>
        <row r="9045">
          <cell r="G9045" t="str">
            <v>022FRUITY BUBBLES</v>
          </cell>
          <cell r="H9045">
            <v>5725</v>
          </cell>
        </row>
        <row r="9046">
          <cell r="G9046" t="str">
            <v>022GOOD PEACH</v>
          </cell>
          <cell r="H9046">
            <v>2130</v>
          </cell>
        </row>
        <row r="9047">
          <cell r="G9047" t="str">
            <v>022MIRABEL</v>
          </cell>
          <cell r="H9047">
            <v>1760</v>
          </cell>
        </row>
        <row r="9048">
          <cell r="G9048" t="str">
            <v>026PURPLE BUBBLY</v>
          </cell>
          <cell r="H9048">
            <v>510</v>
          </cell>
        </row>
        <row r="9049">
          <cell r="G9049" t="str">
            <v>030MIRABEL</v>
          </cell>
          <cell r="H9049">
            <v>3920</v>
          </cell>
        </row>
        <row r="9050">
          <cell r="G9050" t="str">
            <v>030SOMERSET</v>
          </cell>
          <cell r="H9050">
            <v>4240</v>
          </cell>
        </row>
        <row r="9051">
          <cell r="G9051" t="str">
            <v>03182989</v>
          </cell>
          <cell r="H9051">
            <v>1680</v>
          </cell>
        </row>
        <row r="9052">
          <cell r="G9052" t="str">
            <v>031RUBICON</v>
          </cell>
          <cell r="H9052">
            <v>2040</v>
          </cell>
        </row>
        <row r="9053">
          <cell r="G9053" t="str">
            <v>031SOMERSET</v>
          </cell>
          <cell r="H9053">
            <v>2640</v>
          </cell>
        </row>
        <row r="9054">
          <cell r="G9054" t="str">
            <v>031VELVET BLOSSOMS</v>
          </cell>
          <cell r="H9054">
            <v>500</v>
          </cell>
        </row>
        <row r="9055">
          <cell r="G9055" t="str">
            <v>032ELBA</v>
          </cell>
          <cell r="H9055">
            <v>2850</v>
          </cell>
        </row>
        <row r="9056">
          <cell r="G9056" t="str">
            <v>032MIRABEL</v>
          </cell>
          <cell r="H9056">
            <v>2140</v>
          </cell>
        </row>
        <row r="9057">
          <cell r="G9057" t="str">
            <v>033CREAMY FOLIES</v>
          </cell>
          <cell r="H9057">
            <v>1410</v>
          </cell>
        </row>
        <row r="9058">
          <cell r="G9058" t="str">
            <v>033HOT BUBBLES</v>
          </cell>
          <cell r="H9058">
            <v>2660</v>
          </cell>
        </row>
        <row r="9059">
          <cell r="G9059" t="str">
            <v>001BELIEVE IN PINK</v>
          </cell>
          <cell r="H9059">
            <v>1410</v>
          </cell>
        </row>
        <row r="9060">
          <cell r="G9060" t="str">
            <v>001EXPLORER</v>
          </cell>
          <cell r="H9060">
            <v>3400</v>
          </cell>
        </row>
        <row r="9061">
          <cell r="G9061" t="str">
            <v>001GRACE KELLY</v>
          </cell>
          <cell r="H9061">
            <v>1530</v>
          </cell>
        </row>
        <row r="9062">
          <cell r="G9062" t="str">
            <v>001LIGHT HOUSE</v>
          </cell>
          <cell r="H9062">
            <v>1590</v>
          </cell>
        </row>
        <row r="9063">
          <cell r="G9063" t="str">
            <v>001LUMIA</v>
          </cell>
          <cell r="H9063">
            <v>3310</v>
          </cell>
        </row>
        <row r="9064">
          <cell r="G9064" t="str">
            <v>001MOMENTUM</v>
          </cell>
          <cell r="H9064">
            <v>4200</v>
          </cell>
        </row>
        <row r="9065">
          <cell r="G9065" t="str">
            <v>002SUMMER ROMANCE</v>
          </cell>
          <cell r="H9065">
            <v>1150</v>
          </cell>
        </row>
        <row r="9066">
          <cell r="G9066" t="str">
            <v>002SWEETNESS</v>
          </cell>
          <cell r="H9066">
            <v>7080</v>
          </cell>
        </row>
        <row r="9067">
          <cell r="G9067" t="str">
            <v>003CABARET</v>
          </cell>
          <cell r="H9067">
            <v>4920</v>
          </cell>
        </row>
        <row r="9068">
          <cell r="G9068" t="str">
            <v>003DEEP PURPLE</v>
          </cell>
          <cell r="H9068">
            <v>9930</v>
          </cell>
        </row>
        <row r="9069">
          <cell r="G9069" t="str">
            <v>003EXPLORER</v>
          </cell>
          <cell r="H9069">
            <v>2050</v>
          </cell>
        </row>
        <row r="9070">
          <cell r="G9070" t="str">
            <v>003JOCKER</v>
          </cell>
          <cell r="H9070">
            <v>1200</v>
          </cell>
        </row>
        <row r="9071">
          <cell r="G9071" t="str">
            <v>003QUICKSAND</v>
          </cell>
          <cell r="H9071">
            <v>2190</v>
          </cell>
        </row>
        <row r="9072">
          <cell r="G9072" t="str">
            <v>004COTOPAXI</v>
          </cell>
          <cell r="H9072">
            <v>1380</v>
          </cell>
        </row>
        <row r="9073">
          <cell r="G9073" t="str">
            <v>004DEEP PURPLE</v>
          </cell>
          <cell r="H9073">
            <v>12570</v>
          </cell>
        </row>
        <row r="9074">
          <cell r="G9074" t="str">
            <v>004HOT EXPLORER</v>
          </cell>
          <cell r="H9074">
            <v>2300</v>
          </cell>
        </row>
        <row r="9075">
          <cell r="G9075" t="str">
            <v>004HOT MERENGUE</v>
          </cell>
          <cell r="H9075">
            <v>2220</v>
          </cell>
        </row>
        <row r="9076">
          <cell r="G9076" t="str">
            <v>004SWEETNESS</v>
          </cell>
          <cell r="H9076">
            <v>840</v>
          </cell>
        </row>
        <row r="9077">
          <cell r="G9077" t="str">
            <v>005EXPLORER</v>
          </cell>
          <cell r="H9077">
            <v>1000</v>
          </cell>
        </row>
        <row r="9078">
          <cell r="G9078" t="str">
            <v>005GOLDFINCH</v>
          </cell>
          <cell r="H9078">
            <v>825</v>
          </cell>
        </row>
        <row r="9079">
          <cell r="G9079" t="str">
            <v>005JOCKER</v>
          </cell>
          <cell r="H9079">
            <v>1950</v>
          </cell>
        </row>
        <row r="9080">
          <cell r="G9080" t="str">
            <v>005VENDELA</v>
          </cell>
          <cell r="H9080">
            <v>2190</v>
          </cell>
        </row>
        <row r="9081">
          <cell r="G9081" t="str">
            <v>006ATOMIC</v>
          </cell>
          <cell r="H9081">
            <v>925</v>
          </cell>
        </row>
        <row r="9082">
          <cell r="G9082" t="str">
            <v>006EXPLORER</v>
          </cell>
          <cell r="H9082">
            <v>5375</v>
          </cell>
        </row>
        <row r="9083">
          <cell r="G9083" t="str">
            <v>006MONDIAL</v>
          </cell>
          <cell r="H9083">
            <v>6250</v>
          </cell>
        </row>
        <row r="9084">
          <cell r="G9084" t="str">
            <v>007COTOPAXI</v>
          </cell>
          <cell r="H9084">
            <v>5730</v>
          </cell>
        </row>
        <row r="9085">
          <cell r="G9085" t="str">
            <v>007REDIANT</v>
          </cell>
          <cell r="H9085">
            <v>1200</v>
          </cell>
        </row>
        <row r="9086">
          <cell r="G9086" t="str">
            <v>007SUMMER ROMANCE</v>
          </cell>
          <cell r="H9086">
            <v>300</v>
          </cell>
        </row>
        <row r="9087">
          <cell r="G9087" t="str">
            <v>007TOPACIO</v>
          </cell>
          <cell r="H9087">
            <v>0</v>
          </cell>
        </row>
        <row r="9088">
          <cell r="G9088" t="str">
            <v>007VENDELA</v>
          </cell>
          <cell r="H9088">
            <v>14790</v>
          </cell>
        </row>
        <row r="9089">
          <cell r="G9089" t="str">
            <v>008DEEP PURPLE</v>
          </cell>
          <cell r="H9089">
            <v>5970</v>
          </cell>
        </row>
        <row r="9090">
          <cell r="G9090" t="str">
            <v>008FREEDOM</v>
          </cell>
          <cell r="H9090">
            <v>3330</v>
          </cell>
        </row>
        <row r="9091">
          <cell r="G9091" t="str">
            <v>008JOCKER</v>
          </cell>
          <cell r="H9091">
            <v>4975</v>
          </cell>
        </row>
        <row r="9092">
          <cell r="G9092" t="str">
            <v>008SUMMER ROMANCE</v>
          </cell>
          <cell r="H9092">
            <v>0</v>
          </cell>
        </row>
        <row r="9093">
          <cell r="G9093" t="str">
            <v>010COOLDOWN</v>
          </cell>
          <cell r="H9093">
            <v>1600</v>
          </cell>
        </row>
        <row r="9094">
          <cell r="G9094" t="str">
            <v>010VIOLET HILL</v>
          </cell>
          <cell r="H9094">
            <v>2700</v>
          </cell>
        </row>
        <row r="9095">
          <cell r="G9095" t="str">
            <v>011BRIGHTON</v>
          </cell>
          <cell r="H9095">
            <v>4375</v>
          </cell>
        </row>
        <row r="9096">
          <cell r="G9096" t="str">
            <v>011CANDLELIGHT</v>
          </cell>
          <cell r="H9096">
            <v>3880</v>
          </cell>
        </row>
        <row r="9097">
          <cell r="G9097" t="str">
            <v>011CAYENNE</v>
          </cell>
          <cell r="H9097">
            <v>1140</v>
          </cell>
        </row>
        <row r="9098">
          <cell r="G9098" t="str">
            <v>011LUMIA</v>
          </cell>
          <cell r="H9098">
            <v>2930</v>
          </cell>
        </row>
        <row r="9099">
          <cell r="G9099" t="str">
            <v>011STARDUST</v>
          </cell>
          <cell r="H9099">
            <v>2825</v>
          </cell>
        </row>
        <row r="9100">
          <cell r="G9100" t="str">
            <v>012DEEP PURPLE</v>
          </cell>
          <cell r="H9100">
            <v>17400</v>
          </cell>
        </row>
        <row r="9101">
          <cell r="G9101" t="str">
            <v>012LIGHT HOUSE</v>
          </cell>
          <cell r="H9101">
            <v>1740</v>
          </cell>
        </row>
        <row r="9102">
          <cell r="G9102" t="str">
            <v>013COUNTRY BLUES</v>
          </cell>
          <cell r="H9102">
            <v>1375</v>
          </cell>
        </row>
        <row r="9103">
          <cell r="G9103" t="str">
            <v>013LORRAINE</v>
          </cell>
          <cell r="H9103">
            <v>4300</v>
          </cell>
        </row>
        <row r="9104">
          <cell r="G9104" t="str">
            <v>013LUMIA</v>
          </cell>
          <cell r="H9104">
            <v>1000</v>
          </cell>
        </row>
        <row r="9105">
          <cell r="G9105" t="str">
            <v>013VENDELA</v>
          </cell>
          <cell r="H9105">
            <v>11280</v>
          </cell>
        </row>
        <row r="9106">
          <cell r="G9106" t="str">
            <v>014STARDUST</v>
          </cell>
          <cell r="H9106">
            <v>5850</v>
          </cell>
        </row>
        <row r="9107">
          <cell r="G9107" t="str">
            <v>015JOCKER</v>
          </cell>
          <cell r="H9107">
            <v>4825</v>
          </cell>
        </row>
        <row r="9108">
          <cell r="G9108" t="str">
            <v>016DREAM IN PEACH</v>
          </cell>
          <cell r="H9108">
            <v>810</v>
          </cell>
        </row>
        <row r="9109">
          <cell r="G9109" t="str">
            <v>016NINA</v>
          </cell>
          <cell r="H9109">
            <v>3275</v>
          </cell>
        </row>
        <row r="9110">
          <cell r="G9110" t="str">
            <v>017FREEDOM</v>
          </cell>
          <cell r="H9110">
            <v>5190</v>
          </cell>
        </row>
        <row r="9111">
          <cell r="G9111" t="str">
            <v>017GOLDFINCH</v>
          </cell>
          <cell r="H9111">
            <v>2600</v>
          </cell>
        </row>
        <row r="9112">
          <cell r="G9112" t="str">
            <v>018BRIGHTON</v>
          </cell>
          <cell r="H9112">
            <v>1725</v>
          </cell>
        </row>
        <row r="9113">
          <cell r="G9113" t="str">
            <v>019BRIGHTON</v>
          </cell>
          <cell r="H9113">
            <v>6250</v>
          </cell>
        </row>
        <row r="9114">
          <cell r="G9114" t="str">
            <v>019TABATHA</v>
          </cell>
          <cell r="H9114">
            <v>2400</v>
          </cell>
        </row>
        <row r="9115">
          <cell r="G9115" t="str">
            <v>020BRIGHTON</v>
          </cell>
          <cell r="H9115">
            <v>4200</v>
          </cell>
        </row>
        <row r="9116">
          <cell r="G9116" t="str">
            <v>020TYCOON</v>
          </cell>
          <cell r="H9116">
            <v>720</v>
          </cell>
        </row>
        <row r="9117">
          <cell r="G9117" t="str">
            <v>021SHOW GIRL</v>
          </cell>
          <cell r="H9117">
            <v>1525</v>
          </cell>
        </row>
        <row r="9118">
          <cell r="G9118" t="str">
            <v>022CORAL REEF</v>
          </cell>
          <cell r="H9118">
            <v>2150</v>
          </cell>
        </row>
        <row r="9119">
          <cell r="G9119" t="str">
            <v>023COTOPAXI</v>
          </cell>
          <cell r="H9119">
            <v>7140</v>
          </cell>
        </row>
        <row r="9120">
          <cell r="G9120" t="str">
            <v>023FRUTTETO</v>
          </cell>
          <cell r="H9120">
            <v>4620</v>
          </cell>
        </row>
        <row r="9121">
          <cell r="G9121" t="str">
            <v>024COTOPAXI</v>
          </cell>
          <cell r="H9121">
            <v>3180</v>
          </cell>
        </row>
        <row r="9122">
          <cell r="G9122" t="str">
            <v>024SWEETNESS</v>
          </cell>
          <cell r="H9122">
            <v>1680</v>
          </cell>
        </row>
        <row r="9123">
          <cell r="G9123" t="str">
            <v>024TYCOON</v>
          </cell>
          <cell r="H9123">
            <v>2370</v>
          </cell>
        </row>
        <row r="9124">
          <cell r="G9124" t="str">
            <v>025PINK MONDIAL</v>
          </cell>
          <cell r="H9124">
            <v>4625</v>
          </cell>
        </row>
        <row r="9125">
          <cell r="G9125" t="str">
            <v>026LOLA</v>
          </cell>
          <cell r="H9125">
            <v>2775</v>
          </cell>
        </row>
        <row r="9126">
          <cell r="G9126" t="str">
            <v>026PALOMA</v>
          </cell>
          <cell r="H9126">
            <v>4775</v>
          </cell>
        </row>
        <row r="9127">
          <cell r="G9127" t="str">
            <v>027SATISFACTION</v>
          </cell>
          <cell r="H9127">
            <v>4680</v>
          </cell>
        </row>
        <row r="9128">
          <cell r="G9128" t="str">
            <v>027TIFFANY</v>
          </cell>
          <cell r="H9128">
            <v>4350</v>
          </cell>
        </row>
        <row r="9129">
          <cell r="G9129" t="str">
            <v>028COTOPAXI</v>
          </cell>
          <cell r="H9129">
            <v>4650</v>
          </cell>
        </row>
        <row r="9130">
          <cell r="G9130" t="str">
            <v>028DEEP PURPLE</v>
          </cell>
          <cell r="H9130">
            <v>8490</v>
          </cell>
        </row>
        <row r="9131">
          <cell r="G9131" t="str">
            <v>029PINK FLOYD</v>
          </cell>
          <cell r="H9131">
            <v>4775</v>
          </cell>
        </row>
        <row r="9132">
          <cell r="G9132" t="str">
            <v>030EXPLORER</v>
          </cell>
          <cell r="H9132">
            <v>1675</v>
          </cell>
        </row>
        <row r="9133">
          <cell r="G9133" t="str">
            <v>008LUMIA</v>
          </cell>
          <cell r="H9133">
            <v>3570</v>
          </cell>
        </row>
        <row r="9134">
          <cell r="G9134" t="str">
            <v>008LUMIA</v>
          </cell>
          <cell r="H9134">
            <v>420</v>
          </cell>
        </row>
        <row r="9135">
          <cell r="G9135" t="str">
            <v>008LUMIA</v>
          </cell>
          <cell r="H9135">
            <v>7710</v>
          </cell>
        </row>
        <row r="9136">
          <cell r="G9136" t="str">
            <v>008LUMIA</v>
          </cell>
          <cell r="H9136">
            <v>3810</v>
          </cell>
        </row>
        <row r="9137">
          <cell r="G9137" t="str">
            <v>008LUMIA</v>
          </cell>
          <cell r="H9137">
            <v>3240</v>
          </cell>
        </row>
        <row r="9138">
          <cell r="G9138" t="str">
            <v>008LUMIA</v>
          </cell>
          <cell r="H9138">
            <v>2850</v>
          </cell>
        </row>
        <row r="9139">
          <cell r="G9139" t="str">
            <v>008LUMIA</v>
          </cell>
          <cell r="H9139">
            <v>4440</v>
          </cell>
        </row>
        <row r="9140">
          <cell r="G9140" t="str">
            <v>008LUMIA</v>
          </cell>
          <cell r="H9140">
            <v>2100</v>
          </cell>
        </row>
        <row r="9141">
          <cell r="G9141" t="str">
            <v>008LUMIA</v>
          </cell>
          <cell r="H9141">
            <v>2190</v>
          </cell>
        </row>
        <row r="9142">
          <cell r="G9142" t="str">
            <v>008LUMIA</v>
          </cell>
          <cell r="H9142">
            <v>1620</v>
          </cell>
        </row>
        <row r="9143">
          <cell r="G9143" t="str">
            <v>008LUMIA</v>
          </cell>
          <cell r="H9143">
            <v>3570</v>
          </cell>
        </row>
        <row r="9144">
          <cell r="G9144" t="str">
            <v>008LUMIA</v>
          </cell>
          <cell r="H9144">
            <v>1860</v>
          </cell>
        </row>
        <row r="9145">
          <cell r="G9145" t="str">
            <v>021PISTACHIO KISS</v>
          </cell>
          <cell r="H9145">
            <v>200</v>
          </cell>
        </row>
        <row r="9146">
          <cell r="G9146" t="str">
            <v>021PISTACHIO KISS</v>
          </cell>
          <cell r="H9146">
            <v>125</v>
          </cell>
        </row>
        <row r="9147">
          <cell r="G9147" t="str">
            <v>021PISTACHIO KISS</v>
          </cell>
          <cell r="H9147">
            <v>25</v>
          </cell>
        </row>
        <row r="9148">
          <cell r="G9148" t="str">
            <v>021PISTACHIO KISS</v>
          </cell>
          <cell r="H9148">
            <v>25</v>
          </cell>
        </row>
        <row r="9149">
          <cell r="G9149" t="str">
            <v>021PISTACHIO KISS</v>
          </cell>
          <cell r="H9149">
            <v>75</v>
          </cell>
        </row>
        <row r="9150">
          <cell r="G9150" t="str">
            <v>021PISTACHIO KISS</v>
          </cell>
          <cell r="H9150">
            <v>75</v>
          </cell>
        </row>
        <row r="9151">
          <cell r="G9151" t="str">
            <v>021PISTACHIO KISS</v>
          </cell>
          <cell r="H9151">
            <v>50</v>
          </cell>
        </row>
        <row r="9152">
          <cell r="G9152" t="str">
            <v>021PISTACHIO KISS</v>
          </cell>
          <cell r="H9152">
            <v>75</v>
          </cell>
        </row>
        <row r="9153">
          <cell r="G9153" t="str">
            <v>021PISTACHIO KISS</v>
          </cell>
          <cell r="H9153">
            <v>150</v>
          </cell>
        </row>
        <row r="9154">
          <cell r="G9154" t="str">
            <v>021PISTACHIO KISS</v>
          </cell>
          <cell r="H9154">
            <v>75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M110"/>
  <sheetViews>
    <sheetView tabSelected="1" workbookViewId="0">
      <pane xSplit="1" ySplit="1" topLeftCell="I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3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22</v>
      </c>
      <c r="I1" s="1" t="s">
        <v>23</v>
      </c>
      <c r="J1" s="1" t="s">
        <v>6</v>
      </c>
      <c r="K1" s="3" t="s">
        <v>21</v>
      </c>
      <c r="L1" s="2" t="s">
        <v>112</v>
      </c>
      <c r="M1" s="2" t="s">
        <v>113</v>
      </c>
    </row>
    <row r="2" spans="1:13">
      <c r="A2" s="2">
        <v>2026</v>
      </c>
      <c r="B2" s="2">
        <v>32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+E2&amp;F2</f>
        <v>002SOMERSET</v>
      </c>
      <c r="H2" s="2">
        <v>7920</v>
      </c>
      <c r="I2" s="2">
        <v>4121.4642855494149</v>
      </c>
      <c r="J2" s="2">
        <v>31200</v>
      </c>
      <c r="K2" s="5">
        <f>+H2/I2</f>
        <v>1.9216471261849644</v>
      </c>
      <c r="L2" s="2">
        <f>VLOOKUP(G2,[1]Hoja1!$G$9024:$H$9154,2,FALSE)</f>
        <v>8860</v>
      </c>
      <c r="M2" s="6">
        <f>+(H2-L2)/H2</f>
        <v>-0.11868686868686869</v>
      </c>
    </row>
    <row r="3" spans="1:13">
      <c r="A3" s="2">
        <v>2026</v>
      </c>
      <c r="B3" s="2">
        <v>32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0">+E3&amp;F3</f>
        <v>004BELLINA</v>
      </c>
      <c r="H3" s="2">
        <v>1755</v>
      </c>
      <c r="I3" s="2">
        <v>1056.785714243442</v>
      </c>
      <c r="J3" s="2">
        <v>8000</v>
      </c>
      <c r="K3" s="5">
        <f t="shared" ref="K3:K20" si="1">+H3/I3</f>
        <v>1.6606961812087069</v>
      </c>
      <c r="L3" s="2">
        <f>VLOOKUP(G3,[1]Hoja1!$G$9024:$H$9154,2,FALSE)</f>
        <v>1470</v>
      </c>
      <c r="M3" s="6">
        <f t="shared" ref="M3:M66" si="2">+(H3-L3)/H3</f>
        <v>0.1623931623931624</v>
      </c>
    </row>
    <row r="4" spans="1:13">
      <c r="A4" s="2">
        <v>2026</v>
      </c>
      <c r="B4" s="2">
        <v>32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0"/>
        <v>005ELBA</v>
      </c>
      <c r="H4" s="2">
        <v>6300</v>
      </c>
      <c r="I4" s="2">
        <v>2641.9642856076453</v>
      </c>
      <c r="J4" s="2">
        <v>19996</v>
      </c>
      <c r="K4" s="5">
        <f t="shared" si="1"/>
        <v>2.3845893884031124</v>
      </c>
      <c r="L4" s="2">
        <f>VLOOKUP(G4,[1]Hoja1!$G$9024:$H$9154,2,FALSE)</f>
        <v>7200</v>
      </c>
      <c r="M4" s="6">
        <f t="shared" si="2"/>
        <v>-0.14285714285714285</v>
      </c>
    </row>
    <row r="5" spans="1:13">
      <c r="A5" s="2">
        <v>2026</v>
      </c>
      <c r="B5" s="2">
        <v>32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0"/>
        <v>005HOT BUBBLES</v>
      </c>
      <c r="H5" s="2">
        <v>1060</v>
      </c>
      <c r="I5" s="2">
        <v>528.39285712153003</v>
      </c>
      <c r="J5" s="2">
        <v>4000</v>
      </c>
      <c r="K5" s="5">
        <f t="shared" si="1"/>
        <v>2.0060831362756302</v>
      </c>
      <c r="L5" s="2">
        <f>VLOOKUP(G5,[1]Hoja1!$G$9024:$H$9154,2,FALSE)</f>
        <v>1160</v>
      </c>
      <c r="M5" s="6">
        <f t="shared" si="2"/>
        <v>-9.4339622641509441E-2</v>
      </c>
    </row>
    <row r="6" spans="1:13">
      <c r="A6" s="2">
        <v>2026</v>
      </c>
      <c r="B6" s="2">
        <v>32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0"/>
        <v>005SUSPIRO</v>
      </c>
      <c r="H6" s="2">
        <v>4740</v>
      </c>
      <c r="I6" s="2">
        <v>1902.2142856375083</v>
      </c>
      <c r="J6" s="2">
        <v>14400</v>
      </c>
      <c r="K6" s="5">
        <f t="shared" si="1"/>
        <v>2.4918328265058927</v>
      </c>
      <c r="L6" s="2">
        <f>VLOOKUP(G6,[1]Hoja1!$G$9024:$H$9154,2,FALSE)</f>
        <v>2490</v>
      </c>
      <c r="M6" s="6">
        <f t="shared" si="2"/>
        <v>0.47468354430379744</v>
      </c>
    </row>
    <row r="7" spans="1:13">
      <c r="A7" s="2">
        <v>2026</v>
      </c>
      <c r="B7" s="2">
        <v>32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0"/>
        <v>007SNOW BUBBLES</v>
      </c>
      <c r="H7" s="2">
        <v>880</v>
      </c>
      <c r="I7" s="2">
        <v>634.05652706821184</v>
      </c>
      <c r="J7" s="2">
        <v>4800</v>
      </c>
      <c r="K7" s="5">
        <f t="shared" si="1"/>
        <v>1.3878888749383216</v>
      </c>
      <c r="L7" s="2">
        <f>VLOOKUP(G7,[1]Hoja1!$G$9024:$H$9154,2,FALSE)</f>
        <v>1100</v>
      </c>
      <c r="M7" s="6">
        <f t="shared" si="2"/>
        <v>-0.25</v>
      </c>
    </row>
    <row r="8" spans="1:13">
      <c r="A8" s="2">
        <v>2026</v>
      </c>
      <c r="B8" s="2">
        <v>32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0"/>
        <v>009HOT BUBBLES</v>
      </c>
      <c r="H8" s="2">
        <v>7560</v>
      </c>
      <c r="I8" s="2">
        <v>4487.9999999102447</v>
      </c>
      <c r="J8" s="2">
        <v>31740</v>
      </c>
      <c r="K8" s="5">
        <f t="shared" si="1"/>
        <v>1.6844919786433137</v>
      </c>
      <c r="L8" s="2">
        <f>VLOOKUP(G8,[1]Hoja1!$G$9024:$H$9154,2,FALSE)</f>
        <v>9660</v>
      </c>
      <c r="M8" s="6">
        <f t="shared" si="2"/>
        <v>-0.27777777777777779</v>
      </c>
    </row>
    <row r="9" spans="1:13">
      <c r="A9" s="2">
        <v>2026</v>
      </c>
      <c r="B9" s="2">
        <v>32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0"/>
        <v>014FRUITY BUBBLES</v>
      </c>
      <c r="H9" s="2">
        <v>3000</v>
      </c>
      <c r="I9" s="2">
        <v>1702.7999999999988</v>
      </c>
      <c r="J9" s="2">
        <v>12900</v>
      </c>
      <c r="K9" s="5">
        <f t="shared" si="1"/>
        <v>1.7618040873854839</v>
      </c>
      <c r="L9" s="2">
        <f>VLOOKUP(G9,[1]Hoja1!$G$9024:$H$9154,2,FALSE)</f>
        <v>3625</v>
      </c>
      <c r="M9" s="6">
        <f t="shared" si="2"/>
        <v>-0.20833333333333334</v>
      </c>
    </row>
    <row r="10" spans="1:13">
      <c r="A10" s="2">
        <v>2026</v>
      </c>
      <c r="B10" s="2">
        <v>32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0"/>
        <v>015FELLINI</v>
      </c>
      <c r="H10" s="2">
        <v>6280</v>
      </c>
      <c r="I10" s="2">
        <v>3009.5999999999958</v>
      </c>
      <c r="J10" s="2">
        <v>22800</v>
      </c>
      <c r="K10" s="5">
        <f t="shared" si="1"/>
        <v>2.086656034024458</v>
      </c>
      <c r="L10" s="2">
        <f>VLOOKUP(G10,[1]Hoja1!$G$9024:$H$9154,2,FALSE)</f>
        <v>6700</v>
      </c>
      <c r="M10" s="6">
        <f t="shared" si="2"/>
        <v>-6.6878980891719744E-2</v>
      </c>
    </row>
    <row r="11" spans="1:13">
      <c r="A11" s="2">
        <v>2026</v>
      </c>
      <c r="B11" s="2">
        <v>32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0"/>
        <v>016GOOD PEACH</v>
      </c>
      <c r="H11" s="2">
        <v>3540</v>
      </c>
      <c r="I11" s="2">
        <v>1385.9999999999995</v>
      </c>
      <c r="J11" s="2">
        <v>10500</v>
      </c>
      <c r="K11" s="5">
        <f t="shared" si="1"/>
        <v>2.5541125541125549</v>
      </c>
      <c r="L11" s="2">
        <f>VLOOKUP(G11,[1]Hoja1!$G$9024:$H$9154,2,FALSE)</f>
        <v>2670</v>
      </c>
      <c r="M11" s="6">
        <f t="shared" si="2"/>
        <v>0.24576271186440679</v>
      </c>
    </row>
    <row r="12" spans="1:13">
      <c r="A12" s="2">
        <v>2026</v>
      </c>
      <c r="B12" s="2">
        <v>32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0"/>
        <v>016GOOD YELLOW</v>
      </c>
      <c r="H12" s="2">
        <v>4260</v>
      </c>
      <c r="I12" s="2">
        <v>1385.9999999999995</v>
      </c>
      <c r="J12" s="2">
        <v>10500</v>
      </c>
      <c r="K12" s="5">
        <f t="shared" si="1"/>
        <v>3.0735930735930745</v>
      </c>
      <c r="L12" s="2">
        <f>VLOOKUP(G12,[1]Hoja1!$G$9024:$H$9154,2,FALSE)</f>
        <v>2910</v>
      </c>
      <c r="M12" s="6">
        <f t="shared" si="2"/>
        <v>0.31690140845070425</v>
      </c>
    </row>
    <row r="13" spans="1:13">
      <c r="A13" s="2">
        <v>2026</v>
      </c>
      <c r="B13" s="2">
        <v>32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0"/>
        <v>017ORANGE STAR</v>
      </c>
      <c r="H13" s="2">
        <v>1175</v>
      </c>
      <c r="I13" s="2">
        <v>1029.6000000000004</v>
      </c>
      <c r="J13" s="2">
        <v>7900</v>
      </c>
      <c r="K13" s="5">
        <f t="shared" si="1"/>
        <v>1.1412198912198908</v>
      </c>
      <c r="L13" s="2">
        <f>VLOOKUP(G13,[1]Hoja1!$G$9024:$H$9154,2,FALSE)</f>
        <v>1875</v>
      </c>
      <c r="M13" s="6">
        <f t="shared" si="2"/>
        <v>-0.5957446808510638</v>
      </c>
    </row>
    <row r="14" spans="1:13">
      <c r="A14" s="2">
        <v>2026</v>
      </c>
      <c r="B14" s="2">
        <v>32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0"/>
        <v>018COSMO</v>
      </c>
      <c r="H14" s="2">
        <v>3775</v>
      </c>
      <c r="I14" s="2">
        <v>2653.1999999999966</v>
      </c>
      <c r="J14" s="2">
        <v>20100</v>
      </c>
      <c r="K14" s="5">
        <f t="shared" si="1"/>
        <v>1.4228101914669098</v>
      </c>
      <c r="L14" s="2">
        <f>VLOOKUP(G14,[1]Hoja1!$G$9024:$H$9154,2,FALSE)</f>
        <v>5825</v>
      </c>
      <c r="M14" s="6">
        <f t="shared" si="2"/>
        <v>-0.54304635761589404</v>
      </c>
    </row>
    <row r="15" spans="1:13">
      <c r="A15" s="2">
        <v>2026</v>
      </c>
      <c r="B15" s="2">
        <v>32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0"/>
        <v>018RUBICON</v>
      </c>
      <c r="H15" s="2">
        <v>3630</v>
      </c>
      <c r="I15" s="2">
        <v>1768.7999999999988</v>
      </c>
      <c r="J15" s="2">
        <v>13400</v>
      </c>
      <c r="K15" s="5">
        <f t="shared" si="1"/>
        <v>2.0522388059701506</v>
      </c>
      <c r="L15" s="2">
        <f>VLOOKUP(G15,[1]Hoja1!$G$9024:$H$9154,2,FALSE)</f>
        <v>4980</v>
      </c>
      <c r="M15" s="6">
        <f t="shared" si="2"/>
        <v>-0.37190082644628097</v>
      </c>
    </row>
    <row r="16" spans="1:13">
      <c r="A16" s="2">
        <v>2026</v>
      </c>
      <c r="B16" s="2">
        <v>32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0"/>
        <v>019BELLINA</v>
      </c>
      <c r="H16" s="2">
        <v>2340</v>
      </c>
      <c r="I16" s="2">
        <v>1029.6000000000004</v>
      </c>
      <c r="J16" s="2">
        <v>7800</v>
      </c>
      <c r="K16" s="5">
        <f t="shared" si="1"/>
        <v>2.272727272727272</v>
      </c>
      <c r="L16" s="2">
        <f>VLOOKUP(G16,[1]Hoja1!$G$9024:$H$9154,2,FALSE)</f>
        <v>2010</v>
      </c>
      <c r="M16" s="6">
        <f t="shared" si="2"/>
        <v>0.14102564102564102</v>
      </c>
    </row>
    <row r="17" spans="1:13">
      <c r="A17" s="2">
        <v>2026</v>
      </c>
      <c r="B17" s="2">
        <v>32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0"/>
        <v>020SUMMER DANCE</v>
      </c>
      <c r="H17" s="2">
        <v>3125</v>
      </c>
      <c r="I17" s="2">
        <v>1346.3999999999999</v>
      </c>
      <c r="J17" s="2">
        <v>10200</v>
      </c>
      <c r="K17" s="5">
        <f t="shared" si="1"/>
        <v>2.3210041592394535</v>
      </c>
      <c r="L17" s="2">
        <f>VLOOKUP(G17,[1]Hoja1!$G$9024:$H$9154,2,FALSE)</f>
        <v>4350</v>
      </c>
      <c r="M17" s="6">
        <f t="shared" si="2"/>
        <v>-0.39200000000000002</v>
      </c>
    </row>
    <row r="18" spans="1:13">
      <c r="A18" s="2">
        <v>2026</v>
      </c>
      <c r="B18" s="2">
        <v>32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0"/>
        <v>021ELEGANT ROSEVER</v>
      </c>
      <c r="H18" s="2">
        <v>690</v>
      </c>
      <c r="I18" s="2">
        <v>440.18999062500001</v>
      </c>
      <c r="J18" s="2">
        <v>3200</v>
      </c>
      <c r="K18" s="5">
        <f t="shared" si="1"/>
        <v>1.5675049744323113</v>
      </c>
      <c r="L18" s="2">
        <f>VLOOKUP(G18,[1]Hoja1!$G$9024:$H$9154,2,FALSE)</f>
        <v>510</v>
      </c>
      <c r="M18" s="6">
        <f t="shared" si="2"/>
        <v>0.2608695652173913</v>
      </c>
    </row>
    <row r="19" spans="1:13">
      <c r="A19" s="2">
        <v>2026</v>
      </c>
      <c r="B19" s="2">
        <v>32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0"/>
        <v>021FLAME CLUB</v>
      </c>
      <c r="H19" s="2">
        <v>1650</v>
      </c>
      <c r="I19" s="2">
        <v>880.37999999999977</v>
      </c>
      <c r="J19" s="2">
        <v>6400</v>
      </c>
      <c r="K19" s="5">
        <f t="shared" si="1"/>
        <v>1.8741906903836985</v>
      </c>
      <c r="L19" s="2">
        <f>VLOOKUP(G19,[1]Hoja1!$G$9024:$H$9154,2,FALSE)</f>
        <v>2075</v>
      </c>
      <c r="M19" s="6">
        <f t="shared" si="2"/>
        <v>-0.25757575757575757</v>
      </c>
    </row>
    <row r="20" spans="1:13">
      <c r="A20" s="2">
        <v>2026</v>
      </c>
      <c r="B20" s="2">
        <v>32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0"/>
        <v>021KELLY</v>
      </c>
      <c r="H20" s="2">
        <v>525</v>
      </c>
      <c r="I20" s="2">
        <v>330.14249999999998</v>
      </c>
      <c r="J20" s="2">
        <v>2400</v>
      </c>
      <c r="K20" s="5">
        <f t="shared" si="1"/>
        <v>1.5902224039619257</v>
      </c>
      <c r="L20" s="2">
        <f>VLOOKUP(G20,[1]Hoja1!$G$9024:$H$9154,2,FALSE)</f>
        <v>650</v>
      </c>
      <c r="M20" s="6">
        <f t="shared" si="2"/>
        <v>-0.23809523809523808</v>
      </c>
    </row>
    <row r="21" spans="1:13">
      <c r="A21" s="2">
        <v>2026</v>
      </c>
      <c r="B21" s="2">
        <v>32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0"/>
        <v>021LEILA</v>
      </c>
      <c r="H21" s="2">
        <v>1475</v>
      </c>
      <c r="I21" s="2">
        <v>770.33249999999975</v>
      </c>
      <c r="J21" s="2">
        <v>5600</v>
      </c>
      <c r="K21" s="5">
        <f t="shared" ref="K21:K84" si="3">+H21/I21</f>
        <v>1.9147575884439518</v>
      </c>
      <c r="L21" s="2">
        <f>VLOOKUP(G21,[1]Hoja1!$G$9024:$H$9154,2,FALSE)</f>
        <v>2200</v>
      </c>
      <c r="M21" s="6">
        <f t="shared" si="2"/>
        <v>-0.49152542372881358</v>
      </c>
    </row>
    <row r="22" spans="1:13">
      <c r="A22" s="2">
        <v>2026</v>
      </c>
      <c r="B22" s="2">
        <v>32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0"/>
        <v>021PISTACHIO KISS</v>
      </c>
      <c r="H22" s="2">
        <v>625</v>
      </c>
      <c r="I22" s="2">
        <v>880.37999999999965</v>
      </c>
      <c r="J22" s="2">
        <v>6400</v>
      </c>
      <c r="K22" s="5">
        <f t="shared" si="3"/>
        <v>0.7099207160544313</v>
      </c>
      <c r="L22" s="2">
        <f>VLOOKUP(G22,[1]Hoja1!$G$9024:$H$9154,2,FALSE)</f>
        <v>200</v>
      </c>
      <c r="M22" s="6">
        <f t="shared" si="2"/>
        <v>0.68</v>
      </c>
    </row>
    <row r="23" spans="1:13">
      <c r="A23" s="2">
        <v>2026</v>
      </c>
      <c r="B23" s="2">
        <v>32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0"/>
        <v>021SNOW BUBBLES</v>
      </c>
      <c r="H23" s="2">
        <v>3520</v>
      </c>
      <c r="I23" s="2">
        <v>1287.0000000000018</v>
      </c>
      <c r="J23" s="2">
        <v>9400</v>
      </c>
      <c r="K23" s="5">
        <f t="shared" si="3"/>
        <v>2.7350427350427311</v>
      </c>
      <c r="L23" s="2">
        <f>VLOOKUP(G23,[1]Hoja1!$G$9024:$H$9154,2,FALSE)</f>
        <v>3880</v>
      </c>
      <c r="M23" s="6">
        <f t="shared" si="2"/>
        <v>-0.10227272727272728</v>
      </c>
    </row>
    <row r="24" spans="1:13">
      <c r="A24" s="2">
        <v>2026</v>
      </c>
      <c r="B24" s="2">
        <v>32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0"/>
        <v>022FRUITY BUBBLES</v>
      </c>
      <c r="H24" s="2">
        <v>4700</v>
      </c>
      <c r="I24" s="2">
        <v>2641.139999999999</v>
      </c>
      <c r="J24" s="2">
        <v>19200</v>
      </c>
      <c r="K24" s="5">
        <f t="shared" si="3"/>
        <v>1.7795345949097745</v>
      </c>
      <c r="L24" s="2">
        <f>VLOOKUP(G24,[1]Hoja1!$G$9024:$H$9154,2,FALSE)</f>
        <v>5725</v>
      </c>
      <c r="M24" s="6">
        <f t="shared" si="2"/>
        <v>-0.21808510638297873</v>
      </c>
    </row>
    <row r="25" spans="1:13">
      <c r="A25" s="2">
        <v>2026</v>
      </c>
      <c r="B25" s="2">
        <v>32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0"/>
        <v>022GOOD PEACH</v>
      </c>
      <c r="H25" s="2">
        <v>2790</v>
      </c>
      <c r="I25" s="2">
        <v>880.37999999999965</v>
      </c>
      <c r="J25" s="2">
        <v>6400</v>
      </c>
      <c r="K25" s="5">
        <f t="shared" si="3"/>
        <v>3.1690860764669813</v>
      </c>
      <c r="L25" s="2">
        <f>VLOOKUP(G25,[1]Hoja1!$G$9024:$H$9154,2,FALSE)</f>
        <v>2130</v>
      </c>
      <c r="M25" s="6">
        <f t="shared" si="2"/>
        <v>0.23655913978494625</v>
      </c>
    </row>
    <row r="26" spans="1:13">
      <c r="A26" s="2">
        <v>2026</v>
      </c>
      <c r="B26" s="2">
        <v>32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0"/>
        <v>022MIRABEL</v>
      </c>
      <c r="H26" s="2">
        <v>2280</v>
      </c>
      <c r="I26" s="2">
        <v>880.37999999999965</v>
      </c>
      <c r="J26" s="2">
        <v>6400</v>
      </c>
      <c r="K26" s="5">
        <f t="shared" si="3"/>
        <v>2.5897907721665656</v>
      </c>
      <c r="L26" s="2">
        <f>VLOOKUP(G26,[1]Hoja1!$G$9024:$H$9154,2,FALSE)</f>
        <v>1760</v>
      </c>
      <c r="M26" s="6">
        <f t="shared" si="2"/>
        <v>0.22807017543859648</v>
      </c>
    </row>
    <row r="27" spans="1:13">
      <c r="A27" s="2">
        <v>2026</v>
      </c>
      <c r="B27" s="2">
        <v>32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0"/>
        <v>030MIRABEL</v>
      </c>
      <c r="H27" s="2">
        <v>5660</v>
      </c>
      <c r="I27" s="2">
        <v>2413.6749943750001</v>
      </c>
      <c r="J27" s="2">
        <v>17600</v>
      </c>
      <c r="K27" s="5">
        <f t="shared" si="3"/>
        <v>2.3449718844461107</v>
      </c>
      <c r="L27" s="2">
        <f>VLOOKUP(G27,[1]Hoja1!$G$9024:$H$9154,2,FALSE)</f>
        <v>3920</v>
      </c>
      <c r="M27" s="6">
        <f t="shared" si="2"/>
        <v>0.30742049469964666</v>
      </c>
    </row>
    <row r="28" spans="1:13">
      <c r="A28" s="2">
        <v>2026</v>
      </c>
      <c r="B28" s="2">
        <v>32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0"/>
        <v>030SOMERSET</v>
      </c>
      <c r="H28" s="2">
        <v>3215</v>
      </c>
      <c r="I28" s="2">
        <v>1645.6875000000009</v>
      </c>
      <c r="J28" s="2">
        <v>12000</v>
      </c>
      <c r="K28" s="5">
        <f t="shared" si="3"/>
        <v>1.9535908245034359</v>
      </c>
      <c r="L28" s="2">
        <f>VLOOKUP(G28,[1]Hoja1!$G$9024:$H$9154,2,FALSE)</f>
        <v>4240</v>
      </c>
      <c r="M28" s="6">
        <f t="shared" si="2"/>
        <v>-0.3188180404354588</v>
      </c>
    </row>
    <row r="29" spans="1:13">
      <c r="A29" s="2">
        <v>2026</v>
      </c>
      <c r="B29" s="2">
        <v>32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0"/>
        <v>03182989</v>
      </c>
      <c r="H29" s="2">
        <v>740</v>
      </c>
      <c r="I29" s="2">
        <v>726.32013058333712</v>
      </c>
      <c r="J29" s="2">
        <v>5712</v>
      </c>
      <c r="K29" s="5">
        <f t="shared" si="3"/>
        <v>1.0188344902483648</v>
      </c>
      <c r="L29" s="2">
        <f>VLOOKUP(G29,[1]Hoja1!$G$9024:$H$9154,2,FALSE)</f>
        <v>1680</v>
      </c>
      <c r="M29" s="6">
        <f t="shared" si="2"/>
        <v>-1.2702702702702702</v>
      </c>
    </row>
    <row r="30" spans="1:13">
      <c r="A30" s="2">
        <v>2026</v>
      </c>
      <c r="B30" s="2">
        <v>32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0"/>
        <v>031RUBICON</v>
      </c>
      <c r="H30" s="2">
        <v>1800</v>
      </c>
      <c r="I30" s="2">
        <v>924.39958333667118</v>
      </c>
      <c r="J30" s="2">
        <v>6720</v>
      </c>
      <c r="K30" s="5">
        <f t="shared" si="3"/>
        <v>1.9472098781165619</v>
      </c>
      <c r="L30" s="2">
        <f>VLOOKUP(G30,[1]Hoja1!$G$9024:$H$9154,2,FALSE)</f>
        <v>2040</v>
      </c>
      <c r="M30" s="6">
        <f t="shared" si="2"/>
        <v>-0.13333333333333333</v>
      </c>
    </row>
    <row r="31" spans="1:13">
      <c r="A31" s="2">
        <v>2026</v>
      </c>
      <c r="B31" s="2">
        <v>32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0"/>
        <v>031SOMERSET</v>
      </c>
      <c r="H31" s="2">
        <v>1520</v>
      </c>
      <c r="I31" s="2">
        <v>1122.4852083333392</v>
      </c>
      <c r="J31" s="2">
        <v>8160</v>
      </c>
      <c r="K31" s="5">
        <f t="shared" si="3"/>
        <v>1.3541381113225437</v>
      </c>
      <c r="L31" s="2">
        <f>VLOOKUP(G31,[1]Hoja1!$G$9024:$H$9154,2,FALSE)</f>
        <v>2640</v>
      </c>
      <c r="M31" s="6">
        <f t="shared" si="2"/>
        <v>-0.73684210526315785</v>
      </c>
    </row>
    <row r="32" spans="1:13">
      <c r="A32" s="2">
        <v>2026</v>
      </c>
      <c r="B32" s="2">
        <v>32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0"/>
        <v>031VELVET BLOSSOMS</v>
      </c>
      <c r="H32" s="2">
        <v>740</v>
      </c>
      <c r="I32" s="2">
        <v>396.17125000000203</v>
      </c>
      <c r="J32" s="2">
        <v>2880</v>
      </c>
      <c r="K32" s="5">
        <f t="shared" si="3"/>
        <v>1.8678791053111405</v>
      </c>
      <c r="L32" s="2">
        <f>VLOOKUP(G32,[1]Hoja1!$G$9024:$H$9154,2,FALSE)</f>
        <v>500</v>
      </c>
      <c r="M32" s="6">
        <f t="shared" si="2"/>
        <v>0.32432432432432434</v>
      </c>
    </row>
    <row r="33" spans="1:13">
      <c r="A33" s="2">
        <v>2026</v>
      </c>
      <c r="B33" s="2">
        <v>32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0"/>
        <v>032ELBA</v>
      </c>
      <c r="H33" s="2">
        <v>2130</v>
      </c>
      <c r="I33" s="2">
        <v>1535.9749999999995</v>
      </c>
      <c r="J33" s="2">
        <v>11200</v>
      </c>
      <c r="K33" s="5">
        <f t="shared" si="3"/>
        <v>1.3867413206595165</v>
      </c>
      <c r="L33" s="2">
        <f>VLOOKUP(G33,[1]Hoja1!$G$9024:$H$9154,2,FALSE)</f>
        <v>2850</v>
      </c>
      <c r="M33" s="6">
        <f t="shared" si="2"/>
        <v>-0.3380281690140845</v>
      </c>
    </row>
    <row r="34" spans="1:13">
      <c r="A34" s="2">
        <v>2026</v>
      </c>
      <c r="B34" s="2">
        <v>32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0"/>
        <v>032MIRABEL</v>
      </c>
      <c r="H34" s="2">
        <v>2040</v>
      </c>
      <c r="I34" s="2">
        <v>1535.9749999999995</v>
      </c>
      <c r="J34" s="2">
        <v>11200</v>
      </c>
      <c r="K34" s="5">
        <f t="shared" si="3"/>
        <v>1.3281466169696776</v>
      </c>
      <c r="L34" s="2">
        <f>VLOOKUP(G34,[1]Hoja1!$G$9024:$H$9154,2,FALSE)</f>
        <v>2140</v>
      </c>
      <c r="M34" s="6">
        <f t="shared" si="2"/>
        <v>-4.9019607843137254E-2</v>
      </c>
    </row>
    <row r="35" spans="1:13">
      <c r="A35" s="2">
        <v>2026</v>
      </c>
      <c r="B35" s="2">
        <v>32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0"/>
        <v>033CREAMY FOLIES</v>
      </c>
      <c r="H35" s="2">
        <v>1350</v>
      </c>
      <c r="I35" s="2">
        <v>594.25687500000311</v>
      </c>
      <c r="J35" s="2">
        <v>4320</v>
      </c>
      <c r="K35" s="5">
        <f t="shared" si="3"/>
        <v>2.2717448578108463</v>
      </c>
      <c r="L35" s="2">
        <f>VLOOKUP(G35,[1]Hoja1!$G$9024:$H$9154,2,FALSE)</f>
        <v>1410</v>
      </c>
      <c r="M35" s="6">
        <f t="shared" si="2"/>
        <v>-4.4444444444444446E-2</v>
      </c>
    </row>
    <row r="36" spans="1:13">
      <c r="A36" s="2">
        <v>2026</v>
      </c>
      <c r="B36" s="2">
        <v>32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0"/>
        <v>033HOT BUBBLES</v>
      </c>
      <c r="H36" s="2">
        <v>5860</v>
      </c>
      <c r="I36" s="2">
        <v>2575.1131250013464</v>
      </c>
      <c r="J36" s="2">
        <v>18720</v>
      </c>
      <c r="K36" s="5">
        <f t="shared" si="3"/>
        <v>2.2756281823529347</v>
      </c>
      <c r="L36" s="2">
        <f>VLOOKUP(G36,[1]Hoja1!$G$9024:$H$9154,2,FALSE)</f>
        <v>2660</v>
      </c>
      <c r="M36" s="6">
        <f t="shared" si="2"/>
        <v>0.5460750853242321</v>
      </c>
    </row>
    <row r="37" spans="1:13">
      <c r="A37" s="2">
        <v>2026</v>
      </c>
      <c r="B37" s="2">
        <v>32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0"/>
        <v>001BELIEVE IN PINK</v>
      </c>
      <c r="H37" s="2">
        <v>1290</v>
      </c>
      <c r="I37" s="2">
        <v>1690.8137930358068</v>
      </c>
      <c r="J37" s="2">
        <v>12800</v>
      </c>
      <c r="K37" s="5">
        <f t="shared" si="3"/>
        <v>0.7629462246601636</v>
      </c>
      <c r="L37" s="2">
        <f>VLOOKUP(G37,[1]Hoja1!$G$9024:$H$9154,2,FALSE)</f>
        <v>1410</v>
      </c>
      <c r="M37" s="6">
        <f t="shared" si="2"/>
        <v>-9.3023255813953487E-2</v>
      </c>
    </row>
    <row r="38" spans="1:13">
      <c r="A38" s="2">
        <v>2026</v>
      </c>
      <c r="B38" s="2">
        <v>32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0"/>
        <v>001EXPLORER</v>
      </c>
      <c r="H38" s="2">
        <v>6400</v>
      </c>
      <c r="I38" s="2">
        <v>2272.0310343918727</v>
      </c>
      <c r="J38" s="2">
        <v>17200</v>
      </c>
      <c r="K38" s="5">
        <f t="shared" si="3"/>
        <v>2.8168629315017308</v>
      </c>
      <c r="L38" s="2">
        <f>VLOOKUP(G38,[1]Hoja1!$G$9024:$H$9154,2,FALSE)</f>
        <v>3400</v>
      </c>
      <c r="M38" s="6">
        <f t="shared" si="2"/>
        <v>0.46875</v>
      </c>
    </row>
    <row r="39" spans="1:13">
      <c r="A39" s="2">
        <v>2026</v>
      </c>
      <c r="B39" s="2">
        <v>32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0"/>
        <v>001GRACE KELLY</v>
      </c>
      <c r="H39" s="2">
        <v>1860</v>
      </c>
      <c r="I39" s="2">
        <v>1162.434482712122</v>
      </c>
      <c r="J39" s="2">
        <v>8800</v>
      </c>
      <c r="K39" s="5">
        <f t="shared" si="3"/>
        <v>1.6000901794141209</v>
      </c>
      <c r="L39" s="2">
        <f>VLOOKUP(G39,[1]Hoja1!$G$9024:$H$9154,2,FALSE)</f>
        <v>1530</v>
      </c>
      <c r="M39" s="6">
        <f t="shared" si="2"/>
        <v>0.17741935483870969</v>
      </c>
    </row>
    <row r="40" spans="1:13">
      <c r="A40" s="2">
        <v>2026</v>
      </c>
      <c r="B40" s="2">
        <v>32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0"/>
        <v>001LIGHT HOUSE</v>
      </c>
      <c r="H40" s="2">
        <v>2070</v>
      </c>
      <c r="I40" s="2">
        <v>1056.7586206473825</v>
      </c>
      <c r="J40" s="2">
        <v>8000</v>
      </c>
      <c r="K40" s="5">
        <f t="shared" si="3"/>
        <v>1.9588200744763209</v>
      </c>
      <c r="L40" s="2">
        <f>VLOOKUP(G40,[1]Hoja1!$G$9024:$H$9154,2,FALSE)</f>
        <v>1590</v>
      </c>
      <c r="M40" s="6">
        <f t="shared" si="2"/>
        <v>0.2318840579710145</v>
      </c>
    </row>
    <row r="41" spans="1:13">
      <c r="A41" s="2">
        <v>2026</v>
      </c>
      <c r="B41" s="2">
        <v>32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0"/>
        <v>001LUMIA</v>
      </c>
      <c r="H41" s="2">
        <v>2160</v>
      </c>
      <c r="I41" s="2">
        <v>1109.5965516797528</v>
      </c>
      <c r="J41" s="2">
        <v>8400</v>
      </c>
      <c r="K41" s="5">
        <f t="shared" si="3"/>
        <v>1.9466534901628014</v>
      </c>
      <c r="L41" s="2">
        <f>VLOOKUP(G41,[1]Hoja1!$G$9024:$H$9154,2,FALSE)</f>
        <v>3310</v>
      </c>
      <c r="M41" s="6">
        <f t="shared" si="2"/>
        <v>-0.53240740740740744</v>
      </c>
    </row>
    <row r="42" spans="1:13">
      <c r="A42" s="2">
        <v>2026</v>
      </c>
      <c r="B42" s="2">
        <v>32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0"/>
        <v>001MOMENTUM</v>
      </c>
      <c r="H42" s="2">
        <v>4300</v>
      </c>
      <c r="I42" s="2">
        <v>1902.1655171652869</v>
      </c>
      <c r="J42" s="2">
        <v>14400</v>
      </c>
      <c r="K42" s="5">
        <f t="shared" si="3"/>
        <v>2.2605814064004797</v>
      </c>
      <c r="L42" s="2">
        <f>VLOOKUP(G42,[1]Hoja1!$G$9024:$H$9154,2,FALSE)</f>
        <v>4200</v>
      </c>
      <c r="M42" s="6">
        <f t="shared" si="2"/>
        <v>2.3255813953488372E-2</v>
      </c>
    </row>
    <row r="43" spans="1:13">
      <c r="A43" s="2">
        <v>2026</v>
      </c>
      <c r="B43" s="2">
        <v>32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0"/>
        <v>002SUMMER ROMANCE</v>
      </c>
      <c r="H43" s="2">
        <v>1925</v>
      </c>
      <c r="I43" s="2">
        <v>951.10714281909407</v>
      </c>
      <c r="J43" s="2">
        <v>7200</v>
      </c>
      <c r="K43" s="5">
        <f t="shared" si="3"/>
        <v>2.023957042625371</v>
      </c>
      <c r="L43" s="2">
        <f>VLOOKUP(G43,[1]Hoja1!$G$9024:$H$9154,2,FALSE)</f>
        <v>1150</v>
      </c>
      <c r="M43" s="6">
        <f t="shared" si="2"/>
        <v>0.40259740259740262</v>
      </c>
    </row>
    <row r="44" spans="1:13">
      <c r="A44" s="2">
        <v>2026</v>
      </c>
      <c r="B44" s="2">
        <v>32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0"/>
        <v>002SWEETNESS</v>
      </c>
      <c r="H44" s="2">
        <v>6030</v>
      </c>
      <c r="I44" s="2">
        <v>3804.4285712763835</v>
      </c>
      <c r="J44" s="2">
        <v>28800</v>
      </c>
      <c r="K44" s="5">
        <f t="shared" si="3"/>
        <v>1.5849949307832421</v>
      </c>
      <c r="L44" s="2">
        <f>VLOOKUP(G44,[1]Hoja1!$G$9024:$H$9154,2,FALSE)</f>
        <v>7080</v>
      </c>
      <c r="M44" s="6">
        <f t="shared" si="2"/>
        <v>-0.17412935323383086</v>
      </c>
    </row>
    <row r="45" spans="1:13">
      <c r="A45" s="2">
        <v>2026</v>
      </c>
      <c r="B45" s="2">
        <v>32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0"/>
        <v>003CABARET</v>
      </c>
      <c r="H45" s="2">
        <v>3660</v>
      </c>
      <c r="I45" s="2">
        <v>2641.8965516184676</v>
      </c>
      <c r="J45" s="2">
        <v>20000</v>
      </c>
      <c r="K45" s="5">
        <f t="shared" si="3"/>
        <v>1.3853684004991891</v>
      </c>
      <c r="L45" s="2">
        <f>VLOOKUP(G45,[1]Hoja1!$G$9024:$H$9154,2,FALSE)</f>
        <v>4920</v>
      </c>
      <c r="M45" s="6">
        <f t="shared" si="2"/>
        <v>-0.34426229508196721</v>
      </c>
    </row>
    <row r="46" spans="1:13">
      <c r="A46" s="2">
        <v>2026</v>
      </c>
      <c r="B46" s="2">
        <v>32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0"/>
        <v>003DEEP PURPLE</v>
      </c>
      <c r="H46" s="2">
        <v>8340</v>
      </c>
      <c r="I46" s="2">
        <v>3592.9793102010885</v>
      </c>
      <c r="J46" s="2">
        <v>26044</v>
      </c>
      <c r="K46" s="5">
        <f t="shared" si="3"/>
        <v>2.3211934386377622</v>
      </c>
      <c r="L46" s="2">
        <f>VLOOKUP(G46,[1]Hoja1!$G$9024:$H$9154,2,FALSE)</f>
        <v>9930</v>
      </c>
      <c r="M46" s="6">
        <f t="shared" si="2"/>
        <v>-0.1906474820143885</v>
      </c>
    </row>
    <row r="47" spans="1:13">
      <c r="A47" s="2">
        <v>2026</v>
      </c>
      <c r="B47" s="2">
        <v>32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0"/>
        <v>003EXPLORER</v>
      </c>
      <c r="H47" s="2">
        <v>2025</v>
      </c>
      <c r="I47" s="2">
        <v>1268.1103447768635</v>
      </c>
      <c r="J47" s="2">
        <v>9600</v>
      </c>
      <c r="K47" s="5">
        <f t="shared" si="3"/>
        <v>1.596864191149169</v>
      </c>
      <c r="L47" s="2">
        <f>VLOOKUP(G47,[1]Hoja1!$G$9024:$H$9154,2,FALSE)</f>
        <v>2050</v>
      </c>
      <c r="M47" s="6">
        <f t="shared" si="2"/>
        <v>-1.2345679012345678E-2</v>
      </c>
    </row>
    <row r="48" spans="1:13">
      <c r="A48" s="2">
        <v>2026</v>
      </c>
      <c r="B48" s="2">
        <v>32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0"/>
        <v>003JOCKER</v>
      </c>
      <c r="H48" s="2">
        <v>850</v>
      </c>
      <c r="I48" s="2">
        <v>528.37931032368999</v>
      </c>
      <c r="J48" s="2">
        <v>4000</v>
      </c>
      <c r="K48" s="5">
        <f t="shared" si="3"/>
        <v>1.6086928147873205</v>
      </c>
      <c r="L48" s="2">
        <f>VLOOKUP(G48,[1]Hoja1!$G$9024:$H$9154,2,FALSE)</f>
        <v>1200</v>
      </c>
      <c r="M48" s="6">
        <f t="shared" si="2"/>
        <v>-0.41176470588235292</v>
      </c>
    </row>
    <row r="49" spans="1:13">
      <c r="A49" s="2">
        <v>2026</v>
      </c>
      <c r="B49" s="2">
        <v>32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0"/>
        <v>003QUICKSAND</v>
      </c>
      <c r="H49" s="2">
        <v>1950</v>
      </c>
      <c r="I49" s="2">
        <v>1162.4344827121247</v>
      </c>
      <c r="J49" s="2">
        <v>8800</v>
      </c>
      <c r="K49" s="5">
        <f t="shared" si="3"/>
        <v>1.6775138977728647</v>
      </c>
      <c r="L49" s="2">
        <f>VLOOKUP(G49,[1]Hoja1!$G$9024:$H$9154,2,FALSE)</f>
        <v>2190</v>
      </c>
      <c r="M49" s="6">
        <f t="shared" si="2"/>
        <v>-0.12307692307692308</v>
      </c>
    </row>
    <row r="50" spans="1:13">
      <c r="A50" s="2">
        <v>2026</v>
      </c>
      <c r="B50" s="2">
        <v>32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0"/>
        <v>004COTOPAXI</v>
      </c>
      <c r="H50" s="2">
        <v>1260</v>
      </c>
      <c r="I50" s="2">
        <v>528.3915024419166</v>
      </c>
      <c r="J50" s="2">
        <v>4000</v>
      </c>
      <c r="K50" s="5">
        <f t="shared" si="3"/>
        <v>2.3845955019659035</v>
      </c>
      <c r="L50" s="2">
        <f>VLOOKUP(G50,[1]Hoja1!$G$9024:$H$9154,2,FALSE)</f>
        <v>1380</v>
      </c>
      <c r="M50" s="6">
        <f t="shared" si="2"/>
        <v>-9.5238095238095233E-2</v>
      </c>
    </row>
    <row r="51" spans="1:13">
      <c r="A51" s="2">
        <v>2026</v>
      </c>
      <c r="B51" s="2">
        <v>32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0"/>
        <v>004DEEP PURPLE</v>
      </c>
      <c r="H51" s="2">
        <v>6930</v>
      </c>
      <c r="I51" s="2">
        <v>3910.1071427007341</v>
      </c>
      <c r="J51" s="2">
        <v>29260</v>
      </c>
      <c r="K51" s="5">
        <f t="shared" si="3"/>
        <v>1.7723299508395076</v>
      </c>
      <c r="L51" s="2">
        <f>VLOOKUP(G51,[1]Hoja1!$G$9024:$H$9154,2,FALSE)</f>
        <v>12570</v>
      </c>
      <c r="M51" s="6">
        <f t="shared" si="2"/>
        <v>-0.81385281385281383</v>
      </c>
    </row>
    <row r="52" spans="1:13">
      <c r="A52" s="2">
        <v>2026</v>
      </c>
      <c r="B52" s="2">
        <v>32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0"/>
        <v>004HOT EXPLORER</v>
      </c>
      <c r="H52" s="2">
        <v>2300</v>
      </c>
      <c r="I52" s="2">
        <v>1902.2142856381952</v>
      </c>
      <c r="J52" s="2">
        <v>14400</v>
      </c>
      <c r="K52" s="5">
        <f t="shared" si="3"/>
        <v>1.2091171942956718</v>
      </c>
      <c r="L52" s="2">
        <f>VLOOKUP(G52,[1]Hoja1!$G$9024:$H$9154,2,FALSE)</f>
        <v>2300</v>
      </c>
      <c r="M52" s="6">
        <f t="shared" si="2"/>
        <v>0</v>
      </c>
    </row>
    <row r="53" spans="1:13">
      <c r="A53" s="2">
        <v>2026</v>
      </c>
      <c r="B53" s="2">
        <v>32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0"/>
        <v>004HOT MERENGUE</v>
      </c>
      <c r="H53" s="2">
        <v>3120</v>
      </c>
      <c r="I53" s="2">
        <v>1162.464285667786</v>
      </c>
      <c r="J53" s="2">
        <v>8800</v>
      </c>
      <c r="K53" s="5">
        <f t="shared" si="3"/>
        <v>2.6839534241756886</v>
      </c>
      <c r="L53" s="2">
        <f>VLOOKUP(G53,[1]Hoja1!$G$9024:$H$9154,2,FALSE)</f>
        <v>2220</v>
      </c>
      <c r="M53" s="6">
        <f t="shared" si="2"/>
        <v>0.28846153846153844</v>
      </c>
    </row>
    <row r="54" spans="1:13">
      <c r="A54" s="2">
        <v>2026</v>
      </c>
      <c r="B54" s="2">
        <v>32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0"/>
        <v>004SWEETNESS</v>
      </c>
      <c r="H54" s="2">
        <v>360</v>
      </c>
      <c r="I54" s="2">
        <v>317.03571427303262</v>
      </c>
      <c r="J54" s="2">
        <v>2400</v>
      </c>
      <c r="K54" s="5">
        <f t="shared" si="3"/>
        <v>1.1355187563820217</v>
      </c>
      <c r="L54" s="2">
        <f>VLOOKUP(G54,[1]Hoja1!$G$9024:$H$9154,2,FALSE)</f>
        <v>840</v>
      </c>
      <c r="M54" s="6">
        <f t="shared" si="2"/>
        <v>-1.3333333333333333</v>
      </c>
    </row>
    <row r="55" spans="1:13">
      <c r="A55" s="2">
        <v>2026</v>
      </c>
      <c r="B55" s="2">
        <v>32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0"/>
        <v>005EXPLORER</v>
      </c>
      <c r="H55" s="2">
        <v>2200</v>
      </c>
      <c r="I55" s="2">
        <v>951.10714281875414</v>
      </c>
      <c r="J55" s="2">
        <v>7200</v>
      </c>
      <c r="K55" s="5">
        <f t="shared" si="3"/>
        <v>2.3130937630012509</v>
      </c>
      <c r="L55" s="2">
        <f>VLOOKUP(G55,[1]Hoja1!$G$9024:$H$9154,2,FALSE)</f>
        <v>1000</v>
      </c>
      <c r="M55" s="6">
        <f t="shared" si="2"/>
        <v>0.54545454545454541</v>
      </c>
    </row>
    <row r="56" spans="1:13">
      <c r="A56" s="2">
        <v>2026</v>
      </c>
      <c r="B56" s="2">
        <v>32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0"/>
        <v>005GOLDFINCH</v>
      </c>
      <c r="H56" s="2">
        <v>600</v>
      </c>
      <c r="I56" s="2">
        <v>898.26785710660113</v>
      </c>
      <c r="J56" s="2">
        <v>6800</v>
      </c>
      <c r="K56" s="5">
        <f t="shared" si="3"/>
        <v>0.66795220963672486</v>
      </c>
      <c r="L56" s="2">
        <f>VLOOKUP(G56,[1]Hoja1!$G$9024:$H$9154,2,FALSE)</f>
        <v>825</v>
      </c>
      <c r="M56" s="6">
        <f t="shared" si="2"/>
        <v>-0.375</v>
      </c>
    </row>
    <row r="57" spans="1:13">
      <c r="A57" s="2">
        <v>2026</v>
      </c>
      <c r="B57" s="2">
        <v>32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0"/>
        <v>005JOCKER</v>
      </c>
      <c r="H57" s="2">
        <v>1975</v>
      </c>
      <c r="I57" s="2">
        <v>1162.4642856673661</v>
      </c>
      <c r="J57" s="2">
        <v>8800</v>
      </c>
      <c r="K57" s="5">
        <f t="shared" si="3"/>
        <v>1.6989769271631088</v>
      </c>
      <c r="L57" s="2">
        <f>VLOOKUP(G57,[1]Hoja1!$G$9024:$H$9154,2,FALSE)</f>
        <v>1950</v>
      </c>
      <c r="M57" s="6">
        <f t="shared" si="2"/>
        <v>1.2658227848101266E-2</v>
      </c>
    </row>
    <row r="58" spans="1:13">
      <c r="A58" s="2">
        <v>2026</v>
      </c>
      <c r="B58" s="2">
        <v>32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0"/>
        <v>005VENDELA</v>
      </c>
      <c r="H58" s="2">
        <v>1890</v>
      </c>
      <c r="I58" s="2">
        <v>686.91071425798907</v>
      </c>
      <c r="J58" s="2">
        <v>5200</v>
      </c>
      <c r="K58" s="5">
        <f t="shared" si="3"/>
        <v>2.751449294311278</v>
      </c>
      <c r="L58" s="2">
        <f>VLOOKUP(G58,[1]Hoja1!$G$9024:$H$9154,2,FALSE)</f>
        <v>2190</v>
      </c>
      <c r="M58" s="6">
        <f t="shared" si="2"/>
        <v>-0.15873015873015872</v>
      </c>
    </row>
    <row r="59" spans="1:13">
      <c r="A59" s="2">
        <v>2026</v>
      </c>
      <c r="B59" s="2">
        <v>32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0"/>
        <v>006ATOMIC</v>
      </c>
      <c r="H59" s="2">
        <v>1225</v>
      </c>
      <c r="I59" s="2">
        <v>845.428571394752</v>
      </c>
      <c r="J59" s="2">
        <v>6400</v>
      </c>
      <c r="K59" s="5">
        <f t="shared" si="3"/>
        <v>1.4489692464249786</v>
      </c>
      <c r="L59" s="2">
        <f>VLOOKUP(G59,[1]Hoja1!$G$9024:$H$9154,2,FALSE)</f>
        <v>925</v>
      </c>
      <c r="M59" s="6">
        <f t="shared" si="2"/>
        <v>0.24489795918367346</v>
      </c>
    </row>
    <row r="60" spans="1:13">
      <c r="A60" s="2">
        <v>2026</v>
      </c>
      <c r="B60" s="2">
        <v>32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0"/>
        <v>006EXPLORER</v>
      </c>
      <c r="H60" s="2">
        <v>9350</v>
      </c>
      <c r="I60" s="2">
        <v>3910.1071427007359</v>
      </c>
      <c r="J60" s="2">
        <v>29600</v>
      </c>
      <c r="K60" s="5">
        <f t="shared" si="3"/>
        <v>2.3912388225612395</v>
      </c>
      <c r="L60" s="2">
        <f>VLOOKUP(G60,[1]Hoja1!$G$9024:$H$9154,2,FALSE)</f>
        <v>5375</v>
      </c>
      <c r="M60" s="6">
        <f t="shared" si="2"/>
        <v>0.42513368983957217</v>
      </c>
    </row>
    <row r="61" spans="1:13">
      <c r="A61" s="2">
        <v>2026</v>
      </c>
      <c r="B61" s="2">
        <v>32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0"/>
        <v>006MONDIAL</v>
      </c>
      <c r="H61" s="2">
        <v>6500</v>
      </c>
      <c r="I61" s="2">
        <v>4015.7857141250802</v>
      </c>
      <c r="J61" s="2">
        <v>30400</v>
      </c>
      <c r="K61" s="5">
        <f t="shared" si="3"/>
        <v>1.6186122623866537</v>
      </c>
      <c r="L61" s="2">
        <f>VLOOKUP(G61,[1]Hoja1!$G$9024:$H$9154,2,FALSE)</f>
        <v>6250</v>
      </c>
      <c r="M61" s="6">
        <f t="shared" si="2"/>
        <v>3.8461538461538464E-2</v>
      </c>
    </row>
    <row r="62" spans="1:13">
      <c r="A62" s="2">
        <v>2026</v>
      </c>
      <c r="B62" s="2">
        <v>32</v>
      </c>
      <c r="C62" s="2" t="s">
        <v>10</v>
      </c>
      <c r="D62" s="2" t="s">
        <v>8</v>
      </c>
      <c r="E62" s="2" t="s">
        <v>32</v>
      </c>
      <c r="F62" s="2" t="s">
        <v>65</v>
      </c>
      <c r="G62" s="2" t="str">
        <f t="shared" si="0"/>
        <v>007BELIEVE IN PINK</v>
      </c>
      <c r="H62" s="2">
        <v>0</v>
      </c>
      <c r="I62" s="2">
        <v>1162.4344827121245</v>
      </c>
      <c r="J62" s="2">
        <v>8800</v>
      </c>
      <c r="K62" s="5">
        <f t="shared" si="3"/>
        <v>0</v>
      </c>
      <c r="L62" s="2" t="e">
        <f>VLOOKUP(G62,[1]Hoja1!$G$9024:$H$9154,2,FALSE)</f>
        <v>#N/A</v>
      </c>
      <c r="M62" s="6" t="e">
        <f t="shared" si="2"/>
        <v>#N/A</v>
      </c>
    </row>
    <row r="63" spans="1:13">
      <c r="A63" s="2">
        <v>2026</v>
      </c>
      <c r="B63" s="2">
        <v>32</v>
      </c>
      <c r="C63" s="2" t="s">
        <v>10</v>
      </c>
      <c r="D63" s="2" t="s">
        <v>8</v>
      </c>
      <c r="E63" s="2" t="s">
        <v>32</v>
      </c>
      <c r="F63" s="2" t="s">
        <v>18</v>
      </c>
      <c r="G63" s="2" t="str">
        <f t="shared" si="0"/>
        <v>007COTOPAXI</v>
      </c>
      <c r="H63" s="2">
        <v>7890</v>
      </c>
      <c r="I63" s="2">
        <v>2747.5751230427736</v>
      </c>
      <c r="J63" s="2">
        <v>20800</v>
      </c>
      <c r="K63" s="5">
        <f t="shared" si="3"/>
        <v>2.8716230300055638</v>
      </c>
      <c r="L63" s="2">
        <f>VLOOKUP(G63,[1]Hoja1!$G$9024:$H$9154,2,FALSE)</f>
        <v>5730</v>
      </c>
      <c r="M63" s="6">
        <f t="shared" si="2"/>
        <v>0.27376425855513309</v>
      </c>
    </row>
    <row r="64" spans="1:13">
      <c r="A64" s="2">
        <v>2026</v>
      </c>
      <c r="B64" s="2">
        <v>32</v>
      </c>
      <c r="C64" s="2" t="s">
        <v>10</v>
      </c>
      <c r="D64" s="2" t="s">
        <v>8</v>
      </c>
      <c r="E64" s="2" t="s">
        <v>32</v>
      </c>
      <c r="F64" s="2" t="s">
        <v>84</v>
      </c>
      <c r="G64" s="2" t="str">
        <f t="shared" si="0"/>
        <v>007REDIANT</v>
      </c>
      <c r="H64" s="2">
        <v>2100</v>
      </c>
      <c r="I64" s="2">
        <v>1056.7586206473795</v>
      </c>
      <c r="J64" s="2">
        <v>9600</v>
      </c>
      <c r="K64" s="5">
        <f t="shared" si="3"/>
        <v>1.9872087712078674</v>
      </c>
      <c r="L64" s="2">
        <f>VLOOKUP(G64,[1]Hoja1!$G$9024:$H$9154,2,FALSE)</f>
        <v>1200</v>
      </c>
      <c r="M64" s="6">
        <f t="shared" si="2"/>
        <v>0.42857142857142855</v>
      </c>
    </row>
    <row r="65" spans="1:13">
      <c r="A65" s="2">
        <v>2026</v>
      </c>
      <c r="B65" s="2">
        <v>32</v>
      </c>
      <c r="C65" s="2" t="s">
        <v>10</v>
      </c>
      <c r="D65" s="2" t="s">
        <v>8</v>
      </c>
      <c r="E65" s="2" t="s">
        <v>32</v>
      </c>
      <c r="F65" s="2" t="s">
        <v>71</v>
      </c>
      <c r="G65" s="2" t="str">
        <f t="shared" si="0"/>
        <v>007SUMMER ROMANCE</v>
      </c>
      <c r="H65" s="2">
        <v>775</v>
      </c>
      <c r="I65" s="2">
        <v>317.02758619421576</v>
      </c>
      <c r="J65" s="2">
        <v>2640</v>
      </c>
      <c r="K65" s="5">
        <f t="shared" si="3"/>
        <v>2.4445822185493462</v>
      </c>
      <c r="L65" s="2">
        <f>VLOOKUP(G65,[1]Hoja1!$G$9024:$H$9154,2,FALSE)</f>
        <v>300</v>
      </c>
      <c r="M65" s="6">
        <f t="shared" si="2"/>
        <v>0.61290322580645162</v>
      </c>
    </row>
    <row r="66" spans="1:13">
      <c r="A66" s="2">
        <v>2026</v>
      </c>
      <c r="B66" s="2">
        <v>32</v>
      </c>
      <c r="C66" s="2" t="s">
        <v>10</v>
      </c>
      <c r="D66" s="2" t="s">
        <v>8</v>
      </c>
      <c r="E66" s="2" t="s">
        <v>32</v>
      </c>
      <c r="F66" s="2" t="s">
        <v>80</v>
      </c>
      <c r="G66" s="2" t="str">
        <f t="shared" si="0"/>
        <v>007VENDELA</v>
      </c>
      <c r="H66" s="2">
        <v>10110</v>
      </c>
      <c r="I66" s="2">
        <v>3592.9793102011167</v>
      </c>
      <c r="J66" s="2">
        <v>27820</v>
      </c>
      <c r="K66" s="5">
        <f t="shared" si="3"/>
        <v>2.8138208230968336</v>
      </c>
      <c r="L66" s="2">
        <f>VLOOKUP(G66,[1]Hoja1!$G$9024:$H$9154,2,FALSE)</f>
        <v>14790</v>
      </c>
      <c r="M66" s="6">
        <f t="shared" si="2"/>
        <v>-0.4629080118694362</v>
      </c>
    </row>
    <row r="67" spans="1:13">
      <c r="A67" s="2">
        <v>2026</v>
      </c>
      <c r="B67" s="2">
        <v>32</v>
      </c>
      <c r="C67" s="2" t="s">
        <v>10</v>
      </c>
      <c r="D67" s="2" t="s">
        <v>8</v>
      </c>
      <c r="E67" s="2" t="s">
        <v>85</v>
      </c>
      <c r="F67" s="2" t="s">
        <v>19</v>
      </c>
      <c r="G67" s="2" t="str">
        <f t="shared" ref="G67:G110" si="4">+E67&amp;F67</f>
        <v>008DEEP PURPLE</v>
      </c>
      <c r="H67" s="2">
        <v>3450</v>
      </c>
      <c r="I67" s="2">
        <v>1585.2222221588088</v>
      </c>
      <c r="J67" s="2">
        <v>11490</v>
      </c>
      <c r="K67" s="5">
        <f t="shared" si="3"/>
        <v>2.1763510199230454</v>
      </c>
      <c r="L67" s="2">
        <f>VLOOKUP(G67,[1]Hoja1!$G$9024:$H$9154,2,FALSE)</f>
        <v>5970</v>
      </c>
      <c r="M67" s="6">
        <f t="shared" ref="M67:M110" si="5">+(H67-L67)/H67</f>
        <v>-0.73043478260869565</v>
      </c>
    </row>
    <row r="68" spans="1:13">
      <c r="A68" s="2">
        <v>2026</v>
      </c>
      <c r="B68" s="2">
        <v>32</v>
      </c>
      <c r="C68" s="2" t="s">
        <v>10</v>
      </c>
      <c r="D68" s="2" t="s">
        <v>8</v>
      </c>
      <c r="E68" s="2" t="s">
        <v>85</v>
      </c>
      <c r="F68" s="2" t="s">
        <v>86</v>
      </c>
      <c r="G68" s="2" t="str">
        <f t="shared" si="4"/>
        <v>008FREEDOM</v>
      </c>
      <c r="H68" s="2">
        <v>3390</v>
      </c>
      <c r="I68" s="2">
        <v>2219.3111110223322</v>
      </c>
      <c r="J68" s="2">
        <v>16800</v>
      </c>
      <c r="K68" s="5">
        <f t="shared" si="3"/>
        <v>1.5275010264056159</v>
      </c>
      <c r="L68" s="2">
        <f>VLOOKUP(G68,[1]Hoja1!$G$9024:$H$9154,2,FALSE)</f>
        <v>3330</v>
      </c>
      <c r="M68" s="6">
        <f t="shared" si="5"/>
        <v>1.7699115044247787E-2</v>
      </c>
    </row>
    <row r="69" spans="1:13">
      <c r="A69" s="2">
        <v>2026</v>
      </c>
      <c r="B69" s="2">
        <v>32</v>
      </c>
      <c r="C69" s="2" t="s">
        <v>10</v>
      </c>
      <c r="D69" s="2" t="s">
        <v>8</v>
      </c>
      <c r="E69" s="2" t="s">
        <v>85</v>
      </c>
      <c r="F69" s="2" t="s">
        <v>75</v>
      </c>
      <c r="G69" s="2" t="str">
        <f t="shared" si="4"/>
        <v>008JOCKER</v>
      </c>
      <c r="H69" s="2">
        <v>4425</v>
      </c>
      <c r="I69" s="2">
        <v>2959.0814813631118</v>
      </c>
      <c r="J69" s="2">
        <v>22400</v>
      </c>
      <c r="K69" s="5">
        <f t="shared" si="3"/>
        <v>1.4953964694347002</v>
      </c>
      <c r="L69" s="2">
        <f>VLOOKUP(G69,[1]Hoja1!$G$9024:$H$9154,2,FALSE)</f>
        <v>4975</v>
      </c>
      <c r="M69" s="6">
        <f t="shared" si="5"/>
        <v>-0.12429378531073447</v>
      </c>
    </row>
    <row r="70" spans="1:13">
      <c r="A70" s="2">
        <v>2026</v>
      </c>
      <c r="B70" s="2">
        <v>32</v>
      </c>
      <c r="C70" s="2" t="s">
        <v>10</v>
      </c>
      <c r="D70" s="2" t="s">
        <v>8</v>
      </c>
      <c r="E70" s="2" t="s">
        <v>85</v>
      </c>
      <c r="F70" s="2" t="s">
        <v>69</v>
      </c>
      <c r="G70" s="2" t="str">
        <f t="shared" si="4"/>
        <v>008LUMIA</v>
      </c>
      <c r="H70" s="2">
        <v>2280</v>
      </c>
      <c r="I70" s="2">
        <v>1796.5851851133164</v>
      </c>
      <c r="J70" s="2">
        <v>13600</v>
      </c>
      <c r="K70" s="5">
        <f t="shared" si="3"/>
        <v>1.2690742520267377</v>
      </c>
      <c r="L70" s="2">
        <f>VLOOKUP(G70,[1]Hoja1!$G$9024:$H$9154,2,FALSE)</f>
        <v>3570</v>
      </c>
      <c r="M70" s="6">
        <f t="shared" si="5"/>
        <v>-0.56578947368421051</v>
      </c>
    </row>
    <row r="71" spans="1:13">
      <c r="A71" s="2">
        <v>2026</v>
      </c>
      <c r="B71" s="2">
        <v>32</v>
      </c>
      <c r="C71" s="2" t="s">
        <v>10</v>
      </c>
      <c r="D71" s="2" t="s">
        <v>8</v>
      </c>
      <c r="E71" s="2" t="s">
        <v>87</v>
      </c>
      <c r="F71" s="2" t="s">
        <v>88</v>
      </c>
      <c r="G71" s="2" t="str">
        <f t="shared" si="4"/>
        <v>010COOLDOWN</v>
      </c>
      <c r="H71" s="2">
        <v>3575</v>
      </c>
      <c r="I71" s="2">
        <v>1912.3542857142854</v>
      </c>
      <c r="J71" s="2">
        <v>16320</v>
      </c>
      <c r="K71" s="5">
        <f t="shared" si="3"/>
        <v>1.8694234780166261</v>
      </c>
      <c r="L71" s="2">
        <f>VLOOKUP(G71,[1]Hoja1!$G$9024:$H$9154,2,FALSE)</f>
        <v>1600</v>
      </c>
      <c r="M71" s="6">
        <f t="shared" si="5"/>
        <v>0.55244755244755239</v>
      </c>
    </row>
    <row r="72" spans="1:13">
      <c r="A72" s="2">
        <v>2026</v>
      </c>
      <c r="B72" s="2">
        <v>32</v>
      </c>
      <c r="C72" s="2" t="s">
        <v>10</v>
      </c>
      <c r="D72" s="2" t="s">
        <v>8</v>
      </c>
      <c r="E72" s="2" t="s">
        <v>87</v>
      </c>
      <c r="F72" s="2" t="s">
        <v>89</v>
      </c>
      <c r="G72" s="2" t="str">
        <f t="shared" si="4"/>
        <v>010VIOLET HILL</v>
      </c>
      <c r="H72" s="2">
        <v>6390</v>
      </c>
      <c r="I72" s="2">
        <v>2812.2857142428566</v>
      </c>
      <c r="J72" s="2">
        <v>20000</v>
      </c>
      <c r="K72" s="5">
        <f t="shared" si="3"/>
        <v>2.2721731179864708</v>
      </c>
      <c r="L72" s="2">
        <f>VLOOKUP(G72,[1]Hoja1!$G$9024:$H$9154,2,FALSE)</f>
        <v>2700</v>
      </c>
      <c r="M72" s="6">
        <f t="shared" si="5"/>
        <v>0.57746478873239437</v>
      </c>
    </row>
    <row r="73" spans="1:13">
      <c r="A73" s="2">
        <v>2026</v>
      </c>
      <c r="B73" s="2">
        <v>32</v>
      </c>
      <c r="C73" s="2" t="s">
        <v>10</v>
      </c>
      <c r="D73" s="2" t="s">
        <v>8</v>
      </c>
      <c r="E73" s="2" t="s">
        <v>90</v>
      </c>
      <c r="F73" s="2" t="s">
        <v>91</v>
      </c>
      <c r="G73" s="2" t="str">
        <f t="shared" si="4"/>
        <v>011BRIGHTON</v>
      </c>
      <c r="H73" s="2">
        <v>3550</v>
      </c>
      <c r="I73" s="2">
        <v>1768.8376470588212</v>
      </c>
      <c r="J73" s="2">
        <v>12800</v>
      </c>
      <c r="K73" s="5">
        <f t="shared" si="3"/>
        <v>2.0069676863237564</v>
      </c>
      <c r="L73" s="2">
        <f>VLOOKUP(G73,[1]Hoja1!$G$9024:$H$9154,2,FALSE)</f>
        <v>4375</v>
      </c>
      <c r="M73" s="6">
        <f t="shared" si="5"/>
        <v>-0.23239436619718309</v>
      </c>
    </row>
    <row r="74" spans="1:13">
      <c r="A74" s="2">
        <v>2026</v>
      </c>
      <c r="B74" s="2">
        <v>32</v>
      </c>
      <c r="C74" s="2" t="s">
        <v>10</v>
      </c>
      <c r="D74" s="2" t="s">
        <v>8</v>
      </c>
      <c r="E74" s="2" t="s">
        <v>90</v>
      </c>
      <c r="F74" s="2" t="s">
        <v>92</v>
      </c>
      <c r="G74" s="2" t="str">
        <f t="shared" si="4"/>
        <v>011CANDLELIGHT</v>
      </c>
      <c r="H74" s="2">
        <v>4060</v>
      </c>
      <c r="I74" s="2">
        <v>2263.799999886814</v>
      </c>
      <c r="J74" s="2">
        <v>17920</v>
      </c>
      <c r="K74" s="5">
        <f t="shared" si="3"/>
        <v>1.7934446506771768</v>
      </c>
      <c r="L74" s="2">
        <f>VLOOKUP(G74,[1]Hoja1!$G$9024:$H$9154,2,FALSE)</f>
        <v>3880</v>
      </c>
      <c r="M74" s="6">
        <f t="shared" si="5"/>
        <v>4.4334975369458129E-2</v>
      </c>
    </row>
    <row r="75" spans="1:13">
      <c r="A75" s="2">
        <v>2026</v>
      </c>
      <c r="B75" s="2">
        <v>32</v>
      </c>
      <c r="C75" s="2" t="s">
        <v>10</v>
      </c>
      <c r="D75" s="2" t="s">
        <v>8</v>
      </c>
      <c r="E75" s="2" t="s">
        <v>90</v>
      </c>
      <c r="F75" s="2" t="s">
        <v>93</v>
      </c>
      <c r="G75" s="2" t="str">
        <f t="shared" si="4"/>
        <v>011CAYENNE</v>
      </c>
      <c r="H75" s="2">
        <v>1350</v>
      </c>
      <c r="I75" s="2">
        <v>994.97117647058758</v>
      </c>
      <c r="J75" s="2">
        <v>7200</v>
      </c>
      <c r="K75" s="5">
        <f t="shared" si="3"/>
        <v>1.356823224556905</v>
      </c>
      <c r="L75" s="2">
        <f>VLOOKUP(G75,[1]Hoja1!$G$9024:$H$9154,2,FALSE)</f>
        <v>1140</v>
      </c>
      <c r="M75" s="6">
        <f t="shared" si="5"/>
        <v>0.15555555555555556</v>
      </c>
    </row>
    <row r="76" spans="1:13">
      <c r="A76" s="2">
        <v>2026</v>
      </c>
      <c r="B76" s="2">
        <v>32</v>
      </c>
      <c r="C76" s="2" t="s">
        <v>10</v>
      </c>
      <c r="D76" s="2" t="s">
        <v>8</v>
      </c>
      <c r="E76" s="2" t="s">
        <v>90</v>
      </c>
      <c r="F76" s="2" t="s">
        <v>69</v>
      </c>
      <c r="G76" s="2" t="str">
        <f t="shared" si="4"/>
        <v>011LUMIA</v>
      </c>
      <c r="H76" s="2">
        <v>1680</v>
      </c>
      <c r="I76" s="2">
        <v>994.97117647058769</v>
      </c>
      <c r="J76" s="2">
        <v>7920</v>
      </c>
      <c r="K76" s="5">
        <f t="shared" si="3"/>
        <v>1.6884911238930371</v>
      </c>
      <c r="L76" s="2">
        <f>VLOOKUP(G76,[1]Hoja1!$G$9024:$H$9154,2,FALSE)</f>
        <v>2930</v>
      </c>
      <c r="M76" s="6">
        <f t="shared" si="5"/>
        <v>-0.74404761904761907</v>
      </c>
    </row>
    <row r="77" spans="1:13">
      <c r="A77" s="2">
        <v>2026</v>
      </c>
      <c r="B77" s="2">
        <v>32</v>
      </c>
      <c r="C77" s="2" t="s">
        <v>10</v>
      </c>
      <c r="D77" s="2" t="s">
        <v>8</v>
      </c>
      <c r="E77" s="2" t="s">
        <v>90</v>
      </c>
      <c r="F77" s="2" t="s">
        <v>94</v>
      </c>
      <c r="G77" s="2" t="str">
        <f t="shared" si="4"/>
        <v>011STARDUST</v>
      </c>
      <c r="H77" s="2">
        <v>2450</v>
      </c>
      <c r="I77" s="2">
        <v>2263.799999886814</v>
      </c>
      <c r="J77" s="2">
        <v>17920</v>
      </c>
      <c r="K77" s="5">
        <f t="shared" si="3"/>
        <v>1.082251082305193</v>
      </c>
      <c r="L77" s="2">
        <f>VLOOKUP(G77,[1]Hoja1!$G$9024:$H$9154,2,FALSE)</f>
        <v>2825</v>
      </c>
      <c r="M77" s="6">
        <f t="shared" si="5"/>
        <v>-0.15306122448979592</v>
      </c>
    </row>
    <row r="78" spans="1:13">
      <c r="A78" s="2">
        <v>2026</v>
      </c>
      <c r="B78" s="2">
        <v>32</v>
      </c>
      <c r="C78" s="2" t="s">
        <v>10</v>
      </c>
      <c r="D78" s="2" t="s">
        <v>8</v>
      </c>
      <c r="E78" s="2" t="s">
        <v>95</v>
      </c>
      <c r="F78" s="2" t="s">
        <v>19</v>
      </c>
      <c r="G78" s="2" t="str">
        <f t="shared" si="4"/>
        <v>012DEEP PURPLE</v>
      </c>
      <c r="H78" s="2">
        <v>14070</v>
      </c>
      <c r="I78" s="2">
        <v>6727.0499997982424</v>
      </c>
      <c r="J78" s="2">
        <v>49210</v>
      </c>
      <c r="K78" s="5">
        <f t="shared" si="3"/>
        <v>2.0915557340025699</v>
      </c>
      <c r="L78" s="2">
        <f>VLOOKUP(G78,[1]Hoja1!$G$9024:$H$9154,2,FALSE)</f>
        <v>17400</v>
      </c>
      <c r="M78" s="6">
        <f t="shared" si="5"/>
        <v>-0.23667377398720682</v>
      </c>
    </row>
    <row r="79" spans="1:13">
      <c r="A79" s="2">
        <v>2026</v>
      </c>
      <c r="B79" s="2">
        <v>32</v>
      </c>
      <c r="C79" s="2" t="s">
        <v>10</v>
      </c>
      <c r="D79" s="2" t="s">
        <v>8</v>
      </c>
      <c r="E79" s="2" t="s">
        <v>95</v>
      </c>
      <c r="F79" s="2" t="s">
        <v>68</v>
      </c>
      <c r="G79" s="2" t="str">
        <f t="shared" si="4"/>
        <v>012LIGHT HOUSE</v>
      </c>
      <c r="H79" s="2">
        <v>870</v>
      </c>
      <c r="I79" s="2">
        <v>994.9499999999997</v>
      </c>
      <c r="J79" s="2">
        <v>7200</v>
      </c>
      <c r="K79" s="5">
        <f t="shared" si="3"/>
        <v>0.87441579978893436</v>
      </c>
      <c r="L79" s="2">
        <f>VLOOKUP(G79,[1]Hoja1!$G$9024:$H$9154,2,FALSE)</f>
        <v>1740</v>
      </c>
      <c r="M79" s="6">
        <f t="shared" si="5"/>
        <v>-1</v>
      </c>
    </row>
    <row r="80" spans="1:13">
      <c r="A80" s="2">
        <v>2026</v>
      </c>
      <c r="B80" s="2">
        <v>32</v>
      </c>
      <c r="C80" s="2" t="s">
        <v>10</v>
      </c>
      <c r="D80" s="2" t="s">
        <v>8</v>
      </c>
      <c r="E80" s="2" t="s">
        <v>96</v>
      </c>
      <c r="F80" s="2" t="s">
        <v>97</v>
      </c>
      <c r="G80" s="2" t="str">
        <f t="shared" si="4"/>
        <v>013COUNTRY BLUES</v>
      </c>
      <c r="H80" s="2">
        <v>940</v>
      </c>
      <c r="I80" s="2">
        <v>831.60000000000025</v>
      </c>
      <c r="J80" s="2">
        <v>6300</v>
      </c>
      <c r="K80" s="5">
        <f t="shared" si="3"/>
        <v>1.13035113035113</v>
      </c>
      <c r="L80" s="2">
        <f>VLOOKUP(G80,[1]Hoja1!$G$9024:$H$9154,2,FALSE)</f>
        <v>1375</v>
      </c>
      <c r="M80" s="6">
        <f t="shared" si="5"/>
        <v>-0.46276595744680848</v>
      </c>
    </row>
    <row r="81" spans="1:13">
      <c r="A81" s="2">
        <v>2026</v>
      </c>
      <c r="B81" s="2">
        <v>32</v>
      </c>
      <c r="C81" s="2" t="s">
        <v>10</v>
      </c>
      <c r="D81" s="2" t="s">
        <v>8</v>
      </c>
      <c r="E81" s="2" t="s">
        <v>96</v>
      </c>
      <c r="F81" s="2" t="s">
        <v>98</v>
      </c>
      <c r="G81" s="2" t="str">
        <f t="shared" si="4"/>
        <v>013LORRAINE</v>
      </c>
      <c r="H81" s="2">
        <v>3900</v>
      </c>
      <c r="I81" s="2">
        <v>1267.1999999999998</v>
      </c>
      <c r="J81" s="2">
        <v>9600</v>
      </c>
      <c r="K81" s="5">
        <f t="shared" si="3"/>
        <v>3.0776515151515156</v>
      </c>
      <c r="L81" s="2">
        <f>VLOOKUP(G81,[1]Hoja1!$G$9024:$H$9154,2,FALSE)</f>
        <v>4300</v>
      </c>
      <c r="M81" s="6">
        <f t="shared" si="5"/>
        <v>-0.10256410256410256</v>
      </c>
    </row>
    <row r="82" spans="1:13">
      <c r="A82" s="2">
        <v>2026</v>
      </c>
      <c r="B82" s="2">
        <v>32</v>
      </c>
      <c r="C82" s="2" t="s">
        <v>10</v>
      </c>
      <c r="D82" s="2" t="s">
        <v>8</v>
      </c>
      <c r="E82" s="2" t="s">
        <v>96</v>
      </c>
      <c r="F82" s="2" t="s">
        <v>69</v>
      </c>
      <c r="G82" s="2" t="str">
        <f t="shared" si="4"/>
        <v>013LUMIA</v>
      </c>
      <c r="H82" s="2">
        <v>660</v>
      </c>
      <c r="I82" s="2">
        <v>316.8</v>
      </c>
      <c r="J82" s="2">
        <v>2400</v>
      </c>
      <c r="K82" s="5">
        <f t="shared" si="3"/>
        <v>2.083333333333333</v>
      </c>
      <c r="L82" s="2">
        <f>VLOOKUP(G82,[1]Hoja1!$G$9024:$H$9154,2,FALSE)</f>
        <v>1000</v>
      </c>
      <c r="M82" s="6">
        <f t="shared" si="5"/>
        <v>-0.51515151515151514</v>
      </c>
    </row>
    <row r="83" spans="1:13">
      <c r="A83" s="2">
        <v>2026</v>
      </c>
      <c r="B83" s="2">
        <v>32</v>
      </c>
      <c r="C83" s="2" t="s">
        <v>10</v>
      </c>
      <c r="D83" s="2" t="s">
        <v>8</v>
      </c>
      <c r="E83" s="2" t="s">
        <v>96</v>
      </c>
      <c r="F83" s="2" t="s">
        <v>80</v>
      </c>
      <c r="G83" s="2" t="str">
        <f t="shared" si="4"/>
        <v>013VENDELA</v>
      </c>
      <c r="H83" s="2">
        <v>8880</v>
      </c>
      <c r="I83" s="2">
        <v>3603.5999999999949</v>
      </c>
      <c r="J83" s="2">
        <v>27296</v>
      </c>
      <c r="K83" s="5">
        <f t="shared" si="3"/>
        <v>2.4642024642024678</v>
      </c>
      <c r="L83" s="2">
        <f>VLOOKUP(G83,[1]Hoja1!$G$9024:$H$9154,2,FALSE)</f>
        <v>11280</v>
      </c>
      <c r="M83" s="6">
        <f t="shared" si="5"/>
        <v>-0.27027027027027029</v>
      </c>
    </row>
    <row r="84" spans="1:13">
      <c r="A84" s="2">
        <v>2026</v>
      </c>
      <c r="B84" s="2">
        <v>32</v>
      </c>
      <c r="C84" s="2" t="s">
        <v>10</v>
      </c>
      <c r="D84" s="2" t="s">
        <v>8</v>
      </c>
      <c r="E84" s="2" t="s">
        <v>35</v>
      </c>
      <c r="F84" s="2" t="s">
        <v>94</v>
      </c>
      <c r="G84" s="2" t="str">
        <f t="shared" si="4"/>
        <v>014STARDUST</v>
      </c>
      <c r="H84" s="2">
        <v>4150</v>
      </c>
      <c r="I84" s="2">
        <v>3682.7999999999943</v>
      </c>
      <c r="J84" s="2">
        <v>27900</v>
      </c>
      <c r="K84" s="5">
        <f t="shared" si="3"/>
        <v>1.1268599978277416</v>
      </c>
      <c r="L84" s="2">
        <f>VLOOKUP(G84,[1]Hoja1!$G$9024:$H$9154,2,FALSE)</f>
        <v>5850</v>
      </c>
      <c r="M84" s="6">
        <f t="shared" si="5"/>
        <v>-0.40963855421686746</v>
      </c>
    </row>
    <row r="85" spans="1:13">
      <c r="A85" s="2">
        <v>2026</v>
      </c>
      <c r="B85" s="2">
        <v>32</v>
      </c>
      <c r="C85" s="2" t="s">
        <v>10</v>
      </c>
      <c r="D85" s="2" t="s">
        <v>8</v>
      </c>
      <c r="E85" s="2" t="s">
        <v>37</v>
      </c>
      <c r="F85" s="2" t="s">
        <v>75</v>
      </c>
      <c r="G85" s="2" t="str">
        <f t="shared" si="4"/>
        <v>015JOCKER</v>
      </c>
      <c r="H85" s="2">
        <v>3250</v>
      </c>
      <c r="I85" s="2">
        <v>2375.9999999999973</v>
      </c>
      <c r="J85" s="2">
        <v>18000</v>
      </c>
      <c r="K85" s="5">
        <f t="shared" ref="K85:K108" si="6">+H85/I85</f>
        <v>1.3678451178451194</v>
      </c>
      <c r="L85" s="2">
        <f>VLOOKUP(G85,[1]Hoja1!$G$9024:$H$9154,2,FALSE)</f>
        <v>4825</v>
      </c>
      <c r="M85" s="6">
        <f t="shared" si="5"/>
        <v>-0.48461538461538461</v>
      </c>
    </row>
    <row r="86" spans="1:13">
      <c r="A86" s="2">
        <v>2026</v>
      </c>
      <c r="B86" s="2">
        <v>32</v>
      </c>
      <c r="C86" s="2" t="s">
        <v>10</v>
      </c>
      <c r="D86" s="2" t="s">
        <v>8</v>
      </c>
      <c r="E86" s="2" t="s">
        <v>39</v>
      </c>
      <c r="F86" s="2" t="s">
        <v>99</v>
      </c>
      <c r="G86" s="2" t="str">
        <f t="shared" si="4"/>
        <v>016DREAM IN PEACH</v>
      </c>
      <c r="H86" s="2">
        <v>1830</v>
      </c>
      <c r="I86" s="2">
        <v>950.40000000000032</v>
      </c>
      <c r="J86" s="2">
        <v>7200</v>
      </c>
      <c r="K86" s="5">
        <f t="shared" si="6"/>
        <v>1.9255050505050499</v>
      </c>
      <c r="L86" s="2">
        <f>VLOOKUP(G86,[1]Hoja1!$G$9024:$H$9154,2,FALSE)</f>
        <v>810</v>
      </c>
      <c r="M86" s="6">
        <f t="shared" si="5"/>
        <v>0.55737704918032782</v>
      </c>
    </row>
    <row r="87" spans="1:13">
      <c r="A87" s="2">
        <v>2026</v>
      </c>
      <c r="B87" s="2">
        <v>32</v>
      </c>
      <c r="C87" s="2" t="s">
        <v>10</v>
      </c>
      <c r="D87" s="2" t="s">
        <v>8</v>
      </c>
      <c r="E87" s="2" t="s">
        <v>39</v>
      </c>
      <c r="F87" s="2" t="s">
        <v>100</v>
      </c>
      <c r="G87" s="2" t="str">
        <f t="shared" si="4"/>
        <v>016NINA</v>
      </c>
      <c r="H87" s="2">
        <v>2125</v>
      </c>
      <c r="I87" s="2">
        <v>1346.3999999999996</v>
      </c>
      <c r="J87" s="2">
        <v>10200</v>
      </c>
      <c r="K87" s="5">
        <f t="shared" si="6"/>
        <v>1.5782828282828287</v>
      </c>
      <c r="L87" s="2">
        <f>VLOOKUP(G87,[1]Hoja1!$G$9024:$H$9154,2,FALSE)</f>
        <v>3275</v>
      </c>
      <c r="M87" s="6">
        <f t="shared" si="5"/>
        <v>-0.54117647058823526</v>
      </c>
    </row>
    <row r="88" spans="1:13">
      <c r="A88" s="2">
        <v>2026</v>
      </c>
      <c r="B88" s="2">
        <v>32</v>
      </c>
      <c r="C88" s="2" t="s">
        <v>10</v>
      </c>
      <c r="D88" s="2" t="s">
        <v>8</v>
      </c>
      <c r="E88" s="2" t="s">
        <v>42</v>
      </c>
      <c r="F88" s="2" t="s">
        <v>86</v>
      </c>
      <c r="G88" s="2" t="str">
        <f t="shared" si="4"/>
        <v>017FREEDOM</v>
      </c>
      <c r="H88" s="2">
        <v>5400</v>
      </c>
      <c r="I88" s="2">
        <v>2851.1999999999962</v>
      </c>
      <c r="J88" s="2">
        <v>21600</v>
      </c>
      <c r="K88" s="5">
        <f t="shared" si="6"/>
        <v>1.8939393939393965</v>
      </c>
      <c r="L88" s="2">
        <f>VLOOKUP(G88,[1]Hoja1!$G$9024:$H$9154,2,FALSE)</f>
        <v>5190</v>
      </c>
      <c r="M88" s="6">
        <f t="shared" si="5"/>
        <v>3.888888888888889E-2</v>
      </c>
    </row>
    <row r="89" spans="1:13">
      <c r="A89" s="2">
        <v>2026</v>
      </c>
      <c r="B89" s="2">
        <v>32</v>
      </c>
      <c r="C89" s="2" t="s">
        <v>10</v>
      </c>
      <c r="D89" s="2" t="s">
        <v>8</v>
      </c>
      <c r="E89" s="2" t="s">
        <v>42</v>
      </c>
      <c r="F89" s="2" t="s">
        <v>79</v>
      </c>
      <c r="G89" s="2" t="str">
        <f t="shared" si="4"/>
        <v>017GOLDFINCH</v>
      </c>
      <c r="H89" s="2">
        <v>2400</v>
      </c>
      <c r="I89" s="2">
        <v>2138.3999999999978</v>
      </c>
      <c r="J89" s="2">
        <v>16200</v>
      </c>
      <c r="K89" s="5">
        <f t="shared" si="6"/>
        <v>1.1223344556677901</v>
      </c>
      <c r="L89" s="2">
        <f>VLOOKUP(G89,[1]Hoja1!$G$9024:$H$9154,2,FALSE)</f>
        <v>2600</v>
      </c>
      <c r="M89" s="6">
        <f t="shared" si="5"/>
        <v>-8.3333333333333329E-2</v>
      </c>
    </row>
    <row r="90" spans="1:13">
      <c r="A90" s="2">
        <v>2026</v>
      </c>
      <c r="B90" s="2">
        <v>32</v>
      </c>
      <c r="C90" s="2" t="s">
        <v>10</v>
      </c>
      <c r="D90" s="2" t="s">
        <v>8</v>
      </c>
      <c r="E90" s="2" t="s">
        <v>44</v>
      </c>
      <c r="F90" s="2" t="s">
        <v>91</v>
      </c>
      <c r="G90" s="2" t="str">
        <f t="shared" si="4"/>
        <v>018BRIGHTON</v>
      </c>
      <c r="H90" s="2">
        <v>1800</v>
      </c>
      <c r="I90" s="2">
        <v>963.60000000000025</v>
      </c>
      <c r="J90" s="2">
        <v>7570</v>
      </c>
      <c r="K90" s="5">
        <f t="shared" si="6"/>
        <v>1.8679950186799497</v>
      </c>
      <c r="L90" s="2">
        <f>VLOOKUP(G90,[1]Hoja1!$G$9024:$H$9154,2,FALSE)</f>
        <v>1725</v>
      </c>
      <c r="M90" s="6">
        <f t="shared" si="5"/>
        <v>4.1666666666666664E-2</v>
      </c>
    </row>
    <row r="91" spans="1:13">
      <c r="A91" s="2">
        <v>2026</v>
      </c>
      <c r="B91" s="2">
        <v>32</v>
      </c>
      <c r="C91" s="2" t="s">
        <v>10</v>
      </c>
      <c r="D91" s="2" t="s">
        <v>8</v>
      </c>
      <c r="E91" s="2" t="s">
        <v>47</v>
      </c>
      <c r="F91" s="2" t="s">
        <v>91</v>
      </c>
      <c r="G91" s="2" t="str">
        <f t="shared" si="4"/>
        <v>019BRIGHTON</v>
      </c>
      <c r="H91" s="2">
        <v>5950</v>
      </c>
      <c r="I91" s="2">
        <v>3167.9999999999955</v>
      </c>
      <c r="J91" s="2">
        <v>24000</v>
      </c>
      <c r="K91" s="5">
        <f t="shared" si="6"/>
        <v>1.8781565656565684</v>
      </c>
      <c r="L91" s="2">
        <f>VLOOKUP(G91,[1]Hoja1!$G$9024:$H$9154,2,FALSE)</f>
        <v>6250</v>
      </c>
      <c r="M91" s="6">
        <f t="shared" si="5"/>
        <v>-5.0420168067226892E-2</v>
      </c>
    </row>
    <row r="92" spans="1:13">
      <c r="A92" s="2">
        <v>2026</v>
      </c>
      <c r="B92" s="2">
        <v>32</v>
      </c>
      <c r="C92" s="2" t="s">
        <v>10</v>
      </c>
      <c r="D92" s="2" t="s">
        <v>8</v>
      </c>
      <c r="E92" s="2" t="s">
        <v>47</v>
      </c>
      <c r="F92" s="2" t="s">
        <v>101</v>
      </c>
      <c r="G92" s="2" t="str">
        <f t="shared" si="4"/>
        <v>019TABATHA</v>
      </c>
      <c r="H92" s="2">
        <v>3210</v>
      </c>
      <c r="I92" s="2">
        <v>1188</v>
      </c>
      <c r="J92" s="2">
        <v>9000</v>
      </c>
      <c r="K92" s="5">
        <f t="shared" si="6"/>
        <v>2.702020202020202</v>
      </c>
      <c r="L92" s="2">
        <f>VLOOKUP(G92,[1]Hoja1!$G$9024:$H$9154,2,FALSE)</f>
        <v>2400</v>
      </c>
      <c r="M92" s="6">
        <f t="shared" si="5"/>
        <v>0.25233644859813081</v>
      </c>
    </row>
    <row r="93" spans="1:13">
      <c r="A93" s="2">
        <v>2026</v>
      </c>
      <c r="B93" s="2">
        <v>32</v>
      </c>
      <c r="C93" s="2" t="s">
        <v>10</v>
      </c>
      <c r="D93" s="2" t="s">
        <v>8</v>
      </c>
      <c r="E93" s="2" t="s">
        <v>48</v>
      </c>
      <c r="F93" s="2" t="s">
        <v>91</v>
      </c>
      <c r="G93" s="2" t="str">
        <f t="shared" si="4"/>
        <v>020BRIGHTON</v>
      </c>
      <c r="H93" s="2">
        <v>4300</v>
      </c>
      <c r="I93" s="2">
        <v>2732.3999999999965</v>
      </c>
      <c r="J93" s="2">
        <v>20700</v>
      </c>
      <c r="K93" s="5">
        <f t="shared" si="6"/>
        <v>1.573708095447228</v>
      </c>
      <c r="L93" s="2">
        <f>VLOOKUP(G93,[1]Hoja1!$G$9024:$H$9154,2,FALSE)</f>
        <v>4200</v>
      </c>
      <c r="M93" s="6">
        <f t="shared" si="5"/>
        <v>2.3255813953488372E-2</v>
      </c>
    </row>
    <row r="94" spans="1:13">
      <c r="A94" s="2">
        <v>2026</v>
      </c>
      <c r="B94" s="2">
        <v>32</v>
      </c>
      <c r="C94" s="2" t="s">
        <v>10</v>
      </c>
      <c r="D94" s="2" t="s">
        <v>8</v>
      </c>
      <c r="E94" s="2" t="s">
        <v>48</v>
      </c>
      <c r="F94" s="2" t="s">
        <v>102</v>
      </c>
      <c r="G94" s="2" t="str">
        <f t="shared" si="4"/>
        <v>020TYCOON</v>
      </c>
      <c r="H94" s="2">
        <v>930</v>
      </c>
      <c r="I94" s="2">
        <v>673.20000000000016</v>
      </c>
      <c r="J94" s="2">
        <v>5100</v>
      </c>
      <c r="K94" s="5">
        <f t="shared" si="6"/>
        <v>1.3814616755793223</v>
      </c>
      <c r="L94" s="2">
        <f>VLOOKUP(G94,[1]Hoja1!$G$9024:$H$9154,2,FALSE)</f>
        <v>720</v>
      </c>
      <c r="M94" s="6">
        <f t="shared" si="5"/>
        <v>0.22580645161290322</v>
      </c>
    </row>
    <row r="95" spans="1:13">
      <c r="A95" s="2">
        <v>2026</v>
      </c>
      <c r="B95" s="2">
        <v>32</v>
      </c>
      <c r="C95" s="2" t="s">
        <v>10</v>
      </c>
      <c r="D95" s="2" t="s">
        <v>8</v>
      </c>
      <c r="E95" s="2" t="s">
        <v>50</v>
      </c>
      <c r="F95" s="2" t="s">
        <v>103</v>
      </c>
      <c r="G95" s="2" t="str">
        <f t="shared" si="4"/>
        <v>021SHOW GIRL</v>
      </c>
      <c r="H95" s="2">
        <v>1675</v>
      </c>
      <c r="I95" s="2">
        <v>1100.4749999999997</v>
      </c>
      <c r="J95" s="2">
        <v>8000</v>
      </c>
      <c r="K95" s="5">
        <f t="shared" si="6"/>
        <v>1.5220700152207005</v>
      </c>
      <c r="L95" s="2">
        <f>VLOOKUP(G95,[1]Hoja1!$G$9024:$H$9154,2,FALSE)</f>
        <v>1525</v>
      </c>
      <c r="M95" s="6">
        <f t="shared" si="5"/>
        <v>8.9552238805970144E-2</v>
      </c>
    </row>
    <row r="96" spans="1:13">
      <c r="A96" s="2">
        <v>2026</v>
      </c>
      <c r="B96" s="2">
        <v>32</v>
      </c>
      <c r="C96" s="2" t="s">
        <v>10</v>
      </c>
      <c r="D96" s="2" t="s">
        <v>8</v>
      </c>
      <c r="E96" s="2" t="s">
        <v>55</v>
      </c>
      <c r="F96" s="2" t="s">
        <v>104</v>
      </c>
      <c r="G96" s="2" t="str">
        <f t="shared" si="4"/>
        <v>022CORAL REEF</v>
      </c>
      <c r="H96" s="2">
        <v>2450</v>
      </c>
      <c r="I96" s="2">
        <v>1287</v>
      </c>
      <c r="J96" s="2">
        <v>9400</v>
      </c>
      <c r="K96" s="5">
        <f t="shared" si="6"/>
        <v>1.9036519036519037</v>
      </c>
      <c r="L96" s="2">
        <f>VLOOKUP(G96,[1]Hoja1!$G$9024:$H$9154,2,FALSE)</f>
        <v>2150</v>
      </c>
      <c r="M96" s="6">
        <f t="shared" si="5"/>
        <v>0.12244897959183673</v>
      </c>
    </row>
    <row r="97" spans="1:13">
      <c r="A97" s="2">
        <v>2026</v>
      </c>
      <c r="B97" s="2">
        <v>32</v>
      </c>
      <c r="C97" s="2" t="s">
        <v>10</v>
      </c>
      <c r="D97" s="2" t="s">
        <v>8</v>
      </c>
      <c r="E97" s="2" t="s">
        <v>105</v>
      </c>
      <c r="F97" s="2" t="s">
        <v>18</v>
      </c>
      <c r="G97" s="2" t="str">
        <f t="shared" si="4"/>
        <v>023COTOPAXI</v>
      </c>
      <c r="H97" s="2">
        <v>8970</v>
      </c>
      <c r="I97" s="2">
        <v>2641.139999999999</v>
      </c>
      <c r="J97" s="2">
        <v>19200</v>
      </c>
      <c r="K97" s="5">
        <f t="shared" si="6"/>
        <v>3.3962607056043996</v>
      </c>
      <c r="L97" s="2">
        <f>VLOOKUP(G97,[1]Hoja1!$G$9024:$H$9154,2,FALSE)</f>
        <v>7140</v>
      </c>
      <c r="M97" s="6">
        <f t="shared" si="5"/>
        <v>0.20401337792642141</v>
      </c>
    </row>
    <row r="98" spans="1:13">
      <c r="A98" s="2">
        <v>2026</v>
      </c>
      <c r="B98" s="2">
        <v>32</v>
      </c>
      <c r="C98" s="2" t="s">
        <v>10</v>
      </c>
      <c r="D98" s="2" t="s">
        <v>8</v>
      </c>
      <c r="E98" s="2" t="s">
        <v>105</v>
      </c>
      <c r="F98" s="2" t="s">
        <v>106</v>
      </c>
      <c r="G98" s="2" t="str">
        <f t="shared" si="4"/>
        <v>023FRUTTETO</v>
      </c>
      <c r="H98" s="2">
        <v>4590</v>
      </c>
      <c r="I98" s="2">
        <v>2641.139999999999</v>
      </c>
      <c r="J98" s="2">
        <v>19200</v>
      </c>
      <c r="K98" s="5">
        <f t="shared" si="6"/>
        <v>1.7378859129012478</v>
      </c>
      <c r="L98" s="2">
        <f>VLOOKUP(G98,[1]Hoja1!$G$9024:$H$9154,2,FALSE)</f>
        <v>4620</v>
      </c>
      <c r="M98" s="6">
        <f t="shared" si="5"/>
        <v>-6.5359477124183009E-3</v>
      </c>
    </row>
    <row r="99" spans="1:13">
      <c r="A99" s="2">
        <v>2026</v>
      </c>
      <c r="B99" s="2">
        <v>32</v>
      </c>
      <c r="C99" s="2" t="s">
        <v>10</v>
      </c>
      <c r="D99" s="2" t="s">
        <v>8</v>
      </c>
      <c r="E99" s="2" t="s">
        <v>107</v>
      </c>
      <c r="F99" s="2" t="s">
        <v>18</v>
      </c>
      <c r="G99" s="2" t="str">
        <f t="shared" si="4"/>
        <v>024COTOPAXI</v>
      </c>
      <c r="H99" s="2">
        <v>4260</v>
      </c>
      <c r="I99" s="2">
        <v>1430.6174906249998</v>
      </c>
      <c r="J99" s="2">
        <v>10400</v>
      </c>
      <c r="K99" s="5">
        <f t="shared" si="6"/>
        <v>2.9777351583608249</v>
      </c>
      <c r="L99" s="2">
        <f>VLOOKUP(G99,[1]Hoja1!$G$9024:$H$9154,2,FALSE)</f>
        <v>3180</v>
      </c>
      <c r="M99" s="6">
        <f t="shared" si="5"/>
        <v>0.25352112676056338</v>
      </c>
    </row>
    <row r="100" spans="1:13">
      <c r="A100" s="2">
        <v>2026</v>
      </c>
      <c r="B100" s="2">
        <v>32</v>
      </c>
      <c r="C100" s="2" t="s">
        <v>10</v>
      </c>
      <c r="D100" s="2" t="s">
        <v>8</v>
      </c>
      <c r="E100" s="2" t="s">
        <v>107</v>
      </c>
      <c r="F100" s="2" t="s">
        <v>72</v>
      </c>
      <c r="G100" s="2" t="str">
        <f t="shared" si="4"/>
        <v>024SWEETNESS</v>
      </c>
      <c r="H100" s="2">
        <v>2070</v>
      </c>
      <c r="I100" s="2">
        <v>1430.6174999999998</v>
      </c>
      <c r="J100" s="2">
        <v>10400</v>
      </c>
      <c r="K100" s="5">
        <f t="shared" si="6"/>
        <v>1.4469276378906313</v>
      </c>
      <c r="L100" s="2">
        <f>VLOOKUP(G100,[1]Hoja1!$G$9024:$H$9154,2,FALSE)</f>
        <v>1680</v>
      </c>
      <c r="M100" s="6">
        <f t="shared" si="5"/>
        <v>0.18840579710144928</v>
      </c>
    </row>
    <row r="101" spans="1:13">
      <c r="A101" s="2">
        <v>2026</v>
      </c>
      <c r="B101" s="2">
        <v>32</v>
      </c>
      <c r="C101" s="2" t="s">
        <v>10</v>
      </c>
      <c r="D101" s="2" t="s">
        <v>8</v>
      </c>
      <c r="E101" s="2" t="s">
        <v>107</v>
      </c>
      <c r="F101" s="2" t="s">
        <v>102</v>
      </c>
      <c r="G101" s="2" t="str">
        <f t="shared" si="4"/>
        <v>024TYCOON</v>
      </c>
      <c r="H101" s="2">
        <v>3780</v>
      </c>
      <c r="I101" s="2">
        <v>2861.2349999999983</v>
      </c>
      <c r="J101" s="2">
        <v>20800</v>
      </c>
      <c r="K101" s="5">
        <f t="shared" si="6"/>
        <v>1.3211078432914467</v>
      </c>
      <c r="L101" s="2">
        <f>VLOOKUP(G101,[1]Hoja1!$G$9024:$H$9154,2,FALSE)</f>
        <v>2370</v>
      </c>
      <c r="M101" s="6">
        <f t="shared" si="5"/>
        <v>0.37301587301587302</v>
      </c>
    </row>
    <row r="102" spans="1:13">
      <c r="A102" s="2">
        <v>2026</v>
      </c>
      <c r="B102" s="2">
        <v>32</v>
      </c>
      <c r="C102" s="2" t="s">
        <v>10</v>
      </c>
      <c r="D102" s="2" t="s">
        <v>8</v>
      </c>
      <c r="E102" s="2" t="s">
        <v>11</v>
      </c>
      <c r="F102" s="2" t="s">
        <v>12</v>
      </c>
      <c r="G102" s="2" t="str">
        <f t="shared" si="4"/>
        <v>025PINK MONDIAL</v>
      </c>
      <c r="H102" s="2">
        <v>5325</v>
      </c>
      <c r="I102" s="2">
        <v>3071.9505624999979</v>
      </c>
      <c r="J102" s="2">
        <v>22400</v>
      </c>
      <c r="K102" s="5">
        <f t="shared" si="6"/>
        <v>1.7334263334193887</v>
      </c>
      <c r="L102" s="2">
        <f>VLOOKUP(G102,[1]Hoja1!$G$9024:$H$9154,2,FALSE)</f>
        <v>4625</v>
      </c>
      <c r="M102" s="6">
        <f t="shared" si="5"/>
        <v>0.13145539906103287</v>
      </c>
    </row>
    <row r="103" spans="1:13">
      <c r="A103" s="2">
        <v>2026</v>
      </c>
      <c r="B103" s="2">
        <v>32</v>
      </c>
      <c r="C103" s="2" t="s">
        <v>10</v>
      </c>
      <c r="D103" s="2" t="s">
        <v>8</v>
      </c>
      <c r="E103" s="2" t="s">
        <v>9</v>
      </c>
      <c r="F103" s="2" t="s">
        <v>13</v>
      </c>
      <c r="G103" s="2" t="str">
        <f t="shared" si="4"/>
        <v>026LOLA</v>
      </c>
      <c r="H103" s="2">
        <v>3475</v>
      </c>
      <c r="I103" s="2">
        <v>2852.5249999999992</v>
      </c>
      <c r="J103" s="2">
        <v>20800</v>
      </c>
      <c r="K103" s="5">
        <f t="shared" si="6"/>
        <v>1.2182189463720743</v>
      </c>
      <c r="L103" s="2">
        <f>VLOOKUP(G103,[1]Hoja1!$G$9024:$H$9154,2,FALSE)</f>
        <v>2775</v>
      </c>
      <c r="M103" s="6">
        <f t="shared" si="5"/>
        <v>0.20143884892086331</v>
      </c>
    </row>
    <row r="104" spans="1:13">
      <c r="A104" s="2">
        <v>2026</v>
      </c>
      <c r="B104" s="2">
        <v>32</v>
      </c>
      <c r="C104" s="2" t="s">
        <v>10</v>
      </c>
      <c r="D104" s="2" t="s">
        <v>8</v>
      </c>
      <c r="E104" s="2" t="s">
        <v>9</v>
      </c>
      <c r="F104" s="2" t="s">
        <v>14</v>
      </c>
      <c r="G104" s="2" t="str">
        <f t="shared" si="4"/>
        <v>026PALOMA</v>
      </c>
      <c r="H104" s="2">
        <v>4350</v>
      </c>
      <c r="I104" s="2">
        <v>2852.5249999999992</v>
      </c>
      <c r="J104" s="2">
        <v>20800</v>
      </c>
      <c r="K104" s="5">
        <f t="shared" si="6"/>
        <v>1.5249647242355462</v>
      </c>
      <c r="L104" s="2">
        <f>VLOOKUP(G104,[1]Hoja1!$G$9024:$H$9154,2,FALSE)</f>
        <v>4775</v>
      </c>
      <c r="M104" s="6">
        <f t="shared" si="5"/>
        <v>-9.7701149425287362E-2</v>
      </c>
    </row>
    <row r="105" spans="1:13">
      <c r="A105" s="2">
        <v>2026</v>
      </c>
      <c r="B105" s="2">
        <v>32</v>
      </c>
      <c r="C105" s="2" t="s">
        <v>10</v>
      </c>
      <c r="D105" s="2" t="s">
        <v>8</v>
      </c>
      <c r="E105" s="2" t="s">
        <v>15</v>
      </c>
      <c r="F105" s="2" t="s">
        <v>16</v>
      </c>
      <c r="G105" s="2" t="str">
        <f t="shared" si="4"/>
        <v>027SATISFACTION</v>
      </c>
      <c r="H105" s="2">
        <v>4770</v>
      </c>
      <c r="I105" s="2">
        <v>2633.0999999999995</v>
      </c>
      <c r="J105" s="2">
        <v>19200</v>
      </c>
      <c r="K105" s="5">
        <f t="shared" si="6"/>
        <v>1.8115529224108469</v>
      </c>
      <c r="L105" s="2">
        <f>VLOOKUP(G105,[1]Hoja1!$G$9024:$H$9154,2,FALSE)</f>
        <v>4680</v>
      </c>
      <c r="M105" s="6">
        <f t="shared" si="5"/>
        <v>1.8867924528301886E-2</v>
      </c>
    </row>
    <row r="106" spans="1:13">
      <c r="A106" s="2">
        <v>2026</v>
      </c>
      <c r="B106" s="2">
        <v>32</v>
      </c>
      <c r="C106" s="2" t="s">
        <v>10</v>
      </c>
      <c r="D106" s="2" t="s">
        <v>8</v>
      </c>
      <c r="E106" s="2" t="s">
        <v>15</v>
      </c>
      <c r="F106" s="2" t="s">
        <v>20</v>
      </c>
      <c r="G106" s="2" t="str">
        <f t="shared" si="4"/>
        <v>027TIFFANY</v>
      </c>
      <c r="H106" s="2">
        <v>5610</v>
      </c>
      <c r="I106" s="2">
        <v>2633.0999999999995</v>
      </c>
      <c r="J106" s="2">
        <v>19200</v>
      </c>
      <c r="K106" s="5">
        <f t="shared" si="6"/>
        <v>2.1305685313888576</v>
      </c>
      <c r="L106" s="2">
        <f>VLOOKUP(G106,[1]Hoja1!$G$9024:$H$9154,2,FALSE)</f>
        <v>4350</v>
      </c>
      <c r="M106" s="6">
        <f t="shared" si="5"/>
        <v>0.22459893048128343</v>
      </c>
    </row>
    <row r="107" spans="1:13">
      <c r="A107" s="2">
        <v>2026</v>
      </c>
      <c r="B107" s="2">
        <v>32</v>
      </c>
      <c r="C107" s="2" t="s">
        <v>10</v>
      </c>
      <c r="D107" s="2" t="s">
        <v>8</v>
      </c>
      <c r="E107" s="2" t="s">
        <v>17</v>
      </c>
      <c r="F107" s="2" t="s">
        <v>18</v>
      </c>
      <c r="G107" s="2" t="str">
        <f t="shared" si="4"/>
        <v>028COTOPAXI</v>
      </c>
      <c r="H107" s="2">
        <v>7920</v>
      </c>
      <c r="I107" s="2">
        <v>2852.5249999999987</v>
      </c>
      <c r="J107" s="2">
        <v>20800</v>
      </c>
      <c r="K107" s="5">
        <f t="shared" si="6"/>
        <v>2.7764874979185121</v>
      </c>
      <c r="L107" s="2">
        <f>VLOOKUP(G107,[1]Hoja1!$G$9024:$H$9154,2,FALSE)</f>
        <v>4650</v>
      </c>
      <c r="M107" s="6">
        <f t="shared" si="5"/>
        <v>0.4128787878787879</v>
      </c>
    </row>
    <row r="108" spans="1:13">
      <c r="A108" s="2">
        <v>2026</v>
      </c>
      <c r="B108" s="2">
        <v>32</v>
      </c>
      <c r="C108" s="2" t="s">
        <v>10</v>
      </c>
      <c r="D108" s="2" t="s">
        <v>8</v>
      </c>
      <c r="E108" s="2" t="s">
        <v>17</v>
      </c>
      <c r="F108" s="2" t="s">
        <v>19</v>
      </c>
      <c r="G108" s="2" t="str">
        <f t="shared" si="4"/>
        <v>028DEEP PURPLE</v>
      </c>
      <c r="H108" s="2">
        <v>5730</v>
      </c>
      <c r="I108" s="2">
        <v>2852.5249999999987</v>
      </c>
      <c r="J108" s="2">
        <v>20800</v>
      </c>
      <c r="K108" s="5">
        <f t="shared" si="6"/>
        <v>2.0087466367516509</v>
      </c>
      <c r="L108" s="2">
        <f>VLOOKUP(G108,[1]Hoja1!$G$9024:$H$9154,2,FALSE)</f>
        <v>8490</v>
      </c>
      <c r="M108" s="6">
        <f t="shared" si="5"/>
        <v>-0.48167539267015708</v>
      </c>
    </row>
    <row r="109" spans="1:13">
      <c r="A109" s="2">
        <v>2026</v>
      </c>
      <c r="B109" s="2">
        <v>32</v>
      </c>
      <c r="C109" s="2" t="s">
        <v>10</v>
      </c>
      <c r="D109" s="2" t="s">
        <v>8</v>
      </c>
      <c r="E109" s="2" t="s">
        <v>108</v>
      </c>
      <c r="F109" s="2" t="s">
        <v>109</v>
      </c>
      <c r="G109" s="2" t="str">
        <f t="shared" si="4"/>
        <v>029PINK FLOYD</v>
      </c>
      <c r="H109" s="2">
        <v>3325</v>
      </c>
      <c r="I109" s="2">
        <v>3071.949999999998</v>
      </c>
      <c r="J109" s="2">
        <v>22400</v>
      </c>
      <c r="K109" s="5">
        <f>+H109/I109</f>
        <v>1.0823743876039655</v>
      </c>
      <c r="L109" s="2">
        <f>VLOOKUP(G109,[1]Hoja1!$G$9024:$H$9154,2,FALSE)</f>
        <v>4775</v>
      </c>
      <c r="M109" s="6">
        <f t="shared" si="5"/>
        <v>-0.43609022556390975</v>
      </c>
    </row>
    <row r="110" spans="1:13">
      <c r="A110" s="2">
        <v>2026</v>
      </c>
      <c r="B110" s="2">
        <v>32</v>
      </c>
      <c r="C110" s="2" t="s">
        <v>10</v>
      </c>
      <c r="D110" s="2" t="s">
        <v>8</v>
      </c>
      <c r="E110" s="2" t="s">
        <v>57</v>
      </c>
      <c r="F110" s="2" t="s">
        <v>66</v>
      </c>
      <c r="G110" s="2" t="str">
        <f t="shared" si="4"/>
        <v>030EXPLORER</v>
      </c>
      <c r="H110" s="2">
        <v>3450</v>
      </c>
      <c r="I110" s="2">
        <v>1645.6875000000009</v>
      </c>
      <c r="J110" s="2">
        <v>12000</v>
      </c>
      <c r="K110" s="5">
        <f>+H110/I110</f>
        <v>2.0963882875697837</v>
      </c>
      <c r="L110" s="2">
        <f>VLOOKUP(G110,[1]Hoja1!$G$9024:$H$9154,2,FALSE)</f>
        <v>1675</v>
      </c>
      <c r="M110" s="6">
        <f t="shared" si="5"/>
        <v>0.51449275362318836</v>
      </c>
    </row>
  </sheetData>
  <autoFilter ref="A1:K110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2026-08-12T19:31:42Z</dcterms:modified>
</cp:coreProperties>
</file>