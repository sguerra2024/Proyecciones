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245" yWindow="-15" windowWidth="10290" windowHeight="7995"/>
  </bookViews>
  <sheets>
    <sheet name="Proyeccion_original" sheetId="1" r:id="rId1"/>
    <sheet name="Analisis_avanzado" sheetId="2" r:id="rId2"/>
  </sheets>
  <definedNames>
    <definedName name="_xlnm._FilterDatabase" localSheetId="0" hidden="1">Proyeccion_original!$A$1:$J$440</definedName>
  </definedNames>
  <calcPr calcId="125725"/>
</workbook>
</file>

<file path=xl/calcChain.xml><?xml version="1.0" encoding="utf-8"?>
<calcChain xmlns="http://schemas.openxmlformats.org/spreadsheetml/2006/main">
  <c r="J440" i="1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  <c r="G440" l="1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<sst xmlns="http://schemas.openxmlformats.org/spreadsheetml/2006/main" count="1883" uniqueCount="230">
  <si>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</si>
  <si>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</si>
  <si>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</si>
  <si>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</si>
  <si>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</si>
  <si>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</si>
  <si>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</si>
  <si>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</si>
  <si>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</si>
  <si>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</si>
  <si>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</si>
  <si>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</si>
  <si>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</si>
  <si>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</si>
  <si>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</si>
  <si>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</si>
  <si>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</si>
  <si>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</si>
  <si>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</si>
  <si>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</si>
  <si>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</si>
  <si>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</si>
  <si>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</si>
  <si>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</si>
  <si>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</si>
  <si>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</si>
  <si>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</si>
  <si>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</si>
  <si>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</si>
  <si>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</si>
  <si>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</si>
  <si>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</si>
  <si>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</si>
  <si>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</si>
  <si>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</si>
  <si>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</si>
  <si>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</si>
  <si>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</si>
  <si>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</si>
  <si>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</si>
  <si>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</si>
  <si>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</si>
  <si>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</si>
  <si>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</si>
  <si>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</si>
  <si>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</si>
  <si>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</si>
  <si>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</si>
  <si>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</si>
  <si>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</si>
  <si>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</si>
  <si>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</si>
  <si>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</si>
  <si>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PURPLE BUBBLY</t>
  </si>
  <si>
    <t>026PURPLE BUBBLY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</si>
  <si>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</si>
  <si>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</si>
  <si>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</si>
  <si>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</si>
  <si>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</si>
  <si>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</si>
  <si>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</si>
  <si>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</si>
  <si>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</si>
  <si>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</si>
  <si>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</si>
  <si>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</si>
  <si>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</si>
  <si>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</si>
  <si>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</si>
  <si>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</si>
  <si>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</si>
  <si>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</si>
  <si>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</si>
  <si>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</si>
  <si>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</si>
  <si>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</si>
  <si>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</si>
  <si>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</si>
  <si>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</si>
  <si>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</si>
  <si>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</si>
  <si>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</si>
  <si>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</si>
  <si>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</si>
  <si>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</si>
  <si>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</si>
  <si>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</si>
  <si>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</si>
  <si>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</si>
  <si>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</si>
  <si>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</si>
  <si>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</si>
  <si>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</si>
  <si>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</si>
  <si>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</si>
  <si>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</si>
  <si>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</si>
  <si>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</si>
  <si>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</si>
  <si>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</si>
  <si>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</si>
  <si>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</si>
  <si>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</si>
  <si>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</si>
  <si>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</si>
  <si>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</si>
  <si>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</si>
  <si>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</si>
  <si>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</si>
  <si>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</si>
  <si>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</si>
  <si>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</si>
  <si>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</si>
  <si>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</si>
  <si>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</si>
  <si>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007SUMMER ROMANCE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</si>
  <si>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</si>
  <si>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</si>
  <si>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</si>
  <si>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</si>
  <si>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</si>
  <si>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</si>
  <si>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</si>
  <si>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</si>
  <si>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</si>
  <si>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</si>
  <si>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</si>
  <si>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</si>
  <si>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</si>
  <si>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</si>
  <si>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</si>
  <si>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</si>
  <si>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</si>
  <si>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</si>
  <si>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</si>
  <si>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</si>
  <si>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</si>
  <si>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</si>
  <si>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</si>
  <si>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</si>
  <si>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</si>
  <si>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</si>
  <si>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</si>
  <si>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</si>
  <si>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</si>
  <si>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</si>
  <si>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</si>
  <si>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</si>
  <si>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</si>
  <si>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</si>
  <si>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</si>
  <si>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</si>
  <si>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</si>
  <si>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</si>
  <si>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</si>
  <si>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</si>
  <si>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</si>
  <si>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</si>
  <si>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</si>
  <si>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</si>
  <si>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</si>
  <si>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</si>
  <si>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</si>
  <si>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</si>
  <si>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</si>
  <si>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</si>
  <si>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</si>
  <si>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</si>
  <si>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</si>
  <si>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</si>
  <si>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</si>
  <si>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</si>
  <si>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</si>
  <si>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</si>
  <si>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</si>
  <si>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</si>
  <si>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</si>
  <si>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</si>
  <si>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</si>
  <si>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</si>
  <si>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</si>
  <si>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</si>
  <si>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008LUMIA</t>
  </si>
  <si>
    <t>PISTACHIO KISS</t>
  </si>
  <si>
    <t>021PISTACHIO KISS</t>
  </si>
  <si>
    <t>IDOLE</t>
  </si>
  <si>
    <t>001IDOLE</t>
  </si>
  <si>
    <t>Variedad_proyectada</t>
  </si>
  <si>
    <t>area_calculada_m2</t>
  </si>
  <si>
    <t>m2_variedad</t>
  </si>
  <si>
    <t>porcentaje_amortiguador_sobre_m2_variedad</t>
  </si>
  <si>
    <t>promedio_tallos_m2_ultimas_12_semanas</t>
  </si>
  <si>
    <t>producto_m2_por_promedio_tallos_m2</t>
  </si>
  <si>
    <t>Produccion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</si>
  <si>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</si>
  <si>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</si>
  <si>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</si>
  <si>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</si>
  <si>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</si>
  <si>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</si>
  <si>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</si>
  <si>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</si>
  <si>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</si>
  <si>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</si>
  <si>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</si>
  <si>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</si>
  <si>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</si>
  <si>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</si>
  <si>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026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</si>
  <si>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</si>
  <si>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</si>
  <si>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</si>
  <si>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</si>
  <si>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</si>
  <si>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</si>
  <si>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</si>
  <si>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</si>
  <si>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</si>
  <si>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</si>
  <si>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</si>
  <si>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</si>
  <si>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</si>
  <si>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</si>
  <si>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</si>
  <si>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027</t>
  </si>
  <si>
    <t>028</t>
  </si>
  <si>
    <t>029</t>
  </si>
  <si>
    <t>%dif</t>
  </si>
  <si>
    <t>Ajuste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</si>
</sst>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0"/>
  <sheetViews>
    <sheetView tabSelected="1" topLeftCell="A424" workbookViewId="0">
      <selection activeCell="H2" sqref="H2:H440"/>
    </sheetView>
  </sheetViews>
  <sheetFormatPr baseColWidth="10" defaultColWidth="9.14062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194</v>
      </c>
      <c r="J1" t="s">
        <v>228</v>
      </c>
      <c r="K1" t="s">
        <v>229</v>
      </c>
    </row>
    <row r="2" spans="1:11">
      <c r="A2">
        <v>2026</v>
      </c>
      <c r="B2">
        <v>32</v>
      </c>
      <c r="C2" t="s">
        <v>8</v>
      </c>
      <c r="D2" t="s">
        <v>9</v>
      </c>
      <c r="E2" t="s">
        <v>195</v>
      </c>
      <c r="F2" t="s">
        <v>10</v>
      </c>
      <c r="G2" t="str">
        <f>+B2&amp;E2&amp;F2</f>
        <v>32002SOMERSET</v>
      </c>
      <c r="H2">
        <v>7612</v>
      </c>
      <c r="I2">
        <v>8231</v>
      </c>
      <c r="J2">
        <f>+(I2-H2)/I2</f>
        <v>7.5203498967318677E-2</v>
      </c>
    </row>
    <row r="3" spans="1:11">
      <c r="A3">
        <v>2026</v>
      </c>
      <c r="B3">
        <v>32</v>
      </c>
      <c r="C3" t="s">
        <v>8</v>
      </c>
      <c r="D3" t="s">
        <v>9</v>
      </c>
      <c r="E3" t="s">
        <v>196</v>
      </c>
      <c r="F3" t="s">
        <v>12</v>
      </c>
      <c r="G3" t="str">
        <f t="shared" ref="G3:G66" si="0">+B3&amp;E3&amp;F3</f>
        <v>32004BELLINA</v>
      </c>
      <c r="H3">
        <v>1222</v>
      </c>
      <c r="I3">
        <v>1248</v>
      </c>
      <c r="J3">
        <f t="shared" ref="J3:J66" si="1">+(I3-H3)/I3</f>
        <v>2.0833333333333332E-2</v>
      </c>
    </row>
    <row r="4" spans="1:11">
      <c r="A4">
        <v>2026</v>
      </c>
      <c r="B4">
        <v>32</v>
      </c>
      <c r="C4" t="s">
        <v>8</v>
      </c>
      <c r="D4" t="s">
        <v>9</v>
      </c>
      <c r="E4" t="s">
        <v>197</v>
      </c>
      <c r="F4" t="s">
        <v>14</v>
      </c>
      <c r="G4" t="str">
        <f t="shared" si="0"/>
        <v>32005ELBA</v>
      </c>
      <c r="H4">
        <v>8224</v>
      </c>
      <c r="I4">
        <v>7573</v>
      </c>
      <c r="J4">
        <f t="shared" si="1"/>
        <v>-8.596329063779215E-2</v>
      </c>
    </row>
    <row r="5" spans="1:11">
      <c r="A5">
        <v>2026</v>
      </c>
      <c r="B5">
        <v>32</v>
      </c>
      <c r="C5" t="s">
        <v>8</v>
      </c>
      <c r="D5" t="s">
        <v>9</v>
      </c>
      <c r="E5" t="s">
        <v>197</v>
      </c>
      <c r="F5" t="s">
        <v>16</v>
      </c>
      <c r="G5" t="str">
        <f t="shared" si="0"/>
        <v>32005HOT BUBBLES</v>
      </c>
      <c r="H5">
        <v>1445</v>
      </c>
      <c r="I5">
        <v>1090</v>
      </c>
      <c r="J5">
        <f t="shared" si="1"/>
        <v>-0.3256880733944954</v>
      </c>
    </row>
    <row r="6" spans="1:11">
      <c r="A6">
        <v>2026</v>
      </c>
      <c r="B6">
        <v>32</v>
      </c>
      <c r="C6" t="s">
        <v>8</v>
      </c>
      <c r="D6" t="s">
        <v>9</v>
      </c>
      <c r="E6" t="s">
        <v>197</v>
      </c>
      <c r="F6" t="s">
        <v>18</v>
      </c>
      <c r="G6" t="str">
        <f t="shared" si="0"/>
        <v>32005SUSPIRO</v>
      </c>
      <c r="H6">
        <v>4956</v>
      </c>
      <c r="I6">
        <v>3342</v>
      </c>
      <c r="J6">
        <f t="shared" si="1"/>
        <v>-0.48294434470377018</v>
      </c>
    </row>
    <row r="7" spans="1:11">
      <c r="A7">
        <v>2026</v>
      </c>
      <c r="B7">
        <v>32</v>
      </c>
      <c r="C7" t="s">
        <v>8</v>
      </c>
      <c r="D7" t="s">
        <v>9</v>
      </c>
      <c r="E7" t="s">
        <v>198</v>
      </c>
      <c r="F7" t="s">
        <v>20</v>
      </c>
      <c r="G7" t="str">
        <f t="shared" si="0"/>
        <v>32007SNOW BUBBLES</v>
      </c>
      <c r="H7">
        <v>1131</v>
      </c>
      <c r="I7">
        <v>808</v>
      </c>
      <c r="J7">
        <f t="shared" si="1"/>
        <v>-0.39975247524752477</v>
      </c>
    </row>
    <row r="8" spans="1:11">
      <c r="A8">
        <v>2026</v>
      </c>
      <c r="B8">
        <v>32</v>
      </c>
      <c r="C8" t="s">
        <v>8</v>
      </c>
      <c r="D8" t="s">
        <v>9</v>
      </c>
      <c r="E8" t="s">
        <v>199</v>
      </c>
      <c r="F8" t="s">
        <v>16</v>
      </c>
      <c r="G8" t="str">
        <f t="shared" si="0"/>
        <v>32009HOT BUBBLES</v>
      </c>
      <c r="H8">
        <v>9491</v>
      </c>
      <c r="I8">
        <v>9253</v>
      </c>
      <c r="J8">
        <f t="shared" si="1"/>
        <v>-2.5721387658056847E-2</v>
      </c>
    </row>
    <row r="9" spans="1:11">
      <c r="A9">
        <v>2026</v>
      </c>
      <c r="B9">
        <v>32</v>
      </c>
      <c r="C9" t="s">
        <v>8</v>
      </c>
      <c r="D9" t="s">
        <v>9</v>
      </c>
      <c r="E9" t="s">
        <v>200</v>
      </c>
      <c r="F9" t="s">
        <v>23</v>
      </c>
      <c r="G9" t="str">
        <f t="shared" si="0"/>
        <v>32014FRUITY BUBBLES</v>
      </c>
      <c r="H9">
        <v>3829</v>
      </c>
      <c r="I9">
        <v>3965</v>
      </c>
      <c r="J9">
        <f t="shared" si="1"/>
        <v>3.4300126103404792E-2</v>
      </c>
    </row>
    <row r="10" spans="1:11">
      <c r="A10">
        <v>2026</v>
      </c>
      <c r="B10">
        <v>32</v>
      </c>
      <c r="C10" t="s">
        <v>8</v>
      </c>
      <c r="D10" t="s">
        <v>9</v>
      </c>
      <c r="E10" t="s">
        <v>201</v>
      </c>
      <c r="F10" t="s">
        <v>25</v>
      </c>
      <c r="G10" t="str">
        <f t="shared" si="0"/>
        <v>32015FELLINI</v>
      </c>
      <c r="H10">
        <v>6819</v>
      </c>
      <c r="I10">
        <v>6414</v>
      </c>
      <c r="J10">
        <f t="shared" si="1"/>
        <v>-6.3143124415341437E-2</v>
      </c>
    </row>
    <row r="11" spans="1:11">
      <c r="A11">
        <v>2026</v>
      </c>
      <c r="B11">
        <v>32</v>
      </c>
      <c r="C11" t="s">
        <v>8</v>
      </c>
      <c r="D11" t="s">
        <v>9</v>
      </c>
      <c r="E11" t="s">
        <v>202</v>
      </c>
      <c r="F11" t="s">
        <v>27</v>
      </c>
      <c r="G11" t="str">
        <f t="shared" si="0"/>
        <v>32016GOOD PEACH</v>
      </c>
      <c r="H11">
        <v>3685</v>
      </c>
      <c r="I11">
        <v>2789</v>
      </c>
      <c r="J11">
        <f t="shared" si="1"/>
        <v>-0.32126210111150949</v>
      </c>
    </row>
    <row r="12" spans="1:11">
      <c r="A12">
        <v>2026</v>
      </c>
      <c r="B12">
        <v>32</v>
      </c>
      <c r="C12" t="s">
        <v>8</v>
      </c>
      <c r="D12" t="s">
        <v>9</v>
      </c>
      <c r="E12" t="s">
        <v>202</v>
      </c>
      <c r="F12" t="s">
        <v>29</v>
      </c>
      <c r="G12" t="str">
        <f t="shared" si="0"/>
        <v>32016GOOD YELLOW</v>
      </c>
      <c r="H12">
        <v>3076</v>
      </c>
      <c r="I12">
        <v>2830</v>
      </c>
      <c r="J12">
        <f t="shared" si="1"/>
        <v>-8.6925795053003532E-2</v>
      </c>
    </row>
    <row r="13" spans="1:11">
      <c r="A13">
        <v>2026</v>
      </c>
      <c r="B13">
        <v>32</v>
      </c>
      <c r="C13" t="s">
        <v>8</v>
      </c>
      <c r="D13" t="s">
        <v>9</v>
      </c>
      <c r="E13" t="s">
        <v>203</v>
      </c>
      <c r="F13" t="s">
        <v>31</v>
      </c>
      <c r="G13" t="str">
        <f t="shared" si="0"/>
        <v>32017ORANGE STAR</v>
      </c>
      <c r="H13">
        <v>1462</v>
      </c>
      <c r="I13">
        <v>1351</v>
      </c>
      <c r="J13">
        <f t="shared" si="1"/>
        <v>-8.2161361954108073E-2</v>
      </c>
    </row>
    <row r="14" spans="1:11">
      <c r="A14">
        <v>2026</v>
      </c>
      <c r="B14">
        <v>32</v>
      </c>
      <c r="C14" t="s">
        <v>8</v>
      </c>
      <c r="D14" t="s">
        <v>9</v>
      </c>
      <c r="E14" t="s">
        <v>204</v>
      </c>
      <c r="F14" t="s">
        <v>33</v>
      </c>
      <c r="G14" t="str">
        <f t="shared" si="0"/>
        <v>32018COSMO</v>
      </c>
      <c r="H14">
        <v>6099</v>
      </c>
      <c r="I14">
        <v>6664</v>
      </c>
      <c r="J14">
        <f t="shared" si="1"/>
        <v>8.4783913565426167E-2</v>
      </c>
    </row>
    <row r="15" spans="1:11">
      <c r="A15">
        <v>2026</v>
      </c>
      <c r="B15">
        <v>32</v>
      </c>
      <c r="C15" t="s">
        <v>8</v>
      </c>
      <c r="D15" t="s">
        <v>9</v>
      </c>
      <c r="E15" t="s">
        <v>204</v>
      </c>
      <c r="F15" t="s">
        <v>35</v>
      </c>
      <c r="G15" t="str">
        <f t="shared" si="0"/>
        <v>32018RUBICON</v>
      </c>
      <c r="H15">
        <v>5176</v>
      </c>
      <c r="I15">
        <v>4050</v>
      </c>
      <c r="J15">
        <f t="shared" si="1"/>
        <v>-0.27802469135802471</v>
      </c>
    </row>
    <row r="16" spans="1:11">
      <c r="A16">
        <v>2026</v>
      </c>
      <c r="B16">
        <v>32</v>
      </c>
      <c r="C16" t="s">
        <v>8</v>
      </c>
      <c r="D16" t="s">
        <v>9</v>
      </c>
      <c r="E16" t="s">
        <v>205</v>
      </c>
      <c r="F16" t="s">
        <v>12</v>
      </c>
      <c r="G16" t="str">
        <f t="shared" si="0"/>
        <v>32019BELLINA</v>
      </c>
      <c r="H16">
        <v>1319</v>
      </c>
      <c r="I16">
        <v>1337</v>
      </c>
      <c r="J16">
        <f t="shared" si="1"/>
        <v>1.3462976813762155E-2</v>
      </c>
    </row>
    <row r="17" spans="1:10">
      <c r="A17">
        <v>2026</v>
      </c>
      <c r="B17">
        <v>32</v>
      </c>
      <c r="C17" t="s">
        <v>8</v>
      </c>
      <c r="D17" t="s">
        <v>9</v>
      </c>
      <c r="E17" t="s">
        <v>206</v>
      </c>
      <c r="F17" t="s">
        <v>38</v>
      </c>
      <c r="G17" t="str">
        <f t="shared" si="0"/>
        <v>32020SUMMER DANCE</v>
      </c>
      <c r="H17">
        <v>4361</v>
      </c>
      <c r="I17">
        <v>3182</v>
      </c>
      <c r="J17">
        <f t="shared" si="1"/>
        <v>-0.37052168447517286</v>
      </c>
    </row>
    <row r="18" spans="1:10">
      <c r="A18">
        <v>2026</v>
      </c>
      <c r="B18">
        <v>32</v>
      </c>
      <c r="C18" t="s">
        <v>8</v>
      </c>
      <c r="D18" t="s">
        <v>9</v>
      </c>
      <c r="E18" t="s">
        <v>207</v>
      </c>
      <c r="F18" t="s">
        <v>40</v>
      </c>
      <c r="G18" t="str">
        <f t="shared" si="0"/>
        <v>32021ELEGANT ROSEVER</v>
      </c>
      <c r="H18">
        <v>956</v>
      </c>
      <c r="I18">
        <v>591</v>
      </c>
      <c r="J18">
        <f t="shared" si="1"/>
        <v>-0.61759729272419628</v>
      </c>
    </row>
    <row r="19" spans="1:10">
      <c r="A19">
        <v>2026</v>
      </c>
      <c r="B19">
        <v>32</v>
      </c>
      <c r="C19" t="s">
        <v>8</v>
      </c>
      <c r="D19" t="s">
        <v>9</v>
      </c>
      <c r="E19" t="s">
        <v>207</v>
      </c>
      <c r="F19" t="s">
        <v>42</v>
      </c>
      <c r="G19" t="str">
        <f t="shared" si="0"/>
        <v>32021FLAME CLUB</v>
      </c>
      <c r="H19">
        <v>2283</v>
      </c>
      <c r="I19">
        <v>2118</v>
      </c>
      <c r="J19">
        <f t="shared" si="1"/>
        <v>-7.7903682719546744E-2</v>
      </c>
    </row>
    <row r="20" spans="1:10">
      <c r="A20">
        <v>2026</v>
      </c>
      <c r="B20">
        <v>32</v>
      </c>
      <c r="C20" t="s">
        <v>8</v>
      </c>
      <c r="D20" t="s">
        <v>9</v>
      </c>
      <c r="E20" t="s">
        <v>207</v>
      </c>
      <c r="F20" t="s">
        <v>44</v>
      </c>
      <c r="G20" t="str">
        <f t="shared" si="0"/>
        <v>32021KELLY</v>
      </c>
      <c r="H20">
        <v>400</v>
      </c>
      <c r="I20">
        <v>466</v>
      </c>
      <c r="J20">
        <f t="shared" si="1"/>
        <v>0.14163090128755365</v>
      </c>
    </row>
    <row r="21" spans="1:10">
      <c r="A21">
        <v>2026</v>
      </c>
      <c r="B21">
        <v>32</v>
      </c>
      <c r="C21" t="s">
        <v>8</v>
      </c>
      <c r="D21" t="s">
        <v>9</v>
      </c>
      <c r="E21" t="s">
        <v>207</v>
      </c>
      <c r="F21" t="s">
        <v>46</v>
      </c>
      <c r="G21" t="str">
        <f t="shared" si="0"/>
        <v>32021LEILA</v>
      </c>
      <c r="H21">
        <v>3264</v>
      </c>
      <c r="I21">
        <v>2167</v>
      </c>
      <c r="J21">
        <f t="shared" si="1"/>
        <v>-0.50622981079833873</v>
      </c>
    </row>
    <row r="22" spans="1:10">
      <c r="A22">
        <v>2026</v>
      </c>
      <c r="B22">
        <v>32</v>
      </c>
      <c r="C22" t="s">
        <v>8</v>
      </c>
      <c r="D22" t="s">
        <v>9</v>
      </c>
      <c r="E22" t="s">
        <v>207</v>
      </c>
      <c r="F22" t="s">
        <v>20</v>
      </c>
      <c r="G22" t="str">
        <f t="shared" si="0"/>
        <v>32021SNOW BUBBLES</v>
      </c>
      <c r="H22">
        <v>3207</v>
      </c>
      <c r="I22">
        <v>3517</v>
      </c>
      <c r="J22">
        <f t="shared" si="1"/>
        <v>8.8143303952232022E-2</v>
      </c>
    </row>
    <row r="23" spans="1:10">
      <c r="A23">
        <v>2026</v>
      </c>
      <c r="B23">
        <v>32</v>
      </c>
      <c r="C23" t="s">
        <v>8</v>
      </c>
      <c r="D23" t="s">
        <v>9</v>
      </c>
      <c r="E23" t="s">
        <v>208</v>
      </c>
      <c r="F23" t="s">
        <v>23</v>
      </c>
      <c r="G23" t="str">
        <f t="shared" si="0"/>
        <v>32022FRUITY BUBBLES</v>
      </c>
      <c r="H23">
        <v>7456</v>
      </c>
      <c r="I23">
        <v>5589</v>
      </c>
      <c r="J23">
        <f t="shared" si="1"/>
        <v>-0.33404902487028093</v>
      </c>
    </row>
    <row r="24" spans="1:10">
      <c r="A24">
        <v>2026</v>
      </c>
      <c r="B24">
        <v>32</v>
      </c>
      <c r="C24" t="s">
        <v>8</v>
      </c>
      <c r="D24" t="s">
        <v>9</v>
      </c>
      <c r="E24" t="s">
        <v>208</v>
      </c>
      <c r="F24" t="s">
        <v>27</v>
      </c>
      <c r="G24" t="str">
        <f t="shared" si="0"/>
        <v>32022GOOD PEACH</v>
      </c>
      <c r="H24">
        <v>2110</v>
      </c>
      <c r="I24">
        <v>1962</v>
      </c>
      <c r="J24">
        <f t="shared" si="1"/>
        <v>-7.5433231396534142E-2</v>
      </c>
    </row>
    <row r="25" spans="1:10">
      <c r="A25">
        <v>2026</v>
      </c>
      <c r="B25">
        <v>32</v>
      </c>
      <c r="C25" t="s">
        <v>8</v>
      </c>
      <c r="D25" t="s">
        <v>9</v>
      </c>
      <c r="E25" t="s">
        <v>208</v>
      </c>
      <c r="F25" t="s">
        <v>51</v>
      </c>
      <c r="G25" t="str">
        <f t="shared" si="0"/>
        <v>32022MIRABEL</v>
      </c>
      <c r="H25">
        <v>1681</v>
      </c>
      <c r="I25">
        <v>1425</v>
      </c>
      <c r="J25">
        <f t="shared" si="1"/>
        <v>-0.17964912280701753</v>
      </c>
    </row>
    <row r="26" spans="1:10">
      <c r="A26">
        <v>2026</v>
      </c>
      <c r="B26">
        <v>32</v>
      </c>
      <c r="C26" t="s">
        <v>8</v>
      </c>
      <c r="D26" t="s">
        <v>9</v>
      </c>
      <c r="E26" t="s">
        <v>209</v>
      </c>
      <c r="F26" t="s">
        <v>53</v>
      </c>
      <c r="G26" t="str">
        <f t="shared" si="0"/>
        <v>32026PURPLE BUBBLY</v>
      </c>
      <c r="H26">
        <v>450</v>
      </c>
      <c r="I26" t="e">
        <v>#N/A</v>
      </c>
      <c r="J26" t="e">
        <f t="shared" si="1"/>
        <v>#N/A</v>
      </c>
    </row>
    <row r="27" spans="1:10">
      <c r="A27">
        <v>2026</v>
      </c>
      <c r="B27">
        <v>32</v>
      </c>
      <c r="C27" t="s">
        <v>8</v>
      </c>
      <c r="D27" t="s">
        <v>9</v>
      </c>
      <c r="E27" t="s">
        <v>210</v>
      </c>
      <c r="F27" t="s">
        <v>51</v>
      </c>
      <c r="G27" t="str">
        <f t="shared" si="0"/>
        <v>32030MIRABEL</v>
      </c>
      <c r="H27">
        <v>4924</v>
      </c>
      <c r="I27">
        <v>3850</v>
      </c>
      <c r="J27">
        <f t="shared" si="1"/>
        <v>-0.27896103896103897</v>
      </c>
    </row>
    <row r="28" spans="1:10">
      <c r="A28">
        <v>2026</v>
      </c>
      <c r="B28">
        <v>32</v>
      </c>
      <c r="C28" t="s">
        <v>8</v>
      </c>
      <c r="D28" t="s">
        <v>9</v>
      </c>
      <c r="E28" t="s">
        <v>210</v>
      </c>
      <c r="F28" t="s">
        <v>10</v>
      </c>
      <c r="G28" t="str">
        <f t="shared" si="0"/>
        <v>32030SOMERSET</v>
      </c>
      <c r="H28">
        <v>2605</v>
      </c>
      <c r="I28">
        <v>2871</v>
      </c>
      <c r="J28">
        <f t="shared" si="1"/>
        <v>9.2650644374782307E-2</v>
      </c>
    </row>
    <row r="29" spans="1:10">
      <c r="A29">
        <v>2026</v>
      </c>
      <c r="B29">
        <v>32</v>
      </c>
      <c r="C29" t="s">
        <v>8</v>
      </c>
      <c r="D29" t="s">
        <v>9</v>
      </c>
      <c r="E29" t="s">
        <v>211</v>
      </c>
      <c r="F29" t="s">
        <v>57</v>
      </c>
      <c r="G29" t="str">
        <f t="shared" si="0"/>
        <v>3203182989</v>
      </c>
      <c r="H29">
        <v>2054</v>
      </c>
      <c r="I29">
        <v>1311</v>
      </c>
      <c r="J29">
        <f t="shared" si="1"/>
        <v>-0.56674294431731498</v>
      </c>
    </row>
    <row r="30" spans="1:10">
      <c r="A30">
        <v>2026</v>
      </c>
      <c r="B30">
        <v>32</v>
      </c>
      <c r="C30" t="s">
        <v>8</v>
      </c>
      <c r="D30" t="s">
        <v>9</v>
      </c>
      <c r="E30" t="s">
        <v>211</v>
      </c>
      <c r="F30" t="s">
        <v>35</v>
      </c>
      <c r="G30" t="str">
        <f t="shared" si="0"/>
        <v>32031RUBICON</v>
      </c>
      <c r="H30">
        <v>2454</v>
      </c>
      <c r="I30">
        <v>1816</v>
      </c>
      <c r="J30">
        <f t="shared" si="1"/>
        <v>-0.35132158590308371</v>
      </c>
    </row>
    <row r="31" spans="1:10">
      <c r="A31">
        <v>2026</v>
      </c>
      <c r="B31">
        <v>32</v>
      </c>
      <c r="C31" t="s">
        <v>8</v>
      </c>
      <c r="D31" t="s">
        <v>9</v>
      </c>
      <c r="E31" t="s">
        <v>211</v>
      </c>
      <c r="F31" t="s">
        <v>10</v>
      </c>
      <c r="G31" t="str">
        <f t="shared" si="0"/>
        <v>32031SOMERSET</v>
      </c>
      <c r="H31">
        <v>1504</v>
      </c>
      <c r="I31">
        <v>1628</v>
      </c>
      <c r="J31">
        <f t="shared" si="1"/>
        <v>7.6167076167076173E-2</v>
      </c>
    </row>
    <row r="32" spans="1:10">
      <c r="A32">
        <v>2026</v>
      </c>
      <c r="B32">
        <v>32</v>
      </c>
      <c r="C32" t="s">
        <v>8</v>
      </c>
      <c r="D32" t="s">
        <v>9</v>
      </c>
      <c r="E32" t="s">
        <v>211</v>
      </c>
      <c r="F32" t="s">
        <v>61</v>
      </c>
      <c r="G32" t="str">
        <f t="shared" si="0"/>
        <v>32031VELVET BLOSSOMS</v>
      </c>
      <c r="H32">
        <v>687</v>
      </c>
      <c r="I32">
        <v>615</v>
      </c>
      <c r="J32">
        <f t="shared" si="1"/>
        <v>-0.11707317073170732</v>
      </c>
    </row>
    <row r="33" spans="1:10">
      <c r="A33">
        <v>2026</v>
      </c>
      <c r="B33">
        <v>32</v>
      </c>
      <c r="C33" t="s">
        <v>8</v>
      </c>
      <c r="D33" t="s">
        <v>9</v>
      </c>
      <c r="E33" t="s">
        <v>212</v>
      </c>
      <c r="F33" t="s">
        <v>14</v>
      </c>
      <c r="G33" t="str">
        <f t="shared" si="0"/>
        <v>32032ELBA</v>
      </c>
      <c r="H33">
        <v>3032</v>
      </c>
      <c r="I33">
        <v>3075</v>
      </c>
      <c r="J33">
        <f t="shared" si="1"/>
        <v>1.3983739837398375E-2</v>
      </c>
    </row>
    <row r="34" spans="1:10">
      <c r="A34">
        <v>2026</v>
      </c>
      <c r="B34">
        <v>32</v>
      </c>
      <c r="C34" t="s">
        <v>8</v>
      </c>
      <c r="D34" t="s">
        <v>9</v>
      </c>
      <c r="E34" t="s">
        <v>212</v>
      </c>
      <c r="F34" t="s">
        <v>51</v>
      </c>
      <c r="G34" t="str">
        <f t="shared" si="0"/>
        <v>32032MIRABEL</v>
      </c>
      <c r="H34">
        <v>2023</v>
      </c>
      <c r="I34">
        <v>1712</v>
      </c>
      <c r="J34">
        <f t="shared" si="1"/>
        <v>-0.18165887850467291</v>
      </c>
    </row>
    <row r="35" spans="1:10">
      <c r="A35">
        <v>2026</v>
      </c>
      <c r="B35">
        <v>32</v>
      </c>
      <c r="C35" t="s">
        <v>8</v>
      </c>
      <c r="D35" t="s">
        <v>9</v>
      </c>
      <c r="E35" t="s">
        <v>213</v>
      </c>
      <c r="F35" t="s">
        <v>65</v>
      </c>
      <c r="G35" t="str">
        <f t="shared" si="0"/>
        <v>32033CREAMY FOLIES</v>
      </c>
      <c r="H35">
        <v>1262</v>
      </c>
      <c r="I35">
        <v>1211</v>
      </c>
      <c r="J35">
        <f t="shared" si="1"/>
        <v>-4.2113955408753095E-2</v>
      </c>
    </row>
    <row r="36" spans="1:10">
      <c r="A36">
        <v>2026</v>
      </c>
      <c r="B36">
        <v>32</v>
      </c>
      <c r="C36" t="s">
        <v>8</v>
      </c>
      <c r="D36" t="s">
        <v>9</v>
      </c>
      <c r="E36" t="s">
        <v>213</v>
      </c>
      <c r="F36" t="s">
        <v>16</v>
      </c>
      <c r="G36" t="str">
        <f t="shared" si="0"/>
        <v>32033HOT BUBBLES</v>
      </c>
      <c r="H36">
        <v>3556</v>
      </c>
      <c r="I36">
        <v>2709</v>
      </c>
      <c r="J36">
        <f t="shared" si="1"/>
        <v>-0.31266149870801035</v>
      </c>
    </row>
    <row r="37" spans="1:10">
      <c r="A37">
        <v>2026</v>
      </c>
      <c r="B37">
        <v>32</v>
      </c>
      <c r="C37" t="s">
        <v>68</v>
      </c>
      <c r="D37" t="s">
        <v>9</v>
      </c>
      <c r="E37" t="s">
        <v>214</v>
      </c>
      <c r="F37" t="s">
        <v>69</v>
      </c>
      <c r="G37" t="str">
        <f t="shared" si="0"/>
        <v>32001BELIEVE IN PINK</v>
      </c>
      <c r="H37">
        <v>1436</v>
      </c>
      <c r="I37">
        <v>1185</v>
      </c>
      <c r="J37">
        <f t="shared" si="1"/>
        <v>-0.21181434599156118</v>
      </c>
    </row>
    <row r="38" spans="1:10">
      <c r="A38">
        <v>2026</v>
      </c>
      <c r="B38">
        <v>32</v>
      </c>
      <c r="C38" t="s">
        <v>68</v>
      </c>
      <c r="D38" t="s">
        <v>9</v>
      </c>
      <c r="E38" t="s">
        <v>214</v>
      </c>
      <c r="F38" t="s">
        <v>71</v>
      </c>
      <c r="G38" t="str">
        <f t="shared" si="0"/>
        <v>32001EXPLORER</v>
      </c>
      <c r="H38">
        <v>2729</v>
      </c>
      <c r="I38">
        <v>3398</v>
      </c>
      <c r="J38">
        <f t="shared" si="1"/>
        <v>0.19688051795173631</v>
      </c>
    </row>
    <row r="39" spans="1:10">
      <c r="A39">
        <v>2026</v>
      </c>
      <c r="B39">
        <v>32</v>
      </c>
      <c r="C39" t="s">
        <v>68</v>
      </c>
      <c r="D39" t="s">
        <v>9</v>
      </c>
      <c r="E39" t="s">
        <v>214</v>
      </c>
      <c r="F39" t="s">
        <v>73</v>
      </c>
      <c r="G39" t="str">
        <f t="shared" si="0"/>
        <v>32001GRACE KELLY</v>
      </c>
      <c r="H39">
        <v>1851</v>
      </c>
      <c r="I39">
        <v>1298</v>
      </c>
      <c r="J39">
        <f t="shared" si="1"/>
        <v>-0.42604006163328195</v>
      </c>
    </row>
    <row r="40" spans="1:10">
      <c r="A40">
        <v>2026</v>
      </c>
      <c r="B40">
        <v>32</v>
      </c>
      <c r="C40" t="s">
        <v>68</v>
      </c>
      <c r="D40" t="s">
        <v>9</v>
      </c>
      <c r="E40" t="s">
        <v>214</v>
      </c>
      <c r="F40" t="s">
        <v>75</v>
      </c>
      <c r="G40" t="str">
        <f t="shared" si="0"/>
        <v>32001LIGHT HOUSE</v>
      </c>
      <c r="H40">
        <v>1355</v>
      </c>
      <c r="I40">
        <v>1136</v>
      </c>
      <c r="J40">
        <f t="shared" si="1"/>
        <v>-0.19278169014084506</v>
      </c>
    </row>
    <row r="41" spans="1:10">
      <c r="A41">
        <v>2026</v>
      </c>
      <c r="B41">
        <v>32</v>
      </c>
      <c r="C41" t="s">
        <v>68</v>
      </c>
      <c r="D41" t="s">
        <v>9</v>
      </c>
      <c r="E41" t="s">
        <v>214</v>
      </c>
      <c r="F41" t="s">
        <v>77</v>
      </c>
      <c r="G41" t="str">
        <f t="shared" si="0"/>
        <v>32001LUMIA</v>
      </c>
      <c r="H41">
        <v>2804</v>
      </c>
      <c r="I41">
        <v>2220</v>
      </c>
      <c r="J41">
        <f t="shared" si="1"/>
        <v>-0.26306306306306304</v>
      </c>
    </row>
    <row r="42" spans="1:10">
      <c r="A42">
        <v>2026</v>
      </c>
      <c r="B42">
        <v>32</v>
      </c>
      <c r="C42" t="s">
        <v>68</v>
      </c>
      <c r="D42" t="s">
        <v>9</v>
      </c>
      <c r="E42" t="s">
        <v>214</v>
      </c>
      <c r="F42" t="s">
        <v>79</v>
      </c>
      <c r="G42" t="str">
        <f t="shared" si="0"/>
        <v>32001MOMENTUM</v>
      </c>
      <c r="H42">
        <v>3453</v>
      </c>
      <c r="I42">
        <v>3949</v>
      </c>
      <c r="J42">
        <f t="shared" si="1"/>
        <v>0.12560141808052672</v>
      </c>
    </row>
    <row r="43" spans="1:10">
      <c r="A43">
        <v>2026</v>
      </c>
      <c r="B43">
        <v>32</v>
      </c>
      <c r="C43" t="s">
        <v>68</v>
      </c>
      <c r="D43" t="s">
        <v>9</v>
      </c>
      <c r="E43" t="s">
        <v>195</v>
      </c>
      <c r="F43" t="s">
        <v>81</v>
      </c>
      <c r="G43" t="str">
        <f t="shared" si="0"/>
        <v>32002SUMMER ROMANCE</v>
      </c>
      <c r="H43">
        <v>1627</v>
      </c>
      <c r="I43">
        <v>1540</v>
      </c>
      <c r="J43">
        <f t="shared" si="1"/>
        <v>-5.6493506493506492E-2</v>
      </c>
    </row>
    <row r="44" spans="1:10">
      <c r="A44">
        <v>2026</v>
      </c>
      <c r="B44">
        <v>32</v>
      </c>
      <c r="C44" t="s">
        <v>68</v>
      </c>
      <c r="D44" t="s">
        <v>9</v>
      </c>
      <c r="E44" t="s">
        <v>195</v>
      </c>
      <c r="F44" t="s">
        <v>83</v>
      </c>
      <c r="G44" t="str">
        <f t="shared" si="0"/>
        <v>32002SWEETNESS</v>
      </c>
      <c r="H44">
        <v>8090</v>
      </c>
      <c r="I44">
        <v>7062</v>
      </c>
      <c r="J44">
        <f t="shared" si="1"/>
        <v>-0.14556782781081848</v>
      </c>
    </row>
    <row r="45" spans="1:10">
      <c r="A45">
        <v>2026</v>
      </c>
      <c r="B45">
        <v>32</v>
      </c>
      <c r="C45" t="s">
        <v>68</v>
      </c>
      <c r="D45" t="s">
        <v>9</v>
      </c>
      <c r="E45" t="s">
        <v>215</v>
      </c>
      <c r="F45" t="s">
        <v>85</v>
      </c>
      <c r="G45" t="str">
        <f t="shared" si="0"/>
        <v>32003CABARET</v>
      </c>
      <c r="H45">
        <v>5458</v>
      </c>
      <c r="I45">
        <v>4535</v>
      </c>
      <c r="J45">
        <f t="shared" si="1"/>
        <v>-0.20352811466372658</v>
      </c>
    </row>
    <row r="46" spans="1:10">
      <c r="A46">
        <v>2026</v>
      </c>
      <c r="B46">
        <v>32</v>
      </c>
      <c r="C46" t="s">
        <v>68</v>
      </c>
      <c r="D46" t="s">
        <v>9</v>
      </c>
      <c r="E46" t="s">
        <v>215</v>
      </c>
      <c r="F46" t="s">
        <v>87</v>
      </c>
      <c r="G46" t="str">
        <f t="shared" si="0"/>
        <v>32003DEEP PURPLE</v>
      </c>
      <c r="H46">
        <v>7776</v>
      </c>
      <c r="I46">
        <v>7919</v>
      </c>
      <c r="J46">
        <f t="shared" si="1"/>
        <v>1.8057835585301173E-2</v>
      </c>
    </row>
    <row r="47" spans="1:10">
      <c r="A47">
        <v>2026</v>
      </c>
      <c r="B47">
        <v>32</v>
      </c>
      <c r="C47" t="s">
        <v>68</v>
      </c>
      <c r="D47" t="s">
        <v>9</v>
      </c>
      <c r="E47" t="s">
        <v>215</v>
      </c>
      <c r="F47" t="s">
        <v>71</v>
      </c>
      <c r="G47" t="str">
        <f t="shared" si="0"/>
        <v>32003EXPLORER</v>
      </c>
      <c r="H47">
        <v>1775</v>
      </c>
      <c r="I47">
        <v>1731</v>
      </c>
      <c r="J47">
        <f t="shared" si="1"/>
        <v>-2.5418833044482957E-2</v>
      </c>
    </row>
    <row r="48" spans="1:10">
      <c r="A48">
        <v>2026</v>
      </c>
      <c r="B48">
        <v>32</v>
      </c>
      <c r="C48" t="s">
        <v>68</v>
      </c>
      <c r="D48" t="s">
        <v>9</v>
      </c>
      <c r="E48" t="s">
        <v>215</v>
      </c>
      <c r="F48" t="s">
        <v>90</v>
      </c>
      <c r="G48" t="str">
        <f t="shared" si="0"/>
        <v>32003JOCKER</v>
      </c>
      <c r="H48">
        <v>793</v>
      </c>
      <c r="I48">
        <v>762</v>
      </c>
      <c r="J48">
        <f t="shared" si="1"/>
        <v>-4.0682414698162729E-2</v>
      </c>
    </row>
    <row r="49" spans="1:10">
      <c r="A49">
        <v>2026</v>
      </c>
      <c r="B49">
        <v>32</v>
      </c>
      <c r="C49" t="s">
        <v>68</v>
      </c>
      <c r="D49" t="s">
        <v>9</v>
      </c>
      <c r="E49" t="s">
        <v>215</v>
      </c>
      <c r="F49" t="s">
        <v>92</v>
      </c>
      <c r="G49" t="str">
        <f t="shared" si="0"/>
        <v>32003QUICKSAND</v>
      </c>
      <c r="H49">
        <v>1564</v>
      </c>
      <c r="I49">
        <v>1656</v>
      </c>
      <c r="J49">
        <f t="shared" si="1"/>
        <v>5.5555555555555552E-2</v>
      </c>
    </row>
    <row r="50" spans="1:10">
      <c r="A50">
        <v>2026</v>
      </c>
      <c r="B50">
        <v>32</v>
      </c>
      <c r="C50" t="s">
        <v>68</v>
      </c>
      <c r="D50" t="s">
        <v>9</v>
      </c>
      <c r="E50" t="s">
        <v>196</v>
      </c>
      <c r="F50" t="s">
        <v>94</v>
      </c>
      <c r="G50" t="str">
        <f t="shared" si="0"/>
        <v>32004COTOPAXI</v>
      </c>
      <c r="H50">
        <v>1309</v>
      </c>
      <c r="I50">
        <v>1101</v>
      </c>
      <c r="J50">
        <f t="shared" si="1"/>
        <v>-0.18891916439600362</v>
      </c>
    </row>
    <row r="51" spans="1:10">
      <c r="A51">
        <v>2026</v>
      </c>
      <c r="B51">
        <v>32</v>
      </c>
      <c r="C51" t="s">
        <v>68</v>
      </c>
      <c r="D51" t="s">
        <v>9</v>
      </c>
      <c r="E51" t="s">
        <v>196</v>
      </c>
      <c r="F51" t="s">
        <v>87</v>
      </c>
      <c r="G51" t="str">
        <f t="shared" si="0"/>
        <v>32004DEEP PURPLE</v>
      </c>
      <c r="H51">
        <v>8522</v>
      </c>
      <c r="I51">
        <v>10491</v>
      </c>
      <c r="J51">
        <f t="shared" si="1"/>
        <v>0.18768468210847394</v>
      </c>
    </row>
    <row r="52" spans="1:10">
      <c r="A52">
        <v>2026</v>
      </c>
      <c r="B52">
        <v>32</v>
      </c>
      <c r="C52" t="s">
        <v>68</v>
      </c>
      <c r="D52" t="s">
        <v>9</v>
      </c>
      <c r="E52" t="s">
        <v>196</v>
      </c>
      <c r="F52" t="s">
        <v>97</v>
      </c>
      <c r="G52" t="str">
        <f t="shared" si="0"/>
        <v>32004HOT EXPLORER</v>
      </c>
      <c r="H52">
        <v>2227</v>
      </c>
      <c r="I52">
        <v>2168</v>
      </c>
      <c r="J52">
        <f t="shared" si="1"/>
        <v>-2.7214022140221401E-2</v>
      </c>
    </row>
    <row r="53" spans="1:10">
      <c r="A53">
        <v>2026</v>
      </c>
      <c r="B53">
        <v>32</v>
      </c>
      <c r="C53" t="s">
        <v>68</v>
      </c>
      <c r="D53" t="s">
        <v>9</v>
      </c>
      <c r="E53" t="s">
        <v>196</v>
      </c>
      <c r="F53" t="s">
        <v>99</v>
      </c>
      <c r="G53" t="str">
        <f t="shared" si="0"/>
        <v>32004HOT MERENGUE</v>
      </c>
      <c r="H53">
        <v>1855</v>
      </c>
      <c r="I53">
        <v>1759</v>
      </c>
      <c r="J53">
        <f t="shared" si="1"/>
        <v>-5.4576463899943146E-2</v>
      </c>
    </row>
    <row r="54" spans="1:10">
      <c r="A54">
        <v>2026</v>
      </c>
      <c r="B54">
        <v>32</v>
      </c>
      <c r="C54" t="s">
        <v>68</v>
      </c>
      <c r="D54" t="s">
        <v>9</v>
      </c>
      <c r="E54" t="s">
        <v>196</v>
      </c>
      <c r="F54" t="s">
        <v>83</v>
      </c>
      <c r="G54" t="str">
        <f t="shared" si="0"/>
        <v>32004SWEETNESS</v>
      </c>
      <c r="H54">
        <v>899</v>
      </c>
      <c r="I54">
        <v>508</v>
      </c>
      <c r="J54">
        <f t="shared" si="1"/>
        <v>-0.76968503937007871</v>
      </c>
    </row>
    <row r="55" spans="1:10">
      <c r="A55">
        <v>2026</v>
      </c>
      <c r="B55">
        <v>32</v>
      </c>
      <c r="C55" t="s">
        <v>68</v>
      </c>
      <c r="D55" t="s">
        <v>9</v>
      </c>
      <c r="E55" t="s">
        <v>197</v>
      </c>
      <c r="F55" t="s">
        <v>71</v>
      </c>
      <c r="G55" t="str">
        <f t="shared" si="0"/>
        <v>32005EXPLORER</v>
      </c>
      <c r="H55">
        <v>990</v>
      </c>
      <c r="I55">
        <v>710</v>
      </c>
      <c r="J55">
        <f t="shared" si="1"/>
        <v>-0.39436619718309857</v>
      </c>
    </row>
    <row r="56" spans="1:10">
      <c r="A56">
        <v>2026</v>
      </c>
      <c r="B56">
        <v>32</v>
      </c>
      <c r="C56" t="s">
        <v>68</v>
      </c>
      <c r="D56" t="s">
        <v>9</v>
      </c>
      <c r="E56" t="s">
        <v>197</v>
      </c>
      <c r="F56" t="s">
        <v>103</v>
      </c>
      <c r="G56" t="str">
        <f t="shared" si="0"/>
        <v>32005GOLDFINCH</v>
      </c>
      <c r="H56">
        <v>921</v>
      </c>
      <c r="I56">
        <v>726</v>
      </c>
      <c r="J56">
        <f t="shared" si="1"/>
        <v>-0.26859504132231404</v>
      </c>
    </row>
    <row r="57" spans="1:10">
      <c r="A57">
        <v>2026</v>
      </c>
      <c r="B57">
        <v>32</v>
      </c>
      <c r="C57" t="s">
        <v>68</v>
      </c>
      <c r="D57" t="s">
        <v>9</v>
      </c>
      <c r="E57" t="s">
        <v>197</v>
      </c>
      <c r="F57" t="s">
        <v>90</v>
      </c>
      <c r="G57" t="str">
        <f t="shared" si="0"/>
        <v>32005JOCKER</v>
      </c>
      <c r="H57">
        <v>1863</v>
      </c>
      <c r="I57">
        <v>1761</v>
      </c>
      <c r="J57">
        <f t="shared" si="1"/>
        <v>-5.7921635434412269E-2</v>
      </c>
    </row>
    <row r="58" spans="1:10">
      <c r="A58">
        <v>2026</v>
      </c>
      <c r="B58">
        <v>32</v>
      </c>
      <c r="C58" t="s">
        <v>68</v>
      </c>
      <c r="D58" t="s">
        <v>9</v>
      </c>
      <c r="E58" t="s">
        <v>197</v>
      </c>
      <c r="F58" t="s">
        <v>106</v>
      </c>
      <c r="G58" t="str">
        <f t="shared" si="0"/>
        <v>32005VENDELA</v>
      </c>
      <c r="H58">
        <v>2573</v>
      </c>
      <c r="I58">
        <v>1740</v>
      </c>
      <c r="J58">
        <f t="shared" si="1"/>
        <v>-0.47873563218390802</v>
      </c>
    </row>
    <row r="59" spans="1:10">
      <c r="A59">
        <v>2026</v>
      </c>
      <c r="B59">
        <v>32</v>
      </c>
      <c r="C59" t="s">
        <v>68</v>
      </c>
      <c r="D59" t="s">
        <v>9</v>
      </c>
      <c r="E59" t="s">
        <v>216</v>
      </c>
      <c r="F59" t="s">
        <v>108</v>
      </c>
      <c r="G59" t="str">
        <f t="shared" si="0"/>
        <v>32006ATOMIC</v>
      </c>
      <c r="H59">
        <v>1014</v>
      </c>
      <c r="I59">
        <v>759</v>
      </c>
      <c r="J59">
        <f t="shared" si="1"/>
        <v>-0.33596837944664032</v>
      </c>
    </row>
    <row r="60" spans="1:10">
      <c r="A60">
        <v>2026</v>
      </c>
      <c r="B60">
        <v>32</v>
      </c>
      <c r="C60" t="s">
        <v>68</v>
      </c>
      <c r="D60" t="s">
        <v>9</v>
      </c>
      <c r="E60" t="s">
        <v>216</v>
      </c>
      <c r="F60" t="s">
        <v>71</v>
      </c>
      <c r="G60" t="str">
        <f t="shared" si="0"/>
        <v>32006EXPLORER</v>
      </c>
      <c r="H60">
        <v>4569</v>
      </c>
      <c r="I60">
        <v>4716</v>
      </c>
      <c r="J60">
        <f t="shared" si="1"/>
        <v>3.1170483460559797E-2</v>
      </c>
    </row>
    <row r="61" spans="1:10">
      <c r="A61">
        <v>2026</v>
      </c>
      <c r="B61">
        <v>32</v>
      </c>
      <c r="C61" t="s">
        <v>68</v>
      </c>
      <c r="D61" t="s">
        <v>9</v>
      </c>
      <c r="E61" t="s">
        <v>216</v>
      </c>
      <c r="F61" t="s">
        <v>111</v>
      </c>
      <c r="G61" t="str">
        <f t="shared" si="0"/>
        <v>32006MONDIAL</v>
      </c>
      <c r="H61">
        <v>5580</v>
      </c>
      <c r="I61">
        <v>5080</v>
      </c>
      <c r="J61">
        <f t="shared" si="1"/>
        <v>-9.8425196850393706E-2</v>
      </c>
    </row>
    <row r="62" spans="1:10">
      <c r="A62">
        <v>2026</v>
      </c>
      <c r="B62">
        <v>32</v>
      </c>
      <c r="C62" t="s">
        <v>68</v>
      </c>
      <c r="D62" t="s">
        <v>9</v>
      </c>
      <c r="E62" t="s">
        <v>198</v>
      </c>
      <c r="F62" t="s">
        <v>94</v>
      </c>
      <c r="G62" t="str">
        <f t="shared" si="0"/>
        <v>32007COTOPAXI</v>
      </c>
      <c r="H62">
        <v>7508</v>
      </c>
      <c r="I62">
        <v>5578</v>
      </c>
      <c r="J62">
        <f t="shared" si="1"/>
        <v>-0.34600215130871281</v>
      </c>
    </row>
    <row r="63" spans="1:10">
      <c r="A63">
        <v>2026</v>
      </c>
      <c r="B63">
        <v>32</v>
      </c>
      <c r="C63" t="s">
        <v>68</v>
      </c>
      <c r="D63" t="s">
        <v>9</v>
      </c>
      <c r="E63" t="s">
        <v>198</v>
      </c>
      <c r="F63" t="s">
        <v>114</v>
      </c>
      <c r="G63" t="str">
        <f t="shared" si="0"/>
        <v>32007REDIANT</v>
      </c>
      <c r="H63">
        <v>1182</v>
      </c>
      <c r="I63">
        <v>1350</v>
      </c>
      <c r="J63">
        <f t="shared" si="1"/>
        <v>0.12444444444444444</v>
      </c>
    </row>
    <row r="64" spans="1:10">
      <c r="A64">
        <v>2026</v>
      </c>
      <c r="B64">
        <v>32</v>
      </c>
      <c r="C64" t="s">
        <v>68</v>
      </c>
      <c r="D64" t="s">
        <v>9</v>
      </c>
      <c r="E64" t="s">
        <v>198</v>
      </c>
      <c r="F64" t="s">
        <v>81</v>
      </c>
      <c r="G64" t="str">
        <f t="shared" si="0"/>
        <v>32007SUMMER ROMANCE</v>
      </c>
      <c r="H64">
        <v>311</v>
      </c>
      <c r="I64" t="e">
        <v>#N/A</v>
      </c>
      <c r="J64" t="e">
        <f t="shared" si="1"/>
        <v>#N/A</v>
      </c>
    </row>
    <row r="65" spans="1:10">
      <c r="A65">
        <v>2026</v>
      </c>
      <c r="B65">
        <v>32</v>
      </c>
      <c r="C65" t="s">
        <v>68</v>
      </c>
      <c r="D65" t="s">
        <v>9</v>
      </c>
      <c r="E65" t="s">
        <v>198</v>
      </c>
      <c r="F65" t="s">
        <v>106</v>
      </c>
      <c r="G65" t="str">
        <f t="shared" si="0"/>
        <v>32007VENDELA</v>
      </c>
      <c r="H65">
        <v>17398</v>
      </c>
      <c r="I65">
        <v>16394</v>
      </c>
      <c r="J65">
        <f t="shared" si="1"/>
        <v>-6.1241917774795658E-2</v>
      </c>
    </row>
    <row r="66" spans="1:10">
      <c r="A66">
        <v>2026</v>
      </c>
      <c r="B66">
        <v>32</v>
      </c>
      <c r="C66" t="s">
        <v>68</v>
      </c>
      <c r="D66" t="s">
        <v>9</v>
      </c>
      <c r="E66" t="s">
        <v>217</v>
      </c>
      <c r="F66" t="s">
        <v>87</v>
      </c>
      <c r="G66" t="str">
        <f t="shared" si="0"/>
        <v>32008DEEP PURPLE</v>
      </c>
      <c r="H66">
        <v>2836</v>
      </c>
      <c r="I66">
        <v>3958</v>
      </c>
      <c r="J66">
        <f t="shared" si="1"/>
        <v>0.28347650328448709</v>
      </c>
    </row>
    <row r="67" spans="1:10">
      <c r="A67">
        <v>2026</v>
      </c>
      <c r="B67">
        <v>32</v>
      </c>
      <c r="C67" t="s">
        <v>68</v>
      </c>
      <c r="D67" t="s">
        <v>9</v>
      </c>
      <c r="E67" t="s">
        <v>217</v>
      </c>
      <c r="F67" t="s">
        <v>119</v>
      </c>
      <c r="G67" t="str">
        <f t="shared" ref="G67:G130" si="2">+B67&amp;E67&amp;F67</f>
        <v>32008FREEDOM</v>
      </c>
      <c r="H67">
        <v>3304</v>
      </c>
      <c r="I67">
        <v>2764</v>
      </c>
      <c r="J67">
        <f t="shared" ref="J67:J130" si="3">+(I67-H67)/I67</f>
        <v>-0.19536903039073805</v>
      </c>
    </row>
    <row r="68" spans="1:10">
      <c r="A68">
        <v>2026</v>
      </c>
      <c r="B68">
        <v>32</v>
      </c>
      <c r="C68" t="s">
        <v>68</v>
      </c>
      <c r="D68" t="s">
        <v>9</v>
      </c>
      <c r="E68" t="s">
        <v>217</v>
      </c>
      <c r="F68" t="s">
        <v>90</v>
      </c>
      <c r="G68" t="str">
        <f t="shared" si="2"/>
        <v>32008JOCKER</v>
      </c>
      <c r="H68">
        <v>4539</v>
      </c>
      <c r="I68">
        <v>3967</v>
      </c>
      <c r="J68">
        <f t="shared" si="3"/>
        <v>-0.14418956390219309</v>
      </c>
    </row>
    <row r="69" spans="1:10">
      <c r="A69">
        <v>2026</v>
      </c>
      <c r="B69">
        <v>32</v>
      </c>
      <c r="C69" t="s">
        <v>68</v>
      </c>
      <c r="D69" t="s">
        <v>9</v>
      </c>
      <c r="E69" t="s">
        <v>218</v>
      </c>
      <c r="F69" t="s">
        <v>122</v>
      </c>
      <c r="G69" t="str">
        <f t="shared" si="2"/>
        <v>32010COOLDOWN</v>
      </c>
      <c r="H69">
        <v>2992</v>
      </c>
      <c r="I69">
        <v>2409</v>
      </c>
      <c r="J69">
        <f t="shared" si="3"/>
        <v>-0.24200913242009131</v>
      </c>
    </row>
    <row r="70" spans="1:10">
      <c r="A70">
        <v>2026</v>
      </c>
      <c r="B70">
        <v>32</v>
      </c>
      <c r="C70" t="s">
        <v>68</v>
      </c>
      <c r="D70" t="s">
        <v>9</v>
      </c>
      <c r="E70" t="s">
        <v>218</v>
      </c>
      <c r="F70" t="s">
        <v>124</v>
      </c>
      <c r="G70" t="str">
        <f t="shared" si="2"/>
        <v>32010VIOLET HILL</v>
      </c>
      <c r="H70">
        <v>2525</v>
      </c>
      <c r="I70">
        <v>3122</v>
      </c>
      <c r="J70">
        <f t="shared" si="3"/>
        <v>0.19122357463164638</v>
      </c>
    </row>
    <row r="71" spans="1:10">
      <c r="A71">
        <v>2026</v>
      </c>
      <c r="B71">
        <v>32</v>
      </c>
      <c r="C71" t="s">
        <v>68</v>
      </c>
      <c r="D71" t="s">
        <v>9</v>
      </c>
      <c r="E71" t="s">
        <v>219</v>
      </c>
      <c r="F71" t="s">
        <v>126</v>
      </c>
      <c r="G71" t="str">
        <f t="shared" si="2"/>
        <v>32011BRIGHTON</v>
      </c>
      <c r="H71">
        <v>4492</v>
      </c>
      <c r="I71">
        <v>4070</v>
      </c>
      <c r="J71">
        <f t="shared" si="3"/>
        <v>-0.10368550368550368</v>
      </c>
    </row>
    <row r="72" spans="1:10">
      <c r="A72">
        <v>2026</v>
      </c>
      <c r="B72">
        <v>32</v>
      </c>
      <c r="C72" t="s">
        <v>68</v>
      </c>
      <c r="D72" t="s">
        <v>9</v>
      </c>
      <c r="E72" t="s">
        <v>219</v>
      </c>
      <c r="F72" t="s">
        <v>128</v>
      </c>
      <c r="G72" t="str">
        <f t="shared" si="2"/>
        <v>32011CANDLELIGHT</v>
      </c>
      <c r="H72">
        <v>4729</v>
      </c>
      <c r="I72">
        <v>3558</v>
      </c>
      <c r="J72">
        <f t="shared" si="3"/>
        <v>-0.32911748173130972</v>
      </c>
    </row>
    <row r="73" spans="1:10">
      <c r="A73">
        <v>2026</v>
      </c>
      <c r="B73">
        <v>32</v>
      </c>
      <c r="C73" t="s">
        <v>68</v>
      </c>
      <c r="D73" t="s">
        <v>9</v>
      </c>
      <c r="E73" t="s">
        <v>219</v>
      </c>
      <c r="F73" t="s">
        <v>130</v>
      </c>
      <c r="G73" t="str">
        <f t="shared" si="2"/>
        <v>32011CAYENNE</v>
      </c>
      <c r="H73">
        <v>1069</v>
      </c>
      <c r="I73">
        <v>1004</v>
      </c>
      <c r="J73">
        <f t="shared" si="3"/>
        <v>-6.4741035856573703E-2</v>
      </c>
    </row>
    <row r="74" spans="1:10">
      <c r="A74">
        <v>2026</v>
      </c>
      <c r="B74">
        <v>32</v>
      </c>
      <c r="C74" t="s">
        <v>68</v>
      </c>
      <c r="D74" t="s">
        <v>9</v>
      </c>
      <c r="E74" t="s">
        <v>219</v>
      </c>
      <c r="F74" t="s">
        <v>77</v>
      </c>
      <c r="G74" t="str">
        <f t="shared" si="2"/>
        <v>32011LUMIA</v>
      </c>
      <c r="H74">
        <v>2415</v>
      </c>
      <c r="I74">
        <v>2094</v>
      </c>
      <c r="J74">
        <f t="shared" si="3"/>
        <v>-0.15329512893982808</v>
      </c>
    </row>
    <row r="75" spans="1:10">
      <c r="A75">
        <v>2026</v>
      </c>
      <c r="B75">
        <v>32</v>
      </c>
      <c r="C75" t="s">
        <v>68</v>
      </c>
      <c r="D75" t="s">
        <v>9</v>
      </c>
      <c r="E75" t="s">
        <v>219</v>
      </c>
      <c r="F75" t="s">
        <v>133</v>
      </c>
      <c r="G75" t="str">
        <f t="shared" si="2"/>
        <v>32011STARDUST</v>
      </c>
      <c r="H75">
        <v>2214</v>
      </c>
      <c r="I75">
        <v>2621</v>
      </c>
      <c r="J75">
        <f t="shared" si="3"/>
        <v>0.155284242655475</v>
      </c>
    </row>
    <row r="76" spans="1:10">
      <c r="A76">
        <v>2026</v>
      </c>
      <c r="B76">
        <v>32</v>
      </c>
      <c r="C76" t="s">
        <v>68</v>
      </c>
      <c r="D76" t="s">
        <v>9</v>
      </c>
      <c r="E76" t="s">
        <v>220</v>
      </c>
      <c r="F76" t="s">
        <v>87</v>
      </c>
      <c r="G76" t="str">
        <f t="shared" si="2"/>
        <v>32012DEEP PURPLE</v>
      </c>
      <c r="H76">
        <v>12553</v>
      </c>
      <c r="I76">
        <v>13526</v>
      </c>
      <c r="J76">
        <f t="shared" si="3"/>
        <v>7.1935531568830396E-2</v>
      </c>
    </row>
    <row r="77" spans="1:10">
      <c r="A77">
        <v>2026</v>
      </c>
      <c r="B77">
        <v>32</v>
      </c>
      <c r="C77" t="s">
        <v>68</v>
      </c>
      <c r="D77" t="s">
        <v>9</v>
      </c>
      <c r="E77" t="s">
        <v>220</v>
      </c>
      <c r="F77" t="s">
        <v>75</v>
      </c>
      <c r="G77" t="str">
        <f t="shared" si="2"/>
        <v>32012LIGHT HOUSE</v>
      </c>
      <c r="H77">
        <v>1083</v>
      </c>
      <c r="I77">
        <v>1185</v>
      </c>
      <c r="J77">
        <f t="shared" si="3"/>
        <v>8.6075949367088608E-2</v>
      </c>
    </row>
    <row r="78" spans="1:10">
      <c r="A78">
        <v>2026</v>
      </c>
      <c r="B78">
        <v>32</v>
      </c>
      <c r="C78" t="s">
        <v>68</v>
      </c>
      <c r="D78" t="s">
        <v>9</v>
      </c>
      <c r="E78" t="s">
        <v>221</v>
      </c>
      <c r="F78" t="s">
        <v>137</v>
      </c>
      <c r="G78" t="str">
        <f t="shared" si="2"/>
        <v>32013COUNTRY BLUES</v>
      </c>
      <c r="H78">
        <v>1667</v>
      </c>
      <c r="I78">
        <v>1207</v>
      </c>
      <c r="J78">
        <f t="shared" si="3"/>
        <v>-0.38111019055509526</v>
      </c>
    </row>
    <row r="79" spans="1:10">
      <c r="A79">
        <v>2026</v>
      </c>
      <c r="B79">
        <v>32</v>
      </c>
      <c r="C79" t="s">
        <v>68</v>
      </c>
      <c r="D79" t="s">
        <v>9</v>
      </c>
      <c r="E79" t="s">
        <v>221</v>
      </c>
      <c r="F79" t="s">
        <v>139</v>
      </c>
      <c r="G79" t="str">
        <f t="shared" si="2"/>
        <v>32013LORRAINE</v>
      </c>
      <c r="H79">
        <v>4369</v>
      </c>
      <c r="I79">
        <v>3619</v>
      </c>
      <c r="J79">
        <f t="shared" si="3"/>
        <v>-0.20723956894169659</v>
      </c>
    </row>
    <row r="80" spans="1:10">
      <c r="A80">
        <v>2026</v>
      </c>
      <c r="B80">
        <v>32</v>
      </c>
      <c r="C80" t="s">
        <v>68</v>
      </c>
      <c r="D80" t="s">
        <v>9</v>
      </c>
      <c r="E80" t="s">
        <v>221</v>
      </c>
      <c r="F80" t="s">
        <v>77</v>
      </c>
      <c r="G80" t="str">
        <f t="shared" si="2"/>
        <v>32013LUMIA</v>
      </c>
      <c r="H80">
        <v>354</v>
      </c>
      <c r="I80">
        <v>510</v>
      </c>
      <c r="J80">
        <f t="shared" si="3"/>
        <v>0.30588235294117649</v>
      </c>
    </row>
    <row r="81" spans="1:10">
      <c r="A81">
        <v>2026</v>
      </c>
      <c r="B81">
        <v>32</v>
      </c>
      <c r="C81" t="s">
        <v>68</v>
      </c>
      <c r="D81" t="s">
        <v>9</v>
      </c>
      <c r="E81" t="s">
        <v>221</v>
      </c>
      <c r="F81" t="s">
        <v>106</v>
      </c>
      <c r="G81" t="str">
        <f t="shared" si="2"/>
        <v>32013VENDELA</v>
      </c>
      <c r="H81">
        <v>11813</v>
      </c>
      <c r="I81">
        <v>11275</v>
      </c>
      <c r="J81">
        <f t="shared" si="3"/>
        <v>-4.7716186252771617E-2</v>
      </c>
    </row>
    <row r="82" spans="1:10">
      <c r="A82">
        <v>2026</v>
      </c>
      <c r="B82">
        <v>32</v>
      </c>
      <c r="C82" t="s">
        <v>68</v>
      </c>
      <c r="D82" t="s">
        <v>9</v>
      </c>
      <c r="E82" t="s">
        <v>200</v>
      </c>
      <c r="F82" t="s">
        <v>133</v>
      </c>
      <c r="G82" t="str">
        <f t="shared" si="2"/>
        <v>32014STARDUST</v>
      </c>
      <c r="H82">
        <v>5147</v>
      </c>
      <c r="I82">
        <v>4981</v>
      </c>
      <c r="J82">
        <f t="shared" si="3"/>
        <v>-3.3326641236699456E-2</v>
      </c>
    </row>
    <row r="83" spans="1:10">
      <c r="A83">
        <v>2026</v>
      </c>
      <c r="B83">
        <v>32</v>
      </c>
      <c r="C83" t="s">
        <v>68</v>
      </c>
      <c r="D83" t="s">
        <v>9</v>
      </c>
      <c r="E83" t="s">
        <v>201</v>
      </c>
      <c r="F83" t="s">
        <v>90</v>
      </c>
      <c r="G83" t="str">
        <f t="shared" si="2"/>
        <v>32015JOCKER</v>
      </c>
      <c r="H83">
        <v>4853</v>
      </c>
      <c r="I83">
        <v>4156</v>
      </c>
      <c r="J83">
        <f t="shared" si="3"/>
        <v>-0.16770933589990375</v>
      </c>
    </row>
    <row r="84" spans="1:10">
      <c r="A84">
        <v>2026</v>
      </c>
      <c r="B84">
        <v>32</v>
      </c>
      <c r="C84" t="s">
        <v>68</v>
      </c>
      <c r="D84" t="s">
        <v>9</v>
      </c>
      <c r="E84" t="s">
        <v>202</v>
      </c>
      <c r="F84" t="s">
        <v>145</v>
      </c>
      <c r="G84" t="str">
        <f t="shared" si="2"/>
        <v>32016DREAM IN PEACH</v>
      </c>
      <c r="H84">
        <v>1187</v>
      </c>
      <c r="I84">
        <v>686</v>
      </c>
      <c r="J84">
        <f t="shared" si="3"/>
        <v>-0.73032069970845481</v>
      </c>
    </row>
    <row r="85" spans="1:10">
      <c r="A85">
        <v>2026</v>
      </c>
      <c r="B85">
        <v>32</v>
      </c>
      <c r="C85" t="s">
        <v>68</v>
      </c>
      <c r="D85" t="s">
        <v>9</v>
      </c>
      <c r="E85" t="s">
        <v>202</v>
      </c>
      <c r="F85" t="s">
        <v>147</v>
      </c>
      <c r="G85" t="str">
        <f t="shared" si="2"/>
        <v>32016NINA</v>
      </c>
      <c r="H85">
        <v>3138</v>
      </c>
      <c r="I85">
        <v>2508</v>
      </c>
      <c r="J85">
        <f t="shared" si="3"/>
        <v>-0.25119617224880381</v>
      </c>
    </row>
    <row r="86" spans="1:10">
      <c r="A86">
        <v>2026</v>
      </c>
      <c r="B86">
        <v>32</v>
      </c>
      <c r="C86" t="s">
        <v>68</v>
      </c>
      <c r="D86" t="s">
        <v>9</v>
      </c>
      <c r="E86" t="s">
        <v>203</v>
      </c>
      <c r="F86" t="s">
        <v>119</v>
      </c>
      <c r="G86" t="str">
        <f t="shared" si="2"/>
        <v>32017FREEDOM</v>
      </c>
      <c r="H86">
        <v>3227</v>
      </c>
      <c r="I86">
        <v>4029</v>
      </c>
      <c r="J86">
        <f t="shared" si="3"/>
        <v>0.19905683792504344</v>
      </c>
    </row>
    <row r="87" spans="1:10">
      <c r="A87">
        <v>2026</v>
      </c>
      <c r="B87">
        <v>32</v>
      </c>
      <c r="C87" t="s">
        <v>68</v>
      </c>
      <c r="D87" t="s">
        <v>9</v>
      </c>
      <c r="E87" t="s">
        <v>203</v>
      </c>
      <c r="F87" t="s">
        <v>103</v>
      </c>
      <c r="G87" t="str">
        <f t="shared" si="2"/>
        <v>32017GOLDFINCH</v>
      </c>
      <c r="H87">
        <v>2225</v>
      </c>
      <c r="I87">
        <v>1918</v>
      </c>
      <c r="J87">
        <f t="shared" si="3"/>
        <v>-0.16006256517205422</v>
      </c>
    </row>
    <row r="88" spans="1:10">
      <c r="A88">
        <v>2026</v>
      </c>
      <c r="B88">
        <v>32</v>
      </c>
      <c r="C88" t="s">
        <v>68</v>
      </c>
      <c r="D88" t="s">
        <v>9</v>
      </c>
      <c r="E88" t="s">
        <v>204</v>
      </c>
      <c r="F88" t="s">
        <v>126</v>
      </c>
      <c r="G88" t="str">
        <f t="shared" si="2"/>
        <v>32018BRIGHTON</v>
      </c>
      <c r="H88">
        <v>1690</v>
      </c>
      <c r="I88">
        <v>1530</v>
      </c>
      <c r="J88">
        <f t="shared" si="3"/>
        <v>-0.10457516339869281</v>
      </c>
    </row>
    <row r="89" spans="1:10">
      <c r="A89">
        <v>2026</v>
      </c>
      <c r="B89">
        <v>32</v>
      </c>
      <c r="C89" t="s">
        <v>68</v>
      </c>
      <c r="D89" t="s">
        <v>9</v>
      </c>
      <c r="E89" t="s">
        <v>205</v>
      </c>
      <c r="F89" t="s">
        <v>126</v>
      </c>
      <c r="G89" t="str">
        <f t="shared" si="2"/>
        <v>32019BRIGHTON</v>
      </c>
      <c r="H89">
        <v>4465</v>
      </c>
      <c r="I89">
        <v>5516</v>
      </c>
      <c r="J89">
        <f t="shared" si="3"/>
        <v>0.19053662073966643</v>
      </c>
    </row>
    <row r="90" spans="1:10">
      <c r="A90">
        <v>2026</v>
      </c>
      <c r="B90">
        <v>32</v>
      </c>
      <c r="C90" t="s">
        <v>68</v>
      </c>
      <c r="D90" t="s">
        <v>9</v>
      </c>
      <c r="E90" t="s">
        <v>205</v>
      </c>
      <c r="F90" t="s">
        <v>153</v>
      </c>
      <c r="G90" t="str">
        <f t="shared" si="2"/>
        <v>32019TABATHA</v>
      </c>
      <c r="H90">
        <v>1823</v>
      </c>
      <c r="I90">
        <v>1968</v>
      </c>
      <c r="J90">
        <f t="shared" si="3"/>
        <v>7.3678861788617891E-2</v>
      </c>
    </row>
    <row r="91" spans="1:10">
      <c r="A91">
        <v>2026</v>
      </c>
      <c r="B91">
        <v>32</v>
      </c>
      <c r="C91" t="s">
        <v>68</v>
      </c>
      <c r="D91" t="s">
        <v>9</v>
      </c>
      <c r="E91" t="s">
        <v>206</v>
      </c>
      <c r="F91" t="s">
        <v>126</v>
      </c>
      <c r="G91" t="str">
        <f t="shared" si="2"/>
        <v>32020BRIGHTON</v>
      </c>
      <c r="H91">
        <v>3761</v>
      </c>
      <c r="I91">
        <v>3868</v>
      </c>
      <c r="J91">
        <f t="shared" si="3"/>
        <v>2.7662874870734228E-2</v>
      </c>
    </row>
    <row r="92" spans="1:10">
      <c r="A92">
        <v>2026</v>
      </c>
      <c r="B92">
        <v>32</v>
      </c>
      <c r="C92" t="s">
        <v>68</v>
      </c>
      <c r="D92" t="s">
        <v>9</v>
      </c>
      <c r="E92" t="s">
        <v>206</v>
      </c>
      <c r="F92" t="s">
        <v>156</v>
      </c>
      <c r="G92" t="str">
        <f t="shared" si="2"/>
        <v>32020TYCOON</v>
      </c>
      <c r="H92">
        <v>1103</v>
      </c>
      <c r="I92">
        <v>872</v>
      </c>
      <c r="J92">
        <f t="shared" si="3"/>
        <v>-0.26490825688073394</v>
      </c>
    </row>
    <row r="93" spans="1:10">
      <c r="A93">
        <v>2026</v>
      </c>
      <c r="B93">
        <v>32</v>
      </c>
      <c r="C93" t="s">
        <v>68</v>
      </c>
      <c r="D93" t="s">
        <v>9</v>
      </c>
      <c r="E93" t="s">
        <v>207</v>
      </c>
      <c r="F93" t="s">
        <v>158</v>
      </c>
      <c r="G93" t="str">
        <f t="shared" si="2"/>
        <v>32021SHOW GIRL</v>
      </c>
      <c r="H93">
        <v>2076</v>
      </c>
      <c r="I93">
        <v>1375</v>
      </c>
      <c r="J93">
        <f t="shared" si="3"/>
        <v>-0.50981818181818184</v>
      </c>
    </row>
    <row r="94" spans="1:10">
      <c r="A94">
        <v>2026</v>
      </c>
      <c r="B94">
        <v>32</v>
      </c>
      <c r="C94" t="s">
        <v>68</v>
      </c>
      <c r="D94" t="s">
        <v>9</v>
      </c>
      <c r="E94" t="s">
        <v>208</v>
      </c>
      <c r="F94" t="s">
        <v>160</v>
      </c>
      <c r="G94" t="str">
        <f t="shared" si="2"/>
        <v>32022CORAL REEF</v>
      </c>
      <c r="H94">
        <v>1295</v>
      </c>
      <c r="I94">
        <v>1654</v>
      </c>
      <c r="J94">
        <f t="shared" si="3"/>
        <v>0.21704957678355502</v>
      </c>
    </row>
    <row r="95" spans="1:10">
      <c r="A95">
        <v>2026</v>
      </c>
      <c r="B95">
        <v>32</v>
      </c>
      <c r="C95" t="s">
        <v>68</v>
      </c>
      <c r="D95" t="s">
        <v>9</v>
      </c>
      <c r="E95" t="s">
        <v>222</v>
      </c>
      <c r="F95" t="s">
        <v>94</v>
      </c>
      <c r="G95" t="str">
        <f t="shared" si="2"/>
        <v>32023COTOPAXI</v>
      </c>
      <c r="H95">
        <v>7911</v>
      </c>
      <c r="I95">
        <v>6983</v>
      </c>
      <c r="J95">
        <f t="shared" si="3"/>
        <v>-0.13289417155950164</v>
      </c>
    </row>
    <row r="96" spans="1:10">
      <c r="A96">
        <v>2026</v>
      </c>
      <c r="B96">
        <v>32</v>
      </c>
      <c r="C96" t="s">
        <v>68</v>
      </c>
      <c r="D96" t="s">
        <v>9</v>
      </c>
      <c r="E96" t="s">
        <v>222</v>
      </c>
      <c r="F96" t="s">
        <v>163</v>
      </c>
      <c r="G96" t="str">
        <f t="shared" si="2"/>
        <v>32023FRUTTETO</v>
      </c>
      <c r="H96">
        <v>4843</v>
      </c>
      <c r="I96">
        <v>3642</v>
      </c>
      <c r="J96">
        <f t="shared" si="3"/>
        <v>-0.32976386600768809</v>
      </c>
    </row>
    <row r="97" spans="1:10">
      <c r="A97">
        <v>2026</v>
      </c>
      <c r="B97">
        <v>32</v>
      </c>
      <c r="C97" t="s">
        <v>68</v>
      </c>
      <c r="D97" t="s">
        <v>9</v>
      </c>
      <c r="E97" t="s">
        <v>223</v>
      </c>
      <c r="F97" t="s">
        <v>94</v>
      </c>
      <c r="G97" t="str">
        <f t="shared" si="2"/>
        <v>32024COTOPAXI</v>
      </c>
      <c r="H97">
        <v>3922</v>
      </c>
      <c r="I97">
        <v>2756</v>
      </c>
      <c r="J97">
        <f t="shared" si="3"/>
        <v>-0.42307692307692307</v>
      </c>
    </row>
    <row r="98" spans="1:10">
      <c r="A98">
        <v>2026</v>
      </c>
      <c r="B98">
        <v>32</v>
      </c>
      <c r="C98" t="s">
        <v>68</v>
      </c>
      <c r="D98" t="s">
        <v>9</v>
      </c>
      <c r="E98" t="s">
        <v>223</v>
      </c>
      <c r="F98" t="s">
        <v>83</v>
      </c>
      <c r="G98" t="str">
        <f t="shared" si="2"/>
        <v>32024SWEETNESS</v>
      </c>
      <c r="H98">
        <v>1091</v>
      </c>
      <c r="I98">
        <v>1465</v>
      </c>
      <c r="J98">
        <f t="shared" si="3"/>
        <v>0.25529010238907851</v>
      </c>
    </row>
    <row r="99" spans="1:10">
      <c r="A99">
        <v>2026</v>
      </c>
      <c r="B99">
        <v>32</v>
      </c>
      <c r="C99" t="s">
        <v>68</v>
      </c>
      <c r="D99" t="s">
        <v>9</v>
      </c>
      <c r="E99" t="s">
        <v>223</v>
      </c>
      <c r="F99" t="s">
        <v>156</v>
      </c>
      <c r="G99" t="str">
        <f t="shared" si="2"/>
        <v>32024TYCOON</v>
      </c>
      <c r="H99">
        <v>2294</v>
      </c>
      <c r="I99">
        <v>2045</v>
      </c>
      <c r="J99">
        <f t="shared" si="3"/>
        <v>-0.12176039119804401</v>
      </c>
    </row>
    <row r="100" spans="1:10">
      <c r="A100">
        <v>2026</v>
      </c>
      <c r="B100">
        <v>32</v>
      </c>
      <c r="C100" t="s">
        <v>68</v>
      </c>
      <c r="D100" t="s">
        <v>9</v>
      </c>
      <c r="E100" t="s">
        <v>224</v>
      </c>
      <c r="F100" t="s">
        <v>168</v>
      </c>
      <c r="G100" t="str">
        <f t="shared" si="2"/>
        <v>32025PINK MONDIAL</v>
      </c>
      <c r="H100">
        <v>3650</v>
      </c>
      <c r="I100">
        <v>3932</v>
      </c>
      <c r="J100">
        <f t="shared" si="3"/>
        <v>7.1719226856561541E-2</v>
      </c>
    </row>
    <row r="101" spans="1:10">
      <c r="A101">
        <v>2026</v>
      </c>
      <c r="B101">
        <v>32</v>
      </c>
      <c r="C101" t="s">
        <v>68</v>
      </c>
      <c r="D101" t="s">
        <v>9</v>
      </c>
      <c r="E101" t="s">
        <v>209</v>
      </c>
      <c r="F101" t="s">
        <v>170</v>
      </c>
      <c r="G101" t="str">
        <f t="shared" si="2"/>
        <v>32026LOLA</v>
      </c>
      <c r="H101">
        <v>2552</v>
      </c>
      <c r="I101">
        <v>2725</v>
      </c>
      <c r="J101">
        <f t="shared" si="3"/>
        <v>6.3486238532110092E-2</v>
      </c>
    </row>
    <row r="102" spans="1:10">
      <c r="A102">
        <v>2026</v>
      </c>
      <c r="B102">
        <v>32</v>
      </c>
      <c r="C102" t="s">
        <v>68</v>
      </c>
      <c r="D102" t="s">
        <v>9</v>
      </c>
      <c r="E102" t="s">
        <v>209</v>
      </c>
      <c r="F102" t="s">
        <v>172</v>
      </c>
      <c r="G102" t="str">
        <f t="shared" si="2"/>
        <v>32026PALOMA</v>
      </c>
      <c r="H102">
        <v>4580</v>
      </c>
      <c r="I102">
        <v>4161</v>
      </c>
      <c r="J102">
        <f t="shared" si="3"/>
        <v>-0.10069694784907474</v>
      </c>
    </row>
    <row r="103" spans="1:10">
      <c r="A103">
        <v>2026</v>
      </c>
      <c r="B103">
        <v>32</v>
      </c>
      <c r="C103" t="s">
        <v>68</v>
      </c>
      <c r="D103" t="s">
        <v>9</v>
      </c>
      <c r="E103" t="s">
        <v>225</v>
      </c>
      <c r="F103" t="s">
        <v>174</v>
      </c>
      <c r="G103" t="str">
        <f t="shared" si="2"/>
        <v>32027SATISFACTION</v>
      </c>
      <c r="H103">
        <v>3254</v>
      </c>
      <c r="I103">
        <v>3399</v>
      </c>
      <c r="J103">
        <f t="shared" si="3"/>
        <v>4.2659605766401883E-2</v>
      </c>
    </row>
    <row r="104" spans="1:10">
      <c r="A104">
        <v>2026</v>
      </c>
      <c r="B104">
        <v>32</v>
      </c>
      <c r="C104" t="s">
        <v>68</v>
      </c>
      <c r="D104" t="s">
        <v>9</v>
      </c>
      <c r="E104" t="s">
        <v>225</v>
      </c>
      <c r="F104" t="s">
        <v>176</v>
      </c>
      <c r="G104" t="str">
        <f t="shared" si="2"/>
        <v>32027TIFFANY</v>
      </c>
      <c r="H104">
        <v>2984</v>
      </c>
      <c r="I104">
        <v>3207</v>
      </c>
      <c r="J104">
        <f t="shared" si="3"/>
        <v>6.9535391331462429E-2</v>
      </c>
    </row>
    <row r="105" spans="1:10">
      <c r="A105">
        <v>2026</v>
      </c>
      <c r="B105">
        <v>32</v>
      </c>
      <c r="C105" t="s">
        <v>68</v>
      </c>
      <c r="D105" t="s">
        <v>9</v>
      </c>
      <c r="E105" t="s">
        <v>226</v>
      </c>
      <c r="F105" t="s">
        <v>94</v>
      </c>
      <c r="G105" t="str">
        <f t="shared" si="2"/>
        <v>32028COTOPAXI</v>
      </c>
      <c r="H105">
        <v>4968</v>
      </c>
      <c r="I105">
        <v>4272</v>
      </c>
      <c r="J105">
        <f t="shared" si="3"/>
        <v>-0.16292134831460675</v>
      </c>
    </row>
    <row r="106" spans="1:10">
      <c r="A106">
        <v>2026</v>
      </c>
      <c r="B106">
        <v>32</v>
      </c>
      <c r="C106" t="s">
        <v>68</v>
      </c>
      <c r="D106" t="s">
        <v>9</v>
      </c>
      <c r="E106" t="s">
        <v>226</v>
      </c>
      <c r="F106" t="s">
        <v>87</v>
      </c>
      <c r="G106" t="str">
        <f t="shared" si="2"/>
        <v>32028DEEP PURPLE</v>
      </c>
      <c r="H106">
        <v>5741</v>
      </c>
      <c r="I106">
        <v>6116</v>
      </c>
      <c r="J106">
        <f t="shared" si="3"/>
        <v>6.1314584695879658E-2</v>
      </c>
    </row>
    <row r="107" spans="1:10">
      <c r="A107">
        <v>2026</v>
      </c>
      <c r="B107">
        <v>32</v>
      </c>
      <c r="C107" t="s">
        <v>68</v>
      </c>
      <c r="D107" t="s">
        <v>9</v>
      </c>
      <c r="E107" t="s">
        <v>227</v>
      </c>
      <c r="F107" t="s">
        <v>180</v>
      </c>
      <c r="G107" t="str">
        <f t="shared" si="2"/>
        <v>32029PINK FLOYD</v>
      </c>
      <c r="H107">
        <v>3560</v>
      </c>
      <c r="I107">
        <v>3695</v>
      </c>
      <c r="J107">
        <f t="shared" si="3"/>
        <v>3.6535859269282815E-2</v>
      </c>
    </row>
    <row r="108" spans="1:10">
      <c r="A108">
        <v>2026</v>
      </c>
      <c r="B108">
        <v>32</v>
      </c>
      <c r="C108" t="s">
        <v>68</v>
      </c>
      <c r="D108" t="s">
        <v>9</v>
      </c>
      <c r="E108" t="s">
        <v>210</v>
      </c>
      <c r="F108" t="s">
        <v>71</v>
      </c>
      <c r="G108" t="str">
        <f t="shared" si="2"/>
        <v>32030EXPLORER</v>
      </c>
      <c r="H108">
        <v>1631</v>
      </c>
      <c r="I108">
        <v>1227</v>
      </c>
      <c r="J108">
        <f t="shared" si="3"/>
        <v>-0.32925835370823148</v>
      </c>
    </row>
    <row r="109" spans="1:10">
      <c r="A109">
        <v>2026</v>
      </c>
      <c r="B109">
        <v>32</v>
      </c>
      <c r="C109" t="s">
        <v>68</v>
      </c>
      <c r="D109" t="s">
        <v>9</v>
      </c>
      <c r="E109" t="s">
        <v>217</v>
      </c>
      <c r="F109" t="s">
        <v>77</v>
      </c>
      <c r="G109" t="str">
        <f t="shared" si="2"/>
        <v>32008LUMIA</v>
      </c>
      <c r="H109">
        <v>1617</v>
      </c>
      <c r="I109" t="e">
        <v>#N/A</v>
      </c>
      <c r="J109" t="e">
        <f t="shared" si="3"/>
        <v>#N/A</v>
      </c>
    </row>
    <row r="110" spans="1:10">
      <c r="A110">
        <v>2026</v>
      </c>
      <c r="B110">
        <v>33</v>
      </c>
      <c r="C110" t="s">
        <v>68</v>
      </c>
      <c r="D110" t="s">
        <v>9</v>
      </c>
      <c r="E110" t="s">
        <v>217</v>
      </c>
      <c r="F110" t="s">
        <v>77</v>
      </c>
      <c r="G110" t="str">
        <f t="shared" si="2"/>
        <v>33008LUMIA</v>
      </c>
      <c r="H110">
        <v>2143</v>
      </c>
      <c r="I110" t="e">
        <v>#N/A</v>
      </c>
      <c r="J110" t="e">
        <f t="shared" si="3"/>
        <v>#N/A</v>
      </c>
    </row>
    <row r="111" spans="1:10">
      <c r="A111">
        <v>2026</v>
      </c>
      <c r="B111">
        <v>34</v>
      </c>
      <c r="C111" t="s">
        <v>68</v>
      </c>
      <c r="D111" t="s">
        <v>9</v>
      </c>
      <c r="E111" t="s">
        <v>217</v>
      </c>
      <c r="F111" t="s">
        <v>77</v>
      </c>
      <c r="G111" t="str">
        <f t="shared" si="2"/>
        <v>34008LUMIA</v>
      </c>
      <c r="H111">
        <v>1514</v>
      </c>
      <c r="I111" t="e">
        <v>#N/A</v>
      </c>
      <c r="J111" t="e">
        <f t="shared" si="3"/>
        <v>#N/A</v>
      </c>
    </row>
    <row r="112" spans="1:10">
      <c r="A112">
        <v>2026</v>
      </c>
      <c r="B112">
        <v>33</v>
      </c>
      <c r="C112" t="s">
        <v>8</v>
      </c>
      <c r="D112" t="s">
        <v>9</v>
      </c>
      <c r="E112" t="s">
        <v>207</v>
      </c>
      <c r="F112" t="s">
        <v>184</v>
      </c>
      <c r="G112" t="str">
        <f t="shared" si="2"/>
        <v>33021PISTACHIO KISS</v>
      </c>
      <c r="H112">
        <v>46</v>
      </c>
      <c r="I112" t="e">
        <v>#N/A</v>
      </c>
      <c r="J112" t="e">
        <f t="shared" si="3"/>
        <v>#N/A</v>
      </c>
    </row>
    <row r="113" spans="1:10">
      <c r="A113">
        <v>2026</v>
      </c>
      <c r="B113">
        <v>34</v>
      </c>
      <c r="C113" t="s">
        <v>8</v>
      </c>
      <c r="D113" t="s">
        <v>9</v>
      </c>
      <c r="E113" t="s">
        <v>207</v>
      </c>
      <c r="F113" t="s">
        <v>184</v>
      </c>
      <c r="G113" t="str">
        <f t="shared" si="2"/>
        <v>34021PISTACHIO KISS</v>
      </c>
      <c r="H113">
        <v>46</v>
      </c>
      <c r="I113" t="e">
        <v>#N/A</v>
      </c>
      <c r="J113" t="e">
        <f t="shared" si="3"/>
        <v>#N/A</v>
      </c>
    </row>
    <row r="114" spans="1:10">
      <c r="A114">
        <v>2026</v>
      </c>
      <c r="B114">
        <v>33</v>
      </c>
      <c r="C114" t="s">
        <v>8</v>
      </c>
      <c r="D114" t="s">
        <v>9</v>
      </c>
      <c r="E114" t="s">
        <v>195</v>
      </c>
      <c r="F114" t="s">
        <v>10</v>
      </c>
      <c r="G114" t="str">
        <f t="shared" si="2"/>
        <v>33002SOMERSET</v>
      </c>
      <c r="H114">
        <v>8810</v>
      </c>
      <c r="I114">
        <v>9045</v>
      </c>
      <c r="J114">
        <f t="shared" si="3"/>
        <v>2.5981205085682697E-2</v>
      </c>
    </row>
    <row r="115" spans="1:10">
      <c r="A115">
        <v>2026</v>
      </c>
      <c r="B115">
        <v>33</v>
      </c>
      <c r="C115" t="s">
        <v>8</v>
      </c>
      <c r="D115" t="s">
        <v>9</v>
      </c>
      <c r="E115" t="s">
        <v>196</v>
      </c>
      <c r="F115" t="s">
        <v>12</v>
      </c>
      <c r="G115" t="str">
        <f t="shared" si="2"/>
        <v>33004BELLINA</v>
      </c>
      <c r="H115">
        <v>1227</v>
      </c>
      <c r="I115">
        <v>1048</v>
      </c>
      <c r="J115">
        <f t="shared" si="3"/>
        <v>-0.17080152671755724</v>
      </c>
    </row>
    <row r="116" spans="1:10">
      <c r="A116">
        <v>2026</v>
      </c>
      <c r="B116">
        <v>33</v>
      </c>
      <c r="C116" t="s">
        <v>8</v>
      </c>
      <c r="D116" t="s">
        <v>9</v>
      </c>
      <c r="E116" t="s">
        <v>197</v>
      </c>
      <c r="F116" t="s">
        <v>14</v>
      </c>
      <c r="G116" t="str">
        <f t="shared" si="2"/>
        <v>33005ELBA</v>
      </c>
      <c r="H116">
        <v>9901</v>
      </c>
      <c r="I116">
        <v>8493</v>
      </c>
      <c r="J116">
        <f t="shared" si="3"/>
        <v>-0.165783586482986</v>
      </c>
    </row>
    <row r="117" spans="1:10">
      <c r="A117">
        <v>2026</v>
      </c>
      <c r="B117">
        <v>33</v>
      </c>
      <c r="C117" t="s">
        <v>8</v>
      </c>
      <c r="D117" t="s">
        <v>9</v>
      </c>
      <c r="E117" t="s">
        <v>197</v>
      </c>
      <c r="F117" t="s">
        <v>16</v>
      </c>
      <c r="G117" t="str">
        <f t="shared" si="2"/>
        <v>33005HOT BUBBLES</v>
      </c>
      <c r="H117">
        <v>1799</v>
      </c>
      <c r="I117">
        <v>1301</v>
      </c>
      <c r="J117">
        <f t="shared" si="3"/>
        <v>-0.38278247501921597</v>
      </c>
    </row>
    <row r="118" spans="1:10">
      <c r="A118">
        <v>2026</v>
      </c>
      <c r="B118">
        <v>33</v>
      </c>
      <c r="C118" t="s">
        <v>8</v>
      </c>
      <c r="D118" t="s">
        <v>9</v>
      </c>
      <c r="E118" t="s">
        <v>197</v>
      </c>
      <c r="F118" t="s">
        <v>18</v>
      </c>
      <c r="G118" t="str">
        <f t="shared" si="2"/>
        <v>33005SUSPIRO</v>
      </c>
      <c r="H118">
        <v>5026</v>
      </c>
      <c r="I118">
        <v>4211</v>
      </c>
      <c r="J118">
        <f t="shared" si="3"/>
        <v>-0.19354072666824981</v>
      </c>
    </row>
    <row r="119" spans="1:10">
      <c r="A119">
        <v>2026</v>
      </c>
      <c r="B119">
        <v>33</v>
      </c>
      <c r="C119" t="s">
        <v>8</v>
      </c>
      <c r="D119" t="s">
        <v>9</v>
      </c>
      <c r="E119" t="s">
        <v>198</v>
      </c>
      <c r="F119" t="s">
        <v>20</v>
      </c>
      <c r="G119" t="str">
        <f t="shared" si="2"/>
        <v>33007SNOW BUBBLES</v>
      </c>
      <c r="H119">
        <v>1106</v>
      </c>
      <c r="I119">
        <v>848</v>
      </c>
      <c r="J119">
        <f t="shared" si="3"/>
        <v>-0.30424528301886794</v>
      </c>
    </row>
    <row r="120" spans="1:10">
      <c r="A120">
        <v>2026</v>
      </c>
      <c r="B120">
        <v>33</v>
      </c>
      <c r="C120" t="s">
        <v>8</v>
      </c>
      <c r="D120" t="s">
        <v>9</v>
      </c>
      <c r="E120" t="s">
        <v>199</v>
      </c>
      <c r="F120" t="s">
        <v>16</v>
      </c>
      <c r="G120" t="str">
        <f t="shared" si="2"/>
        <v>33009HOT BUBBLES</v>
      </c>
      <c r="H120">
        <v>11766</v>
      </c>
      <c r="I120">
        <v>11256</v>
      </c>
      <c r="J120">
        <f t="shared" si="3"/>
        <v>-4.5309168443496799E-2</v>
      </c>
    </row>
    <row r="121" spans="1:10">
      <c r="A121">
        <v>2026</v>
      </c>
      <c r="B121">
        <v>33</v>
      </c>
      <c r="C121" t="s">
        <v>8</v>
      </c>
      <c r="D121" t="s">
        <v>9</v>
      </c>
      <c r="E121" t="s">
        <v>200</v>
      </c>
      <c r="F121" t="s">
        <v>23</v>
      </c>
      <c r="G121" t="str">
        <f t="shared" si="2"/>
        <v>33014FRUITY BUBBLES</v>
      </c>
      <c r="H121">
        <v>3198</v>
      </c>
      <c r="I121">
        <v>3480</v>
      </c>
      <c r="J121">
        <f t="shared" si="3"/>
        <v>8.1034482758620685E-2</v>
      </c>
    </row>
    <row r="122" spans="1:10">
      <c r="A122">
        <v>2026</v>
      </c>
      <c r="B122">
        <v>33</v>
      </c>
      <c r="C122" t="s">
        <v>8</v>
      </c>
      <c r="D122" t="s">
        <v>9</v>
      </c>
      <c r="E122" t="s">
        <v>201</v>
      </c>
      <c r="F122" t="s">
        <v>25</v>
      </c>
      <c r="G122" t="str">
        <f t="shared" si="2"/>
        <v>33015FELLINI</v>
      </c>
      <c r="H122">
        <v>6543</v>
      </c>
      <c r="I122">
        <v>6523</v>
      </c>
      <c r="J122">
        <f t="shared" si="3"/>
        <v>-3.0660738923808063E-3</v>
      </c>
    </row>
    <row r="123" spans="1:10">
      <c r="A123">
        <v>2026</v>
      </c>
      <c r="B123">
        <v>33</v>
      </c>
      <c r="C123" t="s">
        <v>8</v>
      </c>
      <c r="D123" t="s">
        <v>9</v>
      </c>
      <c r="E123" t="s">
        <v>202</v>
      </c>
      <c r="F123" t="s">
        <v>27</v>
      </c>
      <c r="G123" t="str">
        <f t="shared" si="2"/>
        <v>33016GOOD PEACH</v>
      </c>
      <c r="H123">
        <v>4069</v>
      </c>
      <c r="I123">
        <v>3351</v>
      </c>
      <c r="J123">
        <f t="shared" si="3"/>
        <v>-0.21426439868695912</v>
      </c>
    </row>
    <row r="124" spans="1:10">
      <c r="A124">
        <v>2026</v>
      </c>
      <c r="B124">
        <v>33</v>
      </c>
      <c r="C124" t="s">
        <v>8</v>
      </c>
      <c r="D124" t="s">
        <v>9</v>
      </c>
      <c r="E124" t="s">
        <v>202</v>
      </c>
      <c r="F124" t="s">
        <v>29</v>
      </c>
      <c r="G124" t="str">
        <f t="shared" si="2"/>
        <v>33016GOOD YELLOW</v>
      </c>
      <c r="H124">
        <v>3732</v>
      </c>
      <c r="I124">
        <v>3048</v>
      </c>
      <c r="J124">
        <f t="shared" si="3"/>
        <v>-0.22440944881889763</v>
      </c>
    </row>
    <row r="125" spans="1:10">
      <c r="A125">
        <v>2026</v>
      </c>
      <c r="B125">
        <v>33</v>
      </c>
      <c r="C125" t="s">
        <v>8</v>
      </c>
      <c r="D125" t="s">
        <v>9</v>
      </c>
      <c r="E125" t="s">
        <v>203</v>
      </c>
      <c r="F125" t="s">
        <v>31</v>
      </c>
      <c r="G125" t="str">
        <f t="shared" si="2"/>
        <v>33017ORANGE STAR</v>
      </c>
      <c r="H125">
        <v>1144</v>
      </c>
      <c r="I125">
        <v>1120</v>
      </c>
      <c r="J125">
        <f t="shared" si="3"/>
        <v>-2.1428571428571429E-2</v>
      </c>
    </row>
    <row r="126" spans="1:10">
      <c r="A126">
        <v>2026</v>
      </c>
      <c r="B126">
        <v>33</v>
      </c>
      <c r="C126" t="s">
        <v>8</v>
      </c>
      <c r="D126" t="s">
        <v>9</v>
      </c>
      <c r="E126" t="s">
        <v>204</v>
      </c>
      <c r="F126" t="s">
        <v>33</v>
      </c>
      <c r="G126" t="str">
        <f t="shared" si="2"/>
        <v>33018COSMO</v>
      </c>
      <c r="H126">
        <v>5423</v>
      </c>
      <c r="I126">
        <v>5566</v>
      </c>
      <c r="J126">
        <f t="shared" si="3"/>
        <v>2.5691699604743084E-2</v>
      </c>
    </row>
    <row r="127" spans="1:10">
      <c r="A127">
        <v>2026</v>
      </c>
      <c r="B127">
        <v>33</v>
      </c>
      <c r="C127" t="s">
        <v>8</v>
      </c>
      <c r="D127" t="s">
        <v>9</v>
      </c>
      <c r="E127" t="s">
        <v>204</v>
      </c>
      <c r="F127" t="s">
        <v>35</v>
      </c>
      <c r="G127" t="str">
        <f t="shared" si="2"/>
        <v>33018RUBICON</v>
      </c>
      <c r="H127">
        <v>5451</v>
      </c>
      <c r="I127">
        <v>4154</v>
      </c>
      <c r="J127">
        <f t="shared" si="3"/>
        <v>-0.31222917669715938</v>
      </c>
    </row>
    <row r="128" spans="1:10">
      <c r="A128">
        <v>2026</v>
      </c>
      <c r="B128">
        <v>33</v>
      </c>
      <c r="C128" t="s">
        <v>8</v>
      </c>
      <c r="D128" t="s">
        <v>9</v>
      </c>
      <c r="E128" t="s">
        <v>205</v>
      </c>
      <c r="F128" t="s">
        <v>12</v>
      </c>
      <c r="G128" t="str">
        <f t="shared" si="2"/>
        <v>33019BELLINA</v>
      </c>
      <c r="H128">
        <v>1147</v>
      </c>
      <c r="I128">
        <v>1220</v>
      </c>
      <c r="J128">
        <f t="shared" si="3"/>
        <v>5.983606557377049E-2</v>
      </c>
    </row>
    <row r="129" spans="1:10">
      <c r="A129">
        <v>2026</v>
      </c>
      <c r="B129">
        <v>33</v>
      </c>
      <c r="C129" t="s">
        <v>8</v>
      </c>
      <c r="D129" t="s">
        <v>9</v>
      </c>
      <c r="E129" t="s">
        <v>206</v>
      </c>
      <c r="F129" t="s">
        <v>38</v>
      </c>
      <c r="G129" t="str">
        <f t="shared" si="2"/>
        <v>33020SUMMER DANCE</v>
      </c>
      <c r="H129">
        <v>3529</v>
      </c>
      <c r="I129">
        <v>3240</v>
      </c>
      <c r="J129">
        <f t="shared" si="3"/>
        <v>-8.919753086419753E-2</v>
      </c>
    </row>
    <row r="130" spans="1:10">
      <c r="A130">
        <v>2026</v>
      </c>
      <c r="B130">
        <v>33</v>
      </c>
      <c r="C130" t="s">
        <v>8</v>
      </c>
      <c r="D130" t="s">
        <v>9</v>
      </c>
      <c r="E130" t="s">
        <v>207</v>
      </c>
      <c r="F130" t="s">
        <v>40</v>
      </c>
      <c r="G130" t="str">
        <f t="shared" si="2"/>
        <v>33021ELEGANT ROSEVER</v>
      </c>
      <c r="H130">
        <v>919</v>
      </c>
      <c r="I130">
        <v>582</v>
      </c>
      <c r="J130">
        <f t="shared" si="3"/>
        <v>-0.57903780068728528</v>
      </c>
    </row>
    <row r="131" spans="1:10">
      <c r="A131">
        <v>2026</v>
      </c>
      <c r="B131">
        <v>33</v>
      </c>
      <c r="C131" t="s">
        <v>8</v>
      </c>
      <c r="D131" t="s">
        <v>9</v>
      </c>
      <c r="E131" t="s">
        <v>207</v>
      </c>
      <c r="F131" t="s">
        <v>42</v>
      </c>
      <c r="G131" t="str">
        <f t="shared" ref="G131:G194" si="4">+B131&amp;E131&amp;F131</f>
        <v>33021FLAME CLUB</v>
      </c>
      <c r="H131">
        <v>1959</v>
      </c>
      <c r="I131">
        <v>1965</v>
      </c>
      <c r="J131">
        <f t="shared" ref="J131:J194" si="5">+(I131-H131)/I131</f>
        <v>3.0534351145038168E-3</v>
      </c>
    </row>
    <row r="132" spans="1:10">
      <c r="A132">
        <v>2026</v>
      </c>
      <c r="B132">
        <v>33</v>
      </c>
      <c r="C132" t="s">
        <v>8</v>
      </c>
      <c r="D132" t="s">
        <v>9</v>
      </c>
      <c r="E132" t="s">
        <v>207</v>
      </c>
      <c r="F132" t="s">
        <v>44</v>
      </c>
      <c r="G132" t="str">
        <f t="shared" si="4"/>
        <v>33021KELLY</v>
      </c>
      <c r="H132">
        <v>399</v>
      </c>
      <c r="I132">
        <v>499</v>
      </c>
      <c r="J132">
        <f t="shared" si="5"/>
        <v>0.20040080160320642</v>
      </c>
    </row>
    <row r="133" spans="1:10">
      <c r="A133">
        <v>2026</v>
      </c>
      <c r="B133">
        <v>33</v>
      </c>
      <c r="C133" t="s">
        <v>8</v>
      </c>
      <c r="D133" t="s">
        <v>9</v>
      </c>
      <c r="E133" t="s">
        <v>207</v>
      </c>
      <c r="F133" t="s">
        <v>46</v>
      </c>
      <c r="G133" t="str">
        <f t="shared" si="4"/>
        <v>33021LEILA</v>
      </c>
      <c r="H133">
        <v>3196</v>
      </c>
      <c r="I133">
        <v>2094</v>
      </c>
      <c r="J133">
        <f t="shared" si="5"/>
        <v>-0.52626552053486153</v>
      </c>
    </row>
    <row r="134" spans="1:10">
      <c r="A134">
        <v>2026</v>
      </c>
      <c r="B134">
        <v>33</v>
      </c>
      <c r="C134" t="s">
        <v>8</v>
      </c>
      <c r="D134" t="s">
        <v>9</v>
      </c>
      <c r="E134" t="s">
        <v>207</v>
      </c>
      <c r="F134" t="s">
        <v>20</v>
      </c>
      <c r="G134" t="str">
        <f t="shared" si="4"/>
        <v>33021SNOW BUBBLES</v>
      </c>
      <c r="H134">
        <v>2628</v>
      </c>
      <c r="I134">
        <v>2699</v>
      </c>
      <c r="J134">
        <f t="shared" si="5"/>
        <v>2.6306039273805114E-2</v>
      </c>
    </row>
    <row r="135" spans="1:10">
      <c r="A135">
        <v>2026</v>
      </c>
      <c r="B135">
        <v>33</v>
      </c>
      <c r="C135" t="s">
        <v>8</v>
      </c>
      <c r="D135" t="s">
        <v>9</v>
      </c>
      <c r="E135" t="s">
        <v>208</v>
      </c>
      <c r="F135" t="s">
        <v>23</v>
      </c>
      <c r="G135" t="str">
        <f t="shared" si="4"/>
        <v>33022FRUITY BUBBLES</v>
      </c>
      <c r="H135">
        <v>6182</v>
      </c>
      <c r="I135">
        <v>5413</v>
      </c>
      <c r="J135">
        <f t="shared" si="5"/>
        <v>-0.14206539811564753</v>
      </c>
    </row>
    <row r="136" spans="1:10">
      <c r="A136">
        <v>2026</v>
      </c>
      <c r="B136">
        <v>33</v>
      </c>
      <c r="C136" t="s">
        <v>8</v>
      </c>
      <c r="D136" t="s">
        <v>9</v>
      </c>
      <c r="E136" t="s">
        <v>208</v>
      </c>
      <c r="F136" t="s">
        <v>27</v>
      </c>
      <c r="G136" t="str">
        <f t="shared" si="4"/>
        <v>33022GOOD PEACH</v>
      </c>
      <c r="H136">
        <v>2058</v>
      </c>
      <c r="I136">
        <v>1855</v>
      </c>
      <c r="J136">
        <f t="shared" si="5"/>
        <v>-0.10943396226415095</v>
      </c>
    </row>
    <row r="137" spans="1:10">
      <c r="A137">
        <v>2026</v>
      </c>
      <c r="B137">
        <v>33</v>
      </c>
      <c r="C137" t="s">
        <v>8</v>
      </c>
      <c r="D137" t="s">
        <v>9</v>
      </c>
      <c r="E137" t="s">
        <v>208</v>
      </c>
      <c r="F137" t="s">
        <v>51</v>
      </c>
      <c r="G137" t="str">
        <f t="shared" si="4"/>
        <v>33022MIRABEL</v>
      </c>
      <c r="H137">
        <v>1598</v>
      </c>
      <c r="I137">
        <v>1470</v>
      </c>
      <c r="J137">
        <f t="shared" si="5"/>
        <v>-8.7074829931972783E-2</v>
      </c>
    </row>
    <row r="138" spans="1:10">
      <c r="A138">
        <v>2026</v>
      </c>
      <c r="B138">
        <v>33</v>
      </c>
      <c r="C138" t="s">
        <v>8</v>
      </c>
      <c r="D138" t="s">
        <v>9</v>
      </c>
      <c r="E138" t="s">
        <v>209</v>
      </c>
      <c r="F138" t="s">
        <v>53</v>
      </c>
      <c r="G138" t="str">
        <f t="shared" si="4"/>
        <v>33026PURPLE BUBBLY</v>
      </c>
      <c r="H138">
        <v>375</v>
      </c>
      <c r="I138" t="e">
        <v>#N/A</v>
      </c>
      <c r="J138" t="e">
        <f t="shared" si="5"/>
        <v>#N/A</v>
      </c>
    </row>
    <row r="139" spans="1:10">
      <c r="A139">
        <v>2026</v>
      </c>
      <c r="B139">
        <v>33</v>
      </c>
      <c r="C139" t="s">
        <v>8</v>
      </c>
      <c r="D139" t="s">
        <v>9</v>
      </c>
      <c r="E139" t="s">
        <v>210</v>
      </c>
      <c r="F139" t="s">
        <v>51</v>
      </c>
      <c r="G139" t="str">
        <f t="shared" si="4"/>
        <v>33030MIRABEL</v>
      </c>
      <c r="H139">
        <v>6140</v>
      </c>
      <c r="I139">
        <v>4576</v>
      </c>
      <c r="J139">
        <f t="shared" si="5"/>
        <v>-0.34178321678321677</v>
      </c>
    </row>
    <row r="140" spans="1:10">
      <c r="A140">
        <v>2026</v>
      </c>
      <c r="B140">
        <v>33</v>
      </c>
      <c r="C140" t="s">
        <v>8</v>
      </c>
      <c r="D140" t="s">
        <v>9</v>
      </c>
      <c r="E140" t="s">
        <v>210</v>
      </c>
      <c r="F140" t="s">
        <v>10</v>
      </c>
      <c r="G140" t="str">
        <f t="shared" si="4"/>
        <v>33030SOMERSET</v>
      </c>
      <c r="H140">
        <v>2358</v>
      </c>
      <c r="I140">
        <v>2509</v>
      </c>
      <c r="J140">
        <f t="shared" si="5"/>
        <v>6.0183339976086089E-2</v>
      </c>
    </row>
    <row r="141" spans="1:10">
      <c r="A141">
        <v>2026</v>
      </c>
      <c r="B141">
        <v>33</v>
      </c>
      <c r="C141" t="s">
        <v>8</v>
      </c>
      <c r="D141" t="s">
        <v>9</v>
      </c>
      <c r="E141" t="s">
        <v>211</v>
      </c>
      <c r="F141" t="s">
        <v>57</v>
      </c>
      <c r="G141" t="str">
        <f t="shared" si="4"/>
        <v>3303182989</v>
      </c>
      <c r="H141">
        <v>2465</v>
      </c>
      <c r="I141">
        <v>1110</v>
      </c>
      <c r="J141">
        <f t="shared" si="5"/>
        <v>-1.2207207207207207</v>
      </c>
    </row>
    <row r="142" spans="1:10">
      <c r="A142">
        <v>2026</v>
      </c>
      <c r="B142">
        <v>33</v>
      </c>
      <c r="C142" t="s">
        <v>8</v>
      </c>
      <c r="D142" t="s">
        <v>9</v>
      </c>
      <c r="E142" t="s">
        <v>211</v>
      </c>
      <c r="F142" t="s">
        <v>35</v>
      </c>
      <c r="G142" t="str">
        <f t="shared" si="4"/>
        <v>33031RUBICON</v>
      </c>
      <c r="H142">
        <v>2465</v>
      </c>
      <c r="I142">
        <v>2041</v>
      </c>
      <c r="J142">
        <f t="shared" si="5"/>
        <v>-0.20774130328270457</v>
      </c>
    </row>
    <row r="143" spans="1:10">
      <c r="A143">
        <v>2026</v>
      </c>
      <c r="B143">
        <v>33</v>
      </c>
      <c r="C143" t="s">
        <v>8</v>
      </c>
      <c r="D143" t="s">
        <v>9</v>
      </c>
      <c r="E143" t="s">
        <v>211</v>
      </c>
      <c r="F143" t="s">
        <v>10</v>
      </c>
      <c r="G143" t="str">
        <f t="shared" si="4"/>
        <v>33031SOMERSET</v>
      </c>
      <c r="H143">
        <v>1571</v>
      </c>
      <c r="I143">
        <v>1576</v>
      </c>
      <c r="J143">
        <f t="shared" si="5"/>
        <v>3.1725888324873096E-3</v>
      </c>
    </row>
    <row r="144" spans="1:10">
      <c r="A144">
        <v>2026</v>
      </c>
      <c r="B144">
        <v>33</v>
      </c>
      <c r="C144" t="s">
        <v>8</v>
      </c>
      <c r="D144" t="s">
        <v>9</v>
      </c>
      <c r="E144" t="s">
        <v>211</v>
      </c>
      <c r="F144" t="s">
        <v>61</v>
      </c>
      <c r="G144" t="str">
        <f t="shared" si="4"/>
        <v>33031VELVET BLOSSOMS</v>
      </c>
      <c r="H144">
        <v>553</v>
      </c>
      <c r="I144">
        <v>577</v>
      </c>
      <c r="J144">
        <f t="shared" si="5"/>
        <v>4.1594454072790298E-2</v>
      </c>
    </row>
    <row r="145" spans="1:10">
      <c r="A145">
        <v>2026</v>
      </c>
      <c r="B145">
        <v>33</v>
      </c>
      <c r="C145" t="s">
        <v>8</v>
      </c>
      <c r="D145" t="s">
        <v>9</v>
      </c>
      <c r="E145" t="s">
        <v>212</v>
      </c>
      <c r="F145" t="s">
        <v>14</v>
      </c>
      <c r="G145" t="str">
        <f t="shared" si="4"/>
        <v>33032ELBA</v>
      </c>
      <c r="H145">
        <v>3411</v>
      </c>
      <c r="I145">
        <v>2981</v>
      </c>
      <c r="J145">
        <f t="shared" si="5"/>
        <v>-0.1442468970144247</v>
      </c>
    </row>
    <row r="146" spans="1:10">
      <c r="A146">
        <v>2026</v>
      </c>
      <c r="B146">
        <v>33</v>
      </c>
      <c r="C146" t="s">
        <v>8</v>
      </c>
      <c r="D146" t="s">
        <v>9</v>
      </c>
      <c r="E146" t="s">
        <v>212</v>
      </c>
      <c r="F146" t="s">
        <v>51</v>
      </c>
      <c r="G146" t="str">
        <f t="shared" si="4"/>
        <v>33032MIRABEL</v>
      </c>
      <c r="H146">
        <v>1938</v>
      </c>
      <c r="I146">
        <v>1637</v>
      </c>
      <c r="J146">
        <f t="shared" si="5"/>
        <v>-0.18387293830177154</v>
      </c>
    </row>
    <row r="147" spans="1:10">
      <c r="A147">
        <v>2026</v>
      </c>
      <c r="B147">
        <v>33</v>
      </c>
      <c r="C147" t="s">
        <v>8</v>
      </c>
      <c r="D147" t="s">
        <v>9</v>
      </c>
      <c r="E147" t="s">
        <v>213</v>
      </c>
      <c r="F147" t="s">
        <v>65</v>
      </c>
      <c r="G147" t="str">
        <f t="shared" si="4"/>
        <v>33033CREAMY FOLIES</v>
      </c>
      <c r="H147">
        <v>1514</v>
      </c>
      <c r="I147">
        <v>1152</v>
      </c>
      <c r="J147">
        <f t="shared" si="5"/>
        <v>-0.3142361111111111</v>
      </c>
    </row>
    <row r="148" spans="1:10">
      <c r="A148">
        <v>2026</v>
      </c>
      <c r="B148">
        <v>33</v>
      </c>
      <c r="C148" t="s">
        <v>8</v>
      </c>
      <c r="D148" t="s">
        <v>9</v>
      </c>
      <c r="E148" t="s">
        <v>213</v>
      </c>
      <c r="F148" t="s">
        <v>16</v>
      </c>
      <c r="G148" t="str">
        <f t="shared" si="4"/>
        <v>33033HOT BUBBLES</v>
      </c>
      <c r="H148">
        <v>3433</v>
      </c>
      <c r="I148">
        <v>2707</v>
      </c>
      <c r="J148">
        <f t="shared" si="5"/>
        <v>-0.26819357222016993</v>
      </c>
    </row>
    <row r="149" spans="1:10">
      <c r="A149">
        <v>2026</v>
      </c>
      <c r="B149">
        <v>33</v>
      </c>
      <c r="C149" t="s">
        <v>68</v>
      </c>
      <c r="D149" t="s">
        <v>9</v>
      </c>
      <c r="E149" t="s">
        <v>214</v>
      </c>
      <c r="F149" t="s">
        <v>69</v>
      </c>
      <c r="G149" t="str">
        <f t="shared" si="4"/>
        <v>33001BELIEVE IN PINK</v>
      </c>
      <c r="H149">
        <v>1156</v>
      </c>
      <c r="I149">
        <v>1250</v>
      </c>
      <c r="J149">
        <f t="shared" si="5"/>
        <v>7.5200000000000003E-2</v>
      </c>
    </row>
    <row r="150" spans="1:10">
      <c r="A150">
        <v>2026</v>
      </c>
      <c r="B150">
        <v>33</v>
      </c>
      <c r="C150" t="s">
        <v>68</v>
      </c>
      <c r="D150" t="s">
        <v>9</v>
      </c>
      <c r="E150" t="s">
        <v>214</v>
      </c>
      <c r="F150" t="s">
        <v>71</v>
      </c>
      <c r="G150" t="str">
        <f t="shared" si="4"/>
        <v>33001EXPLORER</v>
      </c>
      <c r="H150">
        <v>2578</v>
      </c>
      <c r="I150">
        <v>3249</v>
      </c>
      <c r="J150">
        <f t="shared" si="5"/>
        <v>0.20652508464142813</v>
      </c>
    </row>
    <row r="151" spans="1:10">
      <c r="A151">
        <v>2026</v>
      </c>
      <c r="B151">
        <v>33</v>
      </c>
      <c r="C151" t="s">
        <v>68</v>
      </c>
      <c r="D151" t="s">
        <v>9</v>
      </c>
      <c r="E151" t="s">
        <v>214</v>
      </c>
      <c r="F151" t="s">
        <v>73</v>
      </c>
      <c r="G151" t="str">
        <f t="shared" si="4"/>
        <v>33001GRACE KELLY</v>
      </c>
      <c r="H151">
        <v>1664</v>
      </c>
      <c r="I151">
        <v>1220</v>
      </c>
      <c r="J151">
        <f t="shared" si="5"/>
        <v>-0.36393442622950822</v>
      </c>
    </row>
    <row r="152" spans="1:10">
      <c r="A152">
        <v>2026</v>
      </c>
      <c r="B152">
        <v>33</v>
      </c>
      <c r="C152" t="s">
        <v>68</v>
      </c>
      <c r="D152" t="s">
        <v>9</v>
      </c>
      <c r="E152" t="s">
        <v>214</v>
      </c>
      <c r="F152" t="s">
        <v>186</v>
      </c>
      <c r="G152" t="str">
        <f t="shared" si="4"/>
        <v>33001IDOLE</v>
      </c>
      <c r="H152">
        <v>1021</v>
      </c>
      <c r="I152">
        <v>786</v>
      </c>
      <c r="J152">
        <f t="shared" si="5"/>
        <v>-0.29898218829516537</v>
      </c>
    </row>
    <row r="153" spans="1:10">
      <c r="A153">
        <v>2026</v>
      </c>
      <c r="B153">
        <v>33</v>
      </c>
      <c r="C153" t="s">
        <v>68</v>
      </c>
      <c r="D153" t="s">
        <v>9</v>
      </c>
      <c r="E153" t="s">
        <v>214</v>
      </c>
      <c r="F153" t="s">
        <v>75</v>
      </c>
      <c r="G153" t="str">
        <f t="shared" si="4"/>
        <v>33001LIGHT HOUSE</v>
      </c>
      <c r="H153">
        <v>1188</v>
      </c>
      <c r="I153">
        <v>1173</v>
      </c>
      <c r="J153">
        <f t="shared" si="5"/>
        <v>-1.278772378516624E-2</v>
      </c>
    </row>
    <row r="154" spans="1:10">
      <c r="A154">
        <v>2026</v>
      </c>
      <c r="B154">
        <v>33</v>
      </c>
      <c r="C154" t="s">
        <v>68</v>
      </c>
      <c r="D154" t="s">
        <v>9</v>
      </c>
      <c r="E154" t="s">
        <v>214</v>
      </c>
      <c r="F154" t="s">
        <v>77</v>
      </c>
      <c r="G154" t="str">
        <f t="shared" si="4"/>
        <v>33001LUMIA</v>
      </c>
      <c r="H154">
        <v>1627</v>
      </c>
      <c r="I154">
        <v>1310</v>
      </c>
      <c r="J154">
        <f t="shared" si="5"/>
        <v>-0.24198473282442748</v>
      </c>
    </row>
    <row r="155" spans="1:10">
      <c r="A155">
        <v>2026</v>
      </c>
      <c r="B155">
        <v>33</v>
      </c>
      <c r="C155" t="s">
        <v>68</v>
      </c>
      <c r="D155" t="s">
        <v>9</v>
      </c>
      <c r="E155" t="s">
        <v>214</v>
      </c>
      <c r="F155" t="s">
        <v>79</v>
      </c>
      <c r="G155" t="str">
        <f t="shared" si="4"/>
        <v>33001MOMENTUM</v>
      </c>
      <c r="H155">
        <v>2769</v>
      </c>
      <c r="I155">
        <v>3416</v>
      </c>
      <c r="J155">
        <f t="shared" si="5"/>
        <v>0.18940281030444964</v>
      </c>
    </row>
    <row r="156" spans="1:10">
      <c r="A156">
        <v>2026</v>
      </c>
      <c r="B156">
        <v>33</v>
      </c>
      <c r="C156" t="s">
        <v>68</v>
      </c>
      <c r="D156" t="s">
        <v>9</v>
      </c>
      <c r="E156" t="s">
        <v>195</v>
      </c>
      <c r="F156" t="s">
        <v>81</v>
      </c>
      <c r="G156" t="str">
        <f t="shared" si="4"/>
        <v>33002SUMMER ROMANCE</v>
      </c>
      <c r="H156">
        <v>1611</v>
      </c>
      <c r="I156">
        <v>1943</v>
      </c>
      <c r="J156">
        <f t="shared" si="5"/>
        <v>0.17086978898610397</v>
      </c>
    </row>
    <row r="157" spans="1:10">
      <c r="A157">
        <v>2026</v>
      </c>
      <c r="B157">
        <v>33</v>
      </c>
      <c r="C157" t="s">
        <v>68</v>
      </c>
      <c r="D157" t="s">
        <v>9</v>
      </c>
      <c r="E157" t="s">
        <v>195</v>
      </c>
      <c r="F157" t="s">
        <v>83</v>
      </c>
      <c r="G157" t="str">
        <f t="shared" si="4"/>
        <v>33002SWEETNESS</v>
      </c>
      <c r="H157">
        <v>6588</v>
      </c>
      <c r="I157">
        <v>6126</v>
      </c>
      <c r="J157">
        <f t="shared" si="5"/>
        <v>-7.5416258570029385E-2</v>
      </c>
    </row>
    <row r="158" spans="1:10">
      <c r="A158">
        <v>2026</v>
      </c>
      <c r="B158">
        <v>33</v>
      </c>
      <c r="C158" t="s">
        <v>68</v>
      </c>
      <c r="D158" t="s">
        <v>9</v>
      </c>
      <c r="E158" t="s">
        <v>215</v>
      </c>
      <c r="F158" t="s">
        <v>85</v>
      </c>
      <c r="G158" t="str">
        <f t="shared" si="4"/>
        <v>33003CABARET</v>
      </c>
      <c r="H158">
        <v>4705</v>
      </c>
      <c r="I158">
        <v>4597</v>
      </c>
      <c r="J158">
        <f t="shared" si="5"/>
        <v>-2.3493582771372635E-2</v>
      </c>
    </row>
    <row r="159" spans="1:10">
      <c r="A159">
        <v>2026</v>
      </c>
      <c r="B159">
        <v>33</v>
      </c>
      <c r="C159" t="s">
        <v>68</v>
      </c>
      <c r="D159" t="s">
        <v>9</v>
      </c>
      <c r="E159" t="s">
        <v>215</v>
      </c>
      <c r="F159" t="s">
        <v>87</v>
      </c>
      <c r="G159" t="str">
        <f t="shared" si="4"/>
        <v>33003DEEP PURPLE</v>
      </c>
      <c r="H159">
        <v>6306</v>
      </c>
      <c r="I159">
        <v>6337</v>
      </c>
      <c r="J159">
        <f t="shared" si="5"/>
        <v>4.8919046867602969E-3</v>
      </c>
    </row>
    <row r="160" spans="1:10">
      <c r="A160">
        <v>2026</v>
      </c>
      <c r="B160">
        <v>33</v>
      </c>
      <c r="C160" t="s">
        <v>68</v>
      </c>
      <c r="D160" t="s">
        <v>9</v>
      </c>
      <c r="E160" t="s">
        <v>215</v>
      </c>
      <c r="F160" t="s">
        <v>71</v>
      </c>
      <c r="G160" t="str">
        <f t="shared" si="4"/>
        <v>33003EXPLORER</v>
      </c>
      <c r="H160">
        <v>1769</v>
      </c>
      <c r="I160">
        <v>1810</v>
      </c>
      <c r="J160">
        <f t="shared" si="5"/>
        <v>2.2651933701657457E-2</v>
      </c>
    </row>
    <row r="161" spans="1:10">
      <c r="A161">
        <v>2026</v>
      </c>
      <c r="B161">
        <v>33</v>
      </c>
      <c r="C161" t="s">
        <v>68</v>
      </c>
      <c r="D161" t="s">
        <v>9</v>
      </c>
      <c r="E161" t="s">
        <v>215</v>
      </c>
      <c r="F161" t="s">
        <v>90</v>
      </c>
      <c r="G161" t="str">
        <f t="shared" si="4"/>
        <v>33003JOCKER</v>
      </c>
      <c r="H161">
        <v>682</v>
      </c>
      <c r="I161">
        <v>720</v>
      </c>
      <c r="J161">
        <f t="shared" si="5"/>
        <v>5.2777777777777778E-2</v>
      </c>
    </row>
    <row r="162" spans="1:10">
      <c r="A162">
        <v>2026</v>
      </c>
      <c r="B162">
        <v>33</v>
      </c>
      <c r="C162" t="s">
        <v>68</v>
      </c>
      <c r="D162" t="s">
        <v>9</v>
      </c>
      <c r="E162" t="s">
        <v>215</v>
      </c>
      <c r="F162" t="s">
        <v>92</v>
      </c>
      <c r="G162" t="str">
        <f t="shared" si="4"/>
        <v>33003QUICKSAND</v>
      </c>
      <c r="H162">
        <v>1247</v>
      </c>
      <c r="I162">
        <v>1221</v>
      </c>
      <c r="J162">
        <f t="shared" si="5"/>
        <v>-2.1294021294021293E-2</v>
      </c>
    </row>
    <row r="163" spans="1:10">
      <c r="A163">
        <v>2026</v>
      </c>
      <c r="B163">
        <v>33</v>
      </c>
      <c r="C163" t="s">
        <v>68</v>
      </c>
      <c r="D163" t="s">
        <v>9</v>
      </c>
      <c r="E163" t="s">
        <v>196</v>
      </c>
      <c r="F163" t="s">
        <v>94</v>
      </c>
      <c r="G163" t="str">
        <f t="shared" si="4"/>
        <v>33004COTOPAXI</v>
      </c>
      <c r="H163">
        <v>1062</v>
      </c>
      <c r="I163">
        <v>808</v>
      </c>
      <c r="J163">
        <f t="shared" si="5"/>
        <v>-0.31435643564356436</v>
      </c>
    </row>
    <row r="164" spans="1:10">
      <c r="A164">
        <v>2026</v>
      </c>
      <c r="B164">
        <v>33</v>
      </c>
      <c r="C164" t="s">
        <v>68</v>
      </c>
      <c r="D164" t="s">
        <v>9</v>
      </c>
      <c r="E164" t="s">
        <v>196</v>
      </c>
      <c r="F164" t="s">
        <v>87</v>
      </c>
      <c r="G164" t="str">
        <f t="shared" si="4"/>
        <v>33004DEEP PURPLE</v>
      </c>
      <c r="H164">
        <v>6934</v>
      </c>
      <c r="I164">
        <v>8441</v>
      </c>
      <c r="J164">
        <f t="shared" si="5"/>
        <v>0.17853334912925009</v>
      </c>
    </row>
    <row r="165" spans="1:10">
      <c r="A165">
        <v>2026</v>
      </c>
      <c r="B165">
        <v>33</v>
      </c>
      <c r="C165" t="s">
        <v>68</v>
      </c>
      <c r="D165" t="s">
        <v>9</v>
      </c>
      <c r="E165" t="s">
        <v>196</v>
      </c>
      <c r="F165" t="s">
        <v>97</v>
      </c>
      <c r="G165" t="str">
        <f t="shared" si="4"/>
        <v>33004HOT EXPLORER</v>
      </c>
      <c r="H165">
        <v>2399</v>
      </c>
      <c r="I165">
        <v>2209</v>
      </c>
      <c r="J165">
        <f t="shared" si="5"/>
        <v>-8.6011770031688542E-2</v>
      </c>
    </row>
    <row r="166" spans="1:10">
      <c r="A166">
        <v>2026</v>
      </c>
      <c r="B166">
        <v>33</v>
      </c>
      <c r="C166" t="s">
        <v>68</v>
      </c>
      <c r="D166" t="s">
        <v>9</v>
      </c>
      <c r="E166" t="s">
        <v>196</v>
      </c>
      <c r="F166" t="s">
        <v>99</v>
      </c>
      <c r="G166" t="str">
        <f t="shared" si="4"/>
        <v>33004HOT MERENGUE</v>
      </c>
      <c r="H166">
        <v>1592</v>
      </c>
      <c r="I166">
        <v>1896</v>
      </c>
      <c r="J166">
        <f t="shared" si="5"/>
        <v>0.16033755274261605</v>
      </c>
    </row>
    <row r="167" spans="1:10">
      <c r="A167">
        <v>2026</v>
      </c>
      <c r="B167">
        <v>33</v>
      </c>
      <c r="C167" t="s">
        <v>68</v>
      </c>
      <c r="D167" t="s">
        <v>9</v>
      </c>
      <c r="E167" t="s">
        <v>196</v>
      </c>
      <c r="F167" t="s">
        <v>83</v>
      </c>
      <c r="G167" t="str">
        <f t="shared" si="4"/>
        <v>33004SWEETNESS</v>
      </c>
      <c r="H167">
        <v>747</v>
      </c>
      <c r="I167">
        <v>504</v>
      </c>
      <c r="J167">
        <f t="shared" si="5"/>
        <v>-0.48214285714285715</v>
      </c>
    </row>
    <row r="168" spans="1:10">
      <c r="A168">
        <v>2026</v>
      </c>
      <c r="B168">
        <v>33</v>
      </c>
      <c r="C168" t="s">
        <v>68</v>
      </c>
      <c r="D168" t="s">
        <v>9</v>
      </c>
      <c r="E168" t="s">
        <v>197</v>
      </c>
      <c r="F168" t="s">
        <v>71</v>
      </c>
      <c r="G168" t="str">
        <f t="shared" si="4"/>
        <v>33005EXPLORER</v>
      </c>
      <c r="H168">
        <v>977</v>
      </c>
      <c r="I168">
        <v>709</v>
      </c>
      <c r="J168">
        <f t="shared" si="5"/>
        <v>-0.37799717912552894</v>
      </c>
    </row>
    <row r="169" spans="1:10">
      <c r="A169">
        <v>2026</v>
      </c>
      <c r="B169">
        <v>33</v>
      </c>
      <c r="C169" t="s">
        <v>68</v>
      </c>
      <c r="D169" t="s">
        <v>9</v>
      </c>
      <c r="E169" t="s">
        <v>197</v>
      </c>
      <c r="F169" t="s">
        <v>103</v>
      </c>
      <c r="G169" t="str">
        <f t="shared" si="4"/>
        <v>33005GOLDFINCH</v>
      </c>
      <c r="H169">
        <v>745</v>
      </c>
      <c r="I169">
        <v>674</v>
      </c>
      <c r="J169">
        <f t="shared" si="5"/>
        <v>-0.10534124629080119</v>
      </c>
    </row>
    <row r="170" spans="1:10">
      <c r="A170">
        <v>2026</v>
      </c>
      <c r="B170">
        <v>33</v>
      </c>
      <c r="C170" t="s">
        <v>68</v>
      </c>
      <c r="D170" t="s">
        <v>9</v>
      </c>
      <c r="E170" t="s">
        <v>197</v>
      </c>
      <c r="F170" t="s">
        <v>90</v>
      </c>
      <c r="G170" t="str">
        <f t="shared" si="4"/>
        <v>33005JOCKER</v>
      </c>
      <c r="H170">
        <v>1710</v>
      </c>
      <c r="I170">
        <v>1898</v>
      </c>
      <c r="J170">
        <f t="shared" si="5"/>
        <v>9.9051633298208638E-2</v>
      </c>
    </row>
    <row r="171" spans="1:10">
      <c r="A171">
        <v>2026</v>
      </c>
      <c r="B171">
        <v>33</v>
      </c>
      <c r="C171" t="s">
        <v>68</v>
      </c>
      <c r="D171" t="s">
        <v>9</v>
      </c>
      <c r="E171" t="s">
        <v>197</v>
      </c>
      <c r="F171" t="s">
        <v>106</v>
      </c>
      <c r="G171" t="str">
        <f t="shared" si="4"/>
        <v>33005VENDELA</v>
      </c>
      <c r="H171">
        <v>2374</v>
      </c>
      <c r="I171">
        <v>1903</v>
      </c>
      <c r="J171">
        <f t="shared" si="5"/>
        <v>-0.24750394114555965</v>
      </c>
    </row>
    <row r="172" spans="1:10">
      <c r="A172">
        <v>2026</v>
      </c>
      <c r="B172">
        <v>33</v>
      </c>
      <c r="C172" t="s">
        <v>68</v>
      </c>
      <c r="D172" t="s">
        <v>9</v>
      </c>
      <c r="E172" t="s">
        <v>216</v>
      </c>
      <c r="F172" t="s">
        <v>108</v>
      </c>
      <c r="G172" t="str">
        <f t="shared" si="4"/>
        <v>33006ATOMIC</v>
      </c>
      <c r="H172">
        <v>799</v>
      </c>
      <c r="I172">
        <v>695</v>
      </c>
      <c r="J172">
        <f t="shared" si="5"/>
        <v>-0.14964028776978416</v>
      </c>
    </row>
    <row r="173" spans="1:10">
      <c r="A173">
        <v>2026</v>
      </c>
      <c r="B173">
        <v>33</v>
      </c>
      <c r="C173" t="s">
        <v>68</v>
      </c>
      <c r="D173" t="s">
        <v>9</v>
      </c>
      <c r="E173" t="s">
        <v>216</v>
      </c>
      <c r="F173" t="s">
        <v>71</v>
      </c>
      <c r="G173" t="str">
        <f t="shared" si="4"/>
        <v>33006EXPLORER</v>
      </c>
      <c r="H173">
        <v>4543</v>
      </c>
      <c r="I173">
        <v>4542</v>
      </c>
      <c r="J173">
        <f t="shared" si="5"/>
        <v>-2.2016732716864817E-4</v>
      </c>
    </row>
    <row r="174" spans="1:10">
      <c r="A174">
        <v>2026</v>
      </c>
      <c r="B174">
        <v>33</v>
      </c>
      <c r="C174" t="s">
        <v>68</v>
      </c>
      <c r="D174" t="s">
        <v>9</v>
      </c>
      <c r="E174" t="s">
        <v>216</v>
      </c>
      <c r="F174" t="s">
        <v>111</v>
      </c>
      <c r="G174" t="str">
        <f t="shared" si="4"/>
        <v>33006MONDIAL</v>
      </c>
      <c r="H174">
        <v>4571</v>
      </c>
      <c r="I174">
        <v>4456</v>
      </c>
      <c r="J174">
        <f t="shared" si="5"/>
        <v>-2.5807899461400358E-2</v>
      </c>
    </row>
    <row r="175" spans="1:10">
      <c r="A175">
        <v>2026</v>
      </c>
      <c r="B175">
        <v>33</v>
      </c>
      <c r="C175" t="s">
        <v>68</v>
      </c>
      <c r="D175" t="s">
        <v>9</v>
      </c>
      <c r="E175" t="s">
        <v>198</v>
      </c>
      <c r="F175" t="s">
        <v>94</v>
      </c>
      <c r="G175" t="str">
        <f t="shared" si="4"/>
        <v>33007COTOPAXI</v>
      </c>
      <c r="H175">
        <v>6381</v>
      </c>
      <c r="I175">
        <v>5295</v>
      </c>
      <c r="J175">
        <f t="shared" si="5"/>
        <v>-0.20509915014164307</v>
      </c>
    </row>
    <row r="176" spans="1:10">
      <c r="A176">
        <v>2026</v>
      </c>
      <c r="B176">
        <v>33</v>
      </c>
      <c r="C176" t="s">
        <v>68</v>
      </c>
      <c r="D176" t="s">
        <v>9</v>
      </c>
      <c r="E176" t="s">
        <v>198</v>
      </c>
      <c r="F176" t="s">
        <v>114</v>
      </c>
      <c r="G176" t="str">
        <f t="shared" si="4"/>
        <v>33007REDIANT</v>
      </c>
      <c r="H176">
        <v>1176</v>
      </c>
      <c r="I176">
        <v>1406</v>
      </c>
      <c r="J176">
        <f t="shared" si="5"/>
        <v>0.16358463726884778</v>
      </c>
    </row>
    <row r="177" spans="1:10">
      <c r="A177">
        <v>2026</v>
      </c>
      <c r="B177">
        <v>33</v>
      </c>
      <c r="C177" t="s">
        <v>68</v>
      </c>
      <c r="D177" t="s">
        <v>9</v>
      </c>
      <c r="E177" t="s">
        <v>198</v>
      </c>
      <c r="F177" t="s">
        <v>81</v>
      </c>
      <c r="G177" t="str">
        <f t="shared" si="4"/>
        <v>33007SUMMER ROMANCE</v>
      </c>
      <c r="H177">
        <v>225</v>
      </c>
      <c r="I177" t="e">
        <v>#N/A</v>
      </c>
      <c r="J177" t="e">
        <f t="shared" si="5"/>
        <v>#N/A</v>
      </c>
    </row>
    <row r="178" spans="1:10">
      <c r="A178">
        <v>2026</v>
      </c>
      <c r="B178">
        <v>33</v>
      </c>
      <c r="C178" t="s">
        <v>68</v>
      </c>
      <c r="D178" t="s">
        <v>9</v>
      </c>
      <c r="E178" t="s">
        <v>198</v>
      </c>
      <c r="F178" t="s">
        <v>106</v>
      </c>
      <c r="G178" t="str">
        <f t="shared" si="4"/>
        <v>33007VENDELA</v>
      </c>
      <c r="H178">
        <v>15644</v>
      </c>
      <c r="I178">
        <v>14862</v>
      </c>
      <c r="J178">
        <f t="shared" si="5"/>
        <v>-5.2617413537881845E-2</v>
      </c>
    </row>
    <row r="179" spans="1:10">
      <c r="A179">
        <v>2026</v>
      </c>
      <c r="B179">
        <v>33</v>
      </c>
      <c r="C179" t="s">
        <v>68</v>
      </c>
      <c r="D179" t="s">
        <v>9</v>
      </c>
      <c r="E179" t="s">
        <v>217</v>
      </c>
      <c r="F179" t="s">
        <v>87</v>
      </c>
      <c r="G179" t="str">
        <f t="shared" si="4"/>
        <v>33008DEEP PURPLE</v>
      </c>
      <c r="H179">
        <v>2196</v>
      </c>
      <c r="I179">
        <v>3167</v>
      </c>
      <c r="J179">
        <f t="shared" si="5"/>
        <v>0.30659930533628038</v>
      </c>
    </row>
    <row r="180" spans="1:10">
      <c r="A180">
        <v>2026</v>
      </c>
      <c r="B180">
        <v>33</v>
      </c>
      <c r="C180" t="s">
        <v>68</v>
      </c>
      <c r="D180" t="s">
        <v>9</v>
      </c>
      <c r="E180" t="s">
        <v>217</v>
      </c>
      <c r="F180" t="s">
        <v>119</v>
      </c>
      <c r="G180" t="str">
        <f t="shared" si="4"/>
        <v>33008FREEDOM</v>
      </c>
      <c r="H180">
        <v>2923</v>
      </c>
      <c r="I180">
        <v>3040</v>
      </c>
      <c r="J180">
        <f t="shared" si="5"/>
        <v>3.848684210526316E-2</v>
      </c>
    </row>
    <row r="181" spans="1:10">
      <c r="A181">
        <v>2026</v>
      </c>
      <c r="B181">
        <v>33</v>
      </c>
      <c r="C181" t="s">
        <v>68</v>
      </c>
      <c r="D181" t="s">
        <v>9</v>
      </c>
      <c r="E181" t="s">
        <v>217</v>
      </c>
      <c r="F181" t="s">
        <v>90</v>
      </c>
      <c r="G181" t="str">
        <f t="shared" si="4"/>
        <v>33008JOCKER</v>
      </c>
      <c r="H181">
        <v>3774</v>
      </c>
      <c r="I181">
        <v>3421</v>
      </c>
      <c r="J181">
        <f t="shared" si="5"/>
        <v>-0.10318620286465946</v>
      </c>
    </row>
    <row r="182" spans="1:10">
      <c r="A182">
        <v>2026</v>
      </c>
      <c r="B182">
        <v>33</v>
      </c>
      <c r="C182" t="s">
        <v>68</v>
      </c>
      <c r="D182" t="s">
        <v>9</v>
      </c>
      <c r="E182" t="s">
        <v>218</v>
      </c>
      <c r="F182" t="s">
        <v>122</v>
      </c>
      <c r="G182" t="str">
        <f t="shared" si="4"/>
        <v>33010COOLDOWN</v>
      </c>
      <c r="H182">
        <v>3189</v>
      </c>
      <c r="I182">
        <v>2045</v>
      </c>
      <c r="J182">
        <f t="shared" si="5"/>
        <v>-0.55941320293398533</v>
      </c>
    </row>
    <row r="183" spans="1:10">
      <c r="A183">
        <v>2026</v>
      </c>
      <c r="B183">
        <v>33</v>
      </c>
      <c r="C183" t="s">
        <v>68</v>
      </c>
      <c r="D183" t="s">
        <v>9</v>
      </c>
      <c r="E183" t="s">
        <v>218</v>
      </c>
      <c r="F183" t="s">
        <v>124</v>
      </c>
      <c r="G183" t="str">
        <f t="shared" si="4"/>
        <v>33010VIOLET HILL</v>
      </c>
      <c r="H183">
        <v>2829</v>
      </c>
      <c r="I183">
        <v>3421</v>
      </c>
      <c r="J183">
        <f t="shared" si="5"/>
        <v>0.17304881613563286</v>
      </c>
    </row>
    <row r="184" spans="1:10">
      <c r="A184">
        <v>2026</v>
      </c>
      <c r="B184">
        <v>33</v>
      </c>
      <c r="C184" t="s">
        <v>68</v>
      </c>
      <c r="D184" t="s">
        <v>9</v>
      </c>
      <c r="E184" t="s">
        <v>219</v>
      </c>
      <c r="F184" t="s">
        <v>126</v>
      </c>
      <c r="G184" t="str">
        <f t="shared" si="4"/>
        <v>33011BRIGHTON</v>
      </c>
      <c r="H184">
        <v>3970</v>
      </c>
      <c r="I184">
        <v>3483</v>
      </c>
      <c r="J184">
        <f t="shared" si="5"/>
        <v>-0.13982199253517083</v>
      </c>
    </row>
    <row r="185" spans="1:10">
      <c r="A185">
        <v>2026</v>
      </c>
      <c r="B185">
        <v>33</v>
      </c>
      <c r="C185" t="s">
        <v>68</v>
      </c>
      <c r="D185" t="s">
        <v>9</v>
      </c>
      <c r="E185" t="s">
        <v>219</v>
      </c>
      <c r="F185" t="s">
        <v>128</v>
      </c>
      <c r="G185" t="str">
        <f t="shared" si="4"/>
        <v>33011CANDLELIGHT</v>
      </c>
      <c r="H185">
        <v>4943</v>
      </c>
      <c r="I185">
        <v>3551</v>
      </c>
      <c r="J185">
        <f t="shared" si="5"/>
        <v>-0.39200225288651086</v>
      </c>
    </row>
    <row r="186" spans="1:10">
      <c r="A186">
        <v>2026</v>
      </c>
      <c r="B186">
        <v>33</v>
      </c>
      <c r="C186" t="s">
        <v>68</v>
      </c>
      <c r="D186" t="s">
        <v>9</v>
      </c>
      <c r="E186" t="s">
        <v>219</v>
      </c>
      <c r="F186" t="s">
        <v>130</v>
      </c>
      <c r="G186" t="str">
        <f t="shared" si="4"/>
        <v>33011CAYENNE</v>
      </c>
      <c r="H186">
        <v>897</v>
      </c>
      <c r="I186">
        <v>1109</v>
      </c>
      <c r="J186">
        <f t="shared" si="5"/>
        <v>0.19116321009918846</v>
      </c>
    </row>
    <row r="187" spans="1:10">
      <c r="A187">
        <v>2026</v>
      </c>
      <c r="B187">
        <v>33</v>
      </c>
      <c r="C187" t="s">
        <v>68</v>
      </c>
      <c r="D187" t="s">
        <v>9</v>
      </c>
      <c r="E187" t="s">
        <v>219</v>
      </c>
      <c r="F187" t="s">
        <v>77</v>
      </c>
      <c r="G187" t="str">
        <f t="shared" si="4"/>
        <v>33011LUMIA</v>
      </c>
      <c r="H187">
        <v>1412</v>
      </c>
      <c r="I187">
        <v>1356</v>
      </c>
      <c r="J187">
        <f t="shared" si="5"/>
        <v>-4.1297935103244837E-2</v>
      </c>
    </row>
    <row r="188" spans="1:10">
      <c r="A188">
        <v>2026</v>
      </c>
      <c r="B188">
        <v>33</v>
      </c>
      <c r="C188" t="s">
        <v>68</v>
      </c>
      <c r="D188" t="s">
        <v>9</v>
      </c>
      <c r="E188" t="s">
        <v>219</v>
      </c>
      <c r="F188" t="s">
        <v>133</v>
      </c>
      <c r="G188" t="str">
        <f t="shared" si="4"/>
        <v>33011STARDUST</v>
      </c>
      <c r="H188">
        <v>1972</v>
      </c>
      <c r="I188">
        <v>2410</v>
      </c>
      <c r="J188">
        <f t="shared" si="5"/>
        <v>0.18174273858921161</v>
      </c>
    </row>
    <row r="189" spans="1:10">
      <c r="A189">
        <v>2026</v>
      </c>
      <c r="B189">
        <v>33</v>
      </c>
      <c r="C189" t="s">
        <v>68</v>
      </c>
      <c r="D189" t="s">
        <v>9</v>
      </c>
      <c r="E189" t="s">
        <v>220</v>
      </c>
      <c r="F189" t="s">
        <v>87</v>
      </c>
      <c r="G189" t="str">
        <f t="shared" si="4"/>
        <v>33012DEEP PURPLE</v>
      </c>
      <c r="H189">
        <v>9913</v>
      </c>
      <c r="I189">
        <v>11254</v>
      </c>
      <c r="J189">
        <f t="shared" si="5"/>
        <v>0.1191576328416563</v>
      </c>
    </row>
    <row r="190" spans="1:10">
      <c r="A190">
        <v>2026</v>
      </c>
      <c r="B190">
        <v>33</v>
      </c>
      <c r="C190" t="s">
        <v>68</v>
      </c>
      <c r="D190" t="s">
        <v>9</v>
      </c>
      <c r="E190" t="s">
        <v>220</v>
      </c>
      <c r="F190" t="s">
        <v>75</v>
      </c>
      <c r="G190" t="str">
        <f t="shared" si="4"/>
        <v>33012LIGHT HOUSE</v>
      </c>
      <c r="H190">
        <v>978</v>
      </c>
      <c r="I190">
        <v>1017</v>
      </c>
      <c r="J190">
        <f t="shared" si="5"/>
        <v>3.8348082595870206E-2</v>
      </c>
    </row>
    <row r="191" spans="1:10">
      <c r="A191">
        <v>2026</v>
      </c>
      <c r="B191">
        <v>33</v>
      </c>
      <c r="C191" t="s">
        <v>68</v>
      </c>
      <c r="D191" t="s">
        <v>9</v>
      </c>
      <c r="E191" t="s">
        <v>221</v>
      </c>
      <c r="F191" t="s">
        <v>137</v>
      </c>
      <c r="G191" t="str">
        <f t="shared" si="4"/>
        <v>33013COUNTRY BLUES</v>
      </c>
      <c r="H191">
        <v>1562</v>
      </c>
      <c r="I191">
        <v>1174</v>
      </c>
      <c r="J191">
        <f t="shared" si="5"/>
        <v>-0.33049403747870526</v>
      </c>
    </row>
    <row r="192" spans="1:10">
      <c r="A192">
        <v>2026</v>
      </c>
      <c r="B192">
        <v>33</v>
      </c>
      <c r="C192" t="s">
        <v>68</v>
      </c>
      <c r="D192" t="s">
        <v>9</v>
      </c>
      <c r="E192" t="s">
        <v>221</v>
      </c>
      <c r="F192" t="s">
        <v>139</v>
      </c>
      <c r="G192" t="str">
        <f t="shared" si="4"/>
        <v>33013LORRAINE</v>
      </c>
      <c r="H192">
        <v>3714</v>
      </c>
      <c r="I192">
        <v>2836</v>
      </c>
      <c r="J192">
        <f t="shared" si="5"/>
        <v>-0.30959097320169254</v>
      </c>
    </row>
    <row r="193" spans="1:10">
      <c r="A193">
        <v>2026</v>
      </c>
      <c r="B193">
        <v>33</v>
      </c>
      <c r="C193" t="s">
        <v>68</v>
      </c>
      <c r="D193" t="s">
        <v>9</v>
      </c>
      <c r="E193" t="s">
        <v>221</v>
      </c>
      <c r="F193" t="s">
        <v>77</v>
      </c>
      <c r="G193" t="str">
        <f t="shared" si="4"/>
        <v>33013LUMIA</v>
      </c>
      <c r="H193">
        <v>257</v>
      </c>
      <c r="I193">
        <v>409</v>
      </c>
      <c r="J193">
        <f t="shared" si="5"/>
        <v>0.37163814180929094</v>
      </c>
    </row>
    <row r="194" spans="1:10">
      <c r="A194">
        <v>2026</v>
      </c>
      <c r="B194">
        <v>33</v>
      </c>
      <c r="C194" t="s">
        <v>68</v>
      </c>
      <c r="D194" t="s">
        <v>9</v>
      </c>
      <c r="E194" t="s">
        <v>221</v>
      </c>
      <c r="F194" t="s">
        <v>106</v>
      </c>
      <c r="G194" t="str">
        <f t="shared" si="4"/>
        <v>33013VENDELA</v>
      </c>
      <c r="H194">
        <v>10524</v>
      </c>
      <c r="I194">
        <v>9764</v>
      </c>
      <c r="J194">
        <f t="shared" si="5"/>
        <v>-7.7836952068824253E-2</v>
      </c>
    </row>
    <row r="195" spans="1:10">
      <c r="A195">
        <v>2026</v>
      </c>
      <c r="B195">
        <v>33</v>
      </c>
      <c r="C195" t="s">
        <v>68</v>
      </c>
      <c r="D195" t="s">
        <v>9</v>
      </c>
      <c r="E195" t="s">
        <v>200</v>
      </c>
      <c r="F195" t="s">
        <v>133</v>
      </c>
      <c r="G195" t="str">
        <f t="shared" ref="G195:G258" si="6">+B195&amp;E195&amp;F195</f>
        <v>33014STARDUST</v>
      </c>
      <c r="H195">
        <v>3722</v>
      </c>
      <c r="I195">
        <v>3965</v>
      </c>
      <c r="J195">
        <f t="shared" ref="J195:J258" si="7">+(I195-H195)/I195</f>
        <v>6.1286254728877679E-2</v>
      </c>
    </row>
    <row r="196" spans="1:10">
      <c r="A196">
        <v>2026</v>
      </c>
      <c r="B196">
        <v>33</v>
      </c>
      <c r="C196" t="s">
        <v>68</v>
      </c>
      <c r="D196" t="s">
        <v>9</v>
      </c>
      <c r="E196" t="s">
        <v>201</v>
      </c>
      <c r="F196" t="s">
        <v>90</v>
      </c>
      <c r="G196" t="str">
        <f t="shared" si="6"/>
        <v>33015JOCKER</v>
      </c>
      <c r="H196">
        <v>3321</v>
      </c>
      <c r="I196">
        <v>3068</v>
      </c>
      <c r="J196">
        <f t="shared" si="7"/>
        <v>-8.2464146023468063E-2</v>
      </c>
    </row>
    <row r="197" spans="1:10">
      <c r="A197">
        <v>2026</v>
      </c>
      <c r="B197">
        <v>33</v>
      </c>
      <c r="C197" t="s">
        <v>68</v>
      </c>
      <c r="D197" t="s">
        <v>9</v>
      </c>
      <c r="E197" t="s">
        <v>202</v>
      </c>
      <c r="F197" t="s">
        <v>145</v>
      </c>
      <c r="G197" t="str">
        <f t="shared" si="6"/>
        <v>33016DREAM IN PEACH</v>
      </c>
      <c r="H197">
        <v>877</v>
      </c>
      <c r="I197">
        <v>595</v>
      </c>
      <c r="J197">
        <f t="shared" si="7"/>
        <v>-0.47394957983193275</v>
      </c>
    </row>
    <row r="198" spans="1:10">
      <c r="A198">
        <v>2026</v>
      </c>
      <c r="B198">
        <v>33</v>
      </c>
      <c r="C198" t="s">
        <v>68</v>
      </c>
      <c r="D198" t="s">
        <v>9</v>
      </c>
      <c r="E198" t="s">
        <v>202</v>
      </c>
      <c r="F198" t="s">
        <v>147</v>
      </c>
      <c r="G198" t="str">
        <f t="shared" si="6"/>
        <v>33016NINA</v>
      </c>
      <c r="H198">
        <v>2728</v>
      </c>
      <c r="I198">
        <v>2444</v>
      </c>
      <c r="J198">
        <f t="shared" si="7"/>
        <v>-0.11620294599018004</v>
      </c>
    </row>
    <row r="199" spans="1:10">
      <c r="A199">
        <v>2026</v>
      </c>
      <c r="B199">
        <v>33</v>
      </c>
      <c r="C199" t="s">
        <v>68</v>
      </c>
      <c r="D199" t="s">
        <v>9</v>
      </c>
      <c r="E199" t="s">
        <v>203</v>
      </c>
      <c r="F199" t="s">
        <v>119</v>
      </c>
      <c r="G199" t="str">
        <f t="shared" si="6"/>
        <v>33017FREEDOM</v>
      </c>
      <c r="H199">
        <v>3177</v>
      </c>
      <c r="I199">
        <v>3954</v>
      </c>
      <c r="J199">
        <f t="shared" si="7"/>
        <v>0.19650986342943855</v>
      </c>
    </row>
    <row r="200" spans="1:10">
      <c r="A200">
        <v>2026</v>
      </c>
      <c r="B200">
        <v>33</v>
      </c>
      <c r="C200" t="s">
        <v>68</v>
      </c>
      <c r="D200" t="s">
        <v>9</v>
      </c>
      <c r="E200" t="s">
        <v>203</v>
      </c>
      <c r="F200" t="s">
        <v>103</v>
      </c>
      <c r="G200" t="str">
        <f t="shared" si="6"/>
        <v>33017GOLDFINCH</v>
      </c>
      <c r="H200">
        <v>1967</v>
      </c>
      <c r="I200">
        <v>1770</v>
      </c>
      <c r="J200">
        <f t="shared" si="7"/>
        <v>-0.11129943502824859</v>
      </c>
    </row>
    <row r="201" spans="1:10">
      <c r="A201">
        <v>2026</v>
      </c>
      <c r="B201">
        <v>33</v>
      </c>
      <c r="C201" t="s">
        <v>68</v>
      </c>
      <c r="D201" t="s">
        <v>9</v>
      </c>
      <c r="E201" t="s">
        <v>204</v>
      </c>
      <c r="F201" t="s">
        <v>126</v>
      </c>
      <c r="G201" t="str">
        <f t="shared" si="6"/>
        <v>33018BRIGHTON</v>
      </c>
      <c r="H201">
        <v>1384</v>
      </c>
      <c r="I201">
        <v>1359</v>
      </c>
      <c r="J201">
        <f t="shared" si="7"/>
        <v>-1.839587932303164E-2</v>
      </c>
    </row>
    <row r="202" spans="1:10">
      <c r="A202">
        <v>2026</v>
      </c>
      <c r="B202">
        <v>33</v>
      </c>
      <c r="C202" t="s">
        <v>68</v>
      </c>
      <c r="D202" t="s">
        <v>9</v>
      </c>
      <c r="E202" t="s">
        <v>205</v>
      </c>
      <c r="F202" t="s">
        <v>126</v>
      </c>
      <c r="G202" t="str">
        <f t="shared" si="6"/>
        <v>33019BRIGHTON</v>
      </c>
      <c r="H202">
        <v>3518</v>
      </c>
      <c r="I202">
        <v>4478</v>
      </c>
      <c r="J202">
        <f t="shared" si="7"/>
        <v>0.21438142027690935</v>
      </c>
    </row>
    <row r="203" spans="1:10">
      <c r="A203">
        <v>2026</v>
      </c>
      <c r="B203">
        <v>33</v>
      </c>
      <c r="C203" t="s">
        <v>68</v>
      </c>
      <c r="D203" t="s">
        <v>9</v>
      </c>
      <c r="E203" t="s">
        <v>205</v>
      </c>
      <c r="F203" t="s">
        <v>153</v>
      </c>
      <c r="G203" t="str">
        <f t="shared" si="6"/>
        <v>33019TABATHA</v>
      </c>
      <c r="H203">
        <v>1840</v>
      </c>
      <c r="I203">
        <v>2047</v>
      </c>
      <c r="J203">
        <f t="shared" si="7"/>
        <v>0.10112359550561797</v>
      </c>
    </row>
    <row r="204" spans="1:10">
      <c r="A204">
        <v>2026</v>
      </c>
      <c r="B204">
        <v>33</v>
      </c>
      <c r="C204" t="s">
        <v>68</v>
      </c>
      <c r="D204" t="s">
        <v>9</v>
      </c>
      <c r="E204" t="s">
        <v>206</v>
      </c>
      <c r="F204" t="s">
        <v>126</v>
      </c>
      <c r="G204" t="str">
        <f t="shared" si="6"/>
        <v>33020BRIGHTON</v>
      </c>
      <c r="H204">
        <v>3664</v>
      </c>
      <c r="I204">
        <v>4194</v>
      </c>
      <c r="J204">
        <f t="shared" si="7"/>
        <v>0.12637100619933239</v>
      </c>
    </row>
    <row r="205" spans="1:10">
      <c r="A205">
        <v>2026</v>
      </c>
      <c r="B205">
        <v>33</v>
      </c>
      <c r="C205" t="s">
        <v>68</v>
      </c>
      <c r="D205" t="s">
        <v>9</v>
      </c>
      <c r="E205" t="s">
        <v>206</v>
      </c>
      <c r="F205" t="s">
        <v>156</v>
      </c>
      <c r="G205" t="str">
        <f t="shared" si="6"/>
        <v>33020TYCOON</v>
      </c>
      <c r="H205">
        <v>902</v>
      </c>
      <c r="I205">
        <v>1047</v>
      </c>
      <c r="J205">
        <f t="shared" si="7"/>
        <v>0.13849092645654251</v>
      </c>
    </row>
    <row r="206" spans="1:10">
      <c r="A206">
        <v>2026</v>
      </c>
      <c r="B206">
        <v>33</v>
      </c>
      <c r="C206" t="s">
        <v>68</v>
      </c>
      <c r="D206" t="s">
        <v>9</v>
      </c>
      <c r="E206" t="s">
        <v>207</v>
      </c>
      <c r="F206" t="s">
        <v>158</v>
      </c>
      <c r="G206" t="str">
        <f t="shared" si="6"/>
        <v>33021SHOW GIRL</v>
      </c>
      <c r="H206">
        <v>2377</v>
      </c>
      <c r="I206">
        <v>1207</v>
      </c>
      <c r="J206">
        <f t="shared" si="7"/>
        <v>-0.96934548467274229</v>
      </c>
    </row>
    <row r="207" spans="1:10">
      <c r="A207">
        <v>2026</v>
      </c>
      <c r="B207">
        <v>33</v>
      </c>
      <c r="C207" t="s">
        <v>68</v>
      </c>
      <c r="D207" t="s">
        <v>9</v>
      </c>
      <c r="E207" t="s">
        <v>208</v>
      </c>
      <c r="F207" t="s">
        <v>160</v>
      </c>
      <c r="G207" t="str">
        <f t="shared" si="6"/>
        <v>33022CORAL REEF</v>
      </c>
      <c r="H207">
        <v>1033</v>
      </c>
      <c r="I207">
        <v>1538</v>
      </c>
      <c r="J207">
        <f t="shared" si="7"/>
        <v>0.32834850455136538</v>
      </c>
    </row>
    <row r="208" spans="1:10">
      <c r="A208">
        <v>2026</v>
      </c>
      <c r="B208">
        <v>33</v>
      </c>
      <c r="C208" t="s">
        <v>68</v>
      </c>
      <c r="D208" t="s">
        <v>9</v>
      </c>
      <c r="E208" t="s">
        <v>222</v>
      </c>
      <c r="F208" t="s">
        <v>94</v>
      </c>
      <c r="G208" t="str">
        <f t="shared" si="6"/>
        <v>33023COTOPAXI</v>
      </c>
      <c r="H208">
        <v>6346</v>
      </c>
      <c r="I208">
        <v>5754</v>
      </c>
      <c r="J208">
        <f t="shared" si="7"/>
        <v>-0.10288494960027807</v>
      </c>
    </row>
    <row r="209" spans="1:10">
      <c r="A209">
        <v>2026</v>
      </c>
      <c r="B209">
        <v>33</v>
      </c>
      <c r="C209" t="s">
        <v>68</v>
      </c>
      <c r="D209" t="s">
        <v>9</v>
      </c>
      <c r="E209" t="s">
        <v>222</v>
      </c>
      <c r="F209" t="s">
        <v>163</v>
      </c>
      <c r="G209" t="str">
        <f t="shared" si="6"/>
        <v>33023FRUTTETO</v>
      </c>
      <c r="H209">
        <v>4374</v>
      </c>
      <c r="I209">
        <v>2877</v>
      </c>
      <c r="J209">
        <f t="shared" si="7"/>
        <v>-0.52033368091762255</v>
      </c>
    </row>
    <row r="210" spans="1:10">
      <c r="A210">
        <v>2026</v>
      </c>
      <c r="B210">
        <v>33</v>
      </c>
      <c r="C210" t="s">
        <v>68</v>
      </c>
      <c r="D210" t="s">
        <v>9</v>
      </c>
      <c r="E210" t="s">
        <v>223</v>
      </c>
      <c r="F210" t="s">
        <v>94</v>
      </c>
      <c r="G210" t="str">
        <f t="shared" si="6"/>
        <v>33024COTOPAXI</v>
      </c>
      <c r="H210">
        <v>3175</v>
      </c>
      <c r="I210">
        <v>2728</v>
      </c>
      <c r="J210">
        <f t="shared" si="7"/>
        <v>-0.16385630498533724</v>
      </c>
    </row>
    <row r="211" spans="1:10">
      <c r="A211">
        <v>2026</v>
      </c>
      <c r="B211">
        <v>33</v>
      </c>
      <c r="C211" t="s">
        <v>68</v>
      </c>
      <c r="D211" t="s">
        <v>9</v>
      </c>
      <c r="E211" t="s">
        <v>223</v>
      </c>
      <c r="F211" t="s">
        <v>83</v>
      </c>
      <c r="G211" t="str">
        <f t="shared" si="6"/>
        <v>33024SWEETNESS</v>
      </c>
      <c r="H211">
        <v>1131</v>
      </c>
      <c r="I211">
        <v>1390</v>
      </c>
      <c r="J211">
        <f t="shared" si="7"/>
        <v>0.18633093525179856</v>
      </c>
    </row>
    <row r="212" spans="1:10">
      <c r="A212">
        <v>2026</v>
      </c>
      <c r="B212">
        <v>33</v>
      </c>
      <c r="C212" t="s">
        <v>68</v>
      </c>
      <c r="D212" t="s">
        <v>9</v>
      </c>
      <c r="E212" t="s">
        <v>223</v>
      </c>
      <c r="F212" t="s">
        <v>156</v>
      </c>
      <c r="G212" t="str">
        <f t="shared" si="6"/>
        <v>33024TYCOON</v>
      </c>
      <c r="H212">
        <v>2210</v>
      </c>
      <c r="I212">
        <v>2214</v>
      </c>
      <c r="J212">
        <f t="shared" si="7"/>
        <v>1.8066847335140017E-3</v>
      </c>
    </row>
    <row r="213" spans="1:10">
      <c r="A213">
        <v>2026</v>
      </c>
      <c r="B213">
        <v>33</v>
      </c>
      <c r="C213" t="s">
        <v>68</v>
      </c>
      <c r="D213" t="s">
        <v>9</v>
      </c>
      <c r="E213" t="s">
        <v>224</v>
      </c>
      <c r="F213" t="s">
        <v>168</v>
      </c>
      <c r="G213" t="str">
        <f t="shared" si="6"/>
        <v>33025PINK MONDIAL</v>
      </c>
      <c r="H213">
        <v>3251</v>
      </c>
      <c r="I213">
        <v>3948</v>
      </c>
      <c r="J213">
        <f t="shared" si="7"/>
        <v>0.17654508611955422</v>
      </c>
    </row>
    <row r="214" spans="1:10">
      <c r="A214">
        <v>2026</v>
      </c>
      <c r="B214">
        <v>33</v>
      </c>
      <c r="C214" t="s">
        <v>68</v>
      </c>
      <c r="D214" t="s">
        <v>9</v>
      </c>
      <c r="E214" t="s">
        <v>209</v>
      </c>
      <c r="F214" t="s">
        <v>170</v>
      </c>
      <c r="G214" t="str">
        <f t="shared" si="6"/>
        <v>33026LOLA</v>
      </c>
      <c r="H214">
        <v>2405</v>
      </c>
      <c r="I214">
        <v>2632</v>
      </c>
      <c r="J214">
        <f t="shared" si="7"/>
        <v>8.6246200607902737E-2</v>
      </c>
    </row>
    <row r="215" spans="1:10">
      <c r="A215">
        <v>2026</v>
      </c>
      <c r="B215">
        <v>33</v>
      </c>
      <c r="C215" t="s">
        <v>68</v>
      </c>
      <c r="D215" t="s">
        <v>9</v>
      </c>
      <c r="E215" t="s">
        <v>209</v>
      </c>
      <c r="F215" t="s">
        <v>172</v>
      </c>
      <c r="G215" t="str">
        <f t="shared" si="6"/>
        <v>33026PALOMA</v>
      </c>
      <c r="H215">
        <v>3819</v>
      </c>
      <c r="I215">
        <v>3787</v>
      </c>
      <c r="J215">
        <f t="shared" si="7"/>
        <v>-8.449960390810668E-3</v>
      </c>
    </row>
    <row r="216" spans="1:10">
      <c r="A216">
        <v>2026</v>
      </c>
      <c r="B216">
        <v>33</v>
      </c>
      <c r="C216" t="s">
        <v>68</v>
      </c>
      <c r="D216" t="s">
        <v>9</v>
      </c>
      <c r="E216" t="s">
        <v>225</v>
      </c>
      <c r="F216" t="s">
        <v>174</v>
      </c>
      <c r="G216" t="str">
        <f t="shared" si="6"/>
        <v>33027SATISFACTION</v>
      </c>
      <c r="H216">
        <v>2777</v>
      </c>
      <c r="I216">
        <v>2962</v>
      </c>
      <c r="J216">
        <f t="shared" si="7"/>
        <v>6.2457798784604994E-2</v>
      </c>
    </row>
    <row r="217" spans="1:10">
      <c r="A217">
        <v>2026</v>
      </c>
      <c r="B217">
        <v>33</v>
      </c>
      <c r="C217" t="s">
        <v>68</v>
      </c>
      <c r="D217" t="s">
        <v>9</v>
      </c>
      <c r="E217" t="s">
        <v>225</v>
      </c>
      <c r="F217" t="s">
        <v>176</v>
      </c>
      <c r="G217" t="str">
        <f t="shared" si="6"/>
        <v>33027TIFFANY</v>
      </c>
      <c r="H217">
        <v>2535</v>
      </c>
      <c r="I217">
        <v>2851</v>
      </c>
      <c r="J217">
        <f t="shared" si="7"/>
        <v>0.11083830235005261</v>
      </c>
    </row>
    <row r="218" spans="1:10">
      <c r="A218">
        <v>2026</v>
      </c>
      <c r="B218">
        <v>33</v>
      </c>
      <c r="C218" t="s">
        <v>68</v>
      </c>
      <c r="D218" t="s">
        <v>9</v>
      </c>
      <c r="E218" t="s">
        <v>226</v>
      </c>
      <c r="F218" t="s">
        <v>94</v>
      </c>
      <c r="G218" t="str">
        <f t="shared" si="6"/>
        <v>33028COTOPAXI</v>
      </c>
      <c r="H218">
        <v>3871</v>
      </c>
      <c r="I218">
        <v>3674</v>
      </c>
      <c r="J218">
        <f t="shared" si="7"/>
        <v>-5.3620032661948827E-2</v>
      </c>
    </row>
    <row r="219" spans="1:10">
      <c r="A219">
        <v>2026</v>
      </c>
      <c r="B219">
        <v>33</v>
      </c>
      <c r="C219" t="s">
        <v>68</v>
      </c>
      <c r="D219" t="s">
        <v>9</v>
      </c>
      <c r="E219" t="s">
        <v>226</v>
      </c>
      <c r="F219" t="s">
        <v>87</v>
      </c>
      <c r="G219" t="str">
        <f t="shared" si="6"/>
        <v>33028DEEP PURPLE</v>
      </c>
      <c r="H219">
        <v>4827</v>
      </c>
      <c r="I219">
        <v>6114</v>
      </c>
      <c r="J219">
        <f t="shared" si="7"/>
        <v>0.21050049067713444</v>
      </c>
    </row>
    <row r="220" spans="1:10">
      <c r="A220">
        <v>2026</v>
      </c>
      <c r="B220">
        <v>33</v>
      </c>
      <c r="C220" t="s">
        <v>68</v>
      </c>
      <c r="D220" t="s">
        <v>9</v>
      </c>
      <c r="E220" t="s">
        <v>227</v>
      </c>
      <c r="F220" t="s">
        <v>180</v>
      </c>
      <c r="G220" t="str">
        <f t="shared" si="6"/>
        <v>33029PINK FLOYD</v>
      </c>
      <c r="H220">
        <v>3299</v>
      </c>
      <c r="I220">
        <v>3410</v>
      </c>
      <c r="J220">
        <f t="shared" si="7"/>
        <v>3.2551319648093845E-2</v>
      </c>
    </row>
    <row r="221" spans="1:10">
      <c r="A221">
        <v>2026</v>
      </c>
      <c r="B221">
        <v>33</v>
      </c>
      <c r="C221" t="s">
        <v>68</v>
      </c>
      <c r="D221" t="s">
        <v>9</v>
      </c>
      <c r="E221" t="s">
        <v>210</v>
      </c>
      <c r="F221" t="s">
        <v>71</v>
      </c>
      <c r="G221" t="str">
        <f t="shared" si="6"/>
        <v>33030EXPLORER</v>
      </c>
      <c r="H221">
        <v>1534</v>
      </c>
      <c r="I221">
        <v>1220</v>
      </c>
      <c r="J221">
        <f t="shared" si="7"/>
        <v>-0.25737704918032789</v>
      </c>
    </row>
    <row r="222" spans="1:10">
      <c r="A222">
        <v>2026</v>
      </c>
      <c r="B222">
        <v>33</v>
      </c>
      <c r="C222" t="s">
        <v>8</v>
      </c>
      <c r="D222" t="s">
        <v>9</v>
      </c>
      <c r="E222" t="s">
        <v>207</v>
      </c>
      <c r="F222" t="s">
        <v>184</v>
      </c>
      <c r="G222" t="str">
        <f t="shared" si="6"/>
        <v>33021PISTACHIO KISS</v>
      </c>
      <c r="H222">
        <v>46</v>
      </c>
      <c r="I222" t="e">
        <v>#N/A</v>
      </c>
      <c r="J222" t="e">
        <f t="shared" si="7"/>
        <v>#N/A</v>
      </c>
    </row>
    <row r="223" spans="1:10">
      <c r="A223">
        <v>2026</v>
      </c>
      <c r="B223">
        <v>33</v>
      </c>
      <c r="C223" t="s">
        <v>8</v>
      </c>
      <c r="D223" t="s">
        <v>9</v>
      </c>
      <c r="E223" t="s">
        <v>207</v>
      </c>
      <c r="F223" t="s">
        <v>184</v>
      </c>
      <c r="G223" t="str">
        <f t="shared" si="6"/>
        <v>33021PISTACHIO KISS</v>
      </c>
      <c r="H223">
        <v>46</v>
      </c>
      <c r="I223" t="e">
        <v>#N/A</v>
      </c>
      <c r="J223" t="e">
        <f t="shared" si="7"/>
        <v>#N/A</v>
      </c>
    </row>
    <row r="224" spans="1:10">
      <c r="A224">
        <v>2026</v>
      </c>
      <c r="B224">
        <v>34</v>
      </c>
      <c r="C224" t="s">
        <v>8</v>
      </c>
      <c r="D224" t="s">
        <v>9</v>
      </c>
      <c r="E224" t="s">
        <v>195</v>
      </c>
      <c r="F224" t="s">
        <v>10</v>
      </c>
      <c r="G224" t="str">
        <f t="shared" si="6"/>
        <v>34002SOMERSET</v>
      </c>
      <c r="H224">
        <v>8504</v>
      </c>
      <c r="I224">
        <v>8011</v>
      </c>
      <c r="J224">
        <f t="shared" si="7"/>
        <v>-6.1540381974784668E-2</v>
      </c>
    </row>
    <row r="225" spans="1:10">
      <c r="A225">
        <v>2026</v>
      </c>
      <c r="B225">
        <v>34</v>
      </c>
      <c r="C225" t="s">
        <v>8</v>
      </c>
      <c r="D225" t="s">
        <v>9</v>
      </c>
      <c r="E225" t="s">
        <v>196</v>
      </c>
      <c r="F225" t="s">
        <v>12</v>
      </c>
      <c r="G225" t="str">
        <f t="shared" si="6"/>
        <v>34004BELLINA</v>
      </c>
      <c r="H225">
        <v>1023</v>
      </c>
      <c r="I225">
        <v>1043</v>
      </c>
      <c r="J225">
        <f t="shared" si="7"/>
        <v>1.9175455417066157E-2</v>
      </c>
    </row>
    <row r="226" spans="1:10">
      <c r="A226">
        <v>2026</v>
      </c>
      <c r="B226">
        <v>34</v>
      </c>
      <c r="C226" t="s">
        <v>8</v>
      </c>
      <c r="D226" t="s">
        <v>9</v>
      </c>
      <c r="E226" t="s">
        <v>197</v>
      </c>
      <c r="F226" t="s">
        <v>14</v>
      </c>
      <c r="G226" t="str">
        <f t="shared" si="6"/>
        <v>34005ELBA</v>
      </c>
      <c r="H226">
        <v>10641</v>
      </c>
      <c r="I226">
        <v>9539</v>
      </c>
      <c r="J226">
        <f t="shared" si="7"/>
        <v>-0.11552573645036167</v>
      </c>
    </row>
    <row r="227" spans="1:10">
      <c r="A227">
        <v>2026</v>
      </c>
      <c r="B227">
        <v>34</v>
      </c>
      <c r="C227" t="s">
        <v>8</v>
      </c>
      <c r="D227" t="s">
        <v>9</v>
      </c>
      <c r="E227" t="s">
        <v>197</v>
      </c>
      <c r="F227" t="s">
        <v>16</v>
      </c>
      <c r="G227" t="str">
        <f t="shared" si="6"/>
        <v>34005HOT BUBBLES</v>
      </c>
      <c r="H227">
        <v>1978</v>
      </c>
      <c r="I227">
        <v>1214</v>
      </c>
      <c r="J227">
        <f t="shared" si="7"/>
        <v>-0.62932454695222406</v>
      </c>
    </row>
    <row r="228" spans="1:10">
      <c r="A228">
        <v>2026</v>
      </c>
      <c r="B228">
        <v>34</v>
      </c>
      <c r="C228" t="s">
        <v>8</v>
      </c>
      <c r="D228" t="s">
        <v>9</v>
      </c>
      <c r="E228" t="s">
        <v>197</v>
      </c>
      <c r="F228" t="s">
        <v>18</v>
      </c>
      <c r="G228" t="str">
        <f t="shared" si="6"/>
        <v>34005SUSPIRO</v>
      </c>
      <c r="H228">
        <v>4756</v>
      </c>
      <c r="I228">
        <v>4120</v>
      </c>
      <c r="J228">
        <f t="shared" si="7"/>
        <v>-0.15436893203883495</v>
      </c>
    </row>
    <row r="229" spans="1:10">
      <c r="A229">
        <v>2026</v>
      </c>
      <c r="B229">
        <v>34</v>
      </c>
      <c r="C229" t="s">
        <v>8</v>
      </c>
      <c r="D229" t="s">
        <v>9</v>
      </c>
      <c r="E229" t="s">
        <v>198</v>
      </c>
      <c r="F229" t="s">
        <v>20</v>
      </c>
      <c r="G229" t="str">
        <f t="shared" si="6"/>
        <v>34007SNOW BUBBLES</v>
      </c>
      <c r="H229">
        <v>1153</v>
      </c>
      <c r="I229">
        <v>891</v>
      </c>
      <c r="J229">
        <f t="shared" si="7"/>
        <v>-0.29405162738496071</v>
      </c>
    </row>
    <row r="230" spans="1:10">
      <c r="A230">
        <v>2026</v>
      </c>
      <c r="B230">
        <v>34</v>
      </c>
      <c r="C230" t="s">
        <v>8</v>
      </c>
      <c r="D230" t="s">
        <v>9</v>
      </c>
      <c r="E230" t="s">
        <v>199</v>
      </c>
      <c r="F230" t="s">
        <v>16</v>
      </c>
      <c r="G230" t="str">
        <f t="shared" si="6"/>
        <v>34009HOT BUBBLES</v>
      </c>
      <c r="H230">
        <v>13502</v>
      </c>
      <c r="I230">
        <v>12045</v>
      </c>
      <c r="J230">
        <f t="shared" si="7"/>
        <v>-0.12096305520963055</v>
      </c>
    </row>
    <row r="231" spans="1:10">
      <c r="A231">
        <v>2026</v>
      </c>
      <c r="B231">
        <v>34</v>
      </c>
      <c r="C231" t="s">
        <v>8</v>
      </c>
      <c r="D231" t="s">
        <v>9</v>
      </c>
      <c r="E231" t="s">
        <v>200</v>
      </c>
      <c r="F231" t="s">
        <v>23</v>
      </c>
      <c r="G231" t="str">
        <f t="shared" si="6"/>
        <v>34014FRUITY BUBBLES</v>
      </c>
      <c r="H231">
        <v>2842</v>
      </c>
      <c r="I231">
        <v>2902</v>
      </c>
      <c r="J231">
        <f t="shared" si="7"/>
        <v>2.0675396278428671E-2</v>
      </c>
    </row>
    <row r="232" spans="1:10">
      <c r="A232">
        <v>2026</v>
      </c>
      <c r="B232">
        <v>34</v>
      </c>
      <c r="C232" t="s">
        <v>8</v>
      </c>
      <c r="D232" t="s">
        <v>9</v>
      </c>
      <c r="E232" t="s">
        <v>201</v>
      </c>
      <c r="F232" t="s">
        <v>25</v>
      </c>
      <c r="G232" t="str">
        <f t="shared" si="6"/>
        <v>34015FELLINI</v>
      </c>
      <c r="H232">
        <v>5434</v>
      </c>
      <c r="I232">
        <v>5348</v>
      </c>
      <c r="J232">
        <f t="shared" si="7"/>
        <v>-1.6080777860882575E-2</v>
      </c>
    </row>
    <row r="233" spans="1:10">
      <c r="A233">
        <v>2026</v>
      </c>
      <c r="B233">
        <v>34</v>
      </c>
      <c r="C233" t="s">
        <v>8</v>
      </c>
      <c r="D233" t="s">
        <v>9</v>
      </c>
      <c r="E233" t="s">
        <v>202</v>
      </c>
      <c r="F233" t="s">
        <v>27</v>
      </c>
      <c r="G233" t="str">
        <f t="shared" si="6"/>
        <v>34016GOOD PEACH</v>
      </c>
      <c r="H233">
        <v>4016</v>
      </c>
      <c r="I233">
        <v>3096</v>
      </c>
      <c r="J233">
        <f t="shared" si="7"/>
        <v>-0.29715762273901808</v>
      </c>
    </row>
    <row r="234" spans="1:10">
      <c r="A234">
        <v>2026</v>
      </c>
      <c r="B234">
        <v>34</v>
      </c>
      <c r="C234" t="s">
        <v>8</v>
      </c>
      <c r="D234" t="s">
        <v>9</v>
      </c>
      <c r="E234" t="s">
        <v>202</v>
      </c>
      <c r="F234" t="s">
        <v>29</v>
      </c>
      <c r="G234" t="str">
        <f t="shared" si="6"/>
        <v>34016GOOD YELLOW</v>
      </c>
      <c r="H234">
        <v>3556</v>
      </c>
      <c r="I234">
        <v>2749</v>
      </c>
      <c r="J234">
        <f t="shared" si="7"/>
        <v>-0.29356129501636957</v>
      </c>
    </row>
    <row r="235" spans="1:10">
      <c r="A235">
        <v>2026</v>
      </c>
      <c r="B235">
        <v>34</v>
      </c>
      <c r="C235" t="s">
        <v>8</v>
      </c>
      <c r="D235" t="s">
        <v>9</v>
      </c>
      <c r="E235" t="s">
        <v>203</v>
      </c>
      <c r="F235" t="s">
        <v>31</v>
      </c>
      <c r="G235" t="str">
        <f t="shared" si="6"/>
        <v>34017ORANGE STAR</v>
      </c>
      <c r="H235">
        <v>875</v>
      </c>
      <c r="I235">
        <v>1010</v>
      </c>
      <c r="J235">
        <f t="shared" si="7"/>
        <v>0.13366336633663367</v>
      </c>
    </row>
    <row r="236" spans="1:10">
      <c r="A236">
        <v>2026</v>
      </c>
      <c r="B236">
        <v>34</v>
      </c>
      <c r="C236" t="s">
        <v>8</v>
      </c>
      <c r="D236" t="s">
        <v>9</v>
      </c>
      <c r="E236" t="s">
        <v>204</v>
      </c>
      <c r="F236" t="s">
        <v>33</v>
      </c>
      <c r="G236" t="str">
        <f t="shared" si="6"/>
        <v>34018COSMO</v>
      </c>
      <c r="H236">
        <v>4794</v>
      </c>
      <c r="I236">
        <v>4563</v>
      </c>
      <c r="J236">
        <f t="shared" si="7"/>
        <v>-5.0624589086127547E-2</v>
      </c>
    </row>
    <row r="237" spans="1:10">
      <c r="A237">
        <v>2026</v>
      </c>
      <c r="B237">
        <v>34</v>
      </c>
      <c r="C237" t="s">
        <v>8</v>
      </c>
      <c r="D237" t="s">
        <v>9</v>
      </c>
      <c r="E237" t="s">
        <v>204</v>
      </c>
      <c r="F237" t="s">
        <v>35</v>
      </c>
      <c r="G237" t="str">
        <f t="shared" si="6"/>
        <v>34018RUBICON</v>
      </c>
      <c r="H237">
        <v>5776</v>
      </c>
      <c r="I237">
        <v>3835</v>
      </c>
      <c r="J237">
        <f t="shared" si="7"/>
        <v>-0.50612777053455016</v>
      </c>
    </row>
    <row r="238" spans="1:10">
      <c r="A238">
        <v>2026</v>
      </c>
      <c r="B238">
        <v>34</v>
      </c>
      <c r="C238" t="s">
        <v>8</v>
      </c>
      <c r="D238" t="s">
        <v>9</v>
      </c>
      <c r="E238" t="s">
        <v>205</v>
      </c>
      <c r="F238" t="s">
        <v>12</v>
      </c>
      <c r="G238" t="str">
        <f t="shared" si="6"/>
        <v>34019BELLINA</v>
      </c>
      <c r="H238">
        <v>1179</v>
      </c>
      <c r="I238">
        <v>1225</v>
      </c>
      <c r="J238">
        <f t="shared" si="7"/>
        <v>3.7551020408163265E-2</v>
      </c>
    </row>
    <row r="239" spans="1:10">
      <c r="A239">
        <v>2026</v>
      </c>
      <c r="B239">
        <v>34</v>
      </c>
      <c r="C239" t="s">
        <v>8</v>
      </c>
      <c r="D239" t="s">
        <v>9</v>
      </c>
      <c r="E239" t="s">
        <v>206</v>
      </c>
      <c r="F239" t="s">
        <v>38</v>
      </c>
      <c r="G239" t="str">
        <f t="shared" si="6"/>
        <v>34020SUMMER DANCE</v>
      </c>
      <c r="H239">
        <v>2775</v>
      </c>
      <c r="I239">
        <v>2600</v>
      </c>
      <c r="J239">
        <f t="shared" si="7"/>
        <v>-6.7307692307692304E-2</v>
      </c>
    </row>
    <row r="240" spans="1:10">
      <c r="A240">
        <v>2026</v>
      </c>
      <c r="B240">
        <v>34</v>
      </c>
      <c r="C240" t="s">
        <v>8</v>
      </c>
      <c r="D240" t="s">
        <v>9</v>
      </c>
      <c r="E240" t="s">
        <v>207</v>
      </c>
      <c r="F240" t="s">
        <v>40</v>
      </c>
      <c r="G240" t="str">
        <f t="shared" si="6"/>
        <v>34021ELEGANT ROSEVER</v>
      </c>
      <c r="H240">
        <v>941</v>
      </c>
      <c r="I240">
        <v>530</v>
      </c>
      <c r="J240">
        <f t="shared" si="7"/>
        <v>-0.7754716981132076</v>
      </c>
    </row>
    <row r="241" spans="1:10">
      <c r="A241">
        <v>2026</v>
      </c>
      <c r="B241">
        <v>34</v>
      </c>
      <c r="C241" t="s">
        <v>8</v>
      </c>
      <c r="D241" t="s">
        <v>9</v>
      </c>
      <c r="E241" t="s">
        <v>207</v>
      </c>
      <c r="F241" t="s">
        <v>42</v>
      </c>
      <c r="G241" t="str">
        <f t="shared" si="6"/>
        <v>34021FLAME CLUB</v>
      </c>
      <c r="H241">
        <v>1807</v>
      </c>
      <c r="I241">
        <v>1630</v>
      </c>
      <c r="J241">
        <f t="shared" si="7"/>
        <v>-0.10858895705521472</v>
      </c>
    </row>
    <row r="242" spans="1:10">
      <c r="A242">
        <v>2026</v>
      </c>
      <c r="B242">
        <v>34</v>
      </c>
      <c r="C242" t="s">
        <v>8</v>
      </c>
      <c r="D242" t="s">
        <v>9</v>
      </c>
      <c r="E242" t="s">
        <v>207</v>
      </c>
      <c r="F242" t="s">
        <v>44</v>
      </c>
      <c r="G242" t="str">
        <f t="shared" si="6"/>
        <v>34021KELLY</v>
      </c>
      <c r="H242">
        <v>415</v>
      </c>
      <c r="I242">
        <v>458</v>
      </c>
      <c r="J242">
        <f t="shared" si="7"/>
        <v>9.3886462882096067E-2</v>
      </c>
    </row>
    <row r="243" spans="1:10">
      <c r="A243">
        <v>2026</v>
      </c>
      <c r="B243">
        <v>34</v>
      </c>
      <c r="C243" t="s">
        <v>8</v>
      </c>
      <c r="D243" t="s">
        <v>9</v>
      </c>
      <c r="E243" t="s">
        <v>207</v>
      </c>
      <c r="F243" t="s">
        <v>46</v>
      </c>
      <c r="G243" t="str">
        <f t="shared" si="6"/>
        <v>34021LEILA</v>
      </c>
      <c r="H243">
        <v>2809</v>
      </c>
      <c r="I243">
        <v>2287</v>
      </c>
      <c r="J243">
        <f t="shared" si="7"/>
        <v>-0.22824661128115434</v>
      </c>
    </row>
    <row r="244" spans="1:10">
      <c r="A244">
        <v>2026</v>
      </c>
      <c r="B244">
        <v>34</v>
      </c>
      <c r="C244" t="s">
        <v>8</v>
      </c>
      <c r="D244" t="s">
        <v>9</v>
      </c>
      <c r="E244" t="s">
        <v>207</v>
      </c>
      <c r="F244" t="s">
        <v>20</v>
      </c>
      <c r="G244" t="str">
        <f t="shared" si="6"/>
        <v>34021SNOW BUBBLES</v>
      </c>
      <c r="H244">
        <v>2299</v>
      </c>
      <c r="I244">
        <v>2311</v>
      </c>
      <c r="J244">
        <f t="shared" si="7"/>
        <v>5.1925573344872352E-3</v>
      </c>
    </row>
    <row r="245" spans="1:10">
      <c r="A245">
        <v>2026</v>
      </c>
      <c r="B245">
        <v>34</v>
      </c>
      <c r="C245" t="s">
        <v>8</v>
      </c>
      <c r="D245" t="s">
        <v>9</v>
      </c>
      <c r="E245" t="s">
        <v>208</v>
      </c>
      <c r="F245" t="s">
        <v>23</v>
      </c>
      <c r="G245" t="str">
        <f t="shared" si="6"/>
        <v>34022FRUITY BUBBLES</v>
      </c>
      <c r="H245">
        <v>5791</v>
      </c>
      <c r="I245">
        <v>5114</v>
      </c>
      <c r="J245">
        <f t="shared" si="7"/>
        <v>-0.13238169730152521</v>
      </c>
    </row>
    <row r="246" spans="1:10">
      <c r="A246">
        <v>2026</v>
      </c>
      <c r="B246">
        <v>34</v>
      </c>
      <c r="C246" t="s">
        <v>8</v>
      </c>
      <c r="D246" t="s">
        <v>9</v>
      </c>
      <c r="E246" t="s">
        <v>208</v>
      </c>
      <c r="F246" t="s">
        <v>27</v>
      </c>
      <c r="G246" t="str">
        <f t="shared" si="6"/>
        <v>34022GOOD PEACH</v>
      </c>
      <c r="H246">
        <v>2123</v>
      </c>
      <c r="I246">
        <v>1993</v>
      </c>
      <c r="J246">
        <f t="shared" si="7"/>
        <v>-6.5228299046663316E-2</v>
      </c>
    </row>
    <row r="247" spans="1:10">
      <c r="A247">
        <v>2026</v>
      </c>
      <c r="B247">
        <v>34</v>
      </c>
      <c r="C247" t="s">
        <v>8</v>
      </c>
      <c r="D247" t="s">
        <v>9</v>
      </c>
      <c r="E247" t="s">
        <v>208</v>
      </c>
      <c r="F247" t="s">
        <v>51</v>
      </c>
      <c r="G247" t="str">
        <f t="shared" si="6"/>
        <v>34022MIRABEL</v>
      </c>
      <c r="H247">
        <v>1683</v>
      </c>
      <c r="I247">
        <v>1433</v>
      </c>
      <c r="J247">
        <f t="shared" si="7"/>
        <v>-0.17445917655268667</v>
      </c>
    </row>
    <row r="248" spans="1:10">
      <c r="A248">
        <v>2026</v>
      </c>
      <c r="B248">
        <v>34</v>
      </c>
      <c r="C248" t="s">
        <v>8</v>
      </c>
      <c r="D248" t="s">
        <v>9</v>
      </c>
      <c r="E248" t="s">
        <v>209</v>
      </c>
      <c r="F248" t="s">
        <v>53</v>
      </c>
      <c r="G248" t="str">
        <f t="shared" si="6"/>
        <v>34026PURPLE BUBBLY</v>
      </c>
      <c r="H248">
        <v>314</v>
      </c>
      <c r="I248" t="e">
        <v>#N/A</v>
      </c>
      <c r="J248" t="e">
        <f t="shared" si="7"/>
        <v>#N/A</v>
      </c>
    </row>
    <row r="249" spans="1:10">
      <c r="A249">
        <v>2026</v>
      </c>
      <c r="B249">
        <v>34</v>
      </c>
      <c r="C249" t="s">
        <v>8</v>
      </c>
      <c r="D249" t="s">
        <v>9</v>
      </c>
      <c r="E249" t="s">
        <v>210</v>
      </c>
      <c r="F249" t="s">
        <v>51</v>
      </c>
      <c r="G249" t="str">
        <f t="shared" si="6"/>
        <v>34030MIRABEL</v>
      </c>
      <c r="H249">
        <v>6231</v>
      </c>
      <c r="I249">
        <v>4115</v>
      </c>
      <c r="J249">
        <f t="shared" si="7"/>
        <v>-0.51421628189550428</v>
      </c>
    </row>
    <row r="250" spans="1:10">
      <c r="A250">
        <v>2026</v>
      </c>
      <c r="B250">
        <v>34</v>
      </c>
      <c r="C250" t="s">
        <v>8</v>
      </c>
      <c r="D250" t="s">
        <v>9</v>
      </c>
      <c r="E250" t="s">
        <v>210</v>
      </c>
      <c r="F250" t="s">
        <v>10</v>
      </c>
      <c r="G250" t="str">
        <f t="shared" si="6"/>
        <v>34030SOMERSET</v>
      </c>
      <c r="H250">
        <v>1966</v>
      </c>
      <c r="I250">
        <v>1953</v>
      </c>
      <c r="J250">
        <f t="shared" si="7"/>
        <v>-6.6564260112647209E-3</v>
      </c>
    </row>
    <row r="251" spans="1:10">
      <c r="A251">
        <v>2026</v>
      </c>
      <c r="B251">
        <v>34</v>
      </c>
      <c r="C251" t="s">
        <v>8</v>
      </c>
      <c r="D251" t="s">
        <v>9</v>
      </c>
      <c r="E251" t="s">
        <v>211</v>
      </c>
      <c r="F251" t="s">
        <v>57</v>
      </c>
      <c r="G251" t="str">
        <f t="shared" si="6"/>
        <v>3403182989</v>
      </c>
      <c r="H251">
        <v>2752</v>
      </c>
      <c r="I251">
        <v>1385</v>
      </c>
      <c r="J251">
        <f t="shared" si="7"/>
        <v>-0.98700361010830329</v>
      </c>
    </row>
    <row r="252" spans="1:10">
      <c r="A252">
        <v>2026</v>
      </c>
      <c r="B252">
        <v>34</v>
      </c>
      <c r="C252" t="s">
        <v>8</v>
      </c>
      <c r="D252" t="s">
        <v>9</v>
      </c>
      <c r="E252" t="s">
        <v>211</v>
      </c>
      <c r="F252" t="s">
        <v>35</v>
      </c>
      <c r="G252" t="str">
        <f t="shared" si="6"/>
        <v>34031RUBICON</v>
      </c>
      <c r="H252">
        <v>2239</v>
      </c>
      <c r="I252">
        <v>1753</v>
      </c>
      <c r="J252">
        <f t="shared" si="7"/>
        <v>-0.27723901882487167</v>
      </c>
    </row>
    <row r="253" spans="1:10">
      <c r="A253">
        <v>2026</v>
      </c>
      <c r="B253">
        <v>34</v>
      </c>
      <c r="C253" t="s">
        <v>8</v>
      </c>
      <c r="D253" t="s">
        <v>9</v>
      </c>
      <c r="E253" t="s">
        <v>211</v>
      </c>
      <c r="F253" t="s">
        <v>10</v>
      </c>
      <c r="G253" t="str">
        <f t="shared" si="6"/>
        <v>34031SOMERSET</v>
      </c>
      <c r="H253">
        <v>1581</v>
      </c>
      <c r="I253">
        <v>1546</v>
      </c>
      <c r="J253">
        <f t="shared" si="7"/>
        <v>-2.2639068564036222E-2</v>
      </c>
    </row>
    <row r="254" spans="1:10">
      <c r="A254">
        <v>2026</v>
      </c>
      <c r="B254">
        <v>34</v>
      </c>
      <c r="C254" t="s">
        <v>8</v>
      </c>
      <c r="D254" t="s">
        <v>9</v>
      </c>
      <c r="E254" t="s">
        <v>211</v>
      </c>
      <c r="F254" t="s">
        <v>61</v>
      </c>
      <c r="G254" t="str">
        <f t="shared" si="6"/>
        <v>34031VELVET BLOSSOMS</v>
      </c>
      <c r="H254">
        <v>923</v>
      </c>
      <c r="I254">
        <v>508</v>
      </c>
      <c r="J254">
        <f t="shared" si="7"/>
        <v>-0.81692913385826771</v>
      </c>
    </row>
    <row r="255" spans="1:10">
      <c r="A255">
        <v>2026</v>
      </c>
      <c r="B255">
        <v>34</v>
      </c>
      <c r="C255" t="s">
        <v>8</v>
      </c>
      <c r="D255" t="s">
        <v>9</v>
      </c>
      <c r="E255" t="s">
        <v>212</v>
      </c>
      <c r="F255" t="s">
        <v>14</v>
      </c>
      <c r="G255" t="str">
        <f t="shared" si="6"/>
        <v>34032ELBA</v>
      </c>
      <c r="H255">
        <v>3313</v>
      </c>
      <c r="I255">
        <v>3244</v>
      </c>
      <c r="J255">
        <f t="shared" si="7"/>
        <v>-2.1270036991368681E-2</v>
      </c>
    </row>
    <row r="256" spans="1:10">
      <c r="A256">
        <v>2026</v>
      </c>
      <c r="B256">
        <v>34</v>
      </c>
      <c r="C256" t="s">
        <v>8</v>
      </c>
      <c r="D256" t="s">
        <v>9</v>
      </c>
      <c r="E256" t="s">
        <v>212</v>
      </c>
      <c r="F256" t="s">
        <v>51</v>
      </c>
      <c r="G256" t="str">
        <f t="shared" si="6"/>
        <v>34032MIRABEL</v>
      </c>
      <c r="H256">
        <v>1814</v>
      </c>
      <c r="I256">
        <v>1486</v>
      </c>
      <c r="J256">
        <f t="shared" si="7"/>
        <v>-0.22072678331090176</v>
      </c>
    </row>
    <row r="257" spans="1:10">
      <c r="A257">
        <v>2026</v>
      </c>
      <c r="B257">
        <v>34</v>
      </c>
      <c r="C257" t="s">
        <v>8</v>
      </c>
      <c r="D257" t="s">
        <v>9</v>
      </c>
      <c r="E257" t="s">
        <v>213</v>
      </c>
      <c r="F257" t="s">
        <v>65</v>
      </c>
      <c r="G257" t="str">
        <f t="shared" si="6"/>
        <v>34033CREAMY FOLIES</v>
      </c>
      <c r="H257">
        <v>1683</v>
      </c>
      <c r="I257">
        <v>1222</v>
      </c>
      <c r="J257">
        <f t="shared" si="7"/>
        <v>-0.37725040916530278</v>
      </c>
    </row>
    <row r="258" spans="1:10">
      <c r="A258">
        <v>2026</v>
      </c>
      <c r="B258">
        <v>34</v>
      </c>
      <c r="C258" t="s">
        <v>8</v>
      </c>
      <c r="D258" t="s">
        <v>9</v>
      </c>
      <c r="E258" t="s">
        <v>213</v>
      </c>
      <c r="F258" t="s">
        <v>16</v>
      </c>
      <c r="G258" t="str">
        <f t="shared" si="6"/>
        <v>34033HOT BUBBLES</v>
      </c>
      <c r="H258">
        <v>3282</v>
      </c>
      <c r="I258">
        <v>2852</v>
      </c>
      <c r="J258">
        <f t="shared" si="7"/>
        <v>-0.15077138849929875</v>
      </c>
    </row>
    <row r="259" spans="1:10">
      <c r="A259">
        <v>2026</v>
      </c>
      <c r="B259">
        <v>34</v>
      </c>
      <c r="C259" t="s">
        <v>68</v>
      </c>
      <c r="D259" t="s">
        <v>9</v>
      </c>
      <c r="E259" t="s">
        <v>214</v>
      </c>
      <c r="F259" t="s">
        <v>69</v>
      </c>
      <c r="G259" t="str">
        <f t="shared" ref="G259:G322" si="8">+B259&amp;E259&amp;F259</f>
        <v>34001BELIEVE IN PINK</v>
      </c>
      <c r="H259">
        <v>990</v>
      </c>
      <c r="I259">
        <v>1061</v>
      </c>
      <c r="J259">
        <f t="shared" ref="J259:J322" si="9">+(I259-H259)/I259</f>
        <v>6.6918001885014136E-2</v>
      </c>
    </row>
    <row r="260" spans="1:10">
      <c r="A260">
        <v>2026</v>
      </c>
      <c r="B260">
        <v>34</v>
      </c>
      <c r="C260" t="s">
        <v>68</v>
      </c>
      <c r="D260" t="s">
        <v>9</v>
      </c>
      <c r="E260" t="s">
        <v>214</v>
      </c>
      <c r="F260" t="s">
        <v>71</v>
      </c>
      <c r="G260" t="str">
        <f t="shared" si="8"/>
        <v>34001EXPLORER</v>
      </c>
      <c r="H260">
        <v>2341</v>
      </c>
      <c r="I260">
        <v>2899</v>
      </c>
      <c r="J260">
        <f t="shared" si="9"/>
        <v>0.19248016557433598</v>
      </c>
    </row>
    <row r="261" spans="1:10">
      <c r="A261">
        <v>2026</v>
      </c>
      <c r="B261">
        <v>34</v>
      </c>
      <c r="C261" t="s">
        <v>68</v>
      </c>
      <c r="D261" t="s">
        <v>9</v>
      </c>
      <c r="E261" t="s">
        <v>214</v>
      </c>
      <c r="F261" t="s">
        <v>73</v>
      </c>
      <c r="G261" t="str">
        <f t="shared" si="8"/>
        <v>34001GRACE KELLY</v>
      </c>
      <c r="H261">
        <v>1761</v>
      </c>
      <c r="I261">
        <v>1332</v>
      </c>
      <c r="J261">
        <f t="shared" si="9"/>
        <v>-0.32207207207207206</v>
      </c>
    </row>
    <row r="262" spans="1:10">
      <c r="A262">
        <v>2026</v>
      </c>
      <c r="B262">
        <v>34</v>
      </c>
      <c r="C262" t="s">
        <v>68</v>
      </c>
      <c r="D262" t="s">
        <v>9</v>
      </c>
      <c r="E262" t="s">
        <v>214</v>
      </c>
      <c r="F262" t="s">
        <v>186</v>
      </c>
      <c r="G262" t="str">
        <f t="shared" si="8"/>
        <v>34001IDOLE</v>
      </c>
      <c r="H262">
        <v>896</v>
      </c>
      <c r="I262">
        <v>777</v>
      </c>
      <c r="J262">
        <f t="shared" si="9"/>
        <v>-0.15315315315315314</v>
      </c>
    </row>
    <row r="263" spans="1:10">
      <c r="A263">
        <v>2026</v>
      </c>
      <c r="B263">
        <v>34</v>
      </c>
      <c r="C263" t="s">
        <v>68</v>
      </c>
      <c r="D263" t="s">
        <v>9</v>
      </c>
      <c r="E263" t="s">
        <v>214</v>
      </c>
      <c r="F263" t="s">
        <v>75</v>
      </c>
      <c r="G263" t="str">
        <f t="shared" si="8"/>
        <v>34001LIGHT HOUSE</v>
      </c>
      <c r="H263">
        <v>969</v>
      </c>
      <c r="I263">
        <v>941</v>
      </c>
      <c r="J263">
        <f t="shared" si="9"/>
        <v>-2.975557917109458E-2</v>
      </c>
    </row>
    <row r="264" spans="1:10">
      <c r="A264">
        <v>2026</v>
      </c>
      <c r="B264">
        <v>34</v>
      </c>
      <c r="C264" t="s">
        <v>68</v>
      </c>
      <c r="D264" t="s">
        <v>9</v>
      </c>
      <c r="E264" t="s">
        <v>214</v>
      </c>
      <c r="F264" t="s">
        <v>79</v>
      </c>
      <c r="G264" t="str">
        <f t="shared" si="8"/>
        <v>34001MOMENTUM</v>
      </c>
      <c r="H264">
        <v>2943</v>
      </c>
      <c r="I264">
        <v>3253</v>
      </c>
      <c r="J264">
        <f t="shared" si="9"/>
        <v>9.5296649246849066E-2</v>
      </c>
    </row>
    <row r="265" spans="1:10">
      <c r="A265">
        <v>2026</v>
      </c>
      <c r="B265">
        <v>34</v>
      </c>
      <c r="C265" t="s">
        <v>68</v>
      </c>
      <c r="D265" t="s">
        <v>9</v>
      </c>
      <c r="E265" t="s">
        <v>195</v>
      </c>
      <c r="F265" t="s">
        <v>81</v>
      </c>
      <c r="G265" t="str">
        <f t="shared" si="8"/>
        <v>34002SUMMER ROMANCE</v>
      </c>
      <c r="H265">
        <v>2282</v>
      </c>
      <c r="I265">
        <v>2545</v>
      </c>
      <c r="J265">
        <f t="shared" si="9"/>
        <v>0.10333988212180746</v>
      </c>
    </row>
    <row r="266" spans="1:10">
      <c r="A266">
        <v>2026</v>
      </c>
      <c r="B266">
        <v>34</v>
      </c>
      <c r="C266" t="s">
        <v>68</v>
      </c>
      <c r="D266" t="s">
        <v>9</v>
      </c>
      <c r="E266" t="s">
        <v>195</v>
      </c>
      <c r="F266" t="s">
        <v>83</v>
      </c>
      <c r="G266" t="str">
        <f t="shared" si="8"/>
        <v>34002SWEETNESS</v>
      </c>
      <c r="H266">
        <v>6230</v>
      </c>
      <c r="I266">
        <v>6254</v>
      </c>
      <c r="J266">
        <f t="shared" si="9"/>
        <v>3.8375439718580109E-3</v>
      </c>
    </row>
    <row r="267" spans="1:10">
      <c r="A267">
        <v>2026</v>
      </c>
      <c r="B267">
        <v>34</v>
      </c>
      <c r="C267" t="s">
        <v>68</v>
      </c>
      <c r="D267" t="s">
        <v>9</v>
      </c>
      <c r="E267" t="s">
        <v>215</v>
      </c>
      <c r="F267" t="s">
        <v>85</v>
      </c>
      <c r="G267" t="str">
        <f t="shared" si="8"/>
        <v>34003CABARET</v>
      </c>
      <c r="H267">
        <v>4010</v>
      </c>
      <c r="I267">
        <v>4008</v>
      </c>
      <c r="J267">
        <f t="shared" si="9"/>
        <v>-4.9900199600798399E-4</v>
      </c>
    </row>
    <row r="268" spans="1:10">
      <c r="A268">
        <v>2026</v>
      </c>
      <c r="B268">
        <v>34</v>
      </c>
      <c r="C268" t="s">
        <v>68</v>
      </c>
      <c r="D268" t="s">
        <v>9</v>
      </c>
      <c r="E268" t="s">
        <v>215</v>
      </c>
      <c r="F268" t="s">
        <v>87</v>
      </c>
      <c r="G268" t="str">
        <f t="shared" si="8"/>
        <v>34003DEEP PURPLE</v>
      </c>
      <c r="H268">
        <v>5153</v>
      </c>
      <c r="I268">
        <v>5208</v>
      </c>
      <c r="J268">
        <f t="shared" si="9"/>
        <v>1.0560675883256529E-2</v>
      </c>
    </row>
    <row r="269" spans="1:10">
      <c r="A269">
        <v>2026</v>
      </c>
      <c r="B269">
        <v>34</v>
      </c>
      <c r="C269" t="s">
        <v>68</v>
      </c>
      <c r="D269" t="s">
        <v>9</v>
      </c>
      <c r="E269" t="s">
        <v>215</v>
      </c>
      <c r="F269" t="s">
        <v>71</v>
      </c>
      <c r="G269" t="str">
        <f t="shared" si="8"/>
        <v>34003EXPLORER</v>
      </c>
      <c r="H269">
        <v>1816</v>
      </c>
      <c r="I269">
        <v>1747</v>
      </c>
      <c r="J269">
        <f t="shared" si="9"/>
        <v>-3.9496279336004581E-2</v>
      </c>
    </row>
    <row r="270" spans="1:10">
      <c r="A270">
        <v>2026</v>
      </c>
      <c r="B270">
        <v>34</v>
      </c>
      <c r="C270" t="s">
        <v>68</v>
      </c>
      <c r="D270" t="s">
        <v>9</v>
      </c>
      <c r="E270" t="s">
        <v>215</v>
      </c>
      <c r="F270" t="s">
        <v>90</v>
      </c>
      <c r="G270" t="str">
        <f t="shared" si="8"/>
        <v>34003JOCKER</v>
      </c>
      <c r="H270">
        <v>697</v>
      </c>
      <c r="I270">
        <v>683</v>
      </c>
      <c r="J270">
        <f t="shared" si="9"/>
        <v>-2.0497803806734993E-2</v>
      </c>
    </row>
    <row r="271" spans="1:10">
      <c r="A271">
        <v>2026</v>
      </c>
      <c r="B271">
        <v>34</v>
      </c>
      <c r="C271" t="s">
        <v>68</v>
      </c>
      <c r="D271" t="s">
        <v>9</v>
      </c>
      <c r="E271" t="s">
        <v>215</v>
      </c>
      <c r="F271" t="s">
        <v>92</v>
      </c>
      <c r="G271" t="str">
        <f t="shared" si="8"/>
        <v>34003QUICKSAND</v>
      </c>
      <c r="H271">
        <v>1372</v>
      </c>
      <c r="I271">
        <v>1294</v>
      </c>
      <c r="J271">
        <f t="shared" si="9"/>
        <v>-6.0278207109737247E-2</v>
      </c>
    </row>
    <row r="272" spans="1:10">
      <c r="A272">
        <v>2026</v>
      </c>
      <c r="B272">
        <v>34</v>
      </c>
      <c r="C272" t="s">
        <v>68</v>
      </c>
      <c r="D272" t="s">
        <v>9</v>
      </c>
      <c r="E272" t="s">
        <v>196</v>
      </c>
      <c r="F272" t="s">
        <v>94</v>
      </c>
      <c r="G272" t="str">
        <f t="shared" si="8"/>
        <v>34004COTOPAXI</v>
      </c>
      <c r="H272">
        <v>1548</v>
      </c>
      <c r="I272">
        <v>793</v>
      </c>
      <c r="J272">
        <f t="shared" si="9"/>
        <v>-0.95208070617906682</v>
      </c>
    </row>
    <row r="273" spans="1:10">
      <c r="A273">
        <v>2026</v>
      </c>
      <c r="B273">
        <v>34</v>
      </c>
      <c r="C273" t="s">
        <v>68</v>
      </c>
      <c r="D273" t="s">
        <v>9</v>
      </c>
      <c r="E273" t="s">
        <v>196</v>
      </c>
      <c r="F273" t="s">
        <v>87</v>
      </c>
      <c r="G273" t="str">
        <f t="shared" si="8"/>
        <v>34004DEEP PURPLE</v>
      </c>
      <c r="H273">
        <v>5422</v>
      </c>
      <c r="I273">
        <v>7020</v>
      </c>
      <c r="J273">
        <f t="shared" si="9"/>
        <v>0.22763532763532762</v>
      </c>
    </row>
    <row r="274" spans="1:10">
      <c r="A274">
        <v>2026</v>
      </c>
      <c r="B274">
        <v>34</v>
      </c>
      <c r="C274" t="s">
        <v>68</v>
      </c>
      <c r="D274" t="s">
        <v>9</v>
      </c>
      <c r="E274" t="s">
        <v>196</v>
      </c>
      <c r="F274" t="s">
        <v>97</v>
      </c>
      <c r="G274" t="str">
        <f t="shared" si="8"/>
        <v>34004HOT EXPLORER</v>
      </c>
      <c r="H274">
        <v>2321</v>
      </c>
      <c r="I274">
        <v>2266</v>
      </c>
      <c r="J274">
        <f t="shared" si="9"/>
        <v>-2.4271844660194174E-2</v>
      </c>
    </row>
    <row r="275" spans="1:10">
      <c r="A275">
        <v>2026</v>
      </c>
      <c r="B275">
        <v>34</v>
      </c>
      <c r="C275" t="s">
        <v>68</v>
      </c>
      <c r="D275" t="s">
        <v>9</v>
      </c>
      <c r="E275" t="s">
        <v>196</v>
      </c>
      <c r="F275" t="s">
        <v>99</v>
      </c>
      <c r="G275" t="str">
        <f t="shared" si="8"/>
        <v>34004HOT MERENGUE</v>
      </c>
      <c r="H275">
        <v>1343</v>
      </c>
      <c r="I275">
        <v>1648</v>
      </c>
      <c r="J275">
        <f t="shared" si="9"/>
        <v>0.18507281553398058</v>
      </c>
    </row>
    <row r="276" spans="1:10">
      <c r="A276">
        <v>2026</v>
      </c>
      <c r="B276">
        <v>34</v>
      </c>
      <c r="C276" t="s">
        <v>68</v>
      </c>
      <c r="D276" t="s">
        <v>9</v>
      </c>
      <c r="E276" t="s">
        <v>196</v>
      </c>
      <c r="F276" t="s">
        <v>83</v>
      </c>
      <c r="G276" t="str">
        <f t="shared" si="8"/>
        <v>34004SWEETNESS</v>
      </c>
      <c r="H276">
        <v>686</v>
      </c>
      <c r="I276">
        <v>489</v>
      </c>
      <c r="J276">
        <f t="shared" si="9"/>
        <v>-0.40286298568507156</v>
      </c>
    </row>
    <row r="277" spans="1:10">
      <c r="A277">
        <v>2026</v>
      </c>
      <c r="B277">
        <v>34</v>
      </c>
      <c r="C277" t="s">
        <v>68</v>
      </c>
      <c r="D277" t="s">
        <v>9</v>
      </c>
      <c r="E277" t="s">
        <v>197</v>
      </c>
      <c r="F277" t="s">
        <v>71</v>
      </c>
      <c r="G277" t="str">
        <f t="shared" si="8"/>
        <v>34005EXPLORER</v>
      </c>
      <c r="H277">
        <v>1041</v>
      </c>
      <c r="I277">
        <v>915</v>
      </c>
      <c r="J277">
        <f t="shared" si="9"/>
        <v>-0.13770491803278689</v>
      </c>
    </row>
    <row r="278" spans="1:10">
      <c r="A278">
        <v>2026</v>
      </c>
      <c r="B278">
        <v>34</v>
      </c>
      <c r="C278" t="s">
        <v>68</v>
      </c>
      <c r="D278" t="s">
        <v>9</v>
      </c>
      <c r="E278" t="s">
        <v>197</v>
      </c>
      <c r="F278" t="s">
        <v>103</v>
      </c>
      <c r="G278" t="str">
        <f t="shared" si="8"/>
        <v>34005GOLDFINCH</v>
      </c>
      <c r="H278">
        <v>634</v>
      </c>
      <c r="I278">
        <v>540</v>
      </c>
      <c r="J278">
        <f t="shared" si="9"/>
        <v>-0.17407407407407408</v>
      </c>
    </row>
    <row r="279" spans="1:10">
      <c r="A279">
        <v>2026</v>
      </c>
      <c r="B279">
        <v>34</v>
      </c>
      <c r="C279" t="s">
        <v>68</v>
      </c>
      <c r="D279" t="s">
        <v>9</v>
      </c>
      <c r="E279" t="s">
        <v>197</v>
      </c>
      <c r="F279" t="s">
        <v>90</v>
      </c>
      <c r="G279" t="str">
        <f t="shared" si="8"/>
        <v>34005JOCKER</v>
      </c>
      <c r="H279">
        <v>1736</v>
      </c>
      <c r="I279">
        <v>1673</v>
      </c>
      <c r="J279">
        <f t="shared" si="9"/>
        <v>-3.7656903765690378E-2</v>
      </c>
    </row>
    <row r="280" spans="1:10">
      <c r="A280">
        <v>2026</v>
      </c>
      <c r="B280">
        <v>34</v>
      </c>
      <c r="C280" t="s">
        <v>68</v>
      </c>
      <c r="D280" t="s">
        <v>9</v>
      </c>
      <c r="E280" t="s">
        <v>197</v>
      </c>
      <c r="F280" t="s">
        <v>106</v>
      </c>
      <c r="G280" t="str">
        <f t="shared" si="8"/>
        <v>34005VENDELA</v>
      </c>
      <c r="H280">
        <v>2148</v>
      </c>
      <c r="I280">
        <v>1911</v>
      </c>
      <c r="J280">
        <f t="shared" si="9"/>
        <v>-0.12401883830455258</v>
      </c>
    </row>
    <row r="281" spans="1:10">
      <c r="A281">
        <v>2026</v>
      </c>
      <c r="B281">
        <v>34</v>
      </c>
      <c r="C281" t="s">
        <v>68</v>
      </c>
      <c r="D281" t="s">
        <v>9</v>
      </c>
      <c r="E281" t="s">
        <v>216</v>
      </c>
      <c r="F281" t="s">
        <v>108</v>
      </c>
      <c r="G281" t="str">
        <f t="shared" si="8"/>
        <v>34006ATOMIC</v>
      </c>
      <c r="H281">
        <v>670</v>
      </c>
      <c r="I281">
        <v>652</v>
      </c>
      <c r="J281">
        <f t="shared" si="9"/>
        <v>-2.7607361963190184E-2</v>
      </c>
    </row>
    <row r="282" spans="1:10">
      <c r="A282">
        <v>2026</v>
      </c>
      <c r="B282">
        <v>34</v>
      </c>
      <c r="C282" t="s">
        <v>68</v>
      </c>
      <c r="D282" t="s">
        <v>9</v>
      </c>
      <c r="E282" t="s">
        <v>216</v>
      </c>
      <c r="F282" t="s">
        <v>71</v>
      </c>
      <c r="G282" t="str">
        <f t="shared" si="8"/>
        <v>34006EXPLORER</v>
      </c>
      <c r="H282">
        <v>4743</v>
      </c>
      <c r="I282">
        <v>4768</v>
      </c>
      <c r="J282">
        <f t="shared" si="9"/>
        <v>5.2432885906040271E-3</v>
      </c>
    </row>
    <row r="283" spans="1:10">
      <c r="A283">
        <v>2026</v>
      </c>
      <c r="B283">
        <v>34</v>
      </c>
      <c r="C283" t="s">
        <v>68</v>
      </c>
      <c r="D283" t="s">
        <v>9</v>
      </c>
      <c r="E283" t="s">
        <v>216</v>
      </c>
      <c r="F283" t="s">
        <v>111</v>
      </c>
      <c r="G283" t="str">
        <f t="shared" si="8"/>
        <v>34006MONDIAL</v>
      </c>
      <c r="H283">
        <v>4654</v>
      </c>
      <c r="I283">
        <v>4788</v>
      </c>
      <c r="J283">
        <f t="shared" si="9"/>
        <v>2.7986633249791143E-2</v>
      </c>
    </row>
    <row r="284" spans="1:10">
      <c r="A284">
        <v>2026</v>
      </c>
      <c r="B284">
        <v>34</v>
      </c>
      <c r="C284" t="s">
        <v>68</v>
      </c>
      <c r="D284" t="s">
        <v>9</v>
      </c>
      <c r="E284" t="s">
        <v>198</v>
      </c>
      <c r="F284" t="s">
        <v>94</v>
      </c>
      <c r="G284" t="str">
        <f t="shared" si="8"/>
        <v>34007COTOPAXI</v>
      </c>
      <c r="H284">
        <v>9251</v>
      </c>
      <c r="I284">
        <v>7050</v>
      </c>
      <c r="J284">
        <f t="shared" si="9"/>
        <v>-0.31219858156028368</v>
      </c>
    </row>
    <row r="285" spans="1:10">
      <c r="A285">
        <v>2026</v>
      </c>
      <c r="B285">
        <v>34</v>
      </c>
      <c r="C285" t="s">
        <v>68</v>
      </c>
      <c r="D285" t="s">
        <v>9</v>
      </c>
      <c r="E285" t="s">
        <v>198</v>
      </c>
      <c r="F285" t="s">
        <v>114</v>
      </c>
      <c r="G285" t="str">
        <f t="shared" si="8"/>
        <v>34007REDIANT</v>
      </c>
      <c r="H285">
        <v>1134</v>
      </c>
      <c r="I285">
        <v>1152</v>
      </c>
      <c r="J285">
        <f t="shared" si="9"/>
        <v>1.5625E-2</v>
      </c>
    </row>
    <row r="286" spans="1:10">
      <c r="A286">
        <v>2026</v>
      </c>
      <c r="B286">
        <v>34</v>
      </c>
      <c r="C286" t="s">
        <v>68</v>
      </c>
      <c r="D286" t="s">
        <v>9</v>
      </c>
      <c r="E286" t="s">
        <v>198</v>
      </c>
      <c r="F286" t="s">
        <v>81</v>
      </c>
      <c r="G286" t="str">
        <f t="shared" si="8"/>
        <v>34007SUMMER ROMANCE</v>
      </c>
      <c r="H286">
        <v>284</v>
      </c>
      <c r="I286" t="e">
        <v>#N/A</v>
      </c>
      <c r="J286" t="e">
        <f t="shared" si="9"/>
        <v>#N/A</v>
      </c>
    </row>
    <row r="287" spans="1:10">
      <c r="A287">
        <v>2026</v>
      </c>
      <c r="B287">
        <v>34</v>
      </c>
      <c r="C287" t="s">
        <v>68</v>
      </c>
      <c r="D287" t="s">
        <v>9</v>
      </c>
      <c r="E287" t="s">
        <v>198</v>
      </c>
      <c r="F287" t="s">
        <v>106</v>
      </c>
      <c r="G287" t="str">
        <f t="shared" si="8"/>
        <v>34007VENDELA</v>
      </c>
      <c r="H287">
        <v>15097</v>
      </c>
      <c r="I287">
        <v>13539</v>
      </c>
      <c r="J287">
        <f t="shared" si="9"/>
        <v>-0.11507496860920305</v>
      </c>
    </row>
    <row r="288" spans="1:10">
      <c r="A288">
        <v>2026</v>
      </c>
      <c r="B288">
        <v>34</v>
      </c>
      <c r="C288" t="s">
        <v>68</v>
      </c>
      <c r="D288" t="s">
        <v>9</v>
      </c>
      <c r="E288" t="s">
        <v>217</v>
      </c>
      <c r="F288" t="s">
        <v>87</v>
      </c>
      <c r="G288" t="str">
        <f t="shared" si="8"/>
        <v>34008DEEP PURPLE</v>
      </c>
      <c r="H288">
        <v>1760</v>
      </c>
      <c r="I288">
        <v>2427</v>
      </c>
      <c r="J288">
        <f t="shared" si="9"/>
        <v>0.27482488669138855</v>
      </c>
    </row>
    <row r="289" spans="1:10">
      <c r="A289">
        <v>2026</v>
      </c>
      <c r="B289">
        <v>34</v>
      </c>
      <c r="C289" t="s">
        <v>68</v>
      </c>
      <c r="D289" t="s">
        <v>9</v>
      </c>
      <c r="E289" t="s">
        <v>217</v>
      </c>
      <c r="F289" t="s">
        <v>119</v>
      </c>
      <c r="G289" t="str">
        <f t="shared" si="8"/>
        <v>34008FREEDOM</v>
      </c>
      <c r="H289">
        <v>2482</v>
      </c>
      <c r="I289">
        <v>3278</v>
      </c>
      <c r="J289">
        <f t="shared" si="9"/>
        <v>0.24283099450884685</v>
      </c>
    </row>
    <row r="290" spans="1:10">
      <c r="A290">
        <v>2026</v>
      </c>
      <c r="B290">
        <v>34</v>
      </c>
      <c r="C290" t="s">
        <v>68</v>
      </c>
      <c r="D290" t="s">
        <v>9</v>
      </c>
      <c r="E290" t="s">
        <v>217</v>
      </c>
      <c r="F290" t="s">
        <v>90</v>
      </c>
      <c r="G290" t="str">
        <f t="shared" si="8"/>
        <v>34008JOCKER</v>
      </c>
      <c r="H290">
        <v>3550</v>
      </c>
      <c r="I290">
        <v>3507</v>
      </c>
      <c r="J290">
        <f t="shared" si="9"/>
        <v>-1.2261191901910464E-2</v>
      </c>
    </row>
    <row r="291" spans="1:10">
      <c r="A291">
        <v>2026</v>
      </c>
      <c r="B291">
        <v>34</v>
      </c>
      <c r="C291" t="s">
        <v>68</v>
      </c>
      <c r="D291" t="s">
        <v>9</v>
      </c>
      <c r="E291" t="s">
        <v>218</v>
      </c>
      <c r="F291" t="s">
        <v>122</v>
      </c>
      <c r="G291" t="str">
        <f t="shared" si="8"/>
        <v>34010COOLDOWN</v>
      </c>
      <c r="H291">
        <v>3320</v>
      </c>
      <c r="I291">
        <v>3404</v>
      </c>
      <c r="J291">
        <f t="shared" si="9"/>
        <v>2.4676850763807285E-2</v>
      </c>
    </row>
    <row r="292" spans="1:10">
      <c r="A292">
        <v>2026</v>
      </c>
      <c r="B292">
        <v>34</v>
      </c>
      <c r="C292" t="s">
        <v>68</v>
      </c>
      <c r="D292" t="s">
        <v>9</v>
      </c>
      <c r="E292" t="s">
        <v>218</v>
      </c>
      <c r="F292" t="s">
        <v>124</v>
      </c>
      <c r="G292" t="str">
        <f t="shared" si="8"/>
        <v>34010VIOLET HILL</v>
      </c>
      <c r="H292">
        <v>3080</v>
      </c>
      <c r="I292">
        <v>3436</v>
      </c>
      <c r="J292">
        <f t="shared" si="9"/>
        <v>0.10360884749708964</v>
      </c>
    </row>
    <row r="293" spans="1:10">
      <c r="A293">
        <v>2026</v>
      </c>
      <c r="B293">
        <v>34</v>
      </c>
      <c r="C293" t="s">
        <v>68</v>
      </c>
      <c r="D293" t="s">
        <v>9</v>
      </c>
      <c r="E293" t="s">
        <v>219</v>
      </c>
      <c r="F293" t="s">
        <v>126</v>
      </c>
      <c r="G293" t="str">
        <f t="shared" si="8"/>
        <v>34011BRIGHTON</v>
      </c>
      <c r="H293">
        <v>3603</v>
      </c>
      <c r="I293">
        <v>3160</v>
      </c>
      <c r="J293">
        <f t="shared" si="9"/>
        <v>-0.14018987341772152</v>
      </c>
    </row>
    <row r="294" spans="1:10">
      <c r="A294">
        <v>2026</v>
      </c>
      <c r="B294">
        <v>34</v>
      </c>
      <c r="C294" t="s">
        <v>68</v>
      </c>
      <c r="D294" t="s">
        <v>9</v>
      </c>
      <c r="E294" t="s">
        <v>219</v>
      </c>
      <c r="F294" t="s">
        <v>128</v>
      </c>
      <c r="G294" t="str">
        <f t="shared" si="8"/>
        <v>34011CANDLELIGHT</v>
      </c>
      <c r="H294">
        <v>5287</v>
      </c>
      <c r="I294">
        <v>3990</v>
      </c>
      <c r="J294">
        <f t="shared" si="9"/>
        <v>-0.325062656641604</v>
      </c>
    </row>
    <row r="295" spans="1:10">
      <c r="A295">
        <v>2026</v>
      </c>
      <c r="B295">
        <v>34</v>
      </c>
      <c r="C295" t="s">
        <v>68</v>
      </c>
      <c r="D295" t="s">
        <v>9</v>
      </c>
      <c r="E295" t="s">
        <v>219</v>
      </c>
      <c r="F295" t="s">
        <v>130</v>
      </c>
      <c r="G295" t="str">
        <f t="shared" si="8"/>
        <v>34011CAYENNE</v>
      </c>
      <c r="H295">
        <v>770</v>
      </c>
      <c r="I295">
        <v>894</v>
      </c>
      <c r="J295">
        <f t="shared" si="9"/>
        <v>0.13870246085011187</v>
      </c>
    </row>
    <row r="296" spans="1:10">
      <c r="A296">
        <v>2026</v>
      </c>
      <c r="B296">
        <v>34</v>
      </c>
      <c r="C296" t="s">
        <v>68</v>
      </c>
      <c r="D296" t="s">
        <v>9</v>
      </c>
      <c r="E296" t="s">
        <v>219</v>
      </c>
      <c r="F296" t="s">
        <v>133</v>
      </c>
      <c r="G296" t="str">
        <f t="shared" si="8"/>
        <v>34011STARDUST</v>
      </c>
      <c r="H296">
        <v>2102</v>
      </c>
      <c r="I296">
        <v>2421</v>
      </c>
      <c r="J296">
        <f t="shared" si="9"/>
        <v>0.13176373399421726</v>
      </c>
    </row>
    <row r="297" spans="1:10">
      <c r="A297">
        <v>2026</v>
      </c>
      <c r="B297">
        <v>34</v>
      </c>
      <c r="C297" t="s">
        <v>68</v>
      </c>
      <c r="D297" t="s">
        <v>9</v>
      </c>
      <c r="E297" t="s">
        <v>220</v>
      </c>
      <c r="F297" t="s">
        <v>87</v>
      </c>
      <c r="G297" t="str">
        <f t="shared" si="8"/>
        <v>34012DEEP PURPLE</v>
      </c>
      <c r="H297">
        <v>8164</v>
      </c>
      <c r="I297">
        <v>9429</v>
      </c>
      <c r="J297">
        <f t="shared" si="9"/>
        <v>0.13416056845900945</v>
      </c>
    </row>
    <row r="298" spans="1:10">
      <c r="A298">
        <v>2026</v>
      </c>
      <c r="B298">
        <v>34</v>
      </c>
      <c r="C298" t="s">
        <v>68</v>
      </c>
      <c r="D298" t="s">
        <v>9</v>
      </c>
      <c r="E298" t="s">
        <v>220</v>
      </c>
      <c r="F298" t="s">
        <v>75</v>
      </c>
      <c r="G298" t="str">
        <f t="shared" si="8"/>
        <v>34012LIGHT HOUSE</v>
      </c>
      <c r="H298">
        <v>786</v>
      </c>
      <c r="I298">
        <v>904</v>
      </c>
      <c r="J298">
        <f t="shared" si="9"/>
        <v>0.13053097345132744</v>
      </c>
    </row>
    <row r="299" spans="1:10">
      <c r="A299">
        <v>2026</v>
      </c>
      <c r="B299">
        <v>34</v>
      </c>
      <c r="C299" t="s">
        <v>68</v>
      </c>
      <c r="D299" t="s">
        <v>9</v>
      </c>
      <c r="E299" t="s">
        <v>221</v>
      </c>
      <c r="F299" t="s">
        <v>137</v>
      </c>
      <c r="G299" t="str">
        <f t="shared" si="8"/>
        <v>34013COUNTRY BLUES</v>
      </c>
      <c r="H299">
        <v>1592</v>
      </c>
      <c r="I299">
        <v>1293</v>
      </c>
      <c r="J299">
        <f t="shared" si="9"/>
        <v>-0.23124516627996908</v>
      </c>
    </row>
    <row r="300" spans="1:10">
      <c r="A300">
        <v>2026</v>
      </c>
      <c r="B300">
        <v>34</v>
      </c>
      <c r="C300" t="s">
        <v>68</v>
      </c>
      <c r="D300" t="s">
        <v>9</v>
      </c>
      <c r="E300" t="s">
        <v>221</v>
      </c>
      <c r="F300" t="s">
        <v>139</v>
      </c>
      <c r="G300" t="str">
        <f t="shared" si="8"/>
        <v>34013LORRAINE</v>
      </c>
      <c r="H300">
        <v>2891</v>
      </c>
      <c r="I300">
        <v>2164</v>
      </c>
      <c r="J300">
        <f t="shared" si="9"/>
        <v>-0.33595194085027724</v>
      </c>
    </row>
    <row r="301" spans="1:10">
      <c r="A301">
        <v>2026</v>
      </c>
      <c r="B301">
        <v>34</v>
      </c>
      <c r="C301" t="s">
        <v>68</v>
      </c>
      <c r="D301" t="s">
        <v>9</v>
      </c>
      <c r="E301" t="s">
        <v>221</v>
      </c>
      <c r="F301" t="s">
        <v>106</v>
      </c>
      <c r="G301" t="str">
        <f t="shared" si="8"/>
        <v>34013VENDELA</v>
      </c>
      <c r="H301">
        <v>9267</v>
      </c>
      <c r="I301">
        <v>7796</v>
      </c>
      <c r="J301">
        <f t="shared" si="9"/>
        <v>-0.18868650590046177</v>
      </c>
    </row>
    <row r="302" spans="1:10">
      <c r="A302">
        <v>2026</v>
      </c>
      <c r="B302">
        <v>34</v>
      </c>
      <c r="C302" t="s">
        <v>68</v>
      </c>
      <c r="D302" t="s">
        <v>9</v>
      </c>
      <c r="E302" t="s">
        <v>200</v>
      </c>
      <c r="F302" t="s">
        <v>133</v>
      </c>
      <c r="G302" t="str">
        <f t="shared" si="8"/>
        <v>34014STARDUST</v>
      </c>
      <c r="H302">
        <v>3160</v>
      </c>
      <c r="I302">
        <v>3336</v>
      </c>
      <c r="J302">
        <f t="shared" si="9"/>
        <v>5.2757793764988008E-2</v>
      </c>
    </row>
    <row r="303" spans="1:10">
      <c r="A303">
        <v>2026</v>
      </c>
      <c r="B303">
        <v>34</v>
      </c>
      <c r="C303" t="s">
        <v>68</v>
      </c>
      <c r="D303" t="s">
        <v>9</v>
      </c>
      <c r="E303" t="s">
        <v>201</v>
      </c>
      <c r="F303" t="s">
        <v>90</v>
      </c>
      <c r="G303" t="str">
        <f t="shared" si="8"/>
        <v>34015JOCKER</v>
      </c>
      <c r="H303">
        <v>2934</v>
      </c>
      <c r="I303">
        <v>2477</v>
      </c>
      <c r="J303">
        <f t="shared" si="9"/>
        <v>-0.18449737585789261</v>
      </c>
    </row>
    <row r="304" spans="1:10">
      <c r="A304">
        <v>2026</v>
      </c>
      <c r="B304">
        <v>34</v>
      </c>
      <c r="C304" t="s">
        <v>68</v>
      </c>
      <c r="D304" t="s">
        <v>9</v>
      </c>
      <c r="E304" t="s">
        <v>202</v>
      </c>
      <c r="F304" t="s">
        <v>145</v>
      </c>
      <c r="G304" t="str">
        <f t="shared" si="8"/>
        <v>34016DREAM IN PEACH</v>
      </c>
      <c r="H304">
        <v>724</v>
      </c>
      <c r="I304">
        <v>580</v>
      </c>
      <c r="J304">
        <f t="shared" si="9"/>
        <v>-0.24827586206896551</v>
      </c>
    </row>
    <row r="305" spans="1:10">
      <c r="A305">
        <v>2026</v>
      </c>
      <c r="B305">
        <v>34</v>
      </c>
      <c r="C305" t="s">
        <v>68</v>
      </c>
      <c r="D305" t="s">
        <v>9</v>
      </c>
      <c r="E305" t="s">
        <v>202</v>
      </c>
      <c r="F305" t="s">
        <v>147</v>
      </c>
      <c r="G305" t="str">
        <f t="shared" si="8"/>
        <v>34016NINA</v>
      </c>
      <c r="H305">
        <v>2191</v>
      </c>
      <c r="I305">
        <v>2236</v>
      </c>
      <c r="J305">
        <f t="shared" si="9"/>
        <v>2.0125223613595707E-2</v>
      </c>
    </row>
    <row r="306" spans="1:10">
      <c r="A306">
        <v>2026</v>
      </c>
      <c r="B306">
        <v>34</v>
      </c>
      <c r="C306" t="s">
        <v>68</v>
      </c>
      <c r="D306" t="s">
        <v>9</v>
      </c>
      <c r="E306" t="s">
        <v>203</v>
      </c>
      <c r="F306" t="s">
        <v>119</v>
      </c>
      <c r="G306" t="str">
        <f t="shared" si="8"/>
        <v>34017FREEDOM</v>
      </c>
      <c r="H306">
        <v>2673</v>
      </c>
      <c r="I306">
        <v>3479</v>
      </c>
      <c r="J306">
        <f t="shared" si="9"/>
        <v>0.23167576889910893</v>
      </c>
    </row>
    <row r="307" spans="1:10">
      <c r="A307">
        <v>2026</v>
      </c>
      <c r="B307">
        <v>34</v>
      </c>
      <c r="C307" t="s">
        <v>68</v>
      </c>
      <c r="D307" t="s">
        <v>9</v>
      </c>
      <c r="E307" t="s">
        <v>203</v>
      </c>
      <c r="F307" t="s">
        <v>103</v>
      </c>
      <c r="G307" t="str">
        <f t="shared" si="8"/>
        <v>34017GOLDFINCH</v>
      </c>
      <c r="H307">
        <v>1899</v>
      </c>
      <c r="I307">
        <v>1470</v>
      </c>
      <c r="J307">
        <f t="shared" si="9"/>
        <v>-0.29183673469387755</v>
      </c>
    </row>
    <row r="308" spans="1:10">
      <c r="A308">
        <v>2026</v>
      </c>
      <c r="B308">
        <v>34</v>
      </c>
      <c r="C308" t="s">
        <v>68</v>
      </c>
      <c r="D308" t="s">
        <v>9</v>
      </c>
      <c r="E308" t="s">
        <v>204</v>
      </c>
      <c r="F308" t="s">
        <v>126</v>
      </c>
      <c r="G308" t="str">
        <f t="shared" si="8"/>
        <v>34018BRIGHTON</v>
      </c>
      <c r="H308">
        <v>1349</v>
      </c>
      <c r="I308">
        <v>1374</v>
      </c>
      <c r="J308">
        <f t="shared" si="9"/>
        <v>1.8195050946142648E-2</v>
      </c>
    </row>
    <row r="309" spans="1:10">
      <c r="A309">
        <v>2026</v>
      </c>
      <c r="B309">
        <v>34</v>
      </c>
      <c r="C309" t="s">
        <v>68</v>
      </c>
      <c r="D309" t="s">
        <v>9</v>
      </c>
      <c r="E309" t="s">
        <v>205</v>
      </c>
      <c r="F309" t="s">
        <v>126</v>
      </c>
      <c r="G309" t="str">
        <f t="shared" si="8"/>
        <v>34019BRIGHTON</v>
      </c>
      <c r="H309">
        <v>3582</v>
      </c>
      <c r="I309">
        <v>4325</v>
      </c>
      <c r="J309">
        <f t="shared" si="9"/>
        <v>0.17179190751445086</v>
      </c>
    </row>
    <row r="310" spans="1:10">
      <c r="A310">
        <v>2026</v>
      </c>
      <c r="B310">
        <v>34</v>
      </c>
      <c r="C310" t="s">
        <v>68</v>
      </c>
      <c r="D310" t="s">
        <v>9</v>
      </c>
      <c r="E310" t="s">
        <v>205</v>
      </c>
      <c r="F310" t="s">
        <v>153</v>
      </c>
      <c r="G310" t="str">
        <f t="shared" si="8"/>
        <v>34019TABATHA</v>
      </c>
      <c r="H310">
        <v>1474</v>
      </c>
      <c r="I310">
        <v>1556</v>
      </c>
      <c r="J310">
        <f t="shared" si="9"/>
        <v>5.2699228791773779E-2</v>
      </c>
    </row>
    <row r="311" spans="1:10">
      <c r="A311">
        <v>2026</v>
      </c>
      <c r="B311">
        <v>34</v>
      </c>
      <c r="C311" t="s">
        <v>68</v>
      </c>
      <c r="D311" t="s">
        <v>9</v>
      </c>
      <c r="E311" t="s">
        <v>206</v>
      </c>
      <c r="F311" t="s">
        <v>126</v>
      </c>
      <c r="G311" t="str">
        <f t="shared" si="8"/>
        <v>34020BRIGHTON</v>
      </c>
      <c r="H311">
        <v>3152</v>
      </c>
      <c r="I311">
        <v>3685</v>
      </c>
      <c r="J311">
        <f t="shared" si="9"/>
        <v>0.144640434192673</v>
      </c>
    </row>
    <row r="312" spans="1:10">
      <c r="A312">
        <v>2026</v>
      </c>
      <c r="B312">
        <v>34</v>
      </c>
      <c r="C312" t="s">
        <v>68</v>
      </c>
      <c r="D312" t="s">
        <v>9</v>
      </c>
      <c r="E312" t="s">
        <v>206</v>
      </c>
      <c r="F312" t="s">
        <v>156</v>
      </c>
      <c r="G312" t="str">
        <f t="shared" si="8"/>
        <v>34020TYCOON</v>
      </c>
      <c r="H312">
        <v>824</v>
      </c>
      <c r="I312">
        <v>886</v>
      </c>
      <c r="J312">
        <f t="shared" si="9"/>
        <v>6.9977426636568849E-2</v>
      </c>
    </row>
    <row r="313" spans="1:10">
      <c r="A313">
        <v>2026</v>
      </c>
      <c r="B313">
        <v>34</v>
      </c>
      <c r="C313" t="s">
        <v>68</v>
      </c>
      <c r="D313" t="s">
        <v>9</v>
      </c>
      <c r="E313" t="s">
        <v>207</v>
      </c>
      <c r="F313" t="s">
        <v>158</v>
      </c>
      <c r="G313" t="str">
        <f t="shared" si="8"/>
        <v>34021SHOW GIRL</v>
      </c>
      <c r="H313">
        <v>2745</v>
      </c>
      <c r="I313">
        <v>1558</v>
      </c>
      <c r="J313">
        <f t="shared" si="9"/>
        <v>-0.76187419768934528</v>
      </c>
    </row>
    <row r="314" spans="1:10">
      <c r="A314">
        <v>2026</v>
      </c>
      <c r="B314">
        <v>34</v>
      </c>
      <c r="C314" t="s">
        <v>68</v>
      </c>
      <c r="D314" t="s">
        <v>9</v>
      </c>
      <c r="E314" t="s">
        <v>208</v>
      </c>
      <c r="F314" t="s">
        <v>160</v>
      </c>
      <c r="G314" t="str">
        <f t="shared" si="8"/>
        <v>34022CORAL REEF</v>
      </c>
      <c r="H314">
        <v>1031</v>
      </c>
      <c r="I314">
        <v>1105</v>
      </c>
      <c r="J314">
        <f t="shared" si="9"/>
        <v>6.6968325791855202E-2</v>
      </c>
    </row>
    <row r="315" spans="1:10">
      <c r="A315">
        <v>2026</v>
      </c>
      <c r="B315">
        <v>34</v>
      </c>
      <c r="C315" t="s">
        <v>68</v>
      </c>
      <c r="D315" t="s">
        <v>9</v>
      </c>
      <c r="E315" t="s">
        <v>222</v>
      </c>
      <c r="F315" t="s">
        <v>94</v>
      </c>
      <c r="G315" t="str">
        <f t="shared" si="8"/>
        <v>34023COTOPAXI</v>
      </c>
      <c r="H315">
        <v>8052</v>
      </c>
      <c r="I315">
        <v>6784</v>
      </c>
      <c r="J315">
        <f t="shared" si="9"/>
        <v>-0.18691037735849056</v>
      </c>
    </row>
    <row r="316" spans="1:10">
      <c r="A316">
        <v>2026</v>
      </c>
      <c r="B316">
        <v>34</v>
      </c>
      <c r="C316" t="s">
        <v>68</v>
      </c>
      <c r="D316" t="s">
        <v>9</v>
      </c>
      <c r="E316" t="s">
        <v>222</v>
      </c>
      <c r="F316" t="s">
        <v>163</v>
      </c>
      <c r="G316" t="str">
        <f t="shared" si="8"/>
        <v>34023FRUTTETO</v>
      </c>
      <c r="H316">
        <v>3967</v>
      </c>
      <c r="I316">
        <v>3139</v>
      </c>
      <c r="J316">
        <f t="shared" si="9"/>
        <v>-0.26377827333545717</v>
      </c>
    </row>
    <row r="317" spans="1:10">
      <c r="A317">
        <v>2026</v>
      </c>
      <c r="B317">
        <v>34</v>
      </c>
      <c r="C317" t="s">
        <v>68</v>
      </c>
      <c r="D317" t="s">
        <v>9</v>
      </c>
      <c r="E317" t="s">
        <v>223</v>
      </c>
      <c r="F317" t="s">
        <v>94</v>
      </c>
      <c r="G317" t="str">
        <f t="shared" si="8"/>
        <v>34024COTOPAXI</v>
      </c>
      <c r="H317">
        <v>4036</v>
      </c>
      <c r="I317">
        <v>2903</v>
      </c>
      <c r="J317">
        <f t="shared" si="9"/>
        <v>-0.39028591112642097</v>
      </c>
    </row>
    <row r="318" spans="1:10">
      <c r="A318">
        <v>2026</v>
      </c>
      <c r="B318">
        <v>34</v>
      </c>
      <c r="C318" t="s">
        <v>68</v>
      </c>
      <c r="D318" t="s">
        <v>9</v>
      </c>
      <c r="E318" t="s">
        <v>223</v>
      </c>
      <c r="F318" t="s">
        <v>83</v>
      </c>
      <c r="G318" t="str">
        <f t="shared" si="8"/>
        <v>34024SWEETNESS</v>
      </c>
      <c r="H318">
        <v>1402</v>
      </c>
      <c r="I318">
        <v>1666</v>
      </c>
      <c r="J318">
        <f t="shared" si="9"/>
        <v>0.15846338535414164</v>
      </c>
    </row>
    <row r="319" spans="1:10">
      <c r="A319">
        <v>2026</v>
      </c>
      <c r="B319">
        <v>34</v>
      </c>
      <c r="C319" t="s">
        <v>68</v>
      </c>
      <c r="D319" t="s">
        <v>9</v>
      </c>
      <c r="E319" t="s">
        <v>223</v>
      </c>
      <c r="F319" t="s">
        <v>156</v>
      </c>
      <c r="G319" t="str">
        <f t="shared" si="8"/>
        <v>34024TYCOON</v>
      </c>
      <c r="H319">
        <v>2853</v>
      </c>
      <c r="I319">
        <v>2650</v>
      </c>
      <c r="J319">
        <f t="shared" si="9"/>
        <v>-7.6603773584905666E-2</v>
      </c>
    </row>
    <row r="320" spans="1:10">
      <c r="A320">
        <v>2026</v>
      </c>
      <c r="B320">
        <v>34</v>
      </c>
      <c r="C320" t="s">
        <v>68</v>
      </c>
      <c r="D320" t="s">
        <v>9</v>
      </c>
      <c r="E320" t="s">
        <v>224</v>
      </c>
      <c r="F320" t="s">
        <v>168</v>
      </c>
      <c r="G320" t="str">
        <f t="shared" si="8"/>
        <v>34025PINK MONDIAL</v>
      </c>
      <c r="H320">
        <v>3305</v>
      </c>
      <c r="I320">
        <v>3417</v>
      </c>
      <c r="J320">
        <f t="shared" si="9"/>
        <v>3.2777290020485808E-2</v>
      </c>
    </row>
    <row r="321" spans="1:10">
      <c r="A321">
        <v>2026</v>
      </c>
      <c r="B321">
        <v>34</v>
      </c>
      <c r="C321" t="s">
        <v>68</v>
      </c>
      <c r="D321" t="s">
        <v>9</v>
      </c>
      <c r="E321" t="s">
        <v>209</v>
      </c>
      <c r="F321" t="s">
        <v>170</v>
      </c>
      <c r="G321" t="str">
        <f t="shared" si="8"/>
        <v>34026LOLA</v>
      </c>
      <c r="H321">
        <v>2553</v>
      </c>
      <c r="I321">
        <v>3011</v>
      </c>
      <c r="J321">
        <f t="shared" si="9"/>
        <v>0.15210893390900032</v>
      </c>
    </row>
    <row r="322" spans="1:10">
      <c r="A322">
        <v>2026</v>
      </c>
      <c r="B322">
        <v>34</v>
      </c>
      <c r="C322" t="s">
        <v>68</v>
      </c>
      <c r="D322" t="s">
        <v>9</v>
      </c>
      <c r="E322" t="s">
        <v>209</v>
      </c>
      <c r="F322" t="s">
        <v>172</v>
      </c>
      <c r="G322" t="str">
        <f t="shared" si="8"/>
        <v>34026PALOMA</v>
      </c>
      <c r="H322">
        <v>3440</v>
      </c>
      <c r="I322">
        <v>3821</v>
      </c>
      <c r="J322">
        <f t="shared" si="9"/>
        <v>9.9712117246794033E-2</v>
      </c>
    </row>
    <row r="323" spans="1:10">
      <c r="A323">
        <v>2026</v>
      </c>
      <c r="B323">
        <v>34</v>
      </c>
      <c r="C323" t="s">
        <v>68</v>
      </c>
      <c r="D323" t="s">
        <v>9</v>
      </c>
      <c r="E323" t="s">
        <v>225</v>
      </c>
      <c r="F323" t="s">
        <v>174</v>
      </c>
      <c r="G323" t="str">
        <f t="shared" ref="G323:G386" si="10">+B323&amp;E323&amp;F323</f>
        <v>34027SATISFACTION</v>
      </c>
      <c r="H323">
        <v>3455</v>
      </c>
      <c r="I323">
        <v>3516</v>
      </c>
      <c r="J323">
        <f t="shared" ref="J323:J386" si="11">+(I323-H323)/I323</f>
        <v>1.7349260523321957E-2</v>
      </c>
    </row>
    <row r="324" spans="1:10">
      <c r="A324">
        <v>2026</v>
      </c>
      <c r="B324">
        <v>34</v>
      </c>
      <c r="C324" t="s">
        <v>68</v>
      </c>
      <c r="D324" t="s">
        <v>9</v>
      </c>
      <c r="E324" t="s">
        <v>225</v>
      </c>
      <c r="F324" t="s">
        <v>176</v>
      </c>
      <c r="G324" t="str">
        <f t="shared" si="10"/>
        <v>34027TIFFANY</v>
      </c>
      <c r="H324">
        <v>3166</v>
      </c>
      <c r="I324">
        <v>3499</v>
      </c>
      <c r="J324">
        <f t="shared" si="11"/>
        <v>9.5170048585310085E-2</v>
      </c>
    </row>
    <row r="325" spans="1:10">
      <c r="A325">
        <v>2026</v>
      </c>
      <c r="B325">
        <v>34</v>
      </c>
      <c r="C325" t="s">
        <v>68</v>
      </c>
      <c r="D325" t="s">
        <v>9</v>
      </c>
      <c r="E325" t="s">
        <v>226</v>
      </c>
      <c r="F325" t="s">
        <v>94</v>
      </c>
      <c r="G325" t="str">
        <f t="shared" si="10"/>
        <v>34028COTOPAXI</v>
      </c>
      <c r="H325">
        <v>5530</v>
      </c>
      <c r="I325">
        <v>4715</v>
      </c>
      <c r="J325">
        <f t="shared" si="11"/>
        <v>-0.1728525980911983</v>
      </c>
    </row>
    <row r="326" spans="1:10">
      <c r="A326">
        <v>2026</v>
      </c>
      <c r="B326">
        <v>34</v>
      </c>
      <c r="C326" t="s">
        <v>68</v>
      </c>
      <c r="D326" t="s">
        <v>9</v>
      </c>
      <c r="E326" t="s">
        <v>226</v>
      </c>
      <c r="F326" t="s">
        <v>87</v>
      </c>
      <c r="G326" t="str">
        <f t="shared" si="10"/>
        <v>34028DEEP PURPLE</v>
      </c>
      <c r="H326">
        <v>4171</v>
      </c>
      <c r="I326">
        <v>4769</v>
      </c>
      <c r="J326">
        <f t="shared" si="11"/>
        <v>0.12539316418536381</v>
      </c>
    </row>
    <row r="327" spans="1:10">
      <c r="A327">
        <v>2026</v>
      </c>
      <c r="B327">
        <v>34</v>
      </c>
      <c r="C327" t="s">
        <v>68</v>
      </c>
      <c r="D327" t="s">
        <v>9</v>
      </c>
      <c r="E327" t="s">
        <v>227</v>
      </c>
      <c r="F327" t="s">
        <v>180</v>
      </c>
      <c r="G327" t="str">
        <f t="shared" si="10"/>
        <v>34029PINK FLOYD</v>
      </c>
      <c r="H327">
        <v>2803</v>
      </c>
      <c r="I327">
        <v>2662</v>
      </c>
      <c r="J327">
        <f t="shared" si="11"/>
        <v>-5.2967693463561234E-2</v>
      </c>
    </row>
    <row r="328" spans="1:10">
      <c r="A328">
        <v>2026</v>
      </c>
      <c r="B328">
        <v>34</v>
      </c>
      <c r="C328" t="s">
        <v>68</v>
      </c>
      <c r="D328" t="s">
        <v>9</v>
      </c>
      <c r="E328" t="s">
        <v>210</v>
      </c>
      <c r="F328" t="s">
        <v>71</v>
      </c>
      <c r="G328" t="str">
        <f t="shared" si="10"/>
        <v>34030EXPLORER</v>
      </c>
      <c r="H328">
        <v>1348</v>
      </c>
      <c r="I328">
        <v>1111</v>
      </c>
      <c r="J328">
        <f t="shared" si="11"/>
        <v>-0.21332133213321333</v>
      </c>
    </row>
    <row r="329" spans="1:10">
      <c r="A329">
        <v>2026</v>
      </c>
      <c r="B329">
        <v>34</v>
      </c>
      <c r="C329" t="s">
        <v>68</v>
      </c>
      <c r="D329" t="s">
        <v>9</v>
      </c>
      <c r="E329" t="s">
        <v>214</v>
      </c>
      <c r="F329" t="s">
        <v>77</v>
      </c>
      <c r="G329" t="str">
        <f t="shared" si="10"/>
        <v>34001LUMIA</v>
      </c>
      <c r="H329">
        <v>1408</v>
      </c>
      <c r="I329">
        <v>1022</v>
      </c>
      <c r="J329">
        <f t="shared" si="11"/>
        <v>-0.37769080234833657</v>
      </c>
    </row>
    <row r="330" spans="1:10">
      <c r="A330">
        <v>2026</v>
      </c>
      <c r="B330">
        <v>34</v>
      </c>
      <c r="C330" t="s">
        <v>68</v>
      </c>
      <c r="D330" t="s">
        <v>9</v>
      </c>
      <c r="E330" t="s">
        <v>219</v>
      </c>
      <c r="F330" t="s">
        <v>77</v>
      </c>
      <c r="G330" t="str">
        <f t="shared" si="10"/>
        <v>34011LUMIA</v>
      </c>
      <c r="H330">
        <v>1157</v>
      </c>
      <c r="I330">
        <v>1236</v>
      </c>
      <c r="J330">
        <f t="shared" si="11"/>
        <v>6.3915857605177998E-2</v>
      </c>
    </row>
    <row r="331" spans="1:10">
      <c r="A331">
        <v>2026</v>
      </c>
      <c r="B331">
        <v>34</v>
      </c>
      <c r="C331" t="s">
        <v>68</v>
      </c>
      <c r="D331" t="s">
        <v>9</v>
      </c>
      <c r="E331" t="s">
        <v>221</v>
      </c>
      <c r="F331" t="s">
        <v>77</v>
      </c>
      <c r="G331" t="str">
        <f t="shared" si="10"/>
        <v>34013LUMIA</v>
      </c>
      <c r="H331">
        <v>270</v>
      </c>
      <c r="I331">
        <v>352</v>
      </c>
      <c r="J331">
        <f t="shared" si="11"/>
        <v>0.23295454545454544</v>
      </c>
    </row>
    <row r="332" spans="1:10">
      <c r="A332">
        <v>2026</v>
      </c>
      <c r="B332">
        <v>35</v>
      </c>
      <c r="C332" t="s">
        <v>8</v>
      </c>
      <c r="D332" t="s">
        <v>9</v>
      </c>
      <c r="E332" t="s">
        <v>195</v>
      </c>
      <c r="F332" t="s">
        <v>10</v>
      </c>
      <c r="G332" t="str">
        <f t="shared" si="10"/>
        <v>35002SOMERSET</v>
      </c>
      <c r="H332">
        <v>7392</v>
      </c>
      <c r="I332">
        <v>10240</v>
      </c>
      <c r="J332">
        <f t="shared" si="11"/>
        <v>0.27812500000000001</v>
      </c>
    </row>
    <row r="333" spans="1:10">
      <c r="A333">
        <v>2026</v>
      </c>
      <c r="B333">
        <v>35</v>
      </c>
      <c r="C333" t="s">
        <v>8</v>
      </c>
      <c r="D333" t="s">
        <v>9</v>
      </c>
      <c r="E333" t="s">
        <v>196</v>
      </c>
      <c r="F333" t="s">
        <v>12</v>
      </c>
      <c r="G333" t="str">
        <f t="shared" si="10"/>
        <v>35004BELLINA</v>
      </c>
      <c r="H333">
        <v>1123</v>
      </c>
      <c r="I333">
        <v>1200</v>
      </c>
      <c r="J333">
        <f t="shared" si="11"/>
        <v>6.4166666666666664E-2</v>
      </c>
    </row>
    <row r="334" spans="1:10">
      <c r="A334">
        <v>2026</v>
      </c>
      <c r="B334">
        <v>35</v>
      </c>
      <c r="C334" t="s">
        <v>8</v>
      </c>
      <c r="D334" t="s">
        <v>9</v>
      </c>
      <c r="E334" t="s">
        <v>197</v>
      </c>
      <c r="F334" t="s">
        <v>14</v>
      </c>
      <c r="G334" t="str">
        <f t="shared" si="10"/>
        <v>35005ELBA</v>
      </c>
      <c r="H334">
        <v>8751</v>
      </c>
      <c r="I334">
        <v>8040</v>
      </c>
      <c r="J334">
        <f t="shared" si="11"/>
        <v>-8.843283582089552E-2</v>
      </c>
    </row>
    <row r="335" spans="1:10">
      <c r="A335">
        <v>2026</v>
      </c>
      <c r="B335">
        <v>35</v>
      </c>
      <c r="C335" t="s">
        <v>8</v>
      </c>
      <c r="D335" t="s">
        <v>9</v>
      </c>
      <c r="E335" t="s">
        <v>197</v>
      </c>
      <c r="F335" t="s">
        <v>16</v>
      </c>
      <c r="G335" t="str">
        <f t="shared" si="10"/>
        <v>35005HOT BUBBLES</v>
      </c>
      <c r="H335">
        <v>1957</v>
      </c>
      <c r="I335">
        <v>1140</v>
      </c>
      <c r="J335">
        <f t="shared" si="11"/>
        <v>-0.71666666666666667</v>
      </c>
    </row>
    <row r="336" spans="1:10">
      <c r="A336">
        <v>2026</v>
      </c>
      <c r="B336">
        <v>35</v>
      </c>
      <c r="C336" t="s">
        <v>8</v>
      </c>
      <c r="D336" t="s">
        <v>9</v>
      </c>
      <c r="E336" t="s">
        <v>197</v>
      </c>
      <c r="F336" t="s">
        <v>18</v>
      </c>
      <c r="G336" t="str">
        <f t="shared" si="10"/>
        <v>35005SUSPIRO</v>
      </c>
      <c r="H336">
        <v>4478</v>
      </c>
      <c r="I336">
        <v>4530</v>
      </c>
      <c r="J336">
        <f t="shared" si="11"/>
        <v>1.1479028697571744E-2</v>
      </c>
    </row>
    <row r="337" spans="1:10">
      <c r="A337">
        <v>2026</v>
      </c>
      <c r="B337">
        <v>35</v>
      </c>
      <c r="C337" t="s">
        <v>8</v>
      </c>
      <c r="D337" t="s">
        <v>9</v>
      </c>
      <c r="E337" t="s">
        <v>198</v>
      </c>
      <c r="F337" t="s">
        <v>20</v>
      </c>
      <c r="G337" t="str">
        <f t="shared" si="10"/>
        <v>35007SNOW BUBBLES</v>
      </c>
      <c r="H337">
        <v>1160</v>
      </c>
      <c r="I337" t="e">
        <v>#N/A</v>
      </c>
      <c r="J337" t="e">
        <f t="shared" si="11"/>
        <v>#N/A</v>
      </c>
    </row>
    <row r="338" spans="1:10">
      <c r="A338">
        <v>2026</v>
      </c>
      <c r="B338">
        <v>35</v>
      </c>
      <c r="C338" t="s">
        <v>8</v>
      </c>
      <c r="D338" t="s">
        <v>9</v>
      </c>
      <c r="E338" t="s">
        <v>199</v>
      </c>
      <c r="F338" t="s">
        <v>16</v>
      </c>
      <c r="G338" t="str">
        <f t="shared" si="10"/>
        <v>35009HOT BUBBLES</v>
      </c>
      <c r="H338">
        <v>12698</v>
      </c>
      <c r="I338">
        <v>8020</v>
      </c>
      <c r="J338">
        <f t="shared" si="11"/>
        <v>-0.58329177057356607</v>
      </c>
    </row>
    <row r="339" spans="1:10">
      <c r="A339">
        <v>2026</v>
      </c>
      <c r="B339">
        <v>35</v>
      </c>
      <c r="C339" t="s">
        <v>8</v>
      </c>
      <c r="D339" t="s">
        <v>9</v>
      </c>
      <c r="E339" t="s">
        <v>200</v>
      </c>
      <c r="F339" t="s">
        <v>23</v>
      </c>
      <c r="G339" t="str">
        <f t="shared" si="10"/>
        <v>35014FRUITY BUBBLES</v>
      </c>
      <c r="H339">
        <v>2896</v>
      </c>
      <c r="I339">
        <v>1375</v>
      </c>
      <c r="J339">
        <f t="shared" si="11"/>
        <v>-1.1061818181818182</v>
      </c>
    </row>
    <row r="340" spans="1:10">
      <c r="A340">
        <v>2026</v>
      </c>
      <c r="B340">
        <v>35</v>
      </c>
      <c r="C340" t="s">
        <v>8</v>
      </c>
      <c r="D340" t="s">
        <v>9</v>
      </c>
      <c r="E340" t="s">
        <v>201</v>
      </c>
      <c r="F340" t="s">
        <v>25</v>
      </c>
      <c r="G340" t="str">
        <f t="shared" si="10"/>
        <v>35015FELLINI</v>
      </c>
      <c r="H340">
        <v>5747</v>
      </c>
      <c r="I340">
        <v>5400</v>
      </c>
      <c r="J340">
        <f t="shared" si="11"/>
        <v>-6.4259259259259266E-2</v>
      </c>
    </row>
    <row r="341" spans="1:10">
      <c r="A341">
        <v>2026</v>
      </c>
      <c r="B341">
        <v>35</v>
      </c>
      <c r="C341" t="s">
        <v>8</v>
      </c>
      <c r="D341" t="s">
        <v>9</v>
      </c>
      <c r="E341" t="s">
        <v>202</v>
      </c>
      <c r="F341" t="s">
        <v>27</v>
      </c>
      <c r="G341" t="str">
        <f t="shared" si="10"/>
        <v>35016GOOD PEACH</v>
      </c>
      <c r="H341">
        <v>4936</v>
      </c>
      <c r="I341">
        <v>2610</v>
      </c>
      <c r="J341">
        <f t="shared" si="11"/>
        <v>-0.89118773946360152</v>
      </c>
    </row>
    <row r="342" spans="1:10">
      <c r="A342">
        <v>2026</v>
      </c>
      <c r="B342">
        <v>35</v>
      </c>
      <c r="C342" t="s">
        <v>8</v>
      </c>
      <c r="D342" t="s">
        <v>9</v>
      </c>
      <c r="E342" t="s">
        <v>202</v>
      </c>
      <c r="F342" t="s">
        <v>29</v>
      </c>
      <c r="G342" t="str">
        <f t="shared" si="10"/>
        <v>35016GOOD YELLOW</v>
      </c>
      <c r="H342">
        <v>4358</v>
      </c>
      <c r="I342">
        <v>3000</v>
      </c>
      <c r="J342">
        <f t="shared" si="11"/>
        <v>-0.45266666666666666</v>
      </c>
    </row>
    <row r="343" spans="1:10">
      <c r="A343">
        <v>2026</v>
      </c>
      <c r="B343">
        <v>35</v>
      </c>
      <c r="C343" t="s">
        <v>8</v>
      </c>
      <c r="D343" t="s">
        <v>9</v>
      </c>
      <c r="E343" t="s">
        <v>203</v>
      </c>
      <c r="F343" t="s">
        <v>31</v>
      </c>
      <c r="G343" t="str">
        <f t="shared" si="10"/>
        <v>35017ORANGE STAR</v>
      </c>
      <c r="H343">
        <v>623</v>
      </c>
      <c r="I343">
        <v>1325</v>
      </c>
      <c r="J343">
        <f t="shared" si="11"/>
        <v>0.52981132075471693</v>
      </c>
    </row>
    <row r="344" spans="1:10">
      <c r="A344">
        <v>2026</v>
      </c>
      <c r="B344">
        <v>35</v>
      </c>
      <c r="C344" t="s">
        <v>8</v>
      </c>
      <c r="D344" t="s">
        <v>9</v>
      </c>
      <c r="E344" t="s">
        <v>204</v>
      </c>
      <c r="F344" t="s">
        <v>33</v>
      </c>
      <c r="G344" t="str">
        <f t="shared" si="10"/>
        <v>35018COSMO</v>
      </c>
      <c r="H344">
        <v>5106</v>
      </c>
      <c r="I344">
        <v>3200</v>
      </c>
      <c r="J344">
        <f t="shared" si="11"/>
        <v>-0.59562499999999996</v>
      </c>
    </row>
    <row r="345" spans="1:10">
      <c r="A345">
        <v>2026</v>
      </c>
      <c r="B345">
        <v>35</v>
      </c>
      <c r="C345" t="s">
        <v>8</v>
      </c>
      <c r="D345" t="s">
        <v>9</v>
      </c>
      <c r="E345" t="s">
        <v>204</v>
      </c>
      <c r="F345" t="s">
        <v>35</v>
      </c>
      <c r="G345" t="str">
        <f t="shared" si="10"/>
        <v>35018RUBICON</v>
      </c>
      <c r="H345">
        <v>5420</v>
      </c>
      <c r="I345">
        <v>3900</v>
      </c>
      <c r="J345">
        <f t="shared" si="11"/>
        <v>-0.38974358974358975</v>
      </c>
    </row>
    <row r="346" spans="1:10">
      <c r="A346">
        <v>2026</v>
      </c>
      <c r="B346">
        <v>35</v>
      </c>
      <c r="C346" t="s">
        <v>8</v>
      </c>
      <c r="D346" t="s">
        <v>9</v>
      </c>
      <c r="E346" t="s">
        <v>205</v>
      </c>
      <c r="F346" t="s">
        <v>12</v>
      </c>
      <c r="G346" t="str">
        <f t="shared" si="10"/>
        <v>35019BELLINA</v>
      </c>
      <c r="H346">
        <v>1237</v>
      </c>
      <c r="I346">
        <v>1545</v>
      </c>
      <c r="J346">
        <f t="shared" si="11"/>
        <v>0.19935275080906148</v>
      </c>
    </row>
    <row r="347" spans="1:10">
      <c r="A347">
        <v>2026</v>
      </c>
      <c r="B347">
        <v>35</v>
      </c>
      <c r="C347" t="s">
        <v>8</v>
      </c>
      <c r="D347" t="s">
        <v>9</v>
      </c>
      <c r="E347" t="s">
        <v>206</v>
      </c>
      <c r="F347" t="s">
        <v>38</v>
      </c>
      <c r="G347" t="str">
        <f t="shared" si="10"/>
        <v>35020SUMMER DANCE</v>
      </c>
      <c r="H347">
        <v>2860</v>
      </c>
      <c r="I347">
        <v>1950</v>
      </c>
      <c r="J347">
        <f t="shared" si="11"/>
        <v>-0.46666666666666667</v>
      </c>
    </row>
    <row r="348" spans="1:10">
      <c r="A348">
        <v>2026</v>
      </c>
      <c r="B348">
        <v>35</v>
      </c>
      <c r="C348" t="s">
        <v>8</v>
      </c>
      <c r="D348" t="s">
        <v>9</v>
      </c>
      <c r="E348" t="s">
        <v>207</v>
      </c>
      <c r="F348" t="s">
        <v>40</v>
      </c>
      <c r="G348" t="str">
        <f t="shared" si="10"/>
        <v>35021ELEGANT ROSEVER</v>
      </c>
      <c r="H348">
        <v>957</v>
      </c>
      <c r="I348">
        <v>240</v>
      </c>
      <c r="J348">
        <f t="shared" si="11"/>
        <v>-2.9874999999999998</v>
      </c>
    </row>
    <row r="349" spans="1:10">
      <c r="A349">
        <v>2026</v>
      </c>
      <c r="B349">
        <v>35</v>
      </c>
      <c r="C349" t="s">
        <v>8</v>
      </c>
      <c r="D349" t="s">
        <v>9</v>
      </c>
      <c r="E349" t="s">
        <v>207</v>
      </c>
      <c r="F349" t="s">
        <v>42</v>
      </c>
      <c r="G349" t="str">
        <f t="shared" si="10"/>
        <v>35021FLAME CLUB</v>
      </c>
      <c r="H349">
        <v>2253</v>
      </c>
      <c r="I349">
        <v>1350</v>
      </c>
      <c r="J349">
        <f t="shared" si="11"/>
        <v>-0.66888888888888887</v>
      </c>
    </row>
    <row r="350" spans="1:10">
      <c r="A350">
        <v>2026</v>
      </c>
      <c r="B350">
        <v>35</v>
      </c>
      <c r="C350" t="s">
        <v>8</v>
      </c>
      <c r="D350" t="s">
        <v>9</v>
      </c>
      <c r="E350" t="s">
        <v>207</v>
      </c>
      <c r="F350" t="s">
        <v>44</v>
      </c>
      <c r="G350" t="str">
        <f t="shared" si="10"/>
        <v>35021KELLY</v>
      </c>
      <c r="H350">
        <v>446</v>
      </c>
      <c r="I350">
        <v>500</v>
      </c>
      <c r="J350">
        <f t="shared" si="11"/>
        <v>0.108</v>
      </c>
    </row>
    <row r="351" spans="1:10">
      <c r="A351">
        <v>2026</v>
      </c>
      <c r="B351">
        <v>35</v>
      </c>
      <c r="C351" t="s">
        <v>8</v>
      </c>
      <c r="D351" t="s">
        <v>9</v>
      </c>
      <c r="E351" t="s">
        <v>207</v>
      </c>
      <c r="F351" t="s">
        <v>46</v>
      </c>
      <c r="G351" t="str">
        <f t="shared" si="10"/>
        <v>35021LEILA</v>
      </c>
      <c r="H351">
        <v>2946</v>
      </c>
      <c r="I351">
        <v>1150</v>
      </c>
      <c r="J351">
        <f t="shared" si="11"/>
        <v>-1.5617391304347825</v>
      </c>
    </row>
    <row r="352" spans="1:10">
      <c r="A352">
        <v>2026</v>
      </c>
      <c r="B352">
        <v>35</v>
      </c>
      <c r="C352" t="s">
        <v>8</v>
      </c>
      <c r="D352" t="s">
        <v>9</v>
      </c>
      <c r="E352" t="s">
        <v>207</v>
      </c>
      <c r="F352" t="s">
        <v>20</v>
      </c>
      <c r="G352" t="str">
        <f t="shared" si="10"/>
        <v>35021SNOW BUBBLES</v>
      </c>
      <c r="H352">
        <v>2432</v>
      </c>
      <c r="I352">
        <v>1780</v>
      </c>
      <c r="J352">
        <f t="shared" si="11"/>
        <v>-0.36629213483146067</v>
      </c>
    </row>
    <row r="353" spans="1:10">
      <c r="A353">
        <v>2026</v>
      </c>
      <c r="B353">
        <v>35</v>
      </c>
      <c r="C353" t="s">
        <v>8</v>
      </c>
      <c r="D353" t="s">
        <v>9</v>
      </c>
      <c r="E353" t="s">
        <v>208</v>
      </c>
      <c r="F353" t="s">
        <v>23</v>
      </c>
      <c r="G353" t="str">
        <f t="shared" si="10"/>
        <v>35022FRUITY BUBBLES</v>
      </c>
      <c r="H353">
        <v>5369</v>
      </c>
      <c r="I353">
        <v>2675</v>
      </c>
      <c r="J353">
        <f t="shared" si="11"/>
        <v>-1.0071028037383178</v>
      </c>
    </row>
    <row r="354" spans="1:10">
      <c r="A354">
        <v>2026</v>
      </c>
      <c r="B354">
        <v>35</v>
      </c>
      <c r="C354" t="s">
        <v>8</v>
      </c>
      <c r="D354" t="s">
        <v>9</v>
      </c>
      <c r="E354" t="s">
        <v>208</v>
      </c>
      <c r="F354" t="s">
        <v>27</v>
      </c>
      <c r="G354" t="str">
        <f t="shared" si="10"/>
        <v>35022GOOD PEACH</v>
      </c>
      <c r="H354">
        <v>2082</v>
      </c>
      <c r="I354">
        <v>2220</v>
      </c>
      <c r="J354">
        <f t="shared" si="11"/>
        <v>6.2162162162162166E-2</v>
      </c>
    </row>
    <row r="355" spans="1:10">
      <c r="A355">
        <v>2026</v>
      </c>
      <c r="B355">
        <v>35</v>
      </c>
      <c r="C355" t="s">
        <v>8</v>
      </c>
      <c r="D355" t="s">
        <v>9</v>
      </c>
      <c r="E355" t="s">
        <v>208</v>
      </c>
      <c r="F355" t="s">
        <v>51</v>
      </c>
      <c r="G355" t="str">
        <f t="shared" si="10"/>
        <v>35022MIRABEL</v>
      </c>
      <c r="H355">
        <v>1665</v>
      </c>
      <c r="I355">
        <v>1160</v>
      </c>
      <c r="J355">
        <f t="shared" si="11"/>
        <v>-0.43534482758620691</v>
      </c>
    </row>
    <row r="356" spans="1:10">
      <c r="A356">
        <v>2026</v>
      </c>
      <c r="B356">
        <v>35</v>
      </c>
      <c r="C356" t="s">
        <v>8</v>
      </c>
      <c r="D356" t="s">
        <v>9</v>
      </c>
      <c r="E356" t="s">
        <v>209</v>
      </c>
      <c r="F356" t="s">
        <v>53</v>
      </c>
      <c r="G356" t="str">
        <f t="shared" si="10"/>
        <v>35026PURPLE BUBBLY</v>
      </c>
      <c r="H356">
        <v>271</v>
      </c>
      <c r="I356" t="e">
        <v>#N/A</v>
      </c>
      <c r="J356" t="e">
        <f t="shared" si="11"/>
        <v>#N/A</v>
      </c>
    </row>
    <row r="357" spans="1:10">
      <c r="A357">
        <v>2026</v>
      </c>
      <c r="B357">
        <v>35</v>
      </c>
      <c r="C357" t="s">
        <v>8</v>
      </c>
      <c r="D357" t="s">
        <v>9</v>
      </c>
      <c r="E357" t="s">
        <v>210</v>
      </c>
      <c r="F357" t="s">
        <v>51</v>
      </c>
      <c r="G357" t="str">
        <f t="shared" si="10"/>
        <v>35030MIRABEL</v>
      </c>
      <c r="H357">
        <v>6398</v>
      </c>
      <c r="I357">
        <v>3500</v>
      </c>
      <c r="J357">
        <f t="shared" si="11"/>
        <v>-0.82799999999999996</v>
      </c>
    </row>
    <row r="358" spans="1:10">
      <c r="A358">
        <v>2026</v>
      </c>
      <c r="B358">
        <v>35</v>
      </c>
      <c r="C358" t="s">
        <v>8</v>
      </c>
      <c r="D358" t="s">
        <v>9</v>
      </c>
      <c r="E358" t="s">
        <v>210</v>
      </c>
      <c r="F358" t="s">
        <v>10</v>
      </c>
      <c r="G358" t="str">
        <f t="shared" si="10"/>
        <v>35030SOMERSET</v>
      </c>
      <c r="H358">
        <v>1791</v>
      </c>
      <c r="I358">
        <v>3100</v>
      </c>
      <c r="J358">
        <f t="shared" si="11"/>
        <v>0.42225806451612902</v>
      </c>
    </row>
    <row r="359" spans="1:10">
      <c r="A359">
        <v>2026</v>
      </c>
      <c r="B359">
        <v>35</v>
      </c>
      <c r="C359" t="s">
        <v>8</v>
      </c>
      <c r="D359" t="s">
        <v>9</v>
      </c>
      <c r="E359" t="s">
        <v>211</v>
      </c>
      <c r="F359" t="s">
        <v>57</v>
      </c>
      <c r="G359" t="str">
        <f t="shared" si="10"/>
        <v>3503182989</v>
      </c>
      <c r="H359">
        <v>2889</v>
      </c>
      <c r="I359">
        <v>840</v>
      </c>
      <c r="J359">
        <f t="shared" si="11"/>
        <v>-2.4392857142857145</v>
      </c>
    </row>
    <row r="360" spans="1:10">
      <c r="A360">
        <v>2026</v>
      </c>
      <c r="B360">
        <v>35</v>
      </c>
      <c r="C360" t="s">
        <v>8</v>
      </c>
      <c r="D360" t="s">
        <v>9</v>
      </c>
      <c r="E360" t="s">
        <v>211</v>
      </c>
      <c r="F360" t="s">
        <v>35</v>
      </c>
      <c r="G360" t="str">
        <f t="shared" si="10"/>
        <v>35031RUBICON</v>
      </c>
      <c r="H360">
        <v>2203</v>
      </c>
      <c r="I360">
        <v>1770</v>
      </c>
      <c r="J360">
        <f t="shared" si="11"/>
        <v>-0.24463276836158193</v>
      </c>
    </row>
    <row r="361" spans="1:10">
      <c r="A361">
        <v>2026</v>
      </c>
      <c r="B361">
        <v>35</v>
      </c>
      <c r="C361" t="s">
        <v>8</v>
      </c>
      <c r="D361" t="s">
        <v>9</v>
      </c>
      <c r="E361" t="s">
        <v>211</v>
      </c>
      <c r="F361" t="s">
        <v>10</v>
      </c>
      <c r="G361" t="str">
        <f t="shared" si="10"/>
        <v>35031SOMERSET</v>
      </c>
      <c r="H361">
        <v>1741</v>
      </c>
      <c r="I361">
        <v>4240</v>
      </c>
      <c r="J361">
        <f t="shared" si="11"/>
        <v>0.58938679245283021</v>
      </c>
    </row>
    <row r="362" spans="1:10">
      <c r="A362">
        <v>2026</v>
      </c>
      <c r="B362">
        <v>35</v>
      </c>
      <c r="C362" t="s">
        <v>8</v>
      </c>
      <c r="D362" t="s">
        <v>9</v>
      </c>
      <c r="E362" t="s">
        <v>211</v>
      </c>
      <c r="F362" t="s">
        <v>61</v>
      </c>
      <c r="G362" t="str">
        <f t="shared" si="10"/>
        <v>35031VELVET BLOSSOMS</v>
      </c>
      <c r="H362">
        <v>1031</v>
      </c>
      <c r="I362">
        <v>440</v>
      </c>
      <c r="J362">
        <f t="shared" si="11"/>
        <v>-1.3431818181818183</v>
      </c>
    </row>
    <row r="363" spans="1:10">
      <c r="A363">
        <v>2026</v>
      </c>
      <c r="B363">
        <v>35</v>
      </c>
      <c r="C363" t="s">
        <v>8</v>
      </c>
      <c r="D363" t="s">
        <v>9</v>
      </c>
      <c r="E363" t="s">
        <v>212</v>
      </c>
      <c r="F363" t="s">
        <v>14</v>
      </c>
      <c r="G363" t="str">
        <f t="shared" si="10"/>
        <v>35032ELBA</v>
      </c>
      <c r="H363">
        <v>3613</v>
      </c>
      <c r="I363">
        <v>2730</v>
      </c>
      <c r="J363">
        <f t="shared" si="11"/>
        <v>-0.32344322344322346</v>
      </c>
    </row>
    <row r="364" spans="1:10">
      <c r="A364">
        <v>2026</v>
      </c>
      <c r="B364">
        <v>35</v>
      </c>
      <c r="C364" t="s">
        <v>8</v>
      </c>
      <c r="D364" t="s">
        <v>9</v>
      </c>
      <c r="E364" t="s">
        <v>212</v>
      </c>
      <c r="F364" t="s">
        <v>51</v>
      </c>
      <c r="G364" t="str">
        <f t="shared" si="10"/>
        <v>35032MIRABEL</v>
      </c>
      <c r="H364">
        <v>1577</v>
      </c>
      <c r="I364">
        <v>1500</v>
      </c>
      <c r="J364">
        <f t="shared" si="11"/>
        <v>-5.1333333333333335E-2</v>
      </c>
    </row>
    <row r="365" spans="1:10">
      <c r="A365">
        <v>2026</v>
      </c>
      <c r="B365">
        <v>35</v>
      </c>
      <c r="C365" t="s">
        <v>8</v>
      </c>
      <c r="D365" t="s">
        <v>9</v>
      </c>
      <c r="E365" t="s">
        <v>213</v>
      </c>
      <c r="F365" t="s">
        <v>65</v>
      </c>
      <c r="G365" t="str">
        <f t="shared" si="10"/>
        <v>35033CREAMY FOLIES</v>
      </c>
      <c r="H365">
        <v>1693</v>
      </c>
      <c r="I365">
        <v>1440</v>
      </c>
      <c r="J365">
        <f t="shared" si="11"/>
        <v>-0.17569444444444443</v>
      </c>
    </row>
    <row r="366" spans="1:10">
      <c r="A366">
        <v>2026</v>
      </c>
      <c r="B366">
        <v>35</v>
      </c>
      <c r="C366" t="s">
        <v>8</v>
      </c>
      <c r="D366" t="s">
        <v>9</v>
      </c>
      <c r="E366" t="s">
        <v>213</v>
      </c>
      <c r="F366" t="s">
        <v>16</v>
      </c>
      <c r="G366" t="str">
        <f t="shared" si="10"/>
        <v>35033HOT BUBBLES</v>
      </c>
      <c r="H366">
        <v>4292</v>
      </c>
      <c r="I366">
        <v>2380</v>
      </c>
      <c r="J366">
        <f t="shared" si="11"/>
        <v>-0.80336134453781516</v>
      </c>
    </row>
    <row r="367" spans="1:10">
      <c r="A367">
        <v>2026</v>
      </c>
      <c r="B367">
        <v>35</v>
      </c>
      <c r="C367" t="s">
        <v>68</v>
      </c>
      <c r="D367" t="s">
        <v>9</v>
      </c>
      <c r="E367" t="s">
        <v>214</v>
      </c>
      <c r="F367" t="s">
        <v>69</v>
      </c>
      <c r="G367" t="str">
        <f t="shared" si="10"/>
        <v>35001BELIEVE IN PINK</v>
      </c>
      <c r="H367">
        <v>877</v>
      </c>
      <c r="I367">
        <v>1200</v>
      </c>
      <c r="J367">
        <f t="shared" si="11"/>
        <v>0.26916666666666667</v>
      </c>
    </row>
    <row r="368" spans="1:10">
      <c r="A368">
        <v>2026</v>
      </c>
      <c r="B368">
        <v>35</v>
      </c>
      <c r="C368" t="s">
        <v>68</v>
      </c>
      <c r="D368" t="s">
        <v>9</v>
      </c>
      <c r="E368" t="s">
        <v>214</v>
      </c>
      <c r="F368" t="s">
        <v>71</v>
      </c>
      <c r="G368" t="str">
        <f t="shared" si="10"/>
        <v>35001EXPLORER</v>
      </c>
      <c r="H368">
        <v>2494</v>
      </c>
      <c r="I368">
        <v>4025</v>
      </c>
      <c r="J368">
        <f t="shared" si="11"/>
        <v>0.38037267080745341</v>
      </c>
    </row>
    <row r="369" spans="1:10">
      <c r="A369">
        <v>2026</v>
      </c>
      <c r="B369">
        <v>35</v>
      </c>
      <c r="C369" t="s">
        <v>68</v>
      </c>
      <c r="D369" t="s">
        <v>9</v>
      </c>
      <c r="E369" t="s">
        <v>214</v>
      </c>
      <c r="F369" t="s">
        <v>73</v>
      </c>
      <c r="G369" t="str">
        <f t="shared" si="10"/>
        <v>35001GRACE KELLY</v>
      </c>
      <c r="H369">
        <v>1754</v>
      </c>
      <c r="I369">
        <v>1440</v>
      </c>
      <c r="J369">
        <f t="shared" si="11"/>
        <v>-0.21805555555555556</v>
      </c>
    </row>
    <row r="370" spans="1:10">
      <c r="A370">
        <v>2026</v>
      </c>
      <c r="B370">
        <v>35</v>
      </c>
      <c r="C370" t="s">
        <v>68</v>
      </c>
      <c r="D370" t="s">
        <v>9</v>
      </c>
      <c r="E370" t="s">
        <v>214</v>
      </c>
      <c r="F370" t="s">
        <v>186</v>
      </c>
      <c r="G370" t="str">
        <f t="shared" si="10"/>
        <v>35001IDOLE</v>
      </c>
      <c r="H370">
        <v>900</v>
      </c>
      <c r="I370" t="e">
        <v>#N/A</v>
      </c>
      <c r="J370" t="e">
        <f t="shared" si="11"/>
        <v>#N/A</v>
      </c>
    </row>
    <row r="371" spans="1:10">
      <c r="A371">
        <v>2026</v>
      </c>
      <c r="B371">
        <v>35</v>
      </c>
      <c r="C371" t="s">
        <v>68</v>
      </c>
      <c r="D371" t="s">
        <v>9</v>
      </c>
      <c r="E371" t="s">
        <v>214</v>
      </c>
      <c r="F371" t="s">
        <v>75</v>
      </c>
      <c r="G371" t="str">
        <f t="shared" si="10"/>
        <v>35001LIGHT HOUSE</v>
      </c>
      <c r="H371">
        <v>947</v>
      </c>
      <c r="I371">
        <v>1800</v>
      </c>
      <c r="J371">
        <f t="shared" si="11"/>
        <v>0.47388888888888892</v>
      </c>
    </row>
    <row r="372" spans="1:10">
      <c r="A372">
        <v>2026</v>
      </c>
      <c r="B372">
        <v>35</v>
      </c>
      <c r="C372" t="s">
        <v>68</v>
      </c>
      <c r="D372" t="s">
        <v>9</v>
      </c>
      <c r="E372" t="s">
        <v>214</v>
      </c>
      <c r="F372" t="s">
        <v>77</v>
      </c>
      <c r="G372" t="str">
        <f t="shared" si="10"/>
        <v>35001LUMIA</v>
      </c>
      <c r="H372">
        <v>1242</v>
      </c>
      <c r="I372">
        <v>1170</v>
      </c>
      <c r="J372">
        <f t="shared" si="11"/>
        <v>-6.1538461538461542E-2</v>
      </c>
    </row>
    <row r="373" spans="1:10">
      <c r="A373">
        <v>2026</v>
      </c>
      <c r="B373">
        <v>35</v>
      </c>
      <c r="C373" t="s">
        <v>68</v>
      </c>
      <c r="D373" t="s">
        <v>9</v>
      </c>
      <c r="E373" t="s">
        <v>214</v>
      </c>
      <c r="F373" t="s">
        <v>79</v>
      </c>
      <c r="G373" t="str">
        <f t="shared" si="10"/>
        <v>35001MOMENTUM</v>
      </c>
      <c r="H373">
        <v>3095</v>
      </c>
      <c r="I373">
        <v>3550</v>
      </c>
      <c r="J373">
        <f t="shared" si="11"/>
        <v>0.12816901408450704</v>
      </c>
    </row>
    <row r="374" spans="1:10">
      <c r="A374">
        <v>2026</v>
      </c>
      <c r="B374">
        <v>35</v>
      </c>
      <c r="C374" t="s">
        <v>68</v>
      </c>
      <c r="D374" t="s">
        <v>9</v>
      </c>
      <c r="E374" t="s">
        <v>195</v>
      </c>
      <c r="F374" t="s">
        <v>81</v>
      </c>
      <c r="G374" t="str">
        <f t="shared" si="10"/>
        <v>35002SUMMER ROMANCE</v>
      </c>
      <c r="H374">
        <v>2337</v>
      </c>
      <c r="I374">
        <v>1625</v>
      </c>
      <c r="J374">
        <f t="shared" si="11"/>
        <v>-0.43815384615384617</v>
      </c>
    </row>
    <row r="375" spans="1:10">
      <c r="A375">
        <v>2026</v>
      </c>
      <c r="B375">
        <v>35</v>
      </c>
      <c r="C375" t="s">
        <v>68</v>
      </c>
      <c r="D375" t="s">
        <v>9</v>
      </c>
      <c r="E375" t="s">
        <v>195</v>
      </c>
      <c r="F375" t="s">
        <v>83</v>
      </c>
      <c r="G375" t="str">
        <f t="shared" si="10"/>
        <v>35002SWEETNESS</v>
      </c>
      <c r="H375">
        <v>6753</v>
      </c>
      <c r="I375">
        <v>5790</v>
      </c>
      <c r="J375">
        <f t="shared" si="11"/>
        <v>-0.16632124352331606</v>
      </c>
    </row>
    <row r="376" spans="1:10">
      <c r="A376">
        <v>2026</v>
      </c>
      <c r="B376">
        <v>35</v>
      </c>
      <c r="C376" t="s">
        <v>68</v>
      </c>
      <c r="D376" t="s">
        <v>9</v>
      </c>
      <c r="E376" t="s">
        <v>215</v>
      </c>
      <c r="F376" t="s">
        <v>85</v>
      </c>
      <c r="G376" t="str">
        <f t="shared" si="10"/>
        <v>35003CABARET</v>
      </c>
      <c r="H376">
        <v>3507</v>
      </c>
      <c r="I376">
        <v>4110</v>
      </c>
      <c r="J376">
        <f t="shared" si="11"/>
        <v>0.14671532846715329</v>
      </c>
    </row>
    <row r="377" spans="1:10">
      <c r="A377">
        <v>2026</v>
      </c>
      <c r="B377">
        <v>35</v>
      </c>
      <c r="C377" t="s">
        <v>68</v>
      </c>
      <c r="D377" t="s">
        <v>9</v>
      </c>
      <c r="E377" t="s">
        <v>215</v>
      </c>
      <c r="F377" t="s">
        <v>87</v>
      </c>
      <c r="G377" t="str">
        <f t="shared" si="10"/>
        <v>35003DEEP PURPLE</v>
      </c>
      <c r="H377">
        <v>4562</v>
      </c>
      <c r="I377">
        <v>9300</v>
      </c>
      <c r="J377">
        <f t="shared" si="11"/>
        <v>0.5094623655913979</v>
      </c>
    </row>
    <row r="378" spans="1:10">
      <c r="A378">
        <v>2026</v>
      </c>
      <c r="B378">
        <v>35</v>
      </c>
      <c r="C378" t="s">
        <v>68</v>
      </c>
      <c r="D378" t="s">
        <v>9</v>
      </c>
      <c r="E378" t="s">
        <v>215</v>
      </c>
      <c r="F378" t="s">
        <v>71</v>
      </c>
      <c r="G378" t="str">
        <f t="shared" si="10"/>
        <v>35003EXPLORER</v>
      </c>
      <c r="H378">
        <v>2136</v>
      </c>
      <c r="I378">
        <v>1675</v>
      </c>
      <c r="J378">
        <f t="shared" si="11"/>
        <v>-0.27522388059701491</v>
      </c>
    </row>
    <row r="379" spans="1:10">
      <c r="A379">
        <v>2026</v>
      </c>
      <c r="B379">
        <v>35</v>
      </c>
      <c r="C379" t="s">
        <v>68</v>
      </c>
      <c r="D379" t="s">
        <v>9</v>
      </c>
      <c r="E379" t="s">
        <v>215</v>
      </c>
      <c r="F379" t="s">
        <v>90</v>
      </c>
      <c r="G379" t="str">
        <f t="shared" si="10"/>
        <v>35003JOCKER</v>
      </c>
      <c r="H379">
        <v>700</v>
      </c>
      <c r="I379">
        <v>650</v>
      </c>
      <c r="J379">
        <f t="shared" si="11"/>
        <v>-7.6923076923076927E-2</v>
      </c>
    </row>
    <row r="380" spans="1:10">
      <c r="A380">
        <v>2026</v>
      </c>
      <c r="B380">
        <v>35</v>
      </c>
      <c r="C380" t="s">
        <v>68</v>
      </c>
      <c r="D380" t="s">
        <v>9</v>
      </c>
      <c r="E380" t="s">
        <v>215</v>
      </c>
      <c r="F380" t="s">
        <v>92</v>
      </c>
      <c r="G380" t="str">
        <f t="shared" si="10"/>
        <v>35003QUICKSAND</v>
      </c>
      <c r="H380">
        <v>1165</v>
      </c>
      <c r="I380">
        <v>900</v>
      </c>
      <c r="J380">
        <f t="shared" si="11"/>
        <v>-0.29444444444444445</v>
      </c>
    </row>
    <row r="381" spans="1:10">
      <c r="A381">
        <v>2026</v>
      </c>
      <c r="B381">
        <v>35</v>
      </c>
      <c r="C381" t="s">
        <v>68</v>
      </c>
      <c r="D381" t="s">
        <v>9</v>
      </c>
      <c r="E381" t="s">
        <v>196</v>
      </c>
      <c r="F381" t="s">
        <v>94</v>
      </c>
      <c r="G381" t="str">
        <f t="shared" si="10"/>
        <v>35004COTOPAXI</v>
      </c>
      <c r="H381">
        <v>1862</v>
      </c>
      <c r="I381">
        <v>900</v>
      </c>
      <c r="J381">
        <f t="shared" si="11"/>
        <v>-1.068888888888889</v>
      </c>
    </row>
    <row r="382" spans="1:10">
      <c r="A382">
        <v>2026</v>
      </c>
      <c r="B382">
        <v>35</v>
      </c>
      <c r="C382" t="s">
        <v>68</v>
      </c>
      <c r="D382" t="s">
        <v>9</v>
      </c>
      <c r="E382" t="s">
        <v>196</v>
      </c>
      <c r="F382" t="s">
        <v>87</v>
      </c>
      <c r="G382" t="str">
        <f t="shared" si="10"/>
        <v>35004DEEP PURPLE</v>
      </c>
      <c r="H382">
        <v>4939</v>
      </c>
      <c r="I382">
        <v>9570</v>
      </c>
      <c r="J382">
        <f t="shared" si="11"/>
        <v>0.48390804597701148</v>
      </c>
    </row>
    <row r="383" spans="1:10">
      <c r="A383">
        <v>2026</v>
      </c>
      <c r="B383">
        <v>35</v>
      </c>
      <c r="C383" t="s">
        <v>68</v>
      </c>
      <c r="D383" t="s">
        <v>9</v>
      </c>
      <c r="E383" t="s">
        <v>196</v>
      </c>
      <c r="F383" t="s">
        <v>97</v>
      </c>
      <c r="G383" t="str">
        <f t="shared" si="10"/>
        <v>35004HOT EXPLORER</v>
      </c>
      <c r="H383">
        <v>2603</v>
      </c>
      <c r="I383">
        <v>2025</v>
      </c>
      <c r="J383">
        <f t="shared" si="11"/>
        <v>-0.28543209876543207</v>
      </c>
    </row>
    <row r="384" spans="1:10">
      <c r="A384">
        <v>2026</v>
      </c>
      <c r="B384">
        <v>35</v>
      </c>
      <c r="C384" t="s">
        <v>68</v>
      </c>
      <c r="D384" t="s">
        <v>9</v>
      </c>
      <c r="E384" t="s">
        <v>196</v>
      </c>
      <c r="F384" t="s">
        <v>99</v>
      </c>
      <c r="G384" t="str">
        <f t="shared" si="10"/>
        <v>35004HOT MERENGUE</v>
      </c>
      <c r="H384">
        <v>1007</v>
      </c>
      <c r="I384">
        <v>3930</v>
      </c>
      <c r="J384">
        <f t="shared" si="11"/>
        <v>0.74376590330788805</v>
      </c>
    </row>
    <row r="385" spans="1:10">
      <c r="A385">
        <v>2026</v>
      </c>
      <c r="B385">
        <v>35</v>
      </c>
      <c r="C385" t="s">
        <v>68</v>
      </c>
      <c r="D385" t="s">
        <v>9</v>
      </c>
      <c r="E385" t="s">
        <v>196</v>
      </c>
      <c r="F385" t="s">
        <v>83</v>
      </c>
      <c r="G385" t="str">
        <f t="shared" si="10"/>
        <v>35004SWEETNESS</v>
      </c>
      <c r="H385">
        <v>726</v>
      </c>
      <c r="I385">
        <v>510</v>
      </c>
      <c r="J385">
        <f t="shared" si="11"/>
        <v>-0.42352941176470588</v>
      </c>
    </row>
    <row r="386" spans="1:10">
      <c r="A386">
        <v>2026</v>
      </c>
      <c r="B386">
        <v>35</v>
      </c>
      <c r="C386" t="s">
        <v>68</v>
      </c>
      <c r="D386" t="s">
        <v>9</v>
      </c>
      <c r="E386" t="s">
        <v>197</v>
      </c>
      <c r="F386" t="s">
        <v>71</v>
      </c>
      <c r="G386" t="str">
        <f t="shared" si="10"/>
        <v>35005EXPLORER</v>
      </c>
      <c r="H386">
        <v>1003</v>
      </c>
      <c r="I386">
        <v>1225</v>
      </c>
      <c r="J386">
        <f t="shared" si="11"/>
        <v>0.18122448979591838</v>
      </c>
    </row>
    <row r="387" spans="1:10">
      <c r="A387">
        <v>2026</v>
      </c>
      <c r="B387">
        <v>35</v>
      </c>
      <c r="C387" t="s">
        <v>68</v>
      </c>
      <c r="D387" t="s">
        <v>9</v>
      </c>
      <c r="E387" t="s">
        <v>197</v>
      </c>
      <c r="F387" t="s">
        <v>103</v>
      </c>
      <c r="G387" t="str">
        <f t="shared" ref="G387:G440" si="12">+B387&amp;E387&amp;F387</f>
        <v>35005GOLDFINCH</v>
      </c>
      <c r="H387">
        <v>540</v>
      </c>
      <c r="I387">
        <v>950</v>
      </c>
      <c r="J387">
        <f t="shared" ref="J387:J440" si="13">+(I387-H387)/I387</f>
        <v>0.43157894736842106</v>
      </c>
    </row>
    <row r="388" spans="1:10">
      <c r="A388">
        <v>2026</v>
      </c>
      <c r="B388">
        <v>35</v>
      </c>
      <c r="C388" t="s">
        <v>68</v>
      </c>
      <c r="D388" t="s">
        <v>9</v>
      </c>
      <c r="E388" t="s">
        <v>197</v>
      </c>
      <c r="F388" t="s">
        <v>90</v>
      </c>
      <c r="G388" t="str">
        <f t="shared" si="12"/>
        <v>35005JOCKER</v>
      </c>
      <c r="H388">
        <v>1659</v>
      </c>
      <c r="I388">
        <v>1550</v>
      </c>
      <c r="J388">
        <f t="shared" si="13"/>
        <v>-7.0322580645161295E-2</v>
      </c>
    </row>
    <row r="389" spans="1:10">
      <c r="A389">
        <v>2026</v>
      </c>
      <c r="B389">
        <v>35</v>
      </c>
      <c r="C389" t="s">
        <v>68</v>
      </c>
      <c r="D389" t="s">
        <v>9</v>
      </c>
      <c r="E389" t="s">
        <v>197</v>
      </c>
      <c r="F389" t="s">
        <v>106</v>
      </c>
      <c r="G389" t="str">
        <f t="shared" si="12"/>
        <v>35005VENDELA</v>
      </c>
      <c r="H389">
        <v>2109</v>
      </c>
      <c r="I389">
        <v>1440</v>
      </c>
      <c r="J389">
        <f t="shared" si="13"/>
        <v>-0.46458333333333335</v>
      </c>
    </row>
    <row r="390" spans="1:10">
      <c r="A390">
        <v>2026</v>
      </c>
      <c r="B390">
        <v>35</v>
      </c>
      <c r="C390" t="s">
        <v>68</v>
      </c>
      <c r="D390" t="s">
        <v>9</v>
      </c>
      <c r="E390" t="s">
        <v>216</v>
      </c>
      <c r="F390" t="s">
        <v>108</v>
      </c>
      <c r="G390" t="str">
        <f t="shared" si="12"/>
        <v>35006ATOMIC</v>
      </c>
      <c r="H390">
        <v>674</v>
      </c>
      <c r="I390" t="e">
        <v>#N/A</v>
      </c>
      <c r="J390" t="e">
        <f t="shared" si="13"/>
        <v>#N/A</v>
      </c>
    </row>
    <row r="391" spans="1:10">
      <c r="A391">
        <v>2026</v>
      </c>
      <c r="B391">
        <v>35</v>
      </c>
      <c r="C391" t="s">
        <v>68</v>
      </c>
      <c r="D391" t="s">
        <v>9</v>
      </c>
      <c r="E391" t="s">
        <v>216</v>
      </c>
      <c r="F391" t="s">
        <v>71</v>
      </c>
      <c r="G391" t="str">
        <f t="shared" si="12"/>
        <v>35006EXPLORER</v>
      </c>
      <c r="H391">
        <v>4617</v>
      </c>
      <c r="I391">
        <v>5425</v>
      </c>
      <c r="J391">
        <f t="shared" si="13"/>
        <v>0.14894009216589862</v>
      </c>
    </row>
    <row r="392" spans="1:10">
      <c r="A392">
        <v>2026</v>
      </c>
      <c r="B392">
        <v>35</v>
      </c>
      <c r="C392" t="s">
        <v>68</v>
      </c>
      <c r="D392" t="s">
        <v>9</v>
      </c>
      <c r="E392" t="s">
        <v>216</v>
      </c>
      <c r="F392" t="s">
        <v>111</v>
      </c>
      <c r="G392" t="str">
        <f t="shared" si="12"/>
        <v>35006MONDIAL</v>
      </c>
      <c r="H392">
        <v>3802</v>
      </c>
      <c r="I392">
        <v>6000</v>
      </c>
      <c r="J392">
        <f t="shared" si="13"/>
        <v>0.36633333333333334</v>
      </c>
    </row>
    <row r="393" spans="1:10">
      <c r="A393">
        <v>2026</v>
      </c>
      <c r="B393">
        <v>35</v>
      </c>
      <c r="C393" t="s">
        <v>68</v>
      </c>
      <c r="D393" t="s">
        <v>9</v>
      </c>
      <c r="E393" t="s">
        <v>198</v>
      </c>
      <c r="F393" t="s">
        <v>94</v>
      </c>
      <c r="G393" t="str">
        <f t="shared" si="12"/>
        <v>35007COTOPAXI</v>
      </c>
      <c r="H393">
        <v>10679</v>
      </c>
      <c r="I393">
        <v>4680</v>
      </c>
      <c r="J393">
        <f t="shared" si="13"/>
        <v>-1.2818376068376069</v>
      </c>
    </row>
    <row r="394" spans="1:10">
      <c r="A394">
        <v>2026</v>
      </c>
      <c r="B394">
        <v>35</v>
      </c>
      <c r="C394" t="s">
        <v>68</v>
      </c>
      <c r="D394" t="s">
        <v>9</v>
      </c>
      <c r="E394" t="s">
        <v>198</v>
      </c>
      <c r="F394" t="s">
        <v>114</v>
      </c>
      <c r="G394" t="str">
        <f t="shared" si="12"/>
        <v>35007REDIANT</v>
      </c>
      <c r="H394">
        <v>1327</v>
      </c>
      <c r="I394">
        <v>1410</v>
      </c>
      <c r="J394">
        <f t="shared" si="13"/>
        <v>5.8865248226950356E-2</v>
      </c>
    </row>
    <row r="395" spans="1:10">
      <c r="A395">
        <v>2026</v>
      </c>
      <c r="B395">
        <v>35</v>
      </c>
      <c r="C395" t="s">
        <v>68</v>
      </c>
      <c r="D395" t="s">
        <v>9</v>
      </c>
      <c r="E395" t="s">
        <v>198</v>
      </c>
      <c r="F395" t="s">
        <v>81</v>
      </c>
      <c r="G395" t="str">
        <f t="shared" si="12"/>
        <v>35007SUMMER ROMANCE</v>
      </c>
      <c r="H395">
        <v>422</v>
      </c>
      <c r="I395">
        <v>925</v>
      </c>
      <c r="J395">
        <f t="shared" si="13"/>
        <v>0.54378378378378378</v>
      </c>
    </row>
    <row r="396" spans="1:10">
      <c r="A396">
        <v>2026</v>
      </c>
      <c r="B396">
        <v>35</v>
      </c>
      <c r="C396" t="s">
        <v>68</v>
      </c>
      <c r="D396" t="s">
        <v>9</v>
      </c>
      <c r="E396" t="s">
        <v>198</v>
      </c>
      <c r="F396" t="s">
        <v>106</v>
      </c>
      <c r="G396" t="str">
        <f t="shared" si="12"/>
        <v>35007VENDELA</v>
      </c>
      <c r="H396">
        <v>14613</v>
      </c>
      <c r="I396">
        <v>7680</v>
      </c>
      <c r="J396">
        <f t="shared" si="13"/>
        <v>-0.90273437499999998</v>
      </c>
    </row>
    <row r="397" spans="1:10">
      <c r="A397">
        <v>2026</v>
      </c>
      <c r="B397">
        <v>35</v>
      </c>
      <c r="C397" t="s">
        <v>68</v>
      </c>
      <c r="D397" t="s">
        <v>9</v>
      </c>
      <c r="E397" t="s">
        <v>217</v>
      </c>
      <c r="F397" t="s">
        <v>87</v>
      </c>
      <c r="G397" t="str">
        <f t="shared" si="12"/>
        <v>35008DEEP PURPLE</v>
      </c>
      <c r="H397">
        <v>1536</v>
      </c>
      <c r="I397">
        <v>3660</v>
      </c>
      <c r="J397">
        <f t="shared" si="13"/>
        <v>0.58032786885245902</v>
      </c>
    </row>
    <row r="398" spans="1:10">
      <c r="A398">
        <v>2026</v>
      </c>
      <c r="B398">
        <v>35</v>
      </c>
      <c r="C398" t="s">
        <v>68</v>
      </c>
      <c r="D398" t="s">
        <v>9</v>
      </c>
      <c r="E398" t="s">
        <v>217</v>
      </c>
      <c r="F398" t="s">
        <v>119</v>
      </c>
      <c r="G398" t="str">
        <f t="shared" si="12"/>
        <v>35008FREEDOM</v>
      </c>
      <c r="H398">
        <v>2047</v>
      </c>
      <c r="I398">
        <v>3480</v>
      </c>
      <c r="J398">
        <f t="shared" si="13"/>
        <v>0.4117816091954023</v>
      </c>
    </row>
    <row r="399" spans="1:10">
      <c r="A399">
        <v>2026</v>
      </c>
      <c r="B399">
        <v>35</v>
      </c>
      <c r="C399" t="s">
        <v>68</v>
      </c>
      <c r="D399" t="s">
        <v>9</v>
      </c>
      <c r="E399" t="s">
        <v>217</v>
      </c>
      <c r="F399" t="s">
        <v>90</v>
      </c>
      <c r="G399" t="str">
        <f t="shared" si="12"/>
        <v>35008JOCKER</v>
      </c>
      <c r="H399">
        <v>3400</v>
      </c>
      <c r="I399">
        <v>3550</v>
      </c>
      <c r="J399">
        <f t="shared" si="13"/>
        <v>4.2253521126760563E-2</v>
      </c>
    </row>
    <row r="400" spans="1:10">
      <c r="A400">
        <v>2026</v>
      </c>
      <c r="B400">
        <v>35</v>
      </c>
      <c r="C400" t="s">
        <v>68</v>
      </c>
      <c r="D400" t="s">
        <v>9</v>
      </c>
      <c r="E400" t="s">
        <v>217</v>
      </c>
      <c r="F400" t="s">
        <v>77</v>
      </c>
      <c r="G400" t="str">
        <f t="shared" si="12"/>
        <v>35008LUMIA</v>
      </c>
      <c r="H400">
        <v>1312</v>
      </c>
      <c r="I400">
        <v>1710</v>
      </c>
      <c r="J400">
        <f t="shared" si="13"/>
        <v>0.2327485380116959</v>
      </c>
    </row>
    <row r="401" spans="1:10">
      <c r="A401">
        <v>2026</v>
      </c>
      <c r="B401">
        <v>35</v>
      </c>
      <c r="C401" t="s">
        <v>68</v>
      </c>
      <c r="D401" t="s">
        <v>9</v>
      </c>
      <c r="E401" t="s">
        <v>218</v>
      </c>
      <c r="F401" t="s">
        <v>122</v>
      </c>
      <c r="G401" t="str">
        <f t="shared" si="12"/>
        <v>35010COOLDOWN</v>
      </c>
      <c r="H401">
        <v>3953</v>
      </c>
      <c r="I401">
        <v>3700</v>
      </c>
      <c r="J401">
        <f t="shared" si="13"/>
        <v>-6.8378378378378374E-2</v>
      </c>
    </row>
    <row r="402" spans="1:10">
      <c r="A402">
        <v>2026</v>
      </c>
      <c r="B402">
        <v>35</v>
      </c>
      <c r="C402" t="s">
        <v>68</v>
      </c>
      <c r="D402" t="s">
        <v>9</v>
      </c>
      <c r="E402" t="s">
        <v>218</v>
      </c>
      <c r="F402" t="s">
        <v>124</v>
      </c>
      <c r="G402" t="str">
        <f t="shared" si="12"/>
        <v>35010VIOLET HILL</v>
      </c>
      <c r="H402">
        <v>3933</v>
      </c>
      <c r="I402">
        <v>4980</v>
      </c>
      <c r="J402">
        <f t="shared" si="13"/>
        <v>0.21024096385542168</v>
      </c>
    </row>
    <row r="403" spans="1:10">
      <c r="A403">
        <v>2026</v>
      </c>
      <c r="B403">
        <v>35</v>
      </c>
      <c r="C403" t="s">
        <v>68</v>
      </c>
      <c r="D403" t="s">
        <v>9</v>
      </c>
      <c r="E403" t="s">
        <v>219</v>
      </c>
      <c r="F403" t="s">
        <v>126</v>
      </c>
      <c r="G403" t="str">
        <f t="shared" si="12"/>
        <v>35011BRIGHTON</v>
      </c>
      <c r="H403">
        <v>3891</v>
      </c>
      <c r="I403">
        <v>3150</v>
      </c>
      <c r="J403">
        <f t="shared" si="13"/>
        <v>-0.23523809523809525</v>
      </c>
    </row>
    <row r="404" spans="1:10">
      <c r="A404">
        <v>2026</v>
      </c>
      <c r="B404">
        <v>35</v>
      </c>
      <c r="C404" t="s">
        <v>68</v>
      </c>
      <c r="D404" t="s">
        <v>9</v>
      </c>
      <c r="E404" t="s">
        <v>219</v>
      </c>
      <c r="F404" t="s">
        <v>128</v>
      </c>
      <c r="G404" t="str">
        <f t="shared" si="12"/>
        <v>35011CANDLELIGHT</v>
      </c>
      <c r="H404">
        <v>5349</v>
      </c>
      <c r="I404">
        <v>3700</v>
      </c>
      <c r="J404">
        <f t="shared" si="13"/>
        <v>-0.44567567567567568</v>
      </c>
    </row>
    <row r="405" spans="1:10">
      <c r="A405">
        <v>2026</v>
      </c>
      <c r="B405">
        <v>35</v>
      </c>
      <c r="C405" t="s">
        <v>68</v>
      </c>
      <c r="D405" t="s">
        <v>9</v>
      </c>
      <c r="E405" t="s">
        <v>219</v>
      </c>
      <c r="F405" t="s">
        <v>130</v>
      </c>
      <c r="G405" t="str">
        <f t="shared" si="12"/>
        <v>35011CAYENNE</v>
      </c>
      <c r="H405">
        <v>639</v>
      </c>
      <c r="I405">
        <v>1950</v>
      </c>
      <c r="J405">
        <f t="shared" si="13"/>
        <v>0.67230769230769227</v>
      </c>
    </row>
    <row r="406" spans="1:10">
      <c r="A406">
        <v>2026</v>
      </c>
      <c r="B406">
        <v>35</v>
      </c>
      <c r="C406" t="s">
        <v>68</v>
      </c>
      <c r="D406" t="s">
        <v>9</v>
      </c>
      <c r="E406" t="s">
        <v>219</v>
      </c>
      <c r="F406" t="s">
        <v>77</v>
      </c>
      <c r="G406" t="str">
        <f t="shared" si="12"/>
        <v>35011LUMIA</v>
      </c>
      <c r="H406">
        <v>1122</v>
      </c>
      <c r="I406">
        <v>1260</v>
      </c>
      <c r="J406">
        <f t="shared" si="13"/>
        <v>0.10952380952380952</v>
      </c>
    </row>
    <row r="407" spans="1:10">
      <c r="A407">
        <v>2026</v>
      </c>
      <c r="B407">
        <v>35</v>
      </c>
      <c r="C407" t="s">
        <v>68</v>
      </c>
      <c r="D407" t="s">
        <v>9</v>
      </c>
      <c r="E407" t="s">
        <v>219</v>
      </c>
      <c r="F407" t="s">
        <v>133</v>
      </c>
      <c r="G407" t="str">
        <f t="shared" si="12"/>
        <v>35011STARDUST</v>
      </c>
      <c r="H407">
        <v>2103</v>
      </c>
      <c r="I407">
        <v>3725</v>
      </c>
      <c r="J407">
        <f t="shared" si="13"/>
        <v>0.43543624161073824</v>
      </c>
    </row>
    <row r="408" spans="1:10">
      <c r="A408">
        <v>2026</v>
      </c>
      <c r="B408">
        <v>35</v>
      </c>
      <c r="C408" t="s">
        <v>68</v>
      </c>
      <c r="D408" t="s">
        <v>9</v>
      </c>
      <c r="E408" t="s">
        <v>220</v>
      </c>
      <c r="F408" t="s">
        <v>87</v>
      </c>
      <c r="G408" t="str">
        <f t="shared" si="12"/>
        <v>35012DEEP PURPLE</v>
      </c>
      <c r="H408">
        <v>6434</v>
      </c>
      <c r="I408">
        <v>15720</v>
      </c>
      <c r="J408">
        <f t="shared" si="13"/>
        <v>0.59071246819338419</v>
      </c>
    </row>
    <row r="409" spans="1:10">
      <c r="A409">
        <v>2026</v>
      </c>
      <c r="B409">
        <v>35</v>
      </c>
      <c r="C409" t="s">
        <v>68</v>
      </c>
      <c r="D409" t="s">
        <v>9</v>
      </c>
      <c r="E409" t="s">
        <v>220</v>
      </c>
      <c r="F409" t="s">
        <v>75</v>
      </c>
      <c r="G409" t="str">
        <f t="shared" si="12"/>
        <v>35012LIGHT HOUSE</v>
      </c>
      <c r="H409">
        <v>787</v>
      </c>
      <c r="I409">
        <v>1140</v>
      </c>
      <c r="J409">
        <f t="shared" si="13"/>
        <v>0.30964912280701756</v>
      </c>
    </row>
    <row r="410" spans="1:10">
      <c r="A410">
        <v>2026</v>
      </c>
      <c r="B410">
        <v>35</v>
      </c>
      <c r="C410" t="s">
        <v>68</v>
      </c>
      <c r="D410" t="s">
        <v>9</v>
      </c>
      <c r="E410" t="s">
        <v>221</v>
      </c>
      <c r="F410" t="s">
        <v>137</v>
      </c>
      <c r="G410" t="str">
        <f t="shared" si="12"/>
        <v>35013COUNTRY BLUES</v>
      </c>
      <c r="H410">
        <v>1409</v>
      </c>
      <c r="I410">
        <v>1160</v>
      </c>
      <c r="J410">
        <f t="shared" si="13"/>
        <v>-0.21465517241379312</v>
      </c>
    </row>
    <row r="411" spans="1:10">
      <c r="A411">
        <v>2026</v>
      </c>
      <c r="B411">
        <v>35</v>
      </c>
      <c r="C411" t="s">
        <v>68</v>
      </c>
      <c r="D411" t="s">
        <v>9</v>
      </c>
      <c r="E411" t="s">
        <v>221</v>
      </c>
      <c r="F411" t="s">
        <v>139</v>
      </c>
      <c r="G411" t="str">
        <f t="shared" si="12"/>
        <v>35013LORRAINE</v>
      </c>
      <c r="H411">
        <v>2889</v>
      </c>
      <c r="I411">
        <v>2600</v>
      </c>
      <c r="J411">
        <f t="shared" si="13"/>
        <v>-0.11115384615384616</v>
      </c>
    </row>
    <row r="412" spans="1:10">
      <c r="A412">
        <v>2026</v>
      </c>
      <c r="B412">
        <v>35</v>
      </c>
      <c r="C412" t="s">
        <v>68</v>
      </c>
      <c r="D412" t="s">
        <v>9</v>
      </c>
      <c r="E412" t="s">
        <v>221</v>
      </c>
      <c r="F412" t="s">
        <v>77</v>
      </c>
      <c r="G412" t="str">
        <f t="shared" si="12"/>
        <v>35013LUMIA</v>
      </c>
      <c r="H412">
        <v>308</v>
      </c>
      <c r="I412">
        <v>300</v>
      </c>
      <c r="J412">
        <f t="shared" si="13"/>
        <v>-2.6666666666666668E-2</v>
      </c>
    </row>
    <row r="413" spans="1:10">
      <c r="A413">
        <v>2026</v>
      </c>
      <c r="B413">
        <v>35</v>
      </c>
      <c r="C413" t="s">
        <v>68</v>
      </c>
      <c r="D413" t="s">
        <v>9</v>
      </c>
      <c r="E413" t="s">
        <v>221</v>
      </c>
      <c r="F413" t="s">
        <v>106</v>
      </c>
      <c r="G413" t="str">
        <f t="shared" si="12"/>
        <v>35013VENDELA</v>
      </c>
      <c r="H413">
        <v>9577</v>
      </c>
      <c r="I413">
        <v>8700</v>
      </c>
      <c r="J413">
        <f t="shared" si="13"/>
        <v>-0.10080459770114943</v>
      </c>
    </row>
    <row r="414" spans="1:10">
      <c r="A414">
        <v>2026</v>
      </c>
      <c r="B414">
        <v>35</v>
      </c>
      <c r="C414" t="s">
        <v>68</v>
      </c>
      <c r="D414" t="s">
        <v>9</v>
      </c>
      <c r="E414" t="s">
        <v>200</v>
      </c>
      <c r="F414" t="s">
        <v>133</v>
      </c>
      <c r="G414" t="str">
        <f t="shared" si="12"/>
        <v>35014STARDUST</v>
      </c>
      <c r="H414">
        <v>3971</v>
      </c>
      <c r="I414">
        <v>4450</v>
      </c>
      <c r="J414">
        <f t="shared" si="13"/>
        <v>0.10764044943820225</v>
      </c>
    </row>
    <row r="415" spans="1:10">
      <c r="A415">
        <v>2026</v>
      </c>
      <c r="B415">
        <v>35</v>
      </c>
      <c r="C415" t="s">
        <v>68</v>
      </c>
      <c r="D415" t="s">
        <v>9</v>
      </c>
      <c r="E415" t="s">
        <v>201</v>
      </c>
      <c r="F415" t="s">
        <v>90</v>
      </c>
      <c r="G415" t="str">
        <f t="shared" si="12"/>
        <v>35015JOCKER</v>
      </c>
      <c r="H415">
        <v>2642</v>
      </c>
      <c r="I415">
        <v>2450</v>
      </c>
      <c r="J415">
        <f t="shared" si="13"/>
        <v>-7.8367346938775506E-2</v>
      </c>
    </row>
    <row r="416" spans="1:10">
      <c r="A416">
        <v>2026</v>
      </c>
      <c r="B416">
        <v>35</v>
      </c>
      <c r="C416" t="s">
        <v>68</v>
      </c>
      <c r="D416" t="s">
        <v>9</v>
      </c>
      <c r="E416" t="s">
        <v>202</v>
      </c>
      <c r="F416" t="s">
        <v>145</v>
      </c>
      <c r="G416" t="str">
        <f t="shared" si="12"/>
        <v>35016DREAM IN PEACH</v>
      </c>
      <c r="H416">
        <v>1044</v>
      </c>
      <c r="I416">
        <v>990</v>
      </c>
      <c r="J416">
        <f t="shared" si="13"/>
        <v>-5.4545454545454543E-2</v>
      </c>
    </row>
    <row r="417" spans="1:10">
      <c r="A417">
        <v>2026</v>
      </c>
      <c r="B417">
        <v>35</v>
      </c>
      <c r="C417" t="s">
        <v>68</v>
      </c>
      <c r="D417" t="s">
        <v>9</v>
      </c>
      <c r="E417" t="s">
        <v>202</v>
      </c>
      <c r="F417" t="s">
        <v>147</v>
      </c>
      <c r="G417" t="str">
        <f t="shared" si="12"/>
        <v>35016NINA</v>
      </c>
      <c r="H417">
        <v>2078</v>
      </c>
      <c r="I417">
        <v>1575</v>
      </c>
      <c r="J417">
        <f t="shared" si="13"/>
        <v>-0.31936507936507935</v>
      </c>
    </row>
    <row r="418" spans="1:10">
      <c r="A418">
        <v>2026</v>
      </c>
      <c r="B418">
        <v>35</v>
      </c>
      <c r="C418" t="s">
        <v>68</v>
      </c>
      <c r="D418" t="s">
        <v>9</v>
      </c>
      <c r="E418" t="s">
        <v>203</v>
      </c>
      <c r="F418" t="s">
        <v>119</v>
      </c>
      <c r="G418" t="str">
        <f t="shared" si="12"/>
        <v>35017FREEDOM</v>
      </c>
      <c r="H418">
        <v>2309</v>
      </c>
      <c r="I418">
        <v>5850</v>
      </c>
      <c r="J418">
        <f t="shared" si="13"/>
        <v>0.6052991452991453</v>
      </c>
    </row>
    <row r="419" spans="1:10">
      <c r="A419">
        <v>2026</v>
      </c>
      <c r="B419">
        <v>35</v>
      </c>
      <c r="C419" t="s">
        <v>68</v>
      </c>
      <c r="D419" t="s">
        <v>9</v>
      </c>
      <c r="E419" t="s">
        <v>203</v>
      </c>
      <c r="F419" t="s">
        <v>103</v>
      </c>
      <c r="G419" t="str">
        <f t="shared" si="12"/>
        <v>35017GOLDFINCH</v>
      </c>
      <c r="H419">
        <v>1886</v>
      </c>
      <c r="I419">
        <v>1675</v>
      </c>
      <c r="J419">
        <f t="shared" si="13"/>
        <v>-0.12597014925373134</v>
      </c>
    </row>
    <row r="420" spans="1:10">
      <c r="A420">
        <v>2026</v>
      </c>
      <c r="B420">
        <v>35</v>
      </c>
      <c r="C420" t="s">
        <v>68</v>
      </c>
      <c r="D420" t="s">
        <v>9</v>
      </c>
      <c r="E420" t="s">
        <v>204</v>
      </c>
      <c r="F420" t="s">
        <v>126</v>
      </c>
      <c r="G420" t="str">
        <f t="shared" si="12"/>
        <v>35018BRIGHTON</v>
      </c>
      <c r="H420">
        <v>1330</v>
      </c>
      <c r="I420">
        <v>1350</v>
      </c>
      <c r="J420">
        <f t="shared" si="13"/>
        <v>1.4814814814814815E-2</v>
      </c>
    </row>
    <row r="421" spans="1:10">
      <c r="A421">
        <v>2026</v>
      </c>
      <c r="B421">
        <v>35</v>
      </c>
      <c r="C421" t="s">
        <v>68</v>
      </c>
      <c r="D421" t="s">
        <v>9</v>
      </c>
      <c r="E421" t="s">
        <v>205</v>
      </c>
      <c r="F421" t="s">
        <v>126</v>
      </c>
      <c r="G421" t="str">
        <f t="shared" si="12"/>
        <v>35019BRIGHTON</v>
      </c>
      <c r="H421">
        <v>3900</v>
      </c>
      <c r="I421">
        <v>6100</v>
      </c>
      <c r="J421">
        <f t="shared" si="13"/>
        <v>0.36065573770491804</v>
      </c>
    </row>
    <row r="422" spans="1:10">
      <c r="A422">
        <v>2026</v>
      </c>
      <c r="B422">
        <v>35</v>
      </c>
      <c r="C422" t="s">
        <v>68</v>
      </c>
      <c r="D422" t="s">
        <v>9</v>
      </c>
      <c r="E422" t="s">
        <v>205</v>
      </c>
      <c r="F422" t="s">
        <v>153</v>
      </c>
      <c r="G422" t="str">
        <f t="shared" si="12"/>
        <v>35019TABATHA</v>
      </c>
      <c r="H422">
        <v>1410</v>
      </c>
      <c r="I422">
        <v>2220</v>
      </c>
      <c r="J422">
        <f t="shared" si="13"/>
        <v>0.36486486486486486</v>
      </c>
    </row>
    <row r="423" spans="1:10">
      <c r="A423">
        <v>2026</v>
      </c>
      <c r="B423">
        <v>35</v>
      </c>
      <c r="C423" t="s">
        <v>68</v>
      </c>
      <c r="D423" t="s">
        <v>9</v>
      </c>
      <c r="E423" t="s">
        <v>206</v>
      </c>
      <c r="F423" t="s">
        <v>126</v>
      </c>
      <c r="G423" t="str">
        <f t="shared" si="12"/>
        <v>35020BRIGHTON</v>
      </c>
      <c r="H423">
        <v>3434</v>
      </c>
      <c r="I423">
        <v>3900</v>
      </c>
      <c r="J423">
        <f t="shared" si="13"/>
        <v>0.11948717948717949</v>
      </c>
    </row>
    <row r="424" spans="1:10">
      <c r="A424">
        <v>2026</v>
      </c>
      <c r="B424">
        <v>35</v>
      </c>
      <c r="C424" t="s">
        <v>68</v>
      </c>
      <c r="D424" t="s">
        <v>9</v>
      </c>
      <c r="E424" t="s">
        <v>206</v>
      </c>
      <c r="F424" t="s">
        <v>156</v>
      </c>
      <c r="G424" t="str">
        <f t="shared" si="12"/>
        <v>35020TYCOON</v>
      </c>
      <c r="H424">
        <v>926</v>
      </c>
      <c r="I424">
        <v>840</v>
      </c>
      <c r="J424">
        <f t="shared" si="13"/>
        <v>-0.10238095238095238</v>
      </c>
    </row>
    <row r="425" spans="1:10">
      <c r="A425">
        <v>2026</v>
      </c>
      <c r="B425">
        <v>35</v>
      </c>
      <c r="C425" t="s">
        <v>68</v>
      </c>
      <c r="D425" t="s">
        <v>9</v>
      </c>
      <c r="E425" t="s">
        <v>207</v>
      </c>
      <c r="F425" t="s">
        <v>158</v>
      </c>
      <c r="G425" t="str">
        <f t="shared" si="12"/>
        <v>35021SHOW GIRL</v>
      </c>
      <c r="H425">
        <v>2782</v>
      </c>
      <c r="I425">
        <v>1450</v>
      </c>
      <c r="J425">
        <f t="shared" si="13"/>
        <v>-0.91862068965517241</v>
      </c>
    </row>
    <row r="426" spans="1:10">
      <c r="A426">
        <v>2026</v>
      </c>
      <c r="B426">
        <v>35</v>
      </c>
      <c r="C426" t="s">
        <v>68</v>
      </c>
      <c r="D426" t="s">
        <v>9</v>
      </c>
      <c r="E426" t="s">
        <v>208</v>
      </c>
      <c r="F426" t="s">
        <v>160</v>
      </c>
      <c r="G426" t="str">
        <f t="shared" si="12"/>
        <v>35022CORAL REEF</v>
      </c>
      <c r="H426">
        <v>1235</v>
      </c>
      <c r="I426">
        <v>1950</v>
      </c>
      <c r="J426">
        <f t="shared" si="13"/>
        <v>0.36666666666666664</v>
      </c>
    </row>
    <row r="427" spans="1:10">
      <c r="A427">
        <v>2026</v>
      </c>
      <c r="B427">
        <v>35</v>
      </c>
      <c r="C427" t="s">
        <v>68</v>
      </c>
      <c r="D427" t="s">
        <v>9</v>
      </c>
      <c r="E427" t="s">
        <v>222</v>
      </c>
      <c r="F427" t="s">
        <v>94</v>
      </c>
      <c r="G427" t="str">
        <f t="shared" si="12"/>
        <v>35023COTOPAXI</v>
      </c>
      <c r="H427">
        <v>9668</v>
      </c>
      <c r="I427">
        <v>5820</v>
      </c>
      <c r="J427">
        <f t="shared" si="13"/>
        <v>-0.66116838487972507</v>
      </c>
    </row>
    <row r="428" spans="1:10">
      <c r="A428">
        <v>2026</v>
      </c>
      <c r="B428">
        <v>35</v>
      </c>
      <c r="C428" t="s">
        <v>68</v>
      </c>
      <c r="D428" t="s">
        <v>9</v>
      </c>
      <c r="E428" t="s">
        <v>222</v>
      </c>
      <c r="F428" t="s">
        <v>163</v>
      </c>
      <c r="G428" t="str">
        <f t="shared" si="12"/>
        <v>35023FRUTTETO</v>
      </c>
      <c r="H428">
        <v>3984</v>
      </c>
      <c r="I428">
        <v>5610</v>
      </c>
      <c r="J428">
        <f t="shared" si="13"/>
        <v>0.28983957219251338</v>
      </c>
    </row>
    <row r="429" spans="1:10">
      <c r="A429">
        <v>2026</v>
      </c>
      <c r="B429">
        <v>35</v>
      </c>
      <c r="C429" t="s">
        <v>68</v>
      </c>
      <c r="D429" t="s">
        <v>9</v>
      </c>
      <c r="E429" t="s">
        <v>223</v>
      </c>
      <c r="F429" t="s">
        <v>94</v>
      </c>
      <c r="G429" t="str">
        <f t="shared" si="12"/>
        <v>35024COTOPAXI</v>
      </c>
      <c r="H429">
        <v>4966</v>
      </c>
      <c r="I429">
        <v>2940</v>
      </c>
      <c r="J429">
        <f t="shared" si="13"/>
        <v>-0.68911564625850341</v>
      </c>
    </row>
    <row r="430" spans="1:10">
      <c r="A430">
        <v>2026</v>
      </c>
      <c r="B430">
        <v>35</v>
      </c>
      <c r="C430" t="s">
        <v>68</v>
      </c>
      <c r="D430" t="s">
        <v>9</v>
      </c>
      <c r="E430" t="s">
        <v>223</v>
      </c>
      <c r="F430" t="s">
        <v>83</v>
      </c>
      <c r="G430" t="str">
        <f t="shared" si="12"/>
        <v>35024SWEETNESS</v>
      </c>
      <c r="H430">
        <v>1888</v>
      </c>
      <c r="I430">
        <v>1650</v>
      </c>
      <c r="J430">
        <f t="shared" si="13"/>
        <v>-0.14424242424242426</v>
      </c>
    </row>
    <row r="431" spans="1:10">
      <c r="A431">
        <v>2026</v>
      </c>
      <c r="B431">
        <v>35</v>
      </c>
      <c r="C431" t="s">
        <v>68</v>
      </c>
      <c r="D431" t="s">
        <v>9</v>
      </c>
      <c r="E431" t="s">
        <v>223</v>
      </c>
      <c r="F431" t="s">
        <v>156</v>
      </c>
      <c r="G431" t="str">
        <f t="shared" si="12"/>
        <v>35024TYCOON</v>
      </c>
      <c r="H431">
        <v>3613</v>
      </c>
      <c r="I431">
        <v>4230</v>
      </c>
      <c r="J431">
        <f t="shared" si="13"/>
        <v>0.14586288416075649</v>
      </c>
    </row>
    <row r="432" spans="1:10">
      <c r="A432">
        <v>2026</v>
      </c>
      <c r="B432">
        <v>35</v>
      </c>
      <c r="C432" t="s">
        <v>68</v>
      </c>
      <c r="D432" t="s">
        <v>9</v>
      </c>
      <c r="E432" t="s">
        <v>224</v>
      </c>
      <c r="F432" t="s">
        <v>168</v>
      </c>
      <c r="G432" t="str">
        <f t="shared" si="12"/>
        <v>35025PINK MONDIAL</v>
      </c>
      <c r="H432">
        <v>2851</v>
      </c>
      <c r="I432">
        <v>4300</v>
      </c>
      <c r="J432">
        <f t="shared" si="13"/>
        <v>0.33697674418604651</v>
      </c>
    </row>
    <row r="433" spans="1:10">
      <c r="A433">
        <v>2026</v>
      </c>
      <c r="B433">
        <v>35</v>
      </c>
      <c r="C433" t="s">
        <v>68</v>
      </c>
      <c r="D433" t="s">
        <v>9</v>
      </c>
      <c r="E433" t="s">
        <v>209</v>
      </c>
      <c r="F433" t="s">
        <v>170</v>
      </c>
      <c r="G433" t="str">
        <f t="shared" si="12"/>
        <v>35026LOLA</v>
      </c>
      <c r="H433">
        <v>2039</v>
      </c>
      <c r="I433">
        <v>3325</v>
      </c>
      <c r="J433">
        <f t="shared" si="13"/>
        <v>0.38676691729323309</v>
      </c>
    </row>
    <row r="434" spans="1:10">
      <c r="A434">
        <v>2026</v>
      </c>
      <c r="B434">
        <v>35</v>
      </c>
      <c r="C434" t="s">
        <v>68</v>
      </c>
      <c r="D434" t="s">
        <v>9</v>
      </c>
      <c r="E434" t="s">
        <v>209</v>
      </c>
      <c r="F434" t="s">
        <v>172</v>
      </c>
      <c r="G434" t="str">
        <f t="shared" si="12"/>
        <v>35026PALOMA</v>
      </c>
      <c r="H434">
        <v>2644</v>
      </c>
      <c r="I434">
        <v>3100</v>
      </c>
      <c r="J434">
        <f t="shared" si="13"/>
        <v>0.14709677419354839</v>
      </c>
    </row>
    <row r="435" spans="1:10">
      <c r="A435">
        <v>2026</v>
      </c>
      <c r="B435">
        <v>35</v>
      </c>
      <c r="C435" t="s">
        <v>68</v>
      </c>
      <c r="D435" t="s">
        <v>9</v>
      </c>
      <c r="E435" t="s">
        <v>225</v>
      </c>
      <c r="F435" t="s">
        <v>174</v>
      </c>
      <c r="G435" t="str">
        <f t="shared" si="12"/>
        <v>35027SATISFACTION</v>
      </c>
      <c r="H435">
        <v>4373</v>
      </c>
      <c r="I435">
        <v>4680</v>
      </c>
      <c r="J435">
        <f t="shared" si="13"/>
        <v>6.5598290598290601E-2</v>
      </c>
    </row>
    <row r="436" spans="1:10">
      <c r="A436">
        <v>2026</v>
      </c>
      <c r="B436">
        <v>35</v>
      </c>
      <c r="C436" t="s">
        <v>68</v>
      </c>
      <c r="D436" t="s">
        <v>9</v>
      </c>
      <c r="E436" t="s">
        <v>225</v>
      </c>
      <c r="F436" t="s">
        <v>176</v>
      </c>
      <c r="G436" t="str">
        <f t="shared" si="12"/>
        <v>35027TIFFANY</v>
      </c>
      <c r="H436">
        <v>3840</v>
      </c>
      <c r="I436">
        <v>5880</v>
      </c>
      <c r="J436">
        <f t="shared" si="13"/>
        <v>0.34693877551020408</v>
      </c>
    </row>
    <row r="437" spans="1:10">
      <c r="A437">
        <v>2026</v>
      </c>
      <c r="B437">
        <v>35</v>
      </c>
      <c r="C437" t="s">
        <v>68</v>
      </c>
      <c r="D437" t="s">
        <v>9</v>
      </c>
      <c r="E437" t="s">
        <v>226</v>
      </c>
      <c r="F437" t="s">
        <v>94</v>
      </c>
      <c r="G437" t="str">
        <f t="shared" si="12"/>
        <v>35028COTOPAXI</v>
      </c>
      <c r="H437">
        <v>6487</v>
      </c>
      <c r="I437">
        <v>4530</v>
      </c>
      <c r="J437">
        <f t="shared" si="13"/>
        <v>-0.43200883002207507</v>
      </c>
    </row>
    <row r="438" spans="1:10">
      <c r="A438">
        <v>2026</v>
      </c>
      <c r="B438">
        <v>35</v>
      </c>
      <c r="C438" t="s">
        <v>68</v>
      </c>
      <c r="D438" t="s">
        <v>9</v>
      </c>
      <c r="E438" t="s">
        <v>226</v>
      </c>
      <c r="F438" t="s">
        <v>87</v>
      </c>
      <c r="G438" t="str">
        <f t="shared" si="12"/>
        <v>35028DEEP PURPLE</v>
      </c>
      <c r="H438">
        <v>3547</v>
      </c>
      <c r="I438">
        <v>5640</v>
      </c>
      <c r="J438">
        <f t="shared" si="13"/>
        <v>0.37109929078014187</v>
      </c>
    </row>
    <row r="439" spans="1:10">
      <c r="A439">
        <v>2026</v>
      </c>
      <c r="B439">
        <v>35</v>
      </c>
      <c r="C439" t="s">
        <v>68</v>
      </c>
      <c r="D439" t="s">
        <v>9</v>
      </c>
      <c r="E439" t="s">
        <v>227</v>
      </c>
      <c r="F439" t="s">
        <v>180</v>
      </c>
      <c r="G439" t="str">
        <f t="shared" si="12"/>
        <v>35029PINK FLOYD</v>
      </c>
      <c r="H439">
        <v>2521</v>
      </c>
      <c r="I439">
        <v>3625</v>
      </c>
      <c r="J439">
        <f t="shared" si="13"/>
        <v>0.30455172413793102</v>
      </c>
    </row>
    <row r="440" spans="1:10">
      <c r="A440">
        <v>2026</v>
      </c>
      <c r="B440">
        <v>35</v>
      </c>
      <c r="C440" t="s">
        <v>68</v>
      </c>
      <c r="D440" t="s">
        <v>9</v>
      </c>
      <c r="E440" t="s">
        <v>210</v>
      </c>
      <c r="F440" t="s">
        <v>71</v>
      </c>
      <c r="G440" t="str">
        <f t="shared" si="12"/>
        <v>35030EXPLORER</v>
      </c>
      <c r="H440">
        <v>1488</v>
      </c>
      <c r="I440">
        <v>1750</v>
      </c>
      <c r="J440">
        <f t="shared" si="13"/>
        <v>0.14971428571428572</v>
      </c>
    </row>
  </sheetData>
  <autoFilter ref="A1:J44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baseColWidth="10" defaultColWidth="9.140625" defaultRowHeight="15"/>
  <sheetData>
    <row r="1" spans="1:6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>
      <c r="A2" t="s">
        <v>70</v>
      </c>
      <c r="B2">
        <v>125</v>
      </c>
      <c r="C2">
        <v>528.37933349609375</v>
      </c>
      <c r="D2">
        <v>23.66</v>
      </c>
      <c r="E2">
        <v>2.156354796546248</v>
      </c>
      <c r="F2">
        <v>270</v>
      </c>
    </row>
    <row r="3" spans="1:6">
      <c r="A3" t="s">
        <v>72</v>
      </c>
      <c r="B3">
        <v>-429</v>
      </c>
      <c r="C3">
        <v>2272.031005859375</v>
      </c>
      <c r="D3">
        <v>-18.88</v>
      </c>
      <c r="E3">
        <v>1.255032585903008</v>
      </c>
      <c r="F3">
        <v>-538</v>
      </c>
    </row>
    <row r="4" spans="1:6">
      <c r="A4" t="s">
        <v>74</v>
      </c>
      <c r="B4">
        <v>274</v>
      </c>
      <c r="C4">
        <v>1162.434448242188</v>
      </c>
      <c r="D4">
        <v>23.57</v>
      </c>
      <c r="E4">
        <v>1.329413623137669</v>
      </c>
      <c r="F4">
        <v>364</v>
      </c>
    </row>
    <row r="5" spans="1:6">
      <c r="A5" t="s">
        <v>187</v>
      </c>
      <c r="B5">
        <v>274</v>
      </c>
      <c r="C5">
        <v>1162.434448242188</v>
      </c>
      <c r="D5">
        <v>23.57</v>
      </c>
      <c r="E5">
        <v>0.73767382012377081</v>
      </c>
      <c r="F5">
        <v>202</v>
      </c>
    </row>
    <row r="6" spans="1:6">
      <c r="A6" t="s">
        <v>76</v>
      </c>
      <c r="B6">
        <v>88</v>
      </c>
      <c r="C6">
        <v>1056.758666992188</v>
      </c>
      <c r="D6">
        <v>8.33</v>
      </c>
      <c r="E6">
        <v>1.111346896267946</v>
      </c>
      <c r="F6">
        <v>98</v>
      </c>
    </row>
    <row r="7" spans="1:6">
      <c r="A7" t="s">
        <v>78</v>
      </c>
      <c r="B7">
        <v>-31</v>
      </c>
      <c r="C7">
        <v>1109.596557617188</v>
      </c>
      <c r="D7">
        <v>-2.79</v>
      </c>
      <c r="E7">
        <v>1.4506976713757269</v>
      </c>
      <c r="F7">
        <v>-45</v>
      </c>
    </row>
    <row r="8" spans="1:6">
      <c r="A8" t="s">
        <v>80</v>
      </c>
      <c r="B8">
        <v>153</v>
      </c>
      <c r="C8">
        <v>1902.16552734375</v>
      </c>
      <c r="D8">
        <v>8.0399999999999991</v>
      </c>
      <c r="E8">
        <v>1.7112752150988351</v>
      </c>
      <c r="F8">
        <v>262</v>
      </c>
    </row>
    <row r="9" spans="1:6">
      <c r="A9" t="s">
        <v>11</v>
      </c>
      <c r="B9">
        <v>21</v>
      </c>
      <c r="C9">
        <v>4121.46435546875</v>
      </c>
      <c r="D9">
        <v>0.51</v>
      </c>
      <c r="E9">
        <v>2.04002280610089</v>
      </c>
      <c r="F9">
        <v>43</v>
      </c>
    </row>
    <row r="10" spans="1:6">
      <c r="A10" t="s">
        <v>82</v>
      </c>
      <c r="B10">
        <v>84</v>
      </c>
      <c r="C10">
        <v>951.10711669921875</v>
      </c>
      <c r="D10">
        <v>8.83</v>
      </c>
      <c r="E10">
        <v>2.0422727755659338</v>
      </c>
      <c r="F10">
        <v>172</v>
      </c>
    </row>
    <row r="11" spans="1:6">
      <c r="A11" t="s">
        <v>84</v>
      </c>
      <c r="B11">
        <v>-895</v>
      </c>
      <c r="C11">
        <v>3804.428466796875</v>
      </c>
      <c r="D11">
        <v>-23.53</v>
      </c>
      <c r="E11">
        <v>1.746085696833148</v>
      </c>
      <c r="F11">
        <v>-1563</v>
      </c>
    </row>
    <row r="12" spans="1:6">
      <c r="A12" t="s">
        <v>86</v>
      </c>
      <c r="B12">
        <v>622</v>
      </c>
      <c r="C12">
        <v>2641.896484375</v>
      </c>
      <c r="D12">
        <v>23.54</v>
      </c>
      <c r="E12">
        <v>1.655500344946504</v>
      </c>
      <c r="F12">
        <v>1030</v>
      </c>
    </row>
    <row r="13" spans="1:6">
      <c r="A13" t="s">
        <v>88</v>
      </c>
      <c r="B13">
        <v>564</v>
      </c>
      <c r="C13">
        <v>3592.979248046875</v>
      </c>
      <c r="D13">
        <v>15.7</v>
      </c>
      <c r="E13">
        <v>1.790365075425532</v>
      </c>
      <c r="F13">
        <v>1010</v>
      </c>
    </row>
    <row r="14" spans="1:6">
      <c r="A14" t="s">
        <v>89</v>
      </c>
      <c r="B14">
        <v>163</v>
      </c>
      <c r="C14">
        <v>1268.1103515625</v>
      </c>
      <c r="D14">
        <v>12.85</v>
      </c>
      <c r="E14">
        <v>1.431256124341622</v>
      </c>
      <c r="F14">
        <v>233</v>
      </c>
    </row>
    <row r="15" spans="1:6">
      <c r="A15" t="s">
        <v>91</v>
      </c>
      <c r="B15">
        <v>125</v>
      </c>
      <c r="C15">
        <v>528.37933349609375</v>
      </c>
      <c r="D15">
        <v>23.66</v>
      </c>
      <c r="E15">
        <v>1.347204343515694</v>
      </c>
      <c r="F15">
        <v>168</v>
      </c>
    </row>
    <row r="16" spans="1:6">
      <c r="A16" t="s">
        <v>93</v>
      </c>
      <c r="B16">
        <v>274</v>
      </c>
      <c r="C16">
        <v>1162.434448242188</v>
      </c>
      <c r="D16">
        <v>23.57</v>
      </c>
      <c r="E16">
        <v>1.124094373324688</v>
      </c>
      <c r="F16">
        <v>308</v>
      </c>
    </row>
    <row r="17" spans="1:6">
      <c r="A17" t="s">
        <v>13</v>
      </c>
      <c r="B17">
        <v>-249</v>
      </c>
      <c r="C17">
        <v>1056.785766601562</v>
      </c>
      <c r="D17">
        <v>-23.56</v>
      </c>
      <c r="E17">
        <v>1.081052859909766</v>
      </c>
      <c r="F17">
        <v>-269</v>
      </c>
    </row>
    <row r="18" spans="1:6">
      <c r="A18" t="s">
        <v>95</v>
      </c>
      <c r="B18">
        <v>125</v>
      </c>
      <c r="C18">
        <v>528.3914794921875</v>
      </c>
      <c r="D18">
        <v>23.66</v>
      </c>
      <c r="E18">
        <v>2.1895372253274759</v>
      </c>
      <c r="F18">
        <v>274</v>
      </c>
    </row>
    <row r="19" spans="1:6">
      <c r="A19" t="s">
        <v>96</v>
      </c>
      <c r="B19">
        <v>-152</v>
      </c>
      <c r="C19">
        <v>3910.107177734375</v>
      </c>
      <c r="D19">
        <v>-3.89</v>
      </c>
      <c r="E19">
        <v>1.875885004756034</v>
      </c>
      <c r="F19">
        <v>-285</v>
      </c>
    </row>
    <row r="20" spans="1:6">
      <c r="A20" t="s">
        <v>98</v>
      </c>
      <c r="B20">
        <v>-367</v>
      </c>
      <c r="C20">
        <v>1902.214233398438</v>
      </c>
      <c r="D20">
        <v>-19.29</v>
      </c>
      <c r="E20">
        <v>1.2030698626345659</v>
      </c>
      <c r="F20">
        <v>-442</v>
      </c>
    </row>
    <row r="21" spans="1:6">
      <c r="A21" t="s">
        <v>100</v>
      </c>
      <c r="B21">
        <v>274</v>
      </c>
      <c r="C21">
        <v>1162.464233398438</v>
      </c>
      <c r="D21">
        <v>23.57</v>
      </c>
      <c r="E21">
        <v>1.4777506340761111</v>
      </c>
      <c r="F21">
        <v>405</v>
      </c>
    </row>
    <row r="22" spans="1:6">
      <c r="A22" t="s">
        <v>101</v>
      </c>
      <c r="B22">
        <v>75</v>
      </c>
      <c r="C22">
        <v>317.03570556640619</v>
      </c>
      <c r="D22">
        <v>23.66</v>
      </c>
      <c r="E22">
        <v>1.9836578871787349</v>
      </c>
      <c r="F22">
        <v>149</v>
      </c>
    </row>
    <row r="23" spans="1:6">
      <c r="A23" t="s">
        <v>15</v>
      </c>
      <c r="B23">
        <v>-622</v>
      </c>
      <c r="C23">
        <v>2641.96435546875</v>
      </c>
      <c r="D23">
        <v>-23.54</v>
      </c>
      <c r="E23">
        <v>3.3847602457845629</v>
      </c>
      <c r="F23">
        <v>-2105</v>
      </c>
    </row>
    <row r="24" spans="1:6">
      <c r="A24" t="s">
        <v>102</v>
      </c>
      <c r="B24">
        <v>224</v>
      </c>
      <c r="C24">
        <v>951.10711669921875</v>
      </c>
      <c r="D24">
        <v>23.55</v>
      </c>
      <c r="E24">
        <v>1.0005625262451581</v>
      </c>
      <c r="F24">
        <v>224</v>
      </c>
    </row>
    <row r="25" spans="1:6">
      <c r="A25" t="s">
        <v>104</v>
      </c>
      <c r="B25">
        <v>212</v>
      </c>
      <c r="C25">
        <v>898.26788330078125</v>
      </c>
      <c r="D25">
        <v>23.6</v>
      </c>
      <c r="E25">
        <v>0.79595347036346564</v>
      </c>
      <c r="F25">
        <v>169</v>
      </c>
    </row>
    <row r="26" spans="1:6">
      <c r="A26" t="s">
        <v>17</v>
      </c>
      <c r="B26">
        <v>125</v>
      </c>
      <c r="C26">
        <v>528.39288330078125</v>
      </c>
      <c r="D26">
        <v>23.66</v>
      </c>
      <c r="E26">
        <v>2.801905674979901</v>
      </c>
      <c r="F26">
        <v>350</v>
      </c>
    </row>
    <row r="27" spans="1:6">
      <c r="A27" t="s">
        <v>105</v>
      </c>
      <c r="B27">
        <v>299</v>
      </c>
      <c r="C27">
        <v>1268.142822265625</v>
      </c>
      <c r="D27">
        <v>23.58</v>
      </c>
      <c r="E27">
        <v>1.366643706562936</v>
      </c>
      <c r="F27">
        <v>409</v>
      </c>
    </row>
    <row r="28" spans="1:6">
      <c r="A28" t="s">
        <v>19</v>
      </c>
      <c r="B28">
        <v>254</v>
      </c>
      <c r="C28">
        <v>1902.214233398438</v>
      </c>
      <c r="D28">
        <v>13.35</v>
      </c>
      <c r="E28">
        <v>2.3416537941925299</v>
      </c>
      <c r="F28">
        <v>595</v>
      </c>
    </row>
    <row r="29" spans="1:6">
      <c r="A29" t="s">
        <v>107</v>
      </c>
      <c r="B29">
        <v>162</v>
      </c>
      <c r="C29">
        <v>686.91070556640625</v>
      </c>
      <c r="D29">
        <v>23.58</v>
      </c>
      <c r="E29">
        <v>2.9583936897957299</v>
      </c>
      <c r="F29">
        <v>479</v>
      </c>
    </row>
    <row r="30" spans="1:6">
      <c r="A30" t="s">
        <v>109</v>
      </c>
      <c r="B30">
        <v>199</v>
      </c>
      <c r="C30">
        <v>845.4285888671875</v>
      </c>
      <c r="D30">
        <v>23.54</v>
      </c>
      <c r="E30">
        <v>0.86820167441733886</v>
      </c>
      <c r="F30">
        <v>173</v>
      </c>
    </row>
    <row r="31" spans="1:6">
      <c r="A31" t="s">
        <v>110</v>
      </c>
      <c r="B31">
        <v>-945</v>
      </c>
      <c r="C31">
        <v>4015.78564453125</v>
      </c>
      <c r="D31">
        <v>-23.53</v>
      </c>
      <c r="E31">
        <v>1.175397900760242</v>
      </c>
      <c r="F31">
        <v>-1111</v>
      </c>
    </row>
    <row r="32" spans="1:6">
      <c r="A32" t="s">
        <v>112</v>
      </c>
      <c r="B32">
        <v>-945</v>
      </c>
      <c r="C32">
        <v>4015.78564453125</v>
      </c>
      <c r="D32">
        <v>-23.53</v>
      </c>
      <c r="E32">
        <v>1.2024238906508711</v>
      </c>
      <c r="F32">
        <v>-1136</v>
      </c>
    </row>
    <row r="33" spans="1:6">
      <c r="A33" t="s">
        <v>113</v>
      </c>
      <c r="B33">
        <v>-548</v>
      </c>
      <c r="C33">
        <v>2747.5751953125</v>
      </c>
      <c r="D33">
        <v>-19.940000000000001</v>
      </c>
      <c r="E33">
        <v>2.5525424471031362</v>
      </c>
      <c r="F33">
        <v>-1399</v>
      </c>
    </row>
    <row r="34" spans="1:6">
      <c r="A34" t="s">
        <v>115</v>
      </c>
      <c r="B34">
        <v>-249</v>
      </c>
      <c r="C34">
        <v>1056.758666992188</v>
      </c>
      <c r="D34">
        <v>-23.56</v>
      </c>
      <c r="E34">
        <v>1.188412494356234</v>
      </c>
      <c r="F34">
        <v>-296</v>
      </c>
    </row>
    <row r="35" spans="1:6">
      <c r="A35" t="s">
        <v>21</v>
      </c>
      <c r="B35">
        <v>162</v>
      </c>
      <c r="C35">
        <v>686.89447021484375</v>
      </c>
      <c r="D35">
        <v>23.58</v>
      </c>
      <c r="E35">
        <v>1.454627358631952</v>
      </c>
      <c r="F35">
        <v>236</v>
      </c>
    </row>
    <row r="36" spans="1:6">
      <c r="A36" t="s">
        <v>116</v>
      </c>
      <c r="B36">
        <v>75</v>
      </c>
      <c r="C36">
        <v>317.02999877929687</v>
      </c>
      <c r="D36">
        <v>23.66</v>
      </c>
      <c r="E36">
        <v>0.96627051425765342</v>
      </c>
      <c r="F36">
        <v>72</v>
      </c>
    </row>
    <row r="37" spans="1:6">
      <c r="A37" t="s">
        <v>117</v>
      </c>
      <c r="B37">
        <v>-846</v>
      </c>
      <c r="C37">
        <v>3592.979248046875</v>
      </c>
      <c r="D37">
        <v>-23.55</v>
      </c>
      <c r="E37">
        <v>4.0328110435848776</v>
      </c>
      <c r="F37">
        <v>-3412</v>
      </c>
    </row>
    <row r="38" spans="1:6">
      <c r="A38" t="s">
        <v>118</v>
      </c>
      <c r="B38">
        <v>373</v>
      </c>
      <c r="C38">
        <v>1585.22216796875</v>
      </c>
      <c r="D38">
        <v>23.53</v>
      </c>
      <c r="E38">
        <v>1.540484408085623</v>
      </c>
      <c r="F38">
        <v>575</v>
      </c>
    </row>
    <row r="39" spans="1:6">
      <c r="A39" t="s">
        <v>120</v>
      </c>
      <c r="B39">
        <v>522</v>
      </c>
      <c r="C39">
        <v>2219.31103515625</v>
      </c>
      <c r="D39">
        <v>23.52</v>
      </c>
      <c r="E39">
        <v>1.2922663351168939</v>
      </c>
      <c r="F39">
        <v>675</v>
      </c>
    </row>
    <row r="40" spans="1:6">
      <c r="A40" t="s">
        <v>121</v>
      </c>
      <c r="B40">
        <v>-696</v>
      </c>
      <c r="C40">
        <v>2959.08154296875</v>
      </c>
      <c r="D40">
        <v>-23.52</v>
      </c>
      <c r="E40">
        <v>1.2590827478873829</v>
      </c>
      <c r="F40">
        <v>-876</v>
      </c>
    </row>
    <row r="41" spans="1:6">
      <c r="A41" t="s">
        <v>183</v>
      </c>
      <c r="B41">
        <v>-423</v>
      </c>
      <c r="C41">
        <v>1796.585205078125</v>
      </c>
      <c r="D41">
        <v>-23.54</v>
      </c>
      <c r="E41">
        <v>0.90415055463969018</v>
      </c>
      <c r="F41">
        <v>-382</v>
      </c>
    </row>
    <row r="42" spans="1:6">
      <c r="A42" t="s">
        <v>22</v>
      </c>
      <c r="B42">
        <v>-1056</v>
      </c>
      <c r="C42">
        <v>4488</v>
      </c>
      <c r="D42">
        <v>-23.53</v>
      </c>
      <c r="E42">
        <v>2.4666334099143379</v>
      </c>
      <c r="F42">
        <v>-2605</v>
      </c>
    </row>
    <row r="43" spans="1:6">
      <c r="A43" t="s">
        <v>123</v>
      </c>
      <c r="B43">
        <v>258</v>
      </c>
      <c r="C43">
        <v>1912.354248046875</v>
      </c>
      <c r="D43">
        <v>13.49</v>
      </c>
      <c r="E43">
        <v>1.6447076618825089</v>
      </c>
      <c r="F43">
        <v>424</v>
      </c>
    </row>
    <row r="44" spans="1:6">
      <c r="A44" t="s">
        <v>125</v>
      </c>
      <c r="B44">
        <v>275</v>
      </c>
      <c r="C44">
        <v>2812.28564453125</v>
      </c>
      <c r="D44">
        <v>9.7799999999999994</v>
      </c>
      <c r="E44">
        <v>1.1890801795786781</v>
      </c>
      <c r="F44">
        <v>327</v>
      </c>
    </row>
    <row r="45" spans="1:6">
      <c r="A45" t="s">
        <v>127</v>
      </c>
      <c r="B45">
        <v>-417</v>
      </c>
      <c r="C45">
        <v>1768.837646484375</v>
      </c>
      <c r="D45">
        <v>-23.57</v>
      </c>
      <c r="E45">
        <v>2.119391417501824</v>
      </c>
      <c r="F45">
        <v>-884</v>
      </c>
    </row>
    <row r="46" spans="1:6">
      <c r="A46" t="s">
        <v>129</v>
      </c>
      <c r="B46">
        <v>-533</v>
      </c>
      <c r="C46">
        <v>2263.800048828125</v>
      </c>
      <c r="D46">
        <v>-23.54</v>
      </c>
      <c r="E46">
        <v>1.940964898673518</v>
      </c>
      <c r="F46">
        <v>-1035</v>
      </c>
    </row>
    <row r="47" spans="1:6">
      <c r="A47" t="s">
        <v>131</v>
      </c>
      <c r="B47">
        <v>235</v>
      </c>
      <c r="C47">
        <v>994.97119140625</v>
      </c>
      <c r="D47">
        <v>23.62</v>
      </c>
      <c r="E47">
        <v>0.98733695410284728</v>
      </c>
      <c r="F47">
        <v>232</v>
      </c>
    </row>
    <row r="48" spans="1:6">
      <c r="A48" t="s">
        <v>132</v>
      </c>
      <c r="B48">
        <v>98</v>
      </c>
      <c r="C48">
        <v>994.97119140625</v>
      </c>
      <c r="D48">
        <v>9.85</v>
      </c>
      <c r="E48">
        <v>1.5166119684307431</v>
      </c>
      <c r="F48">
        <v>149</v>
      </c>
    </row>
    <row r="49" spans="1:6">
      <c r="A49" t="s">
        <v>134</v>
      </c>
      <c r="B49">
        <v>-533</v>
      </c>
      <c r="C49">
        <v>2263.800048828125</v>
      </c>
      <c r="D49">
        <v>-23.54</v>
      </c>
      <c r="E49">
        <v>1.040411668492037</v>
      </c>
      <c r="F49">
        <v>-555</v>
      </c>
    </row>
    <row r="50" spans="1:6">
      <c r="A50" t="s">
        <v>135</v>
      </c>
      <c r="B50">
        <v>-1583</v>
      </c>
      <c r="C50">
        <v>6727.0498046875</v>
      </c>
      <c r="D50">
        <v>-23.53</v>
      </c>
      <c r="E50">
        <v>1.552968183098143</v>
      </c>
      <c r="F50">
        <v>-2458</v>
      </c>
    </row>
    <row r="51" spans="1:6">
      <c r="A51" t="s">
        <v>136</v>
      </c>
      <c r="B51">
        <v>91</v>
      </c>
      <c r="C51">
        <v>994.95001220703125</v>
      </c>
      <c r="D51">
        <v>9.15</v>
      </c>
      <c r="E51">
        <v>0.97393627981210396</v>
      </c>
      <c r="F51">
        <v>89</v>
      </c>
    </row>
    <row r="52" spans="1:6">
      <c r="A52" t="s">
        <v>138</v>
      </c>
      <c r="B52">
        <v>196</v>
      </c>
      <c r="C52">
        <v>831.5999755859375</v>
      </c>
      <c r="D52">
        <v>23.57</v>
      </c>
      <c r="E52">
        <v>1.67073274373762</v>
      </c>
      <c r="F52">
        <v>327</v>
      </c>
    </row>
    <row r="53" spans="1:6">
      <c r="A53" t="s">
        <v>140</v>
      </c>
      <c r="B53">
        <v>255</v>
      </c>
      <c r="C53">
        <v>1267.199951171875</v>
      </c>
      <c r="D53">
        <v>20.12</v>
      </c>
      <c r="E53">
        <v>2.487974492479494</v>
      </c>
      <c r="F53">
        <v>634</v>
      </c>
    </row>
    <row r="54" spans="1:6">
      <c r="A54" t="s">
        <v>141</v>
      </c>
      <c r="B54">
        <v>75</v>
      </c>
      <c r="C54">
        <v>316.79998779296881</v>
      </c>
      <c r="D54">
        <v>23.67</v>
      </c>
      <c r="E54">
        <v>1.049203768888058</v>
      </c>
      <c r="F54">
        <v>79</v>
      </c>
    </row>
    <row r="55" spans="1:6">
      <c r="A55" t="s">
        <v>142</v>
      </c>
      <c r="B55">
        <v>-848</v>
      </c>
      <c r="C55">
        <v>3603.60009765625</v>
      </c>
      <c r="D55">
        <v>-23.53</v>
      </c>
      <c r="E55">
        <v>2.7435226385042162</v>
      </c>
      <c r="F55">
        <v>-2327</v>
      </c>
    </row>
    <row r="56" spans="1:6">
      <c r="A56" t="s">
        <v>24</v>
      </c>
      <c r="B56">
        <v>401</v>
      </c>
      <c r="C56">
        <v>1702.800048828125</v>
      </c>
      <c r="D56">
        <v>23.55</v>
      </c>
      <c r="E56">
        <v>1.805670111039519</v>
      </c>
      <c r="F56">
        <v>724</v>
      </c>
    </row>
    <row r="57" spans="1:6">
      <c r="A57" t="s">
        <v>143</v>
      </c>
      <c r="B57">
        <v>-724</v>
      </c>
      <c r="C57">
        <v>3682.800048828125</v>
      </c>
      <c r="D57">
        <v>-19.66</v>
      </c>
      <c r="E57">
        <v>1.107025399761874</v>
      </c>
      <c r="F57">
        <v>-801</v>
      </c>
    </row>
    <row r="58" spans="1:6">
      <c r="A58" t="s">
        <v>26</v>
      </c>
      <c r="B58">
        <v>-708</v>
      </c>
      <c r="C58">
        <v>3009.60009765625</v>
      </c>
      <c r="D58">
        <v>-23.52</v>
      </c>
      <c r="E58">
        <v>2.007226838183485</v>
      </c>
      <c r="F58">
        <v>-1421</v>
      </c>
    </row>
    <row r="59" spans="1:6">
      <c r="A59" t="s">
        <v>144</v>
      </c>
      <c r="B59">
        <v>-559</v>
      </c>
      <c r="C59">
        <v>2376</v>
      </c>
      <c r="D59">
        <v>-23.53</v>
      </c>
      <c r="E59">
        <v>1.370399277577768</v>
      </c>
      <c r="F59">
        <v>-766</v>
      </c>
    </row>
    <row r="60" spans="1:6">
      <c r="A60" t="s">
        <v>146</v>
      </c>
      <c r="B60">
        <v>224</v>
      </c>
      <c r="C60">
        <v>950.4000244140625</v>
      </c>
      <c r="D60">
        <v>23.57</v>
      </c>
      <c r="E60">
        <v>0.88147757558878126</v>
      </c>
      <c r="F60">
        <v>197</v>
      </c>
    </row>
    <row r="61" spans="1:6">
      <c r="A61" t="s">
        <v>28</v>
      </c>
      <c r="B61">
        <v>-64</v>
      </c>
      <c r="C61">
        <v>1386</v>
      </c>
      <c r="D61">
        <v>-4.62</v>
      </c>
      <c r="E61">
        <v>2.573452571106785</v>
      </c>
      <c r="F61">
        <v>-165</v>
      </c>
    </row>
    <row r="62" spans="1:6">
      <c r="A62" t="s">
        <v>30</v>
      </c>
      <c r="B62">
        <v>83</v>
      </c>
      <c r="C62">
        <v>1386</v>
      </c>
      <c r="D62">
        <v>5.99</v>
      </c>
      <c r="E62">
        <v>2.388346259325806</v>
      </c>
      <c r="F62">
        <v>198</v>
      </c>
    </row>
    <row r="63" spans="1:6">
      <c r="A63" t="s">
        <v>148</v>
      </c>
      <c r="B63">
        <v>46</v>
      </c>
      <c r="C63">
        <v>1346.400024414062</v>
      </c>
      <c r="D63">
        <v>3.42</v>
      </c>
      <c r="E63">
        <v>1.7650490727825361</v>
      </c>
      <c r="F63">
        <v>81</v>
      </c>
    </row>
    <row r="64" spans="1:6">
      <c r="A64" t="s">
        <v>149</v>
      </c>
      <c r="B64">
        <v>-671</v>
      </c>
      <c r="C64">
        <v>2851.199951171875</v>
      </c>
      <c r="D64">
        <v>-23.53</v>
      </c>
      <c r="E64">
        <v>1.176754422765647</v>
      </c>
      <c r="F64">
        <v>-790</v>
      </c>
    </row>
    <row r="65" spans="1:6">
      <c r="A65" t="s">
        <v>150</v>
      </c>
      <c r="B65">
        <v>503</v>
      </c>
      <c r="C65">
        <v>2138.39990234375</v>
      </c>
      <c r="D65">
        <v>23.52</v>
      </c>
      <c r="E65">
        <v>0.87102899652196286</v>
      </c>
      <c r="F65">
        <v>438</v>
      </c>
    </row>
    <row r="66" spans="1:6">
      <c r="A66" t="s">
        <v>32</v>
      </c>
      <c r="B66">
        <v>243</v>
      </c>
      <c r="C66">
        <v>1029.599975585938</v>
      </c>
      <c r="D66">
        <v>23.6</v>
      </c>
      <c r="E66">
        <v>1.063507833152268</v>
      </c>
      <c r="F66">
        <v>258</v>
      </c>
    </row>
    <row r="67" spans="1:6">
      <c r="A67" t="s">
        <v>151</v>
      </c>
      <c r="B67">
        <v>227</v>
      </c>
      <c r="C67">
        <v>963.5999755859375</v>
      </c>
      <c r="D67">
        <v>23.56</v>
      </c>
      <c r="E67">
        <v>1.476906289369083</v>
      </c>
      <c r="F67">
        <v>335</v>
      </c>
    </row>
    <row r="68" spans="1:6">
      <c r="A68" t="s">
        <v>34</v>
      </c>
      <c r="B68">
        <v>-625</v>
      </c>
      <c r="C68">
        <v>2653.199951171875</v>
      </c>
      <c r="D68">
        <v>-23.56</v>
      </c>
      <c r="E68">
        <v>1.958781020067266</v>
      </c>
      <c r="F68">
        <v>-1224</v>
      </c>
    </row>
    <row r="69" spans="1:6">
      <c r="A69" t="s">
        <v>36</v>
      </c>
      <c r="B69">
        <v>417</v>
      </c>
      <c r="C69">
        <v>1768.800048828125</v>
      </c>
      <c r="D69">
        <v>23.58</v>
      </c>
      <c r="E69">
        <v>2.67254219316023</v>
      </c>
      <c r="F69">
        <v>1114</v>
      </c>
    </row>
    <row r="70" spans="1:6">
      <c r="A70" t="s">
        <v>37</v>
      </c>
      <c r="B70">
        <v>243</v>
      </c>
      <c r="C70">
        <v>1029.599975585938</v>
      </c>
      <c r="D70">
        <v>23.6</v>
      </c>
      <c r="E70">
        <v>1.229505923254985</v>
      </c>
      <c r="F70">
        <v>299</v>
      </c>
    </row>
    <row r="71" spans="1:6">
      <c r="A71" t="s">
        <v>152</v>
      </c>
      <c r="B71">
        <v>-31</v>
      </c>
      <c r="C71">
        <v>3168</v>
      </c>
      <c r="D71">
        <v>-0.98</v>
      </c>
      <c r="E71">
        <v>1.365612714917342</v>
      </c>
      <c r="F71">
        <v>-42</v>
      </c>
    </row>
    <row r="72" spans="1:6">
      <c r="A72" t="s">
        <v>154</v>
      </c>
      <c r="B72">
        <v>280</v>
      </c>
      <c r="C72">
        <v>1188</v>
      </c>
      <c r="D72">
        <v>23.57</v>
      </c>
      <c r="E72">
        <v>1.4803700648368681</v>
      </c>
      <c r="F72">
        <v>415</v>
      </c>
    </row>
    <row r="73" spans="1:6">
      <c r="A73" t="s">
        <v>155</v>
      </c>
      <c r="B73">
        <v>229</v>
      </c>
      <c r="C73">
        <v>2732.39990234375</v>
      </c>
      <c r="D73">
        <v>8.3800000000000008</v>
      </c>
      <c r="E73">
        <v>1.3427102314679491</v>
      </c>
      <c r="F73">
        <v>307</v>
      </c>
    </row>
    <row r="74" spans="1:6">
      <c r="A74" t="s">
        <v>39</v>
      </c>
      <c r="B74">
        <v>-202</v>
      </c>
      <c r="C74">
        <v>1346.400024414062</v>
      </c>
      <c r="D74">
        <v>-15</v>
      </c>
      <c r="E74">
        <v>2.2870634391536289</v>
      </c>
      <c r="F74">
        <v>-462</v>
      </c>
    </row>
    <row r="75" spans="1:6">
      <c r="A75" t="s">
        <v>157</v>
      </c>
      <c r="B75">
        <v>159</v>
      </c>
      <c r="C75">
        <v>673.20001220703125</v>
      </c>
      <c r="D75">
        <v>23.62</v>
      </c>
      <c r="E75">
        <v>1.377059956554068</v>
      </c>
      <c r="F75">
        <v>219</v>
      </c>
    </row>
    <row r="76" spans="1:6">
      <c r="A76" t="s">
        <v>41</v>
      </c>
      <c r="B76">
        <v>104</v>
      </c>
      <c r="C76">
        <v>440.19000244140619</v>
      </c>
      <c r="D76">
        <v>23.63</v>
      </c>
      <c r="E76">
        <v>1.5514585200642581</v>
      </c>
      <c r="F76">
        <v>161</v>
      </c>
    </row>
    <row r="77" spans="1:6">
      <c r="A77" t="s">
        <v>43</v>
      </c>
      <c r="B77">
        <v>208</v>
      </c>
      <c r="C77">
        <v>880.3800048828125</v>
      </c>
      <c r="D77">
        <v>23.63</v>
      </c>
      <c r="E77">
        <v>2.1944861452060231</v>
      </c>
      <c r="F77">
        <v>456</v>
      </c>
    </row>
    <row r="78" spans="1:6">
      <c r="A78" t="s">
        <v>45</v>
      </c>
      <c r="B78">
        <v>78</v>
      </c>
      <c r="C78">
        <v>330.14248657226562</v>
      </c>
      <c r="D78">
        <v>23.63</v>
      </c>
      <c r="E78">
        <v>1.335717329849736</v>
      </c>
      <c r="F78">
        <v>104</v>
      </c>
    </row>
    <row r="79" spans="1:6">
      <c r="A79" t="s">
        <v>47</v>
      </c>
      <c r="B79">
        <v>-163</v>
      </c>
      <c r="C79">
        <v>1650.712524414062</v>
      </c>
      <c r="D79">
        <v>-9.8699999999999992</v>
      </c>
      <c r="E79">
        <v>1.4893579651975259</v>
      </c>
      <c r="F79">
        <v>-243</v>
      </c>
    </row>
    <row r="80" spans="1:6">
      <c r="A80" t="s">
        <v>185</v>
      </c>
      <c r="B80">
        <v>52</v>
      </c>
      <c r="C80">
        <v>220.0950012207031</v>
      </c>
      <c r="D80">
        <v>23.63</v>
      </c>
      <c r="E80">
        <v>0.20765176744136701</v>
      </c>
      <c r="F80">
        <v>11</v>
      </c>
    </row>
    <row r="81" spans="1:6">
      <c r="A81" t="s">
        <v>159</v>
      </c>
      <c r="B81">
        <v>259</v>
      </c>
      <c r="C81">
        <v>1100.474975585938</v>
      </c>
      <c r="D81">
        <v>23.54</v>
      </c>
      <c r="E81">
        <v>1.7170056982768001</v>
      </c>
      <c r="F81">
        <v>445</v>
      </c>
    </row>
    <row r="82" spans="1:6">
      <c r="A82" t="s">
        <v>48</v>
      </c>
      <c r="B82">
        <v>-235</v>
      </c>
      <c r="C82">
        <v>1287</v>
      </c>
      <c r="D82">
        <v>-18.260000000000002</v>
      </c>
      <c r="E82">
        <v>2.0307063520629041</v>
      </c>
      <c r="F82">
        <v>-477</v>
      </c>
    </row>
    <row r="83" spans="1:6">
      <c r="A83" t="s">
        <v>161</v>
      </c>
      <c r="B83">
        <v>303</v>
      </c>
      <c r="C83">
        <v>1287</v>
      </c>
      <c r="D83">
        <v>23.54</v>
      </c>
      <c r="E83">
        <v>1.0099759525912759</v>
      </c>
      <c r="F83">
        <v>306</v>
      </c>
    </row>
    <row r="84" spans="1:6">
      <c r="A84" t="s">
        <v>49</v>
      </c>
      <c r="B84">
        <v>-445</v>
      </c>
      <c r="C84">
        <v>2641.139892578125</v>
      </c>
      <c r="D84">
        <v>-16.850000000000001</v>
      </c>
      <c r="E84">
        <v>2.07027816684757</v>
      </c>
      <c r="F84">
        <v>-921</v>
      </c>
    </row>
    <row r="85" spans="1:6">
      <c r="A85" t="s">
        <v>50</v>
      </c>
      <c r="B85">
        <v>-86</v>
      </c>
      <c r="C85">
        <v>880.3800048828125</v>
      </c>
      <c r="D85">
        <v>-9.77</v>
      </c>
      <c r="E85">
        <v>2.3350864424107258</v>
      </c>
      <c r="F85">
        <v>-201</v>
      </c>
    </row>
    <row r="86" spans="1:6">
      <c r="A86" t="s">
        <v>52</v>
      </c>
      <c r="B86">
        <v>162</v>
      </c>
      <c r="C86">
        <v>880.3800048828125</v>
      </c>
      <c r="D86">
        <v>18.399999999999999</v>
      </c>
      <c r="E86">
        <v>1.730066661328383</v>
      </c>
      <c r="F86">
        <v>280</v>
      </c>
    </row>
    <row r="87" spans="1:6">
      <c r="A87" t="s">
        <v>162</v>
      </c>
      <c r="B87">
        <v>-571</v>
      </c>
      <c r="C87">
        <v>2641.139892578125</v>
      </c>
      <c r="D87">
        <v>-21.62</v>
      </c>
      <c r="E87">
        <v>2.726612593185898</v>
      </c>
      <c r="F87">
        <v>-1557</v>
      </c>
    </row>
    <row r="88" spans="1:6">
      <c r="A88" t="s">
        <v>164</v>
      </c>
      <c r="B88">
        <v>622</v>
      </c>
      <c r="C88">
        <v>2641.139892578125</v>
      </c>
      <c r="D88">
        <v>23.55</v>
      </c>
      <c r="E88">
        <v>1.5436161827224451</v>
      </c>
      <c r="F88">
        <v>960</v>
      </c>
    </row>
    <row r="89" spans="1:6">
      <c r="A89" t="s">
        <v>165</v>
      </c>
      <c r="B89">
        <v>337</v>
      </c>
      <c r="C89">
        <v>1430.617431640625</v>
      </c>
      <c r="D89">
        <v>23.56</v>
      </c>
      <c r="E89">
        <v>2.393388960516162</v>
      </c>
      <c r="F89">
        <v>807</v>
      </c>
    </row>
    <row r="90" spans="1:6">
      <c r="A90" t="s">
        <v>166</v>
      </c>
      <c r="B90">
        <v>337</v>
      </c>
      <c r="C90">
        <v>1430.617553710938</v>
      </c>
      <c r="D90">
        <v>23.56</v>
      </c>
      <c r="E90">
        <v>1.009759922473884</v>
      </c>
      <c r="F90">
        <v>340</v>
      </c>
    </row>
    <row r="91" spans="1:6">
      <c r="A91" t="s">
        <v>167</v>
      </c>
      <c r="B91">
        <v>-669</v>
      </c>
      <c r="C91">
        <v>2861.235107421875</v>
      </c>
      <c r="D91">
        <v>-23.38</v>
      </c>
      <c r="E91">
        <v>0.9647134908880679</v>
      </c>
      <c r="F91">
        <v>-645</v>
      </c>
    </row>
    <row r="92" spans="1:6">
      <c r="A92" t="s">
        <v>169</v>
      </c>
      <c r="B92">
        <v>723</v>
      </c>
      <c r="C92">
        <v>3071.95068359375</v>
      </c>
      <c r="D92">
        <v>23.54</v>
      </c>
      <c r="E92">
        <v>1.143633801276223</v>
      </c>
      <c r="F92">
        <v>827</v>
      </c>
    </row>
    <row r="93" spans="1:6">
      <c r="A93" t="s">
        <v>171</v>
      </c>
      <c r="B93">
        <v>231</v>
      </c>
      <c r="C93">
        <v>1097.125</v>
      </c>
      <c r="D93">
        <v>21.06</v>
      </c>
      <c r="E93">
        <v>2.364525150381283</v>
      </c>
      <c r="F93">
        <v>546</v>
      </c>
    </row>
    <row r="94" spans="1:6">
      <c r="A94" t="s">
        <v>173</v>
      </c>
      <c r="B94">
        <v>-256</v>
      </c>
      <c r="C94">
        <v>2852.52490234375</v>
      </c>
      <c r="D94">
        <v>-8.9700000000000006</v>
      </c>
      <c r="E94">
        <v>1.2837948982134919</v>
      </c>
      <c r="F94">
        <v>-329</v>
      </c>
    </row>
    <row r="95" spans="1:6">
      <c r="A95" t="s">
        <v>54</v>
      </c>
      <c r="B95">
        <v>413</v>
      </c>
      <c r="C95">
        <v>1755.400024414062</v>
      </c>
      <c r="D95">
        <v>23.53</v>
      </c>
      <c r="E95">
        <v>0.1981659342365302</v>
      </c>
      <c r="F95">
        <v>82</v>
      </c>
    </row>
    <row r="96" spans="1:6">
      <c r="A96" t="s">
        <v>175</v>
      </c>
      <c r="B96">
        <v>160</v>
      </c>
      <c r="C96">
        <v>2633.10009765625</v>
      </c>
      <c r="D96">
        <v>6.08</v>
      </c>
      <c r="E96">
        <v>1.343551012400048</v>
      </c>
      <c r="F96">
        <v>215</v>
      </c>
    </row>
    <row r="97" spans="1:6">
      <c r="A97" t="s">
        <v>177</v>
      </c>
      <c r="B97">
        <v>132</v>
      </c>
      <c r="C97">
        <v>2633.10009765625</v>
      </c>
      <c r="D97">
        <v>5.01</v>
      </c>
      <c r="E97">
        <v>1.295634433443196</v>
      </c>
      <c r="F97">
        <v>171</v>
      </c>
    </row>
    <row r="98" spans="1:6">
      <c r="A98" t="s">
        <v>178</v>
      </c>
      <c r="B98">
        <v>-424</v>
      </c>
      <c r="C98">
        <v>2852.52490234375</v>
      </c>
      <c r="D98">
        <v>-14.86</v>
      </c>
      <c r="E98">
        <v>1.6769744576032179</v>
      </c>
      <c r="F98">
        <v>-711</v>
      </c>
    </row>
    <row r="99" spans="1:6">
      <c r="A99" t="s">
        <v>179</v>
      </c>
      <c r="B99">
        <v>671</v>
      </c>
      <c r="C99">
        <v>2852.52490234375</v>
      </c>
      <c r="D99">
        <v>23.52</v>
      </c>
      <c r="E99">
        <v>1.7492266549390709</v>
      </c>
      <c r="F99">
        <v>1174</v>
      </c>
    </row>
    <row r="100" spans="1:6">
      <c r="A100" t="s">
        <v>181</v>
      </c>
      <c r="B100">
        <v>723</v>
      </c>
      <c r="C100">
        <v>3071.949951171875</v>
      </c>
      <c r="D100">
        <v>23.54</v>
      </c>
      <c r="E100">
        <v>1.0315810454264069</v>
      </c>
      <c r="F100">
        <v>746</v>
      </c>
    </row>
    <row r="101" spans="1:6">
      <c r="A101" t="s">
        <v>182</v>
      </c>
      <c r="B101">
        <v>388</v>
      </c>
      <c r="C101">
        <v>1645.6875</v>
      </c>
      <c r="D101">
        <v>23.58</v>
      </c>
      <c r="E101">
        <v>0.86378621110485454</v>
      </c>
      <c r="F101">
        <v>335</v>
      </c>
    </row>
    <row r="102" spans="1:6">
      <c r="A102" t="s">
        <v>55</v>
      </c>
      <c r="B102">
        <v>568</v>
      </c>
      <c r="C102">
        <v>2413.675048828125</v>
      </c>
      <c r="D102">
        <v>23.53</v>
      </c>
      <c r="E102">
        <v>2.048635000405576</v>
      </c>
      <c r="F102">
        <v>1164</v>
      </c>
    </row>
    <row r="103" spans="1:6">
      <c r="A103" t="s">
        <v>56</v>
      </c>
      <c r="B103">
        <v>103</v>
      </c>
      <c r="C103">
        <v>1645.6875</v>
      </c>
      <c r="D103">
        <v>6.26</v>
      </c>
      <c r="E103">
        <v>1.426481474964997</v>
      </c>
      <c r="F103">
        <v>147</v>
      </c>
    </row>
    <row r="104" spans="1:6">
      <c r="A104" t="s">
        <v>58</v>
      </c>
      <c r="B104">
        <v>171</v>
      </c>
      <c r="C104">
        <v>726.32012939453125</v>
      </c>
      <c r="D104">
        <v>23.54</v>
      </c>
      <c r="E104">
        <v>2.3695042196617488</v>
      </c>
      <c r="F104">
        <v>405</v>
      </c>
    </row>
    <row r="105" spans="1:6">
      <c r="A105" t="s">
        <v>59</v>
      </c>
      <c r="B105">
        <v>98</v>
      </c>
      <c r="C105">
        <v>924.39959716796875</v>
      </c>
      <c r="D105">
        <v>10.6</v>
      </c>
      <c r="E105">
        <v>2.2752048801969749</v>
      </c>
      <c r="F105">
        <v>223</v>
      </c>
    </row>
    <row r="106" spans="1:6">
      <c r="A106" t="s">
        <v>60</v>
      </c>
      <c r="B106">
        <v>-140</v>
      </c>
      <c r="C106">
        <v>1122.485229492188</v>
      </c>
      <c r="D106">
        <v>-12.47</v>
      </c>
      <c r="E106">
        <v>1.631942838479602</v>
      </c>
      <c r="F106">
        <v>-228</v>
      </c>
    </row>
    <row r="107" spans="1:6">
      <c r="A107" t="s">
        <v>62</v>
      </c>
      <c r="B107">
        <v>94</v>
      </c>
      <c r="C107">
        <v>396.1712646484375</v>
      </c>
      <c r="D107">
        <v>23.73</v>
      </c>
      <c r="E107">
        <v>1.6737170916922639</v>
      </c>
      <c r="F107">
        <v>157</v>
      </c>
    </row>
    <row r="108" spans="1:6">
      <c r="A108" t="s">
        <v>63</v>
      </c>
      <c r="B108">
        <v>265</v>
      </c>
      <c r="C108">
        <v>1535.974975585938</v>
      </c>
      <c r="D108">
        <v>17.25</v>
      </c>
      <c r="E108">
        <v>2.077877524902874</v>
      </c>
      <c r="F108">
        <v>551</v>
      </c>
    </row>
    <row r="109" spans="1:6">
      <c r="A109" t="s">
        <v>64</v>
      </c>
      <c r="B109">
        <v>362</v>
      </c>
      <c r="C109">
        <v>1535.974975585938</v>
      </c>
      <c r="D109">
        <v>23.57</v>
      </c>
      <c r="E109">
        <v>1.1204361607239539</v>
      </c>
      <c r="F109">
        <v>406</v>
      </c>
    </row>
    <row r="110" spans="1:6">
      <c r="A110" t="s">
        <v>66</v>
      </c>
      <c r="B110">
        <v>140</v>
      </c>
      <c r="C110">
        <v>594.25689697265625</v>
      </c>
      <c r="D110">
        <v>23.56</v>
      </c>
      <c r="E110">
        <v>2.3644246453511681</v>
      </c>
      <c r="F110">
        <v>331</v>
      </c>
    </row>
    <row r="111" spans="1:6">
      <c r="A111" t="s">
        <v>67</v>
      </c>
      <c r="B111">
        <v>-533</v>
      </c>
      <c r="C111">
        <v>2575.113037109375</v>
      </c>
      <c r="D111">
        <v>-20.7</v>
      </c>
      <c r="E111">
        <v>1.225892844516028</v>
      </c>
      <c r="F111">
        <v>-653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Proyeccion_original</vt:lpstr>
      <vt:lpstr>Analisis_avanzado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2026-09-08T17:19:54Z</dcterms:created>
  <dcterms:modified xsi:type="dcterms:W3CDTF">2026-09-10T15:36:35Z</dcterms:modified>
</cp:coreProperties>
</file>