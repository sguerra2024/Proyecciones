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xternalLinks/externalLink4.xml" ContentType="application/vnd.openxmlformats-officedocument.spreadsheetml.externalLink+xml"/>
  <Override PartName="/docProps/app.xml" ContentType="application/vnd.openxmlformats-officedocument.extended-properties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-15" yWindow="-15" windowWidth="10260" windowHeight="7995"/>
  </bookViews>
  <sheets>
    <sheet name="Estimado_modelo" sheetId="1" r:id="rId1"/>
  </sheets>
  <externalReferences>
    <externalReference r:id="rId2"/>
    <externalReference r:id="rId3"/>
    <externalReference r:id="rId4"/>
    <externalReference r:id="rId5"/>
  </externalReferences>
  <definedNames>
    <definedName name="_xlnm._FilterDatabase" localSheetId="0" hidden="1">Estimado_modelo!$B$1:$J$420</definedName>
  </definedNames>
  <calcPr calcId="125725"/>
  <fileRecoveryPr repairLoad="1"/>
</workbook>
</file>

<file path=xl/calcChain.xml><?xml version="1.0" encoding="utf-8"?>
<calcChain xmlns="http://schemas.openxmlformats.org/spreadsheetml/2006/main">
  <c r="G184" i="1"/>
  <c r="I184" s="1"/>
  <c r="J184" s="1"/>
  <c r="G152"/>
  <c r="I152" s="1"/>
  <c r="J152" s="1"/>
  <c r="G361"/>
  <c r="I361" s="1"/>
  <c r="J361" s="1"/>
  <c r="G133"/>
  <c r="I133" s="1"/>
  <c r="J133" s="1"/>
  <c r="G15"/>
  <c r="I15" s="1"/>
  <c r="J15" s="1"/>
  <c r="G14"/>
  <c r="I14" s="1"/>
  <c r="J14" s="1"/>
  <c r="G355"/>
  <c r="I355" s="1"/>
  <c r="J355" s="1"/>
  <c r="G404"/>
  <c r="I404" s="1"/>
  <c r="J404" s="1"/>
  <c r="G67"/>
  <c r="I67" s="1"/>
  <c r="J67" s="1"/>
  <c r="G124"/>
  <c r="I124" s="1"/>
  <c r="J124" s="1"/>
  <c r="G69"/>
  <c r="I69" s="1"/>
  <c r="J69" s="1"/>
  <c r="G107"/>
  <c r="I107" s="1"/>
  <c r="J107" s="1"/>
  <c r="G323"/>
  <c r="I323" s="1"/>
  <c r="J323" s="1"/>
  <c r="G288"/>
  <c r="I288" s="1"/>
  <c r="J288" s="1"/>
  <c r="G248"/>
  <c r="I248" s="1"/>
  <c r="J248" s="1"/>
  <c r="G290"/>
  <c r="I290" s="1"/>
  <c r="J290" s="1"/>
  <c r="G154"/>
  <c r="I154" s="1"/>
  <c r="J154" s="1"/>
  <c r="G291"/>
  <c r="I291" s="1"/>
  <c r="J291" s="1"/>
  <c r="G325"/>
  <c r="I325" s="1"/>
  <c r="J325" s="1"/>
  <c r="G240"/>
  <c r="I240" s="1"/>
  <c r="J240" s="1"/>
  <c r="G284"/>
  <c r="I284" s="1"/>
  <c r="J284" s="1"/>
  <c r="G164"/>
  <c r="I164" s="1"/>
  <c r="J164" s="1"/>
  <c r="G384"/>
  <c r="I384" s="1"/>
  <c r="J384" s="1"/>
  <c r="G171"/>
  <c r="I171" s="1"/>
  <c r="J171" s="1"/>
  <c r="G181"/>
  <c r="I181" s="1"/>
  <c r="J181" s="1"/>
  <c r="G48"/>
  <c r="I48" s="1"/>
  <c r="J48" s="1"/>
  <c r="G144"/>
  <c r="I144" s="1"/>
  <c r="J144" s="1"/>
  <c r="G141"/>
  <c r="I141" s="1"/>
  <c r="J141" s="1"/>
  <c r="G125"/>
  <c r="I125" s="1"/>
  <c r="J125" s="1"/>
  <c r="G206"/>
  <c r="I206" s="1"/>
  <c r="J206" s="1"/>
  <c r="G307"/>
  <c r="I307" s="1"/>
  <c r="J307" s="1"/>
  <c r="G128"/>
  <c r="I128" s="1"/>
  <c r="J128" s="1"/>
  <c r="G251"/>
  <c r="I251" s="1"/>
  <c r="J251" s="1"/>
  <c r="G174"/>
  <c r="I174" s="1"/>
  <c r="J174" s="1"/>
  <c r="G82"/>
  <c r="I82" s="1"/>
  <c r="J82" s="1"/>
  <c r="G265"/>
  <c r="I265" s="1"/>
  <c r="J265" s="1"/>
  <c r="G166"/>
  <c r="I166" s="1"/>
  <c r="J166" s="1"/>
  <c r="G137"/>
  <c r="I137" s="1"/>
  <c r="J137" s="1"/>
  <c r="G6"/>
  <c r="I6" s="1"/>
  <c r="J6" s="1"/>
  <c r="G5"/>
  <c r="I5" s="1"/>
  <c r="J5" s="1"/>
  <c r="G90"/>
  <c r="I90" s="1"/>
  <c r="J90" s="1"/>
  <c r="G417"/>
  <c r="I417" s="1"/>
  <c r="J417" s="1"/>
  <c r="G375"/>
  <c r="I375" s="1"/>
  <c r="J375" s="1"/>
  <c r="G219"/>
  <c r="I219" s="1"/>
  <c r="J219" s="1"/>
  <c r="G41"/>
  <c r="I41" s="1"/>
  <c r="J41" s="1"/>
  <c r="G349"/>
  <c r="I349" s="1"/>
  <c r="J349" s="1"/>
  <c r="G60"/>
  <c r="I60" s="1"/>
  <c r="J60" s="1"/>
  <c r="G321"/>
  <c r="I321" s="1"/>
  <c r="J321" s="1"/>
  <c r="G415"/>
  <c r="I415" s="1"/>
  <c r="J415" s="1"/>
  <c r="G243"/>
  <c r="I243" s="1"/>
  <c r="J243" s="1"/>
  <c r="G110"/>
  <c r="I110" s="1"/>
  <c r="J110" s="1"/>
  <c r="G407"/>
  <c r="I407" s="1"/>
  <c r="J407" s="1"/>
  <c r="G157"/>
  <c r="I157" s="1"/>
  <c r="J157" s="1"/>
  <c r="G393"/>
  <c r="I393" s="1"/>
  <c r="J393" s="1"/>
  <c r="G390"/>
  <c r="I390" s="1"/>
  <c r="J390" s="1"/>
  <c r="G397"/>
  <c r="I397" s="1"/>
  <c r="J397" s="1"/>
  <c r="G410"/>
  <c r="I410" s="1"/>
  <c r="J410" s="1"/>
  <c r="G208"/>
  <c r="I208" s="1"/>
  <c r="J208" s="1"/>
  <c r="G176"/>
  <c r="I176" s="1"/>
  <c r="J176" s="1"/>
  <c r="G109"/>
  <c r="I109" s="1"/>
  <c r="J109" s="1"/>
  <c r="G146"/>
  <c r="I146" s="1"/>
  <c r="J146" s="1"/>
  <c r="G414"/>
  <c r="I414" s="1"/>
  <c r="J414" s="1"/>
  <c r="G318"/>
  <c r="I318" s="1"/>
  <c r="J318" s="1"/>
  <c r="G86"/>
  <c r="I86" s="1"/>
  <c r="J86" s="1"/>
  <c r="G65"/>
  <c r="I65" s="1"/>
  <c r="J65" s="1"/>
  <c r="G64"/>
  <c r="I64" s="1"/>
  <c r="J64" s="1"/>
  <c r="G95"/>
  <c r="I95" s="1"/>
  <c r="J95" s="1"/>
  <c r="G4"/>
  <c r="I4" s="1"/>
  <c r="J4" s="1"/>
  <c r="G117"/>
  <c r="I117" s="1"/>
  <c r="J117" s="1"/>
  <c r="G147"/>
  <c r="I147" s="1"/>
  <c r="J147" s="1"/>
  <c r="G396"/>
  <c r="I396" s="1"/>
  <c r="J396" s="1"/>
  <c r="G16"/>
  <c r="I16" s="1"/>
  <c r="J16" s="1"/>
  <c r="G317"/>
  <c r="I317" s="1"/>
  <c r="J317" s="1"/>
  <c r="G170"/>
  <c r="I170" s="1"/>
  <c r="J170" s="1"/>
  <c r="G87"/>
  <c r="I87" s="1"/>
  <c r="J87" s="1"/>
  <c r="G11"/>
  <c r="I11" s="1"/>
  <c r="J11" s="1"/>
  <c r="G300"/>
  <c r="I300" s="1"/>
  <c r="J300" s="1"/>
  <c r="G185"/>
  <c r="I185" s="1"/>
  <c r="J185" s="1"/>
  <c r="G319"/>
  <c r="I319" s="1"/>
  <c r="J319" s="1"/>
  <c r="G102"/>
  <c r="I102" s="1"/>
  <c r="J102" s="1"/>
  <c r="G54"/>
  <c r="I54" s="1"/>
  <c r="J54" s="1"/>
  <c r="G44"/>
  <c r="I44" s="1"/>
  <c r="J44" s="1"/>
  <c r="G175"/>
  <c r="I175" s="1"/>
  <c r="J175" s="1"/>
  <c r="G262"/>
  <c r="I262" s="1"/>
  <c r="J262" s="1"/>
  <c r="G51"/>
  <c r="I51" s="1"/>
  <c r="J51" s="1"/>
  <c r="G419"/>
  <c r="I419" s="1"/>
  <c r="J419" s="1"/>
  <c r="G400"/>
  <c r="I400" s="1"/>
  <c r="J400" s="1"/>
  <c r="G313"/>
  <c r="I313" s="1"/>
  <c r="J313" s="1"/>
  <c r="G198"/>
  <c r="I198" s="1"/>
  <c r="J198" s="1"/>
  <c r="G263"/>
  <c r="I263" s="1"/>
  <c r="J263" s="1"/>
  <c r="G212"/>
  <c r="I212" s="1"/>
  <c r="J212" s="1"/>
  <c r="G351"/>
  <c r="I351" s="1"/>
  <c r="J351" s="1"/>
  <c r="G96"/>
  <c r="I96" s="1"/>
  <c r="J96" s="1"/>
  <c r="G229"/>
  <c r="I229" s="1"/>
  <c r="J229" s="1"/>
  <c r="G85"/>
  <c r="I85" s="1"/>
  <c r="J85" s="1"/>
  <c r="G113"/>
  <c r="I113" s="1"/>
  <c r="J113" s="1"/>
  <c r="G57"/>
  <c r="I57" s="1"/>
  <c r="J57" s="1"/>
  <c r="G92"/>
  <c r="I92" s="1"/>
  <c r="J92" s="1"/>
  <c r="G230"/>
  <c r="I230" s="1"/>
  <c r="J230" s="1"/>
  <c r="G8"/>
  <c r="I8" s="1"/>
  <c r="J8" s="1"/>
  <c r="G295"/>
  <c r="I295" s="1"/>
  <c r="J295" s="1"/>
  <c r="G172"/>
  <c r="I172" s="1"/>
  <c r="J172" s="1"/>
  <c r="G190"/>
  <c r="I190" s="1"/>
  <c r="J190" s="1"/>
  <c r="G139"/>
  <c r="I139" s="1"/>
  <c r="J139" s="1"/>
  <c r="G195"/>
  <c r="I195" s="1"/>
  <c r="J195" s="1"/>
  <c r="G140"/>
  <c r="I140" s="1"/>
  <c r="J140" s="1"/>
  <c r="G216"/>
  <c r="I216" s="1"/>
  <c r="J216" s="1"/>
  <c r="G272"/>
  <c r="I272" s="1"/>
  <c r="J272" s="1"/>
  <c r="G99"/>
  <c r="I99" s="1"/>
  <c r="J99" s="1"/>
  <c r="G55"/>
  <c r="I55" s="1"/>
  <c r="J55" s="1"/>
  <c r="G45"/>
  <c r="I45" s="1"/>
  <c r="J45" s="1"/>
  <c r="G354"/>
  <c r="I354" s="1"/>
  <c r="J354" s="1"/>
  <c r="G322"/>
  <c r="I322" s="1"/>
  <c r="J322" s="1"/>
  <c r="G78"/>
  <c r="I78" s="1"/>
  <c r="J78" s="1"/>
  <c r="G151"/>
  <c r="I151" s="1"/>
  <c r="J151" s="1"/>
  <c r="G89"/>
  <c r="I89" s="1"/>
  <c r="J89" s="1"/>
  <c r="G234"/>
  <c r="I234" s="1"/>
  <c r="J234" s="1"/>
  <c r="G80"/>
  <c r="I80" s="1"/>
  <c r="J80" s="1"/>
  <c r="G135"/>
  <c r="I135" s="1"/>
  <c r="J135" s="1"/>
  <c r="G269"/>
  <c r="I269" s="1"/>
  <c r="J269" s="1"/>
  <c r="G377"/>
  <c r="I377" s="1"/>
  <c r="J377" s="1"/>
  <c r="G106"/>
  <c r="I106" s="1"/>
  <c r="J106" s="1"/>
  <c r="G111"/>
  <c r="I111" s="1"/>
  <c r="J111" s="1"/>
  <c r="G359"/>
  <c r="I359" s="1"/>
  <c r="J359" s="1"/>
  <c r="G104"/>
  <c r="I104" s="1"/>
  <c r="J104" s="1"/>
  <c r="G73"/>
  <c r="I73" s="1"/>
  <c r="J73" s="1"/>
  <c r="G193"/>
  <c r="I193" s="1"/>
  <c r="J193" s="1"/>
  <c r="G348"/>
  <c r="I348" s="1"/>
  <c r="J348" s="1"/>
  <c r="G108"/>
  <c r="I108" s="1"/>
  <c r="J108" s="1"/>
  <c r="G224"/>
  <c r="I224" s="1"/>
  <c r="J224" s="1"/>
  <c r="G12"/>
  <c r="I12" s="1"/>
  <c r="J12" s="1"/>
  <c r="G58"/>
  <c r="I58" s="1"/>
  <c r="J58" s="1"/>
  <c r="G101"/>
  <c r="I101" s="1"/>
  <c r="J101" s="1"/>
  <c r="G218"/>
  <c r="I218" s="1"/>
  <c r="J218" s="1"/>
  <c r="G116"/>
  <c r="I116" s="1"/>
  <c r="J116" s="1"/>
  <c r="G320"/>
  <c r="I320" s="1"/>
  <c r="J320" s="1"/>
  <c r="G77"/>
  <c r="I77" s="1"/>
  <c r="J77" s="1"/>
  <c r="G83"/>
  <c r="I83" s="1"/>
  <c r="J83" s="1"/>
  <c r="G138"/>
  <c r="I138" s="1"/>
  <c r="J138" s="1"/>
  <c r="G118"/>
  <c r="I118" s="1"/>
  <c r="J118" s="1"/>
  <c r="G62"/>
  <c r="I62" s="1"/>
  <c r="J62" s="1"/>
  <c r="G145"/>
  <c r="I145" s="1"/>
  <c r="J145" s="1"/>
  <c r="G39"/>
  <c r="I39" s="1"/>
  <c r="J39" s="1"/>
  <c r="G7"/>
  <c r="I7" s="1"/>
  <c r="J7" s="1"/>
  <c r="G61"/>
  <c r="I61" s="1"/>
  <c r="J61" s="1"/>
  <c r="G33"/>
  <c r="I33" s="1"/>
  <c r="J33" s="1"/>
  <c r="G406"/>
  <c r="I406" s="1"/>
  <c r="J406" s="1"/>
  <c r="G119"/>
  <c r="I119" s="1"/>
  <c r="J119" s="1"/>
  <c r="G225"/>
  <c r="I225" s="1"/>
  <c r="J225" s="1"/>
  <c r="G115"/>
  <c r="I115" s="1"/>
  <c r="J115" s="1"/>
  <c r="G191"/>
  <c r="I191" s="1"/>
  <c r="J191" s="1"/>
  <c r="G94"/>
  <c r="I94" s="1"/>
  <c r="J94" s="1"/>
  <c r="G245"/>
  <c r="I245" s="1"/>
  <c r="J245" s="1"/>
  <c r="G416"/>
  <c r="I416" s="1"/>
  <c r="J416" s="1"/>
  <c r="G199"/>
  <c r="I199" s="1"/>
  <c r="J199" s="1"/>
  <c r="G31"/>
  <c r="I31" s="1"/>
  <c r="J31" s="1"/>
  <c r="G336"/>
  <c r="I336" s="1"/>
  <c r="J336" s="1"/>
  <c r="G250"/>
  <c r="I250" s="1"/>
  <c r="J250" s="1"/>
  <c r="G196"/>
  <c r="I196" s="1"/>
  <c r="J196" s="1"/>
  <c r="G387"/>
  <c r="I387" s="1"/>
  <c r="J387" s="1"/>
  <c r="G328"/>
  <c r="I328" s="1"/>
  <c r="J328" s="1"/>
  <c r="G279"/>
  <c r="I279" s="1"/>
  <c r="J279" s="1"/>
  <c r="G79"/>
  <c r="I79" s="1"/>
  <c r="J79" s="1"/>
  <c r="G194"/>
  <c r="I194" s="1"/>
  <c r="J194" s="1"/>
  <c r="G36"/>
  <c r="I36" s="1"/>
  <c r="J36" s="1"/>
  <c r="G261"/>
  <c r="I261" s="1"/>
  <c r="J261" s="1"/>
  <c r="G303"/>
  <c r="I303" s="1"/>
  <c r="J303" s="1"/>
  <c r="G84"/>
  <c r="I84" s="1"/>
  <c r="J84" s="1"/>
  <c r="G98"/>
  <c r="I98" s="1"/>
  <c r="J98" s="1"/>
  <c r="G93"/>
  <c r="I93" s="1"/>
  <c r="J93" s="1"/>
  <c r="G52"/>
  <c r="I52" s="1"/>
  <c r="J52" s="1"/>
  <c r="G122"/>
  <c r="I122" s="1"/>
  <c r="J122" s="1"/>
  <c r="G3"/>
  <c r="I3" s="1"/>
  <c r="J3" s="1"/>
  <c r="G123"/>
  <c r="I123" s="1"/>
  <c r="J123" s="1"/>
  <c r="G233"/>
  <c r="I233" s="1"/>
  <c r="J233" s="1"/>
  <c r="G309"/>
  <c r="I309" s="1"/>
  <c r="J309" s="1"/>
  <c r="G56"/>
  <c r="I56" s="1"/>
  <c r="J56" s="1"/>
  <c r="G215"/>
  <c r="I215" s="1"/>
  <c r="J215" s="1"/>
  <c r="G53"/>
  <c r="I53" s="1"/>
  <c r="J53" s="1"/>
  <c r="G47"/>
  <c r="I47" s="1"/>
  <c r="J47" s="1"/>
  <c r="G18"/>
  <c r="I18" s="1"/>
  <c r="J18" s="1"/>
  <c r="G412"/>
  <c r="I412" s="1"/>
  <c r="J412" s="1"/>
  <c r="G232"/>
  <c r="I232" s="1"/>
  <c r="J232" s="1"/>
  <c r="G155"/>
  <c r="I155" s="1"/>
  <c r="J155" s="1"/>
  <c r="G105"/>
  <c r="I105" s="1"/>
  <c r="J105" s="1"/>
  <c r="G30"/>
  <c r="I30" s="1"/>
  <c r="J30" s="1"/>
  <c r="G136"/>
  <c r="I136" s="1"/>
  <c r="J136" s="1"/>
  <c r="G160"/>
  <c r="I160" s="1"/>
  <c r="J160" s="1"/>
  <c r="G273"/>
  <c r="I273" s="1"/>
  <c r="J273" s="1"/>
  <c r="G297"/>
  <c r="I297" s="1"/>
  <c r="J297" s="1"/>
  <c r="G420"/>
  <c r="I420" s="1"/>
  <c r="J420" s="1"/>
  <c r="G345"/>
  <c r="I345" s="1"/>
  <c r="J345" s="1"/>
  <c r="G380"/>
  <c r="I380" s="1"/>
  <c r="J380" s="1"/>
  <c r="G306"/>
  <c r="I306" s="1"/>
  <c r="J306" s="1"/>
  <c r="G217"/>
  <c r="I217" s="1"/>
  <c r="J217" s="1"/>
  <c r="G280"/>
  <c r="I280" s="1"/>
  <c r="J280" s="1"/>
  <c r="G353"/>
  <c r="I353" s="1"/>
  <c r="J353" s="1"/>
  <c r="G246"/>
  <c r="I246" s="1"/>
  <c r="J246" s="1"/>
  <c r="G182"/>
  <c r="I182" s="1"/>
  <c r="J182" s="1"/>
  <c r="G88"/>
  <c r="I88" s="1"/>
  <c r="J88" s="1"/>
  <c r="G129"/>
  <c r="I129" s="1"/>
  <c r="J129" s="1"/>
  <c r="G153"/>
  <c r="I153" s="1"/>
  <c r="J153" s="1"/>
  <c r="G126"/>
  <c r="I126" s="1"/>
  <c r="J126" s="1"/>
  <c r="G120"/>
  <c r="I120" s="1"/>
  <c r="J120" s="1"/>
  <c r="G46"/>
  <c r="I46" s="1"/>
  <c r="J46" s="1"/>
  <c r="G385"/>
  <c r="I385" s="1"/>
  <c r="J385" s="1"/>
  <c r="G173"/>
  <c r="I173" s="1"/>
  <c r="J173" s="1"/>
  <c r="G156"/>
  <c r="I156" s="1"/>
  <c r="J156" s="1"/>
  <c r="G100"/>
  <c r="I100" s="1"/>
  <c r="J100" s="1"/>
  <c r="G274"/>
  <c r="I274" s="1"/>
  <c r="J274" s="1"/>
  <c r="G180"/>
  <c r="I180" s="1"/>
  <c r="J180" s="1"/>
  <c r="G183"/>
  <c r="I183" s="1"/>
  <c r="J183" s="1"/>
  <c r="G27"/>
  <c r="I27" s="1"/>
  <c r="J27" s="1"/>
  <c r="G162"/>
  <c r="I162" s="1"/>
  <c r="J162" s="1"/>
  <c r="G197"/>
  <c r="I197" s="1"/>
  <c r="J197" s="1"/>
  <c r="G131"/>
  <c r="I131" s="1"/>
  <c r="J131" s="1"/>
  <c r="G148"/>
  <c r="I148" s="1"/>
  <c r="J148" s="1"/>
  <c r="G130"/>
  <c r="I130" s="1"/>
  <c r="J130" s="1"/>
  <c r="G213"/>
  <c r="I213" s="1"/>
  <c r="J213" s="1"/>
  <c r="G168"/>
  <c r="I168" s="1"/>
  <c r="J168" s="1"/>
  <c r="G112"/>
  <c r="I112" s="1"/>
  <c r="J112" s="1"/>
  <c r="G395"/>
  <c r="I395" s="1"/>
  <c r="J395" s="1"/>
  <c r="G75"/>
  <c r="I75" s="1"/>
  <c r="J75" s="1"/>
  <c r="G329"/>
  <c r="I329" s="1"/>
  <c r="J329" s="1"/>
  <c r="G257"/>
  <c r="I257" s="1"/>
  <c r="J257" s="1"/>
  <c r="G367"/>
  <c r="I367" s="1"/>
  <c r="J367" s="1"/>
  <c r="G114"/>
  <c r="I114" s="1"/>
  <c r="J114" s="1"/>
  <c r="G25"/>
  <c r="I25" s="1"/>
  <c r="J25" s="1"/>
  <c r="G346"/>
  <c r="I346" s="1"/>
  <c r="J346" s="1"/>
  <c r="G91"/>
  <c r="I91" s="1"/>
  <c r="J91" s="1"/>
  <c r="G50"/>
  <c r="I50" s="1"/>
  <c r="J50" s="1"/>
  <c r="G134"/>
  <c r="I134" s="1"/>
  <c r="J134" s="1"/>
  <c r="G227"/>
  <c r="I227" s="1"/>
  <c r="J227" s="1"/>
  <c r="G26"/>
  <c r="I26" s="1"/>
  <c r="J26" s="1"/>
  <c r="G186"/>
  <c r="I186" s="1"/>
  <c r="J186" s="1"/>
  <c r="G17"/>
  <c r="I17" s="1"/>
  <c r="J17" s="1"/>
  <c r="G37"/>
  <c r="I37" s="1"/>
  <c r="J37" s="1"/>
  <c r="G66"/>
  <c r="I66" s="1"/>
  <c r="J66" s="1"/>
  <c r="G72"/>
  <c r="I72" s="1"/>
  <c r="J72" s="1"/>
  <c r="G178"/>
  <c r="I178" s="1"/>
  <c r="J178" s="1"/>
  <c r="G405"/>
  <c r="I405" s="1"/>
  <c r="J405" s="1"/>
  <c r="G28"/>
  <c r="I28" s="1"/>
  <c r="J28" s="1"/>
  <c r="G19"/>
  <c r="I19" s="1"/>
  <c r="J19" s="1"/>
  <c r="G74"/>
  <c r="I74" s="1"/>
  <c r="J74" s="1"/>
  <c r="G42"/>
  <c r="I42" s="1"/>
  <c r="J42" s="1"/>
  <c r="G81"/>
  <c r="I81" s="1"/>
  <c r="J81" s="1"/>
  <c r="G71"/>
  <c r="I71" s="1"/>
  <c r="J71" s="1"/>
  <c r="G13"/>
  <c r="I13" s="1"/>
  <c r="J13" s="1"/>
  <c r="G10"/>
  <c r="I10" s="1"/>
  <c r="J10" s="1"/>
  <c r="G49"/>
  <c r="I49" s="1"/>
  <c r="J49" s="1"/>
  <c r="G38"/>
  <c r="I38" s="1"/>
  <c r="J38" s="1"/>
  <c r="G220"/>
  <c r="I220" s="1"/>
  <c r="J220" s="1"/>
  <c r="G40"/>
  <c r="I40" s="1"/>
  <c r="J40" s="1"/>
  <c r="G192"/>
  <c r="I192" s="1"/>
  <c r="J192" s="1"/>
  <c r="G59"/>
  <c r="I59" s="1"/>
  <c r="J59" s="1"/>
  <c r="G244"/>
  <c r="I244" s="1"/>
  <c r="J244" s="1"/>
  <c r="G314"/>
  <c r="I314" s="1"/>
  <c r="J314" s="1"/>
  <c r="G253"/>
  <c r="I253" s="1"/>
  <c r="J253" s="1"/>
  <c r="G411"/>
  <c r="I411" s="1"/>
  <c r="J411" s="1"/>
  <c r="G165"/>
  <c r="I165" s="1"/>
  <c r="J165" s="1"/>
  <c r="G35"/>
  <c r="I35" s="1"/>
  <c r="J35" s="1"/>
  <c r="G200"/>
  <c r="I200" s="1"/>
  <c r="J200" s="1"/>
  <c r="G187"/>
  <c r="I187" s="1"/>
  <c r="J187" s="1"/>
  <c r="G305"/>
  <c r="I305" s="1"/>
  <c r="J305" s="1"/>
  <c r="G221"/>
  <c r="I221" s="1"/>
  <c r="J221" s="1"/>
  <c r="G203"/>
  <c r="I203" s="1"/>
  <c r="J203" s="1"/>
  <c r="G24"/>
  <c r="I24" s="1"/>
  <c r="J24" s="1"/>
  <c r="G23"/>
  <c r="I23" s="1"/>
  <c r="J23" s="1"/>
  <c r="G252"/>
  <c r="I252" s="1"/>
  <c r="J252" s="1"/>
  <c r="G9"/>
  <c r="I9" s="1"/>
  <c r="J9" s="1"/>
  <c r="G163"/>
  <c r="I163" s="1"/>
  <c r="J163" s="1"/>
  <c r="G76"/>
  <c r="I76" s="1"/>
  <c r="J76" s="1"/>
  <c r="G132"/>
  <c r="I132" s="1"/>
  <c r="J132" s="1"/>
  <c r="G169"/>
  <c r="I169" s="1"/>
  <c r="J169" s="1"/>
  <c r="G159"/>
  <c r="I159" s="1"/>
  <c r="J159" s="1"/>
  <c r="G63"/>
  <c r="I63" s="1"/>
  <c r="J63" s="1"/>
  <c r="G22"/>
  <c r="I22" s="1"/>
  <c r="J22" s="1"/>
  <c r="G2"/>
  <c r="I2" s="1"/>
  <c r="J2" s="1"/>
  <c r="G249"/>
  <c r="I249" s="1"/>
  <c r="J249" s="1"/>
  <c r="G143"/>
  <c r="I143" s="1"/>
  <c r="J143" s="1"/>
  <c r="G158"/>
  <c r="I158" s="1"/>
  <c r="J158" s="1"/>
  <c r="G228"/>
  <c r="I228" s="1"/>
  <c r="J228" s="1"/>
  <c r="G142"/>
  <c r="I142" s="1"/>
  <c r="J142" s="1"/>
  <c r="G29"/>
  <c r="I29" s="1"/>
  <c r="J29" s="1"/>
  <c r="G68"/>
  <c r="I68" s="1"/>
  <c r="J68" s="1"/>
  <c r="G43"/>
  <c r="I43" s="1"/>
  <c r="J43" s="1"/>
  <c r="G408"/>
  <c r="I408" s="1"/>
  <c r="J408" s="1"/>
  <c r="G34"/>
  <c r="I34" s="1"/>
  <c r="J34" s="1"/>
  <c r="G20"/>
  <c r="I20" s="1"/>
  <c r="J20" s="1"/>
  <c r="G21"/>
  <c r="I21" s="1"/>
  <c r="J21" s="1"/>
  <c r="G32"/>
  <c r="I32" s="1"/>
  <c r="J32" s="1"/>
  <c r="G293"/>
  <c r="I293" s="1"/>
  <c r="J293" s="1"/>
  <c r="G204"/>
  <c r="I204" s="1"/>
  <c r="J204" s="1"/>
  <c r="G223"/>
  <c r="I223" s="1"/>
  <c r="J223" s="1"/>
  <c r="G402"/>
  <c r="I402" s="1"/>
  <c r="J402" s="1"/>
  <c r="G418"/>
  <c r="I418" s="1"/>
  <c r="J418" s="1"/>
  <c r="G298"/>
  <c r="I298" s="1"/>
  <c r="J298" s="1"/>
  <c r="G413"/>
  <c r="I413" s="1"/>
  <c r="J413" s="1"/>
  <c r="G342"/>
  <c r="I342" s="1"/>
  <c r="J342" s="1"/>
  <c r="G239"/>
  <c r="I239" s="1"/>
  <c r="J239" s="1"/>
  <c r="G338"/>
  <c r="I338" s="1"/>
  <c r="J338" s="1"/>
  <c r="G121"/>
  <c r="I121" s="1"/>
  <c r="J121" s="1"/>
  <c r="G364"/>
  <c r="I364" s="1"/>
  <c r="J364" s="1"/>
  <c r="G177"/>
  <c r="I177" s="1"/>
  <c r="J177" s="1"/>
  <c r="G70"/>
  <c r="I70" s="1"/>
  <c r="J70" s="1"/>
  <c r="G97"/>
  <c r="I97" s="1"/>
  <c r="J97" s="1"/>
  <c r="G150"/>
  <c r="I150" s="1"/>
  <c r="J150" s="1"/>
  <c r="G161"/>
  <c r="I161" s="1"/>
  <c r="J161" s="1"/>
  <c r="G103"/>
  <c r="I103" s="1"/>
  <c r="J103" s="1"/>
  <c r="G207"/>
  <c r="I207" s="1"/>
  <c r="J207" s="1"/>
  <c r="G409"/>
  <c r="I409" s="1"/>
  <c r="J409" s="1"/>
  <c r="G167"/>
  <c r="I167" s="1"/>
  <c r="J167" s="1"/>
  <c r="G333"/>
  <c r="I333" s="1"/>
  <c r="J333" s="1"/>
  <c r="G242"/>
  <c r="I242" s="1"/>
  <c r="J242" s="1"/>
  <c r="G127"/>
  <c r="I127" s="1"/>
  <c r="J127" s="1"/>
  <c r="G287"/>
  <c r="I287" s="1"/>
  <c r="J287" s="1"/>
  <c r="G371"/>
  <c r="I371" s="1"/>
  <c r="J371" s="1"/>
  <c r="G344"/>
  <c r="I344" s="1"/>
  <c r="J344" s="1"/>
  <c r="G311"/>
  <c r="I311" s="1"/>
  <c r="J311" s="1"/>
  <c r="G392"/>
  <c r="I392" s="1"/>
  <c r="J392" s="1"/>
  <c r="G379"/>
  <c r="I379" s="1"/>
  <c r="J379" s="1"/>
  <c r="G330"/>
  <c r="I330" s="1"/>
  <c r="J330" s="1"/>
  <c r="G202"/>
  <c r="I202" s="1"/>
  <c r="J202" s="1"/>
  <c r="G350"/>
  <c r="I350" s="1"/>
  <c r="J350" s="1"/>
  <c r="G347"/>
  <c r="I347" s="1"/>
  <c r="J347" s="1"/>
  <c r="G370"/>
  <c r="I370" s="1"/>
  <c r="J370" s="1"/>
  <c r="G276"/>
  <c r="I276" s="1"/>
  <c r="J276" s="1"/>
  <c r="G299"/>
  <c r="I299" s="1"/>
  <c r="J299" s="1"/>
  <c r="G275"/>
  <c r="I275" s="1"/>
  <c r="J275" s="1"/>
  <c r="G358"/>
  <c r="I358" s="1"/>
  <c r="J358" s="1"/>
  <c r="G376"/>
  <c r="I376" s="1"/>
  <c r="J376" s="1"/>
  <c r="G255"/>
  <c r="I255" s="1"/>
  <c r="J255" s="1"/>
  <c r="G292"/>
  <c r="I292" s="1"/>
  <c r="J292" s="1"/>
  <c r="G373"/>
  <c r="I373" s="1"/>
  <c r="J373" s="1"/>
  <c r="G286"/>
  <c r="I286" s="1"/>
  <c r="J286" s="1"/>
  <c r="G308"/>
  <c r="I308" s="1"/>
  <c r="J308" s="1"/>
  <c r="G258"/>
  <c r="I258" s="1"/>
  <c r="J258" s="1"/>
  <c r="G222"/>
  <c r="I222" s="1"/>
  <c r="J222" s="1"/>
  <c r="G236"/>
  <c r="I236" s="1"/>
  <c r="J236" s="1"/>
  <c r="G315"/>
  <c r="I315" s="1"/>
  <c r="J315" s="1"/>
  <c r="G271"/>
  <c r="I271" s="1"/>
  <c r="J271" s="1"/>
  <c r="G310"/>
  <c r="I310" s="1"/>
  <c r="J310" s="1"/>
  <c r="G189"/>
  <c r="I189" s="1"/>
  <c r="J189" s="1"/>
  <c r="G301"/>
  <c r="I301" s="1"/>
  <c r="J301" s="1"/>
  <c r="G381"/>
  <c r="I381" s="1"/>
  <c r="J381" s="1"/>
  <c r="G383"/>
  <c r="I383" s="1"/>
  <c r="J383" s="1"/>
  <c r="G343"/>
  <c r="I343" s="1"/>
  <c r="J343" s="1"/>
  <c r="G241"/>
  <c r="I241" s="1"/>
  <c r="J241" s="1"/>
  <c r="G285"/>
  <c r="I285" s="1"/>
  <c r="J285" s="1"/>
  <c r="G339"/>
  <c r="I339" s="1"/>
  <c r="J339" s="1"/>
  <c r="G337"/>
  <c r="I337" s="1"/>
  <c r="J337" s="1"/>
  <c r="G365"/>
  <c r="I365" s="1"/>
  <c r="J365" s="1"/>
  <c r="G281"/>
  <c r="I281" s="1"/>
  <c r="J281" s="1"/>
  <c r="G260"/>
  <c r="I260" s="1"/>
  <c r="J260" s="1"/>
  <c r="G231"/>
  <c r="I231" s="1"/>
  <c r="J231" s="1"/>
  <c r="G362"/>
  <c r="I362" s="1"/>
  <c r="J362" s="1"/>
  <c r="G368"/>
  <c r="I368" s="1"/>
  <c r="J368" s="1"/>
  <c r="G270"/>
  <c r="I270" s="1"/>
  <c r="J270" s="1"/>
  <c r="G386"/>
  <c r="I386" s="1"/>
  <c r="J386" s="1"/>
  <c r="G214"/>
  <c r="I214" s="1"/>
  <c r="J214" s="1"/>
  <c r="G326"/>
  <c r="I326" s="1"/>
  <c r="J326" s="1"/>
  <c r="G394"/>
  <c r="I394" s="1"/>
  <c r="J394" s="1"/>
  <c r="G334"/>
  <c r="I334" s="1"/>
  <c r="J334" s="1"/>
  <c r="G389"/>
  <c r="I389" s="1"/>
  <c r="J389" s="1"/>
  <c r="G278"/>
  <c r="I278" s="1"/>
  <c r="J278" s="1"/>
  <c r="G226"/>
  <c r="I226" s="1"/>
  <c r="J226" s="1"/>
  <c r="G341"/>
  <c r="I341" s="1"/>
  <c r="J341" s="1"/>
  <c r="G304"/>
  <c r="I304" s="1"/>
  <c r="J304" s="1"/>
  <c r="G378"/>
  <c r="I378" s="1"/>
  <c r="J378" s="1"/>
  <c r="G211"/>
  <c r="I211" s="1"/>
  <c r="J211" s="1"/>
  <c r="G247"/>
  <c r="I247" s="1"/>
  <c r="J247" s="1"/>
  <c r="G205"/>
  <c r="I205" s="1"/>
  <c r="J205" s="1"/>
  <c r="G283"/>
  <c r="I283" s="1"/>
  <c r="J283" s="1"/>
  <c r="G363"/>
  <c r="I363" s="1"/>
  <c r="J363" s="1"/>
  <c r="G369"/>
  <c r="I369" s="1"/>
  <c r="J369" s="1"/>
  <c r="G357"/>
  <c r="I357" s="1"/>
  <c r="J357" s="1"/>
  <c r="G259"/>
  <c r="I259" s="1"/>
  <c r="J259" s="1"/>
  <c r="G340"/>
  <c r="I340" s="1"/>
  <c r="J340" s="1"/>
  <c r="G238"/>
  <c r="I238" s="1"/>
  <c r="J238" s="1"/>
  <c r="G372"/>
  <c r="I372" s="1"/>
  <c r="J372" s="1"/>
  <c r="G254"/>
  <c r="I254" s="1"/>
  <c r="J254" s="1"/>
  <c r="G256"/>
  <c r="I256" s="1"/>
  <c r="J256" s="1"/>
  <c r="G352"/>
  <c r="I352" s="1"/>
  <c r="J352" s="1"/>
  <c r="G235"/>
  <c r="I235" s="1"/>
  <c r="J235" s="1"/>
  <c r="G289"/>
  <c r="I289" s="1"/>
  <c r="J289" s="1"/>
  <c r="G388"/>
  <c r="I388" s="1"/>
  <c r="J388" s="1"/>
  <c r="G268"/>
  <c r="I268" s="1"/>
  <c r="J268" s="1"/>
  <c r="G302"/>
  <c r="I302" s="1"/>
  <c r="J302" s="1"/>
  <c r="G179"/>
  <c r="I179" s="1"/>
  <c r="J179" s="1"/>
  <c r="G296"/>
  <c r="I296" s="1"/>
  <c r="J296" s="1"/>
  <c r="G331"/>
  <c r="I331" s="1"/>
  <c r="J331" s="1"/>
  <c r="G335"/>
  <c r="I335" s="1"/>
  <c r="J335" s="1"/>
  <c r="G201"/>
  <c r="I201" s="1"/>
  <c r="J201" s="1"/>
  <c r="G210"/>
  <c r="I210" s="1"/>
  <c r="J210" s="1"/>
  <c r="G294"/>
  <c r="I294" s="1"/>
  <c r="J294" s="1"/>
  <c r="G391"/>
  <c r="I391" s="1"/>
  <c r="J391" s="1"/>
  <c r="G327"/>
  <c r="I327" s="1"/>
  <c r="J327" s="1"/>
  <c r="G324"/>
  <c r="I324" s="1"/>
  <c r="J324" s="1"/>
  <c r="G401"/>
  <c r="I401" s="1"/>
  <c r="J401" s="1"/>
  <c r="G403"/>
  <c r="I403" s="1"/>
  <c r="J403" s="1"/>
  <c r="G316"/>
  <c r="I316" s="1"/>
  <c r="J316" s="1"/>
  <c r="G356"/>
  <c r="I356" s="1"/>
  <c r="J356" s="1"/>
  <c r="G399"/>
  <c r="I399" s="1"/>
  <c r="J399" s="1"/>
  <c r="G237"/>
  <c r="I237" s="1"/>
  <c r="J237" s="1"/>
  <c r="G332"/>
  <c r="I332" s="1"/>
  <c r="J332" s="1"/>
  <c r="G264"/>
  <c r="I264" s="1"/>
  <c r="J264" s="1"/>
  <c r="G398"/>
  <c r="I398" s="1"/>
  <c r="J398" s="1"/>
  <c r="G312"/>
  <c r="I312" s="1"/>
  <c r="J312" s="1"/>
  <c r="G188"/>
  <c r="I188" s="1"/>
  <c r="J188" s="1"/>
  <c r="G267"/>
  <c r="I267" s="1"/>
  <c r="J267" s="1"/>
  <c r="G282"/>
  <c r="I282" s="1"/>
  <c r="J282" s="1"/>
  <c r="G277"/>
  <c r="I277" s="1"/>
  <c r="J277" s="1"/>
  <c r="G209"/>
  <c r="I209" s="1"/>
  <c r="J209" s="1"/>
  <c r="G149"/>
  <c r="I149" s="1"/>
  <c r="J149" s="1"/>
  <c r="G382"/>
  <c r="I382" s="1"/>
  <c r="J382" s="1"/>
  <c r="G360"/>
  <c r="I360" s="1"/>
  <c r="J360" s="1"/>
  <c r="G374"/>
  <c r="I374" s="1"/>
  <c r="J374" s="1"/>
  <c r="G266"/>
  <c r="I266" s="1"/>
  <c r="J266" s="1"/>
  <c r="G366"/>
  <c r="I366" s="1"/>
  <c r="J366" s="1"/>
</calcChain>
</file>

<file path=xl/sharedStrings.xml><?xml version="1.0" encoding="utf-8"?>
<sst xmlns="http://schemas.openxmlformats.org/spreadsheetml/2006/main" count="1686" uniqueCount="110">
  <si>
    <t>Anio</t>
  </si>
  <si>
    <t>Semana</t>
  </si>
  <si>
    <t>Producto</t>
  </si>
  <si>
    <t>Finca</t>
  </si>
  <si>
    <t>Bloque</t>
  </si>
  <si>
    <t>Variedad</t>
  </si>
  <si>
    <t>Estimado_modelo</t>
  </si>
  <si>
    <t>STANDARD</t>
  </si>
  <si>
    <t>ASTROFLORES</t>
  </si>
  <si>
    <t>LUMIA</t>
  </si>
  <si>
    <t>SPRAY</t>
  </si>
  <si>
    <t>SOMERSET</t>
  </si>
  <si>
    <t>BELLINA</t>
  </si>
  <si>
    <t>ELBA</t>
  </si>
  <si>
    <t>HOT BUBBLES</t>
  </si>
  <si>
    <t>SUSPIRO</t>
  </si>
  <si>
    <t>SNOW BUBBLES</t>
  </si>
  <si>
    <t>FRUITY BUBBLES</t>
  </si>
  <si>
    <t>FELLINI</t>
  </si>
  <si>
    <t>GOOD PEACH</t>
  </si>
  <si>
    <t>GOOD YELLOW</t>
  </si>
  <si>
    <t>ORANGE STAR</t>
  </si>
  <si>
    <t>COSMO</t>
  </si>
  <si>
    <t>RUBICON</t>
  </si>
  <si>
    <t>SUMMER DANCE</t>
  </si>
  <si>
    <t>ELEGANT ROSEVER</t>
  </si>
  <si>
    <t>FLAME CLUB</t>
  </si>
  <si>
    <t>KELLY</t>
  </si>
  <si>
    <t>LEILA</t>
  </si>
  <si>
    <t>MIRABEL</t>
  </si>
  <si>
    <t>82989</t>
  </si>
  <si>
    <t>VELVET BLOSSOMS</t>
  </si>
  <si>
    <t>CREAMY FOLIES</t>
  </si>
  <si>
    <t>BELIEVE IN PINK</t>
  </si>
  <si>
    <t>EXPLORER</t>
  </si>
  <si>
    <t>GRACE KELLY</t>
  </si>
  <si>
    <t>LIGHT HOUSE</t>
  </si>
  <si>
    <t>MOMENTUM</t>
  </si>
  <si>
    <t>SWEETNESS</t>
  </si>
  <si>
    <t>CABARET</t>
  </si>
  <si>
    <t>DEEP PURPLE</t>
  </si>
  <si>
    <t>JOCKER</t>
  </si>
  <si>
    <t>QUICKSAND</t>
  </si>
  <si>
    <t>COTOPAXI</t>
  </si>
  <si>
    <t>HOT EXPLORER</t>
  </si>
  <si>
    <t>HOT MERENGUE</t>
  </si>
  <si>
    <t>GOLDFINCH</t>
  </si>
  <si>
    <t>VENDELA</t>
  </si>
  <si>
    <t>ATOMIC</t>
  </si>
  <si>
    <t>MONDIAL</t>
  </si>
  <si>
    <t>REDIANT</t>
  </si>
  <si>
    <t>FREEDOM</t>
  </si>
  <si>
    <t>COOLDOWN</t>
  </si>
  <si>
    <t>VIOLET HILL</t>
  </si>
  <si>
    <t>BRIGHTON</t>
  </si>
  <si>
    <t>CANDLELIGHT</t>
  </si>
  <si>
    <t>CAYENNE</t>
  </si>
  <si>
    <t>STARDUST</t>
  </si>
  <si>
    <t>COUNTRY BLUES</t>
  </si>
  <si>
    <t>LORRAINE</t>
  </si>
  <si>
    <t>DREAM IN PEACH</t>
  </si>
  <si>
    <t>NINA</t>
  </si>
  <si>
    <t>TABATHA</t>
  </si>
  <si>
    <t>TYCOON</t>
  </si>
  <si>
    <t>SHOW GIRL</t>
  </si>
  <si>
    <t>CORAL REEF</t>
  </si>
  <si>
    <t>FRUTTETO</t>
  </si>
  <si>
    <t>PINK MONDIAL</t>
  </si>
  <si>
    <t>LOLA</t>
  </si>
  <si>
    <t>PALOMA</t>
  </si>
  <si>
    <t>SATISFACTION</t>
  </si>
  <si>
    <t>TIFFANY</t>
  </si>
  <si>
    <t>PINK FLOYD</t>
  </si>
  <si>
    <t>IDOLE</t>
  </si>
  <si>
    <t>Produccion</t>
  </si>
  <si>
    <t>Sem&amp;Bloque&amp;Varid</t>
  </si>
  <si>
    <t>002</t>
  </si>
  <si>
    <t>004</t>
  </si>
  <si>
    <t>005</t>
  </si>
  <si>
    <t>007</t>
  </si>
  <si>
    <t>009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</si>
  <si>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</si>
  <si>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</si>
  <si>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</si>
  <si>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</si>
  <si>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</si>
  <si>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</si>
  <si>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</si>
  <si>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</si>
  <si>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</si>
  <si>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030</t>
  </si>
  <si>
    <t>031</t>
  </si>
  <si>
    <t>032</t>
  </si>
  <si>
    <t>033</t>
  </si>
  <si>
    <t>001</t>
  </si>
  <si>
    <t>003</t>
  </si>
  <si>
    <t>006</t>
  </si>
  <si>
    <t>008</t>
  </si>
  <si>
    <t>010</t>
  </si>
  <si>
    <t>011</t>
  </si>
  <si>
    <t>012</t>
  </si>
  <si>
    <t>013</t>
  </si>
  <si>
    <t>023</t>
  </si>
  <si>
    <t>024</t>
  </si>
  <si>
    <t>025</t>
  </si>
  <si>
    <t>026</t>
  </si>
  <si>
    <t>027</t>
  </si>
  <si>
    <t>028</t>
  </si>
  <si>
    <t>029</t>
  </si>
  <si>
    <t>Dif</t>
  </si>
</sst>
</file>

<file path=xl/styles.xml><?xml version="1.0" encoding="utf-8"?>
<styleSheet xmlns="http://schemas.openxmlformats.org/spreadsheetml/2006/main">
  <numFmts count="1">
    <numFmt numFmtId="164" formatCode="000"/>
  </numFmts>
  <fonts count="3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quotePrefix="1" applyNumberFormat="1" applyAlignment="1">
      <alignment horizontal="left"/>
    </xf>
    <xf numFmtId="49" fontId="0" fillId="0" borderId="0" xfId="0" applyNumberFormat="1"/>
    <xf numFmtId="49" fontId="2" fillId="0" borderId="1" xfId="0" applyNumberFormat="1" applyFont="1" applyBorder="1" applyAlignment="1">
      <alignment horizontal="center" vertical="top"/>
    </xf>
    <xf numFmtId="0" fontId="0" fillId="0" borderId="0" xfId="0" applyAlignment="1">
      <alignment wrapText="1"/>
    </xf>
    <xf numFmtId="0" fontId="0" fillId="0" borderId="0" xfId="0" applyFill="1"/>
    <xf numFmtId="0" fontId="1" fillId="0" borderId="1" xfId="0" applyFont="1" applyFill="1" applyBorder="1" applyAlignment="1">
      <alignment horizontal="center" vertical="top"/>
    </xf>
    <xf numFmtId="0" fontId="2" fillId="0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al/AppData/Roaming/Microsoft/Excel/Produccion%20Astroflores%20a%20la%20Semana%2026_Seguimien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al/AppData/Roaming/Microsoft/Excel/Produccion%20Astroflores%20BL25-26-27-28%20a%20la%20Semana%2027_Seguimiento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al/AppData/Roaming/Microsoft/Excel/Produccion%20Astroflores%20a%20la%20Semana%2028_seguimiento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al/AppData/Roaming/Microsoft/Excel/Produccion%20Astroflores%20a%20la%20Semana%2029_seguimiento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stroflores"/>
    </sheetNames>
    <sheetDataSet>
      <sheetData sheetId="0">
        <row r="2">
          <cell r="G2" t="str">
            <v>26002SOMERSET</v>
          </cell>
          <cell r="H2">
            <v>8260</v>
          </cell>
        </row>
        <row r="3">
          <cell r="G3" t="str">
            <v>26004BELLINA</v>
          </cell>
          <cell r="H3">
            <v>1950</v>
          </cell>
        </row>
        <row r="4">
          <cell r="G4" t="str">
            <v>26005ELBA</v>
          </cell>
          <cell r="H4">
            <v>7230</v>
          </cell>
        </row>
        <row r="5">
          <cell r="G5" t="str">
            <v>26005HOT BUBBLES</v>
          </cell>
          <cell r="H5">
            <v>1300</v>
          </cell>
        </row>
        <row r="6">
          <cell r="G6" t="str">
            <v>26005SUSPIRO</v>
          </cell>
          <cell r="H6">
            <v>3330</v>
          </cell>
        </row>
        <row r="7">
          <cell r="G7" t="str">
            <v>26007SNOW BUBBLES</v>
          </cell>
          <cell r="H7">
            <v>960</v>
          </cell>
        </row>
        <row r="8">
          <cell r="G8" t="str">
            <v>26009HOT BUBBLES</v>
          </cell>
          <cell r="H8">
            <v>13480</v>
          </cell>
        </row>
        <row r="9">
          <cell r="G9" t="str">
            <v>26014FRUITY BUBBLES</v>
          </cell>
          <cell r="H9">
            <v>4200</v>
          </cell>
        </row>
        <row r="10">
          <cell r="G10" t="str">
            <v>26015FELLINI</v>
          </cell>
          <cell r="H10">
            <v>7175</v>
          </cell>
        </row>
        <row r="11">
          <cell r="G11" t="str">
            <v>26016GOOD PEACH</v>
          </cell>
          <cell r="H11">
            <v>3330</v>
          </cell>
        </row>
        <row r="12">
          <cell r="G12" t="str">
            <v>26016GOOD YELLOW</v>
          </cell>
          <cell r="H12">
            <v>4560</v>
          </cell>
        </row>
        <row r="13">
          <cell r="G13" t="str">
            <v>26017ORANGE STAR</v>
          </cell>
          <cell r="H13">
            <v>1900</v>
          </cell>
        </row>
        <row r="14">
          <cell r="G14" t="str">
            <v>26018COSMO</v>
          </cell>
          <cell r="H14">
            <v>2925</v>
          </cell>
        </row>
        <row r="15">
          <cell r="G15" t="str">
            <v>26018RUBICON</v>
          </cell>
          <cell r="H15">
            <v>7140</v>
          </cell>
        </row>
        <row r="16">
          <cell r="G16" t="str">
            <v>26019BELLINA</v>
          </cell>
          <cell r="H16">
            <v>1800</v>
          </cell>
        </row>
        <row r="17">
          <cell r="G17" t="str">
            <v>26020SUMMER DANCE</v>
          </cell>
          <cell r="H17">
            <v>3625</v>
          </cell>
        </row>
        <row r="18">
          <cell r="G18" t="str">
            <v>26021ELEGANT ROSEVER</v>
          </cell>
          <cell r="H18">
            <v>630</v>
          </cell>
        </row>
        <row r="19">
          <cell r="G19" t="str">
            <v>26021FLAME CLUB</v>
          </cell>
          <cell r="H19">
            <v>1700</v>
          </cell>
        </row>
        <row r="20">
          <cell r="G20" t="str">
            <v>26021KELLY</v>
          </cell>
          <cell r="H20">
            <v>775</v>
          </cell>
        </row>
        <row r="21">
          <cell r="G21" t="str">
            <v>26021LEILA</v>
          </cell>
          <cell r="H21">
            <v>1850</v>
          </cell>
        </row>
        <row r="22">
          <cell r="G22" t="str">
            <v>26021PISTACHIO KISS</v>
          </cell>
          <cell r="H22">
            <v>200</v>
          </cell>
        </row>
        <row r="23">
          <cell r="G23" t="str">
            <v>26021SNOW BUBBLES</v>
          </cell>
          <cell r="H23">
            <v>1380</v>
          </cell>
        </row>
        <row r="24">
          <cell r="G24" t="str">
            <v>26022FRUITY BUBBLES</v>
          </cell>
          <cell r="H24">
            <v>6050</v>
          </cell>
        </row>
        <row r="25">
          <cell r="G25" t="str">
            <v>26022GOOD PEACH</v>
          </cell>
          <cell r="H25">
            <v>2130</v>
          </cell>
        </row>
        <row r="26">
          <cell r="G26" t="str">
            <v>26022MIRABEL</v>
          </cell>
          <cell r="H26">
            <v>1600</v>
          </cell>
        </row>
        <row r="27">
          <cell r="G27" t="str">
            <v>26030MIRABEL</v>
          </cell>
          <cell r="H27">
            <v>6460</v>
          </cell>
        </row>
        <row r="28">
          <cell r="G28" t="str">
            <v>26030SOMERSET</v>
          </cell>
          <cell r="H28">
            <v>4080</v>
          </cell>
        </row>
        <row r="29">
          <cell r="G29" t="str">
            <v>2603182989</v>
          </cell>
          <cell r="H29">
            <v>3280</v>
          </cell>
        </row>
        <row r="30">
          <cell r="G30" t="str">
            <v>26031RUBICON</v>
          </cell>
          <cell r="H30">
            <v>3390</v>
          </cell>
        </row>
        <row r="31">
          <cell r="G31" t="str">
            <v>26031SOMERSET</v>
          </cell>
          <cell r="H31">
            <v>1240</v>
          </cell>
        </row>
        <row r="32">
          <cell r="G32" t="str">
            <v>26031VELVET BLOSSOMS</v>
          </cell>
          <cell r="H32">
            <v>640</v>
          </cell>
        </row>
        <row r="33">
          <cell r="G33" t="str">
            <v>26032ELBA</v>
          </cell>
          <cell r="H33">
            <v>4350</v>
          </cell>
        </row>
        <row r="34">
          <cell r="G34" t="str">
            <v>26032MIRABEL</v>
          </cell>
          <cell r="H34">
            <v>3400</v>
          </cell>
        </row>
        <row r="35">
          <cell r="G35" t="str">
            <v>26033CREAMY FOLIES</v>
          </cell>
          <cell r="H35">
            <v>1530</v>
          </cell>
        </row>
        <row r="36">
          <cell r="G36" t="str">
            <v>26033HOT BUBBLES</v>
          </cell>
          <cell r="H36">
            <v>3920</v>
          </cell>
        </row>
        <row r="37">
          <cell r="G37" t="str">
            <v>26001BELIEVE IN PINK</v>
          </cell>
          <cell r="H37">
            <v>1230</v>
          </cell>
        </row>
        <row r="38">
          <cell r="G38" t="str">
            <v>26001EXPLORER</v>
          </cell>
          <cell r="H38">
            <v>6925</v>
          </cell>
        </row>
        <row r="39">
          <cell r="G39" t="str">
            <v>26001GRACE KELLY</v>
          </cell>
          <cell r="H39">
            <v>2040</v>
          </cell>
        </row>
        <row r="40">
          <cell r="G40" t="str">
            <v>26001LIGHT HOUSE</v>
          </cell>
          <cell r="H40">
            <v>2520</v>
          </cell>
        </row>
        <row r="41">
          <cell r="G41" t="str">
            <v>26001LUMIA</v>
          </cell>
          <cell r="H41">
            <v>2070</v>
          </cell>
        </row>
        <row r="42">
          <cell r="G42" t="str">
            <v>26001MOMENTUM</v>
          </cell>
          <cell r="H42">
            <v>3475</v>
          </cell>
        </row>
        <row r="43">
          <cell r="G43" t="str">
            <v>26002SUMMER ROMANCE</v>
          </cell>
          <cell r="H43">
            <v>1775</v>
          </cell>
        </row>
        <row r="44">
          <cell r="G44" t="str">
            <v>26002SWEETNESS</v>
          </cell>
          <cell r="H44">
            <v>8760</v>
          </cell>
        </row>
        <row r="45">
          <cell r="G45" t="str">
            <v>26003CABARET</v>
          </cell>
          <cell r="H45">
            <v>6090</v>
          </cell>
        </row>
        <row r="46">
          <cell r="G46" t="str">
            <v>26003DEEP PURPLE</v>
          </cell>
          <cell r="H46">
            <v>11370</v>
          </cell>
        </row>
        <row r="47">
          <cell r="G47" t="str">
            <v>26003EXPLORER</v>
          </cell>
          <cell r="H47">
            <v>2875</v>
          </cell>
        </row>
        <row r="48">
          <cell r="G48" t="str">
            <v>26003JOCKER</v>
          </cell>
          <cell r="H48">
            <v>750</v>
          </cell>
        </row>
        <row r="49">
          <cell r="G49" t="str">
            <v>26003QUICKSAND</v>
          </cell>
          <cell r="H49">
            <v>1860</v>
          </cell>
        </row>
        <row r="50">
          <cell r="G50" t="str">
            <v>26004COTOPAXI</v>
          </cell>
          <cell r="H50">
            <v>1230</v>
          </cell>
        </row>
        <row r="51">
          <cell r="G51" t="str">
            <v>26004DEEP PURPLE</v>
          </cell>
          <cell r="H51">
            <v>15540</v>
          </cell>
        </row>
        <row r="52">
          <cell r="G52" t="str">
            <v>26004HOT EXPLORER</v>
          </cell>
          <cell r="H52">
            <v>4925</v>
          </cell>
        </row>
        <row r="53">
          <cell r="G53" t="str">
            <v>26004HOT MERENGUE</v>
          </cell>
          <cell r="H53">
            <v>3480</v>
          </cell>
        </row>
        <row r="54">
          <cell r="G54" t="str">
            <v>26004SWEETNESS</v>
          </cell>
          <cell r="H54">
            <v>540</v>
          </cell>
        </row>
        <row r="55">
          <cell r="G55" t="str">
            <v>26005EXPLORER</v>
          </cell>
          <cell r="H55">
            <v>2075</v>
          </cell>
        </row>
        <row r="56">
          <cell r="G56" t="str">
            <v>26005GOLDFINCH</v>
          </cell>
          <cell r="H56">
            <v>1175</v>
          </cell>
        </row>
        <row r="57">
          <cell r="G57" t="str">
            <v>26005JOCKER</v>
          </cell>
          <cell r="H57">
            <v>2300</v>
          </cell>
        </row>
        <row r="58">
          <cell r="G58" t="str">
            <v>26005VENDELA</v>
          </cell>
          <cell r="H58">
            <v>2490</v>
          </cell>
        </row>
        <row r="59">
          <cell r="G59" t="str">
            <v>26006ATOMIC</v>
          </cell>
          <cell r="H59">
            <v>1200</v>
          </cell>
        </row>
        <row r="60">
          <cell r="G60" t="str">
            <v>26006EXPLORER</v>
          </cell>
          <cell r="H60">
            <v>7275</v>
          </cell>
        </row>
        <row r="61">
          <cell r="G61" t="str">
            <v>26006MONDIAL</v>
          </cell>
          <cell r="H61">
            <v>5525</v>
          </cell>
        </row>
        <row r="62">
          <cell r="G62" t="str">
            <v>26007COTOPAXI</v>
          </cell>
          <cell r="H62">
            <v>5250</v>
          </cell>
        </row>
        <row r="63">
          <cell r="G63" t="str">
            <v>26007REDIANT</v>
          </cell>
          <cell r="H63">
            <v>1860</v>
          </cell>
        </row>
        <row r="64">
          <cell r="G64" t="str">
            <v>26007SUMMER ROMANCE</v>
          </cell>
          <cell r="H64">
            <v>225</v>
          </cell>
        </row>
        <row r="65">
          <cell r="G65" t="str">
            <v>26007VENDELA</v>
          </cell>
          <cell r="H65">
            <v>8310</v>
          </cell>
        </row>
        <row r="66">
          <cell r="G66" t="str">
            <v>26008DEEP PURPLE</v>
          </cell>
          <cell r="H66">
            <v>5310</v>
          </cell>
        </row>
        <row r="67">
          <cell r="G67" t="str">
            <v>26008FREEDOM</v>
          </cell>
          <cell r="H67">
            <v>3570</v>
          </cell>
        </row>
        <row r="68">
          <cell r="G68" t="str">
            <v>26008JOCKER</v>
          </cell>
          <cell r="H68">
            <v>4150</v>
          </cell>
        </row>
        <row r="69">
          <cell r="G69" t="str">
            <v>26008LUMIA</v>
          </cell>
          <cell r="H69">
            <v>3480</v>
          </cell>
        </row>
        <row r="70">
          <cell r="G70" t="str">
            <v>26010COOLDOWN</v>
          </cell>
          <cell r="H70">
            <v>4025</v>
          </cell>
        </row>
        <row r="71">
          <cell r="G71" t="str">
            <v>26010VIOLET HILL</v>
          </cell>
          <cell r="H71">
            <v>5910</v>
          </cell>
        </row>
        <row r="72">
          <cell r="G72" t="str">
            <v>26011BRIGHTON</v>
          </cell>
          <cell r="H72">
            <v>3625</v>
          </cell>
        </row>
        <row r="73">
          <cell r="G73" t="str">
            <v>26011CANDLELIGHT</v>
          </cell>
          <cell r="H73">
            <v>4160</v>
          </cell>
        </row>
        <row r="74">
          <cell r="G74" t="str">
            <v>26011CAYENNE</v>
          </cell>
          <cell r="H74">
            <v>1590</v>
          </cell>
        </row>
        <row r="75">
          <cell r="G75" t="str">
            <v>26011LUMIA</v>
          </cell>
          <cell r="H75">
            <v>1500</v>
          </cell>
        </row>
        <row r="76">
          <cell r="G76" t="str">
            <v>26011STARDUST</v>
          </cell>
          <cell r="H76">
            <v>3325</v>
          </cell>
        </row>
        <row r="77">
          <cell r="G77" t="str">
            <v>26012DEEP PURPLE</v>
          </cell>
          <cell r="H77">
            <v>16890</v>
          </cell>
        </row>
        <row r="78">
          <cell r="G78" t="str">
            <v>26012LIGHT HOUSE</v>
          </cell>
          <cell r="H78">
            <v>1680</v>
          </cell>
        </row>
        <row r="79">
          <cell r="G79" t="str">
            <v>26013COUNTRY BLUES</v>
          </cell>
          <cell r="H79">
            <v>1180</v>
          </cell>
        </row>
        <row r="80">
          <cell r="G80" t="str">
            <v>26013LORRAINE</v>
          </cell>
          <cell r="H80">
            <v>3350</v>
          </cell>
        </row>
        <row r="81">
          <cell r="G81" t="str">
            <v>26013LUMIA</v>
          </cell>
          <cell r="H81">
            <v>570</v>
          </cell>
        </row>
        <row r="82">
          <cell r="G82" t="str">
            <v>26013VENDELA</v>
          </cell>
          <cell r="H82">
            <v>11940</v>
          </cell>
        </row>
        <row r="83">
          <cell r="G83" t="str">
            <v>26014STARDUST</v>
          </cell>
          <cell r="H83">
            <v>5525</v>
          </cell>
        </row>
        <row r="84">
          <cell r="G84" t="str">
            <v>26015JOCKER</v>
          </cell>
          <cell r="H84">
            <v>5125</v>
          </cell>
        </row>
        <row r="85">
          <cell r="G85" t="str">
            <v>26016DREAM IN PEACH</v>
          </cell>
          <cell r="H85">
            <v>1770</v>
          </cell>
        </row>
        <row r="86">
          <cell r="G86" t="str">
            <v>26016NINA</v>
          </cell>
          <cell r="H86">
            <v>4975</v>
          </cell>
        </row>
        <row r="87">
          <cell r="G87" t="str">
            <v>26017FREEDOM</v>
          </cell>
          <cell r="H87">
            <v>6360</v>
          </cell>
        </row>
        <row r="88">
          <cell r="G88" t="str">
            <v>26017GOLDFINCH</v>
          </cell>
          <cell r="H88">
            <v>3425</v>
          </cell>
        </row>
        <row r="89">
          <cell r="G89" t="str">
            <v>26018BRIGHTON</v>
          </cell>
          <cell r="H89">
            <v>2100</v>
          </cell>
        </row>
        <row r="90">
          <cell r="G90" t="str">
            <v>26019BRIGHTON</v>
          </cell>
          <cell r="H90">
            <v>7775</v>
          </cell>
        </row>
        <row r="91">
          <cell r="G91" t="str">
            <v>26019TABATHA</v>
          </cell>
          <cell r="H91">
            <v>2280</v>
          </cell>
        </row>
        <row r="92">
          <cell r="G92" t="str">
            <v>26020BRIGHTON</v>
          </cell>
          <cell r="H92">
            <v>5375</v>
          </cell>
        </row>
        <row r="93">
          <cell r="G93" t="str">
            <v>26020TYCOON</v>
          </cell>
          <cell r="H93">
            <v>1350</v>
          </cell>
        </row>
        <row r="94">
          <cell r="G94" t="str">
            <v>26021SHOW GIRL</v>
          </cell>
          <cell r="H94">
            <v>1600</v>
          </cell>
        </row>
        <row r="95">
          <cell r="G95" t="str">
            <v>26022CORAL REEF</v>
          </cell>
          <cell r="H95">
            <v>2400</v>
          </cell>
        </row>
        <row r="96">
          <cell r="G96" t="str">
            <v>26023COTOPAXI</v>
          </cell>
          <cell r="H96">
            <v>5730</v>
          </cell>
        </row>
        <row r="97">
          <cell r="G97" t="str">
            <v>26023FRUTTETO</v>
          </cell>
          <cell r="H97">
            <v>8010</v>
          </cell>
        </row>
        <row r="98">
          <cell r="G98" t="str">
            <v>26024COTOPAXI</v>
          </cell>
          <cell r="H98">
            <v>3060</v>
          </cell>
        </row>
        <row r="99">
          <cell r="G99" t="str">
            <v>26024SWEETNESS</v>
          </cell>
          <cell r="H99">
            <v>2010</v>
          </cell>
        </row>
        <row r="100">
          <cell r="G100" t="str">
            <v>26024TYCOON</v>
          </cell>
          <cell r="H100">
            <v>4080</v>
          </cell>
        </row>
        <row r="101">
          <cell r="G101" t="str">
            <v>26025PINK MONDIAL</v>
          </cell>
          <cell r="H101">
            <v>5225</v>
          </cell>
        </row>
        <row r="102">
          <cell r="G102" t="str">
            <v>26026LOLA</v>
          </cell>
          <cell r="H102">
            <v>5925</v>
          </cell>
        </row>
        <row r="103">
          <cell r="G103" t="str">
            <v>26026PALOMA</v>
          </cell>
          <cell r="H103">
            <v>5850</v>
          </cell>
        </row>
        <row r="104">
          <cell r="G104" t="str">
            <v>26027SATISFACTION</v>
          </cell>
          <cell r="H104">
            <v>4230</v>
          </cell>
        </row>
        <row r="105">
          <cell r="G105" t="str">
            <v>26027TIFFANY</v>
          </cell>
          <cell r="H105">
            <v>3840</v>
          </cell>
        </row>
        <row r="106">
          <cell r="G106" t="str">
            <v>26028COTOPAXI</v>
          </cell>
          <cell r="H106">
            <v>5580</v>
          </cell>
        </row>
        <row r="107">
          <cell r="G107" t="str">
            <v>26028DEEP PURPLE</v>
          </cell>
          <cell r="H107">
            <v>6480</v>
          </cell>
        </row>
        <row r="108">
          <cell r="G108" t="str">
            <v>26029PINK FLOYD</v>
          </cell>
          <cell r="H108">
            <v>4075</v>
          </cell>
        </row>
        <row r="109">
          <cell r="G109" t="str">
            <v>26030EXPLORER</v>
          </cell>
          <cell r="H109">
            <v>3575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1"/>
    </sheetNames>
    <sheetDataSet>
      <sheetData sheetId="0">
        <row r="8515">
          <cell r="G8515" t="str">
            <v>27002SOMERSET</v>
          </cell>
          <cell r="H8515">
            <v>7100</v>
          </cell>
        </row>
        <row r="8516">
          <cell r="G8516" t="str">
            <v>27004BELLINA</v>
          </cell>
          <cell r="H8516">
            <v>1830</v>
          </cell>
        </row>
        <row r="8517">
          <cell r="G8517" t="str">
            <v>27005ELBA</v>
          </cell>
          <cell r="H8517">
            <v>6660</v>
          </cell>
        </row>
        <row r="8518">
          <cell r="G8518" t="str">
            <v>27005HOT BUBBLES</v>
          </cell>
          <cell r="H8518">
            <v>1340</v>
          </cell>
        </row>
        <row r="8519">
          <cell r="G8519" t="str">
            <v>27005SUSPIRO</v>
          </cell>
          <cell r="H8519">
            <v>3300</v>
          </cell>
        </row>
        <row r="8520">
          <cell r="G8520" t="str">
            <v>27007SNOW BUBBLES</v>
          </cell>
          <cell r="H8520">
            <v>900</v>
          </cell>
        </row>
        <row r="8521">
          <cell r="G8521" t="str">
            <v>27009HOT BUBBLES</v>
          </cell>
          <cell r="H8521">
            <v>12160</v>
          </cell>
        </row>
        <row r="8522">
          <cell r="G8522" t="str">
            <v>27014FRUITY BUBBLES</v>
          </cell>
          <cell r="H8522">
            <v>4250</v>
          </cell>
        </row>
        <row r="8523">
          <cell r="G8523" t="str">
            <v>27015FELLINI</v>
          </cell>
          <cell r="H8523">
            <v>6540</v>
          </cell>
        </row>
        <row r="8524">
          <cell r="G8524" t="str">
            <v>27016GOOD PEACH</v>
          </cell>
          <cell r="H8524">
            <v>4320</v>
          </cell>
        </row>
        <row r="8525">
          <cell r="G8525" t="str">
            <v>27016GOOD YELLOW</v>
          </cell>
          <cell r="H8525">
            <v>4980</v>
          </cell>
        </row>
        <row r="8526">
          <cell r="G8526" t="str">
            <v>27017ORANGE STAR</v>
          </cell>
          <cell r="H8526">
            <v>2200</v>
          </cell>
        </row>
        <row r="8527">
          <cell r="G8527" t="str">
            <v>27018COSMO</v>
          </cell>
          <cell r="H8527">
            <v>2875</v>
          </cell>
        </row>
        <row r="8528">
          <cell r="G8528" t="str">
            <v>27018RUBICON</v>
          </cell>
          <cell r="H8528">
            <v>5250</v>
          </cell>
        </row>
        <row r="8529">
          <cell r="G8529" t="str">
            <v>27019BELLINA</v>
          </cell>
          <cell r="H8529">
            <v>1590</v>
          </cell>
        </row>
        <row r="8530">
          <cell r="G8530" t="str">
            <v>27020SUMMER DANCE</v>
          </cell>
          <cell r="H8530">
            <v>3375</v>
          </cell>
        </row>
        <row r="8531">
          <cell r="G8531" t="str">
            <v>27021ELEGANT ROSEVER</v>
          </cell>
          <cell r="H8531">
            <v>840</v>
          </cell>
        </row>
        <row r="8532">
          <cell r="G8532" t="str">
            <v>27021FLAME CLUB</v>
          </cell>
          <cell r="H8532">
            <v>1250</v>
          </cell>
        </row>
        <row r="8533">
          <cell r="G8533" t="str">
            <v>27021KELLY</v>
          </cell>
          <cell r="H8533">
            <v>650</v>
          </cell>
        </row>
        <row r="8534">
          <cell r="G8534" t="str">
            <v>27021LEILA</v>
          </cell>
          <cell r="H8534">
            <v>1300</v>
          </cell>
        </row>
        <row r="8535">
          <cell r="G8535" t="str">
            <v>27021SNOW BUBBLES</v>
          </cell>
          <cell r="H8535">
            <v>1520</v>
          </cell>
        </row>
        <row r="8536">
          <cell r="G8536" t="str">
            <v>27022FRUITY BUBBLES</v>
          </cell>
          <cell r="H8536">
            <v>6175</v>
          </cell>
        </row>
        <row r="8537">
          <cell r="G8537" t="str">
            <v>27022GOOD PEACH</v>
          </cell>
          <cell r="H8537">
            <v>2460</v>
          </cell>
        </row>
        <row r="8538">
          <cell r="G8538" t="str">
            <v>27022MIRABEL</v>
          </cell>
          <cell r="H8538">
            <v>1840</v>
          </cell>
        </row>
        <row r="8539">
          <cell r="G8539" t="str">
            <v>27026PURPLE BUBBLY</v>
          </cell>
          <cell r="H8539" t="e">
            <v>#N/A</v>
          </cell>
        </row>
        <row r="8540">
          <cell r="G8540" t="str">
            <v>27030MIRABEL</v>
          </cell>
          <cell r="H8540">
            <v>6820</v>
          </cell>
        </row>
        <row r="8541">
          <cell r="G8541" t="str">
            <v>27030SOMERSET</v>
          </cell>
          <cell r="H8541">
            <v>3600</v>
          </cell>
        </row>
        <row r="8542">
          <cell r="G8542" t="str">
            <v>2703182989</v>
          </cell>
          <cell r="H8542">
            <v>2720</v>
          </cell>
        </row>
        <row r="8543">
          <cell r="G8543" t="str">
            <v>27031RUBICON</v>
          </cell>
          <cell r="H8543">
            <v>3930</v>
          </cell>
        </row>
        <row r="8544">
          <cell r="G8544" t="str">
            <v>27031SOMERSET</v>
          </cell>
          <cell r="H8544">
            <v>720</v>
          </cell>
        </row>
        <row r="8545">
          <cell r="G8545" t="str">
            <v>27031VELVET BLOSSOMS</v>
          </cell>
          <cell r="H8545">
            <v>800</v>
          </cell>
        </row>
        <row r="8546">
          <cell r="G8546" t="str">
            <v>27032ELBA</v>
          </cell>
          <cell r="H8546">
            <v>4800</v>
          </cell>
        </row>
        <row r="8547">
          <cell r="G8547" t="str">
            <v>27032MIRABEL</v>
          </cell>
          <cell r="H8547">
            <v>3820</v>
          </cell>
        </row>
        <row r="8548">
          <cell r="G8548" t="str">
            <v>27033CREAMY FOLIES</v>
          </cell>
          <cell r="H8548">
            <v>1410</v>
          </cell>
        </row>
        <row r="8549">
          <cell r="G8549" t="str">
            <v>27033HOT BUBBLES</v>
          </cell>
          <cell r="H8549">
            <v>4240</v>
          </cell>
        </row>
        <row r="8550">
          <cell r="G8550" t="str">
            <v>27001BELIEVE IN PINK</v>
          </cell>
          <cell r="H8550">
            <v>1260</v>
          </cell>
        </row>
        <row r="8551">
          <cell r="G8551" t="str">
            <v>27001EXPLORER</v>
          </cell>
          <cell r="H8551">
            <v>5700</v>
          </cell>
        </row>
        <row r="8552">
          <cell r="G8552" t="str">
            <v>27001GRACE KELLY</v>
          </cell>
          <cell r="H8552">
            <v>1950</v>
          </cell>
        </row>
        <row r="8553">
          <cell r="G8553" t="str">
            <v>27001IDOLE</v>
          </cell>
          <cell r="H8553" t="e">
            <v>#N/A</v>
          </cell>
        </row>
        <row r="8554">
          <cell r="G8554" t="str">
            <v>27001LIGHT HOUSE</v>
          </cell>
          <cell r="H8554">
            <v>2760</v>
          </cell>
        </row>
        <row r="8555">
          <cell r="G8555" t="str">
            <v>27001LUMIA</v>
          </cell>
          <cell r="H8555">
            <v>2040</v>
          </cell>
        </row>
        <row r="8556">
          <cell r="G8556" t="str">
            <v>27001MOMENTUM</v>
          </cell>
          <cell r="H8556">
            <v>4275</v>
          </cell>
        </row>
        <row r="8557">
          <cell r="G8557" t="str">
            <v>27002SUMMER ROMANCE</v>
          </cell>
          <cell r="H8557">
            <v>1200</v>
          </cell>
        </row>
        <row r="8558">
          <cell r="G8558" t="str">
            <v>27002SWEETNESS</v>
          </cell>
          <cell r="H8558">
            <v>5790</v>
          </cell>
        </row>
        <row r="8559">
          <cell r="G8559" t="str">
            <v>27003CABARET</v>
          </cell>
          <cell r="H8559">
            <v>8850</v>
          </cell>
        </row>
        <row r="8560">
          <cell r="G8560" t="str">
            <v>27003DEEP PURPLE</v>
          </cell>
          <cell r="H8560">
            <v>14310</v>
          </cell>
        </row>
        <row r="8561">
          <cell r="G8561" t="str">
            <v>27003EXPLORER</v>
          </cell>
          <cell r="H8561">
            <v>3075</v>
          </cell>
        </row>
        <row r="8562">
          <cell r="G8562" t="str">
            <v>27003JOCKER</v>
          </cell>
          <cell r="H8562">
            <v>1300</v>
          </cell>
        </row>
        <row r="8563">
          <cell r="G8563" t="str">
            <v>27003QUICKSAND</v>
          </cell>
          <cell r="H8563">
            <v>2040</v>
          </cell>
        </row>
        <row r="8564">
          <cell r="G8564" t="str">
            <v>27004COTOPAXI</v>
          </cell>
          <cell r="H8564">
            <v>2010</v>
          </cell>
        </row>
        <row r="8565">
          <cell r="G8565" t="str">
            <v>27004DEEP PURPLE</v>
          </cell>
          <cell r="H8565">
            <v>21360</v>
          </cell>
        </row>
        <row r="8566">
          <cell r="G8566" t="str">
            <v>27004HOT EXPLORER</v>
          </cell>
          <cell r="H8566">
            <v>3900</v>
          </cell>
        </row>
        <row r="8567">
          <cell r="G8567" t="str">
            <v>27004HOT MERENGUE</v>
          </cell>
          <cell r="H8567">
            <v>3210</v>
          </cell>
        </row>
        <row r="8568">
          <cell r="G8568" t="str">
            <v>27004SWEETNESS</v>
          </cell>
          <cell r="H8568">
            <v>510</v>
          </cell>
        </row>
        <row r="8569">
          <cell r="G8569" t="str">
            <v>27005EXPLORER</v>
          </cell>
          <cell r="H8569">
            <v>1925</v>
          </cell>
        </row>
        <row r="8570">
          <cell r="G8570" t="str">
            <v>27005GOLDFINCH</v>
          </cell>
          <cell r="H8570">
            <v>1175</v>
          </cell>
        </row>
        <row r="8571">
          <cell r="G8571" t="str">
            <v>27005JOCKER</v>
          </cell>
          <cell r="H8571">
            <v>2350</v>
          </cell>
        </row>
        <row r="8572">
          <cell r="G8572" t="str">
            <v>27005VENDELA</v>
          </cell>
          <cell r="H8572">
            <v>1680</v>
          </cell>
        </row>
        <row r="8573">
          <cell r="G8573" t="str">
            <v>27006ATOMIC</v>
          </cell>
          <cell r="H8573">
            <v>1275</v>
          </cell>
        </row>
        <row r="8574">
          <cell r="G8574" t="str">
            <v>27006EXPLORER</v>
          </cell>
          <cell r="H8574">
            <v>8050</v>
          </cell>
        </row>
        <row r="8575">
          <cell r="G8575" t="str">
            <v>27006MONDIAL</v>
          </cell>
          <cell r="H8575">
            <v>6625</v>
          </cell>
        </row>
        <row r="8576">
          <cell r="G8576" t="str">
            <v>27007COTOPAXI</v>
          </cell>
          <cell r="H8576">
            <v>8100</v>
          </cell>
        </row>
        <row r="8577">
          <cell r="G8577" t="str">
            <v>27007REDIANT</v>
          </cell>
          <cell r="H8577">
            <v>1920</v>
          </cell>
        </row>
        <row r="8578">
          <cell r="G8578" t="str">
            <v>27007VENDELA</v>
          </cell>
          <cell r="H8578">
            <v>9210</v>
          </cell>
        </row>
        <row r="8579">
          <cell r="G8579" t="str">
            <v>27008DEEP PURPLE</v>
          </cell>
          <cell r="H8579">
            <v>8190</v>
          </cell>
        </row>
        <row r="8580">
          <cell r="G8580" t="str">
            <v>27008FREEDOM</v>
          </cell>
          <cell r="H8580">
            <v>4380</v>
          </cell>
        </row>
        <row r="8581">
          <cell r="G8581" t="str">
            <v>27008JOCKER</v>
          </cell>
          <cell r="H8581">
            <v>5500</v>
          </cell>
        </row>
        <row r="8582">
          <cell r="G8582" t="str">
            <v>27010COOLDOWN</v>
          </cell>
          <cell r="H8582">
            <v>3520</v>
          </cell>
        </row>
        <row r="8583">
          <cell r="G8583" t="str">
            <v>27010VIOLET HILL</v>
          </cell>
          <cell r="H8583">
            <v>6180</v>
          </cell>
        </row>
        <row r="8584">
          <cell r="G8584" t="str">
            <v>27011BRIGHTON</v>
          </cell>
          <cell r="H8584">
            <v>3325</v>
          </cell>
        </row>
        <row r="8585">
          <cell r="G8585" t="str">
            <v>27011CANDLELIGHT</v>
          </cell>
          <cell r="H8585">
            <v>7180</v>
          </cell>
        </row>
        <row r="8586">
          <cell r="G8586" t="str">
            <v>27011CAYENNE</v>
          </cell>
          <cell r="H8586">
            <v>1650</v>
          </cell>
        </row>
        <row r="8587">
          <cell r="G8587" t="str">
            <v>27011LUMIA</v>
          </cell>
          <cell r="H8587">
            <v>1890</v>
          </cell>
        </row>
        <row r="8588">
          <cell r="G8588" t="str">
            <v>27011STARDUST</v>
          </cell>
          <cell r="H8588">
            <v>3800</v>
          </cell>
        </row>
        <row r="8589">
          <cell r="G8589" t="str">
            <v>27012DEEP PURPLE</v>
          </cell>
          <cell r="H8589">
            <v>22050</v>
          </cell>
        </row>
        <row r="8590">
          <cell r="G8590" t="str">
            <v>27012LIGHT HOUSE</v>
          </cell>
          <cell r="H8590">
            <v>2040</v>
          </cell>
        </row>
        <row r="8591">
          <cell r="G8591" t="str">
            <v>27013COUNTRY BLUES</v>
          </cell>
          <cell r="H8591">
            <v>1240</v>
          </cell>
        </row>
        <row r="8592">
          <cell r="G8592" t="str">
            <v>27013LORRAINE</v>
          </cell>
          <cell r="H8592">
            <v>4175</v>
          </cell>
        </row>
        <row r="8593">
          <cell r="G8593" t="str">
            <v>27013LUMIA</v>
          </cell>
          <cell r="H8593">
            <v>900</v>
          </cell>
        </row>
        <row r="8594">
          <cell r="G8594" t="str">
            <v>27013VENDELA</v>
          </cell>
          <cell r="H8594">
            <v>13380</v>
          </cell>
        </row>
        <row r="8595">
          <cell r="G8595" t="str">
            <v>27014STARDUST</v>
          </cell>
          <cell r="H8595">
            <v>7475</v>
          </cell>
        </row>
        <row r="8596">
          <cell r="G8596" t="str">
            <v>27015JOCKER</v>
          </cell>
          <cell r="H8596">
            <v>6175</v>
          </cell>
        </row>
        <row r="8597">
          <cell r="G8597" t="str">
            <v>27016DREAM IN PEACH</v>
          </cell>
          <cell r="H8597">
            <v>2400</v>
          </cell>
        </row>
        <row r="8598">
          <cell r="G8598" t="str">
            <v>27016NINA</v>
          </cell>
          <cell r="H8598">
            <v>4900</v>
          </cell>
        </row>
        <row r="8599">
          <cell r="G8599" t="str">
            <v>27017FREEDOM</v>
          </cell>
          <cell r="H8599">
            <v>5880</v>
          </cell>
        </row>
        <row r="8600">
          <cell r="G8600" t="str">
            <v>27017GOLDFINCH</v>
          </cell>
          <cell r="H8600">
            <v>3325</v>
          </cell>
        </row>
        <row r="8601">
          <cell r="G8601" t="str">
            <v>27018BRIGHTON</v>
          </cell>
          <cell r="H8601">
            <v>2700</v>
          </cell>
        </row>
        <row r="8602">
          <cell r="G8602" t="str">
            <v>27019BRIGHTON</v>
          </cell>
          <cell r="H8602">
            <v>8350</v>
          </cell>
        </row>
        <row r="8603">
          <cell r="G8603" t="str">
            <v>27019TABATHA</v>
          </cell>
          <cell r="H8603">
            <v>2610</v>
          </cell>
        </row>
        <row r="8604">
          <cell r="G8604" t="str">
            <v>27020BRIGHTON</v>
          </cell>
          <cell r="H8604">
            <v>6700</v>
          </cell>
        </row>
        <row r="8605">
          <cell r="G8605" t="str">
            <v>27020TYCOON</v>
          </cell>
          <cell r="H8605">
            <v>1380</v>
          </cell>
        </row>
        <row r="8606">
          <cell r="G8606" t="str">
            <v>27021SHOW GIRL</v>
          </cell>
          <cell r="H8606">
            <v>1475</v>
          </cell>
        </row>
        <row r="8607">
          <cell r="G8607" t="str">
            <v>27022CORAL REEF</v>
          </cell>
          <cell r="H8607">
            <v>2725</v>
          </cell>
        </row>
        <row r="8608">
          <cell r="G8608" t="str">
            <v>27023COTOPAXI</v>
          </cell>
          <cell r="H8608">
            <v>6570</v>
          </cell>
        </row>
        <row r="8609">
          <cell r="G8609" t="str">
            <v>27023FRUTTETO</v>
          </cell>
          <cell r="H8609">
            <v>8490</v>
          </cell>
        </row>
        <row r="8610">
          <cell r="G8610" t="str">
            <v>27024COTOPAXI</v>
          </cell>
          <cell r="H8610">
            <v>3150</v>
          </cell>
        </row>
        <row r="8611">
          <cell r="G8611" t="str">
            <v>27024SWEETNESS</v>
          </cell>
          <cell r="H8611">
            <v>1950</v>
          </cell>
        </row>
        <row r="8612">
          <cell r="G8612" t="str">
            <v>27024TYCOON</v>
          </cell>
          <cell r="H8612">
            <v>4230</v>
          </cell>
        </row>
        <row r="8613">
          <cell r="G8613" t="str">
            <v>27025PINK MONDIAL</v>
          </cell>
          <cell r="H8613">
            <v>5700</v>
          </cell>
        </row>
        <row r="8614">
          <cell r="G8614" t="str">
            <v>27026LOLA</v>
          </cell>
          <cell r="H8614">
            <v>6300</v>
          </cell>
        </row>
        <row r="8615">
          <cell r="G8615" t="str">
            <v>27026PALOMA</v>
          </cell>
          <cell r="H8615">
            <v>7150</v>
          </cell>
        </row>
        <row r="8616">
          <cell r="G8616" t="str">
            <v>27027SATISFACTION</v>
          </cell>
          <cell r="H8616">
            <v>5460</v>
          </cell>
        </row>
        <row r="8617">
          <cell r="G8617" t="str">
            <v>27027TIFFANY</v>
          </cell>
          <cell r="H8617">
            <v>4590</v>
          </cell>
        </row>
        <row r="8618">
          <cell r="G8618" t="str">
            <v>27028COTOPAXI</v>
          </cell>
          <cell r="H8618">
            <v>5850</v>
          </cell>
        </row>
        <row r="8619">
          <cell r="G8619" t="str">
            <v>27028DEEP PURPLE</v>
          </cell>
          <cell r="H8619">
            <v>9150</v>
          </cell>
        </row>
        <row r="8620">
          <cell r="G8620" t="str">
            <v>27029PINK FLOYD</v>
          </cell>
          <cell r="H8620">
            <v>3875</v>
          </cell>
        </row>
        <row r="8621">
          <cell r="G8621" t="str">
            <v>27030EXPLORER</v>
          </cell>
          <cell r="H8621">
            <v>3725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Astroflores"/>
    </sheetNames>
    <sheetDataSet>
      <sheetData sheetId="0">
        <row r="2">
          <cell r="G2" t="str">
            <v>28002SOMERSET</v>
          </cell>
          <cell r="H2">
            <v>7280</v>
          </cell>
        </row>
        <row r="3">
          <cell r="G3" t="str">
            <v>28004BELLINA</v>
          </cell>
          <cell r="H3">
            <v>2115</v>
          </cell>
        </row>
        <row r="4">
          <cell r="G4" t="str">
            <v>28005ELBA</v>
          </cell>
          <cell r="H4">
            <v>6510</v>
          </cell>
        </row>
        <row r="5">
          <cell r="G5" t="str">
            <v>28005HOT BUBBLES</v>
          </cell>
          <cell r="H5">
            <v>1220</v>
          </cell>
        </row>
        <row r="6">
          <cell r="G6" t="str">
            <v>28005SUSPIRO</v>
          </cell>
          <cell r="H6">
            <v>2970</v>
          </cell>
        </row>
        <row r="7">
          <cell r="G7" t="str">
            <v>28007SNOW BUBBLES</v>
          </cell>
          <cell r="H7">
            <v>1100</v>
          </cell>
        </row>
        <row r="8">
          <cell r="G8" t="str">
            <v>28009HOT BUBBLES</v>
          </cell>
          <cell r="H8">
            <v>10540</v>
          </cell>
        </row>
        <row r="9">
          <cell r="G9" t="str">
            <v>28014FRUITY BUBBLES</v>
          </cell>
          <cell r="H9">
            <v>4350</v>
          </cell>
        </row>
        <row r="10">
          <cell r="G10" t="str">
            <v>28015FELLINI</v>
          </cell>
          <cell r="H10">
            <v>5840</v>
          </cell>
        </row>
        <row r="11">
          <cell r="G11" t="str">
            <v>28016GOOD PEACH</v>
          </cell>
          <cell r="H11">
            <v>3720</v>
          </cell>
        </row>
        <row r="12">
          <cell r="G12" t="str">
            <v>28016GOOD YELLOW</v>
          </cell>
          <cell r="H12">
            <v>4470</v>
          </cell>
        </row>
        <row r="13">
          <cell r="G13" t="str">
            <v>28017ORANGE STAR</v>
          </cell>
          <cell r="H13">
            <v>2000</v>
          </cell>
        </row>
        <row r="14">
          <cell r="G14" t="str">
            <v>28018COSMO</v>
          </cell>
          <cell r="H14">
            <v>3700</v>
          </cell>
        </row>
        <row r="15">
          <cell r="G15" t="str">
            <v>28018RUBICON</v>
          </cell>
          <cell r="H15">
            <v>3570</v>
          </cell>
        </row>
        <row r="16">
          <cell r="G16" t="str">
            <v>28019BELLINA</v>
          </cell>
          <cell r="H16">
            <v>1575</v>
          </cell>
        </row>
        <row r="17">
          <cell r="G17" t="str">
            <v>28020SUMMER DANCE</v>
          </cell>
          <cell r="H17">
            <v>3525</v>
          </cell>
        </row>
        <row r="18">
          <cell r="G18" t="str">
            <v>28021ELEGANT ROSEVER</v>
          </cell>
          <cell r="H18">
            <v>630</v>
          </cell>
        </row>
        <row r="19">
          <cell r="G19" t="str">
            <v>28021FLAME CLUB</v>
          </cell>
          <cell r="H19">
            <v>1400</v>
          </cell>
        </row>
        <row r="20">
          <cell r="G20" t="str">
            <v>28021KELLY</v>
          </cell>
          <cell r="H20">
            <v>575</v>
          </cell>
        </row>
        <row r="21">
          <cell r="G21" t="str">
            <v>28021LEILA</v>
          </cell>
          <cell r="H21">
            <v>850</v>
          </cell>
        </row>
        <row r="22">
          <cell r="G22" t="str">
            <v>28021PISTACHIO KISS</v>
          </cell>
          <cell r="H22">
            <v>50</v>
          </cell>
        </row>
        <row r="23">
          <cell r="G23" t="str">
            <v>28021SNOW BUBBLES</v>
          </cell>
          <cell r="H23">
            <v>1480</v>
          </cell>
        </row>
        <row r="24">
          <cell r="G24" t="str">
            <v>28022FRUITY BUBBLES</v>
          </cell>
          <cell r="H24">
            <v>5425</v>
          </cell>
        </row>
        <row r="25">
          <cell r="G25" t="str">
            <v>28022GOOD PEACH</v>
          </cell>
          <cell r="H25">
            <v>2430</v>
          </cell>
        </row>
        <row r="26">
          <cell r="G26" t="str">
            <v>28022MIRABEL</v>
          </cell>
          <cell r="H26">
            <v>2100</v>
          </cell>
        </row>
        <row r="27">
          <cell r="G27" t="str">
            <v>28030MIRABEL</v>
          </cell>
          <cell r="H27">
            <v>6100</v>
          </cell>
        </row>
        <row r="28">
          <cell r="G28" t="str">
            <v>28030SOMERSET</v>
          </cell>
          <cell r="H28">
            <v>3620</v>
          </cell>
        </row>
        <row r="29">
          <cell r="G29" t="str">
            <v>2803182989</v>
          </cell>
          <cell r="H29">
            <v>1280</v>
          </cell>
        </row>
        <row r="30">
          <cell r="G30" t="str">
            <v>28031RUBICON</v>
          </cell>
          <cell r="H30">
            <v>2520</v>
          </cell>
        </row>
        <row r="31">
          <cell r="G31" t="str">
            <v>28031SOMERSET</v>
          </cell>
          <cell r="H31">
            <v>520</v>
          </cell>
        </row>
        <row r="32">
          <cell r="G32" t="str">
            <v>28031VELVET BLOSSOMS</v>
          </cell>
          <cell r="H32">
            <v>720</v>
          </cell>
        </row>
        <row r="33">
          <cell r="G33" t="str">
            <v>28032ELBA</v>
          </cell>
          <cell r="H33">
            <v>3840</v>
          </cell>
        </row>
        <row r="34">
          <cell r="G34" t="str">
            <v>28032MIRABEL</v>
          </cell>
          <cell r="H34">
            <v>3040</v>
          </cell>
        </row>
        <row r="35">
          <cell r="G35" t="str">
            <v>28033CREAMY FOLIES</v>
          </cell>
          <cell r="H35">
            <v>930</v>
          </cell>
        </row>
        <row r="36">
          <cell r="G36" t="str">
            <v>28033HOT BUBBLES</v>
          </cell>
          <cell r="H36">
            <v>5440</v>
          </cell>
        </row>
        <row r="37">
          <cell r="G37" t="str">
            <v>28001BELIEVE IN PINK</v>
          </cell>
          <cell r="H37">
            <v>1350</v>
          </cell>
        </row>
        <row r="38">
          <cell r="G38" t="str">
            <v>28001EXPLORER</v>
          </cell>
          <cell r="H38">
            <v>4625</v>
          </cell>
        </row>
        <row r="39">
          <cell r="G39" t="str">
            <v>28001GRACE KELLY</v>
          </cell>
          <cell r="H39">
            <v>2190</v>
          </cell>
        </row>
        <row r="40">
          <cell r="G40" t="str">
            <v>28001LIGHT HOUSE</v>
          </cell>
          <cell r="H40">
            <v>2670</v>
          </cell>
        </row>
        <row r="41">
          <cell r="G41" t="str">
            <v>28001LUMIA</v>
          </cell>
          <cell r="H41">
            <v>2880</v>
          </cell>
        </row>
        <row r="42">
          <cell r="G42" t="str">
            <v>28001MOMENTUM</v>
          </cell>
          <cell r="H42">
            <v>4650</v>
          </cell>
        </row>
        <row r="43">
          <cell r="G43" t="str">
            <v>28002SUMMER ROMANCE</v>
          </cell>
          <cell r="H43">
            <v>1300</v>
          </cell>
        </row>
        <row r="44">
          <cell r="G44" t="str">
            <v>28002SWEETNESS</v>
          </cell>
          <cell r="H44">
            <v>8520</v>
          </cell>
        </row>
        <row r="45">
          <cell r="G45" t="str">
            <v>28003CABARET</v>
          </cell>
          <cell r="H45">
            <v>10230</v>
          </cell>
        </row>
        <row r="46">
          <cell r="G46" t="str">
            <v>28003DEEP PURPLE</v>
          </cell>
          <cell r="H46">
            <v>14220</v>
          </cell>
        </row>
        <row r="47">
          <cell r="G47" t="str">
            <v>28003EXPLORER</v>
          </cell>
          <cell r="H47">
            <v>2375</v>
          </cell>
        </row>
        <row r="48">
          <cell r="G48" t="str">
            <v>28003JOCKER</v>
          </cell>
          <cell r="H48">
            <v>1300</v>
          </cell>
        </row>
        <row r="49">
          <cell r="G49" t="str">
            <v>28003QUICKSAND</v>
          </cell>
          <cell r="H49">
            <v>2040</v>
          </cell>
        </row>
        <row r="50">
          <cell r="G50" t="str">
            <v>28004COTOPAXI</v>
          </cell>
          <cell r="H50">
            <v>1440</v>
          </cell>
        </row>
        <row r="51">
          <cell r="G51" t="str">
            <v>28004DEEP PURPLE</v>
          </cell>
          <cell r="H51">
            <v>16920</v>
          </cell>
        </row>
        <row r="52">
          <cell r="G52" t="str">
            <v>28004HOT EXPLORER</v>
          </cell>
          <cell r="H52">
            <v>2425</v>
          </cell>
        </row>
        <row r="53">
          <cell r="G53" t="str">
            <v>28004HOT MERENGUE</v>
          </cell>
          <cell r="H53">
            <v>2790</v>
          </cell>
        </row>
        <row r="54">
          <cell r="G54" t="str">
            <v>28004SWEETNESS</v>
          </cell>
          <cell r="H54">
            <v>660</v>
          </cell>
        </row>
        <row r="55">
          <cell r="G55" t="str">
            <v>28005EXPLORER</v>
          </cell>
          <cell r="H55">
            <v>1400</v>
          </cell>
        </row>
        <row r="56">
          <cell r="G56" t="str">
            <v>28005GOLDFINCH</v>
          </cell>
          <cell r="H56">
            <v>1125</v>
          </cell>
        </row>
        <row r="57">
          <cell r="G57" t="str">
            <v>28005JOCKER</v>
          </cell>
          <cell r="H57">
            <v>2900</v>
          </cell>
        </row>
        <row r="58">
          <cell r="G58" t="str">
            <v>28005VENDELA</v>
          </cell>
          <cell r="H58">
            <v>1620</v>
          </cell>
        </row>
        <row r="59">
          <cell r="G59" t="str">
            <v>28006ATOMIC</v>
          </cell>
          <cell r="H59">
            <v>1100</v>
          </cell>
        </row>
        <row r="60">
          <cell r="G60" t="str">
            <v>28006EXPLORER</v>
          </cell>
          <cell r="H60">
            <v>6050</v>
          </cell>
        </row>
        <row r="61">
          <cell r="G61" t="str">
            <v>28006MONDIAL</v>
          </cell>
          <cell r="H61">
            <v>8975</v>
          </cell>
        </row>
        <row r="62">
          <cell r="G62" t="str">
            <v>28007BELIEVE IN PINK</v>
          </cell>
          <cell r="H62">
            <v>0</v>
          </cell>
        </row>
        <row r="63">
          <cell r="G63" t="str">
            <v>28007COTOPAXI</v>
          </cell>
          <cell r="H63">
            <v>6570</v>
          </cell>
        </row>
        <row r="64">
          <cell r="G64" t="str">
            <v>28007REDIANT</v>
          </cell>
          <cell r="H64">
            <v>1710</v>
          </cell>
        </row>
        <row r="65">
          <cell r="G65" t="str">
            <v>28007SUMMER ROMANCE</v>
          </cell>
          <cell r="H65">
            <v>300</v>
          </cell>
        </row>
        <row r="66">
          <cell r="G66" t="str">
            <v>28007VENDELA</v>
          </cell>
          <cell r="H66">
            <v>9450</v>
          </cell>
        </row>
        <row r="67">
          <cell r="G67" t="str">
            <v>28008DEEP PURPLE</v>
          </cell>
          <cell r="H67">
            <v>8640</v>
          </cell>
        </row>
        <row r="68">
          <cell r="G68" t="str">
            <v>28008FREEDOM</v>
          </cell>
          <cell r="H68">
            <v>3960</v>
          </cell>
        </row>
        <row r="69">
          <cell r="G69" t="str">
            <v>28008JOCKER</v>
          </cell>
          <cell r="H69">
            <v>6700</v>
          </cell>
        </row>
        <row r="70">
          <cell r="G70" t="str">
            <v>28008LUMIA</v>
          </cell>
          <cell r="H70">
            <v>3180</v>
          </cell>
        </row>
        <row r="71">
          <cell r="G71" t="str">
            <v>28010COOLDOWN</v>
          </cell>
          <cell r="H71">
            <v>3725</v>
          </cell>
        </row>
        <row r="72">
          <cell r="G72" t="str">
            <v>28010VIOLET HILL</v>
          </cell>
          <cell r="H72">
            <v>6990</v>
          </cell>
        </row>
        <row r="73">
          <cell r="G73" t="str">
            <v>28011BRIGHTON</v>
          </cell>
          <cell r="H73">
            <v>3775</v>
          </cell>
        </row>
        <row r="74">
          <cell r="G74" t="str">
            <v>28011CANDLELIGHT</v>
          </cell>
          <cell r="H74">
            <v>4820</v>
          </cell>
        </row>
        <row r="75">
          <cell r="G75" t="str">
            <v>28011CAYENNE</v>
          </cell>
          <cell r="H75">
            <v>2220</v>
          </cell>
        </row>
        <row r="76">
          <cell r="G76" t="str">
            <v>28011LUMIA</v>
          </cell>
          <cell r="H76">
            <v>1890</v>
          </cell>
        </row>
        <row r="77">
          <cell r="G77" t="str">
            <v>28011STARDUST</v>
          </cell>
          <cell r="H77">
            <v>4025</v>
          </cell>
        </row>
        <row r="78">
          <cell r="G78" t="str">
            <v>28012DEEP PURPLE</v>
          </cell>
          <cell r="H78">
            <v>24420</v>
          </cell>
        </row>
        <row r="79">
          <cell r="G79" t="str">
            <v>28012LIGHT HOUSE</v>
          </cell>
          <cell r="H79">
            <v>2460</v>
          </cell>
        </row>
        <row r="80">
          <cell r="G80" t="str">
            <v>28013COUNTRY BLUES</v>
          </cell>
          <cell r="H80">
            <v>1440</v>
          </cell>
        </row>
        <row r="81">
          <cell r="G81" t="str">
            <v>28013LORRAINE</v>
          </cell>
          <cell r="H81">
            <v>4600</v>
          </cell>
        </row>
        <row r="82">
          <cell r="G82" t="str">
            <v>28013LUMIA</v>
          </cell>
          <cell r="H82">
            <v>630</v>
          </cell>
        </row>
        <row r="83">
          <cell r="G83" t="str">
            <v>28013VENDELA</v>
          </cell>
          <cell r="H83">
            <v>12300</v>
          </cell>
        </row>
        <row r="84">
          <cell r="G84" t="str">
            <v>28014STARDUST</v>
          </cell>
          <cell r="H84">
            <v>9075</v>
          </cell>
        </row>
        <row r="85">
          <cell r="G85" t="str">
            <v>28015JOCKER</v>
          </cell>
          <cell r="H85">
            <v>7725</v>
          </cell>
        </row>
        <row r="86">
          <cell r="G86" t="str">
            <v>28016DREAM IN PEACH</v>
          </cell>
          <cell r="H86">
            <v>1950</v>
          </cell>
        </row>
        <row r="87">
          <cell r="G87" t="str">
            <v>28016NINA</v>
          </cell>
          <cell r="H87">
            <v>3875</v>
          </cell>
        </row>
        <row r="88">
          <cell r="G88" t="str">
            <v>28017FREEDOM</v>
          </cell>
          <cell r="H88">
            <v>6390</v>
          </cell>
        </row>
        <row r="89">
          <cell r="G89" t="str">
            <v>28017GOLDFINCH</v>
          </cell>
          <cell r="H89">
            <v>3500</v>
          </cell>
        </row>
        <row r="90">
          <cell r="G90" t="str">
            <v>28018BRIGHTON</v>
          </cell>
          <cell r="H90">
            <v>3175</v>
          </cell>
        </row>
        <row r="91">
          <cell r="G91" t="str">
            <v>28019BRIGHTON</v>
          </cell>
          <cell r="H91">
            <v>9975</v>
          </cell>
        </row>
        <row r="92">
          <cell r="G92" t="str">
            <v>28019TABATHA</v>
          </cell>
          <cell r="H92">
            <v>2250</v>
          </cell>
        </row>
        <row r="93">
          <cell r="G93" t="str">
            <v>28020BRIGHTON</v>
          </cell>
          <cell r="H93">
            <v>6450</v>
          </cell>
        </row>
        <row r="94">
          <cell r="G94" t="str">
            <v>28020TYCOON</v>
          </cell>
          <cell r="H94">
            <v>1500</v>
          </cell>
        </row>
        <row r="95">
          <cell r="G95" t="str">
            <v>28021SHOW GIRL</v>
          </cell>
          <cell r="H95">
            <v>1225</v>
          </cell>
        </row>
        <row r="96">
          <cell r="G96" t="str">
            <v>28022CORAL REEF</v>
          </cell>
          <cell r="H96">
            <v>2425</v>
          </cell>
        </row>
        <row r="97">
          <cell r="G97" t="str">
            <v>28023COTOPAXI</v>
          </cell>
          <cell r="H97">
            <v>7050</v>
          </cell>
        </row>
        <row r="98">
          <cell r="G98" t="str">
            <v>28023FRUTTETO</v>
          </cell>
          <cell r="H98">
            <v>7980</v>
          </cell>
        </row>
        <row r="99">
          <cell r="G99" t="str">
            <v>28024COTOPAXI</v>
          </cell>
          <cell r="H99">
            <v>3390</v>
          </cell>
        </row>
        <row r="100">
          <cell r="G100" t="str">
            <v>28024SWEETNESS</v>
          </cell>
          <cell r="H100">
            <v>2490</v>
          </cell>
        </row>
        <row r="101">
          <cell r="G101" t="str">
            <v>28024TYCOON</v>
          </cell>
          <cell r="H101">
            <v>4410</v>
          </cell>
        </row>
        <row r="102">
          <cell r="G102" t="str">
            <v>28025PINK MONDIAL</v>
          </cell>
          <cell r="H102">
            <v>7125</v>
          </cell>
        </row>
        <row r="103">
          <cell r="G103" t="str">
            <v>28026LOLA</v>
          </cell>
          <cell r="H103">
            <v>4250</v>
          </cell>
        </row>
        <row r="104">
          <cell r="G104" t="str">
            <v>28026PALOMA</v>
          </cell>
          <cell r="H104">
            <v>4850</v>
          </cell>
        </row>
        <row r="105">
          <cell r="G105" t="str">
            <v>28027SATISFACTION</v>
          </cell>
          <cell r="H105">
            <v>6180</v>
          </cell>
        </row>
        <row r="106">
          <cell r="G106" t="str">
            <v>28027TIFFANY</v>
          </cell>
          <cell r="H106">
            <v>5430</v>
          </cell>
        </row>
        <row r="107">
          <cell r="G107" t="str">
            <v>28028COTOPAXI</v>
          </cell>
          <cell r="H107">
            <v>6150</v>
          </cell>
        </row>
        <row r="108">
          <cell r="G108" t="str">
            <v>28028DEEP PURPLE</v>
          </cell>
          <cell r="H108">
            <v>7650</v>
          </cell>
        </row>
        <row r="109">
          <cell r="G109" t="str">
            <v>28029PINK FLOYD</v>
          </cell>
          <cell r="H109">
            <v>4125</v>
          </cell>
        </row>
        <row r="110">
          <cell r="G110" t="str">
            <v>28030EXPLORER</v>
          </cell>
          <cell r="H110">
            <v>3125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Estimado_modelo"/>
    </sheetNames>
    <sheetDataSet>
      <sheetData sheetId="0">
        <row r="2">
          <cell r="G2" t="str">
            <v>29002SOMERSET</v>
          </cell>
          <cell r="H2">
            <v>7248</v>
          </cell>
          <cell r="I2">
            <v>8440</v>
          </cell>
        </row>
        <row r="3">
          <cell r="G3" t="str">
            <v>29004BELLINA</v>
          </cell>
          <cell r="H3">
            <v>1477</v>
          </cell>
          <cell r="I3">
            <v>1965</v>
          </cell>
        </row>
        <row r="4">
          <cell r="G4" t="str">
            <v>29005ELBA</v>
          </cell>
          <cell r="H4">
            <v>4832</v>
          </cell>
          <cell r="I4">
            <v>5700</v>
          </cell>
        </row>
        <row r="5">
          <cell r="G5" t="str">
            <v>29005HOT BUBBLES</v>
          </cell>
          <cell r="H5">
            <v>878</v>
          </cell>
          <cell r="I5">
            <v>1080</v>
          </cell>
        </row>
        <row r="6">
          <cell r="G6" t="str">
            <v>29005SUSPIRO</v>
          </cell>
          <cell r="H6">
            <v>3078</v>
          </cell>
          <cell r="I6">
            <v>3090</v>
          </cell>
        </row>
        <row r="7">
          <cell r="G7" t="str">
            <v>29007SNOW BUBBLES</v>
          </cell>
          <cell r="H7">
            <v>547</v>
          </cell>
          <cell r="I7">
            <v>1580</v>
          </cell>
        </row>
        <row r="8">
          <cell r="G8" t="str">
            <v>29009HOT BUBBLES</v>
          </cell>
          <cell r="H8">
            <v>6649</v>
          </cell>
          <cell r="I8">
            <v>7400</v>
          </cell>
        </row>
        <row r="9">
          <cell r="G9" t="str">
            <v>29014FRUITY BUBBLES</v>
          </cell>
          <cell r="H9">
            <v>2955</v>
          </cell>
          <cell r="I9">
            <v>4425</v>
          </cell>
        </row>
        <row r="10">
          <cell r="G10" t="str">
            <v>29015FELLINI</v>
          </cell>
          <cell r="H10">
            <v>4368</v>
          </cell>
          <cell r="I10">
            <v>7680</v>
          </cell>
        </row>
        <row r="11">
          <cell r="G11" t="str">
            <v>29016GOOD PEACH</v>
          </cell>
          <cell r="H11">
            <v>2343</v>
          </cell>
          <cell r="I11">
            <v>3360</v>
          </cell>
        </row>
        <row r="12">
          <cell r="G12" t="str">
            <v>29016GOOD YELLOW</v>
          </cell>
          <cell r="H12">
            <v>2354</v>
          </cell>
          <cell r="I12">
            <v>4680</v>
          </cell>
        </row>
        <row r="13">
          <cell r="G13" t="str">
            <v>29017ORANGE STAR</v>
          </cell>
          <cell r="H13">
            <v>1629</v>
          </cell>
          <cell r="I13">
            <v>1800</v>
          </cell>
        </row>
        <row r="14">
          <cell r="G14" t="str">
            <v>29018COSMO</v>
          </cell>
          <cell r="H14">
            <v>3571</v>
          </cell>
          <cell r="I14">
            <v>5275</v>
          </cell>
        </row>
        <row r="15">
          <cell r="G15" t="str">
            <v>29018RUBICON</v>
          </cell>
          <cell r="H15">
            <v>3970</v>
          </cell>
          <cell r="I15">
            <v>3540</v>
          </cell>
        </row>
        <row r="16">
          <cell r="G16" t="str">
            <v>29019BELLINA</v>
          </cell>
          <cell r="H16">
            <v>1530</v>
          </cell>
          <cell r="I16">
            <v>1740</v>
          </cell>
        </row>
        <row r="17">
          <cell r="G17" t="str">
            <v>29020SUMMER DANCE</v>
          </cell>
          <cell r="H17">
            <v>2650</v>
          </cell>
          <cell r="I17">
            <v>3675</v>
          </cell>
        </row>
        <row r="18">
          <cell r="G18" t="str">
            <v>29021ELEGANT ROSEVER</v>
          </cell>
          <cell r="H18">
            <v>471</v>
          </cell>
          <cell r="I18">
            <v>540</v>
          </cell>
        </row>
        <row r="19">
          <cell r="G19" t="str">
            <v>29021FLAME CLUB</v>
          </cell>
          <cell r="H19">
            <v>1505</v>
          </cell>
          <cell r="I19">
            <v>1450</v>
          </cell>
        </row>
        <row r="20">
          <cell r="G20" t="str">
            <v>29021KELLY</v>
          </cell>
          <cell r="H20">
            <v>587</v>
          </cell>
          <cell r="I20">
            <v>450</v>
          </cell>
        </row>
        <row r="21">
          <cell r="G21" t="str">
            <v>29021LEILA</v>
          </cell>
          <cell r="H21">
            <v>2510</v>
          </cell>
          <cell r="I21">
            <v>700</v>
          </cell>
        </row>
        <row r="22">
          <cell r="G22" t="str">
            <v>29021SNOW BUBBLES</v>
          </cell>
          <cell r="H22">
            <v>1359</v>
          </cell>
          <cell r="I22">
            <v>2440</v>
          </cell>
        </row>
        <row r="23">
          <cell r="G23" t="str">
            <v>29022FRUITY BUBBLES</v>
          </cell>
          <cell r="H23">
            <v>4330</v>
          </cell>
          <cell r="I23">
            <v>4650</v>
          </cell>
        </row>
        <row r="24">
          <cell r="G24" t="str">
            <v>29022GOOD PEACH</v>
          </cell>
          <cell r="H24">
            <v>1689</v>
          </cell>
          <cell r="I24">
            <v>2070</v>
          </cell>
        </row>
        <row r="25">
          <cell r="G25" t="str">
            <v>29022MIRABEL</v>
          </cell>
          <cell r="H25">
            <v>1181</v>
          </cell>
          <cell r="I25">
            <v>2180</v>
          </cell>
        </row>
        <row r="26">
          <cell r="G26" t="str">
            <v>29030MIRABEL</v>
          </cell>
          <cell r="H26">
            <v>2816</v>
          </cell>
          <cell r="I26">
            <v>4980</v>
          </cell>
        </row>
        <row r="27">
          <cell r="G27" t="str">
            <v>29030SOMERSET</v>
          </cell>
          <cell r="H27">
            <v>2709</v>
          </cell>
          <cell r="I27">
            <v>4000</v>
          </cell>
        </row>
        <row r="28">
          <cell r="G28" t="str">
            <v>2903182989</v>
          </cell>
          <cell r="H28">
            <v>823</v>
          </cell>
          <cell r="I28">
            <v>780</v>
          </cell>
        </row>
        <row r="29">
          <cell r="G29" t="str">
            <v>29031RUBICON</v>
          </cell>
          <cell r="H29">
            <v>2258</v>
          </cell>
          <cell r="I29">
            <v>2700</v>
          </cell>
        </row>
        <row r="30">
          <cell r="G30" t="str">
            <v>29031SOMERSET</v>
          </cell>
          <cell r="H30">
            <v>971</v>
          </cell>
          <cell r="I30">
            <v>960</v>
          </cell>
        </row>
        <row r="31">
          <cell r="G31" t="str">
            <v>29031VELVET BLOSSOMS</v>
          </cell>
          <cell r="H31">
            <v>313</v>
          </cell>
          <cell r="I31">
            <v>760</v>
          </cell>
        </row>
        <row r="32">
          <cell r="G32" t="str">
            <v>29032ELBA</v>
          </cell>
          <cell r="H32">
            <v>1993</v>
          </cell>
          <cell r="I32">
            <v>3090</v>
          </cell>
        </row>
        <row r="33">
          <cell r="G33" t="str">
            <v>29032MIRABEL</v>
          </cell>
          <cell r="H33">
            <v>1538</v>
          </cell>
          <cell r="I33">
            <v>1880</v>
          </cell>
        </row>
        <row r="34">
          <cell r="G34" t="str">
            <v>29033CREAMY FOLIES</v>
          </cell>
          <cell r="H34">
            <v>809</v>
          </cell>
          <cell r="I34">
            <v>780</v>
          </cell>
        </row>
        <row r="35">
          <cell r="G35" t="str">
            <v>29033HOT BUBBLES</v>
          </cell>
          <cell r="H35">
            <v>2523</v>
          </cell>
          <cell r="I35">
            <v>5780</v>
          </cell>
        </row>
        <row r="36">
          <cell r="G36" t="str">
            <v>29001BELIEVE IN PINK</v>
          </cell>
          <cell r="H36">
            <v>1668</v>
          </cell>
          <cell r="I36">
            <v>1350</v>
          </cell>
        </row>
        <row r="37">
          <cell r="G37" t="str">
            <v>29001EXPLORER</v>
          </cell>
          <cell r="H37">
            <v>3072</v>
          </cell>
          <cell r="I37">
            <v>4000</v>
          </cell>
        </row>
        <row r="38">
          <cell r="G38" t="str">
            <v>29001GRACE KELLY</v>
          </cell>
          <cell r="H38">
            <v>1695</v>
          </cell>
          <cell r="I38">
            <v>2430</v>
          </cell>
        </row>
        <row r="39">
          <cell r="G39" t="str">
            <v>29001LIGHT HOUSE</v>
          </cell>
          <cell r="H39">
            <v>1895</v>
          </cell>
          <cell r="I39">
            <v>2850</v>
          </cell>
        </row>
        <row r="40">
          <cell r="G40" t="str">
            <v>29001LUMIA</v>
          </cell>
          <cell r="H40">
            <v>1911</v>
          </cell>
          <cell r="I40">
            <v>3300</v>
          </cell>
        </row>
        <row r="41">
          <cell r="G41" t="str">
            <v>29001MOMENTUM</v>
          </cell>
          <cell r="H41">
            <v>3061</v>
          </cell>
          <cell r="I41">
            <v>5275</v>
          </cell>
        </row>
        <row r="42">
          <cell r="G42" t="str">
            <v>29002SWEETNESS</v>
          </cell>
          <cell r="H42">
            <v>4440</v>
          </cell>
          <cell r="I42">
            <v>6870</v>
          </cell>
        </row>
        <row r="43">
          <cell r="G43" t="str">
            <v>29003CABARET</v>
          </cell>
          <cell r="H43">
            <v>7262</v>
          </cell>
          <cell r="I43">
            <v>6870</v>
          </cell>
        </row>
        <row r="44">
          <cell r="G44" t="str">
            <v>29003DEEP PURPLE</v>
          </cell>
          <cell r="H44">
            <v>17839</v>
          </cell>
          <cell r="I44">
            <v>8820</v>
          </cell>
        </row>
        <row r="45">
          <cell r="G45" t="str">
            <v>29003EXPLORER</v>
          </cell>
          <cell r="H45">
            <v>1627</v>
          </cell>
          <cell r="I45">
            <v>2125</v>
          </cell>
        </row>
        <row r="46">
          <cell r="G46" t="str">
            <v>29003JOCKER</v>
          </cell>
          <cell r="H46">
            <v>776</v>
          </cell>
          <cell r="I46">
            <v>1125</v>
          </cell>
        </row>
        <row r="47">
          <cell r="G47" t="str">
            <v>29003QUICKSAND</v>
          </cell>
          <cell r="H47">
            <v>1531</v>
          </cell>
          <cell r="I47">
            <v>1860</v>
          </cell>
        </row>
        <row r="48">
          <cell r="G48" t="str">
            <v>29004COTOPAXI</v>
          </cell>
          <cell r="H48">
            <v>1026</v>
          </cell>
          <cell r="I48">
            <v>900</v>
          </cell>
        </row>
        <row r="49">
          <cell r="G49" t="str">
            <v>29004DEEP PURPLE</v>
          </cell>
          <cell r="H49">
            <v>20002</v>
          </cell>
          <cell r="I49">
            <v>12060</v>
          </cell>
        </row>
        <row r="50">
          <cell r="G50" t="str">
            <v>29004HOT EXPLORER</v>
          </cell>
          <cell r="H50">
            <v>2179</v>
          </cell>
          <cell r="I50">
            <v>1675</v>
          </cell>
        </row>
        <row r="51">
          <cell r="G51" t="str">
            <v>29004HOT MERENGUE</v>
          </cell>
          <cell r="H51">
            <v>2494</v>
          </cell>
          <cell r="I51">
            <v>2610</v>
          </cell>
        </row>
        <row r="52">
          <cell r="G52" t="str">
            <v>29004SWEETNESS</v>
          </cell>
          <cell r="H52">
            <v>681</v>
          </cell>
          <cell r="I52">
            <v>540</v>
          </cell>
        </row>
        <row r="53">
          <cell r="G53" t="str">
            <v>29005EXPLORER</v>
          </cell>
          <cell r="H53">
            <v>1115</v>
          </cell>
          <cell r="I53">
            <v>1425</v>
          </cell>
        </row>
        <row r="54">
          <cell r="G54" t="str">
            <v>29005GOLDFINCH</v>
          </cell>
          <cell r="H54">
            <v>1220</v>
          </cell>
          <cell r="I54">
            <v>900</v>
          </cell>
        </row>
        <row r="55">
          <cell r="G55" t="str">
            <v>29005JOCKER</v>
          </cell>
          <cell r="H55">
            <v>1638</v>
          </cell>
          <cell r="I55">
            <v>2375</v>
          </cell>
        </row>
        <row r="56">
          <cell r="G56" t="str">
            <v>29005VENDELA</v>
          </cell>
          <cell r="H56">
            <v>1569</v>
          </cell>
          <cell r="I56">
            <v>1710</v>
          </cell>
        </row>
        <row r="57">
          <cell r="G57" t="str">
            <v>29006ATOMIC</v>
          </cell>
          <cell r="H57">
            <v>1607</v>
          </cell>
          <cell r="I57">
            <v>950</v>
          </cell>
        </row>
        <row r="58">
          <cell r="G58" t="str">
            <v>29006EXPLORER</v>
          </cell>
          <cell r="H58">
            <v>5331</v>
          </cell>
          <cell r="I58">
            <v>5100</v>
          </cell>
        </row>
        <row r="59">
          <cell r="G59" t="str">
            <v>29006MONDIAL</v>
          </cell>
          <cell r="H59">
            <v>5459</v>
          </cell>
          <cell r="I59">
            <v>9500</v>
          </cell>
        </row>
        <row r="60">
          <cell r="G60" t="str">
            <v>29007COTOPAXI</v>
          </cell>
          <cell r="H60">
            <v>6528</v>
          </cell>
          <cell r="I60">
            <v>5850</v>
          </cell>
        </row>
        <row r="61">
          <cell r="G61" t="str">
            <v>29007REDIANT</v>
          </cell>
          <cell r="H61">
            <v>1115</v>
          </cell>
          <cell r="I61">
            <v>2160</v>
          </cell>
        </row>
        <row r="62">
          <cell r="G62" t="str">
            <v>29007VENDELA</v>
          </cell>
          <cell r="H62">
            <v>9468</v>
          </cell>
          <cell r="I62">
            <v>10650</v>
          </cell>
        </row>
        <row r="63">
          <cell r="G63" t="str">
            <v>29008DEEP PURPLE</v>
          </cell>
          <cell r="H63">
            <v>7862</v>
          </cell>
          <cell r="I63">
            <v>5670</v>
          </cell>
        </row>
        <row r="64">
          <cell r="G64" t="str">
            <v>29008FREEDOM</v>
          </cell>
          <cell r="H64">
            <v>4872</v>
          </cell>
          <cell r="I64">
            <v>2610</v>
          </cell>
        </row>
        <row r="65">
          <cell r="G65" t="str">
            <v>29008JOCKER</v>
          </cell>
          <cell r="H65">
            <v>3779</v>
          </cell>
          <cell r="I65">
            <v>5750</v>
          </cell>
        </row>
        <row r="66">
          <cell r="G66" t="str">
            <v>29010COOLDOWN</v>
          </cell>
          <cell r="H66">
            <v>1176</v>
          </cell>
          <cell r="I66">
            <v>3825</v>
          </cell>
        </row>
        <row r="67">
          <cell r="G67" t="str">
            <v>29010VIOLET HILL</v>
          </cell>
          <cell r="H67">
            <v>1821</v>
          </cell>
          <cell r="I67">
            <v>5850</v>
          </cell>
        </row>
        <row r="68">
          <cell r="G68" t="str">
            <v>29011BRIGHTON</v>
          </cell>
          <cell r="H68">
            <v>2643</v>
          </cell>
          <cell r="I68">
            <v>3550</v>
          </cell>
        </row>
        <row r="69">
          <cell r="G69" t="str">
            <v>29011CANDLELIGHT</v>
          </cell>
          <cell r="H69">
            <v>3744</v>
          </cell>
          <cell r="I69">
            <v>4640</v>
          </cell>
        </row>
        <row r="70">
          <cell r="G70" t="str">
            <v>29011CAYENNE</v>
          </cell>
          <cell r="H70">
            <v>1457</v>
          </cell>
          <cell r="I70">
            <v>1530</v>
          </cell>
        </row>
        <row r="71">
          <cell r="G71" t="str">
            <v>29011LUMIA</v>
          </cell>
          <cell r="H71">
            <v>1648</v>
          </cell>
          <cell r="I71">
            <v>2640</v>
          </cell>
        </row>
        <row r="72">
          <cell r="G72" t="str">
            <v>29011STARDUST</v>
          </cell>
          <cell r="H72">
            <v>3691</v>
          </cell>
          <cell r="I72">
            <v>4525</v>
          </cell>
        </row>
        <row r="73">
          <cell r="G73" t="str">
            <v>29012DEEP PURPLE</v>
          </cell>
          <cell r="H73">
            <v>17878</v>
          </cell>
          <cell r="I73">
            <v>19410</v>
          </cell>
        </row>
        <row r="74">
          <cell r="G74" t="str">
            <v>29012LIGHT HOUSE</v>
          </cell>
          <cell r="H74">
            <v>1529</v>
          </cell>
          <cell r="I74">
            <v>2100</v>
          </cell>
        </row>
        <row r="75">
          <cell r="G75" t="str">
            <v>29013COUNTRY BLUES</v>
          </cell>
          <cell r="H75">
            <v>1441</v>
          </cell>
          <cell r="I75">
            <v>1400</v>
          </cell>
        </row>
        <row r="76">
          <cell r="G76" t="str">
            <v>29013LORRAINE</v>
          </cell>
          <cell r="H76">
            <v>2980</v>
          </cell>
          <cell r="I76">
            <v>4025</v>
          </cell>
        </row>
        <row r="77">
          <cell r="G77" t="str">
            <v>29013LUMIA</v>
          </cell>
          <cell r="H77">
            <v>687</v>
          </cell>
          <cell r="I77">
            <v>960</v>
          </cell>
        </row>
        <row r="78">
          <cell r="G78" t="str">
            <v>29013VENDELA</v>
          </cell>
          <cell r="H78">
            <v>9212</v>
          </cell>
          <cell r="I78">
            <v>12150</v>
          </cell>
        </row>
        <row r="79">
          <cell r="G79" t="str">
            <v>29014STARDUST</v>
          </cell>
          <cell r="H79">
            <v>6572</v>
          </cell>
          <cell r="I79">
            <v>8575</v>
          </cell>
        </row>
        <row r="80">
          <cell r="G80" t="str">
            <v>29015JOCKER</v>
          </cell>
          <cell r="H80">
            <v>3730</v>
          </cell>
          <cell r="I80">
            <v>6750</v>
          </cell>
        </row>
        <row r="81">
          <cell r="G81" t="str">
            <v>29016DREAM IN PEACH</v>
          </cell>
          <cell r="H81">
            <v>1511</v>
          </cell>
          <cell r="I81">
            <v>1800</v>
          </cell>
        </row>
        <row r="82">
          <cell r="G82" t="str">
            <v>29016NINA</v>
          </cell>
          <cell r="H82">
            <v>2700</v>
          </cell>
          <cell r="I82">
            <v>3300</v>
          </cell>
        </row>
        <row r="83">
          <cell r="G83" t="str">
            <v>29017FREEDOM</v>
          </cell>
          <cell r="H83">
            <v>6563</v>
          </cell>
          <cell r="I83">
            <v>5400</v>
          </cell>
        </row>
        <row r="84">
          <cell r="G84" t="str">
            <v>29017GOLDFINCH</v>
          </cell>
          <cell r="H84">
            <v>2997</v>
          </cell>
          <cell r="I84">
            <v>3725</v>
          </cell>
        </row>
        <row r="85">
          <cell r="G85" t="str">
            <v>29018BRIGHTON</v>
          </cell>
          <cell r="H85">
            <v>2421</v>
          </cell>
          <cell r="I85">
            <v>2475</v>
          </cell>
        </row>
        <row r="86">
          <cell r="G86" t="str">
            <v>29019BRIGHTON</v>
          </cell>
          <cell r="H86">
            <v>8494</v>
          </cell>
          <cell r="I86">
            <v>9375</v>
          </cell>
        </row>
        <row r="87">
          <cell r="G87" t="str">
            <v>29019TABATHA</v>
          </cell>
          <cell r="H87">
            <v>2625</v>
          </cell>
          <cell r="I87">
            <v>2490</v>
          </cell>
        </row>
        <row r="88">
          <cell r="G88" t="str">
            <v>29020BRIGHTON</v>
          </cell>
          <cell r="H88">
            <v>5497</v>
          </cell>
          <cell r="I88">
            <v>5500</v>
          </cell>
        </row>
        <row r="89">
          <cell r="G89" t="str">
            <v>29020TYCOON</v>
          </cell>
          <cell r="H89">
            <v>1073</v>
          </cell>
          <cell r="I89">
            <v>1350</v>
          </cell>
        </row>
        <row r="90">
          <cell r="G90" t="str">
            <v>29021SHOW GIRL</v>
          </cell>
          <cell r="H90">
            <v>1179</v>
          </cell>
          <cell r="I90">
            <v>1200</v>
          </cell>
        </row>
        <row r="91">
          <cell r="G91" t="str">
            <v>29022CORAL REEF</v>
          </cell>
          <cell r="H91">
            <v>2216</v>
          </cell>
          <cell r="I91">
            <v>2375</v>
          </cell>
        </row>
        <row r="92">
          <cell r="G92" t="str">
            <v>29023COTOPAXI</v>
          </cell>
          <cell r="H92">
            <v>6263</v>
          </cell>
          <cell r="I92">
            <v>6330</v>
          </cell>
        </row>
        <row r="93">
          <cell r="G93" t="str">
            <v>29023FRUTTETO</v>
          </cell>
          <cell r="H93">
            <v>7346</v>
          </cell>
          <cell r="I93">
            <v>6960</v>
          </cell>
        </row>
        <row r="94">
          <cell r="G94" t="str">
            <v>29024COTOPAXI</v>
          </cell>
          <cell r="H94">
            <v>3040</v>
          </cell>
          <cell r="I94">
            <v>4440</v>
          </cell>
        </row>
        <row r="95">
          <cell r="G95" t="str">
            <v>29024SWEETNESS</v>
          </cell>
          <cell r="H95">
            <v>1344</v>
          </cell>
          <cell r="I95">
            <v>2220</v>
          </cell>
        </row>
        <row r="96">
          <cell r="G96" t="str">
            <v>29024TYCOON</v>
          </cell>
          <cell r="H96">
            <v>3702</v>
          </cell>
          <cell r="I96">
            <v>5070</v>
          </cell>
        </row>
        <row r="97">
          <cell r="G97" t="str">
            <v>29025PINK MONDIAL</v>
          </cell>
          <cell r="H97">
            <v>4323</v>
          </cell>
          <cell r="I97">
            <v>7400</v>
          </cell>
        </row>
        <row r="98">
          <cell r="G98" t="str">
            <v>29026LOLA</v>
          </cell>
          <cell r="H98">
            <v>5404</v>
          </cell>
          <cell r="I98">
            <v>3400</v>
          </cell>
        </row>
        <row r="99">
          <cell r="G99" t="str">
            <v>29026PALOMA</v>
          </cell>
          <cell r="H99">
            <v>5294</v>
          </cell>
          <cell r="I99">
            <v>4675</v>
          </cell>
        </row>
        <row r="100">
          <cell r="G100" t="str">
            <v>29027SATISFACTION</v>
          </cell>
          <cell r="H100">
            <v>3111</v>
          </cell>
          <cell r="I100">
            <v>7230</v>
          </cell>
        </row>
        <row r="101">
          <cell r="G101" t="str">
            <v>29027TIFFANY</v>
          </cell>
          <cell r="H101">
            <v>2772</v>
          </cell>
          <cell r="I101">
            <v>6360</v>
          </cell>
        </row>
        <row r="102">
          <cell r="G102" t="str">
            <v>29028COTOPAXI</v>
          </cell>
          <cell r="H102">
            <v>3648</v>
          </cell>
          <cell r="I102">
            <v>5010</v>
          </cell>
        </row>
        <row r="103">
          <cell r="G103" t="str">
            <v>29028DEEP PURPLE</v>
          </cell>
          <cell r="H103">
            <v>8298</v>
          </cell>
          <cell r="I103">
            <v>7260</v>
          </cell>
        </row>
        <row r="104">
          <cell r="G104" t="str">
            <v>29029PINK FLOYD</v>
          </cell>
          <cell r="H104">
            <v>3452</v>
          </cell>
          <cell r="I104">
            <v>4350</v>
          </cell>
        </row>
        <row r="105">
          <cell r="G105" t="str">
            <v>29030EXPLORER</v>
          </cell>
          <cell r="H105">
            <v>2164</v>
          </cell>
          <cell r="I105">
            <v>2600</v>
          </cell>
        </row>
        <row r="106">
          <cell r="G106" t="str">
            <v>30002SOMERSET</v>
          </cell>
          <cell r="H106">
            <v>12147</v>
          </cell>
          <cell r="I106">
            <v>8440</v>
          </cell>
        </row>
        <row r="107">
          <cell r="G107" t="str">
            <v>30004BELLINA</v>
          </cell>
          <cell r="H107">
            <v>2006</v>
          </cell>
          <cell r="I107">
            <v>1965</v>
          </cell>
        </row>
        <row r="108">
          <cell r="G108" t="str">
            <v>30005ELBA</v>
          </cell>
          <cell r="H108">
            <v>6970</v>
          </cell>
          <cell r="I108">
            <v>5700</v>
          </cell>
        </row>
        <row r="109">
          <cell r="G109" t="str">
            <v>30005HOT BUBBLES</v>
          </cell>
          <cell r="H109">
            <v>988</v>
          </cell>
          <cell r="I109">
            <v>1080</v>
          </cell>
        </row>
        <row r="110">
          <cell r="G110" t="str">
            <v>30005SUSPIRO</v>
          </cell>
          <cell r="H110">
            <v>3359</v>
          </cell>
          <cell r="I110">
            <v>3090</v>
          </cell>
        </row>
        <row r="111">
          <cell r="G111" t="str">
            <v>30007SNOW BUBBLES</v>
          </cell>
          <cell r="H111">
            <v>750</v>
          </cell>
          <cell r="I111">
            <v>1580</v>
          </cell>
        </row>
        <row r="112">
          <cell r="G112" t="str">
            <v>30009HOT BUBBLES</v>
          </cell>
          <cell r="H112">
            <v>7606</v>
          </cell>
          <cell r="I112">
            <v>7400</v>
          </cell>
        </row>
        <row r="113">
          <cell r="G113" t="str">
            <v>30014FRUITY BUBBLES</v>
          </cell>
          <cell r="H113">
            <v>3469</v>
          </cell>
          <cell r="I113">
            <v>4425</v>
          </cell>
        </row>
        <row r="114">
          <cell r="G114" t="str">
            <v>30015FELLINI</v>
          </cell>
          <cell r="H114">
            <v>5859</v>
          </cell>
          <cell r="I114">
            <v>7680</v>
          </cell>
        </row>
        <row r="115">
          <cell r="G115" t="str">
            <v>30016GOOD PEACH</v>
          </cell>
          <cell r="H115">
            <v>2922</v>
          </cell>
          <cell r="I115">
            <v>3360</v>
          </cell>
        </row>
        <row r="116">
          <cell r="G116" t="str">
            <v>30016GOOD YELLOW</v>
          </cell>
          <cell r="H116">
            <v>2931</v>
          </cell>
          <cell r="I116">
            <v>4680</v>
          </cell>
        </row>
        <row r="117">
          <cell r="G117" t="str">
            <v>30017ORANGE STAR</v>
          </cell>
          <cell r="H117">
            <v>2020</v>
          </cell>
          <cell r="I117">
            <v>1800</v>
          </cell>
        </row>
        <row r="118">
          <cell r="G118" t="str">
            <v>30018COSMO</v>
          </cell>
          <cell r="H118">
            <v>4540</v>
          </cell>
          <cell r="I118">
            <v>5275</v>
          </cell>
        </row>
        <row r="119">
          <cell r="G119" t="str">
            <v>30018RUBICON</v>
          </cell>
          <cell r="H119">
            <v>4301</v>
          </cell>
          <cell r="I119">
            <v>3540</v>
          </cell>
        </row>
        <row r="120">
          <cell r="G120" t="str">
            <v>30019BELLINA</v>
          </cell>
          <cell r="H120">
            <v>2087</v>
          </cell>
          <cell r="I120">
            <v>1740</v>
          </cell>
        </row>
        <row r="121">
          <cell r="G121" t="str">
            <v>30020SUMMER DANCE</v>
          </cell>
          <cell r="H121">
            <v>3924</v>
          </cell>
          <cell r="I121">
            <v>3675</v>
          </cell>
        </row>
        <row r="122">
          <cell r="G122" t="str">
            <v>30021ELEGANT ROSEVER</v>
          </cell>
          <cell r="H122">
            <v>847</v>
          </cell>
          <cell r="I122">
            <v>540</v>
          </cell>
        </row>
        <row r="123">
          <cell r="G123" t="str">
            <v>30021FLAME CLUB</v>
          </cell>
          <cell r="H123">
            <v>1953</v>
          </cell>
          <cell r="I123">
            <v>1450</v>
          </cell>
        </row>
        <row r="124">
          <cell r="G124" t="str">
            <v>30021KELLY</v>
          </cell>
          <cell r="H124">
            <v>626</v>
          </cell>
          <cell r="I124">
            <v>450</v>
          </cell>
        </row>
        <row r="125">
          <cell r="G125" t="str">
            <v>30021LEILA</v>
          </cell>
          <cell r="H125">
            <v>2843</v>
          </cell>
          <cell r="I125">
            <v>700</v>
          </cell>
        </row>
        <row r="126">
          <cell r="G126" t="str">
            <v>30021SNOW BUBBLES</v>
          </cell>
          <cell r="H126">
            <v>1897</v>
          </cell>
          <cell r="I126">
            <v>2440</v>
          </cell>
        </row>
        <row r="127">
          <cell r="G127" t="str">
            <v>30022FRUITY BUBBLES</v>
          </cell>
          <cell r="H127">
            <v>4956</v>
          </cell>
          <cell r="I127">
            <v>4650</v>
          </cell>
        </row>
        <row r="128">
          <cell r="G128" t="str">
            <v>30022GOOD PEACH</v>
          </cell>
          <cell r="H128">
            <v>2113</v>
          </cell>
          <cell r="I128">
            <v>2070</v>
          </cell>
        </row>
        <row r="129">
          <cell r="G129" t="str">
            <v>30022MIRABEL</v>
          </cell>
          <cell r="H129">
            <v>1148</v>
          </cell>
          <cell r="I129">
            <v>2180</v>
          </cell>
        </row>
        <row r="130">
          <cell r="G130" t="str">
            <v>30030MIRABEL</v>
          </cell>
          <cell r="H130">
            <v>3017</v>
          </cell>
          <cell r="I130">
            <v>4980</v>
          </cell>
        </row>
        <row r="131">
          <cell r="G131" t="str">
            <v>30030SOMERSET</v>
          </cell>
          <cell r="H131">
            <v>4493</v>
          </cell>
          <cell r="I131">
            <v>4000</v>
          </cell>
        </row>
        <row r="132">
          <cell r="G132" t="str">
            <v>3003182989</v>
          </cell>
          <cell r="H132">
            <v>1054</v>
          </cell>
          <cell r="I132">
            <v>780</v>
          </cell>
        </row>
        <row r="133">
          <cell r="G133" t="str">
            <v>30031RUBICON</v>
          </cell>
          <cell r="H133">
            <v>2353</v>
          </cell>
          <cell r="I133">
            <v>2700</v>
          </cell>
        </row>
        <row r="134">
          <cell r="G134" t="str">
            <v>30031SOMERSET</v>
          </cell>
          <cell r="H134">
            <v>1003</v>
          </cell>
          <cell r="I134">
            <v>960</v>
          </cell>
        </row>
        <row r="135">
          <cell r="G135" t="str">
            <v>30031VELVET BLOSSOMS</v>
          </cell>
          <cell r="H135">
            <v>321</v>
          </cell>
          <cell r="I135">
            <v>760</v>
          </cell>
        </row>
        <row r="136">
          <cell r="G136" t="str">
            <v>30032ELBA</v>
          </cell>
          <cell r="H136">
            <v>2739</v>
          </cell>
          <cell r="I136">
            <v>3090</v>
          </cell>
        </row>
        <row r="137">
          <cell r="G137" t="str">
            <v>30032MIRABEL</v>
          </cell>
          <cell r="H137">
            <v>1625</v>
          </cell>
          <cell r="I137">
            <v>1880</v>
          </cell>
        </row>
        <row r="138">
          <cell r="G138" t="str">
            <v>30033CREAMY FOLIES</v>
          </cell>
          <cell r="H138">
            <v>1079</v>
          </cell>
          <cell r="I138">
            <v>780</v>
          </cell>
        </row>
        <row r="139">
          <cell r="G139" t="str">
            <v>30033HOT BUBBLES</v>
          </cell>
          <cell r="H139">
            <v>2831</v>
          </cell>
          <cell r="I139">
            <v>5780</v>
          </cell>
        </row>
        <row r="140">
          <cell r="G140" t="str">
            <v>30001BELIEVE IN PINK</v>
          </cell>
          <cell r="H140">
            <v>1649</v>
          </cell>
          <cell r="I140">
            <v>1350</v>
          </cell>
        </row>
        <row r="141">
          <cell r="G141" t="str">
            <v>30001EXPLORER</v>
          </cell>
          <cell r="H141">
            <v>4018</v>
          </cell>
          <cell r="I141">
            <v>4000</v>
          </cell>
        </row>
        <row r="142">
          <cell r="G142" t="str">
            <v>30001GRACE KELLY</v>
          </cell>
          <cell r="H142">
            <v>2081</v>
          </cell>
          <cell r="I142">
            <v>2430</v>
          </cell>
        </row>
        <row r="143">
          <cell r="G143" t="str">
            <v>30001LIGHT HOUSE</v>
          </cell>
          <cell r="H143">
            <v>2484</v>
          </cell>
          <cell r="I143">
            <v>2850</v>
          </cell>
        </row>
        <row r="144">
          <cell r="G144" t="str">
            <v>30001LUMIA</v>
          </cell>
          <cell r="H144">
            <v>2487</v>
          </cell>
          <cell r="I144">
            <v>3300</v>
          </cell>
        </row>
        <row r="145">
          <cell r="G145" t="str">
            <v>30001MOMENTUM</v>
          </cell>
          <cell r="H145">
            <v>3750</v>
          </cell>
          <cell r="I145">
            <v>5275</v>
          </cell>
        </row>
        <row r="146">
          <cell r="G146" t="str">
            <v>30002SWEETNESS</v>
          </cell>
          <cell r="H146">
            <v>5688</v>
          </cell>
          <cell r="I146">
            <v>6870</v>
          </cell>
        </row>
        <row r="147">
          <cell r="G147" t="str">
            <v>30003CABARET</v>
          </cell>
          <cell r="H147">
            <v>8316</v>
          </cell>
          <cell r="I147">
            <v>6870</v>
          </cell>
        </row>
        <row r="148">
          <cell r="G148" t="str">
            <v>30003DEEP PURPLE</v>
          </cell>
          <cell r="H148">
            <v>16323</v>
          </cell>
          <cell r="I148">
            <v>8820</v>
          </cell>
        </row>
        <row r="149">
          <cell r="G149" t="str">
            <v>30003EXPLORER</v>
          </cell>
          <cell r="H149">
            <v>2199</v>
          </cell>
          <cell r="I149">
            <v>2125</v>
          </cell>
        </row>
        <row r="150">
          <cell r="G150" t="str">
            <v>30003JOCKER</v>
          </cell>
          <cell r="H150">
            <v>1054</v>
          </cell>
          <cell r="I150">
            <v>1125</v>
          </cell>
        </row>
        <row r="151">
          <cell r="G151" t="str">
            <v>30003QUICKSAND</v>
          </cell>
          <cell r="H151">
            <v>2111</v>
          </cell>
          <cell r="I151">
            <v>1860</v>
          </cell>
        </row>
        <row r="152">
          <cell r="G152" t="str">
            <v>30004COTOPAXI</v>
          </cell>
          <cell r="H152">
            <v>1063</v>
          </cell>
          <cell r="I152">
            <v>900</v>
          </cell>
        </row>
        <row r="153">
          <cell r="G153" t="str">
            <v>30004DEEP PURPLE</v>
          </cell>
          <cell r="H153">
            <v>18435</v>
          </cell>
          <cell r="I153">
            <v>12060</v>
          </cell>
        </row>
        <row r="154">
          <cell r="G154" t="str">
            <v>30004HOT EXPLORER</v>
          </cell>
          <cell r="H154">
            <v>2569</v>
          </cell>
          <cell r="I154">
            <v>1675</v>
          </cell>
        </row>
        <row r="155">
          <cell r="G155" t="str">
            <v>30004HOT MERENGUE</v>
          </cell>
          <cell r="H155">
            <v>3144</v>
          </cell>
          <cell r="I155">
            <v>2610</v>
          </cell>
        </row>
        <row r="156">
          <cell r="G156" t="str">
            <v>30004SWEETNESS</v>
          </cell>
          <cell r="H156">
            <v>730</v>
          </cell>
          <cell r="I156">
            <v>540</v>
          </cell>
        </row>
        <row r="157">
          <cell r="G157" t="str">
            <v>30005EXPLORER</v>
          </cell>
          <cell r="H157">
            <v>1343</v>
          </cell>
          <cell r="I157">
            <v>1425</v>
          </cell>
        </row>
        <row r="158">
          <cell r="G158" t="str">
            <v>30005GOLDFINCH</v>
          </cell>
          <cell r="H158">
            <v>1485</v>
          </cell>
          <cell r="I158">
            <v>900</v>
          </cell>
        </row>
        <row r="159">
          <cell r="G159" t="str">
            <v>30005JOCKER</v>
          </cell>
          <cell r="H159">
            <v>2378</v>
          </cell>
          <cell r="I159">
            <v>2375</v>
          </cell>
        </row>
        <row r="160">
          <cell r="G160" t="str">
            <v>30005VENDELA</v>
          </cell>
          <cell r="H160">
            <v>2287</v>
          </cell>
          <cell r="I160">
            <v>1710</v>
          </cell>
        </row>
        <row r="161">
          <cell r="G161" t="str">
            <v>30006ATOMIC</v>
          </cell>
          <cell r="H161">
            <v>1559</v>
          </cell>
          <cell r="I161">
            <v>950</v>
          </cell>
        </row>
        <row r="162">
          <cell r="G162" t="str">
            <v>30006EXPLORER</v>
          </cell>
          <cell r="H162">
            <v>6221</v>
          </cell>
          <cell r="I162">
            <v>5100</v>
          </cell>
        </row>
        <row r="163">
          <cell r="G163" t="str">
            <v>30006MONDIAL</v>
          </cell>
          <cell r="H163">
            <v>7576</v>
          </cell>
          <cell r="I163">
            <v>9500</v>
          </cell>
        </row>
        <row r="164">
          <cell r="G164" t="str">
            <v>30007COTOPAXI</v>
          </cell>
          <cell r="H164">
            <v>6540</v>
          </cell>
          <cell r="I164">
            <v>5850</v>
          </cell>
        </row>
        <row r="165">
          <cell r="G165" t="str">
            <v>30007REDIANT</v>
          </cell>
          <cell r="H165">
            <v>1498</v>
          </cell>
          <cell r="I165">
            <v>2160</v>
          </cell>
        </row>
        <row r="166">
          <cell r="G166" t="str">
            <v>30007VENDELA</v>
          </cell>
          <cell r="H166">
            <v>12406</v>
          </cell>
          <cell r="I166">
            <v>10650</v>
          </cell>
        </row>
        <row r="167">
          <cell r="G167" t="str">
            <v>30008DEEP PURPLE</v>
          </cell>
          <cell r="H167">
            <v>8425</v>
          </cell>
          <cell r="I167">
            <v>5670</v>
          </cell>
        </row>
        <row r="168">
          <cell r="G168" t="str">
            <v>30008FREEDOM</v>
          </cell>
          <cell r="H168">
            <v>5557</v>
          </cell>
          <cell r="I168">
            <v>2610</v>
          </cell>
        </row>
        <row r="169">
          <cell r="G169" t="str">
            <v>30008JOCKER</v>
          </cell>
          <cell r="H169">
            <v>5513</v>
          </cell>
          <cell r="I169">
            <v>5750</v>
          </cell>
        </row>
        <row r="170">
          <cell r="G170" t="str">
            <v>30010COOLDOWN</v>
          </cell>
          <cell r="H170">
            <v>1877</v>
          </cell>
          <cell r="I170">
            <v>3825</v>
          </cell>
        </row>
        <row r="171">
          <cell r="G171" t="str">
            <v>30010VIOLET HILL</v>
          </cell>
          <cell r="H171">
            <v>2038</v>
          </cell>
          <cell r="I171">
            <v>5850</v>
          </cell>
        </row>
        <row r="172">
          <cell r="G172" t="str">
            <v>30011BRIGHTON</v>
          </cell>
          <cell r="H172">
            <v>4026</v>
          </cell>
          <cell r="I172">
            <v>3550</v>
          </cell>
        </row>
        <row r="173">
          <cell r="G173" t="str">
            <v>30011CANDLELIGHT</v>
          </cell>
          <cell r="H173">
            <v>5059</v>
          </cell>
          <cell r="I173">
            <v>4640</v>
          </cell>
        </row>
        <row r="174">
          <cell r="G174" t="str">
            <v>30011CAYENNE</v>
          </cell>
          <cell r="H174">
            <v>1990</v>
          </cell>
          <cell r="I174">
            <v>1530</v>
          </cell>
        </row>
        <row r="175">
          <cell r="G175" t="str">
            <v>30011LUMIA</v>
          </cell>
          <cell r="H175">
            <v>2151</v>
          </cell>
          <cell r="I175">
            <v>2640</v>
          </cell>
        </row>
        <row r="176">
          <cell r="G176" t="str">
            <v>30011STARDUST</v>
          </cell>
          <cell r="H176">
            <v>4587</v>
          </cell>
          <cell r="I176">
            <v>4525</v>
          </cell>
        </row>
        <row r="177">
          <cell r="G177" t="str">
            <v>30012DEEP PURPLE</v>
          </cell>
          <cell r="H177">
            <v>21486</v>
          </cell>
          <cell r="I177">
            <v>19410</v>
          </cell>
        </row>
        <row r="178">
          <cell r="G178" t="str">
            <v>30012LIGHT HOUSE</v>
          </cell>
          <cell r="H178">
            <v>1991</v>
          </cell>
          <cell r="I178">
            <v>2100</v>
          </cell>
        </row>
        <row r="179">
          <cell r="G179" t="str">
            <v>30013COUNTRY BLUES</v>
          </cell>
          <cell r="H179">
            <v>1781</v>
          </cell>
          <cell r="I179">
            <v>1400</v>
          </cell>
        </row>
        <row r="180">
          <cell r="G180" t="str">
            <v>30013LORRAINE</v>
          </cell>
          <cell r="H180">
            <v>3799</v>
          </cell>
          <cell r="I180">
            <v>4025</v>
          </cell>
        </row>
        <row r="181">
          <cell r="G181" t="str">
            <v>30013LUMIA</v>
          </cell>
          <cell r="H181">
            <v>896</v>
          </cell>
          <cell r="I181">
            <v>960</v>
          </cell>
        </row>
        <row r="182">
          <cell r="G182" t="str">
            <v>30013VENDELA</v>
          </cell>
          <cell r="H182">
            <v>11771</v>
          </cell>
          <cell r="I182">
            <v>12150</v>
          </cell>
        </row>
        <row r="183">
          <cell r="G183" t="str">
            <v>30014STARDUST</v>
          </cell>
          <cell r="H183">
            <v>8534</v>
          </cell>
          <cell r="I183">
            <v>8575</v>
          </cell>
        </row>
        <row r="184">
          <cell r="G184" t="str">
            <v>30015JOCKER</v>
          </cell>
          <cell r="H184">
            <v>5802</v>
          </cell>
          <cell r="I184">
            <v>6750</v>
          </cell>
        </row>
        <row r="185">
          <cell r="G185" t="str">
            <v>30016DREAM IN PEACH</v>
          </cell>
          <cell r="H185">
            <v>2056</v>
          </cell>
          <cell r="I185">
            <v>1800</v>
          </cell>
        </row>
        <row r="186">
          <cell r="G186" t="str">
            <v>30016NINA</v>
          </cell>
          <cell r="H186">
            <v>3491</v>
          </cell>
          <cell r="I186">
            <v>3300</v>
          </cell>
        </row>
        <row r="187">
          <cell r="G187" t="str">
            <v>30017FREEDOM</v>
          </cell>
          <cell r="H187">
            <v>7452</v>
          </cell>
          <cell r="I187">
            <v>5400</v>
          </cell>
        </row>
        <row r="188">
          <cell r="G188" t="str">
            <v>30017GOLDFINCH</v>
          </cell>
          <cell r="H188">
            <v>3612</v>
          </cell>
          <cell r="I188">
            <v>3725</v>
          </cell>
        </row>
        <row r="189">
          <cell r="G189" t="str">
            <v>30018BRIGHTON</v>
          </cell>
          <cell r="H189">
            <v>2697</v>
          </cell>
          <cell r="I189">
            <v>2475</v>
          </cell>
        </row>
        <row r="190">
          <cell r="G190" t="str">
            <v>30019BRIGHTON</v>
          </cell>
          <cell r="H190">
            <v>9574</v>
          </cell>
          <cell r="I190">
            <v>9375</v>
          </cell>
        </row>
        <row r="191">
          <cell r="G191" t="str">
            <v>30019TABATHA</v>
          </cell>
          <cell r="H191">
            <v>3253</v>
          </cell>
          <cell r="I191">
            <v>2490</v>
          </cell>
        </row>
        <row r="192">
          <cell r="G192" t="str">
            <v>30020BRIGHTON</v>
          </cell>
          <cell r="H192">
            <v>6408</v>
          </cell>
          <cell r="I192">
            <v>5500</v>
          </cell>
        </row>
        <row r="193">
          <cell r="G193" t="str">
            <v>30020TYCOON</v>
          </cell>
          <cell r="H193">
            <v>1110</v>
          </cell>
          <cell r="I193">
            <v>1350</v>
          </cell>
        </row>
        <row r="194">
          <cell r="G194" t="str">
            <v>30021SHOW GIRL</v>
          </cell>
          <cell r="H194">
            <v>1452</v>
          </cell>
          <cell r="I194">
            <v>1200</v>
          </cell>
        </row>
        <row r="195">
          <cell r="G195" t="str">
            <v>30022CORAL REEF</v>
          </cell>
          <cell r="H195">
            <v>2850</v>
          </cell>
          <cell r="I195">
            <v>2375</v>
          </cell>
        </row>
        <row r="196">
          <cell r="G196" t="str">
            <v>30023COTOPAXI</v>
          </cell>
          <cell r="H196">
            <v>6265</v>
          </cell>
          <cell r="I196">
            <v>6330</v>
          </cell>
        </row>
        <row r="197">
          <cell r="G197" t="str">
            <v>30023FRUTTETO</v>
          </cell>
          <cell r="H197">
            <v>7768</v>
          </cell>
          <cell r="I197">
            <v>6960</v>
          </cell>
        </row>
        <row r="198">
          <cell r="G198" t="str">
            <v>30024COTOPAXI</v>
          </cell>
          <cell r="H198">
            <v>3298</v>
          </cell>
          <cell r="I198">
            <v>4440</v>
          </cell>
        </row>
        <row r="199">
          <cell r="G199" t="str">
            <v>30024SWEETNESS</v>
          </cell>
          <cell r="H199">
            <v>1597</v>
          </cell>
          <cell r="I199">
            <v>2220</v>
          </cell>
        </row>
        <row r="200">
          <cell r="G200" t="str">
            <v>30024TYCOON</v>
          </cell>
          <cell r="H200">
            <v>3702</v>
          </cell>
          <cell r="I200">
            <v>5070</v>
          </cell>
        </row>
        <row r="201">
          <cell r="G201" t="str">
            <v>30025PINK MONDIAL</v>
          </cell>
          <cell r="H201">
            <v>5559</v>
          </cell>
          <cell r="I201">
            <v>7400</v>
          </cell>
        </row>
        <row r="202">
          <cell r="G202" t="str">
            <v>30026LOLA</v>
          </cell>
          <cell r="H202">
            <v>5801</v>
          </cell>
          <cell r="I202">
            <v>3400</v>
          </cell>
        </row>
        <row r="203">
          <cell r="G203" t="str">
            <v>30026PALOMA</v>
          </cell>
          <cell r="H203">
            <v>6611</v>
          </cell>
          <cell r="I203">
            <v>4675</v>
          </cell>
        </row>
        <row r="204">
          <cell r="G204" t="str">
            <v>30027SATISFACTION</v>
          </cell>
          <cell r="H204">
            <v>4545</v>
          </cell>
          <cell r="I204">
            <v>7230</v>
          </cell>
        </row>
        <row r="205">
          <cell r="G205" t="str">
            <v>30027TIFFANY</v>
          </cell>
          <cell r="H205">
            <v>3983</v>
          </cell>
          <cell r="I205">
            <v>6360</v>
          </cell>
        </row>
        <row r="206">
          <cell r="G206" t="str">
            <v>30028COTOPAXI</v>
          </cell>
          <cell r="H206">
            <v>3475</v>
          </cell>
          <cell r="I206">
            <v>5010</v>
          </cell>
        </row>
        <row r="207">
          <cell r="G207" t="str">
            <v>30028DEEP PURPLE</v>
          </cell>
          <cell r="H207">
            <v>9828</v>
          </cell>
          <cell r="I207">
            <v>7260</v>
          </cell>
        </row>
        <row r="208">
          <cell r="G208" t="str">
            <v>30029PINK FLOYD</v>
          </cell>
          <cell r="H208">
            <v>4743</v>
          </cell>
          <cell r="I208">
            <v>4350</v>
          </cell>
        </row>
        <row r="209">
          <cell r="G209" t="str">
            <v>30030EXPLORER</v>
          </cell>
          <cell r="H209">
            <v>2228</v>
          </cell>
          <cell r="I209">
            <v>2600</v>
          </cell>
        </row>
        <row r="210">
          <cell r="G210" t="str">
            <v>31002SOMERSET</v>
          </cell>
          <cell r="H210">
            <v>11506</v>
          </cell>
          <cell r="I210">
            <v>8440</v>
          </cell>
        </row>
        <row r="211">
          <cell r="G211" t="str">
            <v>31004BELLINA</v>
          </cell>
          <cell r="H211">
            <v>2220</v>
          </cell>
          <cell r="I211">
            <v>1965</v>
          </cell>
        </row>
        <row r="212">
          <cell r="G212" t="str">
            <v>31005ELBA</v>
          </cell>
          <cell r="H212">
            <v>8629</v>
          </cell>
          <cell r="I212">
            <v>5700</v>
          </cell>
        </row>
        <row r="213">
          <cell r="G213" t="str">
            <v>31005HOT BUBBLES</v>
          </cell>
          <cell r="H213">
            <v>1241</v>
          </cell>
          <cell r="I213">
            <v>1080</v>
          </cell>
        </row>
        <row r="214">
          <cell r="G214" t="str">
            <v>31005SUSPIRO</v>
          </cell>
          <cell r="H214">
            <v>3543</v>
          </cell>
          <cell r="I214">
            <v>3090</v>
          </cell>
        </row>
        <row r="215">
          <cell r="G215" t="str">
            <v>31007SNOW BUBBLES</v>
          </cell>
          <cell r="H215">
            <v>1261</v>
          </cell>
          <cell r="I215">
            <v>1580</v>
          </cell>
        </row>
        <row r="216">
          <cell r="G216" t="str">
            <v>31009HOT BUBBLES</v>
          </cell>
          <cell r="H216">
            <v>9606</v>
          </cell>
          <cell r="I216">
            <v>7400</v>
          </cell>
        </row>
        <row r="217">
          <cell r="G217" t="str">
            <v>31014FRUITY BUBBLES</v>
          </cell>
          <cell r="H217">
            <v>3687</v>
          </cell>
          <cell r="I217">
            <v>4425</v>
          </cell>
        </row>
        <row r="218">
          <cell r="G218" t="str">
            <v>31015FELLINI</v>
          </cell>
          <cell r="H218">
            <v>7005</v>
          </cell>
          <cell r="I218">
            <v>7680</v>
          </cell>
        </row>
        <row r="219">
          <cell r="G219" t="str">
            <v>31016GOOD PEACH</v>
          </cell>
          <cell r="H219">
            <v>2694</v>
          </cell>
          <cell r="I219">
            <v>3360</v>
          </cell>
        </row>
        <row r="220">
          <cell r="G220" t="str">
            <v>31016GOOD YELLOW</v>
          </cell>
          <cell r="H220">
            <v>3063</v>
          </cell>
          <cell r="I220">
            <v>4680</v>
          </cell>
        </row>
        <row r="221">
          <cell r="G221" t="str">
            <v>31017ORANGE STAR</v>
          </cell>
          <cell r="H221">
            <v>2200</v>
          </cell>
          <cell r="I221">
            <v>1800</v>
          </cell>
        </row>
        <row r="222">
          <cell r="G222" t="str">
            <v>31018COSMO</v>
          </cell>
          <cell r="H222">
            <v>5336</v>
          </cell>
          <cell r="I222">
            <v>5275</v>
          </cell>
        </row>
        <row r="223">
          <cell r="G223" t="str">
            <v>31018RUBICON</v>
          </cell>
          <cell r="H223">
            <v>4843</v>
          </cell>
          <cell r="I223">
            <v>3540</v>
          </cell>
        </row>
        <row r="224">
          <cell r="G224" t="str">
            <v>31019BELLINA</v>
          </cell>
          <cell r="H224">
            <v>2410</v>
          </cell>
          <cell r="I224">
            <v>1740</v>
          </cell>
        </row>
        <row r="225">
          <cell r="G225" t="str">
            <v>31020SUMMER DANCE</v>
          </cell>
          <cell r="H225">
            <v>4118</v>
          </cell>
          <cell r="I225">
            <v>3675</v>
          </cell>
        </row>
        <row r="226">
          <cell r="G226" t="str">
            <v>31021ELEGANT ROSEVER</v>
          </cell>
          <cell r="H226">
            <v>720</v>
          </cell>
          <cell r="I226">
            <v>540</v>
          </cell>
        </row>
        <row r="227">
          <cell r="G227" t="str">
            <v>31021FLAME CLUB</v>
          </cell>
          <cell r="H227">
            <v>1909</v>
          </cell>
          <cell r="I227">
            <v>1450</v>
          </cell>
        </row>
        <row r="228">
          <cell r="G228" t="str">
            <v>31021KELLY</v>
          </cell>
          <cell r="H228">
            <v>702</v>
          </cell>
          <cell r="I228">
            <v>450</v>
          </cell>
        </row>
        <row r="229">
          <cell r="G229" t="str">
            <v>31021LEILA</v>
          </cell>
          <cell r="H229">
            <v>2458</v>
          </cell>
          <cell r="I229">
            <v>700</v>
          </cell>
        </row>
        <row r="230">
          <cell r="G230" t="str">
            <v>31021SNOW BUBBLES</v>
          </cell>
          <cell r="H230">
            <v>3175</v>
          </cell>
          <cell r="I230">
            <v>2440</v>
          </cell>
        </row>
        <row r="231">
          <cell r="G231" t="str">
            <v>31022FRUITY BUBBLES</v>
          </cell>
          <cell r="H231">
            <v>5366</v>
          </cell>
          <cell r="I231">
            <v>4650</v>
          </cell>
        </row>
        <row r="232">
          <cell r="G232" t="str">
            <v>31022GOOD PEACH</v>
          </cell>
          <cell r="H232">
            <v>1920</v>
          </cell>
          <cell r="I232">
            <v>2070</v>
          </cell>
        </row>
        <row r="233">
          <cell r="G233" t="str">
            <v>31022MIRABEL</v>
          </cell>
          <cell r="H233">
            <v>1399</v>
          </cell>
          <cell r="I233">
            <v>2180</v>
          </cell>
        </row>
        <row r="234">
          <cell r="G234" t="str">
            <v>31030MIRABEL</v>
          </cell>
          <cell r="H234">
            <v>3739</v>
          </cell>
          <cell r="I234">
            <v>4980</v>
          </cell>
        </row>
        <row r="235">
          <cell r="G235" t="str">
            <v>31030SOMERSET</v>
          </cell>
          <cell r="H235">
            <v>4362</v>
          </cell>
          <cell r="I235">
            <v>4000</v>
          </cell>
        </row>
        <row r="236">
          <cell r="G236" t="str">
            <v>3103182989</v>
          </cell>
          <cell r="H236">
            <v>1217</v>
          </cell>
          <cell r="I236">
            <v>780</v>
          </cell>
        </row>
        <row r="237">
          <cell r="G237" t="str">
            <v>31031RUBICON</v>
          </cell>
          <cell r="H237">
            <v>2584</v>
          </cell>
          <cell r="I237">
            <v>2700</v>
          </cell>
        </row>
        <row r="238">
          <cell r="G238" t="str">
            <v>31031SOMERSET</v>
          </cell>
          <cell r="H238">
            <v>2313</v>
          </cell>
          <cell r="I238">
            <v>960</v>
          </cell>
        </row>
        <row r="239">
          <cell r="G239" t="str">
            <v>31031VELVET BLOSSOMS</v>
          </cell>
          <cell r="H239">
            <v>337</v>
          </cell>
          <cell r="I239">
            <v>760</v>
          </cell>
        </row>
        <row r="240">
          <cell r="G240" t="str">
            <v>31032ELBA</v>
          </cell>
          <cell r="H240">
            <v>3454</v>
          </cell>
          <cell r="I240">
            <v>3090</v>
          </cell>
        </row>
        <row r="241">
          <cell r="G241" t="str">
            <v>31032MIRABEL</v>
          </cell>
          <cell r="H241">
            <v>1948</v>
          </cell>
          <cell r="I241">
            <v>1880</v>
          </cell>
        </row>
        <row r="242">
          <cell r="G242" t="str">
            <v>31033CREAMY FOLIES</v>
          </cell>
          <cell r="H242">
            <v>1146</v>
          </cell>
          <cell r="I242">
            <v>780</v>
          </cell>
        </row>
        <row r="243">
          <cell r="G243" t="str">
            <v>31033HOT BUBBLES</v>
          </cell>
          <cell r="H243">
            <v>3166</v>
          </cell>
          <cell r="I243">
            <v>5780</v>
          </cell>
        </row>
        <row r="244">
          <cell r="G244" t="str">
            <v>31001BELIEVE IN PINK</v>
          </cell>
          <cell r="H244">
            <v>1596</v>
          </cell>
          <cell r="I244">
            <v>1350</v>
          </cell>
        </row>
        <row r="245">
          <cell r="G245" t="str">
            <v>31001EXPLORER</v>
          </cell>
          <cell r="H245">
            <v>4201</v>
          </cell>
          <cell r="I245">
            <v>4000</v>
          </cell>
        </row>
        <row r="246">
          <cell r="G246" t="str">
            <v>31001GRACE KELLY</v>
          </cell>
          <cell r="H246">
            <v>2178</v>
          </cell>
          <cell r="I246">
            <v>2430</v>
          </cell>
        </row>
        <row r="247">
          <cell r="G247" t="str">
            <v>31001LIGHT HOUSE</v>
          </cell>
          <cell r="H247">
            <v>2275</v>
          </cell>
          <cell r="I247">
            <v>2850</v>
          </cell>
        </row>
        <row r="248">
          <cell r="G248" t="str">
            <v>31001LUMIA</v>
          </cell>
          <cell r="H248">
            <v>3178</v>
          </cell>
          <cell r="I248">
            <v>3300</v>
          </cell>
        </row>
        <row r="249">
          <cell r="G249" t="str">
            <v>31001MOMENTUM</v>
          </cell>
          <cell r="H249">
            <v>4367</v>
          </cell>
          <cell r="I249">
            <v>5275</v>
          </cell>
        </row>
        <row r="250">
          <cell r="G250" t="str">
            <v>31002SWEETNESS</v>
          </cell>
          <cell r="H250">
            <v>7390</v>
          </cell>
          <cell r="I250">
            <v>6870</v>
          </cell>
        </row>
        <row r="251">
          <cell r="G251" t="str">
            <v>31003CABARET</v>
          </cell>
          <cell r="H251">
            <v>8155</v>
          </cell>
          <cell r="I251">
            <v>6870</v>
          </cell>
        </row>
        <row r="252">
          <cell r="G252" t="str">
            <v>31003DEEP PURPLE</v>
          </cell>
          <cell r="H252">
            <v>15788</v>
          </cell>
          <cell r="I252">
            <v>8820</v>
          </cell>
        </row>
        <row r="253">
          <cell r="G253" t="str">
            <v>31003EXPLORER</v>
          </cell>
          <cell r="H253">
            <v>2330</v>
          </cell>
          <cell r="I253">
            <v>2125</v>
          </cell>
        </row>
        <row r="254">
          <cell r="G254" t="str">
            <v>31003JOCKER</v>
          </cell>
          <cell r="H254">
            <v>1413</v>
          </cell>
          <cell r="I254">
            <v>1125</v>
          </cell>
        </row>
        <row r="255">
          <cell r="G255" t="str">
            <v>31003QUICKSAND</v>
          </cell>
          <cell r="H255">
            <v>2216</v>
          </cell>
          <cell r="I255">
            <v>1860</v>
          </cell>
        </row>
        <row r="256">
          <cell r="G256" t="str">
            <v>31004COTOPAXI</v>
          </cell>
          <cell r="H256">
            <v>1174</v>
          </cell>
          <cell r="I256">
            <v>900</v>
          </cell>
        </row>
        <row r="257">
          <cell r="G257" t="str">
            <v>31004DEEP PURPLE</v>
          </cell>
          <cell r="H257">
            <v>17860</v>
          </cell>
          <cell r="I257">
            <v>12060</v>
          </cell>
        </row>
        <row r="258">
          <cell r="G258" t="str">
            <v>31004HOT EXPLORER</v>
          </cell>
          <cell r="H258">
            <v>3144</v>
          </cell>
          <cell r="I258">
            <v>1675</v>
          </cell>
        </row>
        <row r="259">
          <cell r="G259" t="str">
            <v>31004HOT MERENGUE</v>
          </cell>
          <cell r="H259">
            <v>2986</v>
          </cell>
          <cell r="I259">
            <v>2610</v>
          </cell>
        </row>
        <row r="260">
          <cell r="G260" t="str">
            <v>31004SWEETNESS</v>
          </cell>
          <cell r="H260">
            <v>951</v>
          </cell>
          <cell r="I260">
            <v>540</v>
          </cell>
        </row>
        <row r="261">
          <cell r="G261" t="str">
            <v>31005EXPLORER</v>
          </cell>
          <cell r="H261">
            <v>1533</v>
          </cell>
          <cell r="I261">
            <v>1425</v>
          </cell>
        </row>
        <row r="262">
          <cell r="G262" t="str">
            <v>31005GOLDFINCH</v>
          </cell>
          <cell r="H262">
            <v>1203</v>
          </cell>
          <cell r="I262">
            <v>900</v>
          </cell>
        </row>
        <row r="263">
          <cell r="G263" t="str">
            <v>31005JOCKER</v>
          </cell>
          <cell r="H263">
            <v>3082</v>
          </cell>
          <cell r="I263">
            <v>2375</v>
          </cell>
        </row>
        <row r="264">
          <cell r="G264" t="str">
            <v>31005VENDELA</v>
          </cell>
          <cell r="H264">
            <v>2261</v>
          </cell>
          <cell r="I264">
            <v>1710</v>
          </cell>
        </row>
        <row r="265">
          <cell r="G265" t="str">
            <v>31006ATOMIC</v>
          </cell>
          <cell r="H265">
            <v>1518</v>
          </cell>
          <cell r="I265">
            <v>950</v>
          </cell>
        </row>
        <row r="266">
          <cell r="G266" t="str">
            <v>31006EXPLORER</v>
          </cell>
          <cell r="H266">
            <v>6816</v>
          </cell>
          <cell r="I266">
            <v>5100</v>
          </cell>
        </row>
        <row r="267">
          <cell r="G267" t="str">
            <v>31006MONDIAL</v>
          </cell>
          <cell r="H267">
            <v>8332</v>
          </cell>
          <cell r="I267">
            <v>9500</v>
          </cell>
        </row>
        <row r="268">
          <cell r="G268" t="str">
            <v>31007COTOPAXI</v>
          </cell>
          <cell r="H268">
            <v>6797</v>
          </cell>
          <cell r="I268">
            <v>5850</v>
          </cell>
        </row>
        <row r="269">
          <cell r="G269" t="str">
            <v>31007REDIANT</v>
          </cell>
          <cell r="H269">
            <v>1752</v>
          </cell>
          <cell r="I269">
            <v>2160</v>
          </cell>
        </row>
        <row r="270">
          <cell r="G270" t="str">
            <v>31007VENDELA</v>
          </cell>
          <cell r="H270">
            <v>12761</v>
          </cell>
          <cell r="I270">
            <v>10650</v>
          </cell>
        </row>
        <row r="271">
          <cell r="G271" t="str">
            <v>31008DEEP PURPLE</v>
          </cell>
          <cell r="H271">
            <v>8155</v>
          </cell>
          <cell r="I271">
            <v>5670</v>
          </cell>
        </row>
        <row r="272">
          <cell r="G272" t="str">
            <v>31008FREEDOM</v>
          </cell>
          <cell r="H272">
            <v>4704</v>
          </cell>
          <cell r="I272">
            <v>2610</v>
          </cell>
        </row>
        <row r="273">
          <cell r="G273" t="str">
            <v>31008JOCKER</v>
          </cell>
          <cell r="H273">
            <v>7326</v>
          </cell>
          <cell r="I273">
            <v>5750</v>
          </cell>
        </row>
        <row r="274">
          <cell r="G274" t="str">
            <v>31010COOLDOWN</v>
          </cell>
          <cell r="H274">
            <v>2074</v>
          </cell>
          <cell r="I274">
            <v>3825</v>
          </cell>
        </row>
        <row r="275">
          <cell r="G275" t="str">
            <v>31010VIOLET HILL</v>
          </cell>
          <cell r="H275">
            <v>3657</v>
          </cell>
          <cell r="I275">
            <v>5850</v>
          </cell>
        </row>
        <row r="276">
          <cell r="G276" t="str">
            <v>31011BRIGHTON</v>
          </cell>
          <cell r="H276">
            <v>5126</v>
          </cell>
          <cell r="I276">
            <v>3550</v>
          </cell>
        </row>
        <row r="277">
          <cell r="G277" t="str">
            <v>31011CANDLELIGHT</v>
          </cell>
          <cell r="H277">
            <v>5924</v>
          </cell>
          <cell r="I277">
            <v>4640</v>
          </cell>
        </row>
        <row r="278">
          <cell r="G278" t="str">
            <v>31011CAYENNE</v>
          </cell>
          <cell r="H278">
            <v>2243</v>
          </cell>
          <cell r="I278">
            <v>1530</v>
          </cell>
        </row>
        <row r="279">
          <cell r="G279" t="str">
            <v>31011LUMIA</v>
          </cell>
          <cell r="H279">
            <v>2805</v>
          </cell>
          <cell r="I279">
            <v>2640</v>
          </cell>
        </row>
        <row r="280">
          <cell r="G280" t="str">
            <v>31011STARDUST</v>
          </cell>
          <cell r="H280">
            <v>4821</v>
          </cell>
          <cell r="I280">
            <v>4525</v>
          </cell>
        </row>
        <row r="281">
          <cell r="G281" t="str">
            <v>31012DEEP PURPLE</v>
          </cell>
          <cell r="H281">
            <v>24550</v>
          </cell>
          <cell r="I281">
            <v>19410</v>
          </cell>
        </row>
        <row r="282">
          <cell r="G282" t="str">
            <v>31012LIGHT HOUSE</v>
          </cell>
          <cell r="H282">
            <v>1880</v>
          </cell>
          <cell r="I282">
            <v>2100</v>
          </cell>
        </row>
        <row r="283">
          <cell r="G283" t="str">
            <v>31013COUNTRY BLUES</v>
          </cell>
          <cell r="H283">
            <v>1770</v>
          </cell>
          <cell r="I283">
            <v>1400</v>
          </cell>
        </row>
        <row r="284">
          <cell r="G284" t="str">
            <v>31013LORRAINE</v>
          </cell>
          <cell r="H284">
            <v>4357</v>
          </cell>
          <cell r="I284">
            <v>4025</v>
          </cell>
        </row>
        <row r="285">
          <cell r="G285" t="str">
            <v>31013LUMIA</v>
          </cell>
          <cell r="H285">
            <v>1296</v>
          </cell>
          <cell r="I285">
            <v>960</v>
          </cell>
        </row>
        <row r="286">
          <cell r="G286" t="str">
            <v>31013VENDELA</v>
          </cell>
          <cell r="H286">
            <v>12021</v>
          </cell>
          <cell r="I286">
            <v>12150</v>
          </cell>
        </row>
        <row r="287">
          <cell r="G287" t="str">
            <v>31014STARDUST</v>
          </cell>
          <cell r="H287">
            <v>8900</v>
          </cell>
          <cell r="I287">
            <v>8575</v>
          </cell>
        </row>
        <row r="288">
          <cell r="G288" t="str">
            <v>31015JOCKER</v>
          </cell>
          <cell r="H288">
            <v>7797</v>
          </cell>
          <cell r="I288">
            <v>6750</v>
          </cell>
        </row>
        <row r="289">
          <cell r="G289" t="str">
            <v>31016DREAM IN PEACH</v>
          </cell>
          <cell r="H289">
            <v>1646</v>
          </cell>
          <cell r="I289">
            <v>1800</v>
          </cell>
        </row>
        <row r="290">
          <cell r="G290" t="str">
            <v>31016NINA</v>
          </cell>
          <cell r="H290">
            <v>4063</v>
          </cell>
          <cell r="I290">
            <v>3300</v>
          </cell>
        </row>
        <row r="291">
          <cell r="G291" t="str">
            <v>31017FREEDOM</v>
          </cell>
          <cell r="H291">
            <v>6169</v>
          </cell>
          <cell r="I291">
            <v>5400</v>
          </cell>
        </row>
        <row r="292">
          <cell r="G292" t="str">
            <v>31017GOLDFINCH</v>
          </cell>
          <cell r="H292">
            <v>3056</v>
          </cell>
          <cell r="I292">
            <v>3725</v>
          </cell>
        </row>
        <row r="293">
          <cell r="G293" t="str">
            <v>31018BRIGHTON</v>
          </cell>
          <cell r="H293">
            <v>2335</v>
          </cell>
          <cell r="I293">
            <v>2475</v>
          </cell>
        </row>
        <row r="294">
          <cell r="G294" t="str">
            <v>31019BRIGHTON</v>
          </cell>
          <cell r="H294">
            <v>8352</v>
          </cell>
          <cell r="I294">
            <v>9375</v>
          </cell>
        </row>
        <row r="295">
          <cell r="G295" t="str">
            <v>31019TABATHA</v>
          </cell>
          <cell r="H295">
            <v>3348</v>
          </cell>
          <cell r="I295">
            <v>2490</v>
          </cell>
        </row>
        <row r="296">
          <cell r="G296" t="str">
            <v>31020BRIGHTON</v>
          </cell>
          <cell r="H296">
            <v>5400</v>
          </cell>
          <cell r="I296">
            <v>5500</v>
          </cell>
        </row>
        <row r="297">
          <cell r="G297" t="str">
            <v>31020TYCOON</v>
          </cell>
          <cell r="H297">
            <v>1014</v>
          </cell>
          <cell r="I297">
            <v>1350</v>
          </cell>
        </row>
        <row r="298">
          <cell r="G298" t="str">
            <v>31021SHOW GIRL</v>
          </cell>
          <cell r="H298">
            <v>1726</v>
          </cell>
          <cell r="I298">
            <v>1200</v>
          </cell>
        </row>
        <row r="299">
          <cell r="G299" t="str">
            <v>31022CORAL REEF</v>
          </cell>
          <cell r="H299">
            <v>2625</v>
          </cell>
          <cell r="I299">
            <v>2375</v>
          </cell>
        </row>
        <row r="300">
          <cell r="G300" t="str">
            <v>31023COTOPAXI</v>
          </cell>
          <cell r="H300">
            <v>6494</v>
          </cell>
          <cell r="I300">
            <v>6330</v>
          </cell>
        </row>
        <row r="301">
          <cell r="G301" t="str">
            <v>31023FRUTTETO</v>
          </cell>
          <cell r="H301">
            <v>8000</v>
          </cell>
          <cell r="I301">
            <v>6960</v>
          </cell>
        </row>
        <row r="302">
          <cell r="G302" t="str">
            <v>31024COTOPAXI</v>
          </cell>
          <cell r="H302">
            <v>3133</v>
          </cell>
          <cell r="I302">
            <v>4440</v>
          </cell>
        </row>
        <row r="303">
          <cell r="G303" t="str">
            <v>31024SWEETNESS</v>
          </cell>
          <cell r="H303">
            <v>2142</v>
          </cell>
          <cell r="I303">
            <v>2220</v>
          </cell>
        </row>
        <row r="304">
          <cell r="G304" t="str">
            <v>31024TYCOON</v>
          </cell>
          <cell r="H304">
            <v>3439</v>
          </cell>
          <cell r="I304">
            <v>5070</v>
          </cell>
        </row>
        <row r="305">
          <cell r="G305" t="str">
            <v>31025PINK MONDIAL</v>
          </cell>
          <cell r="H305">
            <v>5714</v>
          </cell>
          <cell r="I305">
            <v>7400</v>
          </cell>
        </row>
        <row r="306">
          <cell r="G306" t="str">
            <v>31026LOLA</v>
          </cell>
          <cell r="H306">
            <v>5485</v>
          </cell>
          <cell r="I306">
            <v>3400</v>
          </cell>
        </row>
        <row r="307">
          <cell r="G307" t="str">
            <v>31026PALOMA</v>
          </cell>
          <cell r="H307">
            <v>6644</v>
          </cell>
          <cell r="I307">
            <v>4675</v>
          </cell>
        </row>
        <row r="308">
          <cell r="G308" t="str">
            <v>31027SATISFACTION</v>
          </cell>
          <cell r="H308">
            <v>6330</v>
          </cell>
          <cell r="I308">
            <v>7230</v>
          </cell>
        </row>
        <row r="309">
          <cell r="G309" t="str">
            <v>31027TIFFANY</v>
          </cell>
          <cell r="H309">
            <v>5818</v>
          </cell>
          <cell r="I309">
            <v>6360</v>
          </cell>
        </row>
        <row r="310">
          <cell r="G310" t="str">
            <v>31028COTOPAXI</v>
          </cell>
          <cell r="H310">
            <v>4352</v>
          </cell>
          <cell r="I310">
            <v>5010</v>
          </cell>
        </row>
        <row r="311">
          <cell r="G311" t="str">
            <v>31028DEEP PURPLE</v>
          </cell>
          <cell r="H311">
            <v>11527</v>
          </cell>
          <cell r="I311">
            <v>7260</v>
          </cell>
        </row>
        <row r="312">
          <cell r="G312" t="str">
            <v>31029PINK FLOYD</v>
          </cell>
          <cell r="H312">
            <v>5375</v>
          </cell>
          <cell r="I312">
            <v>4350</v>
          </cell>
        </row>
        <row r="313">
          <cell r="G313" t="str">
            <v>31030EXPLORER</v>
          </cell>
          <cell r="H313">
            <v>2402</v>
          </cell>
          <cell r="I313">
            <v>2600</v>
          </cell>
        </row>
        <row r="314">
          <cell r="G314" t="str">
            <v>32002SOMERSET</v>
          </cell>
          <cell r="H314">
            <v>10049</v>
          </cell>
          <cell r="I314">
            <v>8440</v>
          </cell>
        </row>
        <row r="315">
          <cell r="G315" t="str">
            <v>32004BELLINA</v>
          </cell>
          <cell r="H315">
            <v>1684</v>
          </cell>
          <cell r="I315">
            <v>1965</v>
          </cell>
        </row>
        <row r="316">
          <cell r="G316" t="str">
            <v>32005ELBA</v>
          </cell>
          <cell r="H316">
            <v>7136</v>
          </cell>
          <cell r="I316">
            <v>5700</v>
          </cell>
        </row>
        <row r="317">
          <cell r="G317" t="str">
            <v>32005HOT BUBBLES</v>
          </cell>
          <cell r="H317">
            <v>1198</v>
          </cell>
          <cell r="I317">
            <v>1080</v>
          </cell>
        </row>
        <row r="318">
          <cell r="G318" t="str">
            <v>32005SUSPIRO</v>
          </cell>
          <cell r="H318">
            <v>2937</v>
          </cell>
          <cell r="I318">
            <v>3090</v>
          </cell>
        </row>
        <row r="319">
          <cell r="G319" t="str">
            <v>32007SNOW BUBBLES</v>
          </cell>
          <cell r="H319">
            <v>1343</v>
          </cell>
          <cell r="I319">
            <v>1580</v>
          </cell>
        </row>
        <row r="320">
          <cell r="G320" t="str">
            <v>32009HOT BUBBLES</v>
          </cell>
          <cell r="H320">
            <v>9358</v>
          </cell>
          <cell r="I320">
            <v>7400</v>
          </cell>
        </row>
        <row r="321">
          <cell r="G321" t="str">
            <v>32014FRUITY BUBBLES</v>
          </cell>
          <cell r="H321">
            <v>3693</v>
          </cell>
          <cell r="I321">
            <v>4425</v>
          </cell>
        </row>
        <row r="322">
          <cell r="G322" t="str">
            <v>32015FELLINI</v>
          </cell>
          <cell r="H322">
            <v>5958</v>
          </cell>
          <cell r="I322">
            <v>7680</v>
          </cell>
        </row>
        <row r="323">
          <cell r="G323" t="str">
            <v>32016GOOD PEACH</v>
          </cell>
          <cell r="H323">
            <v>2828</v>
          </cell>
          <cell r="I323">
            <v>3360</v>
          </cell>
        </row>
        <row r="324">
          <cell r="G324" t="str">
            <v>32016GOOD YELLOW</v>
          </cell>
          <cell r="H324">
            <v>2903</v>
          </cell>
          <cell r="I324">
            <v>4680</v>
          </cell>
        </row>
        <row r="325">
          <cell r="G325" t="str">
            <v>32017ORANGE STAR</v>
          </cell>
          <cell r="H325">
            <v>1676</v>
          </cell>
          <cell r="I325">
            <v>1800</v>
          </cell>
        </row>
        <row r="326">
          <cell r="G326" t="str">
            <v>32018COSMO</v>
          </cell>
          <cell r="H326">
            <v>4708</v>
          </cell>
          <cell r="I326">
            <v>5275</v>
          </cell>
        </row>
        <row r="327">
          <cell r="G327" t="str">
            <v>32018RUBICON</v>
          </cell>
          <cell r="H327">
            <v>4397</v>
          </cell>
          <cell r="I327">
            <v>3540</v>
          </cell>
        </row>
        <row r="328">
          <cell r="G328" t="str">
            <v>32019BELLINA</v>
          </cell>
          <cell r="H328">
            <v>1808</v>
          </cell>
          <cell r="I328">
            <v>1740</v>
          </cell>
        </row>
        <row r="329">
          <cell r="G329" t="str">
            <v>32020SUMMER DANCE</v>
          </cell>
          <cell r="H329">
            <v>3869</v>
          </cell>
          <cell r="I329">
            <v>3675</v>
          </cell>
        </row>
        <row r="330">
          <cell r="G330" t="str">
            <v>32021ELEGANT ROSEVER</v>
          </cell>
          <cell r="H330">
            <v>631</v>
          </cell>
          <cell r="I330">
            <v>540</v>
          </cell>
        </row>
        <row r="331">
          <cell r="G331" t="str">
            <v>32021FLAME CLUB</v>
          </cell>
          <cell r="H331">
            <v>1876</v>
          </cell>
          <cell r="I331">
            <v>1450</v>
          </cell>
        </row>
        <row r="332">
          <cell r="G332" t="str">
            <v>32021KELLY</v>
          </cell>
          <cell r="H332">
            <v>627</v>
          </cell>
          <cell r="I332">
            <v>450</v>
          </cell>
        </row>
        <row r="333">
          <cell r="G333" t="str">
            <v>32021LEILA</v>
          </cell>
          <cell r="H333">
            <v>2132</v>
          </cell>
          <cell r="I333">
            <v>700</v>
          </cell>
        </row>
        <row r="334">
          <cell r="G334" t="str">
            <v>32021SNOW BUBBLES</v>
          </cell>
          <cell r="H334">
            <v>3491</v>
          </cell>
          <cell r="I334">
            <v>2440</v>
          </cell>
        </row>
        <row r="335">
          <cell r="G335" t="str">
            <v>32022FRUITY BUBBLES</v>
          </cell>
          <cell r="H335">
            <v>5713</v>
          </cell>
          <cell r="I335">
            <v>4650</v>
          </cell>
        </row>
        <row r="336">
          <cell r="G336" t="str">
            <v>32022GOOD PEACH</v>
          </cell>
          <cell r="H336">
            <v>2052</v>
          </cell>
          <cell r="I336">
            <v>2070</v>
          </cell>
        </row>
        <row r="337">
          <cell r="G337" t="str">
            <v>32022MIRABEL</v>
          </cell>
          <cell r="H337">
            <v>1657</v>
          </cell>
          <cell r="I337">
            <v>2180</v>
          </cell>
        </row>
        <row r="338">
          <cell r="G338" t="str">
            <v>32030MIRABEL</v>
          </cell>
          <cell r="H338">
            <v>3938</v>
          </cell>
          <cell r="I338">
            <v>4980</v>
          </cell>
        </row>
        <row r="339">
          <cell r="G339" t="str">
            <v>32030SOMERSET</v>
          </cell>
          <cell r="H339">
            <v>3749</v>
          </cell>
          <cell r="I339">
            <v>4000</v>
          </cell>
        </row>
        <row r="340">
          <cell r="G340" t="str">
            <v>3203182989</v>
          </cell>
          <cell r="H340">
            <v>1601</v>
          </cell>
          <cell r="I340">
            <v>780</v>
          </cell>
        </row>
        <row r="341">
          <cell r="G341" t="str">
            <v>32031RUBICON</v>
          </cell>
          <cell r="H341">
            <v>2345</v>
          </cell>
          <cell r="I341">
            <v>2700</v>
          </cell>
        </row>
        <row r="342">
          <cell r="G342" t="str">
            <v>32031SOMERSET</v>
          </cell>
          <cell r="H342">
            <v>2480</v>
          </cell>
          <cell r="I342">
            <v>960</v>
          </cell>
        </row>
        <row r="343">
          <cell r="G343" t="str">
            <v>32031VELVET BLOSSOMS</v>
          </cell>
          <cell r="H343">
            <v>513</v>
          </cell>
          <cell r="I343">
            <v>760</v>
          </cell>
        </row>
        <row r="344">
          <cell r="G344" t="str">
            <v>32032ELBA</v>
          </cell>
          <cell r="H344">
            <v>2912</v>
          </cell>
          <cell r="I344">
            <v>3090</v>
          </cell>
        </row>
        <row r="345">
          <cell r="G345" t="str">
            <v>32032MIRABEL</v>
          </cell>
          <cell r="H345">
            <v>2118</v>
          </cell>
          <cell r="I345">
            <v>1880</v>
          </cell>
        </row>
        <row r="346">
          <cell r="G346" t="str">
            <v>32033CREAMY FOLIES</v>
          </cell>
          <cell r="H346">
            <v>1205</v>
          </cell>
          <cell r="I346">
            <v>780</v>
          </cell>
        </row>
        <row r="347">
          <cell r="G347" t="str">
            <v>32033HOT BUBBLES</v>
          </cell>
          <cell r="H347">
            <v>3370</v>
          </cell>
          <cell r="I347">
            <v>5780</v>
          </cell>
        </row>
        <row r="348">
          <cell r="G348" t="str">
            <v>32001BELIEVE IN PINK</v>
          </cell>
          <cell r="H348">
            <v>1316</v>
          </cell>
          <cell r="I348">
            <v>1350</v>
          </cell>
        </row>
        <row r="349">
          <cell r="G349" t="str">
            <v>32001EXPLORER</v>
          </cell>
          <cell r="H349">
            <v>3575</v>
          </cell>
          <cell r="I349">
            <v>4000</v>
          </cell>
        </row>
        <row r="350">
          <cell r="G350" t="str">
            <v>32001GRACE KELLY</v>
          </cell>
          <cell r="H350">
            <v>1674</v>
          </cell>
          <cell r="I350">
            <v>2430</v>
          </cell>
        </row>
        <row r="351">
          <cell r="G351" t="str">
            <v>32001LIGHT HOUSE</v>
          </cell>
          <cell r="H351">
            <v>1822</v>
          </cell>
          <cell r="I351">
            <v>2850</v>
          </cell>
        </row>
        <row r="352">
          <cell r="G352" t="str">
            <v>32001LUMIA</v>
          </cell>
          <cell r="H352">
            <v>3335</v>
          </cell>
          <cell r="I352">
            <v>3300</v>
          </cell>
        </row>
        <row r="353">
          <cell r="G353" t="str">
            <v>32001MOMENTUM</v>
          </cell>
          <cell r="H353">
            <v>3894</v>
          </cell>
          <cell r="I353">
            <v>5275</v>
          </cell>
        </row>
        <row r="354">
          <cell r="G354" t="str">
            <v>32002SWEETNESS</v>
          </cell>
          <cell r="H354">
            <v>6514</v>
          </cell>
          <cell r="I354">
            <v>6870</v>
          </cell>
        </row>
        <row r="355">
          <cell r="G355" t="str">
            <v>32003CABARET</v>
          </cell>
          <cell r="H355">
            <v>5116</v>
          </cell>
          <cell r="I355">
            <v>6870</v>
          </cell>
        </row>
        <row r="356">
          <cell r="G356" t="str">
            <v>32003DEEP PURPLE</v>
          </cell>
          <cell r="H356">
            <v>10514</v>
          </cell>
          <cell r="I356">
            <v>8820</v>
          </cell>
        </row>
        <row r="357">
          <cell r="G357" t="str">
            <v>32003EXPLORER</v>
          </cell>
          <cell r="H357">
            <v>1953</v>
          </cell>
          <cell r="I357">
            <v>2125</v>
          </cell>
        </row>
        <row r="358">
          <cell r="G358" t="str">
            <v>32003JOCKER</v>
          </cell>
          <cell r="H358">
            <v>1044</v>
          </cell>
          <cell r="I358">
            <v>1125</v>
          </cell>
        </row>
        <row r="359">
          <cell r="G359" t="str">
            <v>32003QUICKSAND</v>
          </cell>
          <cell r="H359">
            <v>1998</v>
          </cell>
          <cell r="I359">
            <v>1860</v>
          </cell>
        </row>
        <row r="360">
          <cell r="G360" t="str">
            <v>32004COTOPAXI</v>
          </cell>
          <cell r="H360">
            <v>1185</v>
          </cell>
          <cell r="I360">
            <v>900</v>
          </cell>
        </row>
        <row r="361">
          <cell r="G361" t="str">
            <v>32004DEEP PURPLE</v>
          </cell>
          <cell r="H361">
            <v>11914</v>
          </cell>
          <cell r="I361">
            <v>12060</v>
          </cell>
        </row>
        <row r="362">
          <cell r="G362" t="str">
            <v>32004HOT EXPLORER</v>
          </cell>
          <cell r="H362">
            <v>2543</v>
          </cell>
          <cell r="I362">
            <v>1675</v>
          </cell>
        </row>
        <row r="363">
          <cell r="G363" t="str">
            <v>32004HOT MERENGUE</v>
          </cell>
          <cell r="H363">
            <v>2461</v>
          </cell>
          <cell r="I363">
            <v>2610</v>
          </cell>
        </row>
        <row r="364">
          <cell r="G364" t="str">
            <v>32004SWEETNESS</v>
          </cell>
          <cell r="H364">
            <v>755</v>
          </cell>
          <cell r="I364">
            <v>540</v>
          </cell>
        </row>
        <row r="365">
          <cell r="G365" t="str">
            <v>32005EXPLORER</v>
          </cell>
          <cell r="H365">
            <v>1215</v>
          </cell>
          <cell r="I365">
            <v>1425</v>
          </cell>
        </row>
        <row r="366">
          <cell r="G366" t="str">
            <v>32005GOLDFINCH</v>
          </cell>
          <cell r="H366">
            <v>936</v>
          </cell>
          <cell r="I366">
            <v>900</v>
          </cell>
        </row>
        <row r="367">
          <cell r="G367" t="str">
            <v>32005JOCKER</v>
          </cell>
          <cell r="H367">
            <v>2026</v>
          </cell>
          <cell r="I367">
            <v>2375</v>
          </cell>
        </row>
        <row r="368">
          <cell r="G368" t="str">
            <v>32005VENDELA</v>
          </cell>
          <cell r="H368">
            <v>2159</v>
          </cell>
          <cell r="I368">
            <v>1710</v>
          </cell>
        </row>
        <row r="369">
          <cell r="G369" t="str">
            <v>32006ATOMIC</v>
          </cell>
          <cell r="H369">
            <v>1088</v>
          </cell>
          <cell r="I369">
            <v>950</v>
          </cell>
        </row>
        <row r="370">
          <cell r="G370" t="str">
            <v>32006EXPLORER</v>
          </cell>
          <cell r="H370">
            <v>5658</v>
          </cell>
          <cell r="I370">
            <v>5100</v>
          </cell>
        </row>
        <row r="371">
          <cell r="G371" t="str">
            <v>32006MONDIAL</v>
          </cell>
          <cell r="H371">
            <v>6266</v>
          </cell>
          <cell r="I371">
            <v>9500</v>
          </cell>
        </row>
        <row r="372">
          <cell r="G372" t="str">
            <v>32007COTOPAXI</v>
          </cell>
          <cell r="H372">
            <v>6492</v>
          </cell>
          <cell r="I372">
            <v>5850</v>
          </cell>
        </row>
        <row r="373">
          <cell r="G373" t="str">
            <v>32007REDIANT</v>
          </cell>
          <cell r="H373">
            <v>1383</v>
          </cell>
          <cell r="I373">
            <v>2160</v>
          </cell>
        </row>
        <row r="374">
          <cell r="G374" t="str">
            <v>32007VENDELA</v>
          </cell>
          <cell r="H374">
            <v>13641</v>
          </cell>
          <cell r="I374">
            <v>10650</v>
          </cell>
        </row>
        <row r="375">
          <cell r="G375" t="str">
            <v>32008DEEP PURPLE</v>
          </cell>
          <cell r="H375">
            <v>5519</v>
          </cell>
          <cell r="I375">
            <v>5670</v>
          </cell>
        </row>
        <row r="376">
          <cell r="G376" t="str">
            <v>32008FREEDOM</v>
          </cell>
          <cell r="H376">
            <v>3614</v>
          </cell>
          <cell r="I376">
            <v>2610</v>
          </cell>
        </row>
        <row r="377">
          <cell r="G377" t="str">
            <v>32008JOCKER</v>
          </cell>
          <cell r="H377">
            <v>4772</v>
          </cell>
          <cell r="I377">
            <v>5750</v>
          </cell>
        </row>
        <row r="378">
          <cell r="G378" t="str">
            <v>32010COOLDOWN</v>
          </cell>
          <cell r="H378">
            <v>1799</v>
          </cell>
          <cell r="I378">
            <v>3825</v>
          </cell>
        </row>
        <row r="379">
          <cell r="G379" t="str">
            <v>32010VIOLET HILL</v>
          </cell>
          <cell r="H379">
            <v>2917</v>
          </cell>
          <cell r="I379">
            <v>5850</v>
          </cell>
        </row>
        <row r="380">
          <cell r="G380" t="str">
            <v>32011BRIGHTON</v>
          </cell>
          <cell r="H380">
            <v>3632</v>
          </cell>
          <cell r="I380">
            <v>3550</v>
          </cell>
        </row>
        <row r="381">
          <cell r="G381" t="str">
            <v>32011CANDLELIGHT</v>
          </cell>
          <cell r="H381">
            <v>3976</v>
          </cell>
          <cell r="I381">
            <v>4640</v>
          </cell>
        </row>
        <row r="382">
          <cell r="G382" t="str">
            <v>32011CAYENNE</v>
          </cell>
          <cell r="H382">
            <v>1186</v>
          </cell>
          <cell r="I382">
            <v>1530</v>
          </cell>
        </row>
        <row r="383">
          <cell r="G383" t="str">
            <v>32011LUMIA</v>
          </cell>
          <cell r="H383">
            <v>2932</v>
          </cell>
          <cell r="I383">
            <v>2640</v>
          </cell>
        </row>
        <row r="384">
          <cell r="G384" t="str">
            <v>32011STARDUST</v>
          </cell>
          <cell r="H384">
            <v>3074</v>
          </cell>
          <cell r="I384">
            <v>4525</v>
          </cell>
        </row>
        <row r="385">
          <cell r="G385" t="str">
            <v>32012DEEP PURPLE</v>
          </cell>
          <cell r="H385">
            <v>17690</v>
          </cell>
          <cell r="I385">
            <v>19410</v>
          </cell>
        </row>
        <row r="386">
          <cell r="G386" t="str">
            <v>32012LIGHT HOUSE</v>
          </cell>
          <cell r="H386">
            <v>1524</v>
          </cell>
          <cell r="I386">
            <v>2100</v>
          </cell>
        </row>
        <row r="387">
          <cell r="G387" t="str">
            <v>32013COUNTRY BLUES</v>
          </cell>
          <cell r="H387">
            <v>1314</v>
          </cell>
          <cell r="I387">
            <v>1400</v>
          </cell>
        </row>
        <row r="388">
          <cell r="G388" t="str">
            <v>32013LORRAINE</v>
          </cell>
          <cell r="H388">
            <v>3768</v>
          </cell>
          <cell r="I388">
            <v>4025</v>
          </cell>
        </row>
        <row r="389">
          <cell r="G389" t="str">
            <v>32013LUMIA</v>
          </cell>
          <cell r="H389">
            <v>1075</v>
          </cell>
          <cell r="I389">
            <v>960</v>
          </cell>
        </row>
        <row r="390">
          <cell r="G390" t="str">
            <v>32013VENDELA</v>
          </cell>
          <cell r="H390">
            <v>12686</v>
          </cell>
          <cell r="I390">
            <v>12150</v>
          </cell>
        </row>
        <row r="391">
          <cell r="G391" t="str">
            <v>32014STARDUST</v>
          </cell>
          <cell r="H391">
            <v>5475</v>
          </cell>
          <cell r="I391">
            <v>8575</v>
          </cell>
        </row>
        <row r="392">
          <cell r="G392" t="str">
            <v>32015JOCKER</v>
          </cell>
          <cell r="H392">
            <v>4398</v>
          </cell>
          <cell r="I392">
            <v>6750</v>
          </cell>
        </row>
        <row r="393">
          <cell r="G393" t="str">
            <v>32016DREAM IN PEACH</v>
          </cell>
          <cell r="H393">
            <v>1058</v>
          </cell>
          <cell r="I393">
            <v>1800</v>
          </cell>
        </row>
        <row r="394">
          <cell r="G394" t="str">
            <v>32016NINA</v>
          </cell>
          <cell r="H394">
            <v>3028</v>
          </cell>
          <cell r="I394">
            <v>3300</v>
          </cell>
        </row>
        <row r="395">
          <cell r="G395" t="str">
            <v>32017FREEDOM</v>
          </cell>
          <cell r="H395">
            <v>4837</v>
          </cell>
          <cell r="I395">
            <v>5400</v>
          </cell>
        </row>
        <row r="396">
          <cell r="G396" t="str">
            <v>32017GOLDFINCH</v>
          </cell>
          <cell r="H396">
            <v>2362</v>
          </cell>
          <cell r="I396">
            <v>3725</v>
          </cell>
        </row>
        <row r="397">
          <cell r="G397" t="str">
            <v>32018BRIGHTON</v>
          </cell>
          <cell r="H397">
            <v>1745</v>
          </cell>
          <cell r="I397">
            <v>2475</v>
          </cell>
        </row>
        <row r="398">
          <cell r="G398" t="str">
            <v>32019BRIGHTON</v>
          </cell>
          <cell r="H398">
            <v>6196</v>
          </cell>
          <cell r="I398">
            <v>9375</v>
          </cell>
        </row>
        <row r="399">
          <cell r="G399" t="str">
            <v>32019TABATHA</v>
          </cell>
          <cell r="H399">
            <v>2372</v>
          </cell>
          <cell r="I399">
            <v>2490</v>
          </cell>
        </row>
        <row r="400">
          <cell r="G400" t="str">
            <v>32020BRIGHTON</v>
          </cell>
          <cell r="H400">
            <v>4296</v>
          </cell>
          <cell r="I400">
            <v>5500</v>
          </cell>
        </row>
        <row r="401">
          <cell r="G401" t="str">
            <v>32020TYCOON</v>
          </cell>
          <cell r="H401">
            <v>704</v>
          </cell>
          <cell r="I401">
            <v>1350</v>
          </cell>
        </row>
        <row r="402">
          <cell r="G402" t="str">
            <v>32021SHOW GIRL</v>
          </cell>
          <cell r="H402">
            <v>1544</v>
          </cell>
          <cell r="I402">
            <v>1200</v>
          </cell>
        </row>
        <row r="403">
          <cell r="G403" t="str">
            <v>32022CORAL REEF</v>
          </cell>
          <cell r="H403">
            <v>2189</v>
          </cell>
          <cell r="I403">
            <v>2375</v>
          </cell>
        </row>
        <row r="404">
          <cell r="G404" t="str">
            <v>32023COTOPAXI</v>
          </cell>
          <cell r="H404">
            <v>6489</v>
          </cell>
          <cell r="I404">
            <v>6330</v>
          </cell>
        </row>
        <row r="405">
          <cell r="G405" t="str">
            <v>32023FRUTTETO</v>
          </cell>
          <cell r="H405">
            <v>5088</v>
          </cell>
          <cell r="I405">
            <v>6960</v>
          </cell>
        </row>
        <row r="406">
          <cell r="G406" t="str">
            <v>32024COTOPAXI</v>
          </cell>
          <cell r="H406">
            <v>3100</v>
          </cell>
          <cell r="I406">
            <v>4440</v>
          </cell>
        </row>
        <row r="407">
          <cell r="G407" t="str">
            <v>32024SWEETNESS</v>
          </cell>
          <cell r="H407">
            <v>1903</v>
          </cell>
          <cell r="I407">
            <v>2220</v>
          </cell>
        </row>
        <row r="408">
          <cell r="G408" t="str">
            <v>32024TYCOON</v>
          </cell>
          <cell r="H408">
            <v>2485</v>
          </cell>
          <cell r="I408">
            <v>5070</v>
          </cell>
        </row>
        <row r="409">
          <cell r="G409" t="str">
            <v>32025PINK MONDIAL</v>
          </cell>
          <cell r="H409">
            <v>4634</v>
          </cell>
          <cell r="I409">
            <v>7400</v>
          </cell>
        </row>
        <row r="410">
          <cell r="G410" t="str">
            <v>32026LOLA</v>
          </cell>
          <cell r="H410">
            <v>4603</v>
          </cell>
          <cell r="I410">
            <v>3400</v>
          </cell>
        </row>
        <row r="411">
          <cell r="G411" t="str">
            <v>32026PALOMA</v>
          </cell>
          <cell r="H411">
            <v>4775</v>
          </cell>
          <cell r="I411">
            <v>4675</v>
          </cell>
        </row>
        <row r="412">
          <cell r="G412" t="str">
            <v>32027SATISFACTION</v>
          </cell>
          <cell r="H412">
            <v>4572</v>
          </cell>
          <cell r="I412">
            <v>7230</v>
          </cell>
        </row>
        <row r="413">
          <cell r="G413" t="str">
            <v>32027TIFFANY</v>
          </cell>
          <cell r="H413">
            <v>4300</v>
          </cell>
          <cell r="I413">
            <v>6360</v>
          </cell>
        </row>
        <row r="414">
          <cell r="G414" t="str">
            <v>32028COTOPAXI</v>
          </cell>
          <cell r="H414">
            <v>5552</v>
          </cell>
          <cell r="I414">
            <v>5010</v>
          </cell>
        </row>
        <row r="415">
          <cell r="G415" t="str">
            <v>32028DEEP PURPLE</v>
          </cell>
          <cell r="H415">
            <v>8355</v>
          </cell>
          <cell r="I415">
            <v>7260</v>
          </cell>
        </row>
        <row r="416">
          <cell r="G416" t="str">
            <v>32029PINK FLOYD</v>
          </cell>
          <cell r="H416">
            <v>4267</v>
          </cell>
          <cell r="I416">
            <v>4350</v>
          </cell>
        </row>
        <row r="417">
          <cell r="G417" t="str">
            <v>32030EXPLORER</v>
          </cell>
          <cell r="H417">
            <v>2004</v>
          </cell>
          <cell r="I417">
            <v>2600</v>
          </cell>
        </row>
        <row r="418">
          <cell r="G418" t="str">
            <v>29008LUMIA</v>
          </cell>
          <cell r="H418">
            <v>2834</v>
          </cell>
          <cell r="I418">
            <v>2850</v>
          </cell>
        </row>
        <row r="419">
          <cell r="G419" t="str">
            <v>30008LUMIA</v>
          </cell>
          <cell r="H419">
            <v>1797</v>
          </cell>
          <cell r="I419">
            <v>2850</v>
          </cell>
        </row>
        <row r="420">
          <cell r="G420" t="str">
            <v>31008LUMIA</v>
          </cell>
          <cell r="H420">
            <v>1403</v>
          </cell>
          <cell r="I420">
            <v>2850</v>
          </cell>
        </row>
        <row r="421">
          <cell r="G421" t="str">
            <v>32008LUMIA</v>
          </cell>
          <cell r="H421">
            <v>1703</v>
          </cell>
          <cell r="I421">
            <v>2850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420"/>
  <sheetViews>
    <sheetView tabSelected="1" topLeftCell="D1" zoomScale="85" zoomScaleNormal="85" workbookViewId="0">
      <selection activeCell="H5" sqref="H5"/>
    </sheetView>
  </sheetViews>
  <sheetFormatPr baseColWidth="10" defaultColWidth="9.140625" defaultRowHeight="15"/>
  <cols>
    <col min="5" max="5" width="9.140625" style="3"/>
    <col min="6" max="6" width="17.5703125" bestFit="1" customWidth="1"/>
    <col min="7" max="7" width="20.5703125" bestFit="1" customWidth="1"/>
    <col min="8" max="8" width="21.7109375" bestFit="1" customWidth="1"/>
    <col min="9" max="10" width="9.140625" style="6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4" t="s">
        <v>4</v>
      </c>
      <c r="F1" s="1" t="s">
        <v>5</v>
      </c>
      <c r="G1" s="1" t="s">
        <v>75</v>
      </c>
      <c r="H1" s="1" t="s">
        <v>6</v>
      </c>
      <c r="I1" s="7" t="s">
        <v>74</v>
      </c>
      <c r="J1" s="8" t="s">
        <v>109</v>
      </c>
    </row>
    <row r="2" spans="1:10">
      <c r="A2">
        <v>2026</v>
      </c>
      <c r="B2">
        <v>27</v>
      </c>
      <c r="C2" t="s">
        <v>7</v>
      </c>
      <c r="D2" t="s">
        <v>8</v>
      </c>
      <c r="E2" s="2" t="s">
        <v>94</v>
      </c>
      <c r="F2" t="s">
        <v>73</v>
      </c>
      <c r="G2" t="str">
        <f>+B2&amp;E2&amp;F2</f>
        <v>27001IDOLE</v>
      </c>
      <c r="H2">
        <v>1265</v>
      </c>
      <c r="I2" s="6" t="e">
        <f>VLOOKUP(G2,[2]Hoja1!$G$8515:$H$8621,2,FALSE)</f>
        <v>#N/A</v>
      </c>
      <c r="J2" s="6" t="e">
        <f>+(I2-H2)/I2</f>
        <v>#N/A</v>
      </c>
    </row>
    <row r="3" spans="1:10">
      <c r="A3">
        <v>2026</v>
      </c>
      <c r="B3">
        <v>28</v>
      </c>
      <c r="C3" t="s">
        <v>7</v>
      </c>
      <c r="D3" t="s">
        <v>8</v>
      </c>
      <c r="E3" s="2" t="s">
        <v>94</v>
      </c>
      <c r="F3" t="s">
        <v>73</v>
      </c>
      <c r="G3" t="str">
        <f>+B3&amp;E3&amp;F3</f>
        <v>28001IDOLE</v>
      </c>
      <c r="H3">
        <v>1689</v>
      </c>
      <c r="I3" s="6" t="e">
        <f>VLOOKUP(G3,[3]Astroflores!$G$2:$H$110,2,FALSE)</f>
        <v>#N/A</v>
      </c>
      <c r="J3" s="6" t="e">
        <f>+(I3-H3)/I3</f>
        <v>#N/A</v>
      </c>
    </row>
    <row r="4" spans="1:10">
      <c r="A4">
        <v>2026</v>
      </c>
      <c r="B4">
        <v>29</v>
      </c>
      <c r="C4" t="s">
        <v>7</v>
      </c>
      <c r="D4" t="s">
        <v>8</v>
      </c>
      <c r="E4" s="2" t="s">
        <v>94</v>
      </c>
      <c r="F4" t="s">
        <v>73</v>
      </c>
      <c r="G4" t="str">
        <f>+B4&amp;E4&amp;F4</f>
        <v>29001IDOLE</v>
      </c>
      <c r="H4">
        <v>1744</v>
      </c>
      <c r="I4" s="6" t="e">
        <f>VLOOKUP(G4,[4]Estimado_modelo!$G$2:$I$421,3,FALSE)</f>
        <v>#N/A</v>
      </c>
      <c r="J4" s="6" t="e">
        <f>+(I4-H4)/I4</f>
        <v>#N/A</v>
      </c>
    </row>
    <row r="5" spans="1:10">
      <c r="A5">
        <v>2026</v>
      </c>
      <c r="B5">
        <v>29</v>
      </c>
      <c r="C5" t="s">
        <v>7</v>
      </c>
      <c r="D5" t="s">
        <v>8</v>
      </c>
      <c r="E5" s="2" t="s">
        <v>98</v>
      </c>
      <c r="F5" t="s">
        <v>52</v>
      </c>
      <c r="G5" t="str">
        <f>+B5&amp;E5&amp;F5</f>
        <v>29010COOLDOWN</v>
      </c>
      <c r="H5">
        <v>1154</v>
      </c>
      <c r="I5" s="6">
        <f>VLOOKUP(G5,[4]Estimado_modelo!$G$2:$I$421,3,FALSE)</f>
        <v>3825</v>
      </c>
      <c r="J5" s="6">
        <f>+(I5-H5)/I5</f>
        <v>0.69830065359477123</v>
      </c>
    </row>
    <row r="6" spans="1:10">
      <c r="A6">
        <v>2026</v>
      </c>
      <c r="B6">
        <v>29</v>
      </c>
      <c r="C6" t="s">
        <v>7</v>
      </c>
      <c r="D6" t="s">
        <v>8</v>
      </c>
      <c r="E6" s="2" t="s">
        <v>98</v>
      </c>
      <c r="F6" t="s">
        <v>53</v>
      </c>
      <c r="G6" t="str">
        <f>+B6&amp;E6&amp;F6</f>
        <v>29010VIOLET HILL</v>
      </c>
      <c r="H6">
        <v>1782</v>
      </c>
      <c r="I6" s="6">
        <f>VLOOKUP(G6,[4]Estimado_modelo!$G$2:$I$421,3,FALSE)</f>
        <v>5850</v>
      </c>
      <c r="J6" s="6">
        <f>+(I6-H6)/I6</f>
        <v>0.69538461538461538</v>
      </c>
    </row>
    <row r="7" spans="1:10">
      <c r="A7">
        <v>2026</v>
      </c>
      <c r="B7">
        <v>28</v>
      </c>
      <c r="C7" t="s">
        <v>7</v>
      </c>
      <c r="D7" t="s">
        <v>8</v>
      </c>
      <c r="E7" s="2" t="s">
        <v>98</v>
      </c>
      <c r="F7" t="s">
        <v>53</v>
      </c>
      <c r="G7" t="str">
        <f>+B7&amp;E7&amp;F7</f>
        <v>28010VIOLET HILL</v>
      </c>
      <c r="H7">
        <v>2247</v>
      </c>
      <c r="I7" s="6">
        <f>VLOOKUP(G7,[3]Astroflores!$G$2:$H$110,2,FALSE)</f>
        <v>6990</v>
      </c>
      <c r="J7" s="6">
        <f>+(I7-H7)/I7</f>
        <v>0.67854077253218881</v>
      </c>
    </row>
    <row r="8" spans="1:10">
      <c r="A8">
        <v>2026</v>
      </c>
      <c r="B8">
        <v>29</v>
      </c>
      <c r="C8" t="s">
        <v>10</v>
      </c>
      <c r="D8" t="s">
        <v>8</v>
      </c>
      <c r="E8" s="2" t="s">
        <v>79</v>
      </c>
      <c r="F8" t="s">
        <v>16</v>
      </c>
      <c r="G8" t="str">
        <f>+B8&amp;E8&amp;F8</f>
        <v>29007SNOW BUBBLES</v>
      </c>
      <c r="H8">
        <v>549</v>
      </c>
      <c r="I8" s="6">
        <f>VLOOKUP(G8,[4]Estimado_modelo!$G$2:$I$421,3,FALSE)</f>
        <v>1580</v>
      </c>
      <c r="J8" s="6">
        <f>+(I8-H8)/I8</f>
        <v>0.65253164556962029</v>
      </c>
    </row>
    <row r="9" spans="1:10">
      <c r="A9">
        <v>2026</v>
      </c>
      <c r="B9">
        <v>27</v>
      </c>
      <c r="C9" t="s">
        <v>7</v>
      </c>
      <c r="D9" t="s">
        <v>8</v>
      </c>
      <c r="E9" s="2" t="s">
        <v>95</v>
      </c>
      <c r="F9" t="s">
        <v>41</v>
      </c>
      <c r="G9" t="str">
        <f>+B9&amp;E9&amp;F9</f>
        <v>27003JOCKER</v>
      </c>
      <c r="H9">
        <v>530</v>
      </c>
      <c r="I9" s="6">
        <f>VLOOKUP(G9,[2]Hoja1!$G$8515:$H$8621,2,FALSE)</f>
        <v>1300</v>
      </c>
      <c r="J9" s="6">
        <f>+(I9-H9)/I9</f>
        <v>0.59230769230769231</v>
      </c>
    </row>
    <row r="10" spans="1:10">
      <c r="A10">
        <v>2026</v>
      </c>
      <c r="B10">
        <v>27</v>
      </c>
      <c r="C10" t="s">
        <v>7</v>
      </c>
      <c r="D10" t="s">
        <v>8</v>
      </c>
      <c r="E10" s="2" t="s">
        <v>98</v>
      </c>
      <c r="F10" t="s">
        <v>53</v>
      </c>
      <c r="G10" t="str">
        <f>+B10&amp;E10&amp;F10</f>
        <v>27010VIOLET HILL</v>
      </c>
      <c r="H10">
        <v>2527</v>
      </c>
      <c r="I10" s="6">
        <f>VLOOKUP(G10,[2]Hoja1!$G$8515:$H$8621,2,FALSE)</f>
        <v>6180</v>
      </c>
      <c r="J10" s="6">
        <f>+(I10-H10)/I10</f>
        <v>0.59110032362459541</v>
      </c>
    </row>
    <row r="11" spans="1:10">
      <c r="A11">
        <v>2026</v>
      </c>
      <c r="B11">
        <v>29</v>
      </c>
      <c r="C11" t="s">
        <v>10</v>
      </c>
      <c r="D11" t="s">
        <v>8</v>
      </c>
      <c r="E11" s="2" t="s">
        <v>91</v>
      </c>
      <c r="F11" t="s">
        <v>31</v>
      </c>
      <c r="G11" t="str">
        <f>+B11&amp;E11&amp;F11</f>
        <v>29031VELVET BLOSSOMS</v>
      </c>
      <c r="H11">
        <v>314</v>
      </c>
      <c r="I11" s="6">
        <f>VLOOKUP(G11,[4]Estimado_modelo!$G$2:$I$421,3,FALSE)</f>
        <v>760</v>
      </c>
      <c r="J11" s="6">
        <f>+(I11-H11)/I11</f>
        <v>0.58684210526315794</v>
      </c>
    </row>
    <row r="12" spans="1:10">
      <c r="A12">
        <v>2026</v>
      </c>
      <c r="B12">
        <v>28</v>
      </c>
      <c r="C12" t="s">
        <v>7</v>
      </c>
      <c r="D12" t="s">
        <v>8</v>
      </c>
      <c r="E12" s="2" t="s">
        <v>82</v>
      </c>
      <c r="F12" t="s">
        <v>41</v>
      </c>
      <c r="G12" t="str">
        <f>+B12&amp;E12&amp;F12</f>
        <v>28015JOCKER</v>
      </c>
      <c r="H12">
        <v>3254</v>
      </c>
      <c r="I12" s="6">
        <f>VLOOKUP(G12,[3]Astroflores!$G$2:$H$110,2,FALSE)</f>
        <v>7725</v>
      </c>
      <c r="J12" s="6">
        <f>+(I12-H12)/I12</f>
        <v>0.57877022653721688</v>
      </c>
    </row>
    <row r="13" spans="1:10">
      <c r="A13">
        <v>2026</v>
      </c>
      <c r="B13">
        <v>27</v>
      </c>
      <c r="C13" t="s">
        <v>7</v>
      </c>
      <c r="D13" t="s">
        <v>8</v>
      </c>
      <c r="E13" s="2" t="s">
        <v>99</v>
      </c>
      <c r="F13" t="s">
        <v>54</v>
      </c>
      <c r="G13" t="str">
        <f>+B13&amp;E13&amp;F13</f>
        <v>27011BRIGHTON</v>
      </c>
      <c r="H13">
        <v>1406</v>
      </c>
      <c r="I13" s="6">
        <f>VLOOKUP(G13,[2]Hoja1!$G$8515:$H$8621,2,FALSE)</f>
        <v>3325</v>
      </c>
      <c r="J13" s="6">
        <f>+(I13-H13)/I13</f>
        <v>0.57714285714285718</v>
      </c>
    </row>
    <row r="14" spans="1:10">
      <c r="A14">
        <v>2026</v>
      </c>
      <c r="B14">
        <v>29</v>
      </c>
      <c r="C14" t="s">
        <v>7</v>
      </c>
      <c r="D14" t="s">
        <v>8</v>
      </c>
      <c r="E14" s="2" t="s">
        <v>106</v>
      </c>
      <c r="F14" t="s">
        <v>70</v>
      </c>
      <c r="G14" t="str">
        <f>+B14&amp;E14&amp;F14</f>
        <v>29027SATISFACTION</v>
      </c>
      <c r="H14">
        <v>3103</v>
      </c>
      <c r="I14" s="6">
        <f>VLOOKUP(G14,[4]Estimado_modelo!$G$2:$I$421,3,FALSE)</f>
        <v>7230</v>
      </c>
      <c r="J14" s="6">
        <f>+(I14-H14)/I14</f>
        <v>0.57081604426002763</v>
      </c>
    </row>
    <row r="15" spans="1:10">
      <c r="A15">
        <v>2026</v>
      </c>
      <c r="B15">
        <v>29</v>
      </c>
      <c r="C15" t="s">
        <v>7</v>
      </c>
      <c r="D15" t="s">
        <v>8</v>
      </c>
      <c r="E15" s="2" t="s">
        <v>106</v>
      </c>
      <c r="F15" t="s">
        <v>71</v>
      </c>
      <c r="G15" t="str">
        <f>+B15&amp;E15&amp;F15</f>
        <v>29027TIFFANY</v>
      </c>
      <c r="H15">
        <v>2731</v>
      </c>
      <c r="I15" s="6">
        <f>VLOOKUP(G15,[4]Estimado_modelo!$G$2:$I$421,3,FALSE)</f>
        <v>6360</v>
      </c>
      <c r="J15" s="6">
        <f>+(I15-H15)/I15</f>
        <v>0.57059748427672952</v>
      </c>
    </row>
    <row r="16" spans="1:10">
      <c r="A16">
        <v>2026</v>
      </c>
      <c r="B16">
        <v>29</v>
      </c>
      <c r="C16" t="s">
        <v>10</v>
      </c>
      <c r="D16" t="s">
        <v>8</v>
      </c>
      <c r="E16" s="2" t="s">
        <v>93</v>
      </c>
      <c r="F16" t="s">
        <v>14</v>
      </c>
      <c r="G16" t="str">
        <f>+B16&amp;E16&amp;F16</f>
        <v>29033HOT BUBBLES</v>
      </c>
      <c r="H16">
        <v>2520</v>
      </c>
      <c r="I16" s="6">
        <f>VLOOKUP(G16,[4]Estimado_modelo!$G$2:$I$421,3,FALSE)</f>
        <v>5780</v>
      </c>
      <c r="J16" s="6">
        <f>+(I16-H16)/I16</f>
        <v>0.56401384083044981</v>
      </c>
    </row>
    <row r="17" spans="1:11">
      <c r="A17">
        <v>2026</v>
      </c>
      <c r="B17">
        <v>27</v>
      </c>
      <c r="C17" t="s">
        <v>7</v>
      </c>
      <c r="D17" t="s">
        <v>8</v>
      </c>
      <c r="E17" s="2" t="s">
        <v>82</v>
      </c>
      <c r="F17" t="s">
        <v>41</v>
      </c>
      <c r="G17" t="str">
        <f>+B17&amp;E17&amp;F17</f>
        <v>27015JOCKER</v>
      </c>
      <c r="H17">
        <v>2698</v>
      </c>
      <c r="I17" s="6">
        <f>VLOOKUP(G17,[2]Hoja1!$G$8515:$H$8621,2,FALSE)</f>
        <v>6175</v>
      </c>
      <c r="J17" s="6">
        <f>+(I17-H17)/I17</f>
        <v>0.56307692307692303</v>
      </c>
    </row>
    <row r="18" spans="1:11">
      <c r="A18">
        <v>2026</v>
      </c>
      <c r="B18">
        <v>28</v>
      </c>
      <c r="C18" t="s">
        <v>10</v>
      </c>
      <c r="D18" t="s">
        <v>8</v>
      </c>
      <c r="E18" s="2" t="s">
        <v>91</v>
      </c>
      <c r="F18" t="s">
        <v>31</v>
      </c>
      <c r="G18" t="str">
        <f>+B18&amp;E18&amp;F18</f>
        <v>28031VELVET BLOSSOMS</v>
      </c>
      <c r="H18">
        <v>320</v>
      </c>
      <c r="I18" s="6">
        <f>VLOOKUP(G18,[3]Astroflores!$G$2:$H$110,2,FALSE)</f>
        <v>720</v>
      </c>
      <c r="J18" s="6">
        <f>+(I18-H18)/I18</f>
        <v>0.55555555555555558</v>
      </c>
    </row>
    <row r="19" spans="1:11">
      <c r="A19">
        <v>2026</v>
      </c>
      <c r="B19">
        <v>27</v>
      </c>
      <c r="C19" t="s">
        <v>7</v>
      </c>
      <c r="D19" t="s">
        <v>8</v>
      </c>
      <c r="E19" s="2" t="s">
        <v>100</v>
      </c>
      <c r="F19" t="s">
        <v>40</v>
      </c>
      <c r="G19" t="str">
        <f>+B19&amp;E19&amp;F19</f>
        <v>27012DEEP PURPLE</v>
      </c>
      <c r="H19">
        <v>10108</v>
      </c>
      <c r="I19" s="6">
        <f>VLOOKUP(G19,[2]Hoja1!$G$8515:$H$8621,2,FALSE)</f>
        <v>22050</v>
      </c>
      <c r="J19" s="6">
        <f>+(I19-H19)/I19</f>
        <v>0.54158730158730162</v>
      </c>
    </row>
    <row r="20" spans="1:11">
      <c r="A20">
        <v>2026</v>
      </c>
      <c r="B20">
        <v>27</v>
      </c>
      <c r="C20" t="s">
        <v>10</v>
      </c>
      <c r="D20" t="s">
        <v>8</v>
      </c>
      <c r="E20" s="2" t="s">
        <v>91</v>
      </c>
      <c r="F20" t="s">
        <v>30</v>
      </c>
      <c r="G20" t="str">
        <f>+B20&amp;E20&amp;F20</f>
        <v>2703182989</v>
      </c>
      <c r="H20">
        <v>1275</v>
      </c>
      <c r="I20" s="6">
        <f>VLOOKUP(G20,[2]Hoja1!$G$8515:$H$8621,2,FALSE)</f>
        <v>2720</v>
      </c>
      <c r="J20" s="6">
        <f>+(I20-H20)/I20</f>
        <v>0.53125</v>
      </c>
    </row>
    <row r="21" spans="1:11">
      <c r="A21">
        <v>2026</v>
      </c>
      <c r="B21">
        <v>27</v>
      </c>
      <c r="C21" t="s">
        <v>10</v>
      </c>
      <c r="D21" t="s">
        <v>8</v>
      </c>
      <c r="E21" s="2" t="s">
        <v>90</v>
      </c>
      <c r="F21" t="s">
        <v>11</v>
      </c>
      <c r="G21" t="str">
        <f>+B21&amp;E21&amp;F21</f>
        <v>27030SOMERSET</v>
      </c>
      <c r="H21">
        <v>1729</v>
      </c>
      <c r="I21" s="6">
        <f>VLOOKUP(G21,[2]Hoja1!$G$8515:$H$8621,2,FALSE)</f>
        <v>3600</v>
      </c>
      <c r="J21" s="6">
        <f>+(I21-H21)/I21</f>
        <v>0.5197222222222222</v>
      </c>
      <c r="K21" s="5"/>
    </row>
    <row r="22" spans="1:11">
      <c r="A22">
        <v>2026</v>
      </c>
      <c r="B22">
        <v>27</v>
      </c>
      <c r="C22" t="s">
        <v>7</v>
      </c>
      <c r="D22" t="s">
        <v>8</v>
      </c>
      <c r="E22" s="2" t="s">
        <v>94</v>
      </c>
      <c r="F22" t="s">
        <v>36</v>
      </c>
      <c r="G22" t="str">
        <f>+B22&amp;E22&amp;F22</f>
        <v>27001LIGHT HOUSE</v>
      </c>
      <c r="H22">
        <v>1342</v>
      </c>
      <c r="I22" s="6">
        <f>VLOOKUP(G22,[2]Hoja1!$G$8515:$H$8621,2,FALSE)</f>
        <v>2760</v>
      </c>
      <c r="J22" s="6">
        <f>+(I22-H22)/I22</f>
        <v>0.51376811594202898</v>
      </c>
      <c r="K22" s="5"/>
    </row>
    <row r="23" spans="1:11">
      <c r="A23">
        <v>2026</v>
      </c>
      <c r="B23">
        <v>27</v>
      </c>
      <c r="C23" t="s">
        <v>7</v>
      </c>
      <c r="D23" t="s">
        <v>8</v>
      </c>
      <c r="E23" s="2" t="s">
        <v>77</v>
      </c>
      <c r="F23" t="s">
        <v>43</v>
      </c>
      <c r="G23" t="str">
        <f>+B23&amp;E23&amp;F23</f>
        <v>27004COTOPAXI</v>
      </c>
      <c r="H23">
        <v>983</v>
      </c>
      <c r="I23" s="6">
        <f>VLOOKUP(G23,[2]Hoja1!$G$8515:$H$8621,2,FALSE)</f>
        <v>2010</v>
      </c>
      <c r="J23" s="6">
        <f>+(I23-H23)/I23</f>
        <v>0.51094527363184084</v>
      </c>
      <c r="K23" s="5"/>
    </row>
    <row r="24" spans="1:11">
      <c r="A24">
        <v>2026</v>
      </c>
      <c r="B24">
        <v>27</v>
      </c>
      <c r="C24" t="s">
        <v>7</v>
      </c>
      <c r="D24" t="s">
        <v>8</v>
      </c>
      <c r="E24" s="2" t="s">
        <v>77</v>
      </c>
      <c r="F24" t="s">
        <v>40</v>
      </c>
      <c r="G24" t="str">
        <f>+B24&amp;E24&amp;F24</f>
        <v>27004DEEP PURPLE</v>
      </c>
      <c r="H24">
        <v>10471</v>
      </c>
      <c r="I24" s="6">
        <f>VLOOKUP(G24,[2]Hoja1!$G$8515:$H$8621,2,FALSE)</f>
        <v>21360</v>
      </c>
      <c r="J24" s="6">
        <f>+(I24-H24)/I24</f>
        <v>0.50978464419475655</v>
      </c>
      <c r="K24" s="5"/>
    </row>
    <row r="25" spans="1:11">
      <c r="A25">
        <v>2026</v>
      </c>
      <c r="B25">
        <v>27</v>
      </c>
      <c r="C25" t="s">
        <v>7</v>
      </c>
      <c r="D25" t="s">
        <v>8</v>
      </c>
      <c r="E25" s="2" t="s">
        <v>87</v>
      </c>
      <c r="F25" t="s">
        <v>54</v>
      </c>
      <c r="G25" t="str">
        <f>+B25&amp;E25&amp;F25</f>
        <v>27020BRIGHTON</v>
      </c>
      <c r="H25">
        <v>3291</v>
      </c>
      <c r="I25" s="6">
        <f>VLOOKUP(G25,[2]Hoja1!$G$8515:$H$8621,2,FALSE)</f>
        <v>6700</v>
      </c>
      <c r="J25" s="6">
        <f>+(I25-H25)/I25</f>
        <v>0.50880597014925377</v>
      </c>
    </row>
    <row r="26" spans="1:11">
      <c r="A26">
        <v>2026</v>
      </c>
      <c r="B26">
        <v>27</v>
      </c>
      <c r="C26" t="s">
        <v>7</v>
      </c>
      <c r="D26" t="s">
        <v>8</v>
      </c>
      <c r="E26" s="2" t="s">
        <v>83</v>
      </c>
      <c r="F26" t="s">
        <v>61</v>
      </c>
      <c r="G26" t="str">
        <f>+B26&amp;E26&amp;F26</f>
        <v>27016NINA</v>
      </c>
      <c r="H26">
        <v>2494</v>
      </c>
      <c r="I26" s="6">
        <f>VLOOKUP(G26,[2]Hoja1!$G$8515:$H$8621,2,FALSE)</f>
        <v>4900</v>
      </c>
      <c r="J26" s="6">
        <f>+(I26-H26)/I26</f>
        <v>0.49102040816326531</v>
      </c>
    </row>
    <row r="27" spans="1:11">
      <c r="A27">
        <v>2026</v>
      </c>
      <c r="B27">
        <v>27</v>
      </c>
      <c r="C27" t="s">
        <v>7</v>
      </c>
      <c r="D27" t="s">
        <v>8</v>
      </c>
      <c r="E27" s="2" t="s">
        <v>107</v>
      </c>
      <c r="F27" t="s">
        <v>40</v>
      </c>
      <c r="G27" t="str">
        <f>+B27&amp;E27&amp;F27</f>
        <v>27028DEEP PURPLE</v>
      </c>
      <c r="H27">
        <v>4670</v>
      </c>
      <c r="I27" s="6">
        <f>VLOOKUP(G27,[2]Hoja1!$G$8515:$H$8621,2,FALSE)</f>
        <v>9150</v>
      </c>
      <c r="J27" s="6">
        <f>+(I27-H27)/I27</f>
        <v>0.48961748633879781</v>
      </c>
    </row>
    <row r="28" spans="1:11">
      <c r="A28">
        <v>2026</v>
      </c>
      <c r="B28">
        <v>27</v>
      </c>
      <c r="C28" t="s">
        <v>7</v>
      </c>
      <c r="D28" t="s">
        <v>8</v>
      </c>
      <c r="E28" s="2" t="s">
        <v>100</v>
      </c>
      <c r="F28" t="s">
        <v>36</v>
      </c>
      <c r="G28" t="str">
        <f>+B28&amp;E28&amp;F28</f>
        <v>27012LIGHT HOUSE</v>
      </c>
      <c r="H28">
        <v>1045</v>
      </c>
      <c r="I28" s="6">
        <f>VLOOKUP(G28,[2]Hoja1!$G$8515:$H$8621,2,FALSE)</f>
        <v>2040</v>
      </c>
      <c r="J28" s="6">
        <f>+(I28-H28)/I28</f>
        <v>0.48774509803921567</v>
      </c>
    </row>
    <row r="29" spans="1:11">
      <c r="A29">
        <v>2026</v>
      </c>
      <c r="B29">
        <v>27</v>
      </c>
      <c r="C29" t="s">
        <v>10</v>
      </c>
      <c r="D29" t="s">
        <v>8</v>
      </c>
      <c r="E29" s="2" t="s">
        <v>92</v>
      </c>
      <c r="F29" t="s">
        <v>29</v>
      </c>
      <c r="G29" t="str">
        <f>+B29&amp;E29&amp;F29</f>
        <v>27032MIRABEL</v>
      </c>
      <c r="H29">
        <v>1967</v>
      </c>
      <c r="I29" s="6">
        <f>VLOOKUP(G29,[2]Hoja1!$G$8515:$H$8621,2,FALSE)</f>
        <v>3820</v>
      </c>
      <c r="J29" s="6">
        <f>+(I29-H29)/I29</f>
        <v>0.4850785340314136</v>
      </c>
    </row>
    <row r="30" spans="1:11">
      <c r="A30">
        <v>2026</v>
      </c>
      <c r="B30">
        <v>28</v>
      </c>
      <c r="C30" t="s">
        <v>10</v>
      </c>
      <c r="D30" t="s">
        <v>8</v>
      </c>
      <c r="E30" s="2" t="s">
        <v>90</v>
      </c>
      <c r="F30" t="s">
        <v>29</v>
      </c>
      <c r="G30" t="str">
        <f>+B30&amp;E30&amp;F30</f>
        <v>28030MIRABEL</v>
      </c>
      <c r="H30">
        <v>3143</v>
      </c>
      <c r="I30" s="6">
        <f>VLOOKUP(G30,[3]Astroflores!$G$2:$H$110,2,FALSE)</f>
        <v>6100</v>
      </c>
      <c r="J30" s="6">
        <f>+(I30-H30)/I30</f>
        <v>0.48475409836065575</v>
      </c>
    </row>
    <row r="31" spans="1:11">
      <c r="A31">
        <v>2026</v>
      </c>
      <c r="B31">
        <v>28</v>
      </c>
      <c r="C31" t="s">
        <v>7</v>
      </c>
      <c r="D31" t="s">
        <v>8</v>
      </c>
      <c r="E31" s="2" t="s">
        <v>78</v>
      </c>
      <c r="F31" t="s">
        <v>41</v>
      </c>
      <c r="G31" t="str">
        <f>+B31&amp;E31&amp;F31</f>
        <v>28005JOCKER</v>
      </c>
      <c r="H31">
        <v>1503</v>
      </c>
      <c r="I31" s="6">
        <f>VLOOKUP(G31,[3]Astroflores!$G$2:$H$110,2,FALSE)</f>
        <v>2900</v>
      </c>
      <c r="J31" s="6">
        <f>+(I31-H31)/I31</f>
        <v>0.48172413793103447</v>
      </c>
    </row>
    <row r="32" spans="1:11">
      <c r="A32">
        <v>2026</v>
      </c>
      <c r="B32">
        <v>27</v>
      </c>
      <c r="C32" t="s">
        <v>10</v>
      </c>
      <c r="D32" t="s">
        <v>8</v>
      </c>
      <c r="E32" s="2" t="s">
        <v>90</v>
      </c>
      <c r="F32" t="s">
        <v>29</v>
      </c>
      <c r="G32" t="str">
        <f>+B32&amp;E32&amp;F32</f>
        <v>27030MIRABEL</v>
      </c>
      <c r="H32">
        <v>3540</v>
      </c>
      <c r="I32" s="6">
        <f>VLOOKUP(G32,[2]Hoja1!$G$8515:$H$8621,2,FALSE)</f>
        <v>6820</v>
      </c>
      <c r="J32" s="6">
        <f>+(I32-H32)/I32</f>
        <v>0.48093841642228741</v>
      </c>
    </row>
    <row r="33" spans="1:10">
      <c r="A33">
        <v>2026</v>
      </c>
      <c r="B33">
        <v>28</v>
      </c>
      <c r="C33" t="s">
        <v>7</v>
      </c>
      <c r="D33" t="s">
        <v>8</v>
      </c>
      <c r="E33" s="2" t="s">
        <v>97</v>
      </c>
      <c r="F33" t="s">
        <v>41</v>
      </c>
      <c r="G33" t="str">
        <f>+B33&amp;E33&amp;F33</f>
        <v>28008JOCKER</v>
      </c>
      <c r="H33">
        <v>3479</v>
      </c>
      <c r="I33" s="6">
        <f>VLOOKUP(G33,[3]Astroflores!$G$2:$H$110,2,FALSE)</f>
        <v>6700</v>
      </c>
      <c r="J33" s="6">
        <f>+(I33-H33)/I33</f>
        <v>0.48074626865671644</v>
      </c>
    </row>
    <row r="34" spans="1:10">
      <c r="A34">
        <v>2026</v>
      </c>
      <c r="B34">
        <v>27</v>
      </c>
      <c r="C34" t="s">
        <v>10</v>
      </c>
      <c r="D34" t="s">
        <v>8</v>
      </c>
      <c r="E34" s="2" t="s">
        <v>91</v>
      </c>
      <c r="F34" t="s">
        <v>23</v>
      </c>
      <c r="G34" t="str">
        <f>+B34&amp;E34&amp;F34</f>
        <v>27031RUBICON</v>
      </c>
      <c r="H34">
        <v>2053</v>
      </c>
      <c r="I34" s="6">
        <f>VLOOKUP(G34,[2]Hoja1!$G$8515:$H$8621,2,FALSE)</f>
        <v>3930</v>
      </c>
      <c r="J34" s="6">
        <f>+(I34-H34)/I34</f>
        <v>0.4776081424936387</v>
      </c>
    </row>
    <row r="35" spans="1:10">
      <c r="A35">
        <v>2026</v>
      </c>
      <c r="B35">
        <v>27</v>
      </c>
      <c r="C35" t="s">
        <v>7</v>
      </c>
      <c r="D35" t="s">
        <v>8</v>
      </c>
      <c r="E35" s="2" t="s">
        <v>78</v>
      </c>
      <c r="F35" t="s">
        <v>41</v>
      </c>
      <c r="G35" t="str">
        <f>+B35&amp;E35&amp;F35</f>
        <v>27005JOCKER</v>
      </c>
      <c r="H35">
        <v>1228</v>
      </c>
      <c r="I35" s="6">
        <f>VLOOKUP(G35,[2]Hoja1!$G$8515:$H$8621,2,FALSE)</f>
        <v>2350</v>
      </c>
      <c r="J35" s="6">
        <f>+(I35-H35)/I35</f>
        <v>0.47744680851063831</v>
      </c>
    </row>
    <row r="36" spans="1:10">
      <c r="A36">
        <v>2026</v>
      </c>
      <c r="B36">
        <v>28</v>
      </c>
      <c r="C36" t="s">
        <v>7</v>
      </c>
      <c r="D36" t="s">
        <v>8</v>
      </c>
      <c r="E36" s="2" t="s">
        <v>95</v>
      </c>
      <c r="F36" t="s">
        <v>41</v>
      </c>
      <c r="G36" t="str">
        <f>+B36&amp;E36&amp;F36</f>
        <v>28003JOCKER</v>
      </c>
      <c r="H36">
        <v>680</v>
      </c>
      <c r="I36" s="6">
        <f>VLOOKUP(G36,[3]Astroflores!$G$2:$H$110,2,FALSE)</f>
        <v>1300</v>
      </c>
      <c r="J36" s="6">
        <f>+(I36-H36)/I36</f>
        <v>0.47692307692307695</v>
      </c>
    </row>
    <row r="37" spans="1:10">
      <c r="A37">
        <v>2026</v>
      </c>
      <c r="B37">
        <v>27</v>
      </c>
      <c r="C37" t="s">
        <v>7</v>
      </c>
      <c r="D37" t="s">
        <v>8</v>
      </c>
      <c r="E37" s="2" t="s">
        <v>81</v>
      </c>
      <c r="F37" t="s">
        <v>57</v>
      </c>
      <c r="G37" t="str">
        <f>+B37&amp;E37&amp;F37</f>
        <v>27014STARDUST</v>
      </c>
      <c r="H37">
        <v>3941</v>
      </c>
      <c r="I37" s="6">
        <f>VLOOKUP(G37,[2]Hoja1!$G$8515:$H$8621,2,FALSE)</f>
        <v>7475</v>
      </c>
      <c r="J37" s="6">
        <f>+(I37-H37)/I37</f>
        <v>0.47277591973244149</v>
      </c>
    </row>
    <row r="38" spans="1:10">
      <c r="A38">
        <v>2026</v>
      </c>
      <c r="B38">
        <v>27</v>
      </c>
      <c r="C38" t="s">
        <v>7</v>
      </c>
      <c r="D38" t="s">
        <v>8</v>
      </c>
      <c r="E38" s="2" t="s">
        <v>97</v>
      </c>
      <c r="F38" t="s">
        <v>41</v>
      </c>
      <c r="G38" t="str">
        <f>+B38&amp;E38&amp;F38</f>
        <v>27008JOCKER</v>
      </c>
      <c r="H38">
        <v>2903</v>
      </c>
      <c r="I38" s="6">
        <f>VLOOKUP(G38,[2]Hoja1!$G$8515:$H$8621,2,FALSE)</f>
        <v>5500</v>
      </c>
      <c r="J38" s="6">
        <f>+(I38-H38)/I38</f>
        <v>0.4721818181818182</v>
      </c>
    </row>
    <row r="39" spans="1:10">
      <c r="A39">
        <v>2026</v>
      </c>
      <c r="B39">
        <v>28</v>
      </c>
      <c r="C39" t="s">
        <v>7</v>
      </c>
      <c r="D39" t="s">
        <v>8</v>
      </c>
      <c r="E39" s="2" t="s">
        <v>99</v>
      </c>
      <c r="F39" t="s">
        <v>54</v>
      </c>
      <c r="G39" t="str">
        <f>+B39&amp;E39&amp;F39</f>
        <v>28011BRIGHTON</v>
      </c>
      <c r="H39">
        <v>1995</v>
      </c>
      <c r="I39" s="6">
        <f>VLOOKUP(G39,[3]Astroflores!$G$2:$H$110,2,FALSE)</f>
        <v>3775</v>
      </c>
      <c r="J39" s="6">
        <f>+(I39-H39)/I39</f>
        <v>0.47152317880794703</v>
      </c>
    </row>
    <row r="40" spans="1:10">
      <c r="A40">
        <v>2026</v>
      </c>
      <c r="B40">
        <v>27</v>
      </c>
      <c r="C40" t="s">
        <v>7</v>
      </c>
      <c r="D40" t="s">
        <v>8</v>
      </c>
      <c r="E40" s="2" t="s">
        <v>97</v>
      </c>
      <c r="F40" t="s">
        <v>40</v>
      </c>
      <c r="G40" t="str">
        <f>+B40&amp;E40&amp;F40</f>
        <v>27008DEEP PURPLE</v>
      </c>
      <c r="H40">
        <v>4389</v>
      </c>
      <c r="I40" s="6">
        <f>VLOOKUP(G40,[2]Hoja1!$G$8515:$H$8621,2,FALSE)</f>
        <v>8190</v>
      </c>
      <c r="J40" s="6">
        <f>+(I40-H40)/I40</f>
        <v>0.46410256410256412</v>
      </c>
    </row>
    <row r="41" spans="1:10">
      <c r="A41">
        <v>2026</v>
      </c>
      <c r="B41">
        <v>29</v>
      </c>
      <c r="C41" t="s">
        <v>7</v>
      </c>
      <c r="D41" t="s">
        <v>8</v>
      </c>
      <c r="E41" s="2" t="s">
        <v>79</v>
      </c>
      <c r="F41" t="s">
        <v>50</v>
      </c>
      <c r="G41" t="str">
        <f>+B41&amp;E41&amp;F41</f>
        <v>29007REDIANT</v>
      </c>
      <c r="H41">
        <v>1159</v>
      </c>
      <c r="I41" s="6">
        <f>VLOOKUP(G41,[4]Estimado_modelo!$G$2:$I$421,3,FALSE)</f>
        <v>2160</v>
      </c>
      <c r="J41" s="6">
        <f>+(I41-H41)/I41</f>
        <v>0.46342592592592591</v>
      </c>
    </row>
    <row r="42" spans="1:10">
      <c r="A42">
        <v>2026</v>
      </c>
      <c r="B42">
        <v>27</v>
      </c>
      <c r="C42" t="s">
        <v>7</v>
      </c>
      <c r="D42" t="s">
        <v>8</v>
      </c>
      <c r="E42" s="2" t="s">
        <v>99</v>
      </c>
      <c r="F42" t="s">
        <v>9</v>
      </c>
      <c r="G42" t="str">
        <f>+B42&amp;E42&amp;F42</f>
        <v>27011LUMIA</v>
      </c>
      <c r="H42">
        <v>1017</v>
      </c>
      <c r="I42" s="6">
        <f>VLOOKUP(G42,[2]Hoja1!$G$8515:$H$8621,2,FALSE)</f>
        <v>1890</v>
      </c>
      <c r="J42" s="6">
        <f>+(I42-H42)/I42</f>
        <v>0.46190476190476193</v>
      </c>
    </row>
    <row r="43" spans="1:10">
      <c r="A43">
        <v>2026</v>
      </c>
      <c r="B43">
        <v>27</v>
      </c>
      <c r="C43" t="s">
        <v>10</v>
      </c>
      <c r="D43" t="s">
        <v>8</v>
      </c>
      <c r="E43" s="2" t="s">
        <v>91</v>
      </c>
      <c r="F43" t="s">
        <v>31</v>
      </c>
      <c r="G43" t="str">
        <f>+B43&amp;E43&amp;F43</f>
        <v>27031VELVET BLOSSOMS</v>
      </c>
      <c r="H43">
        <v>432</v>
      </c>
      <c r="I43" s="6">
        <f>VLOOKUP(G43,[2]Hoja1!$G$8515:$H$8621,2,FALSE)</f>
        <v>800</v>
      </c>
      <c r="J43" s="6">
        <f>+(I43-H43)/I43</f>
        <v>0.46</v>
      </c>
    </row>
    <row r="44" spans="1:10">
      <c r="A44">
        <v>2026</v>
      </c>
      <c r="B44">
        <v>29</v>
      </c>
      <c r="C44" t="s">
        <v>10</v>
      </c>
      <c r="D44" t="s">
        <v>8</v>
      </c>
      <c r="E44" s="2" t="s">
        <v>89</v>
      </c>
      <c r="F44" t="s">
        <v>29</v>
      </c>
      <c r="G44" t="str">
        <f>+B44&amp;E44&amp;F44</f>
        <v>29022MIRABEL</v>
      </c>
      <c r="H44">
        <v>1186</v>
      </c>
      <c r="I44" s="6">
        <f>VLOOKUP(G44,[4]Estimado_modelo!$G$2:$I$421,3,FALSE)</f>
        <v>2180</v>
      </c>
      <c r="J44" s="6">
        <f>+(I44-H44)/I44</f>
        <v>0.45596330275229358</v>
      </c>
    </row>
    <row r="45" spans="1:10">
      <c r="A45">
        <v>2026</v>
      </c>
      <c r="B45">
        <v>28</v>
      </c>
      <c r="C45" t="s">
        <v>7</v>
      </c>
      <c r="D45" t="s">
        <v>8</v>
      </c>
      <c r="E45" s="2" t="s">
        <v>106</v>
      </c>
      <c r="F45" t="s">
        <v>70</v>
      </c>
      <c r="G45" t="str">
        <f>+B45&amp;E45&amp;F45</f>
        <v>28027SATISFACTION</v>
      </c>
      <c r="H45">
        <v>3376</v>
      </c>
      <c r="I45" s="6">
        <f>VLOOKUP(G45,[3]Astroflores!$G$2:$H$110,2,FALSE)</f>
        <v>6180</v>
      </c>
      <c r="J45" s="6">
        <f>+(I45-H45)/I45</f>
        <v>0.45372168284789643</v>
      </c>
    </row>
    <row r="46" spans="1:10">
      <c r="A46">
        <v>2026</v>
      </c>
      <c r="B46">
        <v>28</v>
      </c>
      <c r="C46" t="s">
        <v>10</v>
      </c>
      <c r="D46" t="s">
        <v>8</v>
      </c>
      <c r="E46" s="2" t="s">
        <v>79</v>
      </c>
      <c r="F46" t="s">
        <v>16</v>
      </c>
      <c r="G46" t="str">
        <f>+B46&amp;E46&amp;F46</f>
        <v>28007SNOW BUBBLES</v>
      </c>
      <c r="H46">
        <v>601</v>
      </c>
      <c r="I46" s="6">
        <f>VLOOKUP(G46,[3]Astroflores!$G$2:$H$110,2,FALSE)</f>
        <v>1100</v>
      </c>
      <c r="J46" s="6">
        <f>+(I46-H46)/I46</f>
        <v>0.45363636363636362</v>
      </c>
    </row>
    <row r="47" spans="1:10">
      <c r="A47">
        <v>2026</v>
      </c>
      <c r="B47">
        <v>28</v>
      </c>
      <c r="C47" t="s">
        <v>10</v>
      </c>
      <c r="D47" t="s">
        <v>8</v>
      </c>
      <c r="E47" s="2" t="s">
        <v>92</v>
      </c>
      <c r="F47" t="s">
        <v>13</v>
      </c>
      <c r="G47" t="str">
        <f>+B47&amp;E47&amp;F47</f>
        <v>28032ELBA</v>
      </c>
      <c r="H47">
        <v>2104</v>
      </c>
      <c r="I47" s="6">
        <f>VLOOKUP(G47,[3]Astroflores!$G$2:$H$110,2,FALSE)</f>
        <v>3840</v>
      </c>
      <c r="J47" s="6">
        <f>+(I47-H47)/I47</f>
        <v>0.45208333333333334</v>
      </c>
    </row>
    <row r="48" spans="1:10">
      <c r="A48">
        <v>2026</v>
      </c>
      <c r="B48">
        <v>29</v>
      </c>
      <c r="C48" t="s">
        <v>7</v>
      </c>
      <c r="D48" t="s">
        <v>8</v>
      </c>
      <c r="E48" s="2" t="s">
        <v>82</v>
      </c>
      <c r="F48" t="s">
        <v>41</v>
      </c>
      <c r="G48" t="str">
        <f>+B48&amp;E48&amp;F48</f>
        <v>29015JOCKER</v>
      </c>
      <c r="H48">
        <v>3715</v>
      </c>
      <c r="I48" s="6">
        <f>VLOOKUP(G48,[4]Estimado_modelo!$G$2:$I$421,3,FALSE)</f>
        <v>6750</v>
      </c>
      <c r="J48" s="6">
        <f>+(I48-H48)/I48</f>
        <v>0.44962962962962966</v>
      </c>
    </row>
    <row r="49" spans="1:10">
      <c r="A49">
        <v>2026</v>
      </c>
      <c r="B49">
        <v>27</v>
      </c>
      <c r="C49" t="s">
        <v>7</v>
      </c>
      <c r="D49" t="s">
        <v>8</v>
      </c>
      <c r="E49" s="2" t="s">
        <v>98</v>
      </c>
      <c r="F49" t="s">
        <v>52</v>
      </c>
      <c r="G49" t="str">
        <f>+B49&amp;E49&amp;F49</f>
        <v>27010COOLDOWN</v>
      </c>
      <c r="H49">
        <v>1939</v>
      </c>
      <c r="I49" s="6">
        <f>VLOOKUP(G49,[2]Hoja1!$G$8515:$H$8621,2,FALSE)</f>
        <v>3520</v>
      </c>
      <c r="J49" s="6">
        <f>+(I49-H49)/I49</f>
        <v>0.44914772727272728</v>
      </c>
    </row>
    <row r="50" spans="1:10">
      <c r="A50">
        <v>2026</v>
      </c>
      <c r="B50">
        <v>27</v>
      </c>
      <c r="C50" t="s">
        <v>7</v>
      </c>
      <c r="D50" t="s">
        <v>8</v>
      </c>
      <c r="E50" s="2" t="s">
        <v>85</v>
      </c>
      <c r="F50" t="s">
        <v>54</v>
      </c>
      <c r="G50" t="str">
        <f>+B50&amp;E50&amp;F50</f>
        <v>27018BRIGHTON</v>
      </c>
      <c r="H50">
        <v>1501</v>
      </c>
      <c r="I50" s="6">
        <f>VLOOKUP(G50,[2]Hoja1!$G$8515:$H$8621,2,FALSE)</f>
        <v>2700</v>
      </c>
      <c r="J50" s="6">
        <f>+(I50-H50)/I50</f>
        <v>0.44407407407407407</v>
      </c>
    </row>
    <row r="51" spans="1:10">
      <c r="A51">
        <v>2026</v>
      </c>
      <c r="B51">
        <v>29</v>
      </c>
      <c r="C51" t="s">
        <v>10</v>
      </c>
      <c r="D51" t="s">
        <v>8</v>
      </c>
      <c r="E51" s="2" t="s">
        <v>88</v>
      </c>
      <c r="F51" t="s">
        <v>16</v>
      </c>
      <c r="G51" t="str">
        <f>+B51&amp;E51&amp;F51</f>
        <v>29021SNOW BUBBLES</v>
      </c>
      <c r="H51">
        <v>1359</v>
      </c>
      <c r="I51" s="6">
        <f>VLOOKUP(G51,[4]Estimado_modelo!$G$2:$I$421,3,FALSE)</f>
        <v>2440</v>
      </c>
      <c r="J51" s="6">
        <f>+(I51-H51)/I51</f>
        <v>0.44303278688524589</v>
      </c>
    </row>
    <row r="52" spans="1:10">
      <c r="A52">
        <v>2026</v>
      </c>
      <c r="B52">
        <v>28</v>
      </c>
      <c r="C52" t="s">
        <v>7</v>
      </c>
      <c r="D52" t="s">
        <v>8</v>
      </c>
      <c r="E52" s="2" t="s">
        <v>94</v>
      </c>
      <c r="F52" t="s">
        <v>9</v>
      </c>
      <c r="G52" t="str">
        <f>+B52&amp;E52&amp;F52</f>
        <v>28001LUMIA</v>
      </c>
      <c r="H52">
        <v>1610</v>
      </c>
      <c r="I52" s="6">
        <f>VLOOKUP(G52,[3]Astroflores!$G$2:$H$110,2,FALSE)</f>
        <v>2880</v>
      </c>
      <c r="J52" s="6">
        <f>+(I52-H52)/I52</f>
        <v>0.44097222222222221</v>
      </c>
    </row>
    <row r="53" spans="1:10">
      <c r="A53">
        <v>2026</v>
      </c>
      <c r="B53">
        <v>28</v>
      </c>
      <c r="C53" t="s">
        <v>10</v>
      </c>
      <c r="D53" t="s">
        <v>8</v>
      </c>
      <c r="E53" s="2" t="s">
        <v>92</v>
      </c>
      <c r="F53" t="s">
        <v>29</v>
      </c>
      <c r="G53" t="str">
        <f>+B53&amp;E53&amp;F53</f>
        <v>28032MIRABEL</v>
      </c>
      <c r="H53">
        <v>1707</v>
      </c>
      <c r="I53" s="6">
        <f>VLOOKUP(G53,[3]Astroflores!$G$2:$H$110,2,FALSE)</f>
        <v>3040</v>
      </c>
      <c r="J53" s="6">
        <f>+(I53-H53)/I53</f>
        <v>0.43848684210526317</v>
      </c>
    </row>
    <row r="54" spans="1:10">
      <c r="A54">
        <v>2026</v>
      </c>
      <c r="B54">
        <v>29</v>
      </c>
      <c r="C54" t="s">
        <v>10</v>
      </c>
      <c r="D54" t="s">
        <v>8</v>
      </c>
      <c r="E54" s="2" t="s">
        <v>90</v>
      </c>
      <c r="F54" t="s">
        <v>29</v>
      </c>
      <c r="G54" t="str">
        <f>+B54&amp;E54&amp;F54</f>
        <v>29030MIRABEL</v>
      </c>
      <c r="H54">
        <v>2797</v>
      </c>
      <c r="I54" s="6">
        <f>VLOOKUP(G54,[4]Estimado_modelo!$G$2:$I$421,3,FALSE)</f>
        <v>4980</v>
      </c>
      <c r="J54" s="6">
        <f>+(I54-H54)/I54</f>
        <v>0.4383534136546185</v>
      </c>
    </row>
    <row r="55" spans="1:10">
      <c r="A55">
        <v>2026</v>
      </c>
      <c r="B55">
        <v>28</v>
      </c>
      <c r="C55" t="s">
        <v>7</v>
      </c>
      <c r="D55" t="s">
        <v>8</v>
      </c>
      <c r="E55" s="2" t="s">
        <v>106</v>
      </c>
      <c r="F55" t="s">
        <v>71</v>
      </c>
      <c r="G55" t="str">
        <f>+B55&amp;E55&amp;F55</f>
        <v>28027TIFFANY</v>
      </c>
      <c r="H55">
        <v>3054</v>
      </c>
      <c r="I55" s="6">
        <f>VLOOKUP(G55,[3]Astroflores!$G$2:$H$110,2,FALSE)</f>
        <v>5430</v>
      </c>
      <c r="J55" s="6">
        <f>+(I55-H55)/I55</f>
        <v>0.43756906077348068</v>
      </c>
    </row>
    <row r="56" spans="1:10">
      <c r="A56">
        <v>2026</v>
      </c>
      <c r="B56">
        <v>28</v>
      </c>
      <c r="C56" t="s">
        <v>10</v>
      </c>
      <c r="D56" t="s">
        <v>8</v>
      </c>
      <c r="E56" s="2" t="s">
        <v>93</v>
      </c>
      <c r="F56" t="s">
        <v>14</v>
      </c>
      <c r="G56" t="str">
        <f>+B56&amp;E56&amp;F56</f>
        <v>28033HOT BUBBLES</v>
      </c>
      <c r="H56">
        <v>3071</v>
      </c>
      <c r="I56" s="6">
        <f>VLOOKUP(G56,[3]Astroflores!$G$2:$H$110,2,FALSE)</f>
        <v>5440</v>
      </c>
      <c r="J56" s="6">
        <f>+(I56-H56)/I56</f>
        <v>0.4354779411764706</v>
      </c>
    </row>
    <row r="57" spans="1:10">
      <c r="A57">
        <v>2026</v>
      </c>
      <c r="B57">
        <v>29</v>
      </c>
      <c r="C57" t="s">
        <v>10</v>
      </c>
      <c r="D57" t="s">
        <v>8</v>
      </c>
      <c r="E57" s="2" t="s">
        <v>82</v>
      </c>
      <c r="F57" t="s">
        <v>18</v>
      </c>
      <c r="G57" t="str">
        <f>+B57&amp;E57&amp;F57</f>
        <v>29015FELLINI</v>
      </c>
      <c r="H57">
        <v>4345</v>
      </c>
      <c r="I57" s="6">
        <f>VLOOKUP(G57,[4]Estimado_modelo!$G$2:$I$421,3,FALSE)</f>
        <v>7680</v>
      </c>
      <c r="J57" s="6">
        <f>+(I57-H57)/I57</f>
        <v>0.43424479166666669</v>
      </c>
    </row>
    <row r="58" spans="1:10">
      <c r="A58">
        <v>2026</v>
      </c>
      <c r="B58">
        <v>28</v>
      </c>
      <c r="C58" t="s">
        <v>7</v>
      </c>
      <c r="D58" t="s">
        <v>8</v>
      </c>
      <c r="E58" s="2" t="s">
        <v>81</v>
      </c>
      <c r="F58" t="s">
        <v>57</v>
      </c>
      <c r="G58" t="str">
        <f>+B58&amp;E58&amp;F58</f>
        <v>28014STARDUST</v>
      </c>
      <c r="H58">
        <v>5170</v>
      </c>
      <c r="I58" s="6">
        <f>VLOOKUP(G58,[3]Astroflores!$G$2:$H$110,2,FALSE)</f>
        <v>9075</v>
      </c>
      <c r="J58" s="6">
        <f>+(I58-H58)/I58</f>
        <v>0.4303030303030303</v>
      </c>
    </row>
    <row r="59" spans="1:10">
      <c r="A59">
        <v>2026</v>
      </c>
      <c r="B59">
        <v>27</v>
      </c>
      <c r="C59" t="s">
        <v>7</v>
      </c>
      <c r="D59" t="s">
        <v>8</v>
      </c>
      <c r="E59" s="2" t="s">
        <v>79</v>
      </c>
      <c r="F59" t="s">
        <v>50</v>
      </c>
      <c r="G59" t="str">
        <f>+B59&amp;E59&amp;F59</f>
        <v>27007REDIANT</v>
      </c>
      <c r="H59">
        <v>1095</v>
      </c>
      <c r="I59" s="6">
        <f>VLOOKUP(G59,[2]Hoja1!$G$8515:$H$8621,2,FALSE)</f>
        <v>1920</v>
      </c>
      <c r="J59" s="6">
        <f>+(I59-H59)/I59</f>
        <v>0.4296875</v>
      </c>
    </row>
    <row r="60" spans="1:10">
      <c r="A60">
        <v>2026</v>
      </c>
      <c r="B60">
        <v>29</v>
      </c>
      <c r="C60" t="s">
        <v>7</v>
      </c>
      <c r="D60" t="s">
        <v>8</v>
      </c>
      <c r="E60" s="2" t="s">
        <v>96</v>
      </c>
      <c r="F60" t="s">
        <v>49</v>
      </c>
      <c r="G60" t="str">
        <f>+B60&amp;E60&amp;F60</f>
        <v>29006MONDIAL</v>
      </c>
      <c r="H60">
        <v>5440</v>
      </c>
      <c r="I60" s="6">
        <f>VLOOKUP(G60,[4]Estimado_modelo!$G$2:$I$421,3,FALSE)</f>
        <v>9500</v>
      </c>
      <c r="J60" s="6">
        <f>+(I60-H60)/I60</f>
        <v>0.42736842105263156</v>
      </c>
    </row>
    <row r="61" spans="1:10">
      <c r="A61">
        <v>2026</v>
      </c>
      <c r="B61">
        <v>28</v>
      </c>
      <c r="C61" t="s">
        <v>7</v>
      </c>
      <c r="D61" t="s">
        <v>8</v>
      </c>
      <c r="E61" s="2" t="s">
        <v>98</v>
      </c>
      <c r="F61" t="s">
        <v>52</v>
      </c>
      <c r="G61" t="str">
        <f>+B61&amp;E61&amp;F61</f>
        <v>28010COOLDOWN</v>
      </c>
      <c r="H61">
        <v>2141</v>
      </c>
      <c r="I61" s="6">
        <f>VLOOKUP(G61,[3]Astroflores!$G$2:$H$110,2,FALSE)</f>
        <v>3725</v>
      </c>
      <c r="J61" s="6">
        <f>+(I61-H61)/I61</f>
        <v>0.42523489932885905</v>
      </c>
    </row>
    <row r="62" spans="1:10">
      <c r="A62">
        <v>2026</v>
      </c>
      <c r="B62">
        <v>28</v>
      </c>
      <c r="C62" t="s">
        <v>7</v>
      </c>
      <c r="D62" t="s">
        <v>8</v>
      </c>
      <c r="E62" s="2" t="s">
        <v>99</v>
      </c>
      <c r="F62" t="s">
        <v>56</v>
      </c>
      <c r="G62" t="str">
        <f>+B62&amp;E62&amp;F62</f>
        <v>28011CAYENNE</v>
      </c>
      <c r="H62">
        <v>1276</v>
      </c>
      <c r="I62" s="6">
        <f>VLOOKUP(G62,[3]Astroflores!$G$2:$H$110,2,FALSE)</f>
        <v>2220</v>
      </c>
      <c r="J62" s="6">
        <f>+(I62-H62)/I62</f>
        <v>0.42522522522522521</v>
      </c>
    </row>
    <row r="63" spans="1:10">
      <c r="A63">
        <v>2026</v>
      </c>
      <c r="B63">
        <v>27</v>
      </c>
      <c r="C63" t="s">
        <v>7</v>
      </c>
      <c r="D63" t="s">
        <v>8</v>
      </c>
      <c r="E63" s="2" t="s">
        <v>94</v>
      </c>
      <c r="F63" t="s">
        <v>9</v>
      </c>
      <c r="G63" t="str">
        <f>+B63&amp;E63&amp;F63</f>
        <v>27001LUMIA</v>
      </c>
      <c r="H63">
        <v>1173</v>
      </c>
      <c r="I63" s="6">
        <f>VLOOKUP(G63,[2]Hoja1!$G$8515:$H$8621,2,FALSE)</f>
        <v>2040</v>
      </c>
      <c r="J63" s="6">
        <f>+(I63-H63)/I63</f>
        <v>0.42499999999999999</v>
      </c>
    </row>
    <row r="64" spans="1:10">
      <c r="A64">
        <v>2026</v>
      </c>
      <c r="B64">
        <v>29</v>
      </c>
      <c r="C64" t="s">
        <v>7</v>
      </c>
      <c r="D64" t="s">
        <v>8</v>
      </c>
      <c r="E64" s="2" t="s">
        <v>94</v>
      </c>
      <c r="F64" t="s">
        <v>9</v>
      </c>
      <c r="G64" t="str">
        <f>+B64&amp;E64&amp;F64</f>
        <v>29001LUMIA</v>
      </c>
      <c r="H64">
        <v>1908</v>
      </c>
      <c r="I64" s="6">
        <f>VLOOKUP(G64,[4]Estimado_modelo!$G$2:$I$421,3,FALSE)</f>
        <v>3300</v>
      </c>
      <c r="J64" s="6">
        <f>+(I64-H64)/I64</f>
        <v>0.42181818181818181</v>
      </c>
    </row>
    <row r="65" spans="1:10">
      <c r="A65">
        <v>2026</v>
      </c>
      <c r="B65">
        <v>29</v>
      </c>
      <c r="C65" t="s">
        <v>7</v>
      </c>
      <c r="D65" t="s">
        <v>8</v>
      </c>
      <c r="E65" s="2" t="s">
        <v>94</v>
      </c>
      <c r="F65" t="s">
        <v>37</v>
      </c>
      <c r="G65" t="str">
        <f>+B65&amp;E65&amp;F65</f>
        <v>29001MOMENTUM</v>
      </c>
      <c r="H65">
        <v>3056</v>
      </c>
      <c r="I65" s="6">
        <f>VLOOKUP(G65,[4]Estimado_modelo!$G$2:$I$421,3,FALSE)</f>
        <v>5275</v>
      </c>
      <c r="J65" s="6">
        <f>+(I65-H65)/I65</f>
        <v>0.42066350710900474</v>
      </c>
    </row>
    <row r="66" spans="1:10">
      <c r="A66">
        <v>2026</v>
      </c>
      <c r="B66">
        <v>27</v>
      </c>
      <c r="C66" t="s">
        <v>7</v>
      </c>
      <c r="D66" t="s">
        <v>8</v>
      </c>
      <c r="E66" s="2" t="s">
        <v>101</v>
      </c>
      <c r="F66" t="s">
        <v>47</v>
      </c>
      <c r="G66" t="str">
        <f>+B66&amp;E66&amp;F66</f>
        <v>27013VENDELA</v>
      </c>
      <c r="H66">
        <v>7777</v>
      </c>
      <c r="I66" s="6">
        <f>VLOOKUP(G66,[2]Hoja1!$G$8515:$H$8621,2,FALSE)</f>
        <v>13380</v>
      </c>
      <c r="J66" s="6">
        <f>+(I66-H66)/I66</f>
        <v>0.41875934230194317</v>
      </c>
    </row>
    <row r="67" spans="1:10">
      <c r="A67">
        <v>2026</v>
      </c>
      <c r="B67">
        <v>29</v>
      </c>
      <c r="C67" t="s">
        <v>7</v>
      </c>
      <c r="D67" t="s">
        <v>8</v>
      </c>
      <c r="E67" s="2" t="s">
        <v>104</v>
      </c>
      <c r="F67" t="s">
        <v>67</v>
      </c>
      <c r="G67" t="str">
        <f>+B67&amp;E67&amp;F67</f>
        <v>29025PINK MONDIAL</v>
      </c>
      <c r="H67">
        <v>4306</v>
      </c>
      <c r="I67" s="6">
        <f>VLOOKUP(G67,[4]Estimado_modelo!$G$2:$I$421,3,FALSE)</f>
        <v>7400</v>
      </c>
      <c r="J67" s="6">
        <f>+(I67-H67)/I67</f>
        <v>0.41810810810810811</v>
      </c>
    </row>
    <row r="68" spans="1:10">
      <c r="A68">
        <v>2026</v>
      </c>
      <c r="B68">
        <v>27</v>
      </c>
      <c r="C68" t="s">
        <v>10</v>
      </c>
      <c r="D68" t="s">
        <v>8</v>
      </c>
      <c r="E68" s="2" t="s">
        <v>92</v>
      </c>
      <c r="F68" t="s">
        <v>13</v>
      </c>
      <c r="G68" t="str">
        <f>+B68&amp;E68&amp;F68</f>
        <v>27032ELBA</v>
      </c>
      <c r="H68">
        <v>2800</v>
      </c>
      <c r="I68" s="6">
        <f>VLOOKUP(G68,[2]Hoja1!$G$8515:$H$8621,2,FALSE)</f>
        <v>4800</v>
      </c>
      <c r="J68" s="6">
        <f>+(I68-H68)/I68</f>
        <v>0.41666666666666669</v>
      </c>
    </row>
    <row r="69" spans="1:10">
      <c r="A69">
        <v>2026</v>
      </c>
      <c r="B69">
        <v>29</v>
      </c>
      <c r="C69" t="s">
        <v>7</v>
      </c>
      <c r="D69" t="s">
        <v>8</v>
      </c>
      <c r="E69" s="2" t="s">
        <v>103</v>
      </c>
      <c r="F69" t="s">
        <v>38</v>
      </c>
      <c r="G69" t="str">
        <f>+B69&amp;E69&amp;F69</f>
        <v>29024SWEETNESS</v>
      </c>
      <c r="H69">
        <v>1310</v>
      </c>
      <c r="I69" s="6">
        <f>VLOOKUP(G69,[4]Estimado_modelo!$G$2:$I$421,3,FALSE)</f>
        <v>2220</v>
      </c>
      <c r="J69" s="6">
        <f>+(I69-H69)/I69</f>
        <v>0.40990990990990989</v>
      </c>
    </row>
    <row r="70" spans="1:10">
      <c r="A70">
        <v>2026</v>
      </c>
      <c r="B70">
        <v>27</v>
      </c>
      <c r="C70" t="s">
        <v>10</v>
      </c>
      <c r="D70" t="s">
        <v>8</v>
      </c>
      <c r="E70" s="2" t="s">
        <v>83</v>
      </c>
      <c r="F70" t="s">
        <v>20</v>
      </c>
      <c r="G70" t="str">
        <f>+B70&amp;E70&amp;F70</f>
        <v>27016GOOD YELLOW</v>
      </c>
      <c r="H70">
        <v>2944</v>
      </c>
      <c r="I70" s="6">
        <f>VLOOKUP(G70,[2]Hoja1!$G$8515:$H$8621,2,FALSE)</f>
        <v>4980</v>
      </c>
      <c r="J70" s="6">
        <f>+(I70-H70)/I70</f>
        <v>0.40883534136546185</v>
      </c>
    </row>
    <row r="71" spans="1:10">
      <c r="A71">
        <v>2026</v>
      </c>
      <c r="B71">
        <v>27</v>
      </c>
      <c r="C71" t="s">
        <v>7</v>
      </c>
      <c r="D71" t="s">
        <v>8</v>
      </c>
      <c r="E71" s="2" t="s">
        <v>99</v>
      </c>
      <c r="F71" t="s">
        <v>55</v>
      </c>
      <c r="G71" t="str">
        <f>+B71&amp;E71&amp;F71</f>
        <v>27011CANDLELIGHT</v>
      </c>
      <c r="H71">
        <v>4246</v>
      </c>
      <c r="I71" s="6">
        <f>VLOOKUP(G71,[2]Hoja1!$G$8515:$H$8621,2,FALSE)</f>
        <v>7180</v>
      </c>
      <c r="J71" s="6">
        <f>+(I71-H71)/I71</f>
        <v>0.40863509749303623</v>
      </c>
    </row>
    <row r="72" spans="1:10">
      <c r="A72">
        <v>2026</v>
      </c>
      <c r="B72">
        <v>27</v>
      </c>
      <c r="C72" t="s">
        <v>7</v>
      </c>
      <c r="D72" t="s">
        <v>8</v>
      </c>
      <c r="E72" s="2" t="s">
        <v>101</v>
      </c>
      <c r="F72" t="s">
        <v>9</v>
      </c>
      <c r="G72" t="str">
        <f>+B72&amp;E72&amp;F72</f>
        <v>27013LUMIA</v>
      </c>
      <c r="H72">
        <v>537</v>
      </c>
      <c r="I72" s="6">
        <f>VLOOKUP(G72,[2]Hoja1!$G$8515:$H$8621,2,FALSE)</f>
        <v>900</v>
      </c>
      <c r="J72" s="6">
        <f>+(I72-H72)/I72</f>
        <v>0.40333333333333332</v>
      </c>
    </row>
    <row r="73" spans="1:10">
      <c r="A73">
        <v>2026</v>
      </c>
      <c r="B73">
        <v>28</v>
      </c>
      <c r="C73" t="s">
        <v>7</v>
      </c>
      <c r="D73" t="s">
        <v>8</v>
      </c>
      <c r="E73" s="2" t="s">
        <v>85</v>
      </c>
      <c r="F73" t="s">
        <v>54</v>
      </c>
      <c r="G73" t="str">
        <f>+B73&amp;E73&amp;F73</f>
        <v>28018BRIGHTON</v>
      </c>
      <c r="H73">
        <v>1904</v>
      </c>
      <c r="I73" s="6">
        <f>VLOOKUP(G73,[3]Astroflores!$G$2:$H$110,2,FALSE)</f>
        <v>3175</v>
      </c>
      <c r="J73" s="6">
        <f>+(I73-H73)/I73</f>
        <v>0.40031496062992128</v>
      </c>
    </row>
    <row r="74" spans="1:10">
      <c r="A74">
        <v>2026</v>
      </c>
      <c r="B74">
        <v>27</v>
      </c>
      <c r="C74" t="s">
        <v>7</v>
      </c>
      <c r="D74" t="s">
        <v>8</v>
      </c>
      <c r="E74" s="2" t="s">
        <v>99</v>
      </c>
      <c r="F74" t="s">
        <v>57</v>
      </c>
      <c r="G74" t="str">
        <f>+B74&amp;E74&amp;F74</f>
        <v>27011STARDUST</v>
      </c>
      <c r="H74">
        <v>2280</v>
      </c>
      <c r="I74" s="6">
        <f>VLOOKUP(G74,[2]Hoja1!$G$8515:$H$8621,2,FALSE)</f>
        <v>3800</v>
      </c>
      <c r="J74" s="6">
        <f>+(I74-H74)/I74</f>
        <v>0.4</v>
      </c>
    </row>
    <row r="75" spans="1:10">
      <c r="A75">
        <v>2026</v>
      </c>
      <c r="B75">
        <v>27</v>
      </c>
      <c r="C75" t="s">
        <v>7</v>
      </c>
      <c r="D75" t="s">
        <v>8</v>
      </c>
      <c r="E75" s="2" t="s">
        <v>102</v>
      </c>
      <c r="F75" t="s">
        <v>66</v>
      </c>
      <c r="G75" t="str">
        <f>+B75&amp;E75&amp;F75</f>
        <v>27023FRUTTETO</v>
      </c>
      <c r="H75">
        <v>5104</v>
      </c>
      <c r="I75" s="6">
        <f>VLOOKUP(G75,[2]Hoja1!$G$8515:$H$8621,2,FALSE)</f>
        <v>8490</v>
      </c>
      <c r="J75" s="6">
        <f>+(I75-H75)/I75</f>
        <v>0.3988221436984688</v>
      </c>
    </row>
    <row r="76" spans="1:10">
      <c r="A76">
        <v>2026</v>
      </c>
      <c r="B76">
        <v>27</v>
      </c>
      <c r="C76" t="s">
        <v>7</v>
      </c>
      <c r="D76" t="s">
        <v>8</v>
      </c>
      <c r="E76" s="2" t="s">
        <v>95</v>
      </c>
      <c r="F76" t="s">
        <v>40</v>
      </c>
      <c r="G76" t="str">
        <f>+B76&amp;E76&amp;F76</f>
        <v>27003DEEP PURPLE</v>
      </c>
      <c r="H76">
        <v>8630</v>
      </c>
      <c r="I76" s="6">
        <f>VLOOKUP(G76,[2]Hoja1!$G$8515:$H$8621,2,FALSE)</f>
        <v>14310</v>
      </c>
      <c r="J76" s="6">
        <f>+(I76-H76)/I76</f>
        <v>0.39692522711390638</v>
      </c>
    </row>
    <row r="77" spans="1:10">
      <c r="A77">
        <v>2026</v>
      </c>
      <c r="B77">
        <v>28</v>
      </c>
      <c r="C77" t="s">
        <v>7</v>
      </c>
      <c r="D77" t="s">
        <v>8</v>
      </c>
      <c r="E77" s="2" t="s">
        <v>100</v>
      </c>
      <c r="F77" t="s">
        <v>36</v>
      </c>
      <c r="G77" t="str">
        <f>+B77&amp;E77&amp;F77</f>
        <v>28012LIGHT HOUSE</v>
      </c>
      <c r="H77">
        <v>1492</v>
      </c>
      <c r="I77" s="6">
        <f>VLOOKUP(G77,[3]Astroflores!$G$2:$H$110,2,FALSE)</f>
        <v>2460</v>
      </c>
      <c r="J77" s="6">
        <f>+(I77-H77)/I77</f>
        <v>0.39349593495934959</v>
      </c>
    </row>
    <row r="78" spans="1:10">
      <c r="A78">
        <v>2026</v>
      </c>
      <c r="B78">
        <v>28</v>
      </c>
      <c r="C78" t="s">
        <v>7</v>
      </c>
      <c r="D78" t="s">
        <v>8</v>
      </c>
      <c r="E78" s="2" t="s">
        <v>104</v>
      </c>
      <c r="F78" t="s">
        <v>67</v>
      </c>
      <c r="G78" t="str">
        <f>+B78&amp;E78&amp;F78</f>
        <v>28025PINK MONDIAL</v>
      </c>
      <c r="H78">
        <v>4392</v>
      </c>
      <c r="I78" s="6">
        <f>VLOOKUP(G78,[3]Astroflores!$G$2:$H$110,2,FALSE)</f>
        <v>7125</v>
      </c>
      <c r="J78" s="6">
        <f>+(I78-H78)/I78</f>
        <v>0.38357894736842107</v>
      </c>
    </row>
    <row r="79" spans="1:10">
      <c r="A79">
        <v>2026</v>
      </c>
      <c r="B79">
        <v>28</v>
      </c>
      <c r="C79" t="s">
        <v>7</v>
      </c>
      <c r="D79" t="s">
        <v>8</v>
      </c>
      <c r="E79" s="2" t="s">
        <v>77</v>
      </c>
      <c r="F79" t="s">
        <v>43</v>
      </c>
      <c r="G79" t="str">
        <f>+B79&amp;E79&amp;F79</f>
        <v>28004COTOPAXI</v>
      </c>
      <c r="H79">
        <v>889</v>
      </c>
      <c r="I79" s="6">
        <f>VLOOKUP(G79,[3]Astroflores!$G$2:$H$110,2,FALSE)</f>
        <v>1440</v>
      </c>
      <c r="J79" s="6">
        <f>+(I79-H79)/I79</f>
        <v>0.38263888888888886</v>
      </c>
    </row>
    <row r="80" spans="1:10">
      <c r="A80">
        <v>2026</v>
      </c>
      <c r="B80">
        <v>28</v>
      </c>
      <c r="C80" t="s">
        <v>7</v>
      </c>
      <c r="D80" t="s">
        <v>8</v>
      </c>
      <c r="E80" s="2" t="s">
        <v>102</v>
      </c>
      <c r="F80" t="s">
        <v>66</v>
      </c>
      <c r="G80" t="str">
        <f>+B80&amp;E80&amp;F80</f>
        <v>28023FRUTTETO</v>
      </c>
      <c r="H80">
        <v>4946</v>
      </c>
      <c r="I80" s="6">
        <f>VLOOKUP(G80,[3]Astroflores!$G$2:$H$110,2,FALSE)</f>
        <v>7980</v>
      </c>
      <c r="J80" s="6">
        <f>+(I80-H80)/I80</f>
        <v>0.38020050125313282</v>
      </c>
    </row>
    <row r="81" spans="1:10">
      <c r="A81">
        <v>2026</v>
      </c>
      <c r="B81">
        <v>27</v>
      </c>
      <c r="C81" t="s">
        <v>7</v>
      </c>
      <c r="D81" t="s">
        <v>8</v>
      </c>
      <c r="E81" s="2" t="s">
        <v>99</v>
      </c>
      <c r="F81" t="s">
        <v>56</v>
      </c>
      <c r="G81" t="str">
        <f>+B81&amp;E81&amp;F81</f>
        <v>27011CAYENNE</v>
      </c>
      <c r="H81">
        <v>1023</v>
      </c>
      <c r="I81" s="6">
        <f>VLOOKUP(G81,[2]Hoja1!$G$8515:$H$8621,2,FALSE)</f>
        <v>1650</v>
      </c>
      <c r="J81" s="6">
        <f>+(I81-H81)/I81</f>
        <v>0.38</v>
      </c>
    </row>
    <row r="82" spans="1:10">
      <c r="A82">
        <v>2026</v>
      </c>
      <c r="B82">
        <v>29</v>
      </c>
      <c r="C82" t="s">
        <v>7</v>
      </c>
      <c r="D82" t="s">
        <v>8</v>
      </c>
      <c r="E82" s="2" t="s">
        <v>99</v>
      </c>
      <c r="F82" t="s">
        <v>9</v>
      </c>
      <c r="G82" t="str">
        <f>+B82&amp;E82&amp;F82</f>
        <v>29011LUMIA</v>
      </c>
      <c r="H82">
        <v>1638</v>
      </c>
      <c r="I82" s="6">
        <f>VLOOKUP(G82,[4]Estimado_modelo!$G$2:$I$421,3,FALSE)</f>
        <v>2640</v>
      </c>
      <c r="J82" s="6">
        <f>+(I82-H82)/I82</f>
        <v>0.37954545454545452</v>
      </c>
    </row>
    <row r="83" spans="1:10">
      <c r="A83">
        <v>2026</v>
      </c>
      <c r="B83">
        <v>28</v>
      </c>
      <c r="C83" t="s">
        <v>7</v>
      </c>
      <c r="D83" t="s">
        <v>8</v>
      </c>
      <c r="E83" s="2" t="s">
        <v>100</v>
      </c>
      <c r="F83" t="s">
        <v>40</v>
      </c>
      <c r="G83" t="str">
        <f>+B83&amp;E83&amp;F83</f>
        <v>28012DEEP PURPLE</v>
      </c>
      <c r="H83">
        <v>15352</v>
      </c>
      <c r="I83" s="6">
        <f>VLOOKUP(G83,[3]Astroflores!$G$2:$H$110,2,FALSE)</f>
        <v>24420</v>
      </c>
      <c r="J83" s="6">
        <f>+(I83-H83)/I83</f>
        <v>0.37133497133497134</v>
      </c>
    </row>
    <row r="84" spans="1:10">
      <c r="A84">
        <v>2026</v>
      </c>
      <c r="B84">
        <v>28</v>
      </c>
      <c r="C84" t="s">
        <v>7</v>
      </c>
      <c r="D84" t="s">
        <v>8</v>
      </c>
      <c r="E84" s="2" t="s">
        <v>95</v>
      </c>
      <c r="F84" t="s">
        <v>39</v>
      </c>
      <c r="G84" t="str">
        <f>+B84&amp;E84&amp;F84</f>
        <v>28003CABARET</v>
      </c>
      <c r="H84">
        <v>6467</v>
      </c>
      <c r="I84" s="6">
        <f>VLOOKUP(G84,[3]Astroflores!$G$2:$H$110,2,FALSE)</f>
        <v>10230</v>
      </c>
      <c r="J84" s="6">
        <f>+(I84-H84)/I84</f>
        <v>0.36783968719452592</v>
      </c>
    </row>
    <row r="85" spans="1:10">
      <c r="A85">
        <v>2026</v>
      </c>
      <c r="B85">
        <v>29</v>
      </c>
      <c r="C85" t="s">
        <v>10</v>
      </c>
      <c r="D85" t="s">
        <v>8</v>
      </c>
      <c r="E85" s="2" t="s">
        <v>83</v>
      </c>
      <c r="F85" t="s">
        <v>20</v>
      </c>
      <c r="G85" t="str">
        <f>+B85&amp;E85&amp;F85</f>
        <v>29016GOOD YELLOW</v>
      </c>
      <c r="H85">
        <v>2983</v>
      </c>
      <c r="I85" s="6">
        <f>VLOOKUP(G85,[4]Estimado_modelo!$G$2:$I$421,3,FALSE)</f>
        <v>4680</v>
      </c>
      <c r="J85" s="6">
        <f>+(I85-H85)/I85</f>
        <v>0.3626068376068376</v>
      </c>
    </row>
    <row r="86" spans="1:10">
      <c r="A86">
        <v>2026</v>
      </c>
      <c r="B86">
        <v>29</v>
      </c>
      <c r="C86" t="s">
        <v>7</v>
      </c>
      <c r="D86" t="s">
        <v>8</v>
      </c>
      <c r="E86" s="2" t="s">
        <v>76</v>
      </c>
      <c r="F86" t="s">
        <v>38</v>
      </c>
      <c r="G86" t="str">
        <f>+B86&amp;E86&amp;F86</f>
        <v>29002SWEETNESS</v>
      </c>
      <c r="H86">
        <v>4426</v>
      </c>
      <c r="I86" s="6">
        <f>VLOOKUP(G86,[4]Estimado_modelo!$G$2:$I$421,3,FALSE)</f>
        <v>6870</v>
      </c>
      <c r="J86" s="6">
        <f>+(I86-H86)/I86</f>
        <v>0.35574963609898108</v>
      </c>
    </row>
    <row r="87" spans="1:10">
      <c r="A87">
        <v>2026</v>
      </c>
      <c r="B87">
        <v>29</v>
      </c>
      <c r="C87" t="s">
        <v>10</v>
      </c>
      <c r="D87" t="s">
        <v>8</v>
      </c>
      <c r="E87" s="2" t="s">
        <v>92</v>
      </c>
      <c r="F87" t="s">
        <v>13</v>
      </c>
      <c r="G87" t="str">
        <f>+B87&amp;E87&amp;F87</f>
        <v>29032ELBA</v>
      </c>
      <c r="H87">
        <v>1995</v>
      </c>
      <c r="I87" s="6">
        <f>VLOOKUP(G87,[4]Estimado_modelo!$G$2:$I$421,3,FALSE)</f>
        <v>3090</v>
      </c>
      <c r="J87" s="6">
        <f>+(I87-H87)/I87</f>
        <v>0.35436893203883496</v>
      </c>
    </row>
    <row r="88" spans="1:10">
      <c r="A88">
        <v>2026</v>
      </c>
      <c r="B88">
        <v>28</v>
      </c>
      <c r="C88" t="s">
        <v>10</v>
      </c>
      <c r="D88" t="s">
        <v>8</v>
      </c>
      <c r="E88" s="2" t="s">
        <v>83</v>
      </c>
      <c r="F88" t="s">
        <v>20</v>
      </c>
      <c r="G88" t="str">
        <f>+B88&amp;E88&amp;F88</f>
        <v>28016GOOD YELLOW</v>
      </c>
      <c r="H88">
        <v>2887</v>
      </c>
      <c r="I88" s="6">
        <f>VLOOKUP(G88,[3]Astroflores!$G$2:$H$110,2,FALSE)</f>
        <v>4470</v>
      </c>
      <c r="J88" s="6">
        <f>+(I88-H88)/I88</f>
        <v>0.35413870246085011</v>
      </c>
    </row>
    <row r="89" spans="1:10">
      <c r="A89">
        <v>2026</v>
      </c>
      <c r="B89">
        <v>28</v>
      </c>
      <c r="C89" t="s">
        <v>7</v>
      </c>
      <c r="D89" t="s">
        <v>8</v>
      </c>
      <c r="E89" s="2" t="s">
        <v>103</v>
      </c>
      <c r="F89" t="s">
        <v>38</v>
      </c>
      <c r="G89" t="str">
        <f>+B89&amp;E89&amp;F89</f>
        <v>28024SWEETNESS</v>
      </c>
      <c r="H89">
        <v>1615</v>
      </c>
      <c r="I89" s="6">
        <f>VLOOKUP(G89,[3]Astroflores!$G$2:$H$110,2,FALSE)</f>
        <v>2490</v>
      </c>
      <c r="J89" s="6">
        <f>+(I89-H89)/I89</f>
        <v>0.35140562248995982</v>
      </c>
    </row>
    <row r="90" spans="1:10">
      <c r="A90">
        <v>2026</v>
      </c>
      <c r="B90">
        <v>29</v>
      </c>
      <c r="C90" t="s">
        <v>7</v>
      </c>
      <c r="D90" t="s">
        <v>8</v>
      </c>
      <c r="E90" s="2" t="s">
        <v>97</v>
      </c>
      <c r="F90" t="s">
        <v>41</v>
      </c>
      <c r="G90" t="str">
        <f>+B90&amp;E90&amp;F90</f>
        <v>29008JOCKER</v>
      </c>
      <c r="H90">
        <v>3776</v>
      </c>
      <c r="I90" s="6">
        <f>VLOOKUP(G90,[4]Estimado_modelo!$G$2:$I$421,3,FALSE)</f>
        <v>5750</v>
      </c>
      <c r="J90" s="6">
        <f>+(I90-H90)/I90</f>
        <v>0.34330434782608693</v>
      </c>
    </row>
    <row r="91" spans="1:10">
      <c r="A91">
        <v>2026</v>
      </c>
      <c r="B91">
        <v>27</v>
      </c>
      <c r="C91" t="s">
        <v>7</v>
      </c>
      <c r="D91" t="s">
        <v>8</v>
      </c>
      <c r="E91" s="2" t="s">
        <v>86</v>
      </c>
      <c r="F91" t="s">
        <v>54</v>
      </c>
      <c r="G91" t="str">
        <f>+B91&amp;E91&amp;F91</f>
        <v>27019BRIGHTON</v>
      </c>
      <c r="H91">
        <v>5496</v>
      </c>
      <c r="I91" s="6">
        <f>VLOOKUP(G91,[2]Hoja1!$G$8515:$H$8621,2,FALSE)</f>
        <v>8350</v>
      </c>
      <c r="J91" s="6">
        <f>+(I91-H91)/I91</f>
        <v>0.34179640718562876</v>
      </c>
    </row>
    <row r="92" spans="1:10">
      <c r="A92">
        <v>2026</v>
      </c>
      <c r="B92">
        <v>29</v>
      </c>
      <c r="C92" t="s">
        <v>10</v>
      </c>
      <c r="D92" t="s">
        <v>8</v>
      </c>
      <c r="E92" s="2" t="s">
        <v>81</v>
      </c>
      <c r="F92" t="s">
        <v>17</v>
      </c>
      <c r="G92" t="str">
        <f>+B92&amp;E92&amp;F92</f>
        <v>29014FRUITY BUBBLES</v>
      </c>
      <c r="H92">
        <v>2913</v>
      </c>
      <c r="I92" s="6">
        <f>VLOOKUP(G92,[4]Estimado_modelo!$G$2:$I$421,3,FALSE)</f>
        <v>4425</v>
      </c>
      <c r="J92" s="6">
        <f>+(I92-H92)/I92</f>
        <v>0.34169491525423729</v>
      </c>
    </row>
    <row r="93" spans="1:10">
      <c r="A93">
        <v>2026</v>
      </c>
      <c r="B93">
        <v>28</v>
      </c>
      <c r="C93" t="s">
        <v>7</v>
      </c>
      <c r="D93" t="s">
        <v>8</v>
      </c>
      <c r="E93" s="2" t="s">
        <v>94</v>
      </c>
      <c r="F93" t="s">
        <v>37</v>
      </c>
      <c r="G93" t="str">
        <f>+B93&amp;E93&amp;F93</f>
        <v>28001MOMENTUM</v>
      </c>
      <c r="H93">
        <v>3074</v>
      </c>
      <c r="I93" s="6">
        <f>VLOOKUP(G93,[3]Astroflores!$G$2:$H$110,2,FALSE)</f>
        <v>4650</v>
      </c>
      <c r="J93" s="6">
        <f>+(I93-H93)/I93</f>
        <v>0.3389247311827957</v>
      </c>
    </row>
    <row r="94" spans="1:10">
      <c r="A94">
        <v>2026</v>
      </c>
      <c r="B94">
        <v>28</v>
      </c>
      <c r="C94" t="s">
        <v>7</v>
      </c>
      <c r="D94" t="s">
        <v>8</v>
      </c>
      <c r="E94" s="2" t="s">
        <v>96</v>
      </c>
      <c r="F94" t="s">
        <v>49</v>
      </c>
      <c r="G94" t="str">
        <f>+B94&amp;E94&amp;F94</f>
        <v>28006MONDIAL</v>
      </c>
      <c r="H94">
        <v>5948</v>
      </c>
      <c r="I94" s="6">
        <f>VLOOKUP(G94,[3]Astroflores!$G$2:$H$110,2,FALSE)</f>
        <v>8975</v>
      </c>
      <c r="J94" s="6">
        <f>+(I94-H94)/I94</f>
        <v>0.33727019498607241</v>
      </c>
    </row>
    <row r="95" spans="1:10">
      <c r="A95">
        <v>2026</v>
      </c>
      <c r="B95">
        <v>29</v>
      </c>
      <c r="C95" t="s">
        <v>7</v>
      </c>
      <c r="D95" t="s">
        <v>8</v>
      </c>
      <c r="E95" s="2" t="s">
        <v>94</v>
      </c>
      <c r="F95" t="s">
        <v>36</v>
      </c>
      <c r="G95" t="str">
        <f>+B95&amp;E95&amp;F95</f>
        <v>29001LIGHT HOUSE</v>
      </c>
      <c r="H95">
        <v>1905</v>
      </c>
      <c r="I95" s="6">
        <f>VLOOKUP(G95,[4]Estimado_modelo!$G$2:$I$421,3,FALSE)</f>
        <v>2850</v>
      </c>
      <c r="J95" s="6">
        <f>+(I95-H95)/I95</f>
        <v>0.33157894736842103</v>
      </c>
    </row>
    <row r="96" spans="1:10">
      <c r="A96">
        <v>2026</v>
      </c>
      <c r="B96">
        <v>29</v>
      </c>
      <c r="C96" t="s">
        <v>10</v>
      </c>
      <c r="D96" t="s">
        <v>8</v>
      </c>
      <c r="E96" s="2" t="s">
        <v>85</v>
      </c>
      <c r="F96" t="s">
        <v>22</v>
      </c>
      <c r="G96" t="str">
        <f>+B96&amp;E96&amp;F96</f>
        <v>29018COSMO</v>
      </c>
      <c r="H96">
        <v>3528</v>
      </c>
      <c r="I96" s="6">
        <f>VLOOKUP(G96,[4]Estimado_modelo!$G$2:$I$421,3,FALSE)</f>
        <v>5275</v>
      </c>
      <c r="J96" s="6">
        <f>+(I96-H96)/I96</f>
        <v>0.33118483412322275</v>
      </c>
    </row>
    <row r="97" spans="1:10">
      <c r="A97">
        <v>2026</v>
      </c>
      <c r="B97">
        <v>27</v>
      </c>
      <c r="C97" t="s">
        <v>10</v>
      </c>
      <c r="D97" t="s">
        <v>8</v>
      </c>
      <c r="E97" s="2" t="s">
        <v>83</v>
      </c>
      <c r="F97" t="s">
        <v>19</v>
      </c>
      <c r="G97" t="str">
        <f>+B97&amp;E97&amp;F97</f>
        <v>27016GOOD PEACH</v>
      </c>
      <c r="H97">
        <v>2892</v>
      </c>
      <c r="I97" s="6">
        <f>VLOOKUP(G97,[2]Hoja1!$G$8515:$H$8621,2,FALSE)</f>
        <v>4320</v>
      </c>
      <c r="J97" s="6">
        <f>+(I97-H97)/I97</f>
        <v>0.33055555555555555</v>
      </c>
    </row>
    <row r="98" spans="1:10">
      <c r="A98">
        <v>2026</v>
      </c>
      <c r="B98">
        <v>28</v>
      </c>
      <c r="C98" t="s">
        <v>7</v>
      </c>
      <c r="D98" t="s">
        <v>8</v>
      </c>
      <c r="E98" s="2" t="s">
        <v>76</v>
      </c>
      <c r="F98" t="s">
        <v>38</v>
      </c>
      <c r="G98" t="str">
        <f>+B98&amp;E98&amp;F98</f>
        <v>28002SWEETNESS</v>
      </c>
      <c r="H98">
        <v>5725</v>
      </c>
      <c r="I98" s="6">
        <f>VLOOKUP(G98,[3]Astroflores!$G$2:$H$110,2,FALSE)</f>
        <v>8520</v>
      </c>
      <c r="J98" s="6">
        <f>+(I98-H98)/I98</f>
        <v>0.32805164319248825</v>
      </c>
    </row>
    <row r="99" spans="1:10">
      <c r="A99">
        <v>2026</v>
      </c>
      <c r="B99">
        <v>28</v>
      </c>
      <c r="C99" t="s">
        <v>7</v>
      </c>
      <c r="D99" t="s">
        <v>8</v>
      </c>
      <c r="E99" s="2" t="s">
        <v>107</v>
      </c>
      <c r="F99" t="s">
        <v>43</v>
      </c>
      <c r="G99" t="str">
        <f>+B99&amp;E99&amp;F99</f>
        <v>28028COTOPAXI</v>
      </c>
      <c r="H99">
        <v>4137</v>
      </c>
      <c r="I99" s="6">
        <f>VLOOKUP(G99,[3]Astroflores!$G$2:$H$110,2,FALSE)</f>
        <v>6150</v>
      </c>
      <c r="J99" s="6">
        <f>+(I99-H99)/I99</f>
        <v>0.32731707317073172</v>
      </c>
    </row>
    <row r="100" spans="1:10">
      <c r="A100">
        <v>2026</v>
      </c>
      <c r="B100">
        <v>28</v>
      </c>
      <c r="C100" t="s">
        <v>10</v>
      </c>
      <c r="D100" t="s">
        <v>8</v>
      </c>
      <c r="E100" s="2" t="s">
        <v>77</v>
      </c>
      <c r="F100" t="s">
        <v>12</v>
      </c>
      <c r="G100" t="str">
        <f>+B100&amp;E100&amp;F100</f>
        <v>28004BELLINA</v>
      </c>
      <c r="H100">
        <v>1428</v>
      </c>
      <c r="I100" s="6">
        <f>VLOOKUP(G100,[3]Astroflores!$G$2:$H$110,2,FALSE)</f>
        <v>2115</v>
      </c>
      <c r="J100" s="6">
        <f>+(I100-H100)/I100</f>
        <v>0.32482269503546102</v>
      </c>
    </row>
    <row r="101" spans="1:10">
      <c r="A101">
        <v>2026</v>
      </c>
      <c r="B101">
        <v>28</v>
      </c>
      <c r="C101" t="s">
        <v>7</v>
      </c>
      <c r="D101" t="s">
        <v>8</v>
      </c>
      <c r="E101" s="2" t="s">
        <v>101</v>
      </c>
      <c r="F101" t="s">
        <v>47</v>
      </c>
      <c r="G101" t="str">
        <f>+B101&amp;E101&amp;F101</f>
        <v>28013VENDELA</v>
      </c>
      <c r="H101">
        <v>8305</v>
      </c>
      <c r="I101" s="6">
        <f>VLOOKUP(G101,[3]Astroflores!$G$2:$H$110,2,FALSE)</f>
        <v>12300</v>
      </c>
      <c r="J101" s="6">
        <f>+(I101-H101)/I101</f>
        <v>0.32479674796747965</v>
      </c>
    </row>
    <row r="102" spans="1:10">
      <c r="A102">
        <v>2026</v>
      </c>
      <c r="B102">
        <v>29</v>
      </c>
      <c r="C102" t="s">
        <v>10</v>
      </c>
      <c r="D102" t="s">
        <v>8</v>
      </c>
      <c r="E102" s="2" t="s">
        <v>90</v>
      </c>
      <c r="F102" t="s">
        <v>11</v>
      </c>
      <c r="G102" t="str">
        <f>+B102&amp;E102&amp;F102</f>
        <v>29030SOMERSET</v>
      </c>
      <c r="H102">
        <v>2707</v>
      </c>
      <c r="I102" s="6">
        <f>VLOOKUP(G102,[4]Estimado_modelo!$G$2:$I$421,3,FALSE)</f>
        <v>4000</v>
      </c>
      <c r="J102" s="6">
        <f>+(I102-H102)/I102</f>
        <v>0.32324999999999998</v>
      </c>
    </row>
    <row r="103" spans="1:10">
      <c r="A103">
        <v>2026</v>
      </c>
      <c r="B103">
        <v>27</v>
      </c>
      <c r="C103" t="s">
        <v>10</v>
      </c>
      <c r="D103" t="s">
        <v>8</v>
      </c>
      <c r="E103" s="2" t="s">
        <v>80</v>
      </c>
      <c r="F103" t="s">
        <v>14</v>
      </c>
      <c r="G103" t="str">
        <f>+B103&amp;E103&amp;F103</f>
        <v>27009HOT BUBBLES</v>
      </c>
      <c r="H103">
        <v>8247</v>
      </c>
      <c r="I103" s="6">
        <f>VLOOKUP(G103,[2]Hoja1!$G$8515:$H$8621,2,FALSE)</f>
        <v>12160</v>
      </c>
      <c r="J103" s="6">
        <f>+(I103-H103)/I103</f>
        <v>0.32179276315789473</v>
      </c>
    </row>
    <row r="104" spans="1:10">
      <c r="A104">
        <v>2026</v>
      </c>
      <c r="B104">
        <v>28</v>
      </c>
      <c r="C104" t="s">
        <v>7</v>
      </c>
      <c r="D104" t="s">
        <v>8</v>
      </c>
      <c r="E104" s="2" t="s">
        <v>86</v>
      </c>
      <c r="F104" t="s">
        <v>54</v>
      </c>
      <c r="G104" t="str">
        <f>+B104&amp;E104&amp;F104</f>
        <v>28019BRIGHTON</v>
      </c>
      <c r="H104">
        <v>6768</v>
      </c>
      <c r="I104" s="6">
        <f>VLOOKUP(G104,[3]Astroflores!$G$2:$H$110,2,FALSE)</f>
        <v>9975</v>
      </c>
      <c r="J104" s="6">
        <f>+(I104-H104)/I104</f>
        <v>0.32150375939849624</v>
      </c>
    </row>
    <row r="105" spans="1:10">
      <c r="A105">
        <v>2026</v>
      </c>
      <c r="B105">
        <v>28</v>
      </c>
      <c r="C105" t="s">
        <v>10</v>
      </c>
      <c r="D105" t="s">
        <v>8</v>
      </c>
      <c r="E105" s="2" t="s">
        <v>90</v>
      </c>
      <c r="F105" t="s">
        <v>11</v>
      </c>
      <c r="G105" t="str">
        <f>+B105&amp;E105&amp;F105</f>
        <v>28030SOMERSET</v>
      </c>
      <c r="H105">
        <v>2461</v>
      </c>
      <c r="I105" s="6">
        <f>VLOOKUP(G105,[3]Astroflores!$G$2:$H$110,2,FALSE)</f>
        <v>3620</v>
      </c>
      <c r="J105" s="6">
        <f>+(I105-H105)/I105</f>
        <v>0.3201657458563536</v>
      </c>
    </row>
    <row r="106" spans="1:10">
      <c r="A106">
        <v>2026</v>
      </c>
      <c r="B106">
        <v>28</v>
      </c>
      <c r="C106" t="s">
        <v>7</v>
      </c>
      <c r="D106" t="s">
        <v>8</v>
      </c>
      <c r="E106" s="2" t="s">
        <v>87</v>
      </c>
      <c r="F106" t="s">
        <v>63</v>
      </c>
      <c r="G106" t="str">
        <f>+B106&amp;E106&amp;F106</f>
        <v>28020TYCOON</v>
      </c>
      <c r="H106">
        <v>1020</v>
      </c>
      <c r="I106" s="6">
        <f>VLOOKUP(G106,[3]Astroflores!$G$2:$H$110,2,FALSE)</f>
        <v>1500</v>
      </c>
      <c r="J106" s="6">
        <f>+(I106-H106)/I106</f>
        <v>0.32</v>
      </c>
    </row>
    <row r="107" spans="1:10">
      <c r="A107">
        <v>2026</v>
      </c>
      <c r="B107">
        <v>29</v>
      </c>
      <c r="C107" t="s">
        <v>7</v>
      </c>
      <c r="D107" t="s">
        <v>8</v>
      </c>
      <c r="E107" s="2" t="s">
        <v>103</v>
      </c>
      <c r="F107" t="s">
        <v>43</v>
      </c>
      <c r="G107" t="str">
        <f>+B107&amp;E107&amp;F107</f>
        <v>29024COTOPAXI</v>
      </c>
      <c r="H107">
        <v>3043</v>
      </c>
      <c r="I107" s="6">
        <f>VLOOKUP(G107,[4]Estimado_modelo!$G$2:$I$421,3,FALSE)</f>
        <v>4440</v>
      </c>
      <c r="J107" s="6">
        <f>+(I107-H107)/I107</f>
        <v>0.31463963963963965</v>
      </c>
    </row>
    <row r="108" spans="1:10">
      <c r="A108">
        <v>2026</v>
      </c>
      <c r="B108">
        <v>28</v>
      </c>
      <c r="C108" t="s">
        <v>7</v>
      </c>
      <c r="D108" t="s">
        <v>8</v>
      </c>
      <c r="E108" s="2" t="s">
        <v>83</v>
      </c>
      <c r="F108" t="s">
        <v>61</v>
      </c>
      <c r="G108" t="str">
        <f>+B108&amp;E108&amp;F108</f>
        <v>28016NINA</v>
      </c>
      <c r="H108">
        <v>2657</v>
      </c>
      <c r="I108" s="6">
        <f>VLOOKUP(G108,[3]Astroflores!$G$2:$H$110,2,FALSE)</f>
        <v>3875</v>
      </c>
      <c r="J108" s="6">
        <f>+(I108-H108)/I108</f>
        <v>0.31432258064516128</v>
      </c>
    </row>
    <row r="109" spans="1:10">
      <c r="A109">
        <v>2026</v>
      </c>
      <c r="B109">
        <v>29</v>
      </c>
      <c r="C109" t="s">
        <v>7</v>
      </c>
      <c r="D109" t="s">
        <v>8</v>
      </c>
      <c r="E109" s="2" t="s">
        <v>95</v>
      </c>
      <c r="F109" t="s">
        <v>41</v>
      </c>
      <c r="G109" t="str">
        <f>+B109&amp;E109&amp;F109</f>
        <v>29003JOCKER</v>
      </c>
      <c r="H109">
        <v>773</v>
      </c>
      <c r="I109" s="6">
        <f>VLOOKUP(G109,[4]Estimado_modelo!$G$2:$I$421,3,FALSE)</f>
        <v>1125</v>
      </c>
      <c r="J109" s="6">
        <f>+(I109-H109)/I109</f>
        <v>0.31288888888888888</v>
      </c>
    </row>
    <row r="110" spans="1:10">
      <c r="A110">
        <v>2026</v>
      </c>
      <c r="B110">
        <v>29</v>
      </c>
      <c r="C110" t="s">
        <v>7</v>
      </c>
      <c r="D110" t="s">
        <v>8</v>
      </c>
      <c r="E110" s="2" t="s">
        <v>78</v>
      </c>
      <c r="F110" t="s">
        <v>41</v>
      </c>
      <c r="G110" t="str">
        <f>+B110&amp;E110&amp;F110</f>
        <v>29005JOCKER</v>
      </c>
      <c r="H110">
        <v>1641</v>
      </c>
      <c r="I110" s="6">
        <f>VLOOKUP(G110,[4]Estimado_modelo!$G$2:$I$421,3,FALSE)</f>
        <v>2375</v>
      </c>
      <c r="J110" s="6">
        <f>+(I110-H110)/I110</f>
        <v>0.30905263157894736</v>
      </c>
    </row>
    <row r="111" spans="1:10">
      <c r="A111">
        <v>2026</v>
      </c>
      <c r="B111">
        <v>28</v>
      </c>
      <c r="C111" t="s">
        <v>7</v>
      </c>
      <c r="D111" t="s">
        <v>8</v>
      </c>
      <c r="E111" s="2" t="s">
        <v>87</v>
      </c>
      <c r="F111" t="s">
        <v>54</v>
      </c>
      <c r="G111" t="str">
        <f>+B111&amp;E111&amp;F111</f>
        <v>28020BRIGHTON</v>
      </c>
      <c r="H111">
        <v>4458</v>
      </c>
      <c r="I111" s="6">
        <f>VLOOKUP(G111,[3]Astroflores!$G$2:$H$110,2,FALSE)</f>
        <v>6450</v>
      </c>
      <c r="J111" s="6">
        <f>+(I111-H111)/I111</f>
        <v>0.30883720930232555</v>
      </c>
    </row>
    <row r="112" spans="1:10">
      <c r="A112">
        <v>2026</v>
      </c>
      <c r="B112">
        <v>27</v>
      </c>
      <c r="C112" t="s">
        <v>7</v>
      </c>
      <c r="D112" t="s">
        <v>8</v>
      </c>
      <c r="E112" s="2" t="s">
        <v>103</v>
      </c>
      <c r="F112" t="s">
        <v>38</v>
      </c>
      <c r="G112" t="str">
        <f>+B112&amp;E112&amp;F112</f>
        <v>27024SWEETNESS</v>
      </c>
      <c r="H112">
        <v>1349</v>
      </c>
      <c r="I112" s="6">
        <f>VLOOKUP(G112,[2]Hoja1!$G$8515:$H$8621,2,FALSE)</f>
        <v>1950</v>
      </c>
      <c r="J112" s="6">
        <f>+(I112-H112)/I112</f>
        <v>0.30820512820512819</v>
      </c>
    </row>
    <row r="113" spans="1:11">
      <c r="A113">
        <v>2026</v>
      </c>
      <c r="B113">
        <v>29</v>
      </c>
      <c r="C113" t="s">
        <v>10</v>
      </c>
      <c r="D113" t="s">
        <v>8</v>
      </c>
      <c r="E113" s="2" t="s">
        <v>83</v>
      </c>
      <c r="F113" t="s">
        <v>19</v>
      </c>
      <c r="G113" t="str">
        <f>+B113&amp;E113&amp;F113</f>
        <v>29016GOOD PEACH</v>
      </c>
      <c r="H113">
        <v>2338</v>
      </c>
      <c r="I113" s="6">
        <f>VLOOKUP(G113,[4]Estimado_modelo!$G$2:$I$421,3,FALSE)</f>
        <v>3360</v>
      </c>
      <c r="J113" s="6">
        <f>+(I113-H113)/I113</f>
        <v>0.30416666666666664</v>
      </c>
    </row>
    <row r="114" spans="1:11">
      <c r="A114">
        <v>2026</v>
      </c>
      <c r="B114">
        <v>27</v>
      </c>
      <c r="C114" t="s">
        <v>7</v>
      </c>
      <c r="D114" t="s">
        <v>8</v>
      </c>
      <c r="E114" s="2" t="s">
        <v>87</v>
      </c>
      <c r="F114" t="s">
        <v>63</v>
      </c>
      <c r="G114" t="str">
        <f>+B114&amp;E114&amp;F114</f>
        <v>27020TYCOON</v>
      </c>
      <c r="H114">
        <v>961</v>
      </c>
      <c r="I114" s="6">
        <f>VLOOKUP(G114,[2]Hoja1!$G$8515:$H$8621,2,FALSE)</f>
        <v>1380</v>
      </c>
      <c r="J114" s="6">
        <f>+(I114-H114)/I114</f>
        <v>0.30362318840579711</v>
      </c>
    </row>
    <row r="115" spans="1:11">
      <c r="A115">
        <v>2026</v>
      </c>
      <c r="B115">
        <v>28</v>
      </c>
      <c r="C115" t="s">
        <v>7</v>
      </c>
      <c r="D115" t="s">
        <v>8</v>
      </c>
      <c r="E115" s="2" t="s">
        <v>79</v>
      </c>
      <c r="F115" t="s">
        <v>50</v>
      </c>
      <c r="G115" t="str">
        <f>+B115&amp;E115&amp;F115</f>
        <v>28007REDIANT</v>
      </c>
      <c r="H115">
        <v>1192</v>
      </c>
      <c r="I115" s="6">
        <f>VLOOKUP(G115,[3]Astroflores!$G$2:$H$110,2,FALSE)</f>
        <v>1710</v>
      </c>
      <c r="J115" s="6">
        <f>+(I115-H115)/I115</f>
        <v>0.30292397660818715</v>
      </c>
    </row>
    <row r="116" spans="1:11">
      <c r="A116">
        <v>2026</v>
      </c>
      <c r="B116">
        <v>28</v>
      </c>
      <c r="C116" t="s">
        <v>7</v>
      </c>
      <c r="D116" t="s">
        <v>8</v>
      </c>
      <c r="E116" s="2" t="s">
        <v>101</v>
      </c>
      <c r="F116" t="s">
        <v>59</v>
      </c>
      <c r="G116" t="str">
        <f>+B116&amp;E116&amp;F116</f>
        <v>28013LORRAINE</v>
      </c>
      <c r="H116">
        <v>3216</v>
      </c>
      <c r="I116" s="6">
        <f>VLOOKUP(G116,[3]Astroflores!$G$2:$H$110,2,FALSE)</f>
        <v>4600</v>
      </c>
      <c r="J116" s="6">
        <f>+(I116-H116)/I116</f>
        <v>0.30086956521739128</v>
      </c>
    </row>
    <row r="117" spans="1:11">
      <c r="A117">
        <v>2026</v>
      </c>
      <c r="B117">
        <v>29</v>
      </c>
      <c r="C117" t="s">
        <v>7</v>
      </c>
      <c r="D117" t="s">
        <v>8</v>
      </c>
      <c r="E117" s="2" t="s">
        <v>94</v>
      </c>
      <c r="F117" t="s">
        <v>35</v>
      </c>
      <c r="G117" t="str">
        <f>+B117&amp;E117&amp;F117</f>
        <v>29001GRACE KELLY</v>
      </c>
      <c r="H117">
        <v>1700</v>
      </c>
      <c r="I117" s="6">
        <f>VLOOKUP(G117,[4]Estimado_modelo!$G$2:$I$421,3,FALSE)</f>
        <v>2430</v>
      </c>
      <c r="J117" s="6">
        <f>+(I117-H117)/I117</f>
        <v>0.30041152263374488</v>
      </c>
    </row>
    <row r="118" spans="1:11">
      <c r="A118">
        <v>2026</v>
      </c>
      <c r="B118">
        <v>28</v>
      </c>
      <c r="C118" t="s">
        <v>7</v>
      </c>
      <c r="D118" t="s">
        <v>8</v>
      </c>
      <c r="E118" s="2" t="s">
        <v>99</v>
      </c>
      <c r="F118" t="s">
        <v>9</v>
      </c>
      <c r="G118" t="str">
        <f>+B118&amp;E118&amp;F118</f>
        <v>28011LUMIA</v>
      </c>
      <c r="H118">
        <v>1334</v>
      </c>
      <c r="I118" s="6">
        <f>VLOOKUP(G118,[3]Astroflores!$G$2:$H$110,2,FALSE)</f>
        <v>1890</v>
      </c>
      <c r="J118" s="6">
        <f>+(I118-H118)/I118</f>
        <v>0.29417989417989415</v>
      </c>
    </row>
    <row r="119" spans="1:11">
      <c r="A119">
        <v>2026</v>
      </c>
      <c r="B119">
        <v>28</v>
      </c>
      <c r="C119" t="s">
        <v>7</v>
      </c>
      <c r="D119" t="s">
        <v>8</v>
      </c>
      <c r="E119" s="2" t="s">
        <v>97</v>
      </c>
      <c r="F119" t="s">
        <v>40</v>
      </c>
      <c r="G119" t="str">
        <f>+B119&amp;E119&amp;F119</f>
        <v>28008DEEP PURPLE</v>
      </c>
      <c r="H119">
        <v>6109</v>
      </c>
      <c r="I119" s="6">
        <f>VLOOKUP(G119,[3]Astroflores!$G$2:$H$110,2,FALSE)</f>
        <v>8640</v>
      </c>
      <c r="J119" s="6">
        <f>+(I119-H119)/I119</f>
        <v>0.29293981481481479</v>
      </c>
    </row>
    <row r="120" spans="1:11">
      <c r="A120">
        <v>2026</v>
      </c>
      <c r="B120">
        <v>28</v>
      </c>
      <c r="C120" t="s">
        <v>10</v>
      </c>
      <c r="D120" t="s">
        <v>8</v>
      </c>
      <c r="E120" s="2" t="s">
        <v>80</v>
      </c>
      <c r="F120" t="s">
        <v>14</v>
      </c>
      <c r="G120" t="str">
        <f>+B120&amp;E120&amp;F120</f>
        <v>28009HOT BUBBLES</v>
      </c>
      <c r="H120">
        <v>7465</v>
      </c>
      <c r="I120" s="6">
        <f>VLOOKUP(G120,[3]Astroflores!$G$2:$H$110,2,FALSE)</f>
        <v>10540</v>
      </c>
      <c r="J120" s="6">
        <f>+(I120-H120)/I120</f>
        <v>0.29174573055028463</v>
      </c>
    </row>
    <row r="121" spans="1:11">
      <c r="A121">
        <v>2026</v>
      </c>
      <c r="B121">
        <v>27</v>
      </c>
      <c r="C121" t="s">
        <v>10</v>
      </c>
      <c r="D121" t="s">
        <v>8</v>
      </c>
      <c r="E121" s="2" t="s">
        <v>85</v>
      </c>
      <c r="F121" t="s">
        <v>23</v>
      </c>
      <c r="G121" t="str">
        <f>+B121&amp;E121&amp;F121</f>
        <v>27018RUBICON</v>
      </c>
      <c r="H121">
        <v>3720</v>
      </c>
      <c r="I121" s="6">
        <f>VLOOKUP(G121,[2]Hoja1!$G$8515:$H$8621,2,FALSE)</f>
        <v>5250</v>
      </c>
      <c r="J121" s="6">
        <f>+(I121-H121)/I121</f>
        <v>0.29142857142857143</v>
      </c>
    </row>
    <row r="122" spans="1:11">
      <c r="A122">
        <v>2026</v>
      </c>
      <c r="B122">
        <v>28</v>
      </c>
      <c r="C122" t="s">
        <v>7</v>
      </c>
      <c r="D122" t="s">
        <v>8</v>
      </c>
      <c r="E122" s="2" t="s">
        <v>94</v>
      </c>
      <c r="F122" t="s">
        <v>36</v>
      </c>
      <c r="G122" t="str">
        <f>+B122&amp;E122&amp;F122</f>
        <v>28001LIGHT HOUSE</v>
      </c>
      <c r="H122">
        <v>1897</v>
      </c>
      <c r="I122" s="6">
        <f>VLOOKUP(G122,[3]Astroflores!$G$2:$H$110,2,FALSE)</f>
        <v>2670</v>
      </c>
      <c r="J122" s="6">
        <f>+(I122-H122)/I122</f>
        <v>0.28951310861423218</v>
      </c>
    </row>
    <row r="123" spans="1:11">
      <c r="A123">
        <v>2026</v>
      </c>
      <c r="B123">
        <v>28</v>
      </c>
      <c r="C123" t="s">
        <v>7</v>
      </c>
      <c r="D123" t="s">
        <v>8</v>
      </c>
      <c r="E123" s="2" t="s">
        <v>94</v>
      </c>
      <c r="F123" t="s">
        <v>35</v>
      </c>
      <c r="G123" t="str">
        <f>+B123&amp;E123&amp;F123</f>
        <v>28001GRACE KELLY</v>
      </c>
      <c r="H123">
        <v>1560</v>
      </c>
      <c r="I123" s="6">
        <f>VLOOKUP(G123,[3]Astroflores!$G$2:$H$110,2,FALSE)</f>
        <v>2190</v>
      </c>
      <c r="J123" s="6">
        <f>+(I123-H123)/I123</f>
        <v>0.28767123287671231</v>
      </c>
    </row>
    <row r="124" spans="1:11">
      <c r="A124">
        <v>2026</v>
      </c>
      <c r="B124">
        <v>29</v>
      </c>
      <c r="C124" t="s">
        <v>7</v>
      </c>
      <c r="D124" t="s">
        <v>8</v>
      </c>
      <c r="E124" s="2" t="s">
        <v>103</v>
      </c>
      <c r="F124" t="s">
        <v>63</v>
      </c>
      <c r="G124" t="str">
        <f>+B124&amp;E124&amp;F124</f>
        <v>29024TYCOON</v>
      </c>
      <c r="H124">
        <v>3625</v>
      </c>
      <c r="I124" s="6">
        <f>VLOOKUP(G124,[4]Estimado_modelo!$G$2:$I$421,3,FALSE)</f>
        <v>5070</v>
      </c>
      <c r="J124" s="6">
        <f>+(I124-H124)/I124</f>
        <v>0.28500986193293887</v>
      </c>
    </row>
    <row r="125" spans="1:11">
      <c r="A125">
        <v>2026</v>
      </c>
      <c r="B125">
        <v>29</v>
      </c>
      <c r="C125" t="s">
        <v>7</v>
      </c>
      <c r="D125" t="s">
        <v>8</v>
      </c>
      <c r="E125" s="2" t="s">
        <v>101</v>
      </c>
      <c r="F125" t="s">
        <v>9</v>
      </c>
      <c r="G125" t="str">
        <f>+B125&amp;E125&amp;F125</f>
        <v>29013LUMIA</v>
      </c>
      <c r="H125">
        <v>688</v>
      </c>
      <c r="I125" s="6">
        <f>VLOOKUP(G125,[4]Estimado_modelo!$G$2:$I$421,3,FALSE)</f>
        <v>960</v>
      </c>
      <c r="J125" s="6">
        <f>+(I125-H125)/I125</f>
        <v>0.28333333333333333</v>
      </c>
      <c r="K125" s="5"/>
    </row>
    <row r="126" spans="1:11">
      <c r="A126">
        <v>2026</v>
      </c>
      <c r="B126">
        <v>28</v>
      </c>
      <c r="C126" t="s">
        <v>10</v>
      </c>
      <c r="D126" t="s">
        <v>8</v>
      </c>
      <c r="E126" s="2" t="s">
        <v>81</v>
      </c>
      <c r="F126" t="s">
        <v>17</v>
      </c>
      <c r="G126" t="str">
        <f>+B126&amp;E126&amp;F126</f>
        <v>28014FRUITY BUBBLES</v>
      </c>
      <c r="H126">
        <v>3120</v>
      </c>
      <c r="I126" s="6">
        <f>VLOOKUP(G126,[3]Astroflores!$G$2:$H$110,2,FALSE)</f>
        <v>4350</v>
      </c>
      <c r="J126" s="6">
        <f>+(I126-H126)/I126</f>
        <v>0.28275862068965518</v>
      </c>
      <c r="K126" s="5"/>
    </row>
    <row r="127" spans="1:11">
      <c r="A127">
        <v>2026</v>
      </c>
      <c r="B127">
        <v>27</v>
      </c>
      <c r="C127" t="s">
        <v>10</v>
      </c>
      <c r="D127" t="s">
        <v>8</v>
      </c>
      <c r="E127" s="2" t="s">
        <v>76</v>
      </c>
      <c r="F127" t="s">
        <v>11</v>
      </c>
      <c r="G127" t="str">
        <f>+B127&amp;E127&amp;F127</f>
        <v>27002SOMERSET</v>
      </c>
      <c r="H127">
        <v>5133</v>
      </c>
      <c r="I127" s="6">
        <f>VLOOKUP(G127,[2]Hoja1!$G$8515:$H$8621,2,FALSE)</f>
        <v>7100</v>
      </c>
      <c r="J127" s="6">
        <f>+(I127-H127)/I127</f>
        <v>0.27704225352112677</v>
      </c>
      <c r="K127" s="5"/>
    </row>
    <row r="128" spans="1:11">
      <c r="A128">
        <v>2026</v>
      </c>
      <c r="B128">
        <v>29</v>
      </c>
      <c r="C128" t="s">
        <v>7</v>
      </c>
      <c r="D128" t="s">
        <v>8</v>
      </c>
      <c r="E128" s="2" t="s">
        <v>100</v>
      </c>
      <c r="F128" t="s">
        <v>36</v>
      </c>
      <c r="G128" t="str">
        <f>+B128&amp;E128&amp;F128</f>
        <v>29012LIGHT HOUSE</v>
      </c>
      <c r="H128">
        <v>1519</v>
      </c>
      <c r="I128" s="6">
        <f>VLOOKUP(G128,[4]Estimado_modelo!$G$2:$I$421,3,FALSE)</f>
        <v>2100</v>
      </c>
      <c r="J128" s="6">
        <f>+(I128-H128)/I128</f>
        <v>0.27666666666666667</v>
      </c>
    </row>
    <row r="129" spans="1:10">
      <c r="A129">
        <v>2026</v>
      </c>
      <c r="B129">
        <v>28</v>
      </c>
      <c r="C129" t="s">
        <v>10</v>
      </c>
      <c r="D129" t="s">
        <v>8</v>
      </c>
      <c r="E129" s="2" t="s">
        <v>83</v>
      </c>
      <c r="F129" t="s">
        <v>19</v>
      </c>
      <c r="G129" t="str">
        <f>+B129&amp;E129&amp;F129</f>
        <v>28016GOOD PEACH</v>
      </c>
      <c r="H129">
        <v>2692</v>
      </c>
      <c r="I129" s="6">
        <f>VLOOKUP(G129,[3]Astroflores!$G$2:$H$110,2,FALSE)</f>
        <v>3720</v>
      </c>
      <c r="J129" s="6">
        <f>+(I129-H129)/I129</f>
        <v>0.2763440860215054</v>
      </c>
    </row>
    <row r="130" spans="1:10">
      <c r="A130">
        <v>2026</v>
      </c>
      <c r="B130">
        <v>27</v>
      </c>
      <c r="C130" t="s">
        <v>7</v>
      </c>
      <c r="D130" t="s">
        <v>8</v>
      </c>
      <c r="E130" s="2" t="s">
        <v>105</v>
      </c>
      <c r="F130" t="s">
        <v>68</v>
      </c>
      <c r="G130" t="str">
        <f>+B130&amp;E130&amp;F130</f>
        <v>27026LOLA</v>
      </c>
      <c r="H130">
        <v>4561</v>
      </c>
      <c r="I130" s="6">
        <f>VLOOKUP(G130,[2]Hoja1!$G$8515:$H$8621,2,FALSE)</f>
        <v>6300</v>
      </c>
      <c r="J130" s="6">
        <f>+(I130-H130)/I130</f>
        <v>0.27603174603174602</v>
      </c>
    </row>
    <row r="131" spans="1:10">
      <c r="A131">
        <v>2026</v>
      </c>
      <c r="B131">
        <v>27</v>
      </c>
      <c r="C131" t="s">
        <v>7</v>
      </c>
      <c r="D131" t="s">
        <v>8</v>
      </c>
      <c r="E131" s="2" t="s">
        <v>106</v>
      </c>
      <c r="F131" t="s">
        <v>70</v>
      </c>
      <c r="G131" t="str">
        <f>+B131&amp;E131&amp;F131</f>
        <v>27027SATISFACTION</v>
      </c>
      <c r="H131">
        <v>3969</v>
      </c>
      <c r="I131" s="6">
        <f>VLOOKUP(G131,[2]Hoja1!$G$8515:$H$8621,2,FALSE)</f>
        <v>5460</v>
      </c>
      <c r="J131" s="6">
        <f>+(I131-H131)/I131</f>
        <v>0.27307692307692305</v>
      </c>
    </row>
    <row r="132" spans="1:10">
      <c r="A132">
        <v>2026</v>
      </c>
      <c r="B132">
        <v>27</v>
      </c>
      <c r="C132" t="s">
        <v>7</v>
      </c>
      <c r="D132" t="s">
        <v>8</v>
      </c>
      <c r="E132" s="2" t="s">
        <v>95</v>
      </c>
      <c r="F132" t="s">
        <v>39</v>
      </c>
      <c r="G132" t="str">
        <f>+B132&amp;E132&amp;F132</f>
        <v>27003CABARET</v>
      </c>
      <c r="H132">
        <v>6458</v>
      </c>
      <c r="I132" s="6">
        <f>VLOOKUP(G132,[2]Hoja1!$G$8515:$H$8621,2,FALSE)</f>
        <v>8850</v>
      </c>
      <c r="J132" s="6">
        <f>+(I132-H132)/I132</f>
        <v>0.27028248587570619</v>
      </c>
    </row>
    <row r="133" spans="1:10">
      <c r="A133">
        <v>2026</v>
      </c>
      <c r="B133">
        <v>29</v>
      </c>
      <c r="C133" t="s">
        <v>7</v>
      </c>
      <c r="D133" t="s">
        <v>8</v>
      </c>
      <c r="E133" s="2" t="s">
        <v>107</v>
      </c>
      <c r="F133" t="s">
        <v>43</v>
      </c>
      <c r="G133" t="str">
        <f>+B133&amp;E133&amp;F133</f>
        <v>29028COTOPAXI</v>
      </c>
      <c r="H133">
        <v>3665</v>
      </c>
      <c r="I133" s="6">
        <f>VLOOKUP(G133,[4]Estimado_modelo!$G$2:$I$421,3,FALSE)</f>
        <v>5010</v>
      </c>
      <c r="J133" s="6">
        <f>+(I133-H133)/I133</f>
        <v>0.2684630738522954</v>
      </c>
    </row>
    <row r="134" spans="1:10">
      <c r="A134">
        <v>2026</v>
      </c>
      <c r="B134">
        <v>27</v>
      </c>
      <c r="C134" t="s">
        <v>7</v>
      </c>
      <c r="D134" t="s">
        <v>8</v>
      </c>
      <c r="E134" s="2" t="s">
        <v>84</v>
      </c>
      <c r="F134" t="s">
        <v>46</v>
      </c>
      <c r="G134" t="str">
        <f>+B134&amp;E134&amp;F134</f>
        <v>27017GOLDFINCH</v>
      </c>
      <c r="H134">
        <v>2445</v>
      </c>
      <c r="I134" s="6">
        <f>VLOOKUP(G134,[2]Hoja1!$G$8515:$H$8621,2,FALSE)</f>
        <v>3325</v>
      </c>
      <c r="J134" s="6">
        <f>+(I134-H134)/I134</f>
        <v>0.26466165413533832</v>
      </c>
    </row>
    <row r="135" spans="1:10">
      <c r="A135">
        <v>2026</v>
      </c>
      <c r="B135">
        <v>28</v>
      </c>
      <c r="C135" t="s">
        <v>7</v>
      </c>
      <c r="D135" t="s">
        <v>8</v>
      </c>
      <c r="E135" s="2" t="s">
        <v>102</v>
      </c>
      <c r="F135" t="s">
        <v>43</v>
      </c>
      <c r="G135" t="str">
        <f>+B135&amp;E135&amp;F135</f>
        <v>28023COTOPAXI</v>
      </c>
      <c r="H135">
        <v>5201</v>
      </c>
      <c r="I135" s="6">
        <f>VLOOKUP(G135,[3]Astroflores!$G$2:$H$110,2,FALSE)</f>
        <v>7050</v>
      </c>
      <c r="J135" s="6">
        <f>+(I135-H135)/I135</f>
        <v>0.26226950354609929</v>
      </c>
    </row>
    <row r="136" spans="1:10">
      <c r="A136">
        <v>2026</v>
      </c>
      <c r="B136">
        <v>28</v>
      </c>
      <c r="C136" t="s">
        <v>10</v>
      </c>
      <c r="D136" t="s">
        <v>8</v>
      </c>
      <c r="E136" s="2" t="s">
        <v>89</v>
      </c>
      <c r="F136" t="s">
        <v>29</v>
      </c>
      <c r="G136" t="str">
        <f>+B136&amp;E136&amp;F136</f>
        <v>28022MIRABEL</v>
      </c>
      <c r="H136">
        <v>1553</v>
      </c>
      <c r="I136" s="6">
        <f>VLOOKUP(G136,[3]Astroflores!$G$2:$H$110,2,FALSE)</f>
        <v>2100</v>
      </c>
      <c r="J136" s="6">
        <f>+(I136-H136)/I136</f>
        <v>0.26047619047619047</v>
      </c>
    </row>
    <row r="137" spans="1:10">
      <c r="A137">
        <v>2026</v>
      </c>
      <c r="B137">
        <v>29</v>
      </c>
      <c r="C137" t="s">
        <v>7</v>
      </c>
      <c r="D137" t="s">
        <v>8</v>
      </c>
      <c r="E137" s="2" t="s">
        <v>99</v>
      </c>
      <c r="F137" t="s">
        <v>54</v>
      </c>
      <c r="G137" t="str">
        <f>+B137&amp;E137&amp;F137</f>
        <v>29011BRIGHTON</v>
      </c>
      <c r="H137">
        <v>2639</v>
      </c>
      <c r="I137" s="6">
        <f>VLOOKUP(G137,[4]Estimado_modelo!$G$2:$I$421,3,FALSE)</f>
        <v>3550</v>
      </c>
      <c r="J137" s="6">
        <f>+(I137-H137)/I137</f>
        <v>0.25661971830985914</v>
      </c>
    </row>
    <row r="138" spans="1:10">
      <c r="A138">
        <v>2026</v>
      </c>
      <c r="B138">
        <v>28</v>
      </c>
      <c r="C138" t="s">
        <v>7</v>
      </c>
      <c r="D138" t="s">
        <v>8</v>
      </c>
      <c r="E138" s="2" t="s">
        <v>99</v>
      </c>
      <c r="F138" t="s">
        <v>57</v>
      </c>
      <c r="G138" t="str">
        <f>+B138&amp;E138&amp;F138</f>
        <v>28011STARDUST</v>
      </c>
      <c r="H138">
        <v>2996</v>
      </c>
      <c r="I138" s="6">
        <f>VLOOKUP(G138,[3]Astroflores!$G$2:$H$110,2,FALSE)</f>
        <v>4025</v>
      </c>
      <c r="J138" s="6">
        <f>+(I138-H138)/I138</f>
        <v>0.25565217391304346</v>
      </c>
    </row>
    <row r="139" spans="1:10">
      <c r="A139">
        <v>2026</v>
      </c>
      <c r="B139">
        <v>29</v>
      </c>
      <c r="C139" t="s">
        <v>10</v>
      </c>
      <c r="D139" t="s">
        <v>8</v>
      </c>
      <c r="E139" s="2" t="s">
        <v>77</v>
      </c>
      <c r="F139" t="s">
        <v>12</v>
      </c>
      <c r="G139" t="str">
        <f>+B139&amp;E139&amp;F139</f>
        <v>29004BELLINA</v>
      </c>
      <c r="H139">
        <v>1471</v>
      </c>
      <c r="I139" s="6">
        <f>VLOOKUP(G139,[4]Estimado_modelo!$G$2:$I$421,3,FALSE)</f>
        <v>1965</v>
      </c>
      <c r="J139" s="6">
        <f>+(I139-H139)/I139</f>
        <v>0.25139949109414761</v>
      </c>
    </row>
    <row r="140" spans="1:10">
      <c r="A140">
        <v>2026</v>
      </c>
      <c r="B140">
        <v>28</v>
      </c>
      <c r="C140" t="s">
        <v>7</v>
      </c>
      <c r="D140" t="s">
        <v>8</v>
      </c>
      <c r="E140" s="2" t="s">
        <v>90</v>
      </c>
      <c r="F140" t="s">
        <v>34</v>
      </c>
      <c r="G140" t="str">
        <f>+B140&amp;E140&amp;F140</f>
        <v>28030EXPLORER</v>
      </c>
      <c r="H140">
        <v>2355</v>
      </c>
      <c r="I140" s="6">
        <f>VLOOKUP(G140,[3]Astroflores!$G$2:$H$110,2,FALSE)</f>
        <v>3125</v>
      </c>
      <c r="J140" s="6">
        <f>+(I140-H140)/I140</f>
        <v>0.24640000000000001</v>
      </c>
    </row>
    <row r="141" spans="1:10">
      <c r="A141">
        <v>2026</v>
      </c>
      <c r="B141">
        <v>29</v>
      </c>
      <c r="C141" t="s">
        <v>7</v>
      </c>
      <c r="D141" t="s">
        <v>8</v>
      </c>
      <c r="E141" s="2" t="s">
        <v>101</v>
      </c>
      <c r="F141" t="s">
        <v>47</v>
      </c>
      <c r="G141" t="str">
        <f>+B141&amp;E141&amp;F141</f>
        <v>29013VENDELA</v>
      </c>
      <c r="H141">
        <v>9183</v>
      </c>
      <c r="I141" s="6">
        <f>VLOOKUP(G141,[4]Estimado_modelo!$G$2:$I$421,3,FALSE)</f>
        <v>12150</v>
      </c>
      <c r="J141" s="6">
        <f>+(I141-H141)/I141</f>
        <v>0.24419753086419754</v>
      </c>
    </row>
    <row r="142" spans="1:10">
      <c r="A142">
        <v>2026</v>
      </c>
      <c r="B142">
        <v>27</v>
      </c>
      <c r="C142" t="s">
        <v>10</v>
      </c>
      <c r="D142" t="s">
        <v>8</v>
      </c>
      <c r="E142" s="2" t="s">
        <v>93</v>
      </c>
      <c r="F142" t="s">
        <v>32</v>
      </c>
      <c r="G142" t="str">
        <f>+B142&amp;E142&amp;F142</f>
        <v>27033CREAMY FOLIES</v>
      </c>
      <c r="H142">
        <v>1070</v>
      </c>
      <c r="I142" s="6">
        <f>VLOOKUP(G142,[2]Hoja1!$G$8515:$H$8621,2,FALSE)</f>
        <v>1410</v>
      </c>
      <c r="J142" s="6">
        <f>+(I142-H142)/I142</f>
        <v>0.24113475177304963</v>
      </c>
    </row>
    <row r="143" spans="1:10">
      <c r="A143">
        <v>2026</v>
      </c>
      <c r="B143">
        <v>27</v>
      </c>
      <c r="C143" t="s">
        <v>7</v>
      </c>
      <c r="D143" t="s">
        <v>8</v>
      </c>
      <c r="E143" s="2" t="s">
        <v>94</v>
      </c>
      <c r="F143" t="s">
        <v>34</v>
      </c>
      <c r="G143" t="str">
        <f>+B143&amp;E143&amp;F143</f>
        <v>27001EXPLORER</v>
      </c>
      <c r="H143">
        <v>4333</v>
      </c>
      <c r="I143" s="6">
        <f>VLOOKUP(G143,[2]Hoja1!$G$8515:$H$8621,2,FALSE)</f>
        <v>5700</v>
      </c>
      <c r="J143" s="6">
        <f>+(I143-H143)/I143</f>
        <v>0.23982456140350877</v>
      </c>
    </row>
    <row r="144" spans="1:10">
      <c r="A144">
        <v>2026</v>
      </c>
      <c r="B144">
        <v>29</v>
      </c>
      <c r="C144" t="s">
        <v>7</v>
      </c>
      <c r="D144" t="s">
        <v>8</v>
      </c>
      <c r="E144" s="2" t="s">
        <v>81</v>
      </c>
      <c r="F144" t="s">
        <v>57</v>
      </c>
      <c r="G144" t="str">
        <f>+B144&amp;E144&amp;F144</f>
        <v>29014STARDUST</v>
      </c>
      <c r="H144">
        <v>6564</v>
      </c>
      <c r="I144" s="6">
        <f>VLOOKUP(G144,[4]Estimado_modelo!$G$2:$I$421,3,FALSE)</f>
        <v>8575</v>
      </c>
      <c r="J144" s="6">
        <f>+(I144-H144)/I144</f>
        <v>0.2345189504373178</v>
      </c>
    </row>
    <row r="145" spans="1:10">
      <c r="A145">
        <v>2026</v>
      </c>
      <c r="B145">
        <v>28</v>
      </c>
      <c r="C145" t="s">
        <v>7</v>
      </c>
      <c r="D145" t="s">
        <v>8</v>
      </c>
      <c r="E145" s="2" t="s">
        <v>99</v>
      </c>
      <c r="F145" t="s">
        <v>55</v>
      </c>
      <c r="G145" t="str">
        <f>+B145&amp;E145&amp;F145</f>
        <v>28011CANDLELIGHT</v>
      </c>
      <c r="H145">
        <v>3705</v>
      </c>
      <c r="I145" s="6">
        <f>VLOOKUP(G145,[3]Astroflores!$G$2:$H$110,2,FALSE)</f>
        <v>4820</v>
      </c>
      <c r="J145" s="6">
        <f>+(I145-H145)/I145</f>
        <v>0.23132780082987553</v>
      </c>
    </row>
    <row r="146" spans="1:10">
      <c r="A146">
        <v>2026</v>
      </c>
      <c r="B146">
        <v>29</v>
      </c>
      <c r="C146" t="s">
        <v>7</v>
      </c>
      <c r="D146" t="s">
        <v>8</v>
      </c>
      <c r="E146" s="2" t="s">
        <v>95</v>
      </c>
      <c r="F146" t="s">
        <v>34</v>
      </c>
      <c r="G146" t="str">
        <f>+B146&amp;E146&amp;F146</f>
        <v>29003EXPLORER</v>
      </c>
      <c r="H146">
        <v>1636</v>
      </c>
      <c r="I146" s="6">
        <f>VLOOKUP(G146,[4]Estimado_modelo!$G$2:$I$421,3,FALSE)</f>
        <v>2125</v>
      </c>
      <c r="J146" s="6">
        <f>+(I146-H146)/I146</f>
        <v>0.23011764705882354</v>
      </c>
    </row>
    <row r="147" spans="1:10">
      <c r="A147">
        <v>2026</v>
      </c>
      <c r="B147">
        <v>29</v>
      </c>
      <c r="C147" t="s">
        <v>7</v>
      </c>
      <c r="D147" t="s">
        <v>8</v>
      </c>
      <c r="E147" s="2" t="s">
        <v>94</v>
      </c>
      <c r="F147" t="s">
        <v>34</v>
      </c>
      <c r="G147" t="str">
        <f>+B147&amp;E147&amp;F147</f>
        <v>29001EXPLORER</v>
      </c>
      <c r="H147">
        <v>3088</v>
      </c>
      <c r="I147" s="6">
        <f>VLOOKUP(G147,[4]Estimado_modelo!$G$2:$I$421,3,FALSE)</f>
        <v>4000</v>
      </c>
      <c r="J147" s="6">
        <f>+(I147-H147)/I147</f>
        <v>0.22800000000000001</v>
      </c>
    </row>
    <row r="148" spans="1:10">
      <c r="A148">
        <v>2026</v>
      </c>
      <c r="B148">
        <v>27</v>
      </c>
      <c r="C148" t="s">
        <v>7</v>
      </c>
      <c r="D148" t="s">
        <v>8</v>
      </c>
      <c r="E148" s="2" t="s">
        <v>105</v>
      </c>
      <c r="F148" t="s">
        <v>69</v>
      </c>
      <c r="G148" t="str">
        <f>+B148&amp;E148&amp;F148</f>
        <v>27026PALOMA</v>
      </c>
      <c r="H148">
        <v>5528</v>
      </c>
      <c r="I148" s="6">
        <f>VLOOKUP(G148,[2]Hoja1!$G$8515:$H$8621,2,FALSE)</f>
        <v>7150</v>
      </c>
      <c r="J148" s="6">
        <f>+(I148-H148)/I148</f>
        <v>0.22685314685314686</v>
      </c>
    </row>
    <row r="149" spans="1:10">
      <c r="A149">
        <v>2026</v>
      </c>
      <c r="B149">
        <v>26</v>
      </c>
      <c r="C149" t="s">
        <v>10</v>
      </c>
      <c r="D149" t="s">
        <v>8</v>
      </c>
      <c r="E149" s="2" t="s">
        <v>79</v>
      </c>
      <c r="F149" t="s">
        <v>16</v>
      </c>
      <c r="G149" t="str">
        <f>+B149&amp;E149&amp;F149</f>
        <v>26007SNOW BUBBLES</v>
      </c>
      <c r="H149">
        <v>744</v>
      </c>
      <c r="I149" s="6">
        <f>VLOOKUP(G149,[1]Astroflores!$G$2:$H$109,2,FALSE)</f>
        <v>960</v>
      </c>
      <c r="J149" s="6">
        <f>+(I149-H149)/I149</f>
        <v>0.22500000000000001</v>
      </c>
    </row>
    <row r="150" spans="1:10">
      <c r="A150">
        <v>2026</v>
      </c>
      <c r="B150">
        <v>27</v>
      </c>
      <c r="C150" t="s">
        <v>10</v>
      </c>
      <c r="D150" t="s">
        <v>8</v>
      </c>
      <c r="E150" s="2" t="s">
        <v>82</v>
      </c>
      <c r="F150" t="s">
        <v>18</v>
      </c>
      <c r="G150" t="str">
        <f>+B150&amp;E150&amp;F150</f>
        <v>27015FELLINI</v>
      </c>
      <c r="H150">
        <v>5082</v>
      </c>
      <c r="I150" s="6">
        <f>VLOOKUP(G150,[2]Hoja1!$G$8515:$H$8621,2,FALSE)</f>
        <v>6540</v>
      </c>
      <c r="J150" s="6">
        <f>+(I150-H150)/I150</f>
        <v>0.22293577981651377</v>
      </c>
    </row>
    <row r="151" spans="1:10">
      <c r="A151">
        <v>2026</v>
      </c>
      <c r="B151">
        <v>28</v>
      </c>
      <c r="C151" t="s">
        <v>7</v>
      </c>
      <c r="D151" t="s">
        <v>8</v>
      </c>
      <c r="E151" s="2" t="s">
        <v>103</v>
      </c>
      <c r="F151" t="s">
        <v>63</v>
      </c>
      <c r="G151" t="str">
        <f>+B151&amp;E151&amp;F151</f>
        <v>28024TYCOON</v>
      </c>
      <c r="H151">
        <v>3456</v>
      </c>
      <c r="I151" s="6">
        <f>VLOOKUP(G151,[3]Astroflores!$G$2:$H$110,2,FALSE)</f>
        <v>4410</v>
      </c>
      <c r="J151" s="6">
        <f>+(I151-H151)/I151</f>
        <v>0.21632653061224491</v>
      </c>
    </row>
    <row r="152" spans="1:10">
      <c r="A152">
        <v>2026</v>
      </c>
      <c r="B152">
        <v>29</v>
      </c>
      <c r="C152" t="s">
        <v>7</v>
      </c>
      <c r="D152" t="s">
        <v>8</v>
      </c>
      <c r="E152" s="2" t="s">
        <v>108</v>
      </c>
      <c r="F152" t="s">
        <v>72</v>
      </c>
      <c r="G152" t="str">
        <f>+B152&amp;E152&amp;F152</f>
        <v>29029PINK FLOYD</v>
      </c>
      <c r="H152">
        <v>3412</v>
      </c>
      <c r="I152" s="6">
        <f>VLOOKUP(G152,[4]Estimado_modelo!$G$2:$I$421,3,FALSE)</f>
        <v>4350</v>
      </c>
      <c r="J152" s="6">
        <f>+(I152-H152)/I152</f>
        <v>0.21563218390804598</v>
      </c>
    </row>
    <row r="153" spans="1:10">
      <c r="A153">
        <v>2026</v>
      </c>
      <c r="B153">
        <v>28</v>
      </c>
      <c r="C153" t="s">
        <v>10</v>
      </c>
      <c r="D153" t="s">
        <v>8</v>
      </c>
      <c r="E153" s="2" t="s">
        <v>82</v>
      </c>
      <c r="F153" t="s">
        <v>18</v>
      </c>
      <c r="G153" t="str">
        <f>+B153&amp;E153&amp;F153</f>
        <v>28015FELLINI</v>
      </c>
      <c r="H153">
        <v>4602</v>
      </c>
      <c r="I153" s="6">
        <f>VLOOKUP(G153,[3]Astroflores!$G$2:$H$110,2,FALSE)</f>
        <v>5840</v>
      </c>
      <c r="J153" s="6">
        <f>+(I153-H153)/I153</f>
        <v>0.21198630136986302</v>
      </c>
    </row>
    <row r="154" spans="1:10">
      <c r="A154">
        <v>2026</v>
      </c>
      <c r="B154">
        <v>29</v>
      </c>
      <c r="C154" t="s">
        <v>7</v>
      </c>
      <c r="D154" t="s">
        <v>8</v>
      </c>
      <c r="E154" s="2" t="s">
        <v>87</v>
      </c>
      <c r="F154" t="s">
        <v>63</v>
      </c>
      <c r="G154" t="str">
        <f>+B154&amp;E154&amp;F154</f>
        <v>29020TYCOON</v>
      </c>
      <c r="H154">
        <v>1064</v>
      </c>
      <c r="I154" s="6">
        <f>VLOOKUP(G154,[4]Estimado_modelo!$G$2:$I$421,3,FALSE)</f>
        <v>1350</v>
      </c>
      <c r="J154" s="6">
        <f>+(I154-H154)/I154</f>
        <v>0.21185185185185185</v>
      </c>
    </row>
    <row r="155" spans="1:10">
      <c r="A155">
        <v>2026</v>
      </c>
      <c r="B155">
        <v>28</v>
      </c>
      <c r="C155" t="s">
        <v>10</v>
      </c>
      <c r="D155" t="s">
        <v>8</v>
      </c>
      <c r="E155" s="2" t="s">
        <v>91</v>
      </c>
      <c r="F155" t="s">
        <v>30</v>
      </c>
      <c r="G155" t="str">
        <f>+B155&amp;E155&amp;F155</f>
        <v>2803182989</v>
      </c>
      <c r="H155">
        <v>1009</v>
      </c>
      <c r="I155" s="6">
        <f>VLOOKUP(G155,[3]Astroflores!$G$2:$H$110,2,FALSE)</f>
        <v>1280</v>
      </c>
      <c r="J155" s="6">
        <f>+(I155-H155)/I155</f>
        <v>0.21171875000000001</v>
      </c>
    </row>
    <row r="156" spans="1:10">
      <c r="A156">
        <v>2026</v>
      </c>
      <c r="B156">
        <v>28</v>
      </c>
      <c r="C156" t="s">
        <v>10</v>
      </c>
      <c r="D156" t="s">
        <v>8</v>
      </c>
      <c r="E156" s="2" t="s">
        <v>78</v>
      </c>
      <c r="F156" t="s">
        <v>13</v>
      </c>
      <c r="G156" t="str">
        <f>+B156&amp;E156&amp;F156</f>
        <v>28005ELBA</v>
      </c>
      <c r="H156">
        <v>5145</v>
      </c>
      <c r="I156" s="6">
        <f>VLOOKUP(G156,[3]Astroflores!$G$2:$H$110,2,FALSE)</f>
        <v>6510</v>
      </c>
      <c r="J156" s="6">
        <f>+(I156-H156)/I156</f>
        <v>0.20967741935483872</v>
      </c>
    </row>
    <row r="157" spans="1:10">
      <c r="A157">
        <v>2026</v>
      </c>
      <c r="B157">
        <v>29</v>
      </c>
      <c r="C157" t="s">
        <v>7</v>
      </c>
      <c r="D157" t="s">
        <v>8</v>
      </c>
      <c r="E157" s="2" t="s">
        <v>78</v>
      </c>
      <c r="F157" t="s">
        <v>34</v>
      </c>
      <c r="G157" t="str">
        <f>+B157&amp;E157&amp;F157</f>
        <v>29005EXPLORER</v>
      </c>
      <c r="H157">
        <v>1128</v>
      </c>
      <c r="I157" s="6">
        <f>VLOOKUP(G157,[4]Estimado_modelo!$G$2:$I$421,3,FALSE)</f>
        <v>1425</v>
      </c>
      <c r="J157" s="6">
        <f>+(I157-H157)/I157</f>
        <v>0.20842105263157895</v>
      </c>
    </row>
    <row r="158" spans="1:10">
      <c r="A158">
        <v>2026</v>
      </c>
      <c r="B158">
        <v>27</v>
      </c>
      <c r="C158" t="s">
        <v>7</v>
      </c>
      <c r="D158" t="s">
        <v>8</v>
      </c>
      <c r="E158" s="2" t="s">
        <v>94</v>
      </c>
      <c r="F158" t="s">
        <v>33</v>
      </c>
      <c r="G158" t="str">
        <f>+B158&amp;E158&amp;F158</f>
        <v>27001BELIEVE IN PINK</v>
      </c>
      <c r="H158">
        <v>1000</v>
      </c>
      <c r="I158" s="6">
        <f>VLOOKUP(G158,[2]Hoja1!$G$8515:$H$8621,2,FALSE)</f>
        <v>1260</v>
      </c>
      <c r="J158" s="6">
        <f>+(I158-H158)/I158</f>
        <v>0.20634920634920634</v>
      </c>
    </row>
    <row r="159" spans="1:10">
      <c r="A159">
        <v>2026</v>
      </c>
      <c r="B159">
        <v>27</v>
      </c>
      <c r="C159" t="s">
        <v>7</v>
      </c>
      <c r="D159" t="s">
        <v>8</v>
      </c>
      <c r="E159" s="2" t="s">
        <v>94</v>
      </c>
      <c r="F159" t="s">
        <v>37</v>
      </c>
      <c r="G159" t="str">
        <f>+B159&amp;E159&amp;F159</f>
        <v>27001MOMENTUM</v>
      </c>
      <c r="H159">
        <v>3395</v>
      </c>
      <c r="I159" s="6">
        <f>VLOOKUP(G159,[2]Hoja1!$G$8515:$H$8621,2,FALSE)</f>
        <v>4275</v>
      </c>
      <c r="J159" s="6">
        <f>+(I159-H159)/I159</f>
        <v>0.20584795321637428</v>
      </c>
    </row>
    <row r="160" spans="1:10">
      <c r="A160">
        <v>2026</v>
      </c>
      <c r="B160">
        <v>28</v>
      </c>
      <c r="C160" t="s">
        <v>10</v>
      </c>
      <c r="D160" t="s">
        <v>8</v>
      </c>
      <c r="E160" s="2" t="s">
        <v>89</v>
      </c>
      <c r="F160" t="s">
        <v>19</v>
      </c>
      <c r="G160" t="str">
        <f>+B160&amp;E160&amp;F160</f>
        <v>28022GOOD PEACH</v>
      </c>
      <c r="H160">
        <v>1931</v>
      </c>
      <c r="I160" s="6">
        <f>VLOOKUP(G160,[3]Astroflores!$G$2:$H$110,2,FALSE)</f>
        <v>2430</v>
      </c>
      <c r="J160" s="6">
        <f>+(I160-H160)/I160</f>
        <v>0.20534979423868313</v>
      </c>
    </row>
    <row r="161" spans="1:10">
      <c r="A161">
        <v>2026</v>
      </c>
      <c r="B161">
        <v>27</v>
      </c>
      <c r="C161" t="s">
        <v>10</v>
      </c>
      <c r="D161" t="s">
        <v>8</v>
      </c>
      <c r="E161" s="2" t="s">
        <v>81</v>
      </c>
      <c r="F161" t="s">
        <v>17</v>
      </c>
      <c r="G161" t="str">
        <f>+B161&amp;E161&amp;F161</f>
        <v>27014FRUITY BUBBLES</v>
      </c>
      <c r="H161">
        <v>3381</v>
      </c>
      <c r="I161" s="6">
        <f>VLOOKUP(G161,[2]Hoja1!$G$8515:$H$8621,2,FALSE)</f>
        <v>4250</v>
      </c>
      <c r="J161" s="6">
        <f>+(I161-H161)/I161</f>
        <v>0.20447058823529413</v>
      </c>
    </row>
    <row r="162" spans="1:10">
      <c r="A162">
        <v>2026</v>
      </c>
      <c r="B162">
        <v>27</v>
      </c>
      <c r="C162" t="s">
        <v>7</v>
      </c>
      <c r="D162" t="s">
        <v>8</v>
      </c>
      <c r="E162" s="2" t="s">
        <v>107</v>
      </c>
      <c r="F162" t="s">
        <v>43</v>
      </c>
      <c r="G162" t="str">
        <f>+B162&amp;E162&amp;F162</f>
        <v>27028COTOPAXI</v>
      </c>
      <c r="H162">
        <v>4677</v>
      </c>
      <c r="I162" s="6">
        <f>VLOOKUP(G162,[2]Hoja1!$G$8515:$H$8621,2,FALSE)</f>
        <v>5850</v>
      </c>
      <c r="J162" s="6">
        <f>+(I162-H162)/I162</f>
        <v>0.20051282051282052</v>
      </c>
    </row>
    <row r="163" spans="1:10">
      <c r="A163">
        <v>2026</v>
      </c>
      <c r="B163">
        <v>27</v>
      </c>
      <c r="C163" t="s">
        <v>7</v>
      </c>
      <c r="D163" t="s">
        <v>8</v>
      </c>
      <c r="E163" s="2" t="s">
        <v>95</v>
      </c>
      <c r="F163" t="s">
        <v>34</v>
      </c>
      <c r="G163" t="str">
        <f>+B163&amp;E163&amp;F163</f>
        <v>27003EXPLORER</v>
      </c>
      <c r="H163">
        <v>2461</v>
      </c>
      <c r="I163" s="6">
        <f>VLOOKUP(G163,[2]Hoja1!$G$8515:$H$8621,2,FALSE)</f>
        <v>3075</v>
      </c>
      <c r="J163" s="6">
        <f>+(I163-H163)/I163</f>
        <v>0.19967479674796748</v>
      </c>
    </row>
    <row r="164" spans="1:10">
      <c r="A164">
        <v>2026</v>
      </c>
      <c r="B164">
        <v>29</v>
      </c>
      <c r="C164" t="s">
        <v>7</v>
      </c>
      <c r="D164" t="s">
        <v>8</v>
      </c>
      <c r="E164" s="2" t="s">
        <v>84</v>
      </c>
      <c r="F164" t="s">
        <v>46</v>
      </c>
      <c r="G164" t="str">
        <f>+B164&amp;E164&amp;F164</f>
        <v>29017GOLDFINCH</v>
      </c>
      <c r="H164">
        <v>2986</v>
      </c>
      <c r="I164" s="6">
        <f>VLOOKUP(G164,[4]Estimado_modelo!$G$2:$I$421,3,FALSE)</f>
        <v>3725</v>
      </c>
      <c r="J164" s="6">
        <f>+(I164-H164)/I164</f>
        <v>0.19838926174496643</v>
      </c>
    </row>
    <row r="165" spans="1:10">
      <c r="A165">
        <v>2026</v>
      </c>
      <c r="B165">
        <v>27</v>
      </c>
      <c r="C165" t="s">
        <v>7</v>
      </c>
      <c r="D165" t="s">
        <v>8</v>
      </c>
      <c r="E165" s="2" t="s">
        <v>78</v>
      </c>
      <c r="F165" t="s">
        <v>47</v>
      </c>
      <c r="G165" t="str">
        <f>+B165&amp;E165&amp;F165</f>
        <v>27005VENDELA</v>
      </c>
      <c r="H165">
        <v>1347</v>
      </c>
      <c r="I165" s="6">
        <f>VLOOKUP(G165,[2]Hoja1!$G$8515:$H$8621,2,FALSE)</f>
        <v>1680</v>
      </c>
      <c r="J165" s="6">
        <f>+(I165-H165)/I165</f>
        <v>0.1982142857142857</v>
      </c>
    </row>
    <row r="166" spans="1:10">
      <c r="A166">
        <v>2026</v>
      </c>
      <c r="B166">
        <v>29</v>
      </c>
      <c r="C166" t="s">
        <v>7</v>
      </c>
      <c r="D166" t="s">
        <v>8</v>
      </c>
      <c r="E166" s="2" t="s">
        <v>99</v>
      </c>
      <c r="F166" t="s">
        <v>55</v>
      </c>
      <c r="G166" t="str">
        <f>+B166&amp;E166&amp;F166</f>
        <v>29011CANDLELIGHT</v>
      </c>
      <c r="H166">
        <v>3736</v>
      </c>
      <c r="I166" s="6">
        <f>VLOOKUP(G166,[4]Estimado_modelo!$G$2:$I$421,3,FALSE)</f>
        <v>4640</v>
      </c>
      <c r="J166" s="6">
        <f>+(I166-H166)/I166</f>
        <v>0.19482758620689655</v>
      </c>
    </row>
    <row r="167" spans="1:10">
      <c r="A167">
        <v>2026</v>
      </c>
      <c r="B167">
        <v>27</v>
      </c>
      <c r="C167" t="s">
        <v>10</v>
      </c>
      <c r="D167" t="s">
        <v>8</v>
      </c>
      <c r="E167" s="2" t="s">
        <v>78</v>
      </c>
      <c r="F167" t="s">
        <v>14</v>
      </c>
      <c r="G167" t="str">
        <f>+B167&amp;E167&amp;F167</f>
        <v>27005HOT BUBBLES</v>
      </c>
      <c r="H167">
        <v>1079</v>
      </c>
      <c r="I167" s="6">
        <f>VLOOKUP(G167,[2]Hoja1!$G$8515:$H$8621,2,FALSE)</f>
        <v>1340</v>
      </c>
      <c r="J167" s="6">
        <f>+(I167-H167)/I167</f>
        <v>0.19477611940298509</v>
      </c>
    </row>
    <row r="168" spans="1:10">
      <c r="A168">
        <v>2026</v>
      </c>
      <c r="B168">
        <v>27</v>
      </c>
      <c r="C168" t="s">
        <v>7</v>
      </c>
      <c r="D168" t="s">
        <v>8</v>
      </c>
      <c r="E168" s="2" t="s">
        <v>103</v>
      </c>
      <c r="F168" t="s">
        <v>63</v>
      </c>
      <c r="G168" t="str">
        <f>+B168&amp;E168&amp;F168</f>
        <v>27024TYCOON</v>
      </c>
      <c r="H168">
        <v>3412</v>
      </c>
      <c r="I168" s="6">
        <f>VLOOKUP(G168,[2]Hoja1!$G$8515:$H$8621,2,FALSE)</f>
        <v>4230</v>
      </c>
      <c r="J168" s="6">
        <f>+(I168-H168)/I168</f>
        <v>0.1933806146572104</v>
      </c>
    </row>
    <row r="169" spans="1:10">
      <c r="A169">
        <v>2026</v>
      </c>
      <c r="B169">
        <v>27</v>
      </c>
      <c r="C169" t="s">
        <v>7</v>
      </c>
      <c r="D169" t="s">
        <v>8</v>
      </c>
      <c r="E169" s="2" t="s">
        <v>76</v>
      </c>
      <c r="F169" t="s">
        <v>38</v>
      </c>
      <c r="G169" t="str">
        <f>+B169&amp;E169&amp;F169</f>
        <v>27002SWEETNESS</v>
      </c>
      <c r="H169">
        <v>4672</v>
      </c>
      <c r="I169" s="6">
        <f>VLOOKUP(G169,[2]Hoja1!$G$8515:$H$8621,2,FALSE)</f>
        <v>5790</v>
      </c>
      <c r="J169" s="6">
        <f>+(I169-H169)/I169</f>
        <v>0.19309153713298791</v>
      </c>
    </row>
    <row r="170" spans="1:10">
      <c r="A170">
        <v>2026</v>
      </c>
      <c r="B170">
        <v>29</v>
      </c>
      <c r="C170" t="s">
        <v>10</v>
      </c>
      <c r="D170" t="s">
        <v>8</v>
      </c>
      <c r="E170" s="2" t="s">
        <v>92</v>
      </c>
      <c r="F170" t="s">
        <v>29</v>
      </c>
      <c r="G170" t="str">
        <f>+B170&amp;E170&amp;F170</f>
        <v>29032MIRABEL</v>
      </c>
      <c r="H170">
        <v>1530</v>
      </c>
      <c r="I170" s="6">
        <f>VLOOKUP(G170,[4]Estimado_modelo!$G$2:$I$421,3,FALSE)</f>
        <v>1880</v>
      </c>
      <c r="J170" s="6">
        <f>+(I170-H170)/I170</f>
        <v>0.18617021276595744</v>
      </c>
    </row>
    <row r="171" spans="1:10">
      <c r="A171">
        <v>2026</v>
      </c>
      <c r="B171">
        <v>29</v>
      </c>
      <c r="C171" t="s">
        <v>7</v>
      </c>
      <c r="D171" t="s">
        <v>8</v>
      </c>
      <c r="E171" s="2" t="s">
        <v>83</v>
      </c>
      <c r="F171" t="s">
        <v>61</v>
      </c>
      <c r="G171" t="str">
        <f>+B171&amp;E171&amp;F171</f>
        <v>29016NINA</v>
      </c>
      <c r="H171">
        <v>2686</v>
      </c>
      <c r="I171" s="6">
        <f>VLOOKUP(G171,[4]Estimado_modelo!$G$2:$I$421,3,FALSE)</f>
        <v>3300</v>
      </c>
      <c r="J171" s="6">
        <f>+(I171-H171)/I171</f>
        <v>0.18606060606060607</v>
      </c>
    </row>
    <row r="172" spans="1:10">
      <c r="A172">
        <v>2026</v>
      </c>
      <c r="B172">
        <v>29</v>
      </c>
      <c r="C172" t="s">
        <v>10</v>
      </c>
      <c r="D172" t="s">
        <v>8</v>
      </c>
      <c r="E172" s="2" t="s">
        <v>78</v>
      </c>
      <c r="F172" t="s">
        <v>14</v>
      </c>
      <c r="G172" t="str">
        <f>+B172&amp;E172&amp;F172</f>
        <v>29005HOT BUBBLES</v>
      </c>
      <c r="H172">
        <v>880</v>
      </c>
      <c r="I172" s="6">
        <f>VLOOKUP(G172,[4]Estimado_modelo!$G$2:$I$421,3,FALSE)</f>
        <v>1080</v>
      </c>
      <c r="J172" s="6">
        <f>+(I172-H172)/I172</f>
        <v>0.18518518518518517</v>
      </c>
    </row>
    <row r="173" spans="1:10">
      <c r="A173">
        <v>2026</v>
      </c>
      <c r="B173">
        <v>28</v>
      </c>
      <c r="C173" t="s">
        <v>10</v>
      </c>
      <c r="D173" t="s">
        <v>8</v>
      </c>
      <c r="E173" s="2" t="s">
        <v>78</v>
      </c>
      <c r="F173" t="s">
        <v>14</v>
      </c>
      <c r="G173" t="str">
        <f>+B173&amp;E173&amp;F173</f>
        <v>28005HOT BUBBLES</v>
      </c>
      <c r="H173">
        <v>997</v>
      </c>
      <c r="I173" s="6">
        <f>VLOOKUP(G173,[3]Astroflores!$G$2:$H$110,2,FALSE)</f>
        <v>1220</v>
      </c>
      <c r="J173" s="6">
        <f>+(I173-H173)/I173</f>
        <v>0.18278688524590164</v>
      </c>
    </row>
    <row r="174" spans="1:10">
      <c r="A174">
        <v>2026</v>
      </c>
      <c r="B174">
        <v>29</v>
      </c>
      <c r="C174" t="s">
        <v>7</v>
      </c>
      <c r="D174" t="s">
        <v>8</v>
      </c>
      <c r="E174" s="2" t="s">
        <v>99</v>
      </c>
      <c r="F174" t="s">
        <v>57</v>
      </c>
      <c r="G174" t="str">
        <f>+B174&amp;E174&amp;F174</f>
        <v>29011STARDUST</v>
      </c>
      <c r="H174">
        <v>3698</v>
      </c>
      <c r="I174" s="6">
        <f>VLOOKUP(G174,[4]Estimado_modelo!$G$2:$I$421,3,FALSE)</f>
        <v>4525</v>
      </c>
      <c r="J174" s="6">
        <f>+(I174-H174)/I174</f>
        <v>0.18276243093922651</v>
      </c>
    </row>
    <row r="175" spans="1:10">
      <c r="A175">
        <v>2026</v>
      </c>
      <c r="B175">
        <v>29</v>
      </c>
      <c r="C175" t="s">
        <v>10</v>
      </c>
      <c r="D175" t="s">
        <v>8</v>
      </c>
      <c r="E175" s="2" t="s">
        <v>89</v>
      </c>
      <c r="F175" t="s">
        <v>19</v>
      </c>
      <c r="G175" t="str">
        <f>+B175&amp;E175&amp;F175</f>
        <v>29022GOOD PEACH</v>
      </c>
      <c r="H175">
        <v>1694</v>
      </c>
      <c r="I175" s="6">
        <f>VLOOKUP(G175,[4]Estimado_modelo!$G$2:$I$421,3,FALSE)</f>
        <v>2070</v>
      </c>
      <c r="J175" s="6">
        <f>+(I175-H175)/I175</f>
        <v>0.18164251207729468</v>
      </c>
    </row>
    <row r="176" spans="1:10">
      <c r="A176">
        <v>2026</v>
      </c>
      <c r="B176">
        <v>29</v>
      </c>
      <c r="C176" t="s">
        <v>7</v>
      </c>
      <c r="D176" t="s">
        <v>8</v>
      </c>
      <c r="E176" s="2" t="s">
        <v>95</v>
      </c>
      <c r="F176" t="s">
        <v>42</v>
      </c>
      <c r="G176" t="str">
        <f>+B176&amp;E176&amp;F176</f>
        <v>29003QUICKSAND</v>
      </c>
      <c r="H176">
        <v>1526</v>
      </c>
      <c r="I176" s="6">
        <f>VLOOKUP(G176,[4]Estimado_modelo!$G$2:$I$421,3,FALSE)</f>
        <v>1860</v>
      </c>
      <c r="J176" s="6">
        <f>+(I176-H176)/I176</f>
        <v>0.17956989247311828</v>
      </c>
    </row>
    <row r="177" spans="1:10">
      <c r="A177">
        <v>2026</v>
      </c>
      <c r="B177">
        <v>27</v>
      </c>
      <c r="C177" t="s">
        <v>10</v>
      </c>
      <c r="D177" t="s">
        <v>8</v>
      </c>
      <c r="E177" s="2" t="s">
        <v>84</v>
      </c>
      <c r="F177" t="s">
        <v>21</v>
      </c>
      <c r="G177" t="str">
        <f>+B177&amp;E177&amp;F177</f>
        <v>27017ORANGE STAR</v>
      </c>
      <c r="H177">
        <v>1811</v>
      </c>
      <c r="I177" s="6">
        <f>VLOOKUP(G177,[2]Hoja1!$G$8515:$H$8621,2,FALSE)</f>
        <v>2200</v>
      </c>
      <c r="J177" s="6">
        <f>+(I177-H177)/I177</f>
        <v>0.17681818181818182</v>
      </c>
    </row>
    <row r="178" spans="1:10">
      <c r="A178">
        <v>2026</v>
      </c>
      <c r="B178">
        <v>27</v>
      </c>
      <c r="C178" t="s">
        <v>7</v>
      </c>
      <c r="D178" t="s">
        <v>8</v>
      </c>
      <c r="E178" s="2" t="s">
        <v>101</v>
      </c>
      <c r="F178" t="s">
        <v>59</v>
      </c>
      <c r="G178" t="str">
        <f>+B178&amp;E178&amp;F178</f>
        <v>27013LORRAINE</v>
      </c>
      <c r="H178">
        <v>3454</v>
      </c>
      <c r="I178" s="6">
        <f>VLOOKUP(G178,[2]Hoja1!$G$8515:$H$8621,2,FALSE)</f>
        <v>4175</v>
      </c>
      <c r="J178" s="6">
        <f>+(I178-H178)/I178</f>
        <v>0.17269461077844311</v>
      </c>
    </row>
    <row r="179" spans="1:10">
      <c r="A179">
        <v>2026</v>
      </c>
      <c r="B179">
        <v>26</v>
      </c>
      <c r="C179" t="s">
        <v>10</v>
      </c>
      <c r="D179" t="s">
        <v>8</v>
      </c>
      <c r="E179" s="2" t="s">
        <v>92</v>
      </c>
      <c r="F179" t="s">
        <v>13</v>
      </c>
      <c r="G179" t="str">
        <f>+B179&amp;E179&amp;F179</f>
        <v>26032ELBA</v>
      </c>
      <c r="H179">
        <v>3603</v>
      </c>
      <c r="I179" s="6">
        <f>VLOOKUP(G179,[1]Astroflores!$G$2:$H$109,2,FALSE)</f>
        <v>4350</v>
      </c>
      <c r="J179" s="6">
        <f>+(I179-H179)/I179</f>
        <v>0.17172413793103447</v>
      </c>
    </row>
    <row r="180" spans="1:10">
      <c r="A180">
        <v>2026</v>
      </c>
      <c r="B180">
        <v>27</v>
      </c>
      <c r="C180" t="s">
        <v>7</v>
      </c>
      <c r="D180" t="s">
        <v>8</v>
      </c>
      <c r="E180" s="2" t="s">
        <v>90</v>
      </c>
      <c r="F180" t="s">
        <v>34</v>
      </c>
      <c r="G180" t="str">
        <f>+B180&amp;E180&amp;F180</f>
        <v>27030EXPLORER</v>
      </c>
      <c r="H180">
        <v>3087</v>
      </c>
      <c r="I180" s="6">
        <f>VLOOKUP(G180,[2]Hoja1!$G$8515:$H$8621,2,FALSE)</f>
        <v>3725</v>
      </c>
      <c r="J180" s="6">
        <f>+(I180-H180)/I180</f>
        <v>0.17127516778523491</v>
      </c>
    </row>
    <row r="181" spans="1:10">
      <c r="A181">
        <v>2026</v>
      </c>
      <c r="B181">
        <v>29</v>
      </c>
      <c r="C181" t="s">
        <v>7</v>
      </c>
      <c r="D181" t="s">
        <v>8</v>
      </c>
      <c r="E181" s="2" t="s">
        <v>83</v>
      </c>
      <c r="F181" t="s">
        <v>60</v>
      </c>
      <c r="G181" t="str">
        <f>+B181&amp;E181&amp;F181</f>
        <v>29016DREAM IN PEACH</v>
      </c>
      <c r="H181">
        <v>1492</v>
      </c>
      <c r="I181" s="6">
        <f>VLOOKUP(G181,[4]Estimado_modelo!$G$2:$I$421,3,FALSE)</f>
        <v>1800</v>
      </c>
      <c r="J181" s="6">
        <f>+(I181-H181)/I181</f>
        <v>0.1711111111111111</v>
      </c>
    </row>
    <row r="182" spans="1:10">
      <c r="A182">
        <v>2026</v>
      </c>
      <c r="B182">
        <v>28</v>
      </c>
      <c r="C182" t="s">
        <v>10</v>
      </c>
      <c r="D182" t="s">
        <v>8</v>
      </c>
      <c r="E182" s="2" t="s">
        <v>84</v>
      </c>
      <c r="F182" t="s">
        <v>21</v>
      </c>
      <c r="G182" t="str">
        <f>+B182&amp;E182&amp;F182</f>
        <v>28017ORANGE STAR</v>
      </c>
      <c r="H182">
        <v>1659</v>
      </c>
      <c r="I182" s="6">
        <f>VLOOKUP(G182,[3]Astroflores!$G$2:$H$110,2,FALSE)</f>
        <v>2000</v>
      </c>
      <c r="J182" s="6">
        <f>+(I182-H182)/I182</f>
        <v>0.17050000000000001</v>
      </c>
    </row>
    <row r="183" spans="1:10">
      <c r="A183">
        <v>2026</v>
      </c>
      <c r="B183">
        <v>27</v>
      </c>
      <c r="C183" t="s">
        <v>7</v>
      </c>
      <c r="D183" t="s">
        <v>8</v>
      </c>
      <c r="E183" s="2" t="s">
        <v>108</v>
      </c>
      <c r="F183" t="s">
        <v>72</v>
      </c>
      <c r="G183" t="str">
        <f>+B183&amp;E183&amp;F183</f>
        <v>27029PINK FLOYD</v>
      </c>
      <c r="H183">
        <v>3216</v>
      </c>
      <c r="I183" s="6">
        <f>VLOOKUP(G183,[2]Hoja1!$G$8515:$H$8621,2,FALSE)</f>
        <v>3875</v>
      </c>
      <c r="J183" s="6">
        <f>+(I183-H183)/I183</f>
        <v>0.17006451612903226</v>
      </c>
    </row>
    <row r="184" spans="1:10">
      <c r="A184">
        <v>2026</v>
      </c>
      <c r="B184">
        <v>29</v>
      </c>
      <c r="C184" t="s">
        <v>7</v>
      </c>
      <c r="D184" t="s">
        <v>8</v>
      </c>
      <c r="E184" s="2" t="s">
        <v>90</v>
      </c>
      <c r="F184" t="s">
        <v>34</v>
      </c>
      <c r="G184" t="str">
        <f>+B184&amp;E184&amp;F184</f>
        <v>29030EXPLORER</v>
      </c>
      <c r="H184">
        <v>2175</v>
      </c>
      <c r="I184" s="6">
        <f>VLOOKUP(G184,[4]Estimado_modelo!$G$2:$I$421,3,FALSE)</f>
        <v>2600</v>
      </c>
      <c r="J184" s="6">
        <f>+(I184-H184)/I184</f>
        <v>0.16346153846153846</v>
      </c>
    </row>
    <row r="185" spans="1:10">
      <c r="A185">
        <v>2026</v>
      </c>
      <c r="B185">
        <v>29</v>
      </c>
      <c r="C185" t="s">
        <v>10</v>
      </c>
      <c r="D185" t="s">
        <v>8</v>
      </c>
      <c r="E185" s="2" t="s">
        <v>91</v>
      </c>
      <c r="F185" t="s">
        <v>23</v>
      </c>
      <c r="G185" t="str">
        <f>+B185&amp;E185&amp;F185</f>
        <v>29031RUBICON</v>
      </c>
      <c r="H185">
        <v>2264</v>
      </c>
      <c r="I185" s="6">
        <f>VLOOKUP(G185,[4]Estimado_modelo!$G$2:$I$421,3,FALSE)</f>
        <v>2700</v>
      </c>
      <c r="J185" s="6">
        <f>+(I185-H185)/I185</f>
        <v>0.16148148148148148</v>
      </c>
    </row>
    <row r="186" spans="1:10">
      <c r="A186">
        <v>2026</v>
      </c>
      <c r="B186">
        <v>27</v>
      </c>
      <c r="C186" t="s">
        <v>7</v>
      </c>
      <c r="D186" t="s">
        <v>8</v>
      </c>
      <c r="E186" s="2" t="s">
        <v>83</v>
      </c>
      <c r="F186" t="s">
        <v>60</v>
      </c>
      <c r="G186" t="str">
        <f>+B186&amp;E186&amp;F186</f>
        <v>27016DREAM IN PEACH</v>
      </c>
      <c r="H186">
        <v>2014</v>
      </c>
      <c r="I186" s="6">
        <f>VLOOKUP(G186,[2]Hoja1!$G$8515:$H$8621,2,FALSE)</f>
        <v>2400</v>
      </c>
      <c r="J186" s="6">
        <f>+(I186-H186)/I186</f>
        <v>0.16083333333333333</v>
      </c>
    </row>
    <row r="187" spans="1:10">
      <c r="A187">
        <v>2026</v>
      </c>
      <c r="B187">
        <v>27</v>
      </c>
      <c r="C187" t="s">
        <v>7</v>
      </c>
      <c r="D187" t="s">
        <v>8</v>
      </c>
      <c r="E187" s="2" t="s">
        <v>78</v>
      </c>
      <c r="F187" t="s">
        <v>34</v>
      </c>
      <c r="G187" t="str">
        <f>+B187&amp;E187&amp;F187</f>
        <v>27005EXPLORER</v>
      </c>
      <c r="H187">
        <v>1620</v>
      </c>
      <c r="I187" s="6">
        <f>VLOOKUP(G187,[2]Hoja1!$G$8515:$H$8621,2,FALSE)</f>
        <v>1925</v>
      </c>
      <c r="J187" s="6">
        <f>+(I187-H187)/I187</f>
        <v>0.15844155844155844</v>
      </c>
    </row>
    <row r="188" spans="1:10">
      <c r="A188">
        <v>2026</v>
      </c>
      <c r="B188">
        <v>26</v>
      </c>
      <c r="C188" t="s">
        <v>10</v>
      </c>
      <c r="D188" t="s">
        <v>8</v>
      </c>
      <c r="E188" s="2" t="s">
        <v>83</v>
      </c>
      <c r="F188" t="s">
        <v>20</v>
      </c>
      <c r="G188" t="str">
        <f>+B188&amp;E188&amp;F188</f>
        <v>26016GOOD YELLOW</v>
      </c>
      <c r="H188">
        <v>3851</v>
      </c>
      <c r="I188" s="6">
        <f>VLOOKUP(G188,[1]Astroflores!$G$2:$H$109,2,FALSE)</f>
        <v>4560</v>
      </c>
      <c r="J188" s="6">
        <f>+(I188-H188)/I188</f>
        <v>0.15548245614035089</v>
      </c>
    </row>
    <row r="189" spans="1:10">
      <c r="A189">
        <v>2026</v>
      </c>
      <c r="B189">
        <v>26</v>
      </c>
      <c r="C189" t="s">
        <v>7</v>
      </c>
      <c r="D189" t="s">
        <v>8</v>
      </c>
      <c r="E189" s="2" t="s">
        <v>101</v>
      </c>
      <c r="F189" t="s">
        <v>47</v>
      </c>
      <c r="G189" t="str">
        <f>+B189&amp;E189&amp;F189</f>
        <v>26013VENDELA</v>
      </c>
      <c r="H189">
        <v>10094</v>
      </c>
      <c r="I189" s="6">
        <f>VLOOKUP(G189,[1]Astroflores!$G$2:$H$109,2,FALSE)</f>
        <v>11940</v>
      </c>
      <c r="J189" s="6">
        <f>+(I189-H189)/I189</f>
        <v>0.15460636515912898</v>
      </c>
    </row>
    <row r="190" spans="1:10">
      <c r="A190">
        <v>2026</v>
      </c>
      <c r="B190">
        <v>29</v>
      </c>
      <c r="C190" t="s">
        <v>10</v>
      </c>
      <c r="D190" t="s">
        <v>8</v>
      </c>
      <c r="E190" s="2" t="s">
        <v>78</v>
      </c>
      <c r="F190" t="s">
        <v>13</v>
      </c>
      <c r="G190" t="str">
        <f>+B190&amp;E190&amp;F190</f>
        <v>29005ELBA</v>
      </c>
      <c r="H190">
        <v>4820</v>
      </c>
      <c r="I190" s="6">
        <f>VLOOKUP(G190,[4]Estimado_modelo!$G$2:$I$421,3,FALSE)</f>
        <v>5700</v>
      </c>
      <c r="J190" s="6">
        <f>+(I190-H190)/I190</f>
        <v>0.15438596491228071</v>
      </c>
    </row>
    <row r="191" spans="1:10">
      <c r="A191">
        <v>2026</v>
      </c>
      <c r="B191">
        <v>28</v>
      </c>
      <c r="C191" t="s">
        <v>7</v>
      </c>
      <c r="D191" t="s">
        <v>8</v>
      </c>
      <c r="E191" s="2" t="s">
        <v>79</v>
      </c>
      <c r="F191" t="s">
        <v>43</v>
      </c>
      <c r="G191" t="str">
        <f>+B191&amp;E191&amp;F191</f>
        <v>28007COTOPAXI</v>
      </c>
      <c r="H191">
        <v>5559</v>
      </c>
      <c r="I191" s="6">
        <f>VLOOKUP(G191,[3]Astroflores!$G$2:$H$110,2,FALSE)</f>
        <v>6570</v>
      </c>
      <c r="J191" s="6">
        <f>+(I191-H191)/I191</f>
        <v>0.15388127853881278</v>
      </c>
    </row>
    <row r="192" spans="1:10">
      <c r="A192">
        <v>2026</v>
      </c>
      <c r="B192">
        <v>27</v>
      </c>
      <c r="C192" t="s">
        <v>7</v>
      </c>
      <c r="D192" t="s">
        <v>8</v>
      </c>
      <c r="E192" s="2" t="s">
        <v>79</v>
      </c>
      <c r="F192" t="s">
        <v>47</v>
      </c>
      <c r="G192" t="str">
        <f>+B192&amp;E192&amp;F192</f>
        <v>27007VENDELA</v>
      </c>
      <c r="H192">
        <v>7804</v>
      </c>
      <c r="I192" s="6">
        <f>VLOOKUP(G192,[2]Hoja1!$G$8515:$H$8621,2,FALSE)</f>
        <v>9210</v>
      </c>
      <c r="J192" s="6">
        <f>+(I192-H192)/I192</f>
        <v>0.15266015200868621</v>
      </c>
    </row>
    <row r="193" spans="1:10">
      <c r="A193">
        <v>2026</v>
      </c>
      <c r="B193">
        <v>28</v>
      </c>
      <c r="C193" t="s">
        <v>7</v>
      </c>
      <c r="D193" t="s">
        <v>8</v>
      </c>
      <c r="E193" s="2" t="s">
        <v>84</v>
      </c>
      <c r="F193" t="s">
        <v>46</v>
      </c>
      <c r="G193" t="str">
        <f>+B193&amp;E193&amp;F193</f>
        <v>28017GOLDFINCH</v>
      </c>
      <c r="H193">
        <v>2970</v>
      </c>
      <c r="I193" s="6">
        <f>VLOOKUP(G193,[3]Astroflores!$G$2:$H$110,2,FALSE)</f>
        <v>3500</v>
      </c>
      <c r="J193" s="6">
        <f>+(I193-H193)/I193</f>
        <v>0.15142857142857144</v>
      </c>
    </row>
    <row r="194" spans="1:10">
      <c r="A194">
        <v>2026</v>
      </c>
      <c r="B194">
        <v>28</v>
      </c>
      <c r="C194" t="s">
        <v>7</v>
      </c>
      <c r="D194" t="s">
        <v>8</v>
      </c>
      <c r="E194" s="2" t="s">
        <v>95</v>
      </c>
      <c r="F194" t="s">
        <v>42</v>
      </c>
      <c r="G194" t="str">
        <f>+B194&amp;E194&amp;F194</f>
        <v>28003QUICKSAND</v>
      </c>
      <c r="H194">
        <v>1735</v>
      </c>
      <c r="I194" s="6">
        <f>VLOOKUP(G194,[3]Astroflores!$G$2:$H$110,2,FALSE)</f>
        <v>2040</v>
      </c>
      <c r="J194" s="6">
        <f>+(I194-H194)/I194</f>
        <v>0.14950980392156862</v>
      </c>
    </row>
    <row r="195" spans="1:10">
      <c r="A195">
        <v>2026</v>
      </c>
      <c r="B195">
        <v>29</v>
      </c>
      <c r="C195" t="s">
        <v>10</v>
      </c>
      <c r="D195" t="s">
        <v>8</v>
      </c>
      <c r="E195" s="2" t="s">
        <v>76</v>
      </c>
      <c r="F195" t="s">
        <v>11</v>
      </c>
      <c r="G195" t="str">
        <f>+B195&amp;E195&amp;F195</f>
        <v>29002SOMERSET</v>
      </c>
      <c r="H195">
        <v>7207</v>
      </c>
      <c r="I195" s="6">
        <f>VLOOKUP(G195,[4]Estimado_modelo!$G$2:$I$421,3,FALSE)</f>
        <v>8440</v>
      </c>
      <c r="J195" s="6">
        <f>+(I195-H195)/I195</f>
        <v>0.14609004739336492</v>
      </c>
    </row>
    <row r="196" spans="1:10">
      <c r="A196">
        <v>2026</v>
      </c>
      <c r="B196">
        <v>28</v>
      </c>
      <c r="C196" t="s">
        <v>7</v>
      </c>
      <c r="D196" t="s">
        <v>8</v>
      </c>
      <c r="E196" s="2" t="s">
        <v>77</v>
      </c>
      <c r="F196" t="s">
        <v>38</v>
      </c>
      <c r="G196" t="str">
        <f>+B196&amp;E196&amp;F196</f>
        <v>28004SWEETNESS</v>
      </c>
      <c r="H196">
        <v>564</v>
      </c>
      <c r="I196" s="6">
        <f>VLOOKUP(G196,[3]Astroflores!$G$2:$H$110,2,FALSE)</f>
        <v>660</v>
      </c>
      <c r="J196" s="6">
        <f>+(I196-H196)/I196</f>
        <v>0.14545454545454545</v>
      </c>
    </row>
    <row r="197" spans="1:10">
      <c r="A197">
        <v>2026</v>
      </c>
      <c r="B197">
        <v>27</v>
      </c>
      <c r="C197" t="s">
        <v>7</v>
      </c>
      <c r="D197" t="s">
        <v>8</v>
      </c>
      <c r="E197" s="2" t="s">
        <v>106</v>
      </c>
      <c r="F197" t="s">
        <v>71</v>
      </c>
      <c r="G197" t="str">
        <f>+B197&amp;E197&amp;F197</f>
        <v>27027TIFFANY</v>
      </c>
      <c r="H197">
        <v>3932</v>
      </c>
      <c r="I197" s="6">
        <f>VLOOKUP(G197,[2]Hoja1!$G$8515:$H$8621,2,FALSE)</f>
        <v>4590</v>
      </c>
      <c r="J197" s="6">
        <f>+(I197-H197)/I197</f>
        <v>0.14335511982570806</v>
      </c>
    </row>
    <row r="198" spans="1:10">
      <c r="A198">
        <v>2026</v>
      </c>
      <c r="B198">
        <v>29</v>
      </c>
      <c r="C198" t="s">
        <v>10</v>
      </c>
      <c r="D198" t="s">
        <v>8</v>
      </c>
      <c r="E198" s="2" t="s">
        <v>88</v>
      </c>
      <c r="F198" t="s">
        <v>25</v>
      </c>
      <c r="G198" t="str">
        <f>+B198&amp;E198&amp;F198</f>
        <v>29021ELEGANT ROSEVER</v>
      </c>
      <c r="H198">
        <v>463</v>
      </c>
      <c r="I198" s="6">
        <f>VLOOKUP(G198,[4]Estimado_modelo!$G$2:$I$421,3,FALSE)</f>
        <v>540</v>
      </c>
      <c r="J198" s="6">
        <f>+(I198-H198)/I198</f>
        <v>0.1425925925925926</v>
      </c>
    </row>
    <row r="199" spans="1:10">
      <c r="A199">
        <v>2026</v>
      </c>
      <c r="B199">
        <v>28</v>
      </c>
      <c r="C199" t="s">
        <v>7</v>
      </c>
      <c r="D199" t="s">
        <v>8</v>
      </c>
      <c r="E199" s="2" t="s">
        <v>78</v>
      </c>
      <c r="F199" t="s">
        <v>47</v>
      </c>
      <c r="G199" t="str">
        <f>+B199&amp;E199&amp;F199</f>
        <v>28005VENDELA</v>
      </c>
      <c r="H199">
        <v>1393</v>
      </c>
      <c r="I199" s="6">
        <f>VLOOKUP(G199,[3]Astroflores!$G$2:$H$110,2,FALSE)</f>
        <v>1620</v>
      </c>
      <c r="J199" s="6">
        <f>+(I199-H199)/I199</f>
        <v>0.14012345679012345</v>
      </c>
    </row>
    <row r="200" spans="1:10">
      <c r="A200">
        <v>2026</v>
      </c>
      <c r="B200">
        <v>27</v>
      </c>
      <c r="C200" t="s">
        <v>7</v>
      </c>
      <c r="D200" t="s">
        <v>8</v>
      </c>
      <c r="E200" s="2" t="s">
        <v>78</v>
      </c>
      <c r="F200" t="s">
        <v>46</v>
      </c>
      <c r="G200" t="str">
        <f>+B200&amp;E200&amp;F200</f>
        <v>27005GOLDFINCH</v>
      </c>
      <c r="H200">
        <v>1011</v>
      </c>
      <c r="I200" s="6">
        <f>VLOOKUP(G200,[2]Hoja1!$G$8515:$H$8621,2,FALSE)</f>
        <v>1175</v>
      </c>
      <c r="J200" s="6">
        <f>+(I200-H200)/I200</f>
        <v>0.13957446808510637</v>
      </c>
    </row>
    <row r="201" spans="1:10">
      <c r="A201">
        <v>2026</v>
      </c>
      <c r="B201">
        <v>26</v>
      </c>
      <c r="C201" t="s">
        <v>10</v>
      </c>
      <c r="D201" t="s">
        <v>8</v>
      </c>
      <c r="E201" s="2" t="s">
        <v>91</v>
      </c>
      <c r="F201" t="s">
        <v>30</v>
      </c>
      <c r="G201" t="str">
        <f>+B201&amp;E201&amp;F201</f>
        <v>2603182989</v>
      </c>
      <c r="H201">
        <v>2827</v>
      </c>
      <c r="I201" s="6">
        <f>VLOOKUP(G201,[1]Astroflores!$G$2:$H$109,2,FALSE)</f>
        <v>3280</v>
      </c>
      <c r="J201" s="6">
        <f>+(I201-H201)/I201</f>
        <v>0.13810975609756099</v>
      </c>
    </row>
    <row r="202" spans="1:10">
      <c r="A202">
        <v>2026</v>
      </c>
      <c r="B202">
        <v>26</v>
      </c>
      <c r="C202" t="s">
        <v>7</v>
      </c>
      <c r="D202" t="s">
        <v>8</v>
      </c>
      <c r="E202" s="2" t="s">
        <v>105</v>
      </c>
      <c r="F202" t="s">
        <v>68</v>
      </c>
      <c r="G202" t="str">
        <f>+B202&amp;E202&amp;F202</f>
        <v>26026LOLA</v>
      </c>
      <c r="H202">
        <v>5119</v>
      </c>
      <c r="I202" s="6">
        <f>VLOOKUP(G202,[1]Astroflores!$G$2:$H$109,2,FALSE)</f>
        <v>5925</v>
      </c>
      <c r="J202" s="6">
        <f>+(I202-H202)/I202</f>
        <v>0.13603375527426159</v>
      </c>
    </row>
    <row r="203" spans="1:10">
      <c r="A203">
        <v>2026</v>
      </c>
      <c r="B203">
        <v>27</v>
      </c>
      <c r="C203" t="s">
        <v>7</v>
      </c>
      <c r="D203" t="s">
        <v>8</v>
      </c>
      <c r="E203" s="2" t="s">
        <v>77</v>
      </c>
      <c r="F203" t="s">
        <v>44</v>
      </c>
      <c r="G203" t="str">
        <f>+B203&amp;E203&amp;F203</f>
        <v>27004HOT EXPLORER</v>
      </c>
      <c r="H203">
        <v>3381</v>
      </c>
      <c r="I203" s="6">
        <f>VLOOKUP(G203,[2]Hoja1!$G$8515:$H$8621,2,FALSE)</f>
        <v>3900</v>
      </c>
      <c r="J203" s="6">
        <f>+(I203-H203)/I203</f>
        <v>0.13307692307692306</v>
      </c>
    </row>
    <row r="204" spans="1:10">
      <c r="A204">
        <v>2026</v>
      </c>
      <c r="B204">
        <v>27</v>
      </c>
      <c r="C204" t="s">
        <v>10</v>
      </c>
      <c r="D204" t="s">
        <v>8</v>
      </c>
      <c r="E204" s="2" t="s">
        <v>89</v>
      </c>
      <c r="F204" t="s">
        <v>19</v>
      </c>
      <c r="G204" t="str">
        <f>+B204&amp;E204&amp;F204</f>
        <v>27022GOOD PEACH</v>
      </c>
      <c r="H204">
        <v>2135</v>
      </c>
      <c r="I204" s="6">
        <f>VLOOKUP(G204,[2]Hoja1!$G$8515:$H$8621,2,FALSE)</f>
        <v>2460</v>
      </c>
      <c r="J204" s="6">
        <f>+(I204-H204)/I204</f>
        <v>0.13211382113821138</v>
      </c>
    </row>
    <row r="205" spans="1:10">
      <c r="A205">
        <v>2026</v>
      </c>
      <c r="B205">
        <v>26</v>
      </c>
      <c r="C205" t="s">
        <v>7</v>
      </c>
      <c r="D205" t="s">
        <v>8</v>
      </c>
      <c r="E205" s="2" t="s">
        <v>77</v>
      </c>
      <c r="F205" t="s">
        <v>40</v>
      </c>
      <c r="G205" t="str">
        <f>+B205&amp;E205&amp;F205</f>
        <v>26004DEEP PURPLE</v>
      </c>
      <c r="H205">
        <v>13562</v>
      </c>
      <c r="I205" s="6">
        <f>VLOOKUP(G205,[1]Astroflores!$G$2:$H$109,2,FALSE)</f>
        <v>15540</v>
      </c>
      <c r="J205" s="6">
        <f>+(I205-H205)/I205</f>
        <v>0.12728442728442729</v>
      </c>
    </row>
    <row r="206" spans="1:10">
      <c r="A206">
        <v>2026</v>
      </c>
      <c r="B206">
        <v>29</v>
      </c>
      <c r="C206" t="s">
        <v>7</v>
      </c>
      <c r="D206" t="s">
        <v>8</v>
      </c>
      <c r="E206" s="2" t="s">
        <v>101</v>
      </c>
      <c r="F206" t="s">
        <v>59</v>
      </c>
      <c r="G206" t="str">
        <f>+B206&amp;E206&amp;F206</f>
        <v>29013LORRAINE</v>
      </c>
      <c r="H206">
        <v>3524</v>
      </c>
      <c r="I206" s="6">
        <f>VLOOKUP(G206,[4]Estimado_modelo!$G$2:$I$421,3,FALSE)</f>
        <v>4025</v>
      </c>
      <c r="J206" s="6">
        <f>+(I206-H206)/I206</f>
        <v>0.12447204968944099</v>
      </c>
    </row>
    <row r="207" spans="1:10">
      <c r="A207">
        <v>2026</v>
      </c>
      <c r="B207">
        <v>27</v>
      </c>
      <c r="C207" t="s">
        <v>10</v>
      </c>
      <c r="D207" t="s">
        <v>8</v>
      </c>
      <c r="E207" s="2" t="s">
        <v>79</v>
      </c>
      <c r="F207" t="s">
        <v>16</v>
      </c>
      <c r="G207" t="str">
        <f>+B207&amp;E207&amp;F207</f>
        <v>27007SNOW BUBBLES</v>
      </c>
      <c r="H207">
        <v>788</v>
      </c>
      <c r="I207" s="6">
        <f>VLOOKUP(G207,[2]Hoja1!$G$8515:$H$8621,2,FALSE)</f>
        <v>900</v>
      </c>
      <c r="J207" s="6">
        <f>+(I207-H207)/I207</f>
        <v>0.12444444444444444</v>
      </c>
    </row>
    <row r="208" spans="1:10">
      <c r="A208">
        <v>2026</v>
      </c>
      <c r="B208">
        <v>29</v>
      </c>
      <c r="C208" t="s">
        <v>7</v>
      </c>
      <c r="D208" t="s">
        <v>8</v>
      </c>
      <c r="E208" s="2" t="s">
        <v>77</v>
      </c>
      <c r="F208" t="s">
        <v>43</v>
      </c>
      <c r="G208" t="str">
        <f>+B208&amp;E208&amp;F208</f>
        <v>29004COTOPAXI</v>
      </c>
      <c r="H208">
        <v>788</v>
      </c>
      <c r="I208" s="6">
        <f>VLOOKUP(G208,[4]Estimado_modelo!$G$2:$I$421,3,FALSE)</f>
        <v>900</v>
      </c>
      <c r="J208" s="6">
        <f>+(I208-H208)/I208</f>
        <v>0.12444444444444444</v>
      </c>
    </row>
    <row r="209" spans="1:10">
      <c r="A209">
        <v>2026</v>
      </c>
      <c r="B209">
        <v>26</v>
      </c>
      <c r="C209" t="s">
        <v>10</v>
      </c>
      <c r="D209" t="s">
        <v>8</v>
      </c>
      <c r="E209" s="2" t="s">
        <v>80</v>
      </c>
      <c r="F209" t="s">
        <v>14</v>
      </c>
      <c r="G209" t="str">
        <f>+B209&amp;E209&amp;F209</f>
        <v>26009HOT BUBBLES</v>
      </c>
      <c r="H209">
        <v>11826</v>
      </c>
      <c r="I209" s="6">
        <f>VLOOKUP(G209,[1]Astroflores!$G$2:$H$109,2,FALSE)</f>
        <v>13480</v>
      </c>
      <c r="J209" s="6">
        <f>+(I209-H209)/I209</f>
        <v>0.12270029673590505</v>
      </c>
    </row>
    <row r="210" spans="1:10">
      <c r="A210">
        <v>2026</v>
      </c>
      <c r="B210">
        <v>26</v>
      </c>
      <c r="C210" t="s">
        <v>10</v>
      </c>
      <c r="D210" t="s">
        <v>8</v>
      </c>
      <c r="E210" s="2" t="s">
        <v>90</v>
      </c>
      <c r="F210" t="s">
        <v>11</v>
      </c>
      <c r="G210" t="str">
        <f>+B210&amp;E210&amp;F210</f>
        <v>26030SOMERSET</v>
      </c>
      <c r="H210">
        <v>3581</v>
      </c>
      <c r="I210" s="6">
        <f>VLOOKUP(G210,[1]Astroflores!$G$2:$H$109,2,FALSE)</f>
        <v>4080</v>
      </c>
      <c r="J210" s="6">
        <f>+(I210-H210)/I210</f>
        <v>0.12230392156862745</v>
      </c>
    </row>
    <row r="211" spans="1:10">
      <c r="A211">
        <v>2026</v>
      </c>
      <c r="B211">
        <v>26</v>
      </c>
      <c r="C211" t="s">
        <v>7</v>
      </c>
      <c r="D211" t="s">
        <v>8</v>
      </c>
      <c r="E211" s="2" t="s">
        <v>77</v>
      </c>
      <c r="F211" t="s">
        <v>45</v>
      </c>
      <c r="G211" t="str">
        <f>+B211&amp;E211&amp;F211</f>
        <v>26004HOT MERENGUE</v>
      </c>
      <c r="H211">
        <v>3056</v>
      </c>
      <c r="I211" s="6">
        <f>VLOOKUP(G211,[1]Astroflores!$G$2:$H$109,2,FALSE)</f>
        <v>3480</v>
      </c>
      <c r="J211" s="6">
        <f>+(I211-H211)/I211</f>
        <v>0.12183908045977011</v>
      </c>
    </row>
    <row r="212" spans="1:10">
      <c r="A212">
        <v>2026</v>
      </c>
      <c r="B212">
        <v>29</v>
      </c>
      <c r="C212" t="s">
        <v>10</v>
      </c>
      <c r="D212" t="s">
        <v>8</v>
      </c>
      <c r="E212" s="2" t="s">
        <v>86</v>
      </c>
      <c r="F212" t="s">
        <v>12</v>
      </c>
      <c r="G212" t="str">
        <f>+B212&amp;E212&amp;F212</f>
        <v>29019BELLINA</v>
      </c>
      <c r="H212">
        <v>1528</v>
      </c>
      <c r="I212" s="6">
        <f>VLOOKUP(G212,[4]Estimado_modelo!$G$2:$I$421,3,FALSE)</f>
        <v>1740</v>
      </c>
      <c r="J212" s="6">
        <f>+(I212-H212)/I212</f>
        <v>0.12183908045977011</v>
      </c>
    </row>
    <row r="213" spans="1:10">
      <c r="A213">
        <v>2026</v>
      </c>
      <c r="B213">
        <v>27</v>
      </c>
      <c r="C213" t="s">
        <v>7</v>
      </c>
      <c r="D213" t="s">
        <v>8</v>
      </c>
      <c r="E213" s="2" t="s">
        <v>104</v>
      </c>
      <c r="F213" t="s">
        <v>67</v>
      </c>
      <c r="G213" t="str">
        <f>+B213&amp;E213&amp;F213</f>
        <v>27025PINK MONDIAL</v>
      </c>
      <c r="H213">
        <v>5013</v>
      </c>
      <c r="I213" s="6">
        <f>VLOOKUP(G213,[2]Hoja1!$G$8515:$H$8621,2,FALSE)</f>
        <v>5700</v>
      </c>
      <c r="J213" s="6">
        <f>+(I213-H213)/I213</f>
        <v>0.12052631578947369</v>
      </c>
    </row>
    <row r="214" spans="1:10">
      <c r="A214">
        <v>2026</v>
      </c>
      <c r="B214">
        <v>26</v>
      </c>
      <c r="C214" t="s">
        <v>7</v>
      </c>
      <c r="D214" t="s">
        <v>8</v>
      </c>
      <c r="E214" s="2" t="s">
        <v>79</v>
      </c>
      <c r="F214" t="s">
        <v>50</v>
      </c>
      <c r="G214" t="str">
        <f>+B214&amp;E214&amp;F214</f>
        <v>26007REDIANT</v>
      </c>
      <c r="H214">
        <v>1637</v>
      </c>
      <c r="I214" s="6">
        <f>VLOOKUP(G214,[1]Astroflores!$G$2:$H$109,2,FALSE)</f>
        <v>1860</v>
      </c>
      <c r="J214" s="6">
        <f>+(I214-H214)/I214</f>
        <v>0.11989247311827957</v>
      </c>
    </row>
    <row r="215" spans="1:10">
      <c r="A215">
        <v>2026</v>
      </c>
      <c r="B215">
        <v>28</v>
      </c>
      <c r="C215" t="s">
        <v>10</v>
      </c>
      <c r="D215" t="s">
        <v>8</v>
      </c>
      <c r="E215" s="2" t="s">
        <v>93</v>
      </c>
      <c r="F215" t="s">
        <v>32</v>
      </c>
      <c r="G215" t="str">
        <f>+B215&amp;E215&amp;F215</f>
        <v>28033CREAMY FOLIES</v>
      </c>
      <c r="H215">
        <v>819</v>
      </c>
      <c r="I215" s="6">
        <f>VLOOKUP(G215,[3]Astroflores!$G$2:$H$110,2,FALSE)</f>
        <v>930</v>
      </c>
      <c r="J215" s="6">
        <f>+(I215-H215)/I215</f>
        <v>0.11935483870967742</v>
      </c>
    </row>
    <row r="216" spans="1:10">
      <c r="A216">
        <v>2026</v>
      </c>
      <c r="B216">
        <v>28</v>
      </c>
      <c r="C216" t="s">
        <v>7</v>
      </c>
      <c r="D216" t="s">
        <v>8</v>
      </c>
      <c r="E216" s="2" t="s">
        <v>108</v>
      </c>
      <c r="F216" t="s">
        <v>72</v>
      </c>
      <c r="G216" t="str">
        <f>+B216&amp;E216&amp;F216</f>
        <v>28029PINK FLOYD</v>
      </c>
      <c r="H216">
        <v>3635</v>
      </c>
      <c r="I216" s="6">
        <f>VLOOKUP(G216,[3]Astroflores!$G$2:$H$110,2,FALSE)</f>
        <v>4125</v>
      </c>
      <c r="J216" s="6">
        <f>+(I216-H216)/I216</f>
        <v>0.11878787878787879</v>
      </c>
    </row>
    <row r="217" spans="1:10">
      <c r="A217">
        <v>2026</v>
      </c>
      <c r="B217">
        <v>28</v>
      </c>
      <c r="C217" t="s">
        <v>10</v>
      </c>
      <c r="D217" t="s">
        <v>8</v>
      </c>
      <c r="E217" s="2" t="s">
        <v>87</v>
      </c>
      <c r="F217" t="s">
        <v>24</v>
      </c>
      <c r="G217" t="str">
        <f>+B217&amp;E217&amp;F217</f>
        <v>28020SUMMER DANCE</v>
      </c>
      <c r="H217">
        <v>3118</v>
      </c>
      <c r="I217" s="6">
        <f>VLOOKUP(G217,[3]Astroflores!$G$2:$H$110,2,FALSE)</f>
        <v>3525</v>
      </c>
      <c r="J217" s="6">
        <f>+(I217-H217)/I217</f>
        <v>0.11546099290780142</v>
      </c>
    </row>
    <row r="218" spans="1:10">
      <c r="A218">
        <v>2026</v>
      </c>
      <c r="B218">
        <v>28</v>
      </c>
      <c r="C218" t="s">
        <v>7</v>
      </c>
      <c r="D218" t="s">
        <v>8</v>
      </c>
      <c r="E218" s="2" t="s">
        <v>101</v>
      </c>
      <c r="F218" t="s">
        <v>9</v>
      </c>
      <c r="G218" t="str">
        <f>+B218&amp;E218&amp;F218</f>
        <v>28013LUMIA</v>
      </c>
      <c r="H218">
        <v>558</v>
      </c>
      <c r="I218" s="6">
        <f>VLOOKUP(G218,[3]Astroflores!$G$2:$H$110,2,FALSE)</f>
        <v>630</v>
      </c>
      <c r="J218" s="6">
        <f>+(I218-H218)/I218</f>
        <v>0.11428571428571428</v>
      </c>
    </row>
    <row r="219" spans="1:10">
      <c r="A219">
        <v>2026</v>
      </c>
      <c r="B219">
        <v>29</v>
      </c>
      <c r="C219" t="s">
        <v>7</v>
      </c>
      <c r="D219" t="s">
        <v>8</v>
      </c>
      <c r="E219" s="2" t="s">
        <v>79</v>
      </c>
      <c r="F219" t="s">
        <v>47</v>
      </c>
      <c r="G219" t="str">
        <f>+B219&amp;E219&amp;F219</f>
        <v>29007VENDELA</v>
      </c>
      <c r="H219">
        <v>9434</v>
      </c>
      <c r="I219" s="6">
        <f>VLOOKUP(G219,[4]Estimado_modelo!$G$2:$I$421,3,FALSE)</f>
        <v>10650</v>
      </c>
      <c r="J219" s="6">
        <f>+(I219-H219)/I219</f>
        <v>0.11417840375586855</v>
      </c>
    </row>
    <row r="220" spans="1:10">
      <c r="A220">
        <v>2026</v>
      </c>
      <c r="B220">
        <v>27</v>
      </c>
      <c r="C220" t="s">
        <v>7</v>
      </c>
      <c r="D220" t="s">
        <v>8</v>
      </c>
      <c r="E220" s="2" t="s">
        <v>97</v>
      </c>
      <c r="F220" t="s">
        <v>51</v>
      </c>
      <c r="G220" t="str">
        <f>+B220&amp;E220&amp;F220</f>
        <v>27008FREEDOM</v>
      </c>
      <c r="H220">
        <v>3880</v>
      </c>
      <c r="I220" s="6">
        <f>VLOOKUP(G220,[2]Hoja1!$G$8515:$H$8621,2,FALSE)</f>
        <v>4380</v>
      </c>
      <c r="J220" s="6">
        <f>+(I220-H220)/I220</f>
        <v>0.11415525114155251</v>
      </c>
    </row>
    <row r="221" spans="1:10">
      <c r="A221">
        <v>2026</v>
      </c>
      <c r="B221">
        <v>27</v>
      </c>
      <c r="C221" t="s">
        <v>7</v>
      </c>
      <c r="D221" t="s">
        <v>8</v>
      </c>
      <c r="E221" s="2" t="s">
        <v>77</v>
      </c>
      <c r="F221" t="s">
        <v>45</v>
      </c>
      <c r="G221" t="str">
        <f>+B221&amp;E221&amp;F221</f>
        <v>27004HOT MERENGUE</v>
      </c>
      <c r="H221">
        <v>2846</v>
      </c>
      <c r="I221" s="6">
        <f>VLOOKUP(G221,[2]Hoja1!$G$8515:$H$8621,2,FALSE)</f>
        <v>3210</v>
      </c>
      <c r="J221" s="6">
        <f>+(I221-H221)/I221</f>
        <v>0.11339563862928349</v>
      </c>
    </row>
    <row r="222" spans="1:10">
      <c r="A222">
        <v>2026</v>
      </c>
      <c r="B222">
        <v>26</v>
      </c>
      <c r="C222" t="s">
        <v>7</v>
      </c>
      <c r="D222" t="s">
        <v>8</v>
      </c>
      <c r="E222" s="2" t="s">
        <v>84</v>
      </c>
      <c r="F222" t="s">
        <v>51</v>
      </c>
      <c r="G222" t="str">
        <f>+B222&amp;E222&amp;F222</f>
        <v>26017FREEDOM</v>
      </c>
      <c r="H222">
        <v>5654</v>
      </c>
      <c r="I222" s="6">
        <f>VLOOKUP(G222,[1]Astroflores!$G$2:$H$109,2,FALSE)</f>
        <v>6360</v>
      </c>
      <c r="J222" s="6">
        <f>+(I222-H222)/I222</f>
        <v>0.1110062893081761</v>
      </c>
    </row>
    <row r="223" spans="1:10">
      <c r="A223">
        <v>2026</v>
      </c>
      <c r="B223">
        <v>27</v>
      </c>
      <c r="C223" t="s">
        <v>10</v>
      </c>
      <c r="D223" t="s">
        <v>8</v>
      </c>
      <c r="E223" s="2" t="s">
        <v>89</v>
      </c>
      <c r="F223" t="s">
        <v>17</v>
      </c>
      <c r="G223" t="str">
        <f>+B223&amp;E223&amp;F223</f>
        <v>27022FRUITY BUBBLES</v>
      </c>
      <c r="H223">
        <v>5495</v>
      </c>
      <c r="I223" s="6">
        <f>VLOOKUP(G223,[2]Hoja1!$G$8515:$H$8621,2,FALSE)</f>
        <v>6175</v>
      </c>
      <c r="J223" s="6">
        <f>+(I223-H223)/I223</f>
        <v>0.11012145748987855</v>
      </c>
    </row>
    <row r="224" spans="1:10">
      <c r="A224">
        <v>2026</v>
      </c>
      <c r="B224">
        <v>28</v>
      </c>
      <c r="C224" t="s">
        <v>7</v>
      </c>
      <c r="D224" t="s">
        <v>8</v>
      </c>
      <c r="E224" s="2" t="s">
        <v>83</v>
      </c>
      <c r="F224" t="s">
        <v>60</v>
      </c>
      <c r="G224" t="str">
        <f>+B224&amp;E224&amp;F224</f>
        <v>28016DREAM IN PEACH</v>
      </c>
      <c r="H224">
        <v>1736</v>
      </c>
      <c r="I224" s="6">
        <f>VLOOKUP(G224,[3]Astroflores!$G$2:$H$110,2,FALSE)</f>
        <v>1950</v>
      </c>
      <c r="J224" s="6">
        <f>+(I224-H224)/I224</f>
        <v>0.10974358974358975</v>
      </c>
    </row>
    <row r="225" spans="1:11">
      <c r="A225">
        <v>2026</v>
      </c>
      <c r="B225">
        <v>28</v>
      </c>
      <c r="C225" t="s">
        <v>7</v>
      </c>
      <c r="D225" t="s">
        <v>8</v>
      </c>
      <c r="E225" s="2" t="s">
        <v>79</v>
      </c>
      <c r="F225" t="s">
        <v>47</v>
      </c>
      <c r="G225" t="str">
        <f>+B225&amp;E225&amp;F225</f>
        <v>28007VENDELA</v>
      </c>
      <c r="H225">
        <v>8435</v>
      </c>
      <c r="I225" s="6">
        <f>VLOOKUP(G225,[3]Astroflores!$G$2:$H$110,2,FALSE)</f>
        <v>9450</v>
      </c>
      <c r="J225" s="6">
        <f>+(I225-H225)/I225</f>
        <v>0.10740740740740741</v>
      </c>
    </row>
    <row r="226" spans="1:11">
      <c r="A226">
        <v>2026</v>
      </c>
      <c r="B226">
        <v>26</v>
      </c>
      <c r="C226" t="s">
        <v>7</v>
      </c>
      <c r="D226" t="s">
        <v>8</v>
      </c>
      <c r="E226" s="2" t="s">
        <v>78</v>
      </c>
      <c r="F226" t="s">
        <v>41</v>
      </c>
      <c r="G226" t="str">
        <f>+B226&amp;E226&amp;F226</f>
        <v>26005JOCKER</v>
      </c>
      <c r="H226">
        <v>2056</v>
      </c>
      <c r="I226" s="6">
        <f>VLOOKUP(G226,[1]Astroflores!$G$2:$H$109,2,FALSE)</f>
        <v>2300</v>
      </c>
      <c r="J226" s="6">
        <f>+(I226-H226)/I226</f>
        <v>0.10608695652173913</v>
      </c>
    </row>
    <row r="227" spans="1:11">
      <c r="A227">
        <v>2026</v>
      </c>
      <c r="B227">
        <v>27</v>
      </c>
      <c r="C227" t="s">
        <v>7</v>
      </c>
      <c r="D227" t="s">
        <v>8</v>
      </c>
      <c r="E227" s="2" t="s">
        <v>84</v>
      </c>
      <c r="F227" t="s">
        <v>51</v>
      </c>
      <c r="G227" t="str">
        <f>+B227&amp;E227&amp;F227</f>
        <v>27017FREEDOM</v>
      </c>
      <c r="H227">
        <v>5260</v>
      </c>
      <c r="I227" s="6">
        <f>VLOOKUP(G227,[2]Hoja1!$G$8515:$H$8621,2,FALSE)</f>
        <v>5880</v>
      </c>
      <c r="J227" s="6">
        <f>+(I227-H227)/I227</f>
        <v>0.10544217687074831</v>
      </c>
    </row>
    <row r="228" spans="1:11">
      <c r="A228">
        <v>2026</v>
      </c>
      <c r="B228">
        <v>27</v>
      </c>
      <c r="C228" t="s">
        <v>10</v>
      </c>
      <c r="D228" t="s">
        <v>8</v>
      </c>
      <c r="E228" s="2" t="s">
        <v>93</v>
      </c>
      <c r="F228" t="s">
        <v>14</v>
      </c>
      <c r="G228" t="str">
        <f>+B228&amp;E228&amp;F228</f>
        <v>27033HOT BUBBLES</v>
      </c>
      <c r="H228">
        <v>3798</v>
      </c>
      <c r="I228" s="6">
        <f>VLOOKUP(G228,[2]Hoja1!$G$8515:$H$8621,2,FALSE)</f>
        <v>4240</v>
      </c>
      <c r="J228" s="6">
        <f>+(I228-H228)/I228</f>
        <v>0.10424528301886793</v>
      </c>
    </row>
    <row r="229" spans="1:11">
      <c r="A229">
        <v>2026</v>
      </c>
      <c r="B229">
        <v>29</v>
      </c>
      <c r="C229" t="s">
        <v>10</v>
      </c>
      <c r="D229" t="s">
        <v>8</v>
      </c>
      <c r="E229" s="2" t="s">
        <v>84</v>
      </c>
      <c r="F229" t="s">
        <v>21</v>
      </c>
      <c r="G229" t="str">
        <f>+B229&amp;E229&amp;F229</f>
        <v>29017ORANGE STAR</v>
      </c>
      <c r="H229">
        <v>1615</v>
      </c>
      <c r="I229" s="6">
        <f>VLOOKUP(G229,[4]Estimado_modelo!$G$2:$I$421,3,FALSE)</f>
        <v>1800</v>
      </c>
      <c r="J229" s="6">
        <f>+(I229-H229)/I229</f>
        <v>0.10277777777777777</v>
      </c>
    </row>
    <row r="230" spans="1:11">
      <c r="A230">
        <v>2026</v>
      </c>
      <c r="B230">
        <v>29</v>
      </c>
      <c r="C230" t="s">
        <v>10</v>
      </c>
      <c r="D230" t="s">
        <v>8</v>
      </c>
      <c r="E230" s="2" t="s">
        <v>80</v>
      </c>
      <c r="F230" t="s">
        <v>14</v>
      </c>
      <c r="G230" t="str">
        <f>+B230&amp;E230&amp;F230</f>
        <v>29009HOT BUBBLES</v>
      </c>
      <c r="H230">
        <v>6643</v>
      </c>
      <c r="I230" s="6">
        <f>VLOOKUP(G230,[4]Estimado_modelo!$G$2:$I$421,3,FALSE)</f>
        <v>7400</v>
      </c>
      <c r="J230" s="6">
        <f>+(I230-H230)/I230</f>
        <v>0.10229729729729729</v>
      </c>
      <c r="K230" s="5"/>
    </row>
    <row r="231" spans="1:11">
      <c r="A231">
        <v>2026</v>
      </c>
      <c r="B231">
        <v>26</v>
      </c>
      <c r="C231" t="s">
        <v>7</v>
      </c>
      <c r="D231" t="s">
        <v>8</v>
      </c>
      <c r="E231" s="2" t="s">
        <v>98</v>
      </c>
      <c r="F231" t="s">
        <v>52</v>
      </c>
      <c r="G231" t="str">
        <f>+B231&amp;E231&amp;F231</f>
        <v>26010COOLDOWN</v>
      </c>
      <c r="H231">
        <v>3615</v>
      </c>
      <c r="I231" s="6">
        <f>VLOOKUP(G231,[1]Astroflores!$G$2:$H$109,2,FALSE)</f>
        <v>4025</v>
      </c>
      <c r="J231" s="6">
        <f>+(I231-H231)/I231</f>
        <v>0.10186335403726708</v>
      </c>
    </row>
    <row r="232" spans="1:11">
      <c r="A232">
        <v>2026</v>
      </c>
      <c r="B232">
        <v>28</v>
      </c>
      <c r="C232" t="s">
        <v>10</v>
      </c>
      <c r="D232" t="s">
        <v>8</v>
      </c>
      <c r="E232" s="2" t="s">
        <v>91</v>
      </c>
      <c r="F232" t="s">
        <v>23</v>
      </c>
      <c r="G232" t="str">
        <f>+B232&amp;E232&amp;F232</f>
        <v>28031RUBICON</v>
      </c>
      <c r="H232">
        <v>2265</v>
      </c>
      <c r="I232" s="6">
        <f>VLOOKUP(G232,[3]Astroflores!$G$2:$H$110,2,FALSE)</f>
        <v>2520</v>
      </c>
      <c r="J232" s="6">
        <f>+(I232-H232)/I232</f>
        <v>0.10119047619047619</v>
      </c>
    </row>
    <row r="233" spans="1:11">
      <c r="A233">
        <v>2026</v>
      </c>
      <c r="B233">
        <v>28</v>
      </c>
      <c r="C233" t="s">
        <v>7</v>
      </c>
      <c r="D233" t="s">
        <v>8</v>
      </c>
      <c r="E233" s="2" t="s">
        <v>94</v>
      </c>
      <c r="F233" t="s">
        <v>34</v>
      </c>
      <c r="G233" t="str">
        <f>+B233&amp;E233&amp;F233</f>
        <v>28001EXPLORER</v>
      </c>
      <c r="H233">
        <v>4161</v>
      </c>
      <c r="I233" s="6">
        <f>VLOOKUP(G233,[3]Astroflores!$G$2:$H$110,2,FALSE)</f>
        <v>4625</v>
      </c>
      <c r="J233" s="6">
        <f>+(I233-H233)/I233</f>
        <v>0.10032432432432432</v>
      </c>
    </row>
    <row r="234" spans="1:11">
      <c r="A234">
        <v>2026</v>
      </c>
      <c r="B234">
        <v>28</v>
      </c>
      <c r="C234" t="s">
        <v>7</v>
      </c>
      <c r="D234" t="s">
        <v>8</v>
      </c>
      <c r="E234" s="2" t="s">
        <v>103</v>
      </c>
      <c r="F234" t="s">
        <v>43</v>
      </c>
      <c r="G234" t="str">
        <f>+B234&amp;E234&amp;F234</f>
        <v>28024COTOPAXI</v>
      </c>
      <c r="H234">
        <v>3050</v>
      </c>
      <c r="I234" s="6">
        <f>VLOOKUP(G234,[3]Astroflores!$G$2:$H$110,2,FALSE)</f>
        <v>3390</v>
      </c>
      <c r="J234" s="6">
        <f>+(I234-H234)/I234</f>
        <v>0.10029498525073746</v>
      </c>
    </row>
    <row r="235" spans="1:11">
      <c r="A235">
        <v>2026</v>
      </c>
      <c r="B235">
        <v>26</v>
      </c>
      <c r="C235" t="s">
        <v>7</v>
      </c>
      <c r="D235" t="s">
        <v>8</v>
      </c>
      <c r="E235" s="2" t="s">
        <v>94</v>
      </c>
      <c r="F235" t="s">
        <v>34</v>
      </c>
      <c r="G235" t="str">
        <f>+B235&amp;E235&amp;F235</f>
        <v>26001EXPLORER</v>
      </c>
      <c r="H235">
        <v>6231</v>
      </c>
      <c r="I235" s="6">
        <f>VLOOKUP(G235,[1]Astroflores!$G$2:$H$109,2,FALSE)</f>
        <v>6925</v>
      </c>
      <c r="J235" s="6">
        <f>+(I235-H235)/I235</f>
        <v>0.10021660649819494</v>
      </c>
    </row>
    <row r="236" spans="1:11">
      <c r="A236">
        <v>2026</v>
      </c>
      <c r="B236">
        <v>26</v>
      </c>
      <c r="C236" t="s">
        <v>7</v>
      </c>
      <c r="D236" t="s">
        <v>8</v>
      </c>
      <c r="E236" s="2" t="s">
        <v>83</v>
      </c>
      <c r="F236" t="s">
        <v>61</v>
      </c>
      <c r="G236" t="str">
        <f>+B236&amp;E236&amp;F236</f>
        <v>26016NINA</v>
      </c>
      <c r="H236">
        <v>4485</v>
      </c>
      <c r="I236" s="6">
        <f>VLOOKUP(G236,[1]Astroflores!$G$2:$H$109,2,FALSE)</f>
        <v>4975</v>
      </c>
      <c r="J236" s="6">
        <f>+(I236-H236)/I236</f>
        <v>9.8492462311557782E-2</v>
      </c>
    </row>
    <row r="237" spans="1:11">
      <c r="A237">
        <v>2026</v>
      </c>
      <c r="B237">
        <v>26</v>
      </c>
      <c r="C237" t="s">
        <v>10</v>
      </c>
      <c r="D237" t="s">
        <v>8</v>
      </c>
      <c r="E237" s="2" t="s">
        <v>87</v>
      </c>
      <c r="F237" t="s">
        <v>24</v>
      </c>
      <c r="G237" t="str">
        <f>+B237&amp;E237&amp;F237</f>
        <v>26020SUMMER DANCE</v>
      </c>
      <c r="H237">
        <v>3271</v>
      </c>
      <c r="I237" s="6">
        <f>VLOOKUP(G237,[1]Astroflores!$G$2:$H$109,2,FALSE)</f>
        <v>3625</v>
      </c>
      <c r="J237" s="6">
        <f>+(I237-H237)/I237</f>
        <v>9.7655172413793109E-2</v>
      </c>
    </row>
    <row r="238" spans="1:11">
      <c r="A238">
        <v>2026</v>
      </c>
      <c r="B238">
        <v>26</v>
      </c>
      <c r="C238" t="s">
        <v>7</v>
      </c>
      <c r="D238" t="s">
        <v>8</v>
      </c>
      <c r="E238" s="2" t="s">
        <v>76</v>
      </c>
      <c r="F238" t="s">
        <v>38</v>
      </c>
      <c r="G238" t="str">
        <f>+B238&amp;E238&amp;F238</f>
        <v>26002SWEETNESS</v>
      </c>
      <c r="H238">
        <v>7915</v>
      </c>
      <c r="I238" s="6">
        <f>VLOOKUP(G238,[1]Astroflores!$G$2:$H$109,2,FALSE)</f>
        <v>8760</v>
      </c>
      <c r="J238" s="6">
        <f>+(I238-H238)/I238</f>
        <v>9.6461187214611874E-2</v>
      </c>
    </row>
    <row r="239" spans="1:11">
      <c r="A239">
        <v>2026</v>
      </c>
      <c r="B239">
        <v>27</v>
      </c>
      <c r="C239" t="s">
        <v>10</v>
      </c>
      <c r="D239" t="s">
        <v>8</v>
      </c>
      <c r="E239" s="2" t="s">
        <v>87</v>
      </c>
      <c r="F239" t="s">
        <v>24</v>
      </c>
      <c r="G239" t="str">
        <f>+B239&amp;E239&amp;F239</f>
        <v>27020SUMMER DANCE</v>
      </c>
      <c r="H239">
        <v>3053</v>
      </c>
      <c r="I239" s="6">
        <f>VLOOKUP(G239,[2]Hoja1!$G$8515:$H$8621,2,FALSE)</f>
        <v>3375</v>
      </c>
      <c r="J239" s="6">
        <f>+(I239-H239)/I239</f>
        <v>9.5407407407407413E-2</v>
      </c>
    </row>
    <row r="240" spans="1:11">
      <c r="A240">
        <v>2026</v>
      </c>
      <c r="B240">
        <v>29</v>
      </c>
      <c r="C240" t="s">
        <v>7</v>
      </c>
      <c r="D240" t="s">
        <v>8</v>
      </c>
      <c r="E240" s="2" t="s">
        <v>86</v>
      </c>
      <c r="F240" t="s">
        <v>54</v>
      </c>
      <c r="G240" t="str">
        <f>+B240&amp;E240&amp;F240</f>
        <v>29019BRIGHTON</v>
      </c>
      <c r="H240">
        <v>8504</v>
      </c>
      <c r="I240" s="6">
        <f>VLOOKUP(G240,[4]Estimado_modelo!$G$2:$I$421,3,FALSE)</f>
        <v>9375</v>
      </c>
      <c r="J240" s="6">
        <f>+(I240-H240)/I240</f>
        <v>9.2906666666666665E-2</v>
      </c>
    </row>
    <row r="241" spans="1:10">
      <c r="A241">
        <v>2026</v>
      </c>
      <c r="B241">
        <v>26</v>
      </c>
      <c r="C241" t="s">
        <v>7</v>
      </c>
      <c r="D241" t="s">
        <v>8</v>
      </c>
      <c r="E241" s="2" t="s">
        <v>100</v>
      </c>
      <c r="F241" t="s">
        <v>40</v>
      </c>
      <c r="G241" t="str">
        <f>+B241&amp;E241&amp;F241</f>
        <v>26012DEEP PURPLE</v>
      </c>
      <c r="H241">
        <v>15398</v>
      </c>
      <c r="I241" s="6">
        <f>VLOOKUP(G241,[1]Astroflores!$G$2:$H$109,2,FALSE)</f>
        <v>16890</v>
      </c>
      <c r="J241" s="6">
        <f>+(I241-H241)/I241</f>
        <v>8.8336293664890472E-2</v>
      </c>
    </row>
    <row r="242" spans="1:10">
      <c r="A242">
        <v>2026</v>
      </c>
      <c r="B242">
        <v>27</v>
      </c>
      <c r="C242" t="s">
        <v>10</v>
      </c>
      <c r="D242" t="s">
        <v>8</v>
      </c>
      <c r="E242" s="2" t="s">
        <v>77</v>
      </c>
      <c r="F242" t="s">
        <v>12</v>
      </c>
      <c r="G242" t="str">
        <f>+B242&amp;E242&amp;F242</f>
        <v>27004BELLINA</v>
      </c>
      <c r="H242">
        <v>1669</v>
      </c>
      <c r="I242" s="6">
        <f>VLOOKUP(G242,[2]Hoja1!$G$8515:$H$8621,2,FALSE)</f>
        <v>1830</v>
      </c>
      <c r="J242" s="6">
        <f>+(I242-H242)/I242</f>
        <v>8.797814207650273E-2</v>
      </c>
    </row>
    <row r="243" spans="1:10">
      <c r="A243">
        <v>2026</v>
      </c>
      <c r="B243">
        <v>29</v>
      </c>
      <c r="C243" t="s">
        <v>7</v>
      </c>
      <c r="D243" t="s">
        <v>8</v>
      </c>
      <c r="E243" s="2" t="s">
        <v>78</v>
      </c>
      <c r="F243" t="s">
        <v>47</v>
      </c>
      <c r="G243" t="str">
        <f>+B243&amp;E243&amp;F243</f>
        <v>29005VENDELA</v>
      </c>
      <c r="H243">
        <v>1568</v>
      </c>
      <c r="I243" s="6">
        <f>VLOOKUP(G243,[4]Estimado_modelo!$G$2:$I$421,3,FALSE)</f>
        <v>1710</v>
      </c>
      <c r="J243" s="6">
        <f>+(I243-H243)/I243</f>
        <v>8.3040935672514624E-2</v>
      </c>
    </row>
    <row r="244" spans="1:10">
      <c r="A244">
        <v>2026</v>
      </c>
      <c r="B244">
        <v>27</v>
      </c>
      <c r="C244" t="s">
        <v>7</v>
      </c>
      <c r="D244" t="s">
        <v>8</v>
      </c>
      <c r="E244" s="2" t="s">
        <v>79</v>
      </c>
      <c r="F244" t="s">
        <v>43</v>
      </c>
      <c r="G244" t="str">
        <f>+B244&amp;E244&amp;F244</f>
        <v>27007COTOPAXI</v>
      </c>
      <c r="H244">
        <v>7438</v>
      </c>
      <c r="I244" s="6">
        <f>VLOOKUP(G244,[2]Hoja1!$G$8515:$H$8621,2,FALSE)</f>
        <v>8100</v>
      </c>
      <c r="J244" s="6">
        <f>+(I244-H244)/I244</f>
        <v>8.1728395061728396E-2</v>
      </c>
    </row>
    <row r="245" spans="1:10">
      <c r="A245">
        <v>2026</v>
      </c>
      <c r="B245">
        <v>28</v>
      </c>
      <c r="C245" t="s">
        <v>7</v>
      </c>
      <c r="D245" t="s">
        <v>8</v>
      </c>
      <c r="E245" s="2" t="s">
        <v>96</v>
      </c>
      <c r="F245" t="s">
        <v>34</v>
      </c>
      <c r="G245" t="str">
        <f>+B245&amp;E245&amp;F245</f>
        <v>28006EXPLORER</v>
      </c>
      <c r="H245">
        <v>5560</v>
      </c>
      <c r="I245" s="6">
        <f>VLOOKUP(G245,[3]Astroflores!$G$2:$H$110,2,FALSE)</f>
        <v>6050</v>
      </c>
      <c r="J245" s="6">
        <f>+(I245-H245)/I245</f>
        <v>8.0991735537190079E-2</v>
      </c>
    </row>
    <row r="246" spans="1:10">
      <c r="A246">
        <v>2026</v>
      </c>
      <c r="B246">
        <v>28</v>
      </c>
      <c r="C246" t="s">
        <v>10</v>
      </c>
      <c r="D246" t="s">
        <v>8</v>
      </c>
      <c r="E246" s="2" t="s">
        <v>85</v>
      </c>
      <c r="F246" t="s">
        <v>22</v>
      </c>
      <c r="G246" t="str">
        <f>+B246&amp;E246&amp;F246</f>
        <v>28018COSMO</v>
      </c>
      <c r="H246">
        <v>3401</v>
      </c>
      <c r="I246" s="6">
        <f>VLOOKUP(G246,[3]Astroflores!$G$2:$H$110,2,FALSE)</f>
        <v>3700</v>
      </c>
      <c r="J246" s="6">
        <f>+(I246-H246)/I246</f>
        <v>8.0810810810810804E-2</v>
      </c>
    </row>
    <row r="247" spans="1:10">
      <c r="A247">
        <v>2026</v>
      </c>
      <c r="B247">
        <v>26</v>
      </c>
      <c r="C247" t="s">
        <v>7</v>
      </c>
      <c r="D247" t="s">
        <v>8</v>
      </c>
      <c r="E247" s="2" t="s">
        <v>77</v>
      </c>
      <c r="F247" t="s">
        <v>44</v>
      </c>
      <c r="G247" t="str">
        <f>+B247&amp;E247&amp;F247</f>
        <v>26004HOT EXPLORER</v>
      </c>
      <c r="H247">
        <v>4531</v>
      </c>
      <c r="I247" s="6">
        <f>VLOOKUP(G247,[1]Astroflores!$G$2:$H$109,2,FALSE)</f>
        <v>4925</v>
      </c>
      <c r="J247" s="6">
        <f>+(I247-H247)/I247</f>
        <v>0.08</v>
      </c>
    </row>
    <row r="248" spans="1:10">
      <c r="A248">
        <v>2026</v>
      </c>
      <c r="B248">
        <v>29</v>
      </c>
      <c r="C248" t="s">
        <v>7</v>
      </c>
      <c r="D248" t="s">
        <v>8</v>
      </c>
      <c r="E248" s="2" t="s">
        <v>89</v>
      </c>
      <c r="F248" t="s">
        <v>65</v>
      </c>
      <c r="G248" t="str">
        <f>+B248&amp;E248&amp;F248</f>
        <v>29022CORAL REEF</v>
      </c>
      <c r="H248">
        <v>2193</v>
      </c>
      <c r="I248" s="6">
        <f>VLOOKUP(G248,[4]Estimado_modelo!$G$2:$I$421,3,FALSE)</f>
        <v>2375</v>
      </c>
      <c r="J248" s="6">
        <f>+(I248-H248)/I248</f>
        <v>7.6631578947368426E-2</v>
      </c>
    </row>
    <row r="249" spans="1:10">
      <c r="A249">
        <v>2026</v>
      </c>
      <c r="B249">
        <v>27</v>
      </c>
      <c r="C249" t="s">
        <v>7</v>
      </c>
      <c r="D249" t="s">
        <v>8</v>
      </c>
      <c r="E249" s="2" t="s">
        <v>94</v>
      </c>
      <c r="F249" t="s">
        <v>35</v>
      </c>
      <c r="G249" t="str">
        <f>+B249&amp;E249&amp;F249</f>
        <v>27001GRACE KELLY</v>
      </c>
      <c r="H249">
        <v>1803</v>
      </c>
      <c r="I249" s="6">
        <f>VLOOKUP(G249,[2]Hoja1!$G$8515:$H$8621,2,FALSE)</f>
        <v>1950</v>
      </c>
      <c r="J249" s="6">
        <f>+(I249-H249)/I249</f>
        <v>7.5384615384615383E-2</v>
      </c>
    </row>
    <row r="250" spans="1:10">
      <c r="A250">
        <v>2026</v>
      </c>
      <c r="B250">
        <v>28</v>
      </c>
      <c r="C250" t="s">
        <v>7</v>
      </c>
      <c r="D250" t="s">
        <v>8</v>
      </c>
      <c r="E250" s="2" t="s">
        <v>78</v>
      </c>
      <c r="F250" t="s">
        <v>34</v>
      </c>
      <c r="G250" t="str">
        <f>+B250&amp;E250&amp;F250</f>
        <v>28005EXPLORER</v>
      </c>
      <c r="H250">
        <v>1296</v>
      </c>
      <c r="I250" s="6">
        <f>VLOOKUP(G250,[3]Astroflores!$G$2:$H$110,2,FALSE)</f>
        <v>1400</v>
      </c>
      <c r="J250" s="6">
        <f>+(I250-H250)/I250</f>
        <v>7.4285714285714288E-2</v>
      </c>
    </row>
    <row r="251" spans="1:10">
      <c r="A251">
        <v>2026</v>
      </c>
      <c r="B251">
        <v>29</v>
      </c>
      <c r="C251" t="s">
        <v>7</v>
      </c>
      <c r="D251" t="s">
        <v>8</v>
      </c>
      <c r="E251" s="2" t="s">
        <v>100</v>
      </c>
      <c r="F251" t="s">
        <v>40</v>
      </c>
      <c r="G251" t="str">
        <f>+B251&amp;E251&amp;F251</f>
        <v>29012DEEP PURPLE</v>
      </c>
      <c r="H251">
        <v>17981</v>
      </c>
      <c r="I251" s="6">
        <f>VLOOKUP(G251,[4]Estimado_modelo!$G$2:$I$421,3,FALSE)</f>
        <v>19410</v>
      </c>
      <c r="J251" s="6">
        <f>+(I251-H251)/I251</f>
        <v>7.3621844410097892E-2</v>
      </c>
    </row>
    <row r="252" spans="1:10">
      <c r="A252">
        <v>2026</v>
      </c>
      <c r="B252">
        <v>27</v>
      </c>
      <c r="C252" t="s">
        <v>7</v>
      </c>
      <c r="D252" t="s">
        <v>8</v>
      </c>
      <c r="E252" s="2" t="s">
        <v>95</v>
      </c>
      <c r="F252" t="s">
        <v>42</v>
      </c>
      <c r="G252" t="str">
        <f>+B252&amp;E252&amp;F252</f>
        <v>27003QUICKSAND</v>
      </c>
      <c r="H252">
        <v>1890</v>
      </c>
      <c r="I252" s="6">
        <f>VLOOKUP(G252,[2]Hoja1!$G$8515:$H$8621,2,FALSE)</f>
        <v>2040</v>
      </c>
      <c r="J252" s="6">
        <f>+(I252-H252)/I252</f>
        <v>7.3529411764705885E-2</v>
      </c>
    </row>
    <row r="253" spans="1:10">
      <c r="A253">
        <v>2026</v>
      </c>
      <c r="B253">
        <v>27</v>
      </c>
      <c r="C253" t="s">
        <v>7</v>
      </c>
      <c r="D253" t="s">
        <v>8</v>
      </c>
      <c r="E253" s="2" t="s">
        <v>96</v>
      </c>
      <c r="F253" t="s">
        <v>34</v>
      </c>
      <c r="G253" t="str">
        <f>+B253&amp;E253&amp;F253</f>
        <v>27006EXPLORER</v>
      </c>
      <c r="H253">
        <v>7472</v>
      </c>
      <c r="I253" s="6">
        <f>VLOOKUP(G253,[2]Hoja1!$G$8515:$H$8621,2,FALSE)</f>
        <v>8050</v>
      </c>
      <c r="J253" s="6">
        <f>+(I253-H253)/I253</f>
        <v>7.180124223602484E-2</v>
      </c>
    </row>
    <row r="254" spans="1:10">
      <c r="A254">
        <v>2026</v>
      </c>
      <c r="B254">
        <v>26</v>
      </c>
      <c r="C254" t="s">
        <v>7</v>
      </c>
      <c r="D254" t="s">
        <v>8</v>
      </c>
      <c r="E254" s="2" t="s">
        <v>94</v>
      </c>
      <c r="F254" t="s">
        <v>9</v>
      </c>
      <c r="G254" t="str">
        <f>+B254&amp;E254&amp;F254</f>
        <v>26001LUMIA</v>
      </c>
      <c r="H254">
        <v>1927</v>
      </c>
      <c r="I254" s="6">
        <f>VLOOKUP(G254,[1]Astroflores!$G$2:$H$109,2,FALSE)</f>
        <v>2070</v>
      </c>
      <c r="J254" s="6">
        <f>+(I254-H254)/I254</f>
        <v>6.908212560386473E-2</v>
      </c>
    </row>
    <row r="255" spans="1:10">
      <c r="A255">
        <v>2026</v>
      </c>
      <c r="B255">
        <v>26</v>
      </c>
      <c r="C255" t="s">
        <v>7</v>
      </c>
      <c r="D255" t="s">
        <v>8</v>
      </c>
      <c r="E255" s="2" t="s">
        <v>87</v>
      </c>
      <c r="F255" t="s">
        <v>63</v>
      </c>
      <c r="G255" t="str">
        <f>+B255&amp;E255&amp;F255</f>
        <v>26020TYCOON</v>
      </c>
      <c r="H255">
        <v>1258</v>
      </c>
      <c r="I255" s="6">
        <f>VLOOKUP(G255,[1]Astroflores!$G$2:$H$109,2,FALSE)</f>
        <v>1350</v>
      </c>
      <c r="J255" s="6">
        <f>+(I255-H255)/I255</f>
        <v>6.8148148148148152E-2</v>
      </c>
    </row>
    <row r="256" spans="1:10">
      <c r="A256">
        <v>2026</v>
      </c>
      <c r="B256">
        <v>26</v>
      </c>
      <c r="C256" t="s">
        <v>7</v>
      </c>
      <c r="D256" t="s">
        <v>8</v>
      </c>
      <c r="E256" s="2" t="s">
        <v>94</v>
      </c>
      <c r="F256" t="s">
        <v>36</v>
      </c>
      <c r="G256" t="str">
        <f>+B256&amp;E256&amp;F256</f>
        <v>26001LIGHT HOUSE</v>
      </c>
      <c r="H256">
        <v>2352</v>
      </c>
      <c r="I256" s="6">
        <f>VLOOKUP(G256,[1]Astroflores!$G$2:$H$109,2,FALSE)</f>
        <v>2520</v>
      </c>
      <c r="J256" s="6">
        <f>+(I256-H256)/I256</f>
        <v>6.6666666666666666E-2</v>
      </c>
    </row>
    <row r="257" spans="1:10">
      <c r="A257">
        <v>2026</v>
      </c>
      <c r="B257">
        <v>27</v>
      </c>
      <c r="C257" t="s">
        <v>7</v>
      </c>
      <c r="D257" t="s">
        <v>8</v>
      </c>
      <c r="E257" s="2" t="s">
        <v>89</v>
      </c>
      <c r="F257" t="s">
        <v>65</v>
      </c>
      <c r="G257" t="str">
        <f>+B257&amp;E257&amp;F257</f>
        <v>27022CORAL REEF</v>
      </c>
      <c r="H257">
        <v>2544</v>
      </c>
      <c r="I257" s="6">
        <f>VLOOKUP(G257,[2]Hoja1!$G$8515:$H$8621,2,FALSE)</f>
        <v>2725</v>
      </c>
      <c r="J257" s="6">
        <f>+(I257-H257)/I257</f>
        <v>6.6422018348623851E-2</v>
      </c>
    </row>
    <row r="258" spans="1:10">
      <c r="A258">
        <v>2026</v>
      </c>
      <c r="B258">
        <v>26</v>
      </c>
      <c r="C258" t="s">
        <v>7</v>
      </c>
      <c r="D258" t="s">
        <v>8</v>
      </c>
      <c r="E258" s="2" t="s">
        <v>84</v>
      </c>
      <c r="F258" t="s">
        <v>46</v>
      </c>
      <c r="G258" t="str">
        <f>+B258&amp;E258&amp;F258</f>
        <v>26017GOLDFINCH</v>
      </c>
      <c r="H258">
        <v>3198</v>
      </c>
      <c r="I258" s="6">
        <f>VLOOKUP(G258,[1]Astroflores!$G$2:$H$109,2,FALSE)</f>
        <v>3425</v>
      </c>
      <c r="J258" s="6">
        <f>+(I258-H258)/I258</f>
        <v>6.6277372262773721E-2</v>
      </c>
    </row>
    <row r="259" spans="1:10">
      <c r="A259">
        <v>2026</v>
      </c>
      <c r="B259">
        <v>26</v>
      </c>
      <c r="C259" t="s">
        <v>7</v>
      </c>
      <c r="D259" t="s">
        <v>8</v>
      </c>
      <c r="E259" s="2" t="s">
        <v>95</v>
      </c>
      <c r="F259" t="s">
        <v>40</v>
      </c>
      <c r="G259" t="str">
        <f>+B259&amp;E259&amp;F259</f>
        <v>26003DEEP PURPLE</v>
      </c>
      <c r="H259">
        <v>10629</v>
      </c>
      <c r="I259" s="6">
        <f>VLOOKUP(G259,[1]Astroflores!$G$2:$H$109,2,FALSE)</f>
        <v>11370</v>
      </c>
      <c r="J259" s="6">
        <f>+(I259-H259)/I259</f>
        <v>6.5171503957783636E-2</v>
      </c>
    </row>
    <row r="260" spans="1:10">
      <c r="A260">
        <v>2026</v>
      </c>
      <c r="B260">
        <v>26</v>
      </c>
      <c r="C260" t="s">
        <v>7</v>
      </c>
      <c r="D260" t="s">
        <v>8</v>
      </c>
      <c r="E260" s="2" t="s">
        <v>98</v>
      </c>
      <c r="F260" t="s">
        <v>53</v>
      </c>
      <c r="G260" t="str">
        <f>+B260&amp;E260&amp;F260</f>
        <v>26010VIOLET HILL</v>
      </c>
      <c r="H260">
        <v>5529</v>
      </c>
      <c r="I260" s="6">
        <f>VLOOKUP(G260,[1]Astroflores!$G$2:$H$109,2,FALSE)</f>
        <v>5910</v>
      </c>
      <c r="J260" s="6">
        <f>+(I260-H260)/I260</f>
        <v>6.4467005076142128E-2</v>
      </c>
    </row>
    <row r="261" spans="1:10">
      <c r="A261">
        <v>2026</v>
      </c>
      <c r="B261">
        <v>28</v>
      </c>
      <c r="C261" t="s">
        <v>7</v>
      </c>
      <c r="D261" t="s">
        <v>8</v>
      </c>
      <c r="E261" s="2" t="s">
        <v>95</v>
      </c>
      <c r="F261" t="s">
        <v>34</v>
      </c>
      <c r="G261" t="str">
        <f>+B261&amp;E261&amp;F261</f>
        <v>28003EXPLORER</v>
      </c>
      <c r="H261">
        <v>2225</v>
      </c>
      <c r="I261" s="6">
        <f>VLOOKUP(G261,[3]Astroflores!$G$2:$H$110,2,FALSE)</f>
        <v>2375</v>
      </c>
      <c r="J261" s="6">
        <f>+(I261-H261)/I261</f>
        <v>6.3157894736842107E-2</v>
      </c>
    </row>
    <row r="262" spans="1:10">
      <c r="A262">
        <v>2026</v>
      </c>
      <c r="B262">
        <v>29</v>
      </c>
      <c r="C262" t="s">
        <v>10</v>
      </c>
      <c r="D262" t="s">
        <v>8</v>
      </c>
      <c r="E262" s="2" t="s">
        <v>89</v>
      </c>
      <c r="F262" t="s">
        <v>17</v>
      </c>
      <c r="G262" t="str">
        <f>+B262&amp;E262&amp;F262</f>
        <v>29022FRUITY BUBBLES</v>
      </c>
      <c r="H262">
        <v>4358</v>
      </c>
      <c r="I262" s="6">
        <f>VLOOKUP(G262,[4]Estimado_modelo!$G$2:$I$421,3,FALSE)</f>
        <v>4650</v>
      </c>
      <c r="J262" s="6">
        <f>+(I262-H262)/I262</f>
        <v>6.2795698924731178E-2</v>
      </c>
    </row>
    <row r="263" spans="1:10">
      <c r="A263">
        <v>2026</v>
      </c>
      <c r="B263">
        <v>29</v>
      </c>
      <c r="C263" t="s">
        <v>10</v>
      </c>
      <c r="D263" t="s">
        <v>8</v>
      </c>
      <c r="E263" s="2" t="s">
        <v>87</v>
      </c>
      <c r="F263" t="s">
        <v>24</v>
      </c>
      <c r="G263" t="str">
        <f>+B263&amp;E263&amp;F263</f>
        <v>29020SUMMER DANCE</v>
      </c>
      <c r="H263">
        <v>3451</v>
      </c>
      <c r="I263" s="6">
        <f>VLOOKUP(G263,[4]Estimado_modelo!$G$2:$I$421,3,FALSE)</f>
        <v>3675</v>
      </c>
      <c r="J263" s="6">
        <f>+(I263-H263)/I263</f>
        <v>6.0952380952380952E-2</v>
      </c>
    </row>
    <row r="264" spans="1:10">
      <c r="A264">
        <v>2026</v>
      </c>
      <c r="B264">
        <v>26</v>
      </c>
      <c r="C264" t="s">
        <v>10</v>
      </c>
      <c r="D264" t="s">
        <v>8</v>
      </c>
      <c r="E264" s="2" t="s">
        <v>85</v>
      </c>
      <c r="F264" t="s">
        <v>23</v>
      </c>
      <c r="G264" t="str">
        <f>+B264&amp;E264&amp;F264</f>
        <v>26018RUBICON</v>
      </c>
      <c r="H264">
        <v>6711</v>
      </c>
      <c r="I264" s="6">
        <f>VLOOKUP(G264,[1]Astroflores!$G$2:$H$109,2,FALSE)</f>
        <v>7140</v>
      </c>
      <c r="J264" s="6">
        <f>+(I264-H264)/I264</f>
        <v>6.008403361344538E-2</v>
      </c>
    </row>
    <row r="265" spans="1:10">
      <c r="A265">
        <v>2026</v>
      </c>
      <c r="B265">
        <v>29</v>
      </c>
      <c r="C265" t="s">
        <v>7</v>
      </c>
      <c r="D265" t="s">
        <v>8</v>
      </c>
      <c r="E265" s="2" t="s">
        <v>99</v>
      </c>
      <c r="F265" t="s">
        <v>56</v>
      </c>
      <c r="G265" t="str">
        <f>+B265&amp;E265&amp;F265</f>
        <v>29011CAYENNE</v>
      </c>
      <c r="H265">
        <v>1440</v>
      </c>
      <c r="I265" s="6">
        <f>VLOOKUP(G265,[4]Estimado_modelo!$G$2:$I$421,3,FALSE)</f>
        <v>1530</v>
      </c>
      <c r="J265" s="6">
        <f>+(I265-H265)/I265</f>
        <v>5.8823529411764705E-2</v>
      </c>
    </row>
    <row r="266" spans="1:10">
      <c r="A266">
        <v>2026</v>
      </c>
      <c r="B266">
        <v>26</v>
      </c>
      <c r="C266" t="s">
        <v>10</v>
      </c>
      <c r="D266" t="s">
        <v>8</v>
      </c>
      <c r="E266" s="2" t="s">
        <v>77</v>
      </c>
      <c r="F266" t="s">
        <v>12</v>
      </c>
      <c r="G266" t="str">
        <f>+B266&amp;E266&amp;F266</f>
        <v>26004BELLINA</v>
      </c>
      <c r="H266">
        <v>1837</v>
      </c>
      <c r="I266" s="6">
        <f>VLOOKUP(G266,[1]Astroflores!$G$2:$H$109,2,FALSE)</f>
        <v>1950</v>
      </c>
      <c r="J266" s="6">
        <f>+(I266-H266)/I266</f>
        <v>5.7948717948717948E-2</v>
      </c>
    </row>
    <row r="267" spans="1:10">
      <c r="A267">
        <v>2026</v>
      </c>
      <c r="B267">
        <v>26</v>
      </c>
      <c r="C267" t="s">
        <v>10</v>
      </c>
      <c r="D267" t="s">
        <v>8</v>
      </c>
      <c r="E267" s="2" t="s">
        <v>83</v>
      </c>
      <c r="F267" t="s">
        <v>19</v>
      </c>
      <c r="G267" t="str">
        <f>+B267&amp;E267&amp;F267</f>
        <v>26016GOOD PEACH</v>
      </c>
      <c r="H267">
        <v>3139</v>
      </c>
      <c r="I267" s="6">
        <f>VLOOKUP(G267,[1]Astroflores!$G$2:$H$109,2,FALSE)</f>
        <v>3330</v>
      </c>
      <c r="J267" s="6">
        <f>+(I267-H267)/I267</f>
        <v>5.7357357357357357E-2</v>
      </c>
    </row>
    <row r="268" spans="1:10">
      <c r="A268">
        <v>2026</v>
      </c>
      <c r="B268">
        <v>26</v>
      </c>
      <c r="C268" t="s">
        <v>10</v>
      </c>
      <c r="D268" t="s">
        <v>8</v>
      </c>
      <c r="E268" s="2" t="s">
        <v>93</v>
      </c>
      <c r="F268" t="s">
        <v>32</v>
      </c>
      <c r="G268" t="str">
        <f>+B268&amp;E268&amp;F268</f>
        <v>26033CREAMY FOLIES</v>
      </c>
      <c r="H268">
        <v>1447</v>
      </c>
      <c r="I268" s="6">
        <f>VLOOKUP(G268,[1]Astroflores!$G$2:$H$109,2,FALSE)</f>
        <v>1530</v>
      </c>
      <c r="J268" s="6">
        <f>+(I268-H268)/I268</f>
        <v>5.4248366013071897E-2</v>
      </c>
    </row>
    <row r="269" spans="1:10">
      <c r="A269">
        <v>2026</v>
      </c>
      <c r="B269">
        <v>28</v>
      </c>
      <c r="C269" t="s">
        <v>7</v>
      </c>
      <c r="D269" t="s">
        <v>8</v>
      </c>
      <c r="E269" s="2" t="s">
        <v>89</v>
      </c>
      <c r="F269" t="s">
        <v>65</v>
      </c>
      <c r="G269" t="str">
        <f>+B269&amp;E269&amp;F269</f>
        <v>28022CORAL REEF</v>
      </c>
      <c r="H269">
        <v>2294</v>
      </c>
      <c r="I269" s="6">
        <f>VLOOKUP(G269,[3]Astroflores!$G$2:$H$110,2,FALSE)</f>
        <v>2425</v>
      </c>
      <c r="J269" s="6">
        <f>+(I269-H269)/I269</f>
        <v>5.4020618556701032E-2</v>
      </c>
    </row>
    <row r="270" spans="1:10">
      <c r="A270">
        <v>2026</v>
      </c>
      <c r="B270">
        <v>26</v>
      </c>
      <c r="C270" t="s">
        <v>7</v>
      </c>
      <c r="D270" t="s">
        <v>8</v>
      </c>
      <c r="E270" s="2" t="s">
        <v>97</v>
      </c>
      <c r="F270" t="s">
        <v>40</v>
      </c>
      <c r="G270" t="str">
        <f>+B270&amp;E270&amp;F270</f>
        <v>26008DEEP PURPLE</v>
      </c>
      <c r="H270">
        <v>5037</v>
      </c>
      <c r="I270" s="6">
        <f>VLOOKUP(G270,[1]Astroflores!$G$2:$H$109,2,FALSE)</f>
        <v>5310</v>
      </c>
      <c r="J270" s="6">
        <f>+(I270-H270)/I270</f>
        <v>5.141242937853107E-2</v>
      </c>
    </row>
    <row r="271" spans="1:10">
      <c r="A271">
        <v>2026</v>
      </c>
      <c r="B271">
        <v>26</v>
      </c>
      <c r="C271" t="s">
        <v>7</v>
      </c>
      <c r="D271" t="s">
        <v>8</v>
      </c>
      <c r="E271" s="2" t="s">
        <v>82</v>
      </c>
      <c r="F271" t="s">
        <v>41</v>
      </c>
      <c r="G271" t="str">
        <f>+B271&amp;E271&amp;F271</f>
        <v>26015JOCKER</v>
      </c>
      <c r="H271">
        <v>4868</v>
      </c>
      <c r="I271" s="6">
        <f>VLOOKUP(G271,[1]Astroflores!$G$2:$H$109,2,FALSE)</f>
        <v>5125</v>
      </c>
      <c r="J271" s="6">
        <f>+(I271-H271)/I271</f>
        <v>5.0146341463414637E-2</v>
      </c>
    </row>
    <row r="272" spans="1:10">
      <c r="A272">
        <v>2026</v>
      </c>
      <c r="B272">
        <v>28</v>
      </c>
      <c r="C272" t="s">
        <v>7</v>
      </c>
      <c r="D272" t="s">
        <v>8</v>
      </c>
      <c r="E272" s="2" t="s">
        <v>107</v>
      </c>
      <c r="F272" t="s">
        <v>40</v>
      </c>
      <c r="G272" t="str">
        <f>+B272&amp;E272&amp;F272</f>
        <v>28028DEEP PURPLE</v>
      </c>
      <c r="H272">
        <v>7288</v>
      </c>
      <c r="I272" s="6">
        <f>VLOOKUP(G272,[3]Astroflores!$G$2:$H$110,2,FALSE)</f>
        <v>7650</v>
      </c>
      <c r="J272" s="6">
        <f>+(I272-H272)/I272</f>
        <v>4.7320261437908497E-2</v>
      </c>
    </row>
    <row r="273" spans="1:10">
      <c r="A273">
        <v>2026</v>
      </c>
      <c r="B273">
        <v>28</v>
      </c>
      <c r="C273" t="s">
        <v>10</v>
      </c>
      <c r="D273" t="s">
        <v>8</v>
      </c>
      <c r="E273" s="2" t="s">
        <v>89</v>
      </c>
      <c r="F273" t="s">
        <v>17</v>
      </c>
      <c r="G273" t="str">
        <f>+B273&amp;E273&amp;F273</f>
        <v>28022FRUITY BUBBLES</v>
      </c>
      <c r="H273">
        <v>5177</v>
      </c>
      <c r="I273" s="6">
        <f>VLOOKUP(G273,[3]Astroflores!$G$2:$H$110,2,FALSE)</f>
        <v>5425</v>
      </c>
      <c r="J273" s="6">
        <f>+(I273-H273)/I273</f>
        <v>4.5714285714285714E-2</v>
      </c>
    </row>
    <row r="274" spans="1:10">
      <c r="A274">
        <v>2026</v>
      </c>
      <c r="B274">
        <v>28</v>
      </c>
      <c r="C274" t="s">
        <v>10</v>
      </c>
      <c r="D274" t="s">
        <v>8</v>
      </c>
      <c r="E274" s="2" t="s">
        <v>76</v>
      </c>
      <c r="F274" t="s">
        <v>11</v>
      </c>
      <c r="G274" t="str">
        <f>+B274&amp;E274&amp;F274</f>
        <v>28002SOMERSET</v>
      </c>
      <c r="H274">
        <v>6950</v>
      </c>
      <c r="I274" s="6">
        <f>VLOOKUP(G274,[3]Astroflores!$G$2:$H$110,2,FALSE)</f>
        <v>7280</v>
      </c>
      <c r="J274" s="6">
        <f>+(I274-H274)/I274</f>
        <v>4.5329670329670328E-2</v>
      </c>
    </row>
    <row r="275" spans="1:10">
      <c r="A275">
        <v>2026</v>
      </c>
      <c r="B275">
        <v>26</v>
      </c>
      <c r="C275" t="s">
        <v>7</v>
      </c>
      <c r="D275" t="s">
        <v>8</v>
      </c>
      <c r="E275" s="2" t="s">
        <v>102</v>
      </c>
      <c r="F275" t="s">
        <v>43</v>
      </c>
      <c r="G275" t="str">
        <f>+B275&amp;E275&amp;F275</f>
        <v>26023COTOPAXI</v>
      </c>
      <c r="H275">
        <v>5472</v>
      </c>
      <c r="I275" s="6">
        <f>VLOOKUP(G275,[1]Astroflores!$G$2:$H$109,2,FALSE)</f>
        <v>5730</v>
      </c>
      <c r="J275" s="6">
        <f>+(I275-H275)/I275</f>
        <v>4.5026178010471207E-2</v>
      </c>
    </row>
    <row r="276" spans="1:10">
      <c r="A276">
        <v>2026</v>
      </c>
      <c r="B276">
        <v>26</v>
      </c>
      <c r="C276" t="s">
        <v>7</v>
      </c>
      <c r="D276" t="s">
        <v>8</v>
      </c>
      <c r="E276" s="2" t="s">
        <v>103</v>
      </c>
      <c r="F276" t="s">
        <v>43</v>
      </c>
      <c r="G276" t="str">
        <f>+B276&amp;E276&amp;F276</f>
        <v>26024COTOPAXI</v>
      </c>
      <c r="H276">
        <v>2923</v>
      </c>
      <c r="I276" s="6">
        <f>VLOOKUP(G276,[1]Astroflores!$G$2:$H$109,2,FALSE)</f>
        <v>3060</v>
      </c>
      <c r="J276" s="6">
        <f>+(I276-H276)/I276</f>
        <v>4.477124183006536E-2</v>
      </c>
    </row>
    <row r="277" spans="1:10">
      <c r="A277">
        <v>2026</v>
      </c>
      <c r="B277">
        <v>26</v>
      </c>
      <c r="C277" t="s">
        <v>10</v>
      </c>
      <c r="D277" t="s">
        <v>8</v>
      </c>
      <c r="E277" s="2" t="s">
        <v>81</v>
      </c>
      <c r="F277" t="s">
        <v>17</v>
      </c>
      <c r="G277" t="str">
        <f>+B277&amp;E277&amp;F277</f>
        <v>26014FRUITY BUBBLES</v>
      </c>
      <c r="H277">
        <v>4020</v>
      </c>
      <c r="I277" s="6">
        <f>VLOOKUP(G277,[1]Astroflores!$G$2:$H$109,2,FALSE)</f>
        <v>4200</v>
      </c>
      <c r="J277" s="6">
        <f>+(I277-H277)/I277</f>
        <v>4.2857142857142858E-2</v>
      </c>
    </row>
    <row r="278" spans="1:10">
      <c r="A278">
        <v>2026</v>
      </c>
      <c r="B278">
        <v>26</v>
      </c>
      <c r="C278" t="s">
        <v>7</v>
      </c>
      <c r="D278" t="s">
        <v>8</v>
      </c>
      <c r="E278" s="2" t="s">
        <v>78</v>
      </c>
      <c r="F278" t="s">
        <v>47</v>
      </c>
      <c r="G278" t="str">
        <f>+B278&amp;E278&amp;F278</f>
        <v>26005VENDELA</v>
      </c>
      <c r="H278">
        <v>2392</v>
      </c>
      <c r="I278" s="6">
        <f>VLOOKUP(G278,[1]Astroflores!$G$2:$H$109,2,FALSE)</f>
        <v>2490</v>
      </c>
      <c r="J278" s="6">
        <f>+(I278-H278)/I278</f>
        <v>3.93574297188755E-2</v>
      </c>
    </row>
    <row r="279" spans="1:10">
      <c r="A279">
        <v>2026</v>
      </c>
      <c r="B279">
        <v>28</v>
      </c>
      <c r="C279" t="s">
        <v>7</v>
      </c>
      <c r="D279" t="s">
        <v>8</v>
      </c>
      <c r="E279" s="2" t="s">
        <v>77</v>
      </c>
      <c r="F279" t="s">
        <v>40</v>
      </c>
      <c r="G279" t="str">
        <f>+B279&amp;E279&amp;F279</f>
        <v>28004DEEP PURPLE</v>
      </c>
      <c r="H279">
        <v>16283</v>
      </c>
      <c r="I279" s="6">
        <f>VLOOKUP(G279,[3]Astroflores!$G$2:$H$110,2,FALSE)</f>
        <v>16920</v>
      </c>
      <c r="J279" s="6">
        <f>+(I279-H279)/I279</f>
        <v>3.7647754137115838E-2</v>
      </c>
    </row>
    <row r="280" spans="1:10">
      <c r="A280">
        <v>2026</v>
      </c>
      <c r="B280">
        <v>28</v>
      </c>
      <c r="C280" t="s">
        <v>10</v>
      </c>
      <c r="D280" t="s">
        <v>8</v>
      </c>
      <c r="E280" s="2" t="s">
        <v>86</v>
      </c>
      <c r="F280" t="s">
        <v>12</v>
      </c>
      <c r="G280" t="str">
        <f>+B280&amp;E280&amp;F280</f>
        <v>28019BELLINA</v>
      </c>
      <c r="H280">
        <v>1517</v>
      </c>
      <c r="I280" s="6">
        <f>VLOOKUP(G280,[3]Astroflores!$G$2:$H$110,2,FALSE)</f>
        <v>1575</v>
      </c>
      <c r="J280" s="6">
        <f>+(I280-H280)/I280</f>
        <v>3.6825396825396824E-2</v>
      </c>
    </row>
    <row r="281" spans="1:10">
      <c r="A281">
        <v>2026</v>
      </c>
      <c r="B281">
        <v>26</v>
      </c>
      <c r="C281" t="s">
        <v>7</v>
      </c>
      <c r="D281" t="s">
        <v>8</v>
      </c>
      <c r="E281" s="2" t="s">
        <v>99</v>
      </c>
      <c r="F281" t="s">
        <v>54</v>
      </c>
      <c r="G281" t="str">
        <f>+B281&amp;E281&amp;F281</f>
        <v>26011BRIGHTON</v>
      </c>
      <c r="H281">
        <v>3510</v>
      </c>
      <c r="I281" s="6">
        <f>VLOOKUP(G281,[1]Astroflores!$G$2:$H$109,2,FALSE)</f>
        <v>3625</v>
      </c>
      <c r="J281" s="6">
        <f>+(I281-H281)/I281</f>
        <v>3.1724137931034485E-2</v>
      </c>
    </row>
    <row r="282" spans="1:10">
      <c r="A282">
        <v>2026</v>
      </c>
      <c r="B282">
        <v>26</v>
      </c>
      <c r="C282" t="s">
        <v>10</v>
      </c>
      <c r="D282" t="s">
        <v>8</v>
      </c>
      <c r="E282" s="2" t="s">
        <v>82</v>
      </c>
      <c r="F282" t="s">
        <v>18</v>
      </c>
      <c r="G282" t="str">
        <f>+B282&amp;E282&amp;F282</f>
        <v>26015FELLINI</v>
      </c>
      <c r="H282">
        <v>6989</v>
      </c>
      <c r="I282" s="6">
        <f>VLOOKUP(G282,[1]Astroflores!$G$2:$H$109,2,FALSE)</f>
        <v>7175</v>
      </c>
      <c r="J282" s="6">
        <f>+(I282-H282)/I282</f>
        <v>2.5923344947735193E-2</v>
      </c>
    </row>
    <row r="283" spans="1:10">
      <c r="A283">
        <v>2026</v>
      </c>
      <c r="B283">
        <v>26</v>
      </c>
      <c r="C283" t="s">
        <v>7</v>
      </c>
      <c r="D283" t="s">
        <v>8</v>
      </c>
      <c r="E283" s="2" t="s">
        <v>77</v>
      </c>
      <c r="F283" t="s">
        <v>43</v>
      </c>
      <c r="G283" t="str">
        <f>+B283&amp;E283&amp;F283</f>
        <v>26004COTOPAXI</v>
      </c>
      <c r="H283">
        <v>1200</v>
      </c>
      <c r="I283" s="6">
        <f>VLOOKUP(G283,[1]Astroflores!$G$2:$H$109,2,FALSE)</f>
        <v>1230</v>
      </c>
      <c r="J283" s="6">
        <f>+(I283-H283)/I283</f>
        <v>2.4390243902439025E-2</v>
      </c>
    </row>
    <row r="284" spans="1:10">
      <c r="A284">
        <v>2026</v>
      </c>
      <c r="B284">
        <v>29</v>
      </c>
      <c r="C284" t="s">
        <v>7</v>
      </c>
      <c r="D284" t="s">
        <v>8</v>
      </c>
      <c r="E284" s="2" t="s">
        <v>85</v>
      </c>
      <c r="F284" t="s">
        <v>54</v>
      </c>
      <c r="G284" t="str">
        <f>+B284&amp;E284&amp;F284</f>
        <v>29018BRIGHTON</v>
      </c>
      <c r="H284">
        <v>2422</v>
      </c>
      <c r="I284" s="6">
        <f>VLOOKUP(G284,[4]Estimado_modelo!$G$2:$I$421,3,FALSE)</f>
        <v>2475</v>
      </c>
      <c r="J284" s="6">
        <f>+(I284-H284)/I284</f>
        <v>2.1414141414141413E-2</v>
      </c>
    </row>
    <row r="285" spans="1:10">
      <c r="A285">
        <v>2026</v>
      </c>
      <c r="B285">
        <v>26</v>
      </c>
      <c r="C285" t="s">
        <v>7</v>
      </c>
      <c r="D285" t="s">
        <v>8</v>
      </c>
      <c r="E285" s="2" t="s">
        <v>99</v>
      </c>
      <c r="F285" t="s">
        <v>57</v>
      </c>
      <c r="G285" t="str">
        <f>+B285&amp;E285&amp;F285</f>
        <v>26011STARDUST</v>
      </c>
      <c r="H285">
        <v>3258</v>
      </c>
      <c r="I285" s="6">
        <f>VLOOKUP(G285,[1]Astroflores!$G$2:$H$109,2,FALSE)</f>
        <v>3325</v>
      </c>
      <c r="J285" s="6">
        <f>+(I285-H285)/I285</f>
        <v>2.0150375939849623E-2</v>
      </c>
    </row>
    <row r="286" spans="1:10">
      <c r="A286">
        <v>2026</v>
      </c>
      <c r="B286">
        <v>26</v>
      </c>
      <c r="C286" t="s">
        <v>7</v>
      </c>
      <c r="D286" t="s">
        <v>8</v>
      </c>
      <c r="E286" s="2" t="s">
        <v>86</v>
      </c>
      <c r="F286" t="s">
        <v>54</v>
      </c>
      <c r="G286" t="str">
        <f>+B286&amp;E286&amp;F286</f>
        <v>26019BRIGHTON</v>
      </c>
      <c r="H286">
        <v>7621</v>
      </c>
      <c r="I286" s="6">
        <f>VLOOKUP(G286,[1]Astroflores!$G$2:$H$109,2,FALSE)</f>
        <v>7775</v>
      </c>
      <c r="J286" s="6">
        <f>+(I286-H286)/I286</f>
        <v>1.9807073954983923E-2</v>
      </c>
    </row>
    <row r="287" spans="1:10">
      <c r="A287">
        <v>2026</v>
      </c>
      <c r="B287">
        <v>26</v>
      </c>
      <c r="C287" t="s">
        <v>7</v>
      </c>
      <c r="D287" t="s">
        <v>8</v>
      </c>
      <c r="E287" s="2" t="s">
        <v>90</v>
      </c>
      <c r="F287" t="s">
        <v>34</v>
      </c>
      <c r="G287" t="str">
        <f>+B287&amp;E287&amp;F287</f>
        <v>26030EXPLORER</v>
      </c>
      <c r="H287">
        <v>3517</v>
      </c>
      <c r="I287" s="6">
        <f>VLOOKUP(G287,[1]Astroflores!$G$2:$H$109,2,FALSE)</f>
        <v>3575</v>
      </c>
      <c r="J287" s="6">
        <f>+(I287-H287)/I287</f>
        <v>1.6223776223776225E-2</v>
      </c>
    </row>
    <row r="288" spans="1:10">
      <c r="A288">
        <v>2026</v>
      </c>
      <c r="B288">
        <v>29</v>
      </c>
      <c r="C288" t="s">
        <v>7</v>
      </c>
      <c r="D288" t="s">
        <v>8</v>
      </c>
      <c r="E288" s="2" t="s">
        <v>102</v>
      </c>
      <c r="F288" t="s">
        <v>43</v>
      </c>
      <c r="G288" t="str">
        <f>+B288&amp;E288&amp;F288</f>
        <v>29023COTOPAXI</v>
      </c>
      <c r="H288">
        <v>6238</v>
      </c>
      <c r="I288" s="6">
        <f>VLOOKUP(G288,[4]Estimado_modelo!$G$2:$I$421,3,FALSE)</f>
        <v>6330</v>
      </c>
      <c r="J288" s="6">
        <f>+(I288-H288)/I288</f>
        <v>1.4533965244865719E-2</v>
      </c>
    </row>
    <row r="289" spans="1:10">
      <c r="A289">
        <v>2026</v>
      </c>
      <c r="B289">
        <v>26</v>
      </c>
      <c r="C289" t="s">
        <v>7</v>
      </c>
      <c r="D289" t="s">
        <v>8</v>
      </c>
      <c r="E289" s="2" t="s">
        <v>94</v>
      </c>
      <c r="F289" t="s">
        <v>33</v>
      </c>
      <c r="G289" t="str">
        <f>+B289&amp;E289&amp;F289</f>
        <v>26001BELIEVE IN PINK</v>
      </c>
      <c r="H289">
        <v>1219</v>
      </c>
      <c r="I289" s="6">
        <f>VLOOKUP(G289,[1]Astroflores!$G$2:$H$109,2,FALSE)</f>
        <v>1230</v>
      </c>
      <c r="J289" s="6">
        <f>+(I289-H289)/I289</f>
        <v>8.9430894308943094E-3</v>
      </c>
    </row>
    <row r="290" spans="1:10">
      <c r="A290">
        <v>2026</v>
      </c>
      <c r="B290">
        <v>29</v>
      </c>
      <c r="C290" t="s">
        <v>7</v>
      </c>
      <c r="D290" t="s">
        <v>8</v>
      </c>
      <c r="E290" s="2" t="s">
        <v>88</v>
      </c>
      <c r="F290" t="s">
        <v>64</v>
      </c>
      <c r="G290" t="str">
        <f>+B290&amp;E290&amp;F290</f>
        <v>29021SHOW GIRL</v>
      </c>
      <c r="H290">
        <v>1190</v>
      </c>
      <c r="I290" s="6">
        <f>VLOOKUP(G290,[4]Estimado_modelo!$G$2:$I$421,3,FALSE)</f>
        <v>1200</v>
      </c>
      <c r="J290" s="6">
        <f>+(I290-H290)/I290</f>
        <v>8.3333333333333332E-3</v>
      </c>
    </row>
    <row r="291" spans="1:10">
      <c r="A291">
        <v>2026</v>
      </c>
      <c r="B291">
        <v>29</v>
      </c>
      <c r="C291" t="s">
        <v>7</v>
      </c>
      <c r="D291" t="s">
        <v>8</v>
      </c>
      <c r="E291" s="2" t="s">
        <v>87</v>
      </c>
      <c r="F291" t="s">
        <v>54</v>
      </c>
      <c r="G291" t="str">
        <f>+B291&amp;E291&amp;F291</f>
        <v>29020BRIGHTON</v>
      </c>
      <c r="H291">
        <v>5473</v>
      </c>
      <c r="I291" s="6">
        <f>VLOOKUP(G291,[4]Estimado_modelo!$G$2:$I$421,3,FALSE)</f>
        <v>5500</v>
      </c>
      <c r="J291" s="6">
        <f>+(I291-H291)/I291</f>
        <v>4.909090909090909E-3</v>
      </c>
    </row>
    <row r="292" spans="1:10">
      <c r="A292">
        <v>2026</v>
      </c>
      <c r="B292">
        <v>26</v>
      </c>
      <c r="C292" t="s">
        <v>7</v>
      </c>
      <c r="D292" t="s">
        <v>8</v>
      </c>
      <c r="E292" s="2" t="s">
        <v>87</v>
      </c>
      <c r="F292" t="s">
        <v>54</v>
      </c>
      <c r="G292" t="str">
        <f>+B292&amp;E292&amp;F292</f>
        <v>26020BRIGHTON</v>
      </c>
      <c r="H292">
        <v>5353</v>
      </c>
      <c r="I292" s="6">
        <f>VLOOKUP(G292,[1]Astroflores!$G$2:$H$109,2,FALSE)</f>
        <v>5375</v>
      </c>
      <c r="J292" s="6">
        <f>+(I292-H292)/I292</f>
        <v>4.0930232558139537E-3</v>
      </c>
    </row>
    <row r="293" spans="1:10">
      <c r="A293">
        <v>2026</v>
      </c>
      <c r="B293">
        <v>27</v>
      </c>
      <c r="C293" t="s">
        <v>10</v>
      </c>
      <c r="D293" t="s">
        <v>8</v>
      </c>
      <c r="E293" s="2" t="s">
        <v>89</v>
      </c>
      <c r="F293" t="s">
        <v>29</v>
      </c>
      <c r="G293" t="str">
        <f>+B293&amp;E293&amp;F293</f>
        <v>27022MIRABEL</v>
      </c>
      <c r="H293">
        <v>1835</v>
      </c>
      <c r="I293" s="6">
        <f>VLOOKUP(G293,[2]Hoja1!$G$8515:$H$8621,2,FALSE)</f>
        <v>1840</v>
      </c>
      <c r="J293" s="6">
        <f>+(I293-H293)/I293</f>
        <v>2.717391304347826E-3</v>
      </c>
    </row>
    <row r="294" spans="1:10">
      <c r="A294">
        <v>2026</v>
      </c>
      <c r="B294">
        <v>26</v>
      </c>
      <c r="C294" t="s">
        <v>10</v>
      </c>
      <c r="D294" t="s">
        <v>8</v>
      </c>
      <c r="E294" s="2" t="s">
        <v>90</v>
      </c>
      <c r="F294" t="s">
        <v>29</v>
      </c>
      <c r="G294" t="str">
        <f>+B294&amp;E294&amp;F294</f>
        <v>26030MIRABEL</v>
      </c>
      <c r="H294">
        <v>6460</v>
      </c>
      <c r="I294" s="6">
        <f>VLOOKUP(G294,[1]Astroflores!$G$2:$H$109,2,FALSE)</f>
        <v>6460</v>
      </c>
      <c r="J294" s="6">
        <f>+(I294-H294)/I294</f>
        <v>0</v>
      </c>
    </row>
    <row r="295" spans="1:10">
      <c r="A295">
        <v>2026</v>
      </c>
      <c r="B295">
        <v>29</v>
      </c>
      <c r="C295" t="s">
        <v>10</v>
      </c>
      <c r="D295" t="s">
        <v>8</v>
      </c>
      <c r="E295" s="2" t="s">
        <v>78</v>
      </c>
      <c r="F295" t="s">
        <v>15</v>
      </c>
      <c r="G295" t="str">
        <f>+B295&amp;E295&amp;F295</f>
        <v>29005SUSPIRO</v>
      </c>
      <c r="H295">
        <v>3092</v>
      </c>
      <c r="I295" s="6">
        <f>VLOOKUP(G295,[4]Estimado_modelo!$G$2:$I$421,3,FALSE)</f>
        <v>3090</v>
      </c>
      <c r="J295" s="6">
        <f>+(I295-H295)/I295</f>
        <v>-6.4724919093851134E-4</v>
      </c>
    </row>
    <row r="296" spans="1:10">
      <c r="A296">
        <v>2026</v>
      </c>
      <c r="B296">
        <v>26</v>
      </c>
      <c r="C296" t="s">
        <v>10</v>
      </c>
      <c r="D296" t="s">
        <v>8</v>
      </c>
      <c r="E296" s="2" t="s">
        <v>91</v>
      </c>
      <c r="F296" t="s">
        <v>31</v>
      </c>
      <c r="G296" t="str">
        <f>+B296&amp;E296&amp;F296</f>
        <v>26031VELVET BLOSSOMS</v>
      </c>
      <c r="H296">
        <v>643</v>
      </c>
      <c r="I296" s="6">
        <f>VLOOKUP(G296,[1]Astroflores!$G$2:$H$109,2,FALSE)</f>
        <v>640</v>
      </c>
      <c r="J296" s="6">
        <f>+(I296-H296)/I296</f>
        <v>-4.6874999999999998E-3</v>
      </c>
    </row>
    <row r="297" spans="1:10">
      <c r="A297">
        <v>2026</v>
      </c>
      <c r="B297">
        <v>28</v>
      </c>
      <c r="C297" t="s">
        <v>10</v>
      </c>
      <c r="D297" t="s">
        <v>8</v>
      </c>
      <c r="E297" s="2" t="s">
        <v>88</v>
      </c>
      <c r="F297" t="s">
        <v>16</v>
      </c>
      <c r="G297" t="str">
        <f>+B297&amp;E297&amp;F297</f>
        <v>28021SNOW BUBBLES</v>
      </c>
      <c r="H297">
        <v>1487</v>
      </c>
      <c r="I297" s="6">
        <f>VLOOKUP(G297,[3]Astroflores!$G$2:$H$110,2,FALSE)</f>
        <v>1480</v>
      </c>
      <c r="J297" s="6">
        <f>+(I297-H297)/I297</f>
        <v>-4.72972972972973E-3</v>
      </c>
    </row>
    <row r="298" spans="1:10">
      <c r="A298">
        <v>2026</v>
      </c>
      <c r="B298">
        <v>27</v>
      </c>
      <c r="C298" t="s">
        <v>10</v>
      </c>
      <c r="D298" t="s">
        <v>8</v>
      </c>
      <c r="E298" s="2" t="s">
        <v>88</v>
      </c>
      <c r="F298" t="s">
        <v>27</v>
      </c>
      <c r="G298" t="str">
        <f>+B298&amp;E298&amp;F298</f>
        <v>27021KELLY</v>
      </c>
      <c r="H298">
        <v>654</v>
      </c>
      <c r="I298" s="6">
        <f>VLOOKUP(G298,[2]Hoja1!$G$8515:$H$8621,2,FALSE)</f>
        <v>650</v>
      </c>
      <c r="J298" s="6">
        <f>+(I298-H298)/I298</f>
        <v>-6.1538461538461538E-3</v>
      </c>
    </row>
    <row r="299" spans="1:10">
      <c r="A299">
        <v>2026</v>
      </c>
      <c r="B299">
        <v>26</v>
      </c>
      <c r="C299" t="s">
        <v>7</v>
      </c>
      <c r="D299" t="s">
        <v>8</v>
      </c>
      <c r="E299" s="2" t="s">
        <v>102</v>
      </c>
      <c r="F299" t="s">
        <v>66</v>
      </c>
      <c r="G299" t="str">
        <f>+B299&amp;E299&amp;F299</f>
        <v>26023FRUTTETO</v>
      </c>
      <c r="H299">
        <v>8062</v>
      </c>
      <c r="I299" s="6">
        <f>VLOOKUP(G299,[1]Astroflores!$G$2:$H$109,2,FALSE)</f>
        <v>8010</v>
      </c>
      <c r="J299" s="6">
        <f>+(I299-H299)/I299</f>
        <v>-6.4918851435705367E-3</v>
      </c>
    </row>
    <row r="300" spans="1:10">
      <c r="A300">
        <v>2026</v>
      </c>
      <c r="B300">
        <v>29</v>
      </c>
      <c r="C300" t="s">
        <v>10</v>
      </c>
      <c r="D300" t="s">
        <v>8</v>
      </c>
      <c r="E300" s="2" t="s">
        <v>91</v>
      </c>
      <c r="F300" t="s">
        <v>11</v>
      </c>
      <c r="G300" t="str">
        <f>+B300&amp;E300&amp;F300</f>
        <v>29031SOMERSET</v>
      </c>
      <c r="H300">
        <v>967</v>
      </c>
      <c r="I300" s="6">
        <f>VLOOKUP(G300,[4]Estimado_modelo!$G$2:$I$421,3,FALSE)</f>
        <v>960</v>
      </c>
      <c r="J300" s="6">
        <f>+(I300-H300)/I300</f>
        <v>-7.2916666666666668E-3</v>
      </c>
    </row>
    <row r="301" spans="1:10">
      <c r="A301">
        <v>2026</v>
      </c>
      <c r="B301">
        <v>26</v>
      </c>
      <c r="C301" t="s">
        <v>7</v>
      </c>
      <c r="D301" t="s">
        <v>8</v>
      </c>
      <c r="E301" s="2" t="s">
        <v>101</v>
      </c>
      <c r="F301" t="s">
        <v>9</v>
      </c>
      <c r="G301" t="str">
        <f>+B301&amp;E301&amp;F301</f>
        <v>26013LUMIA</v>
      </c>
      <c r="H301">
        <v>576</v>
      </c>
      <c r="I301" s="6">
        <f>VLOOKUP(G301,[1]Astroflores!$G$2:$H$109,2,FALSE)</f>
        <v>570</v>
      </c>
      <c r="J301" s="6">
        <f>+(I301-H301)/I301</f>
        <v>-1.0526315789473684E-2</v>
      </c>
    </row>
    <row r="302" spans="1:10">
      <c r="A302">
        <v>2026</v>
      </c>
      <c r="B302">
        <v>26</v>
      </c>
      <c r="C302" t="s">
        <v>10</v>
      </c>
      <c r="D302" t="s">
        <v>8</v>
      </c>
      <c r="E302" s="2" t="s">
        <v>92</v>
      </c>
      <c r="F302" t="s">
        <v>29</v>
      </c>
      <c r="G302" t="str">
        <f>+B302&amp;E302&amp;F302</f>
        <v>26032MIRABEL</v>
      </c>
      <c r="H302">
        <v>3440</v>
      </c>
      <c r="I302" s="6">
        <f>VLOOKUP(G302,[1]Astroflores!$G$2:$H$109,2,FALSE)</f>
        <v>3400</v>
      </c>
      <c r="J302" s="6">
        <f>+(I302-H302)/I302</f>
        <v>-1.1764705882352941E-2</v>
      </c>
    </row>
    <row r="303" spans="1:10">
      <c r="A303">
        <v>2026</v>
      </c>
      <c r="B303">
        <v>28</v>
      </c>
      <c r="C303" t="s">
        <v>7</v>
      </c>
      <c r="D303" t="s">
        <v>8</v>
      </c>
      <c r="E303" s="2" t="s">
        <v>95</v>
      </c>
      <c r="F303" t="s">
        <v>40</v>
      </c>
      <c r="G303" t="str">
        <f>+B303&amp;E303&amp;F303</f>
        <v>28003DEEP PURPLE</v>
      </c>
      <c r="H303">
        <v>14393</v>
      </c>
      <c r="I303" s="6">
        <f>VLOOKUP(G303,[3]Astroflores!$G$2:$H$110,2,FALSE)</f>
        <v>14220</v>
      </c>
      <c r="J303" s="6">
        <f>+(I303-H303)/I303</f>
        <v>-1.2165963431786216E-2</v>
      </c>
    </row>
    <row r="304" spans="1:10">
      <c r="A304">
        <v>2026</v>
      </c>
      <c r="B304">
        <v>26</v>
      </c>
      <c r="C304" t="s">
        <v>7</v>
      </c>
      <c r="D304" t="s">
        <v>8</v>
      </c>
      <c r="E304" s="2" t="s">
        <v>78</v>
      </c>
      <c r="F304" t="s">
        <v>34</v>
      </c>
      <c r="G304" t="str">
        <f>+B304&amp;E304&amp;F304</f>
        <v>26005EXPLORER</v>
      </c>
      <c r="H304">
        <v>2102</v>
      </c>
      <c r="I304" s="6">
        <f>VLOOKUP(G304,[1]Astroflores!$G$2:$H$109,2,FALSE)</f>
        <v>2075</v>
      </c>
      <c r="J304" s="6">
        <f>+(I304-H304)/I304</f>
        <v>-1.3012048192771084E-2</v>
      </c>
    </row>
    <row r="305" spans="1:10">
      <c r="A305">
        <v>2026</v>
      </c>
      <c r="B305">
        <v>27</v>
      </c>
      <c r="C305" t="s">
        <v>7</v>
      </c>
      <c r="D305" t="s">
        <v>8</v>
      </c>
      <c r="E305" s="2" t="s">
        <v>77</v>
      </c>
      <c r="F305" t="s">
        <v>38</v>
      </c>
      <c r="G305" t="str">
        <f>+B305&amp;E305&amp;F305</f>
        <v>27004SWEETNESS</v>
      </c>
      <c r="H305">
        <v>517</v>
      </c>
      <c r="I305" s="6">
        <f>VLOOKUP(G305,[2]Hoja1!$G$8515:$H$8621,2,FALSE)</f>
        <v>510</v>
      </c>
      <c r="J305" s="6">
        <f>+(I305-H305)/I305</f>
        <v>-1.3725490196078431E-2</v>
      </c>
    </row>
    <row r="306" spans="1:10">
      <c r="A306">
        <v>2026</v>
      </c>
      <c r="B306">
        <v>28</v>
      </c>
      <c r="C306" t="s">
        <v>10</v>
      </c>
      <c r="D306" t="s">
        <v>8</v>
      </c>
      <c r="E306" s="2" t="s">
        <v>88</v>
      </c>
      <c r="F306" t="s">
        <v>25</v>
      </c>
      <c r="G306" t="str">
        <f>+B306&amp;E306&amp;F306</f>
        <v>28021ELEGANT ROSEVER</v>
      </c>
      <c r="H306">
        <v>641</v>
      </c>
      <c r="I306" s="6">
        <f>VLOOKUP(G306,[3]Astroflores!$G$2:$H$110,2,FALSE)</f>
        <v>630</v>
      </c>
      <c r="J306" s="6">
        <f>+(I306-H306)/I306</f>
        <v>-1.7460317460317461E-2</v>
      </c>
    </row>
    <row r="307" spans="1:10">
      <c r="A307">
        <v>2026</v>
      </c>
      <c r="B307">
        <v>29</v>
      </c>
      <c r="C307" t="s">
        <v>7</v>
      </c>
      <c r="D307" t="s">
        <v>8</v>
      </c>
      <c r="E307" s="2" t="s">
        <v>101</v>
      </c>
      <c r="F307" t="s">
        <v>58</v>
      </c>
      <c r="G307" t="str">
        <f>+B307&amp;E307&amp;F307</f>
        <v>29013COUNTRY BLUES</v>
      </c>
      <c r="H307">
        <v>1430</v>
      </c>
      <c r="I307" s="6">
        <f>VLOOKUP(G307,[4]Estimado_modelo!$G$2:$I$421,3,FALSE)</f>
        <v>1400</v>
      </c>
      <c r="J307" s="6">
        <f>+(I307-H307)/I307</f>
        <v>-2.1428571428571429E-2</v>
      </c>
    </row>
    <row r="308" spans="1:10">
      <c r="A308">
        <v>2026</v>
      </c>
      <c r="B308">
        <v>26</v>
      </c>
      <c r="C308" t="s">
        <v>7</v>
      </c>
      <c r="D308" t="s">
        <v>8</v>
      </c>
      <c r="E308" s="2" t="s">
        <v>85</v>
      </c>
      <c r="F308" t="s">
        <v>54</v>
      </c>
      <c r="G308" t="str">
        <f>+B308&amp;E308&amp;F308</f>
        <v>26018BRIGHTON</v>
      </c>
      <c r="H308">
        <v>2146</v>
      </c>
      <c r="I308" s="6">
        <f>VLOOKUP(G308,[1]Astroflores!$G$2:$H$109,2,FALSE)</f>
        <v>2100</v>
      </c>
      <c r="J308" s="6">
        <f>+(I308-H308)/I308</f>
        <v>-2.1904761904761906E-2</v>
      </c>
    </row>
    <row r="309" spans="1:10">
      <c r="A309">
        <v>2026</v>
      </c>
      <c r="B309">
        <v>28</v>
      </c>
      <c r="C309" t="s">
        <v>7</v>
      </c>
      <c r="D309" t="s">
        <v>8</v>
      </c>
      <c r="E309" s="2" t="s">
        <v>94</v>
      </c>
      <c r="F309" t="s">
        <v>33</v>
      </c>
      <c r="G309" t="str">
        <f>+B309&amp;E309&amp;F309</f>
        <v>28001BELIEVE IN PINK</v>
      </c>
      <c r="H309">
        <v>1380</v>
      </c>
      <c r="I309" s="6">
        <f>VLOOKUP(G309,[3]Astroflores!$G$2:$H$110,2,FALSE)</f>
        <v>1350</v>
      </c>
      <c r="J309" s="6">
        <f>+(I309-H309)/I309</f>
        <v>-2.2222222222222223E-2</v>
      </c>
    </row>
    <row r="310" spans="1:10">
      <c r="A310">
        <v>2026</v>
      </c>
      <c r="B310">
        <v>26</v>
      </c>
      <c r="C310" t="s">
        <v>7</v>
      </c>
      <c r="D310" t="s">
        <v>8</v>
      </c>
      <c r="E310" s="2" t="s">
        <v>81</v>
      </c>
      <c r="F310" t="s">
        <v>57</v>
      </c>
      <c r="G310" t="str">
        <f>+B310&amp;E310&amp;F310</f>
        <v>26014STARDUST</v>
      </c>
      <c r="H310">
        <v>5649</v>
      </c>
      <c r="I310" s="6">
        <f>VLOOKUP(G310,[1]Astroflores!$G$2:$H$109,2,FALSE)</f>
        <v>5525</v>
      </c>
      <c r="J310" s="6">
        <f>+(I310-H310)/I310</f>
        <v>-2.2443438914027149E-2</v>
      </c>
    </row>
    <row r="311" spans="1:10">
      <c r="A311">
        <v>2026</v>
      </c>
      <c r="B311">
        <v>26</v>
      </c>
      <c r="C311" t="s">
        <v>7</v>
      </c>
      <c r="D311" t="s">
        <v>8</v>
      </c>
      <c r="E311" s="2" t="s">
        <v>107</v>
      </c>
      <c r="F311" t="s">
        <v>43</v>
      </c>
      <c r="G311" t="str">
        <f>+B311&amp;E311&amp;F311</f>
        <v>26028COTOPAXI</v>
      </c>
      <c r="H311">
        <v>5712</v>
      </c>
      <c r="I311" s="6">
        <f>VLOOKUP(G311,[1]Astroflores!$G$2:$H$109,2,FALSE)</f>
        <v>5580</v>
      </c>
      <c r="J311" s="6">
        <f>+(I311-H311)/I311</f>
        <v>-2.3655913978494623E-2</v>
      </c>
    </row>
    <row r="312" spans="1:10">
      <c r="A312">
        <v>2026</v>
      </c>
      <c r="B312">
        <v>26</v>
      </c>
      <c r="C312" t="s">
        <v>10</v>
      </c>
      <c r="D312" t="s">
        <v>8</v>
      </c>
      <c r="E312" s="2" t="s">
        <v>84</v>
      </c>
      <c r="F312" t="s">
        <v>21</v>
      </c>
      <c r="G312" t="str">
        <f>+B312&amp;E312&amp;F312</f>
        <v>26017ORANGE STAR</v>
      </c>
      <c r="H312">
        <v>1953</v>
      </c>
      <c r="I312" s="6">
        <f>VLOOKUP(G312,[1]Astroflores!$G$2:$H$109,2,FALSE)</f>
        <v>1900</v>
      </c>
      <c r="J312" s="6">
        <f>+(I312-H312)/I312</f>
        <v>-2.7894736842105264E-2</v>
      </c>
    </row>
    <row r="313" spans="1:10">
      <c r="A313">
        <v>2026</v>
      </c>
      <c r="B313">
        <v>29</v>
      </c>
      <c r="C313" t="s">
        <v>10</v>
      </c>
      <c r="D313" t="s">
        <v>8</v>
      </c>
      <c r="E313" s="2" t="s">
        <v>88</v>
      </c>
      <c r="F313" t="s">
        <v>26</v>
      </c>
      <c r="G313" t="str">
        <f>+B313&amp;E313&amp;F313</f>
        <v>29021FLAME CLUB</v>
      </c>
      <c r="H313">
        <v>1491</v>
      </c>
      <c r="I313" s="6">
        <f>VLOOKUP(G313,[4]Estimado_modelo!$G$2:$I$421,3,FALSE)</f>
        <v>1450</v>
      </c>
      <c r="J313" s="6">
        <f>+(I313-H313)/I313</f>
        <v>-2.8275862068965516E-2</v>
      </c>
    </row>
    <row r="314" spans="1:10">
      <c r="A314">
        <v>2026</v>
      </c>
      <c r="B314">
        <v>27</v>
      </c>
      <c r="C314" t="s">
        <v>7</v>
      </c>
      <c r="D314" t="s">
        <v>8</v>
      </c>
      <c r="E314" s="2" t="s">
        <v>96</v>
      </c>
      <c r="F314" t="s">
        <v>49</v>
      </c>
      <c r="G314" t="str">
        <f>+B314&amp;E314&amp;F314</f>
        <v>27006MONDIAL</v>
      </c>
      <c r="H314">
        <v>6831</v>
      </c>
      <c r="I314" s="6">
        <f>VLOOKUP(G314,[2]Hoja1!$G$8515:$H$8621,2,FALSE)</f>
        <v>6625</v>
      </c>
      <c r="J314" s="6">
        <f>+(I314-H314)/I314</f>
        <v>-3.109433962264151E-2</v>
      </c>
    </row>
    <row r="315" spans="1:10">
      <c r="A315">
        <v>2026</v>
      </c>
      <c r="B315">
        <v>26</v>
      </c>
      <c r="C315" t="s">
        <v>7</v>
      </c>
      <c r="D315" t="s">
        <v>8</v>
      </c>
      <c r="E315" s="2" t="s">
        <v>83</v>
      </c>
      <c r="F315" t="s">
        <v>60</v>
      </c>
      <c r="G315" t="str">
        <f>+B315&amp;E315&amp;F315</f>
        <v>26016DREAM IN PEACH</v>
      </c>
      <c r="H315">
        <v>1826</v>
      </c>
      <c r="I315" s="6">
        <f>VLOOKUP(G315,[1]Astroflores!$G$2:$H$109,2,FALSE)</f>
        <v>1770</v>
      </c>
      <c r="J315" s="6">
        <f>+(I315-H315)/I315</f>
        <v>-3.1638418079096044E-2</v>
      </c>
    </row>
    <row r="316" spans="1:10">
      <c r="A316">
        <v>2026</v>
      </c>
      <c r="B316">
        <v>26</v>
      </c>
      <c r="C316" t="s">
        <v>10</v>
      </c>
      <c r="D316" t="s">
        <v>8</v>
      </c>
      <c r="E316" s="2" t="s">
        <v>88</v>
      </c>
      <c r="F316" t="s">
        <v>27</v>
      </c>
      <c r="G316" t="str">
        <f>+B316&amp;E316&amp;F316</f>
        <v>26021KELLY</v>
      </c>
      <c r="H316">
        <v>800</v>
      </c>
      <c r="I316" s="6">
        <f>VLOOKUP(G316,[1]Astroflores!$G$2:$H$109,2,FALSE)</f>
        <v>775</v>
      </c>
      <c r="J316" s="6">
        <f>+(I316-H316)/I316</f>
        <v>-3.2258064516129031E-2</v>
      </c>
    </row>
    <row r="317" spans="1:10">
      <c r="A317">
        <v>2026</v>
      </c>
      <c r="B317">
        <v>29</v>
      </c>
      <c r="C317" t="s">
        <v>10</v>
      </c>
      <c r="D317" t="s">
        <v>8</v>
      </c>
      <c r="E317" s="2" t="s">
        <v>93</v>
      </c>
      <c r="F317" t="s">
        <v>32</v>
      </c>
      <c r="G317" t="str">
        <f>+B317&amp;E317&amp;F317</f>
        <v>29033CREAMY FOLIES</v>
      </c>
      <c r="H317">
        <v>806</v>
      </c>
      <c r="I317" s="6">
        <f>VLOOKUP(G317,[4]Estimado_modelo!$G$2:$I$421,3,FALSE)</f>
        <v>780</v>
      </c>
      <c r="J317" s="6">
        <f>+(I317-H317)/I317</f>
        <v>-3.3333333333333333E-2</v>
      </c>
    </row>
    <row r="318" spans="1:10">
      <c r="A318">
        <v>2026</v>
      </c>
      <c r="B318">
        <v>29</v>
      </c>
      <c r="C318" t="s">
        <v>7</v>
      </c>
      <c r="D318" t="s">
        <v>8</v>
      </c>
      <c r="E318" s="2" t="s">
        <v>95</v>
      </c>
      <c r="F318" t="s">
        <v>39</v>
      </c>
      <c r="G318" t="str">
        <f>+B318&amp;E318&amp;F318</f>
        <v>29003CABARET</v>
      </c>
      <c r="H318">
        <v>7140</v>
      </c>
      <c r="I318" s="6">
        <f>VLOOKUP(G318,[4]Estimado_modelo!$G$2:$I$421,3,FALSE)</f>
        <v>6870</v>
      </c>
      <c r="J318" s="6">
        <f>+(I318-H318)/I318</f>
        <v>-3.9301310043668124E-2</v>
      </c>
    </row>
    <row r="319" spans="1:10">
      <c r="A319">
        <v>2026</v>
      </c>
      <c r="B319">
        <v>29</v>
      </c>
      <c r="C319" t="s">
        <v>10</v>
      </c>
      <c r="D319" t="s">
        <v>8</v>
      </c>
      <c r="E319" s="2" t="s">
        <v>91</v>
      </c>
      <c r="F319" t="s">
        <v>30</v>
      </c>
      <c r="G319" t="str">
        <f>+B319&amp;E319&amp;F319</f>
        <v>2903182989</v>
      </c>
      <c r="H319">
        <v>813</v>
      </c>
      <c r="I319" s="6">
        <f>VLOOKUP(G319,[4]Estimado_modelo!$G$2:$I$421,3,FALSE)</f>
        <v>780</v>
      </c>
      <c r="J319" s="6">
        <f>+(I319-H319)/I319</f>
        <v>-4.230769230769231E-2</v>
      </c>
    </row>
    <row r="320" spans="1:10">
      <c r="A320">
        <v>2026</v>
      </c>
      <c r="B320">
        <v>28</v>
      </c>
      <c r="C320" t="s">
        <v>7</v>
      </c>
      <c r="D320" t="s">
        <v>8</v>
      </c>
      <c r="E320" s="2" t="s">
        <v>101</v>
      </c>
      <c r="F320" t="s">
        <v>58</v>
      </c>
      <c r="G320" t="str">
        <f>+B320&amp;E320&amp;F320</f>
        <v>28013COUNTRY BLUES</v>
      </c>
      <c r="H320">
        <v>1502</v>
      </c>
      <c r="I320" s="6">
        <f>VLOOKUP(G320,[3]Astroflores!$G$2:$H$110,2,FALSE)</f>
        <v>1440</v>
      </c>
      <c r="J320" s="6">
        <f>+(I320-H320)/I320</f>
        <v>-4.3055555555555555E-2</v>
      </c>
    </row>
    <row r="321" spans="1:11">
      <c r="A321">
        <v>2026</v>
      </c>
      <c r="B321">
        <v>29</v>
      </c>
      <c r="C321" t="s">
        <v>7</v>
      </c>
      <c r="D321" t="s">
        <v>8</v>
      </c>
      <c r="E321" s="2" t="s">
        <v>96</v>
      </c>
      <c r="F321" t="s">
        <v>34</v>
      </c>
      <c r="G321" t="str">
        <f>+B321&amp;E321&amp;F321</f>
        <v>29006EXPLORER</v>
      </c>
      <c r="H321">
        <v>5333</v>
      </c>
      <c r="I321" s="6">
        <f>VLOOKUP(G321,[4]Estimado_modelo!$G$2:$I$421,3,FALSE)</f>
        <v>5100</v>
      </c>
      <c r="J321" s="6">
        <f>+(I321-H321)/I321</f>
        <v>-4.568627450980392E-2</v>
      </c>
    </row>
    <row r="322" spans="1:11">
      <c r="A322">
        <v>2026</v>
      </c>
      <c r="B322">
        <v>28</v>
      </c>
      <c r="C322" t="s">
        <v>7</v>
      </c>
      <c r="D322" t="s">
        <v>8</v>
      </c>
      <c r="E322" s="2" t="s">
        <v>105</v>
      </c>
      <c r="F322" t="s">
        <v>68</v>
      </c>
      <c r="G322" t="str">
        <f>+B322&amp;E322&amp;F322</f>
        <v>28026LOLA</v>
      </c>
      <c r="H322">
        <v>4449</v>
      </c>
      <c r="I322" s="6">
        <f>VLOOKUP(G322,[3]Astroflores!$G$2:$H$110,2,FALSE)</f>
        <v>4250</v>
      </c>
      <c r="J322" s="6">
        <f>+(I322-H322)/I322</f>
        <v>-4.6823529411764708E-2</v>
      </c>
    </row>
    <row r="323" spans="1:11">
      <c r="A323">
        <v>2026</v>
      </c>
      <c r="B323">
        <v>29</v>
      </c>
      <c r="C323" t="s">
        <v>7</v>
      </c>
      <c r="D323" t="s">
        <v>8</v>
      </c>
      <c r="E323" s="2" t="s">
        <v>102</v>
      </c>
      <c r="F323" t="s">
        <v>66</v>
      </c>
      <c r="G323" t="str">
        <f>+B323&amp;E323&amp;F323</f>
        <v>29023FRUTTETO</v>
      </c>
      <c r="H323">
        <v>7307</v>
      </c>
      <c r="I323" s="6">
        <f>VLOOKUP(G323,[4]Estimado_modelo!$G$2:$I$421,3,FALSE)</f>
        <v>6960</v>
      </c>
      <c r="J323" s="6">
        <f>+(I323-H323)/I323</f>
        <v>-4.985632183908046E-2</v>
      </c>
    </row>
    <row r="324" spans="1:11">
      <c r="A324">
        <v>2026</v>
      </c>
      <c r="B324">
        <v>26</v>
      </c>
      <c r="C324" t="s">
        <v>10</v>
      </c>
      <c r="D324" t="s">
        <v>8</v>
      </c>
      <c r="E324" s="2" t="s">
        <v>89</v>
      </c>
      <c r="F324" t="s">
        <v>17</v>
      </c>
      <c r="G324" t="str">
        <f>+B324&amp;E324&amp;F324</f>
        <v>26022FRUITY BUBBLES</v>
      </c>
      <c r="H324">
        <v>6359</v>
      </c>
      <c r="I324" s="6">
        <f>VLOOKUP(G324,[1]Astroflores!$G$2:$H$109,2,FALSE)</f>
        <v>6050</v>
      </c>
      <c r="J324" s="6">
        <f>+(I324-H324)/I324</f>
        <v>-5.1074380165289257E-2</v>
      </c>
    </row>
    <row r="325" spans="1:11">
      <c r="A325">
        <v>2026</v>
      </c>
      <c r="B325">
        <v>29</v>
      </c>
      <c r="C325" t="s">
        <v>7</v>
      </c>
      <c r="D325" t="s">
        <v>8</v>
      </c>
      <c r="E325" s="2" t="s">
        <v>86</v>
      </c>
      <c r="F325" t="s">
        <v>62</v>
      </c>
      <c r="G325" t="str">
        <f>+B325&amp;E325&amp;F325</f>
        <v>29019TABATHA</v>
      </c>
      <c r="H325">
        <v>2620</v>
      </c>
      <c r="I325" s="6">
        <f>VLOOKUP(G325,[4]Estimado_modelo!$G$2:$I$421,3,FALSE)</f>
        <v>2490</v>
      </c>
      <c r="J325" s="6">
        <f>+(I325-H325)/I325</f>
        <v>-5.2208835341365459E-2</v>
      </c>
    </row>
    <row r="326" spans="1:11">
      <c r="A326">
        <v>2026</v>
      </c>
      <c r="B326">
        <v>26</v>
      </c>
      <c r="C326" t="s">
        <v>7</v>
      </c>
      <c r="D326" t="s">
        <v>8</v>
      </c>
      <c r="E326" s="2" t="s">
        <v>79</v>
      </c>
      <c r="F326" t="s">
        <v>43</v>
      </c>
      <c r="G326" t="str">
        <f>+B326&amp;E326&amp;F326</f>
        <v>26007COTOPAXI</v>
      </c>
      <c r="H326">
        <v>5540</v>
      </c>
      <c r="I326" s="6">
        <f>VLOOKUP(G326,[1]Astroflores!$G$2:$H$109,2,FALSE)</f>
        <v>5250</v>
      </c>
      <c r="J326" s="6">
        <f>+(I326-H326)/I326</f>
        <v>-5.5238095238095239E-2</v>
      </c>
    </row>
    <row r="327" spans="1:11">
      <c r="A327">
        <v>2026</v>
      </c>
      <c r="B327">
        <v>26</v>
      </c>
      <c r="C327" t="s">
        <v>10</v>
      </c>
      <c r="D327" t="s">
        <v>8</v>
      </c>
      <c r="E327" s="2" t="s">
        <v>89</v>
      </c>
      <c r="F327" t="s">
        <v>19</v>
      </c>
      <c r="G327" t="str">
        <f>+B327&amp;E327&amp;F327</f>
        <v>26022GOOD PEACH</v>
      </c>
      <c r="H327">
        <v>2252</v>
      </c>
      <c r="I327" s="6">
        <f>VLOOKUP(G327,[1]Astroflores!$G$2:$H$109,2,FALSE)</f>
        <v>2130</v>
      </c>
      <c r="J327" s="6">
        <f>+(I327-H327)/I327</f>
        <v>-5.7276995305164322E-2</v>
      </c>
    </row>
    <row r="328" spans="1:11">
      <c r="A328">
        <v>2026</v>
      </c>
      <c r="B328">
        <v>28</v>
      </c>
      <c r="C328" t="s">
        <v>7</v>
      </c>
      <c r="D328" t="s">
        <v>8</v>
      </c>
      <c r="E328" s="2" t="s">
        <v>77</v>
      </c>
      <c r="F328" t="s">
        <v>44</v>
      </c>
      <c r="G328" t="str">
        <f>+B328&amp;E328&amp;F328</f>
        <v>28004HOT EXPLORER</v>
      </c>
      <c r="H328">
        <v>2569</v>
      </c>
      <c r="I328" s="6">
        <f>VLOOKUP(G328,[3]Astroflores!$G$2:$H$110,2,FALSE)</f>
        <v>2425</v>
      </c>
      <c r="J328" s="6">
        <f>+(I328-H328)/I328</f>
        <v>-5.9381443298969071E-2</v>
      </c>
    </row>
    <row r="329" spans="1:11">
      <c r="A329">
        <v>2026</v>
      </c>
      <c r="B329">
        <v>27</v>
      </c>
      <c r="C329" t="s">
        <v>7</v>
      </c>
      <c r="D329" t="s">
        <v>8</v>
      </c>
      <c r="E329" s="2" t="s">
        <v>102</v>
      </c>
      <c r="F329" t="s">
        <v>43</v>
      </c>
      <c r="G329" t="str">
        <f>+B329&amp;E329&amp;F329</f>
        <v>27023COTOPAXI</v>
      </c>
      <c r="H329">
        <v>6967</v>
      </c>
      <c r="I329" s="6">
        <f>VLOOKUP(G329,[2]Hoja1!$G$8515:$H$8621,2,FALSE)</f>
        <v>6570</v>
      </c>
      <c r="J329" s="6">
        <f>+(I329-H329)/I329</f>
        <v>-6.0426179604261797E-2</v>
      </c>
    </row>
    <row r="330" spans="1:11">
      <c r="A330">
        <v>2026</v>
      </c>
      <c r="B330">
        <v>26</v>
      </c>
      <c r="C330" t="s">
        <v>7</v>
      </c>
      <c r="D330" t="s">
        <v>8</v>
      </c>
      <c r="E330" s="2" t="s">
        <v>105</v>
      </c>
      <c r="F330" t="s">
        <v>69</v>
      </c>
      <c r="G330" t="str">
        <f>+B330&amp;E330&amp;F330</f>
        <v>26026PALOMA</v>
      </c>
      <c r="H330">
        <v>6215</v>
      </c>
      <c r="I330" s="6">
        <f>VLOOKUP(G330,[1]Astroflores!$G$2:$H$109,2,FALSE)</f>
        <v>5850</v>
      </c>
      <c r="J330" s="6">
        <f>+(I330-H330)/I330</f>
        <v>-6.2393162393162394E-2</v>
      </c>
    </row>
    <row r="331" spans="1:11">
      <c r="A331">
        <v>2026</v>
      </c>
      <c r="B331">
        <v>26</v>
      </c>
      <c r="C331" t="s">
        <v>10</v>
      </c>
      <c r="D331" t="s">
        <v>8</v>
      </c>
      <c r="E331" s="2" t="s">
        <v>91</v>
      </c>
      <c r="F331" t="s">
        <v>11</v>
      </c>
      <c r="G331" t="str">
        <f>+B331&amp;E331&amp;F331</f>
        <v>26031SOMERSET</v>
      </c>
      <c r="H331">
        <v>1318</v>
      </c>
      <c r="I331" s="6">
        <f>VLOOKUP(G331,[1]Astroflores!$G$2:$H$109,2,FALSE)</f>
        <v>1240</v>
      </c>
      <c r="J331" s="6">
        <f>+(I331-H331)/I331</f>
        <v>-6.2903225806451607E-2</v>
      </c>
    </row>
    <row r="332" spans="1:11">
      <c r="A332">
        <v>2026</v>
      </c>
      <c r="B332">
        <v>26</v>
      </c>
      <c r="C332" t="s">
        <v>10</v>
      </c>
      <c r="D332" t="s">
        <v>8</v>
      </c>
      <c r="E332" s="2" t="s">
        <v>86</v>
      </c>
      <c r="F332" t="s">
        <v>12</v>
      </c>
      <c r="G332" t="str">
        <f>+B332&amp;E332&amp;F332</f>
        <v>26019BELLINA</v>
      </c>
      <c r="H332">
        <v>1915</v>
      </c>
      <c r="I332" s="6">
        <f>VLOOKUP(G332,[1]Astroflores!$G$2:$H$109,2,FALSE)</f>
        <v>1800</v>
      </c>
      <c r="J332" s="6">
        <f>+(I332-H332)/I332</f>
        <v>-6.3888888888888884E-2</v>
      </c>
    </row>
    <row r="333" spans="1:11">
      <c r="A333">
        <v>2026</v>
      </c>
      <c r="B333">
        <v>27</v>
      </c>
      <c r="C333" t="s">
        <v>10</v>
      </c>
      <c r="D333" t="s">
        <v>8</v>
      </c>
      <c r="E333" s="2" t="s">
        <v>78</v>
      </c>
      <c r="F333" t="s">
        <v>13</v>
      </c>
      <c r="G333" t="str">
        <f>+B333&amp;E333&amp;F333</f>
        <v>27005ELBA</v>
      </c>
      <c r="H333">
        <v>7119</v>
      </c>
      <c r="I333" s="6">
        <f>VLOOKUP(G333,[2]Hoja1!$G$8515:$H$8621,2,FALSE)</f>
        <v>6660</v>
      </c>
      <c r="J333" s="6">
        <f>+(I333-H333)/I333</f>
        <v>-6.8918918918918923E-2</v>
      </c>
    </row>
    <row r="334" spans="1:11">
      <c r="A334">
        <v>2026</v>
      </c>
      <c r="B334">
        <v>26</v>
      </c>
      <c r="C334" t="s">
        <v>7</v>
      </c>
      <c r="D334" t="s">
        <v>8</v>
      </c>
      <c r="E334" s="2" t="s">
        <v>96</v>
      </c>
      <c r="F334" t="s">
        <v>34</v>
      </c>
      <c r="G334" t="str">
        <f>+B334&amp;E334&amp;F334</f>
        <v>26006EXPLORER</v>
      </c>
      <c r="H334">
        <v>7778</v>
      </c>
      <c r="I334" s="6">
        <f>VLOOKUP(G334,[1]Astroflores!$G$2:$H$109,2,FALSE)</f>
        <v>7275</v>
      </c>
      <c r="J334" s="6">
        <f>+(I334-H334)/I334</f>
        <v>-6.9140893470790374E-2</v>
      </c>
    </row>
    <row r="335" spans="1:11">
      <c r="A335">
        <v>2026</v>
      </c>
      <c r="B335">
        <v>26</v>
      </c>
      <c r="C335" t="s">
        <v>10</v>
      </c>
      <c r="D335" t="s">
        <v>8</v>
      </c>
      <c r="E335" s="2" t="s">
        <v>91</v>
      </c>
      <c r="F335" t="s">
        <v>23</v>
      </c>
      <c r="G335" t="str">
        <f>+B335&amp;E335&amp;F335</f>
        <v>26031RUBICON</v>
      </c>
      <c r="H335">
        <v>3644</v>
      </c>
      <c r="I335" s="6">
        <f>VLOOKUP(G335,[1]Astroflores!$G$2:$H$109,2,FALSE)</f>
        <v>3390</v>
      </c>
      <c r="J335" s="6">
        <f>+(I335-H335)/I335</f>
        <v>-7.4926253687315633E-2</v>
      </c>
      <c r="K335" s="5">
        <v>3011</v>
      </c>
    </row>
    <row r="336" spans="1:11">
      <c r="A336">
        <v>2026</v>
      </c>
      <c r="B336">
        <v>28</v>
      </c>
      <c r="C336" t="s">
        <v>7</v>
      </c>
      <c r="D336" t="s">
        <v>8</v>
      </c>
      <c r="E336" s="2" t="s">
        <v>78</v>
      </c>
      <c r="F336" t="s">
        <v>46</v>
      </c>
      <c r="G336" t="str">
        <f>+B336&amp;E336&amp;F336</f>
        <v>28005GOLDFINCH</v>
      </c>
      <c r="H336">
        <v>1214</v>
      </c>
      <c r="I336" s="6">
        <f>VLOOKUP(G336,[3]Astroflores!$G$2:$H$110,2,FALSE)</f>
        <v>1125</v>
      </c>
      <c r="J336" s="6">
        <f>+(I336-H336)/I336</f>
        <v>-7.9111111111111104E-2</v>
      </c>
    </row>
    <row r="337" spans="1:10">
      <c r="A337">
        <v>2026</v>
      </c>
      <c r="B337">
        <v>26</v>
      </c>
      <c r="C337" t="s">
        <v>7</v>
      </c>
      <c r="D337" t="s">
        <v>8</v>
      </c>
      <c r="E337" s="2" t="s">
        <v>99</v>
      </c>
      <c r="F337" t="s">
        <v>56</v>
      </c>
      <c r="G337" t="str">
        <f>+B337&amp;E337&amp;F337</f>
        <v>26011CAYENNE</v>
      </c>
      <c r="H337">
        <v>1722</v>
      </c>
      <c r="I337" s="6">
        <f>VLOOKUP(G337,[1]Astroflores!$G$2:$H$109,2,FALSE)</f>
        <v>1590</v>
      </c>
      <c r="J337" s="6">
        <f>+(I337-H337)/I337</f>
        <v>-8.3018867924528297E-2</v>
      </c>
    </row>
    <row r="338" spans="1:10">
      <c r="A338">
        <v>2026</v>
      </c>
      <c r="B338">
        <v>27</v>
      </c>
      <c r="C338" t="s">
        <v>10</v>
      </c>
      <c r="D338" t="s">
        <v>8</v>
      </c>
      <c r="E338" s="2" t="s">
        <v>86</v>
      </c>
      <c r="F338" t="s">
        <v>12</v>
      </c>
      <c r="G338" t="str">
        <f>+B338&amp;E338&amp;F338</f>
        <v>27019BELLINA</v>
      </c>
      <c r="H338">
        <v>1722</v>
      </c>
      <c r="I338" s="6">
        <f>VLOOKUP(G338,[2]Hoja1!$G$8515:$H$8621,2,FALSE)</f>
        <v>1590</v>
      </c>
      <c r="J338" s="6">
        <f>+(I338-H338)/I338</f>
        <v>-8.3018867924528297E-2</v>
      </c>
    </row>
    <row r="339" spans="1:10">
      <c r="A339">
        <v>2026</v>
      </c>
      <c r="B339">
        <v>26</v>
      </c>
      <c r="C339" t="s">
        <v>7</v>
      </c>
      <c r="D339" t="s">
        <v>8</v>
      </c>
      <c r="E339" s="2" t="s">
        <v>99</v>
      </c>
      <c r="F339" t="s">
        <v>9</v>
      </c>
      <c r="G339" t="str">
        <f>+B339&amp;E339&amp;F339</f>
        <v>26011LUMIA</v>
      </c>
      <c r="H339">
        <v>1630</v>
      </c>
      <c r="I339" s="6">
        <f>VLOOKUP(G339,[1]Astroflores!$G$2:$H$109,2,FALSE)</f>
        <v>1500</v>
      </c>
      <c r="J339" s="6">
        <f>+(I339-H339)/I339</f>
        <v>-8.666666666666667E-2</v>
      </c>
    </row>
    <row r="340" spans="1:10">
      <c r="A340">
        <v>2026</v>
      </c>
      <c r="B340">
        <v>26</v>
      </c>
      <c r="C340" t="s">
        <v>7</v>
      </c>
      <c r="D340" t="s">
        <v>8</v>
      </c>
      <c r="E340" s="2" t="s">
        <v>95</v>
      </c>
      <c r="F340" t="s">
        <v>39</v>
      </c>
      <c r="G340" t="str">
        <f>+B340&amp;E340&amp;F340</f>
        <v>26003CABARET</v>
      </c>
      <c r="H340">
        <v>6627</v>
      </c>
      <c r="I340" s="6">
        <f>VLOOKUP(G340,[1]Astroflores!$G$2:$H$109,2,FALSE)</f>
        <v>6090</v>
      </c>
      <c r="J340" s="6">
        <f>+(I340-H340)/I340</f>
        <v>-8.817733990147783E-2</v>
      </c>
    </row>
    <row r="341" spans="1:10">
      <c r="A341">
        <v>2026</v>
      </c>
      <c r="B341">
        <v>26</v>
      </c>
      <c r="C341" t="s">
        <v>7</v>
      </c>
      <c r="D341" t="s">
        <v>8</v>
      </c>
      <c r="E341" s="2" t="s">
        <v>78</v>
      </c>
      <c r="F341" t="s">
        <v>46</v>
      </c>
      <c r="G341" t="str">
        <f>+B341&amp;E341&amp;F341</f>
        <v>26005GOLDFINCH</v>
      </c>
      <c r="H341">
        <v>1279</v>
      </c>
      <c r="I341" s="6">
        <f>VLOOKUP(G341,[1]Astroflores!$G$2:$H$109,2,FALSE)</f>
        <v>1175</v>
      </c>
      <c r="J341" s="6">
        <f>+(I341-H341)/I341</f>
        <v>-8.851063829787234E-2</v>
      </c>
    </row>
    <row r="342" spans="1:10">
      <c r="A342">
        <v>2026</v>
      </c>
      <c r="B342">
        <v>27</v>
      </c>
      <c r="C342" t="s">
        <v>10</v>
      </c>
      <c r="D342" t="s">
        <v>8</v>
      </c>
      <c r="E342" s="2" t="s">
        <v>88</v>
      </c>
      <c r="F342" t="s">
        <v>25</v>
      </c>
      <c r="G342" t="str">
        <f>+B342&amp;E342&amp;F342</f>
        <v>27021ELEGANT ROSEVER</v>
      </c>
      <c r="H342">
        <v>919</v>
      </c>
      <c r="I342" s="6">
        <f>VLOOKUP(G342,[2]Hoja1!$G$8515:$H$8621,2,FALSE)</f>
        <v>840</v>
      </c>
      <c r="J342" s="6">
        <f>+(I342-H342)/I342</f>
        <v>-9.4047619047619047E-2</v>
      </c>
    </row>
    <row r="343" spans="1:10">
      <c r="A343">
        <v>2026</v>
      </c>
      <c r="B343">
        <v>26</v>
      </c>
      <c r="C343" t="s">
        <v>7</v>
      </c>
      <c r="D343" t="s">
        <v>8</v>
      </c>
      <c r="E343" s="2" t="s">
        <v>100</v>
      </c>
      <c r="F343" t="s">
        <v>36</v>
      </c>
      <c r="G343" t="str">
        <f>+B343&amp;E343&amp;F343</f>
        <v>26012LIGHT HOUSE</v>
      </c>
      <c r="H343">
        <v>1850</v>
      </c>
      <c r="I343" s="6">
        <f>VLOOKUP(G343,[1]Astroflores!$G$2:$H$109,2,FALSE)</f>
        <v>1680</v>
      </c>
      <c r="J343" s="6">
        <f>+(I343-H343)/I343</f>
        <v>-0.10119047619047619</v>
      </c>
    </row>
    <row r="344" spans="1:10">
      <c r="A344">
        <v>2026</v>
      </c>
      <c r="B344">
        <v>26</v>
      </c>
      <c r="C344" t="s">
        <v>7</v>
      </c>
      <c r="D344" t="s">
        <v>8</v>
      </c>
      <c r="E344" s="2" t="s">
        <v>107</v>
      </c>
      <c r="F344" t="s">
        <v>40</v>
      </c>
      <c r="G344" t="str">
        <f>+B344&amp;E344&amp;F344</f>
        <v>26028DEEP PURPLE</v>
      </c>
      <c r="H344">
        <v>7160</v>
      </c>
      <c r="I344" s="6">
        <f>VLOOKUP(G344,[1]Astroflores!$G$2:$H$109,2,FALSE)</f>
        <v>6480</v>
      </c>
      <c r="J344" s="6">
        <f>+(I344-H344)/I344</f>
        <v>-0.10493827160493827</v>
      </c>
    </row>
    <row r="345" spans="1:10">
      <c r="A345">
        <v>2026</v>
      </c>
      <c r="B345">
        <v>28</v>
      </c>
      <c r="C345" t="s">
        <v>10</v>
      </c>
      <c r="D345" t="s">
        <v>8</v>
      </c>
      <c r="E345" s="2" t="s">
        <v>88</v>
      </c>
      <c r="F345" t="s">
        <v>27</v>
      </c>
      <c r="G345" t="str">
        <f>+B345&amp;E345&amp;F345</f>
        <v>28021KELLY</v>
      </c>
      <c r="H345">
        <v>636</v>
      </c>
      <c r="I345" s="6">
        <f>VLOOKUP(G345,[3]Astroflores!$G$2:$H$110,2,FALSE)</f>
        <v>575</v>
      </c>
      <c r="J345" s="6">
        <f>+(I345-H345)/I345</f>
        <v>-0.10608695652173913</v>
      </c>
    </row>
    <row r="346" spans="1:10">
      <c r="A346">
        <v>2026</v>
      </c>
      <c r="B346">
        <v>27</v>
      </c>
      <c r="C346" t="s">
        <v>7</v>
      </c>
      <c r="D346" t="s">
        <v>8</v>
      </c>
      <c r="E346" s="2" t="s">
        <v>86</v>
      </c>
      <c r="F346" t="s">
        <v>62</v>
      </c>
      <c r="G346" t="str">
        <f>+B346&amp;E346&amp;F346</f>
        <v>27019TABATHA</v>
      </c>
      <c r="H346">
        <v>2891</v>
      </c>
      <c r="I346" s="6">
        <f>VLOOKUP(G346,[2]Hoja1!$G$8515:$H$8621,2,FALSE)</f>
        <v>2610</v>
      </c>
      <c r="J346" s="6">
        <f>+(I346-H346)/I346</f>
        <v>-0.10766283524904215</v>
      </c>
    </row>
    <row r="347" spans="1:10">
      <c r="A347">
        <v>2026</v>
      </c>
      <c r="B347">
        <v>26</v>
      </c>
      <c r="C347" t="s">
        <v>7</v>
      </c>
      <c r="D347" t="s">
        <v>8</v>
      </c>
      <c r="E347" s="2" t="s">
        <v>103</v>
      </c>
      <c r="F347" t="s">
        <v>63</v>
      </c>
      <c r="G347" t="str">
        <f>+B347&amp;E347&amp;F347</f>
        <v>26024TYCOON</v>
      </c>
      <c r="H347">
        <v>4523</v>
      </c>
      <c r="I347" s="6">
        <f>VLOOKUP(G347,[1]Astroflores!$G$2:$H$109,2,FALSE)</f>
        <v>4080</v>
      </c>
      <c r="J347" s="6">
        <f>+(I347-H347)/I347</f>
        <v>-0.10857843137254902</v>
      </c>
    </row>
    <row r="348" spans="1:10">
      <c r="A348">
        <v>2026</v>
      </c>
      <c r="B348">
        <v>28</v>
      </c>
      <c r="C348" t="s">
        <v>7</v>
      </c>
      <c r="D348" t="s">
        <v>8</v>
      </c>
      <c r="E348" s="2" t="s">
        <v>84</v>
      </c>
      <c r="F348" t="s">
        <v>51</v>
      </c>
      <c r="G348" t="str">
        <f>+B348&amp;E348&amp;F348</f>
        <v>28017FREEDOM</v>
      </c>
      <c r="H348">
        <v>7100</v>
      </c>
      <c r="I348" s="6">
        <f>VLOOKUP(G348,[3]Astroflores!$G$2:$H$110,2,FALSE)</f>
        <v>6390</v>
      </c>
      <c r="J348" s="6">
        <f>+(I348-H348)/I348</f>
        <v>-0.1111111111111111</v>
      </c>
    </row>
    <row r="349" spans="1:10">
      <c r="A349">
        <v>2026</v>
      </c>
      <c r="B349">
        <v>29</v>
      </c>
      <c r="C349" t="s">
        <v>7</v>
      </c>
      <c r="D349" t="s">
        <v>8</v>
      </c>
      <c r="E349" s="2" t="s">
        <v>79</v>
      </c>
      <c r="F349" t="s">
        <v>43</v>
      </c>
      <c r="G349" t="str">
        <f>+B349&amp;E349&amp;F349</f>
        <v>29007COTOPAXI</v>
      </c>
      <c r="H349">
        <v>6520</v>
      </c>
      <c r="I349" s="6">
        <f>VLOOKUP(G349,[4]Estimado_modelo!$G$2:$I$421,3,FALSE)</f>
        <v>5850</v>
      </c>
      <c r="J349" s="6">
        <f>+(I349-H349)/I349</f>
        <v>-0.11452991452991453</v>
      </c>
    </row>
    <row r="350" spans="1:10">
      <c r="A350">
        <v>2026</v>
      </c>
      <c r="B350">
        <v>26</v>
      </c>
      <c r="C350" t="s">
        <v>7</v>
      </c>
      <c r="D350" t="s">
        <v>8</v>
      </c>
      <c r="E350" s="2" t="s">
        <v>104</v>
      </c>
      <c r="F350" t="s">
        <v>67</v>
      </c>
      <c r="G350" t="str">
        <f>+B350&amp;E350&amp;F350</f>
        <v>26025PINK MONDIAL</v>
      </c>
      <c r="H350">
        <v>5825</v>
      </c>
      <c r="I350" s="6">
        <f>VLOOKUP(G350,[1]Astroflores!$G$2:$H$109,2,FALSE)</f>
        <v>5225</v>
      </c>
      <c r="J350" s="6">
        <f>+(I350-H350)/I350</f>
        <v>-0.11483253588516747</v>
      </c>
    </row>
    <row r="351" spans="1:10">
      <c r="A351">
        <v>2026</v>
      </c>
      <c r="B351">
        <v>29</v>
      </c>
      <c r="C351" t="s">
        <v>10</v>
      </c>
      <c r="D351" t="s">
        <v>8</v>
      </c>
      <c r="E351" s="2" t="s">
        <v>85</v>
      </c>
      <c r="F351" t="s">
        <v>23</v>
      </c>
      <c r="G351" t="str">
        <f>+B351&amp;E351&amp;F351</f>
        <v>29018RUBICON</v>
      </c>
      <c r="H351">
        <v>3955</v>
      </c>
      <c r="I351" s="6">
        <f>VLOOKUP(G351,[4]Estimado_modelo!$G$2:$I$421,3,FALSE)</f>
        <v>3540</v>
      </c>
      <c r="J351" s="6">
        <f>+(I351-H351)/I351</f>
        <v>-0.1172316384180791</v>
      </c>
    </row>
    <row r="352" spans="1:10">
      <c r="A352">
        <v>2026</v>
      </c>
      <c r="B352">
        <v>26</v>
      </c>
      <c r="C352" t="s">
        <v>7</v>
      </c>
      <c r="D352" t="s">
        <v>8</v>
      </c>
      <c r="E352" s="2" t="s">
        <v>94</v>
      </c>
      <c r="F352" t="s">
        <v>35</v>
      </c>
      <c r="G352" t="str">
        <f>+B352&amp;E352&amp;F352</f>
        <v>26001GRACE KELLY</v>
      </c>
      <c r="H352">
        <v>2287</v>
      </c>
      <c r="I352" s="6">
        <f>VLOOKUP(G352,[1]Astroflores!$G$2:$H$109,2,FALSE)</f>
        <v>2040</v>
      </c>
      <c r="J352" s="6">
        <f>+(I352-H352)/I352</f>
        <v>-0.12107843137254902</v>
      </c>
    </row>
    <row r="353" spans="1:10">
      <c r="A353">
        <v>2026</v>
      </c>
      <c r="B353">
        <v>28</v>
      </c>
      <c r="C353" t="s">
        <v>10</v>
      </c>
      <c r="D353" t="s">
        <v>8</v>
      </c>
      <c r="E353" s="2" t="s">
        <v>85</v>
      </c>
      <c r="F353" t="s">
        <v>23</v>
      </c>
      <c r="G353" t="str">
        <f>+B353&amp;E353&amp;F353</f>
        <v>28018RUBICON</v>
      </c>
      <c r="H353">
        <v>4012</v>
      </c>
      <c r="I353" s="6">
        <f>VLOOKUP(G353,[3]Astroflores!$G$2:$H$110,2,FALSE)</f>
        <v>3570</v>
      </c>
      <c r="J353" s="6">
        <f>+(I353-H353)/I353</f>
        <v>-0.12380952380952381</v>
      </c>
    </row>
    <row r="354" spans="1:10">
      <c r="A354">
        <v>2026</v>
      </c>
      <c r="B354">
        <v>28</v>
      </c>
      <c r="C354" t="s">
        <v>7</v>
      </c>
      <c r="D354" t="s">
        <v>8</v>
      </c>
      <c r="E354" s="2" t="s">
        <v>105</v>
      </c>
      <c r="F354" t="s">
        <v>69</v>
      </c>
      <c r="G354" t="str">
        <f>+B354&amp;E354&amp;F354</f>
        <v>28026PALOMA</v>
      </c>
      <c r="H354">
        <v>5468</v>
      </c>
      <c r="I354" s="6">
        <f>VLOOKUP(G354,[3]Astroflores!$G$2:$H$110,2,FALSE)</f>
        <v>4850</v>
      </c>
      <c r="J354" s="6">
        <f>+(I354-H354)/I354</f>
        <v>-0.12742268041237115</v>
      </c>
    </row>
    <row r="355" spans="1:10">
      <c r="A355">
        <v>2026</v>
      </c>
      <c r="B355">
        <v>29</v>
      </c>
      <c r="C355" t="s">
        <v>7</v>
      </c>
      <c r="D355" t="s">
        <v>8</v>
      </c>
      <c r="E355" s="2" t="s">
        <v>105</v>
      </c>
      <c r="F355" t="s">
        <v>69</v>
      </c>
      <c r="G355" t="str">
        <f>+B355&amp;E355&amp;F355</f>
        <v>29026PALOMA</v>
      </c>
      <c r="H355">
        <v>5293</v>
      </c>
      <c r="I355" s="6">
        <f>VLOOKUP(G355,[4]Estimado_modelo!$G$2:$I$421,3,FALSE)</f>
        <v>4675</v>
      </c>
      <c r="J355" s="6">
        <f>+(I355-H355)/I355</f>
        <v>-0.13219251336898397</v>
      </c>
    </row>
    <row r="356" spans="1:10">
      <c r="A356">
        <v>2026</v>
      </c>
      <c r="B356">
        <v>26</v>
      </c>
      <c r="C356" t="s">
        <v>10</v>
      </c>
      <c r="D356" t="s">
        <v>8</v>
      </c>
      <c r="E356" s="2" t="s">
        <v>88</v>
      </c>
      <c r="F356" t="s">
        <v>26</v>
      </c>
      <c r="G356" t="str">
        <f>+B356&amp;E356&amp;F356</f>
        <v>26021FLAME CLUB</v>
      </c>
      <c r="H356">
        <v>1928</v>
      </c>
      <c r="I356" s="6">
        <f>VLOOKUP(G356,[1]Astroflores!$G$2:$H$109,2,FALSE)</f>
        <v>1700</v>
      </c>
      <c r="J356" s="6">
        <f>+(I356-H356)/I356</f>
        <v>-0.13411764705882354</v>
      </c>
    </row>
    <row r="357" spans="1:10">
      <c r="A357">
        <v>2026</v>
      </c>
      <c r="B357">
        <v>26</v>
      </c>
      <c r="C357" t="s">
        <v>7</v>
      </c>
      <c r="D357" t="s">
        <v>8</v>
      </c>
      <c r="E357" s="2" t="s">
        <v>95</v>
      </c>
      <c r="F357" t="s">
        <v>34</v>
      </c>
      <c r="G357" t="str">
        <f>+B357&amp;E357&amp;F357</f>
        <v>26003EXPLORER</v>
      </c>
      <c r="H357">
        <v>3276</v>
      </c>
      <c r="I357" s="6">
        <f>VLOOKUP(G357,[1]Astroflores!$G$2:$H$109,2,FALSE)</f>
        <v>2875</v>
      </c>
      <c r="J357" s="6">
        <f>+(I357-H357)/I357</f>
        <v>-0.13947826086956522</v>
      </c>
    </row>
    <row r="358" spans="1:10">
      <c r="A358">
        <v>2026</v>
      </c>
      <c r="B358">
        <v>26</v>
      </c>
      <c r="C358" t="s">
        <v>7</v>
      </c>
      <c r="D358" t="s">
        <v>8</v>
      </c>
      <c r="E358" s="2" t="s">
        <v>89</v>
      </c>
      <c r="F358" t="s">
        <v>65</v>
      </c>
      <c r="G358" t="str">
        <f>+B358&amp;E358&amp;F358</f>
        <v>26022CORAL REEF</v>
      </c>
      <c r="H358">
        <v>2741</v>
      </c>
      <c r="I358" s="6">
        <f>VLOOKUP(G358,[1]Astroflores!$G$2:$H$109,2,FALSE)</f>
        <v>2400</v>
      </c>
      <c r="J358" s="6">
        <f>+(I358-H358)/I358</f>
        <v>-0.14208333333333334</v>
      </c>
    </row>
    <row r="359" spans="1:10">
      <c r="A359">
        <v>2026</v>
      </c>
      <c r="B359">
        <v>28</v>
      </c>
      <c r="C359" t="s">
        <v>7</v>
      </c>
      <c r="D359" t="s">
        <v>8</v>
      </c>
      <c r="E359" s="2" t="s">
        <v>86</v>
      </c>
      <c r="F359" t="s">
        <v>62</v>
      </c>
      <c r="G359" t="str">
        <f>+B359&amp;E359&amp;F359</f>
        <v>28019TABATHA</v>
      </c>
      <c r="H359">
        <v>2575</v>
      </c>
      <c r="I359" s="6">
        <f>VLOOKUP(G359,[3]Astroflores!$G$2:$H$110,2,FALSE)</f>
        <v>2250</v>
      </c>
      <c r="J359" s="6">
        <f>+(I359-H359)/I359</f>
        <v>-0.14444444444444443</v>
      </c>
    </row>
    <row r="360" spans="1:10">
      <c r="A360">
        <v>2026</v>
      </c>
      <c r="B360">
        <v>26</v>
      </c>
      <c r="C360" t="s">
        <v>10</v>
      </c>
      <c r="D360" t="s">
        <v>8</v>
      </c>
      <c r="E360" s="2" t="s">
        <v>78</v>
      </c>
      <c r="F360" t="s">
        <v>14</v>
      </c>
      <c r="G360" t="str">
        <f>+B360&amp;E360&amp;F360</f>
        <v>26005HOT BUBBLES</v>
      </c>
      <c r="H360">
        <v>1488</v>
      </c>
      <c r="I360" s="6">
        <f>VLOOKUP(G360,[1]Astroflores!$G$2:$H$109,2,FALSE)</f>
        <v>1300</v>
      </c>
      <c r="J360" s="6">
        <f>+(I360-H360)/I360</f>
        <v>-0.14461538461538462</v>
      </c>
    </row>
    <row r="361" spans="1:10">
      <c r="A361">
        <v>2026</v>
      </c>
      <c r="B361">
        <v>29</v>
      </c>
      <c r="C361" t="s">
        <v>7</v>
      </c>
      <c r="D361" t="s">
        <v>8</v>
      </c>
      <c r="E361" s="2" t="s">
        <v>107</v>
      </c>
      <c r="F361" t="s">
        <v>40</v>
      </c>
      <c r="G361" t="str">
        <f>+B361&amp;E361&amp;F361</f>
        <v>29028DEEP PURPLE</v>
      </c>
      <c r="H361">
        <v>8310</v>
      </c>
      <c r="I361" s="6">
        <f>VLOOKUP(G361,[4]Estimado_modelo!$G$2:$I$421,3,FALSE)</f>
        <v>7260</v>
      </c>
      <c r="J361" s="6">
        <f>+(I361-H361)/I361</f>
        <v>-0.14462809917355371</v>
      </c>
    </row>
    <row r="362" spans="1:10">
      <c r="A362">
        <v>2026</v>
      </c>
      <c r="B362">
        <v>26</v>
      </c>
      <c r="C362" t="s">
        <v>7</v>
      </c>
      <c r="D362" t="s">
        <v>8</v>
      </c>
      <c r="E362" s="2" t="s">
        <v>97</v>
      </c>
      <c r="F362" t="s">
        <v>41</v>
      </c>
      <c r="G362" t="str">
        <f>+B362&amp;E362&amp;F362</f>
        <v>26008JOCKER</v>
      </c>
      <c r="H362">
        <v>4764</v>
      </c>
      <c r="I362" s="6">
        <f>VLOOKUP(G362,[1]Astroflores!$G$2:$H$109,2,FALSE)</f>
        <v>4150</v>
      </c>
      <c r="J362" s="6">
        <f>+(I362-H362)/I362</f>
        <v>-0.14795180722891565</v>
      </c>
    </row>
    <row r="363" spans="1:10">
      <c r="A363">
        <v>2026</v>
      </c>
      <c r="B363">
        <v>26</v>
      </c>
      <c r="C363" t="s">
        <v>7</v>
      </c>
      <c r="D363" t="s">
        <v>8</v>
      </c>
      <c r="E363" s="2" t="s">
        <v>95</v>
      </c>
      <c r="F363" t="s">
        <v>42</v>
      </c>
      <c r="G363" t="str">
        <f>+B363&amp;E363&amp;F363</f>
        <v>26003QUICKSAND</v>
      </c>
      <c r="H363">
        <v>2141</v>
      </c>
      <c r="I363" s="6">
        <f>VLOOKUP(G363,[1]Astroflores!$G$2:$H$109,2,FALSE)</f>
        <v>1860</v>
      </c>
      <c r="J363" s="6">
        <f>+(I363-H363)/I363</f>
        <v>-0.15107526881720429</v>
      </c>
    </row>
    <row r="364" spans="1:10">
      <c r="A364">
        <v>2026</v>
      </c>
      <c r="B364">
        <v>27</v>
      </c>
      <c r="C364" t="s">
        <v>10</v>
      </c>
      <c r="D364" t="s">
        <v>8</v>
      </c>
      <c r="E364" s="2" t="s">
        <v>85</v>
      </c>
      <c r="F364" t="s">
        <v>22</v>
      </c>
      <c r="G364" t="str">
        <f>+B364&amp;E364&amp;F364</f>
        <v>27018COSMO</v>
      </c>
      <c r="H364">
        <v>3313</v>
      </c>
      <c r="I364" s="6">
        <f>VLOOKUP(G364,[2]Hoja1!$G$8515:$H$8621,2,FALSE)</f>
        <v>2875</v>
      </c>
      <c r="J364" s="6">
        <f>+(I364-H364)/I364</f>
        <v>-0.15234782608695652</v>
      </c>
    </row>
    <row r="365" spans="1:10">
      <c r="A365">
        <v>2026</v>
      </c>
      <c r="B365">
        <v>26</v>
      </c>
      <c r="C365" t="s">
        <v>7</v>
      </c>
      <c r="D365" t="s">
        <v>8</v>
      </c>
      <c r="E365" s="2" t="s">
        <v>99</v>
      </c>
      <c r="F365" t="s">
        <v>55</v>
      </c>
      <c r="G365" t="str">
        <f>+B365&amp;E365&amp;F365</f>
        <v>26011CANDLELIGHT</v>
      </c>
      <c r="H365">
        <v>4808</v>
      </c>
      <c r="I365" s="6">
        <f>VLOOKUP(G365,[1]Astroflores!$G$2:$H$109,2,FALSE)</f>
        <v>4160</v>
      </c>
      <c r="J365" s="6">
        <f>+(I365-H365)/I365</f>
        <v>-0.15576923076923077</v>
      </c>
    </row>
    <row r="366" spans="1:10">
      <c r="A366">
        <v>2026</v>
      </c>
      <c r="B366">
        <v>26</v>
      </c>
      <c r="C366" t="s">
        <v>10</v>
      </c>
      <c r="D366" t="s">
        <v>8</v>
      </c>
      <c r="E366" s="2" t="s">
        <v>76</v>
      </c>
      <c r="F366" t="s">
        <v>11</v>
      </c>
      <c r="G366" t="str">
        <f>+B366&amp;E366&amp;F366</f>
        <v>26002SOMERSET</v>
      </c>
      <c r="H366">
        <v>9549</v>
      </c>
      <c r="I366" s="6">
        <f>VLOOKUP(G366,[1]Astroflores!$G$2:$H$109,2,FALSE)</f>
        <v>8260</v>
      </c>
      <c r="J366" s="6">
        <f>+(I366-H366)/I366</f>
        <v>-0.15605326876513317</v>
      </c>
    </row>
    <row r="367" spans="1:10">
      <c r="A367">
        <v>2026</v>
      </c>
      <c r="B367">
        <v>27</v>
      </c>
      <c r="C367" t="s">
        <v>7</v>
      </c>
      <c r="D367" t="s">
        <v>8</v>
      </c>
      <c r="E367" s="2" t="s">
        <v>88</v>
      </c>
      <c r="F367" t="s">
        <v>64</v>
      </c>
      <c r="G367" t="str">
        <f>+B367&amp;E367&amp;F367</f>
        <v>27021SHOW GIRL</v>
      </c>
      <c r="H367">
        <v>1708</v>
      </c>
      <c r="I367" s="6">
        <f>VLOOKUP(G367,[2]Hoja1!$G$8515:$H$8621,2,FALSE)</f>
        <v>1475</v>
      </c>
      <c r="J367" s="6">
        <f>+(I367-H367)/I367</f>
        <v>-0.15796610169491526</v>
      </c>
    </row>
    <row r="368" spans="1:10">
      <c r="A368">
        <v>2026</v>
      </c>
      <c r="B368">
        <v>26</v>
      </c>
      <c r="C368" t="s">
        <v>7</v>
      </c>
      <c r="D368" t="s">
        <v>8</v>
      </c>
      <c r="E368" s="2" t="s">
        <v>97</v>
      </c>
      <c r="F368" t="s">
        <v>51</v>
      </c>
      <c r="G368" t="str">
        <f>+B368&amp;E368&amp;F368</f>
        <v>26008FREEDOM</v>
      </c>
      <c r="H368">
        <v>4136</v>
      </c>
      <c r="I368" s="6">
        <f>VLOOKUP(G368,[1]Astroflores!$G$2:$H$109,2,FALSE)</f>
        <v>3570</v>
      </c>
      <c r="J368" s="6">
        <f>+(I368-H368)/I368</f>
        <v>-0.15854341736694677</v>
      </c>
    </row>
    <row r="369" spans="1:10">
      <c r="A369">
        <v>2026</v>
      </c>
      <c r="B369">
        <v>26</v>
      </c>
      <c r="C369" t="s">
        <v>7</v>
      </c>
      <c r="D369" t="s">
        <v>8</v>
      </c>
      <c r="E369" s="2" t="s">
        <v>95</v>
      </c>
      <c r="F369" t="s">
        <v>41</v>
      </c>
      <c r="G369" t="str">
        <f>+B369&amp;E369&amp;F369</f>
        <v>26003JOCKER</v>
      </c>
      <c r="H369">
        <v>869</v>
      </c>
      <c r="I369" s="6">
        <f>VLOOKUP(G369,[1]Astroflores!$G$2:$H$109,2,FALSE)</f>
        <v>750</v>
      </c>
      <c r="J369" s="6">
        <f>+(I369-H369)/I369</f>
        <v>-0.15866666666666668</v>
      </c>
    </row>
    <row r="370" spans="1:10">
      <c r="A370">
        <v>2026</v>
      </c>
      <c r="B370">
        <v>26</v>
      </c>
      <c r="C370" t="s">
        <v>7</v>
      </c>
      <c r="D370" t="s">
        <v>8</v>
      </c>
      <c r="E370" s="2" t="s">
        <v>103</v>
      </c>
      <c r="F370" t="s">
        <v>38</v>
      </c>
      <c r="G370" t="str">
        <f>+B370&amp;E370&amp;F370</f>
        <v>26024SWEETNESS</v>
      </c>
      <c r="H370">
        <v>2334</v>
      </c>
      <c r="I370" s="6">
        <f>VLOOKUP(G370,[1]Astroflores!$G$2:$H$109,2,FALSE)</f>
        <v>2010</v>
      </c>
      <c r="J370" s="6">
        <f>+(I370-H370)/I370</f>
        <v>-0.16119402985074627</v>
      </c>
    </row>
    <row r="371" spans="1:10">
      <c r="A371">
        <v>2026</v>
      </c>
      <c r="B371">
        <v>26</v>
      </c>
      <c r="C371" t="s">
        <v>7</v>
      </c>
      <c r="D371" t="s">
        <v>8</v>
      </c>
      <c r="E371" s="2" t="s">
        <v>108</v>
      </c>
      <c r="F371" t="s">
        <v>72</v>
      </c>
      <c r="G371" t="str">
        <f>+B371&amp;E371&amp;F371</f>
        <v>26029PINK FLOYD</v>
      </c>
      <c r="H371">
        <v>4734</v>
      </c>
      <c r="I371" s="6">
        <f>VLOOKUP(G371,[1]Astroflores!$G$2:$H$109,2,FALSE)</f>
        <v>4075</v>
      </c>
      <c r="J371" s="6">
        <f>+(I371-H371)/I371</f>
        <v>-0.16171779141104295</v>
      </c>
    </row>
    <row r="372" spans="1:10">
      <c r="A372">
        <v>2026</v>
      </c>
      <c r="B372">
        <v>26</v>
      </c>
      <c r="C372" t="s">
        <v>7</v>
      </c>
      <c r="D372" t="s">
        <v>8</v>
      </c>
      <c r="E372" s="2" t="s">
        <v>94</v>
      </c>
      <c r="F372" t="s">
        <v>37</v>
      </c>
      <c r="G372" t="str">
        <f>+B372&amp;E372&amp;F372</f>
        <v>26001MOMENTUM</v>
      </c>
      <c r="H372">
        <v>4058</v>
      </c>
      <c r="I372" s="6">
        <f>VLOOKUP(G372,[1]Astroflores!$G$2:$H$109,2,FALSE)</f>
        <v>3475</v>
      </c>
      <c r="J372" s="6">
        <f>+(I372-H372)/I372</f>
        <v>-0.16776978417266186</v>
      </c>
    </row>
    <row r="373" spans="1:10">
      <c r="A373">
        <v>2026</v>
      </c>
      <c r="B373">
        <v>26</v>
      </c>
      <c r="C373" t="s">
        <v>7</v>
      </c>
      <c r="D373" t="s">
        <v>8</v>
      </c>
      <c r="E373" s="2" t="s">
        <v>86</v>
      </c>
      <c r="F373" t="s">
        <v>62</v>
      </c>
      <c r="G373" t="str">
        <f>+B373&amp;E373&amp;F373</f>
        <v>26019TABATHA</v>
      </c>
      <c r="H373">
        <v>2672</v>
      </c>
      <c r="I373" s="6">
        <f>VLOOKUP(G373,[1]Astroflores!$G$2:$H$109,2,FALSE)</f>
        <v>2280</v>
      </c>
      <c r="J373" s="6">
        <f>+(I373-H373)/I373</f>
        <v>-0.17192982456140352</v>
      </c>
    </row>
    <row r="374" spans="1:10">
      <c r="A374">
        <v>2026</v>
      </c>
      <c r="B374">
        <v>26</v>
      </c>
      <c r="C374" t="s">
        <v>10</v>
      </c>
      <c r="D374" t="s">
        <v>8</v>
      </c>
      <c r="E374" s="2" t="s">
        <v>78</v>
      </c>
      <c r="F374" t="s">
        <v>13</v>
      </c>
      <c r="G374" t="str">
        <f>+B374&amp;E374&amp;F374</f>
        <v>26005ELBA</v>
      </c>
      <c r="H374">
        <v>8481</v>
      </c>
      <c r="I374" s="6">
        <f>VLOOKUP(G374,[1]Astroflores!$G$2:$H$109,2,FALSE)</f>
        <v>7230</v>
      </c>
      <c r="J374" s="6">
        <f>+(I374-H374)/I374</f>
        <v>-0.17302904564315352</v>
      </c>
    </row>
    <row r="375" spans="1:10">
      <c r="A375">
        <v>2026</v>
      </c>
      <c r="B375">
        <v>29</v>
      </c>
      <c r="C375" t="s">
        <v>7</v>
      </c>
      <c r="D375" t="s">
        <v>8</v>
      </c>
      <c r="E375" s="2" t="s">
        <v>97</v>
      </c>
      <c r="F375" t="s">
        <v>40</v>
      </c>
      <c r="G375" t="str">
        <f>+B375&amp;E375&amp;F375</f>
        <v>29008DEEP PURPLE</v>
      </c>
      <c r="H375">
        <v>6732</v>
      </c>
      <c r="I375" s="6">
        <f>VLOOKUP(G375,[4]Estimado_modelo!$G$2:$I$421,3,FALSE)</f>
        <v>5670</v>
      </c>
      <c r="J375" s="6">
        <f>+(I375-H375)/I375</f>
        <v>-0.1873015873015873</v>
      </c>
    </row>
    <row r="376" spans="1:10">
      <c r="A376">
        <v>2026</v>
      </c>
      <c r="B376">
        <v>26</v>
      </c>
      <c r="C376" t="s">
        <v>7</v>
      </c>
      <c r="D376" t="s">
        <v>8</v>
      </c>
      <c r="E376" s="2" t="s">
        <v>88</v>
      </c>
      <c r="F376" t="s">
        <v>64</v>
      </c>
      <c r="G376" t="str">
        <f>+B376&amp;E376&amp;F376</f>
        <v>26021SHOW GIRL</v>
      </c>
      <c r="H376">
        <v>1907</v>
      </c>
      <c r="I376" s="6">
        <f>VLOOKUP(G376,[1]Astroflores!$G$2:$H$109,2,FALSE)</f>
        <v>1600</v>
      </c>
      <c r="J376" s="6">
        <f>+(I376-H376)/I376</f>
        <v>-0.19187499999999999</v>
      </c>
    </row>
    <row r="377" spans="1:10">
      <c r="A377">
        <v>2026</v>
      </c>
      <c r="B377">
        <v>28</v>
      </c>
      <c r="C377" t="s">
        <v>7</v>
      </c>
      <c r="D377" t="s">
        <v>8</v>
      </c>
      <c r="E377" s="2" t="s">
        <v>88</v>
      </c>
      <c r="F377" t="s">
        <v>64</v>
      </c>
      <c r="G377" t="str">
        <f>+B377&amp;E377&amp;F377</f>
        <v>28021SHOW GIRL</v>
      </c>
      <c r="H377">
        <v>1464</v>
      </c>
      <c r="I377" s="6">
        <f>VLOOKUP(G377,[3]Astroflores!$G$2:$H$110,2,FALSE)</f>
        <v>1225</v>
      </c>
      <c r="J377" s="6">
        <f>+(I377-H377)/I377</f>
        <v>-0.19510204081632654</v>
      </c>
    </row>
    <row r="378" spans="1:10">
      <c r="A378">
        <v>2026</v>
      </c>
      <c r="B378">
        <v>26</v>
      </c>
      <c r="C378" t="s">
        <v>7</v>
      </c>
      <c r="D378" t="s">
        <v>8</v>
      </c>
      <c r="E378" s="2" t="s">
        <v>77</v>
      </c>
      <c r="F378" t="s">
        <v>38</v>
      </c>
      <c r="G378" t="str">
        <f>+B378&amp;E378&amp;F378</f>
        <v>26004SWEETNESS</v>
      </c>
      <c r="H378">
        <v>648</v>
      </c>
      <c r="I378" s="6">
        <f>VLOOKUP(G378,[1]Astroflores!$G$2:$H$109,2,FALSE)</f>
        <v>540</v>
      </c>
      <c r="J378" s="6">
        <f>+(I378-H378)/I378</f>
        <v>-0.2</v>
      </c>
    </row>
    <row r="379" spans="1:10">
      <c r="A379">
        <v>2026</v>
      </c>
      <c r="B379">
        <v>26</v>
      </c>
      <c r="C379" t="s">
        <v>7</v>
      </c>
      <c r="D379" t="s">
        <v>8</v>
      </c>
      <c r="E379" s="2" t="s">
        <v>106</v>
      </c>
      <c r="F379" t="s">
        <v>70</v>
      </c>
      <c r="G379" t="str">
        <f>+B379&amp;E379&amp;F379</f>
        <v>26027SATISFACTION</v>
      </c>
      <c r="H379">
        <v>5076</v>
      </c>
      <c r="I379" s="6">
        <f>VLOOKUP(G379,[1]Astroflores!$G$2:$H$109,2,FALSE)</f>
        <v>4230</v>
      </c>
      <c r="J379" s="6">
        <f>+(I379-H379)/I379</f>
        <v>-0.2</v>
      </c>
    </row>
    <row r="380" spans="1:10">
      <c r="A380">
        <v>2026</v>
      </c>
      <c r="B380">
        <v>28</v>
      </c>
      <c r="C380" t="s">
        <v>10</v>
      </c>
      <c r="D380" t="s">
        <v>8</v>
      </c>
      <c r="E380" s="2" t="s">
        <v>88</v>
      </c>
      <c r="F380" t="s">
        <v>26</v>
      </c>
      <c r="G380" t="str">
        <f>+B380&amp;E380&amp;F380</f>
        <v>28021FLAME CLUB</v>
      </c>
      <c r="H380">
        <v>1680</v>
      </c>
      <c r="I380" s="6">
        <f>VLOOKUP(G380,[3]Astroflores!$G$2:$H$110,2,FALSE)</f>
        <v>1400</v>
      </c>
      <c r="J380" s="6">
        <f>+(I380-H380)/I380</f>
        <v>-0.2</v>
      </c>
    </row>
    <row r="381" spans="1:10">
      <c r="A381">
        <v>2026</v>
      </c>
      <c r="B381">
        <v>26</v>
      </c>
      <c r="C381" t="s">
        <v>7</v>
      </c>
      <c r="D381" t="s">
        <v>8</v>
      </c>
      <c r="E381" s="2" t="s">
        <v>101</v>
      </c>
      <c r="F381" t="s">
        <v>59</v>
      </c>
      <c r="G381" t="str">
        <f>+B381&amp;E381&amp;F381</f>
        <v>26013LORRAINE</v>
      </c>
      <c r="H381">
        <v>4052</v>
      </c>
      <c r="I381" s="6">
        <f>VLOOKUP(G381,[1]Astroflores!$G$2:$H$109,2,FALSE)</f>
        <v>3350</v>
      </c>
      <c r="J381" s="6">
        <f>+(I381-H381)/I381</f>
        <v>-0.20955223880597015</v>
      </c>
    </row>
    <row r="382" spans="1:10">
      <c r="A382">
        <v>2026</v>
      </c>
      <c r="B382">
        <v>26</v>
      </c>
      <c r="C382" t="s">
        <v>10</v>
      </c>
      <c r="D382" t="s">
        <v>8</v>
      </c>
      <c r="E382" s="2" t="s">
        <v>78</v>
      </c>
      <c r="F382" t="s">
        <v>15</v>
      </c>
      <c r="G382" t="str">
        <f>+B382&amp;E382&amp;F382</f>
        <v>26005SUSPIRO</v>
      </c>
      <c r="H382">
        <v>4045</v>
      </c>
      <c r="I382" s="6">
        <f>VLOOKUP(G382,[1]Astroflores!$G$2:$H$109,2,FALSE)</f>
        <v>3330</v>
      </c>
      <c r="J382" s="6">
        <f>+(I382-H382)/I382</f>
        <v>-0.21471471471471471</v>
      </c>
    </row>
    <row r="383" spans="1:10">
      <c r="A383">
        <v>2026</v>
      </c>
      <c r="B383">
        <v>26</v>
      </c>
      <c r="C383" t="s">
        <v>7</v>
      </c>
      <c r="D383" t="s">
        <v>8</v>
      </c>
      <c r="E383" s="2" t="s">
        <v>101</v>
      </c>
      <c r="F383" t="s">
        <v>58</v>
      </c>
      <c r="G383" t="str">
        <f>+B383&amp;E383&amp;F383</f>
        <v>26013COUNTRY BLUES</v>
      </c>
      <c r="H383">
        <v>1439</v>
      </c>
      <c r="I383" s="6">
        <f>VLOOKUP(G383,[1]Astroflores!$G$2:$H$109,2,FALSE)</f>
        <v>1180</v>
      </c>
      <c r="J383" s="6">
        <f>+(I383-H383)/I383</f>
        <v>-0.21949152542372882</v>
      </c>
    </row>
    <row r="384" spans="1:10">
      <c r="A384">
        <v>2026</v>
      </c>
      <c r="B384">
        <v>29</v>
      </c>
      <c r="C384" t="s">
        <v>7</v>
      </c>
      <c r="D384" t="s">
        <v>8</v>
      </c>
      <c r="E384" s="2" t="s">
        <v>84</v>
      </c>
      <c r="F384" t="s">
        <v>51</v>
      </c>
      <c r="G384" t="str">
        <f>+B384&amp;E384&amp;F384</f>
        <v>29017FREEDOM</v>
      </c>
      <c r="H384">
        <v>6589</v>
      </c>
      <c r="I384" s="6">
        <f>VLOOKUP(G384,[4]Estimado_modelo!$G$2:$I$421,3,FALSE)</f>
        <v>5400</v>
      </c>
      <c r="J384" s="6">
        <f>+(I384-H384)/I384</f>
        <v>-0.22018518518518518</v>
      </c>
    </row>
    <row r="385" spans="1:10">
      <c r="A385">
        <v>2026</v>
      </c>
      <c r="B385">
        <v>28</v>
      </c>
      <c r="C385" t="s">
        <v>10</v>
      </c>
      <c r="D385" t="s">
        <v>8</v>
      </c>
      <c r="E385" s="2" t="s">
        <v>78</v>
      </c>
      <c r="F385" t="s">
        <v>15</v>
      </c>
      <c r="G385" t="str">
        <f>+B385&amp;E385&amp;F385</f>
        <v>28005SUSPIRO</v>
      </c>
      <c r="H385">
        <v>3627</v>
      </c>
      <c r="I385" s="6">
        <f>VLOOKUP(G385,[3]Astroflores!$G$2:$H$110,2,FALSE)</f>
        <v>2970</v>
      </c>
      <c r="J385" s="6">
        <f>+(I385-H385)/I385</f>
        <v>-0.22121212121212122</v>
      </c>
    </row>
    <row r="386" spans="1:10">
      <c r="A386">
        <v>2026</v>
      </c>
      <c r="B386">
        <v>26</v>
      </c>
      <c r="C386" t="s">
        <v>7</v>
      </c>
      <c r="D386" t="s">
        <v>8</v>
      </c>
      <c r="E386" s="2" t="s">
        <v>79</v>
      </c>
      <c r="F386" t="s">
        <v>47</v>
      </c>
      <c r="G386" t="str">
        <f>+B386&amp;E386&amp;F386</f>
        <v>26007VENDELA</v>
      </c>
      <c r="H386">
        <v>10153</v>
      </c>
      <c r="I386" s="6">
        <f>VLOOKUP(G386,[1]Astroflores!$G$2:$H$109,2,FALSE)</f>
        <v>8310</v>
      </c>
      <c r="J386" s="6">
        <f>+(I386-H386)/I386</f>
        <v>-0.22178098676293623</v>
      </c>
    </row>
    <row r="387" spans="1:10">
      <c r="A387">
        <v>2026</v>
      </c>
      <c r="B387">
        <v>28</v>
      </c>
      <c r="C387" t="s">
        <v>7</v>
      </c>
      <c r="D387" t="s">
        <v>8</v>
      </c>
      <c r="E387" s="2" t="s">
        <v>77</v>
      </c>
      <c r="F387" t="s">
        <v>45</v>
      </c>
      <c r="G387" t="str">
        <f>+B387&amp;E387&amp;F387</f>
        <v>28004HOT MERENGUE</v>
      </c>
      <c r="H387">
        <v>3411</v>
      </c>
      <c r="I387" s="6">
        <f>VLOOKUP(G387,[3]Astroflores!$G$2:$H$110,2,FALSE)</f>
        <v>2790</v>
      </c>
      <c r="J387" s="6">
        <f>+(I387-H387)/I387</f>
        <v>-0.22258064516129034</v>
      </c>
    </row>
    <row r="388" spans="1:10">
      <c r="A388">
        <v>2026</v>
      </c>
      <c r="B388">
        <v>26</v>
      </c>
      <c r="C388" t="s">
        <v>10</v>
      </c>
      <c r="D388" t="s">
        <v>8</v>
      </c>
      <c r="E388" s="2" t="s">
        <v>93</v>
      </c>
      <c r="F388" t="s">
        <v>14</v>
      </c>
      <c r="G388" t="str">
        <f>+B388&amp;E388&amp;F388</f>
        <v>26033HOT BUBBLES</v>
      </c>
      <c r="H388">
        <v>4797</v>
      </c>
      <c r="I388" s="6">
        <f>VLOOKUP(G388,[1]Astroflores!$G$2:$H$109,2,FALSE)</f>
        <v>3920</v>
      </c>
      <c r="J388" s="6">
        <f>+(I388-H388)/I388</f>
        <v>-0.22372448979591836</v>
      </c>
    </row>
    <row r="389" spans="1:10">
      <c r="A389">
        <v>2026</v>
      </c>
      <c r="B389">
        <v>26</v>
      </c>
      <c r="C389" t="s">
        <v>7</v>
      </c>
      <c r="D389" t="s">
        <v>8</v>
      </c>
      <c r="E389" s="2" t="s">
        <v>96</v>
      </c>
      <c r="F389" t="s">
        <v>48</v>
      </c>
      <c r="G389" t="str">
        <f>+B389&amp;E389&amp;F389</f>
        <v>26006ATOMIC</v>
      </c>
      <c r="H389">
        <v>1473</v>
      </c>
      <c r="I389" s="6">
        <f>VLOOKUP(G389,[1]Astroflores!$G$2:$H$109,2,FALSE)</f>
        <v>1200</v>
      </c>
      <c r="J389" s="6">
        <f>+(I389-H389)/I389</f>
        <v>-0.22750000000000001</v>
      </c>
    </row>
    <row r="390" spans="1:10">
      <c r="A390">
        <v>2026</v>
      </c>
      <c r="B390">
        <v>29</v>
      </c>
      <c r="C390" t="s">
        <v>7</v>
      </c>
      <c r="D390" t="s">
        <v>8</v>
      </c>
      <c r="E390" s="2" t="s">
        <v>77</v>
      </c>
      <c r="F390" t="s">
        <v>45</v>
      </c>
      <c r="G390" t="str">
        <f>+B390&amp;E390&amp;F390</f>
        <v>29004HOT MERENGUE</v>
      </c>
      <c r="H390">
        <v>3208</v>
      </c>
      <c r="I390" s="6">
        <f>VLOOKUP(G390,[4]Estimado_modelo!$G$2:$I$421,3,FALSE)</f>
        <v>2610</v>
      </c>
      <c r="J390" s="6">
        <f>+(I390-H390)/I390</f>
        <v>-0.22911877394636015</v>
      </c>
    </row>
    <row r="391" spans="1:10">
      <c r="A391">
        <v>2026</v>
      </c>
      <c r="B391">
        <v>26</v>
      </c>
      <c r="C391" t="s">
        <v>10</v>
      </c>
      <c r="D391" t="s">
        <v>8</v>
      </c>
      <c r="E391" s="2" t="s">
        <v>89</v>
      </c>
      <c r="F391" t="s">
        <v>29</v>
      </c>
      <c r="G391" t="str">
        <f>+B391&amp;E391&amp;F391</f>
        <v>26022MIRABEL</v>
      </c>
      <c r="H391">
        <v>1989</v>
      </c>
      <c r="I391" s="6">
        <f>VLOOKUP(G391,[1]Astroflores!$G$2:$H$109,2,FALSE)</f>
        <v>1600</v>
      </c>
      <c r="J391" s="6">
        <f>+(I391-H391)/I391</f>
        <v>-0.24312500000000001</v>
      </c>
    </row>
    <row r="392" spans="1:10">
      <c r="A392">
        <v>2026</v>
      </c>
      <c r="B392">
        <v>26</v>
      </c>
      <c r="C392" t="s">
        <v>7</v>
      </c>
      <c r="D392" t="s">
        <v>8</v>
      </c>
      <c r="E392" s="2" t="s">
        <v>106</v>
      </c>
      <c r="F392" t="s">
        <v>71</v>
      </c>
      <c r="G392" t="str">
        <f>+B392&amp;E392&amp;F392</f>
        <v>26027TIFFANY</v>
      </c>
      <c r="H392">
        <v>4807</v>
      </c>
      <c r="I392" s="6">
        <f>VLOOKUP(G392,[1]Astroflores!$G$2:$H$109,2,FALSE)</f>
        <v>3840</v>
      </c>
      <c r="J392" s="6">
        <f>+(I392-H392)/I392</f>
        <v>-0.25182291666666667</v>
      </c>
    </row>
    <row r="393" spans="1:10">
      <c r="A393">
        <v>2026</v>
      </c>
      <c r="B393">
        <v>29</v>
      </c>
      <c r="C393" t="s">
        <v>7</v>
      </c>
      <c r="D393" t="s">
        <v>8</v>
      </c>
      <c r="E393" s="2" t="s">
        <v>77</v>
      </c>
      <c r="F393" t="s">
        <v>38</v>
      </c>
      <c r="G393" t="str">
        <f>+B393&amp;E393&amp;F393</f>
        <v>29004SWEETNESS</v>
      </c>
      <c r="H393">
        <v>676</v>
      </c>
      <c r="I393" s="6">
        <f>VLOOKUP(G393,[4]Estimado_modelo!$G$2:$I$421,3,FALSE)</f>
        <v>540</v>
      </c>
      <c r="J393" s="6">
        <f>+(I393-H393)/I393</f>
        <v>-0.25185185185185183</v>
      </c>
    </row>
    <row r="394" spans="1:10">
      <c r="A394">
        <v>2026</v>
      </c>
      <c r="B394">
        <v>26</v>
      </c>
      <c r="C394" t="s">
        <v>7</v>
      </c>
      <c r="D394" t="s">
        <v>8</v>
      </c>
      <c r="E394" s="2" t="s">
        <v>96</v>
      </c>
      <c r="F394" t="s">
        <v>49</v>
      </c>
      <c r="G394" t="str">
        <f>+B394&amp;E394&amp;F394</f>
        <v>26006MONDIAL</v>
      </c>
      <c r="H394">
        <v>6988</v>
      </c>
      <c r="I394" s="6">
        <f>VLOOKUP(G394,[1]Astroflores!$G$2:$H$109,2,FALSE)</f>
        <v>5525</v>
      </c>
      <c r="J394" s="6">
        <f>+(I394-H394)/I394</f>
        <v>-0.26479638009049772</v>
      </c>
    </row>
    <row r="395" spans="1:10">
      <c r="A395">
        <v>2026</v>
      </c>
      <c r="B395">
        <v>27</v>
      </c>
      <c r="C395" t="s">
        <v>7</v>
      </c>
      <c r="D395" t="s">
        <v>8</v>
      </c>
      <c r="E395" s="2" t="s">
        <v>103</v>
      </c>
      <c r="F395" t="s">
        <v>43</v>
      </c>
      <c r="G395" t="str">
        <f>+B395&amp;E395&amp;F395</f>
        <v>27024COTOPAXI</v>
      </c>
      <c r="H395">
        <v>4005</v>
      </c>
      <c r="I395" s="6">
        <f>VLOOKUP(G395,[2]Hoja1!$G$8515:$H$8621,2,FALSE)</f>
        <v>3150</v>
      </c>
      <c r="J395" s="6">
        <f>+(I395-H395)/I395</f>
        <v>-0.27142857142857141</v>
      </c>
    </row>
    <row r="396" spans="1:10">
      <c r="A396">
        <v>2026</v>
      </c>
      <c r="B396">
        <v>29</v>
      </c>
      <c r="C396" t="s">
        <v>7</v>
      </c>
      <c r="D396" t="s">
        <v>8</v>
      </c>
      <c r="E396" s="2" t="s">
        <v>94</v>
      </c>
      <c r="F396" t="s">
        <v>33</v>
      </c>
      <c r="G396" t="str">
        <f>+B396&amp;E396&amp;F396</f>
        <v>29001BELIEVE IN PINK</v>
      </c>
      <c r="H396">
        <v>1730</v>
      </c>
      <c r="I396" s="6">
        <f>VLOOKUP(G396,[4]Estimado_modelo!$G$2:$I$421,3,FALSE)</f>
        <v>1350</v>
      </c>
      <c r="J396" s="6">
        <f>+(I396-H396)/I396</f>
        <v>-0.2814814814814815</v>
      </c>
    </row>
    <row r="397" spans="1:10">
      <c r="A397">
        <v>2026</v>
      </c>
      <c r="B397">
        <v>29</v>
      </c>
      <c r="C397" t="s">
        <v>7</v>
      </c>
      <c r="D397" t="s">
        <v>8</v>
      </c>
      <c r="E397" s="2" t="s">
        <v>77</v>
      </c>
      <c r="F397" t="s">
        <v>44</v>
      </c>
      <c r="G397" t="str">
        <f>+B397&amp;E397&amp;F397</f>
        <v>29004HOT EXPLORER</v>
      </c>
      <c r="H397">
        <v>2160</v>
      </c>
      <c r="I397" s="6">
        <f>VLOOKUP(G397,[4]Estimado_modelo!$G$2:$I$421,3,FALSE)</f>
        <v>1675</v>
      </c>
      <c r="J397" s="6">
        <f>+(I397-H397)/I397</f>
        <v>-0.28955223880597014</v>
      </c>
    </row>
    <row r="398" spans="1:10">
      <c r="A398">
        <v>2026</v>
      </c>
      <c r="B398">
        <v>26</v>
      </c>
      <c r="C398" t="s">
        <v>10</v>
      </c>
      <c r="D398" t="s">
        <v>8</v>
      </c>
      <c r="E398" s="2" t="s">
        <v>85</v>
      </c>
      <c r="F398" t="s">
        <v>22</v>
      </c>
      <c r="G398" t="str">
        <f>+B398&amp;E398&amp;F398</f>
        <v>26018COSMO</v>
      </c>
      <c r="H398">
        <v>3782</v>
      </c>
      <c r="I398" s="6">
        <f>VLOOKUP(G398,[1]Astroflores!$G$2:$H$109,2,FALSE)</f>
        <v>2925</v>
      </c>
      <c r="J398" s="6">
        <f>+(I398-H398)/I398</f>
        <v>-0.29299145299145302</v>
      </c>
    </row>
    <row r="399" spans="1:10">
      <c r="A399">
        <v>2026</v>
      </c>
      <c r="B399">
        <v>26</v>
      </c>
      <c r="C399" t="s">
        <v>10</v>
      </c>
      <c r="D399" t="s">
        <v>8</v>
      </c>
      <c r="E399" s="2" t="s">
        <v>88</v>
      </c>
      <c r="F399" t="s">
        <v>25</v>
      </c>
      <c r="G399" t="str">
        <f>+B399&amp;E399&amp;F399</f>
        <v>26021ELEGANT ROSEVER</v>
      </c>
      <c r="H399">
        <v>821</v>
      </c>
      <c r="I399" s="6">
        <f>VLOOKUP(G399,[1]Astroflores!$G$2:$H$109,2,FALSE)</f>
        <v>630</v>
      </c>
      <c r="J399" s="6">
        <f>+(I399-H399)/I399</f>
        <v>-0.30317460317460315</v>
      </c>
    </row>
    <row r="400" spans="1:10">
      <c r="A400">
        <v>2026</v>
      </c>
      <c r="B400">
        <v>29</v>
      </c>
      <c r="C400" t="s">
        <v>10</v>
      </c>
      <c r="D400" t="s">
        <v>8</v>
      </c>
      <c r="E400" s="2" t="s">
        <v>88</v>
      </c>
      <c r="F400" t="s">
        <v>27</v>
      </c>
      <c r="G400" t="str">
        <f>+B400&amp;E400&amp;F400</f>
        <v>29021KELLY</v>
      </c>
      <c r="H400">
        <v>587</v>
      </c>
      <c r="I400" s="6">
        <f>VLOOKUP(G400,[4]Estimado_modelo!$G$2:$I$421,3,FALSE)</f>
        <v>450</v>
      </c>
      <c r="J400" s="6">
        <f>+(I400-H400)/I400</f>
        <v>-0.30444444444444446</v>
      </c>
    </row>
    <row r="401" spans="1:10">
      <c r="A401">
        <v>2026</v>
      </c>
      <c r="B401">
        <v>26</v>
      </c>
      <c r="C401" t="s">
        <v>10</v>
      </c>
      <c r="D401" t="s">
        <v>8</v>
      </c>
      <c r="E401" s="2" t="s">
        <v>88</v>
      </c>
      <c r="F401" t="s">
        <v>16</v>
      </c>
      <c r="G401" t="str">
        <f>+B401&amp;E401&amp;F401</f>
        <v>26021SNOW BUBBLES</v>
      </c>
      <c r="H401">
        <v>1809</v>
      </c>
      <c r="I401" s="6">
        <f>VLOOKUP(G401,[1]Astroflores!$G$2:$H$109,2,FALSE)</f>
        <v>1380</v>
      </c>
      <c r="J401" s="6">
        <f>+(I401-H401)/I401</f>
        <v>-0.31086956521739129</v>
      </c>
    </row>
    <row r="402" spans="1:10">
      <c r="A402">
        <v>2026</v>
      </c>
      <c r="B402">
        <v>27</v>
      </c>
      <c r="C402" t="s">
        <v>10</v>
      </c>
      <c r="D402" t="s">
        <v>8</v>
      </c>
      <c r="E402" s="2" t="s">
        <v>88</v>
      </c>
      <c r="F402" t="s">
        <v>16</v>
      </c>
      <c r="G402" t="str">
        <f>+B402&amp;E402&amp;F402</f>
        <v>27021SNOW BUBBLES</v>
      </c>
      <c r="H402">
        <v>2007</v>
      </c>
      <c r="I402" s="6">
        <f>VLOOKUP(G402,[2]Hoja1!$G$8515:$H$8621,2,FALSE)</f>
        <v>1520</v>
      </c>
      <c r="J402" s="6">
        <f>+(I402-H402)/I402</f>
        <v>-0.32039473684210529</v>
      </c>
    </row>
    <row r="403" spans="1:10">
      <c r="A403">
        <v>2026</v>
      </c>
      <c r="B403">
        <v>26</v>
      </c>
      <c r="C403" t="s">
        <v>10</v>
      </c>
      <c r="D403" t="s">
        <v>8</v>
      </c>
      <c r="E403" s="2" t="s">
        <v>88</v>
      </c>
      <c r="F403" t="s">
        <v>28</v>
      </c>
      <c r="G403" t="str">
        <f>+B403&amp;E403&amp;F403</f>
        <v>26021LEILA</v>
      </c>
      <c r="H403">
        <v>2454</v>
      </c>
      <c r="I403" s="6">
        <f>VLOOKUP(G403,[1]Astroflores!$G$2:$H$109,2,FALSE)</f>
        <v>1850</v>
      </c>
      <c r="J403" s="6">
        <f>+(I403-H403)/I403</f>
        <v>-0.32648648648648648</v>
      </c>
    </row>
    <row r="404" spans="1:10">
      <c r="A404">
        <v>2026</v>
      </c>
      <c r="B404">
        <v>29</v>
      </c>
      <c r="C404" t="s">
        <v>7</v>
      </c>
      <c r="D404" t="s">
        <v>8</v>
      </c>
      <c r="E404" s="2" t="s">
        <v>105</v>
      </c>
      <c r="F404" t="s">
        <v>68</v>
      </c>
      <c r="G404" t="str">
        <f>+B404&amp;E404&amp;F404</f>
        <v>29026LOLA</v>
      </c>
      <c r="H404">
        <v>4550</v>
      </c>
      <c r="I404" s="6">
        <f>VLOOKUP(G404,[4]Estimado_modelo!$G$2:$I$421,3,FALSE)</f>
        <v>3400</v>
      </c>
      <c r="J404" s="6">
        <f>+(I404-H404)/I404</f>
        <v>-0.33823529411764708</v>
      </c>
    </row>
    <row r="405" spans="1:10">
      <c r="A405">
        <v>2026</v>
      </c>
      <c r="B405">
        <v>27</v>
      </c>
      <c r="C405" t="s">
        <v>7</v>
      </c>
      <c r="D405" t="s">
        <v>8</v>
      </c>
      <c r="E405" s="2" t="s">
        <v>101</v>
      </c>
      <c r="F405" t="s">
        <v>58</v>
      </c>
      <c r="G405" t="str">
        <f>+B405&amp;E405&amp;F405</f>
        <v>27013COUNTRY BLUES</v>
      </c>
      <c r="H405">
        <v>1664</v>
      </c>
      <c r="I405" s="6">
        <f>VLOOKUP(G405,[2]Hoja1!$G$8515:$H$8621,2,FALSE)</f>
        <v>1240</v>
      </c>
      <c r="J405" s="6">
        <f>+(I405-H405)/I405</f>
        <v>-0.34193548387096773</v>
      </c>
    </row>
    <row r="406" spans="1:10">
      <c r="A406">
        <v>2026</v>
      </c>
      <c r="B406">
        <v>28</v>
      </c>
      <c r="C406" t="s">
        <v>7</v>
      </c>
      <c r="D406" t="s">
        <v>8</v>
      </c>
      <c r="E406" s="2" t="s">
        <v>97</v>
      </c>
      <c r="F406" t="s">
        <v>51</v>
      </c>
      <c r="G406" t="str">
        <f>+B406&amp;E406&amp;F406</f>
        <v>28008FREEDOM</v>
      </c>
      <c r="H406">
        <v>5360</v>
      </c>
      <c r="I406" s="6">
        <f>VLOOKUP(G406,[3]Astroflores!$G$2:$H$110,2,FALSE)</f>
        <v>3960</v>
      </c>
      <c r="J406" s="6">
        <f>+(I406-H406)/I406</f>
        <v>-0.35353535353535354</v>
      </c>
    </row>
    <row r="407" spans="1:10">
      <c r="A407">
        <v>2026</v>
      </c>
      <c r="B407">
        <v>29</v>
      </c>
      <c r="C407" t="s">
        <v>7</v>
      </c>
      <c r="D407" t="s">
        <v>8</v>
      </c>
      <c r="E407" s="2" t="s">
        <v>78</v>
      </c>
      <c r="F407" t="s">
        <v>46</v>
      </c>
      <c r="G407" t="str">
        <f>+B407&amp;E407&amp;F407</f>
        <v>29005GOLDFINCH</v>
      </c>
      <c r="H407">
        <v>1220</v>
      </c>
      <c r="I407" s="6">
        <f>VLOOKUP(G407,[4]Estimado_modelo!$G$2:$I$421,3,FALSE)</f>
        <v>900</v>
      </c>
      <c r="J407" s="6">
        <f>+(I407-H407)/I407</f>
        <v>-0.35555555555555557</v>
      </c>
    </row>
    <row r="408" spans="1:10">
      <c r="A408">
        <v>2026</v>
      </c>
      <c r="B408">
        <v>27</v>
      </c>
      <c r="C408" t="s">
        <v>10</v>
      </c>
      <c r="D408" t="s">
        <v>8</v>
      </c>
      <c r="E408" s="2" t="s">
        <v>91</v>
      </c>
      <c r="F408" t="s">
        <v>11</v>
      </c>
      <c r="G408" t="str">
        <f>+B408&amp;E408&amp;F408</f>
        <v>27031SOMERSET</v>
      </c>
      <c r="H408">
        <v>991</v>
      </c>
      <c r="I408" s="6">
        <f>VLOOKUP(G408,[2]Hoja1!$G$8515:$H$8621,2,FALSE)</f>
        <v>720</v>
      </c>
      <c r="J408" s="6">
        <f>+(I408-H408)/I408</f>
        <v>-0.37638888888888888</v>
      </c>
    </row>
    <row r="409" spans="1:10">
      <c r="A409">
        <v>2026</v>
      </c>
      <c r="B409">
        <v>27</v>
      </c>
      <c r="C409" t="s">
        <v>10</v>
      </c>
      <c r="D409" t="s">
        <v>8</v>
      </c>
      <c r="E409" s="2" t="s">
        <v>78</v>
      </c>
      <c r="F409" t="s">
        <v>15</v>
      </c>
      <c r="G409" t="str">
        <f>+B409&amp;E409&amp;F409</f>
        <v>27005SUSPIRO</v>
      </c>
      <c r="H409">
        <v>4561</v>
      </c>
      <c r="I409" s="6">
        <f>VLOOKUP(G409,[2]Hoja1!$G$8515:$H$8621,2,FALSE)</f>
        <v>3300</v>
      </c>
      <c r="J409" s="6">
        <f>+(I409-H409)/I409</f>
        <v>-0.38212121212121214</v>
      </c>
    </row>
    <row r="410" spans="1:10">
      <c r="A410">
        <v>2026</v>
      </c>
      <c r="B410">
        <v>29</v>
      </c>
      <c r="C410" t="s">
        <v>7</v>
      </c>
      <c r="D410" t="s">
        <v>8</v>
      </c>
      <c r="E410" s="2" t="s">
        <v>77</v>
      </c>
      <c r="F410" t="s">
        <v>40</v>
      </c>
      <c r="G410" t="str">
        <f>+B410&amp;E410&amp;F410</f>
        <v>29004DEEP PURPLE</v>
      </c>
      <c r="H410">
        <v>17358</v>
      </c>
      <c r="I410" s="6">
        <f>VLOOKUP(G410,[4]Estimado_modelo!$G$2:$I$421,3,FALSE)</f>
        <v>12060</v>
      </c>
      <c r="J410" s="6">
        <f>+(I410-H410)/I410</f>
        <v>-0.4393034825870647</v>
      </c>
    </row>
    <row r="411" spans="1:10">
      <c r="A411">
        <v>2026</v>
      </c>
      <c r="B411">
        <v>27</v>
      </c>
      <c r="C411" t="s">
        <v>7</v>
      </c>
      <c r="D411" t="s">
        <v>8</v>
      </c>
      <c r="E411" s="2" t="s">
        <v>96</v>
      </c>
      <c r="F411" t="s">
        <v>48</v>
      </c>
      <c r="G411" t="str">
        <f>+B411&amp;E411&amp;F411</f>
        <v>27006ATOMIC</v>
      </c>
      <c r="H411">
        <v>1972</v>
      </c>
      <c r="I411" s="6">
        <f>VLOOKUP(G411,[2]Hoja1!$G$8515:$H$8621,2,FALSE)</f>
        <v>1275</v>
      </c>
      <c r="J411" s="6">
        <f>+(I411-H411)/I411</f>
        <v>-0.54666666666666663</v>
      </c>
    </row>
    <row r="412" spans="1:10">
      <c r="A412">
        <v>2026</v>
      </c>
      <c r="B412">
        <v>28</v>
      </c>
      <c r="C412" t="s">
        <v>10</v>
      </c>
      <c r="D412" t="s">
        <v>8</v>
      </c>
      <c r="E412" s="2" t="s">
        <v>91</v>
      </c>
      <c r="F412" t="s">
        <v>11</v>
      </c>
      <c r="G412" t="str">
        <f>+B412&amp;E412&amp;F412</f>
        <v>28031SOMERSET</v>
      </c>
      <c r="H412">
        <v>817</v>
      </c>
      <c r="I412" s="6">
        <f>VLOOKUP(G412,[3]Astroflores!$G$2:$H$110,2,FALSE)</f>
        <v>520</v>
      </c>
      <c r="J412" s="6">
        <f>+(I412-H412)/I412</f>
        <v>-0.57115384615384612</v>
      </c>
    </row>
    <row r="413" spans="1:10">
      <c r="A413">
        <v>2026</v>
      </c>
      <c r="B413">
        <v>27</v>
      </c>
      <c r="C413" t="s">
        <v>10</v>
      </c>
      <c r="D413" t="s">
        <v>8</v>
      </c>
      <c r="E413" s="2" t="s">
        <v>88</v>
      </c>
      <c r="F413" t="s">
        <v>26</v>
      </c>
      <c r="G413" t="str">
        <f>+B413&amp;E413&amp;F413</f>
        <v>27021FLAME CLUB</v>
      </c>
      <c r="H413">
        <v>2031</v>
      </c>
      <c r="I413" s="6">
        <f>VLOOKUP(G413,[2]Hoja1!$G$8515:$H$8621,2,FALSE)</f>
        <v>1250</v>
      </c>
      <c r="J413" s="6">
        <f>+(I413-H413)/I413</f>
        <v>-0.62480000000000002</v>
      </c>
    </row>
    <row r="414" spans="1:10">
      <c r="A414">
        <v>2026</v>
      </c>
      <c r="B414">
        <v>29</v>
      </c>
      <c r="C414" t="s">
        <v>7</v>
      </c>
      <c r="D414" t="s">
        <v>8</v>
      </c>
      <c r="E414" s="2" t="s">
        <v>95</v>
      </c>
      <c r="F414" t="s">
        <v>40</v>
      </c>
      <c r="G414" t="str">
        <f>+B414&amp;E414&amp;F414</f>
        <v>29003DEEP PURPLE</v>
      </c>
      <c r="H414">
        <v>14388</v>
      </c>
      <c r="I414" s="6">
        <f>VLOOKUP(G414,[4]Estimado_modelo!$G$2:$I$421,3,FALSE)</f>
        <v>8820</v>
      </c>
      <c r="J414" s="6">
        <f>+(I414-H414)/I414</f>
        <v>-0.63129251700680267</v>
      </c>
    </row>
    <row r="415" spans="1:10">
      <c r="A415">
        <v>2026</v>
      </c>
      <c r="B415">
        <v>29</v>
      </c>
      <c r="C415" t="s">
        <v>7</v>
      </c>
      <c r="D415" t="s">
        <v>8</v>
      </c>
      <c r="E415" s="2" t="s">
        <v>96</v>
      </c>
      <c r="F415" t="s">
        <v>48</v>
      </c>
      <c r="G415" t="str">
        <f>+B415&amp;E415&amp;F415</f>
        <v>29006ATOMIC</v>
      </c>
      <c r="H415">
        <v>1602</v>
      </c>
      <c r="I415" s="6">
        <f>VLOOKUP(G415,[4]Estimado_modelo!$G$2:$I$421,3,FALSE)</f>
        <v>950</v>
      </c>
      <c r="J415" s="6">
        <f>+(I415-H415)/I415</f>
        <v>-0.68631578947368421</v>
      </c>
    </row>
    <row r="416" spans="1:10">
      <c r="A416">
        <v>2026</v>
      </c>
      <c r="B416">
        <v>28</v>
      </c>
      <c r="C416" t="s">
        <v>7</v>
      </c>
      <c r="D416" t="s">
        <v>8</v>
      </c>
      <c r="E416" s="2" t="s">
        <v>96</v>
      </c>
      <c r="F416" t="s">
        <v>48</v>
      </c>
      <c r="G416" t="str">
        <f>+B416&amp;E416&amp;F416</f>
        <v>28006ATOMIC</v>
      </c>
      <c r="H416">
        <v>1916</v>
      </c>
      <c r="I416" s="6">
        <f>VLOOKUP(G416,[3]Astroflores!$G$2:$H$110,2,FALSE)</f>
        <v>1100</v>
      </c>
      <c r="J416" s="6">
        <f>+(I416-H416)/I416</f>
        <v>-0.74181818181818182</v>
      </c>
    </row>
    <row r="417" spans="1:10">
      <c r="A417">
        <v>2026</v>
      </c>
      <c r="B417">
        <v>29</v>
      </c>
      <c r="C417" t="s">
        <v>7</v>
      </c>
      <c r="D417" t="s">
        <v>8</v>
      </c>
      <c r="E417" s="2" t="s">
        <v>97</v>
      </c>
      <c r="F417" t="s">
        <v>51</v>
      </c>
      <c r="G417" t="str">
        <f>+B417&amp;E417&amp;F417</f>
        <v>29008FREEDOM</v>
      </c>
      <c r="H417">
        <v>4871</v>
      </c>
      <c r="I417" s="6">
        <f>VLOOKUP(G417,[4]Estimado_modelo!$G$2:$I$421,3,FALSE)</f>
        <v>2610</v>
      </c>
      <c r="J417" s="6">
        <f>+(I417-H417)/I417</f>
        <v>-0.86628352490421456</v>
      </c>
    </row>
    <row r="418" spans="1:10">
      <c r="A418">
        <v>2026</v>
      </c>
      <c r="B418">
        <v>27</v>
      </c>
      <c r="C418" t="s">
        <v>10</v>
      </c>
      <c r="D418" t="s">
        <v>8</v>
      </c>
      <c r="E418" s="2" t="s">
        <v>88</v>
      </c>
      <c r="F418" t="s">
        <v>28</v>
      </c>
      <c r="G418" t="str">
        <f>+B418&amp;E418&amp;F418</f>
        <v>27021LEILA</v>
      </c>
      <c r="H418">
        <v>4524</v>
      </c>
      <c r="I418" s="6">
        <f>VLOOKUP(G418,[2]Hoja1!$G$8515:$H$8621,2,FALSE)</f>
        <v>1300</v>
      </c>
      <c r="J418" s="6">
        <f>+(I418-H418)/I418</f>
        <v>-2.48</v>
      </c>
    </row>
    <row r="419" spans="1:10">
      <c r="A419">
        <v>2026</v>
      </c>
      <c r="B419">
        <v>29</v>
      </c>
      <c r="C419" t="s">
        <v>10</v>
      </c>
      <c r="D419" t="s">
        <v>8</v>
      </c>
      <c r="E419" s="2" t="s">
        <v>88</v>
      </c>
      <c r="F419" t="s">
        <v>28</v>
      </c>
      <c r="G419" t="str">
        <f>+B419&amp;E419&amp;F419</f>
        <v>29021LEILA</v>
      </c>
      <c r="H419">
        <v>2998</v>
      </c>
      <c r="I419" s="6">
        <f>VLOOKUP(G419,[4]Estimado_modelo!$G$2:$I$421,3,FALSE)</f>
        <v>700</v>
      </c>
      <c r="J419" s="6">
        <f>+(I419-H419)/I419</f>
        <v>-3.2828571428571429</v>
      </c>
    </row>
    <row r="420" spans="1:10">
      <c r="A420">
        <v>2026</v>
      </c>
      <c r="B420">
        <v>28</v>
      </c>
      <c r="C420" t="s">
        <v>10</v>
      </c>
      <c r="D420" t="s">
        <v>8</v>
      </c>
      <c r="E420" s="2" t="s">
        <v>88</v>
      </c>
      <c r="F420" t="s">
        <v>28</v>
      </c>
      <c r="G420" t="str">
        <f>+B420&amp;E420&amp;F420</f>
        <v>28021LEILA</v>
      </c>
      <c r="H420">
        <v>3710</v>
      </c>
      <c r="I420" s="6">
        <f>VLOOKUP(G420,[3]Astroflores!$G$2:$H$110,2,FALSE)</f>
        <v>850</v>
      </c>
      <c r="J420" s="6">
        <f>+(I420-H420)/I420</f>
        <v>-3.3647058823529412</v>
      </c>
    </row>
  </sheetData>
  <autoFilter ref="B1:J420">
    <filterColumn colId="3"/>
    <sortState ref="B2:J420">
      <sortCondition descending="1" ref="J1:J420"/>
    </sortState>
  </autoFilter>
  <pageMargins left="0.75" right="0.75" top="1" bottom="1" header="0.5" footer="0.5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Estimado_modelo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SGuerra</cp:lastModifiedBy>
  <dcterms:created xsi:type="dcterms:W3CDTF">2026-07-23T20:03:15Z</dcterms:created>
  <dcterms:modified xsi:type="dcterms:W3CDTF">2026-07-26T16:31:31Z</dcterms:modified>
</cp:coreProperties>
</file>