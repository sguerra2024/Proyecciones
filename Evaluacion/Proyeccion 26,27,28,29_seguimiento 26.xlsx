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620" yWindow="45" windowWidth="12825" windowHeight="7995"/>
  </bookViews>
  <sheets>
    <sheet name="Estimado_modelo" sheetId="1" r:id="rId1"/>
    <sheet name="Hoja1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Estimado_modelo!$A$1:$L$1</definedName>
  </definedNames>
  <calcPr calcId="125725"/>
</workbook>
</file>

<file path=xl/calcChain.xml><?xml version="1.0" encoding="utf-8"?>
<calcChain xmlns="http://schemas.openxmlformats.org/spreadsheetml/2006/main">
  <c r="K417" i="1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G176"/>
  <c r="G201"/>
  <c r="G286"/>
  <c r="G108"/>
  <c r="G6"/>
  <c r="G7"/>
  <c r="G395"/>
  <c r="G404"/>
  <c r="G67"/>
  <c r="G16"/>
  <c r="G18"/>
  <c r="G97"/>
  <c r="G364"/>
  <c r="G217"/>
  <c r="G258"/>
  <c r="G268"/>
  <c r="G212"/>
  <c r="G180"/>
  <c r="G362"/>
  <c r="G192"/>
  <c r="G210"/>
  <c r="G139"/>
  <c r="G388"/>
  <c r="G197"/>
  <c r="G215"/>
  <c r="G36"/>
  <c r="G151"/>
  <c r="G161"/>
  <c r="G87"/>
  <c r="G179"/>
  <c r="G351"/>
  <c r="G117"/>
  <c r="G273"/>
  <c r="G127"/>
  <c r="G56"/>
  <c r="G306"/>
  <c r="G174"/>
  <c r="G106"/>
  <c r="G2"/>
  <c r="G3"/>
  <c r="G43"/>
  <c r="G410"/>
  <c r="G389"/>
  <c r="G159"/>
  <c r="G33"/>
  <c r="G372"/>
  <c r="G52"/>
  <c r="G332"/>
  <c r="G411"/>
  <c r="G233"/>
  <c r="G157"/>
  <c r="G400"/>
  <c r="G123"/>
  <c r="G370"/>
  <c r="G383"/>
  <c r="G385"/>
  <c r="G414"/>
  <c r="G278"/>
  <c r="G193"/>
  <c r="G115"/>
  <c r="G142"/>
  <c r="G412"/>
  <c r="G376"/>
  <c r="G165"/>
  <c r="G61"/>
  <c r="G40"/>
  <c r="G91"/>
  <c r="G420"/>
  <c r="I420" s="1"/>
  <c r="J420" s="1"/>
  <c r="G131"/>
  <c r="G143"/>
  <c r="G396"/>
  <c r="G23"/>
  <c r="G353"/>
  <c r="G227"/>
  <c r="G122"/>
  <c r="G10"/>
  <c r="G85"/>
  <c r="G184"/>
  <c r="G267"/>
  <c r="G168"/>
  <c r="G49"/>
  <c r="G84"/>
  <c r="G240"/>
  <c r="G133"/>
  <c r="G68"/>
  <c r="G416"/>
  <c r="G402"/>
  <c r="G349"/>
  <c r="G200"/>
  <c r="G209"/>
  <c r="G173"/>
  <c r="G311"/>
  <c r="G160"/>
  <c r="G235"/>
  <c r="G45"/>
  <c r="G156"/>
  <c r="G54"/>
  <c r="G164"/>
  <c r="G189"/>
  <c r="G21"/>
  <c r="G291"/>
  <c r="G387"/>
  <c r="G207"/>
  <c r="G153"/>
  <c r="G111"/>
  <c r="G107"/>
  <c r="G219"/>
  <c r="G218"/>
  <c r="G76"/>
  <c r="G13"/>
  <c r="G17"/>
  <c r="G369"/>
  <c r="G367"/>
  <c r="G51"/>
  <c r="G63"/>
  <c r="G25"/>
  <c r="G198"/>
  <c r="G37"/>
  <c r="G96"/>
  <c r="G223"/>
  <c r="G365"/>
  <c r="G171"/>
  <c r="G103"/>
  <c r="G363"/>
  <c r="G112"/>
  <c r="G44"/>
  <c r="G169"/>
  <c r="G333"/>
  <c r="G105"/>
  <c r="G222"/>
  <c r="G11"/>
  <c r="G38"/>
  <c r="G138"/>
  <c r="G301"/>
  <c r="G99"/>
  <c r="G342"/>
  <c r="G57"/>
  <c r="G64"/>
  <c r="G136"/>
  <c r="G121"/>
  <c r="G59"/>
  <c r="G120"/>
  <c r="G19"/>
  <c r="G4"/>
  <c r="G75"/>
  <c r="G24"/>
  <c r="G391"/>
  <c r="G129"/>
  <c r="G158"/>
  <c r="G134"/>
  <c r="G246"/>
  <c r="G70"/>
  <c r="G195"/>
  <c r="G413"/>
  <c r="G175"/>
  <c r="G81"/>
  <c r="G350"/>
  <c r="G148"/>
  <c r="G213"/>
  <c r="G394"/>
  <c r="G277"/>
  <c r="G381"/>
  <c r="G128"/>
  <c r="G182"/>
  <c r="G71"/>
  <c r="G172"/>
  <c r="G360"/>
  <c r="G104"/>
  <c r="G167"/>
  <c r="G72"/>
  <c r="G88"/>
  <c r="G132"/>
  <c r="G419"/>
  <c r="I419" s="1"/>
  <c r="J419" s="1"/>
  <c r="G109"/>
  <c r="G205"/>
  <c r="G320"/>
  <c r="G101"/>
  <c r="G191"/>
  <c r="G86"/>
  <c r="G46"/>
  <c r="G20"/>
  <c r="G386"/>
  <c r="G279"/>
  <c r="G124"/>
  <c r="G98"/>
  <c r="G32"/>
  <c r="G203"/>
  <c r="G187"/>
  <c r="G345"/>
  <c r="G340"/>
  <c r="G417"/>
  <c r="G359"/>
  <c r="G384"/>
  <c r="G355"/>
  <c r="G194"/>
  <c r="G312"/>
  <c r="G324"/>
  <c r="G287"/>
  <c r="G188"/>
  <c r="G58"/>
  <c r="G154"/>
  <c r="G145"/>
  <c r="G66"/>
  <c r="G95"/>
  <c r="G135"/>
  <c r="G378"/>
  <c r="G337"/>
  <c r="G186"/>
  <c r="G118"/>
  <c r="G298"/>
  <c r="G113"/>
  <c r="G149"/>
  <c r="G22"/>
  <c r="G181"/>
  <c r="G47"/>
  <c r="G27"/>
  <c r="G92"/>
  <c r="G80"/>
  <c r="G110"/>
  <c r="G162"/>
  <c r="G89"/>
  <c r="G348"/>
  <c r="G12"/>
  <c r="G202"/>
  <c r="G185"/>
  <c r="G226"/>
  <c r="G230"/>
  <c r="G42"/>
  <c r="G318"/>
  <c r="G137"/>
  <c r="G50"/>
  <c r="G116"/>
  <c r="G289"/>
  <c r="G9"/>
  <c r="G183"/>
  <c r="G30"/>
  <c r="G41"/>
  <c r="G102"/>
  <c r="G214"/>
  <c r="G199"/>
  <c r="G398"/>
  <c r="G93"/>
  <c r="G31"/>
  <c r="G79"/>
  <c r="G126"/>
  <c r="G60"/>
  <c r="G26"/>
  <c r="G14"/>
  <c r="G5"/>
  <c r="G39"/>
  <c r="G55"/>
  <c r="G177"/>
  <c r="G77"/>
  <c r="G146"/>
  <c r="G62"/>
  <c r="G307"/>
  <c r="G170"/>
  <c r="G152"/>
  <c r="G406"/>
  <c r="G130"/>
  <c r="G166"/>
  <c r="G190"/>
  <c r="G114"/>
  <c r="G408"/>
  <c r="G211"/>
  <c r="G155"/>
  <c r="G53"/>
  <c r="G74"/>
  <c r="G147"/>
  <c r="G73"/>
  <c r="G196"/>
  <c r="G119"/>
  <c r="G78"/>
  <c r="G247"/>
  <c r="G90"/>
  <c r="G178"/>
  <c r="G100"/>
  <c r="G418"/>
  <c r="I418" s="1"/>
  <c r="J418" s="1"/>
  <c r="G141"/>
  <c r="G69"/>
  <c r="G144"/>
  <c r="G322"/>
  <c r="G150"/>
  <c r="G94"/>
  <c r="G35"/>
  <c r="G15"/>
  <c r="G343"/>
  <c r="G34"/>
  <c r="G8"/>
  <c r="G28"/>
  <c r="G29"/>
  <c r="G393"/>
  <c r="G245"/>
  <c r="G237"/>
  <c r="G407"/>
  <c r="G415"/>
  <c r="G319"/>
  <c r="G409"/>
  <c r="G380"/>
  <c r="G206"/>
  <c r="G358"/>
  <c r="G125"/>
  <c r="G377"/>
  <c r="G163"/>
  <c r="G48"/>
  <c r="G83"/>
  <c r="G65"/>
  <c r="G140"/>
  <c r="G82"/>
  <c r="G374"/>
  <c r="G392"/>
  <c r="G251"/>
  <c r="G375"/>
  <c r="G339"/>
  <c r="G285"/>
  <c r="G326"/>
  <c r="G295"/>
  <c r="G249"/>
  <c r="G281"/>
  <c r="G314"/>
  <c r="G293"/>
  <c r="G264"/>
  <c r="G216"/>
  <c r="G242"/>
  <c r="G323"/>
  <c r="G331"/>
  <c r="G282"/>
  <c r="G231"/>
  <c r="G280"/>
  <c r="G325"/>
  <c r="G371"/>
  <c r="G336"/>
  <c r="G263"/>
  <c r="G346"/>
  <c r="G276"/>
  <c r="G317"/>
  <c r="G283"/>
  <c r="G265"/>
  <c r="G296"/>
  <c r="G310"/>
  <c r="G229"/>
  <c r="G303"/>
  <c r="G241"/>
  <c r="G399"/>
  <c r="G305"/>
  <c r="G373"/>
  <c r="G352"/>
  <c r="G236"/>
  <c r="G294"/>
  <c r="G361"/>
  <c r="G304"/>
  <c r="G309"/>
  <c r="G271"/>
  <c r="G228"/>
  <c r="G299"/>
  <c r="G334"/>
  <c r="G313"/>
  <c r="G238"/>
  <c r="G259"/>
  <c r="G224"/>
  <c r="G255"/>
  <c r="G297"/>
  <c r="G315"/>
  <c r="G366"/>
  <c r="G260"/>
  <c r="G330"/>
  <c r="G328"/>
  <c r="G354"/>
  <c r="G403"/>
  <c r="G221"/>
  <c r="G275"/>
  <c r="G243"/>
  <c r="G329"/>
  <c r="G321"/>
  <c r="G401"/>
  <c r="G302"/>
  <c r="G253"/>
  <c r="G254"/>
  <c r="G250"/>
  <c r="G308"/>
  <c r="G284"/>
  <c r="G248"/>
  <c r="G335"/>
  <c r="G292"/>
  <c r="G288"/>
  <c r="G316"/>
  <c r="G208"/>
  <c r="G262"/>
  <c r="G234"/>
  <c r="G341"/>
  <c r="G397"/>
  <c r="G274"/>
  <c r="G204"/>
  <c r="G261"/>
  <c r="G266"/>
  <c r="G368"/>
  <c r="G357"/>
  <c r="G270"/>
  <c r="G390"/>
  <c r="G379"/>
  <c r="G344"/>
  <c r="G356"/>
  <c r="G405"/>
  <c r="G232"/>
  <c r="G347"/>
  <c r="G256"/>
  <c r="G338"/>
  <c r="G272"/>
  <c r="G220"/>
  <c r="G239"/>
  <c r="G225"/>
  <c r="G252"/>
  <c r="G290"/>
  <c r="G382"/>
  <c r="G327"/>
  <c r="G257"/>
  <c r="G244"/>
  <c r="G300"/>
  <c r="G269"/>
  <c r="I236" l="1"/>
  <c r="I244"/>
  <c r="I253"/>
  <c r="I283"/>
  <c r="I375"/>
  <c r="I8"/>
  <c r="I211"/>
  <c r="I170"/>
  <c r="I5"/>
  <c r="I398"/>
  <c r="I289"/>
  <c r="I185"/>
  <c r="I92"/>
  <c r="I118"/>
  <c r="I154"/>
  <c r="I384"/>
  <c r="I98"/>
  <c r="I101"/>
  <c r="I167"/>
  <c r="I277"/>
  <c r="I195"/>
  <c r="I75"/>
  <c r="I57"/>
  <c r="I105"/>
  <c r="I365"/>
  <c r="I367"/>
  <c r="I111"/>
  <c r="I54"/>
  <c r="I200"/>
  <c r="I49"/>
  <c r="I353"/>
  <c r="I61"/>
  <c r="I414"/>
  <c r="I411"/>
  <c r="I43"/>
  <c r="I273"/>
  <c r="I215"/>
  <c r="I212"/>
  <c r="I67"/>
  <c r="I176"/>
  <c r="I262"/>
  <c r="I206"/>
  <c r="I288"/>
  <c r="I271"/>
  <c r="I293"/>
  <c r="I144"/>
  <c r="I254"/>
  <c r="I265"/>
  <c r="I339"/>
  <c r="I28"/>
  <c r="I152"/>
  <c r="I226"/>
  <c r="I355"/>
  <c r="I191"/>
  <c r="I381"/>
  <c r="I413"/>
  <c r="I24"/>
  <c r="I64"/>
  <c r="I222"/>
  <c r="I171"/>
  <c r="I51"/>
  <c r="I107"/>
  <c r="I164"/>
  <c r="I209"/>
  <c r="I84"/>
  <c r="I227"/>
  <c r="I40"/>
  <c r="I278"/>
  <c r="I233"/>
  <c r="I410"/>
  <c r="I127"/>
  <c r="I36"/>
  <c r="I180"/>
  <c r="I16"/>
  <c r="I201"/>
  <c r="I252"/>
  <c r="I243"/>
  <c r="I310"/>
  <c r="I393"/>
  <c r="I220"/>
  <c r="I344"/>
  <c r="I204"/>
  <c r="I403"/>
  <c r="I255"/>
  <c r="I305"/>
  <c r="I280"/>
  <c r="I48"/>
  <c r="I319"/>
  <c r="I78"/>
  <c r="I300"/>
  <c r="I239"/>
  <c r="I356"/>
  <c r="I261"/>
  <c r="I316"/>
  <c r="I221"/>
  <c r="I297"/>
  <c r="I228"/>
  <c r="I373"/>
  <c r="I325"/>
  <c r="I264"/>
  <c r="I83"/>
  <c r="I409"/>
  <c r="I322"/>
  <c r="I247"/>
  <c r="I155"/>
  <c r="I39"/>
  <c r="I93"/>
  <c r="I9"/>
  <c r="I80"/>
  <c r="I298"/>
  <c r="I145"/>
  <c r="I32"/>
  <c r="I72"/>
  <c r="I269"/>
  <c r="I225"/>
  <c r="I405"/>
  <c r="I266"/>
  <c r="I208"/>
  <c r="I250"/>
  <c r="I275"/>
  <c r="I315"/>
  <c r="I299"/>
  <c r="I352"/>
  <c r="I296"/>
  <c r="I371"/>
  <c r="I216"/>
  <c r="I285"/>
  <c r="I65"/>
  <c r="I380"/>
  <c r="I29"/>
  <c r="I150"/>
  <c r="I90"/>
  <c r="I53"/>
  <c r="I406"/>
  <c r="I55"/>
  <c r="I31"/>
  <c r="I183"/>
  <c r="I230"/>
  <c r="I110"/>
  <c r="I113"/>
  <c r="I66"/>
  <c r="I194"/>
  <c r="I203"/>
  <c r="I86"/>
  <c r="I88"/>
  <c r="I128"/>
  <c r="I175"/>
  <c r="I391"/>
  <c r="I136"/>
  <c r="I11"/>
  <c r="I103"/>
  <c r="I63"/>
  <c r="I219"/>
  <c r="I189"/>
  <c r="I173"/>
  <c r="I240"/>
  <c r="I122"/>
  <c r="I91"/>
  <c r="I193"/>
  <c r="I157"/>
  <c r="I389"/>
  <c r="I56"/>
  <c r="I151"/>
  <c r="I362"/>
  <c r="I18"/>
  <c r="I286"/>
  <c r="I115"/>
  <c r="I400"/>
  <c r="I159"/>
  <c r="I306"/>
  <c r="I161"/>
  <c r="I192"/>
  <c r="I97"/>
  <c r="I108"/>
  <c r="I71"/>
  <c r="I350"/>
  <c r="I158"/>
  <c r="I59"/>
  <c r="I138"/>
  <c r="I112"/>
  <c r="I198"/>
  <c r="I76"/>
  <c r="I291"/>
  <c r="I160"/>
  <c r="I68"/>
  <c r="I85"/>
  <c r="I131"/>
  <c r="I142"/>
  <c r="I123"/>
  <c r="I33"/>
  <c r="I174"/>
  <c r="I87"/>
  <c r="I210"/>
  <c r="I364"/>
  <c r="I6"/>
  <c r="I368"/>
  <c r="I366"/>
  <c r="I242"/>
  <c r="I94"/>
  <c r="I130"/>
  <c r="I30"/>
  <c r="I162"/>
  <c r="I312"/>
  <c r="I46"/>
  <c r="I81"/>
  <c r="I38"/>
  <c r="I218"/>
  <c r="I10"/>
  <c r="I347"/>
  <c r="I329"/>
  <c r="I313"/>
  <c r="I263"/>
  <c r="I73"/>
  <c r="I190"/>
  <c r="I146"/>
  <c r="I60"/>
  <c r="I102"/>
  <c r="I137"/>
  <c r="I348"/>
  <c r="I181"/>
  <c r="I378"/>
  <c r="I287"/>
  <c r="I340"/>
  <c r="I386"/>
  <c r="I109"/>
  <c r="I172"/>
  <c r="I148"/>
  <c r="I134"/>
  <c r="I120"/>
  <c r="I301"/>
  <c r="I44"/>
  <c r="I37"/>
  <c r="I13"/>
  <c r="I387"/>
  <c r="I235"/>
  <c r="I416"/>
  <c r="I184"/>
  <c r="I143"/>
  <c r="I412"/>
  <c r="I370"/>
  <c r="I372"/>
  <c r="I106"/>
  <c r="I179"/>
  <c r="I139"/>
  <c r="I217"/>
  <c r="I7"/>
  <c r="I308"/>
  <c r="I336"/>
  <c r="I140"/>
  <c r="I74"/>
  <c r="I79"/>
  <c r="I149"/>
  <c r="I187"/>
  <c r="I132"/>
  <c r="I129"/>
  <c r="I363"/>
  <c r="I21"/>
  <c r="I311"/>
  <c r="I290"/>
  <c r="I357"/>
  <c r="I284"/>
  <c r="I294"/>
  <c r="I229"/>
  <c r="I323"/>
  <c r="I82"/>
  <c r="I245"/>
  <c r="I100"/>
  <c r="I166"/>
  <c r="I126"/>
  <c r="I318"/>
  <c r="I22"/>
  <c r="I324"/>
  <c r="I345"/>
  <c r="I382"/>
  <c r="I270"/>
  <c r="I248"/>
  <c r="I330"/>
  <c r="I361"/>
  <c r="I346"/>
  <c r="I331"/>
  <c r="I374"/>
  <c r="I237"/>
  <c r="I327"/>
  <c r="I390"/>
  <c r="I335"/>
  <c r="I328"/>
  <c r="I304"/>
  <c r="I241"/>
  <c r="I276"/>
  <c r="I282"/>
  <c r="I281"/>
  <c r="I392"/>
  <c r="I377"/>
  <c r="I407"/>
  <c r="I343"/>
  <c r="I141"/>
  <c r="I196"/>
  <c r="I114"/>
  <c r="I62"/>
  <c r="I26"/>
  <c r="I214"/>
  <c r="I50"/>
  <c r="I12"/>
  <c r="I47"/>
  <c r="I337"/>
  <c r="I188"/>
  <c r="I417"/>
  <c r="I279"/>
  <c r="I205"/>
  <c r="I360"/>
  <c r="I213"/>
  <c r="I246"/>
  <c r="I19"/>
  <c r="I99"/>
  <c r="I169"/>
  <c r="I96"/>
  <c r="I17"/>
  <c r="I207"/>
  <c r="I45"/>
  <c r="I402"/>
  <c r="I267"/>
  <c r="I396"/>
  <c r="I376"/>
  <c r="I383"/>
  <c r="I52"/>
  <c r="I2"/>
  <c r="I351"/>
  <c r="I388"/>
  <c r="I258"/>
  <c r="I395"/>
  <c r="I232"/>
  <c r="I334"/>
  <c r="I326"/>
  <c r="I178"/>
  <c r="I177"/>
  <c r="I42"/>
  <c r="I95"/>
  <c r="I182"/>
  <c r="I121"/>
  <c r="I25"/>
  <c r="I133"/>
  <c r="I234"/>
  <c r="I260"/>
  <c r="I295"/>
  <c r="I358"/>
  <c r="I35"/>
  <c r="I147"/>
  <c r="I77"/>
  <c r="I41"/>
  <c r="I89"/>
  <c r="I135"/>
  <c r="I20"/>
  <c r="I256"/>
  <c r="I341"/>
  <c r="I321"/>
  <c r="I238"/>
  <c r="I303"/>
  <c r="I249"/>
  <c r="I125"/>
  <c r="I15"/>
  <c r="I338"/>
  <c r="I397"/>
  <c r="I401"/>
  <c r="I259"/>
  <c r="I257"/>
  <c r="I272"/>
  <c r="I379"/>
  <c r="I274"/>
  <c r="I292"/>
  <c r="I302"/>
  <c r="I354"/>
  <c r="I224"/>
  <c r="I309"/>
  <c r="I399"/>
  <c r="I317"/>
  <c r="I231"/>
  <c r="I314"/>
  <c r="I251"/>
  <c r="I163"/>
  <c r="I415"/>
  <c r="I34"/>
  <c r="I69"/>
  <c r="I119"/>
  <c r="I408"/>
  <c r="I307"/>
  <c r="I14"/>
  <c r="I199"/>
  <c r="I116"/>
  <c r="I202"/>
  <c r="I27"/>
  <c r="I186"/>
  <c r="I58"/>
  <c r="I359"/>
  <c r="I124"/>
  <c r="I320"/>
  <c r="I104"/>
  <c r="I394"/>
  <c r="I70"/>
  <c r="I4"/>
  <c r="I342"/>
  <c r="I333"/>
  <c r="I223"/>
  <c r="I369"/>
  <c r="I153"/>
  <c r="I156"/>
  <c r="I349"/>
  <c r="I168"/>
  <c r="I23"/>
  <c r="I165"/>
  <c r="I385"/>
  <c r="I332"/>
  <c r="I3"/>
  <c r="I117"/>
  <c r="I197"/>
  <c r="I268"/>
  <c r="I404"/>
  <c r="L3" l="1"/>
  <c r="J197"/>
  <c r="L197"/>
  <c r="J165"/>
  <c r="L165"/>
  <c r="J156"/>
  <c r="L156"/>
  <c r="J333"/>
  <c r="L333"/>
  <c r="J394"/>
  <c r="L394"/>
  <c r="J359"/>
  <c r="L359"/>
  <c r="J202"/>
  <c r="L202"/>
  <c r="J307"/>
  <c r="L307"/>
  <c r="J34"/>
  <c r="L34"/>
  <c r="J314"/>
  <c r="L314"/>
  <c r="J309"/>
  <c r="L309"/>
  <c r="J292"/>
  <c r="L292"/>
  <c r="J257"/>
  <c r="L257"/>
  <c r="J338"/>
  <c r="L338"/>
  <c r="J303"/>
  <c r="L303"/>
  <c r="J256"/>
  <c r="L256"/>
  <c r="J41"/>
  <c r="L41"/>
  <c r="J358"/>
  <c r="L358"/>
  <c r="J133"/>
  <c r="L133"/>
  <c r="J95"/>
  <c r="L95"/>
  <c r="J326"/>
  <c r="L326"/>
  <c r="J258"/>
  <c r="L258"/>
  <c r="J52"/>
  <c r="L52"/>
  <c r="J267"/>
  <c r="L267"/>
  <c r="J17"/>
  <c r="L17"/>
  <c r="J19"/>
  <c r="L19"/>
  <c r="J205"/>
  <c r="L205"/>
  <c r="J337"/>
  <c r="L337"/>
  <c r="J214"/>
  <c r="L214"/>
  <c r="J196"/>
  <c r="L196"/>
  <c r="J377"/>
  <c r="L377"/>
  <c r="J276"/>
  <c r="L276"/>
  <c r="J335"/>
  <c r="L335"/>
  <c r="J374"/>
  <c r="L374"/>
  <c r="J330"/>
  <c r="L330"/>
  <c r="J345"/>
  <c r="L345"/>
  <c r="J126"/>
  <c r="L126"/>
  <c r="J82"/>
  <c r="L82"/>
  <c r="J284"/>
  <c r="L284"/>
  <c r="J21"/>
  <c r="L21"/>
  <c r="J187"/>
  <c r="L187"/>
  <c r="J140"/>
  <c r="L140"/>
  <c r="J217"/>
  <c r="L217"/>
  <c r="J372"/>
  <c r="L372"/>
  <c r="J184"/>
  <c r="L184"/>
  <c r="J13"/>
  <c r="L13"/>
  <c r="J120"/>
  <c r="L120"/>
  <c r="J109"/>
  <c r="L109"/>
  <c r="J378"/>
  <c r="L378"/>
  <c r="J102"/>
  <c r="L102"/>
  <c r="J73"/>
  <c r="L73"/>
  <c r="J347"/>
  <c r="L347"/>
  <c r="J81"/>
  <c r="L81"/>
  <c r="J30"/>
  <c r="L30"/>
  <c r="J366"/>
  <c r="L366"/>
  <c r="J210"/>
  <c r="L210"/>
  <c r="J123"/>
  <c r="L123"/>
  <c r="J68"/>
  <c r="L68"/>
  <c r="J198"/>
  <c r="L198"/>
  <c r="J158"/>
  <c r="L158"/>
  <c r="J97"/>
  <c r="L97"/>
  <c r="J159"/>
  <c r="L159"/>
  <c r="J18"/>
  <c r="L18"/>
  <c r="J389"/>
  <c r="L389"/>
  <c r="J122"/>
  <c r="L122"/>
  <c r="J219"/>
  <c r="L219"/>
  <c r="J136"/>
  <c r="L136"/>
  <c r="J88"/>
  <c r="L88"/>
  <c r="J66"/>
  <c r="L66"/>
  <c r="J183"/>
  <c r="L183"/>
  <c r="J53"/>
  <c r="L53"/>
  <c r="J380"/>
  <c r="L380"/>
  <c r="J371"/>
  <c r="L371"/>
  <c r="J315"/>
  <c r="L315"/>
  <c r="J266"/>
  <c r="L266"/>
  <c r="J72"/>
  <c r="L72"/>
  <c r="J80"/>
  <c r="L80"/>
  <c r="J155"/>
  <c r="L155"/>
  <c r="J83"/>
  <c r="L83"/>
  <c r="J228"/>
  <c r="L228"/>
  <c r="J261"/>
  <c r="L261"/>
  <c r="J78"/>
  <c r="L78"/>
  <c r="J305"/>
  <c r="L305"/>
  <c r="J344"/>
  <c r="L344"/>
  <c r="J243"/>
  <c r="L243"/>
  <c r="J180"/>
  <c r="L180"/>
  <c r="J233"/>
  <c r="L233"/>
  <c r="J84"/>
  <c r="L84"/>
  <c r="J51"/>
  <c r="L51"/>
  <c r="J24"/>
  <c r="L24"/>
  <c r="J355"/>
  <c r="L355"/>
  <c r="J339"/>
  <c r="L339"/>
  <c r="J293"/>
  <c r="L293"/>
  <c r="J262"/>
  <c r="L262"/>
  <c r="J215"/>
  <c r="L215"/>
  <c r="J414"/>
  <c r="L414"/>
  <c r="J200"/>
  <c r="L200"/>
  <c r="J365"/>
  <c r="L365"/>
  <c r="J195"/>
  <c r="L195"/>
  <c r="J98"/>
  <c r="L98"/>
  <c r="J92"/>
  <c r="L92"/>
  <c r="J5"/>
  <c r="L5"/>
  <c r="J375"/>
  <c r="L375"/>
  <c r="J236"/>
  <c r="L236"/>
  <c r="J117"/>
  <c r="L117"/>
  <c r="J404"/>
  <c r="L404"/>
  <c r="J385"/>
  <c r="L385"/>
  <c r="J349"/>
  <c r="L349"/>
  <c r="J223"/>
  <c r="L223"/>
  <c r="J70"/>
  <c r="L70"/>
  <c r="J124"/>
  <c r="L124"/>
  <c r="J27"/>
  <c r="L27"/>
  <c r="J14"/>
  <c r="L14"/>
  <c r="J69"/>
  <c r="L69"/>
  <c r="J251"/>
  <c r="L251"/>
  <c r="J399"/>
  <c r="L399"/>
  <c r="J302"/>
  <c r="L302"/>
  <c r="J272"/>
  <c r="L272"/>
  <c r="J397"/>
  <c r="L397"/>
  <c r="J249"/>
  <c r="L249"/>
  <c r="J341"/>
  <c r="L341"/>
  <c r="J89"/>
  <c r="L89"/>
  <c r="J35"/>
  <c r="L35"/>
  <c r="J234"/>
  <c r="L234"/>
  <c r="J182"/>
  <c r="L182"/>
  <c r="J178"/>
  <c r="L178"/>
  <c r="J395"/>
  <c r="L395"/>
  <c r="J2"/>
  <c r="L2"/>
  <c r="J396"/>
  <c r="L396"/>
  <c r="J207"/>
  <c r="L207"/>
  <c r="J99"/>
  <c r="L99"/>
  <c r="J360"/>
  <c r="L360"/>
  <c r="J188"/>
  <c r="L188"/>
  <c r="J50"/>
  <c r="L50"/>
  <c r="J114"/>
  <c r="L114"/>
  <c r="J407"/>
  <c r="L407"/>
  <c r="J282"/>
  <c r="L282"/>
  <c r="J328"/>
  <c r="L328"/>
  <c r="J237"/>
  <c r="L237"/>
  <c r="J361"/>
  <c r="L361"/>
  <c r="J382"/>
  <c r="L382"/>
  <c r="J318"/>
  <c r="L318"/>
  <c r="J245"/>
  <c r="L245"/>
  <c r="J294"/>
  <c r="L294"/>
  <c r="J311"/>
  <c r="L311"/>
  <c r="J132"/>
  <c r="L132"/>
  <c r="J74"/>
  <c r="L74"/>
  <c r="J7"/>
  <c r="L7"/>
  <c r="J106"/>
  <c r="L106"/>
  <c r="J143"/>
  <c r="L143"/>
  <c r="J387"/>
  <c r="L387"/>
  <c r="J301"/>
  <c r="L301"/>
  <c r="J172"/>
  <c r="L172"/>
  <c r="J287"/>
  <c r="L287"/>
  <c r="J137"/>
  <c r="L137"/>
  <c r="J190"/>
  <c r="L190"/>
  <c r="J329"/>
  <c r="L329"/>
  <c r="J38"/>
  <c r="L38"/>
  <c r="J162"/>
  <c r="L162"/>
  <c r="J242"/>
  <c r="L242"/>
  <c r="J364"/>
  <c r="L364"/>
  <c r="J33"/>
  <c r="L33"/>
  <c r="J85"/>
  <c r="L85"/>
  <c r="J76"/>
  <c r="L76"/>
  <c r="J59"/>
  <c r="L59"/>
  <c r="J108"/>
  <c r="L108"/>
  <c r="J306"/>
  <c r="L306"/>
  <c r="J286"/>
  <c r="L286"/>
  <c r="J56"/>
  <c r="L56"/>
  <c r="J91"/>
  <c r="L91"/>
  <c r="J189"/>
  <c r="L189"/>
  <c r="J11"/>
  <c r="L11"/>
  <c r="J128"/>
  <c r="L128"/>
  <c r="J194"/>
  <c r="L194"/>
  <c r="J230"/>
  <c r="L230"/>
  <c r="J406"/>
  <c r="L406"/>
  <c r="J29"/>
  <c r="L29"/>
  <c r="J216"/>
  <c r="L216"/>
  <c r="J299"/>
  <c r="L299"/>
  <c r="J208"/>
  <c r="L208"/>
  <c r="J269"/>
  <c r="L269"/>
  <c r="J298"/>
  <c r="L298"/>
  <c r="J39"/>
  <c r="L39"/>
  <c r="J409"/>
  <c r="L409"/>
  <c r="J373"/>
  <c r="L373"/>
  <c r="J316"/>
  <c r="L316"/>
  <c r="J300"/>
  <c r="L300"/>
  <c r="J280"/>
  <c r="L280"/>
  <c r="J204"/>
  <c r="L204"/>
  <c r="J310"/>
  <c r="L310"/>
  <c r="J16"/>
  <c r="L16"/>
  <c r="J410"/>
  <c r="L410"/>
  <c r="J227"/>
  <c r="L227"/>
  <c r="J107"/>
  <c r="L107"/>
  <c r="J64"/>
  <c r="L64"/>
  <c r="J191"/>
  <c r="L191"/>
  <c r="J28"/>
  <c r="L28"/>
  <c r="J144"/>
  <c r="L144"/>
  <c r="J206"/>
  <c r="L206"/>
  <c r="J212"/>
  <c r="L212"/>
  <c r="J411"/>
  <c r="L411"/>
  <c r="J49"/>
  <c r="L49"/>
  <c r="J367"/>
  <c r="L367"/>
  <c r="J75"/>
  <c r="L75"/>
  <c r="J101"/>
  <c r="L101"/>
  <c r="J118"/>
  <c r="L118"/>
  <c r="J398"/>
  <c r="L398"/>
  <c r="J8"/>
  <c r="L8"/>
  <c r="J244"/>
  <c r="L244"/>
  <c r="J332"/>
  <c r="L332"/>
  <c r="J168"/>
  <c r="L168"/>
  <c r="J369"/>
  <c r="L369"/>
  <c r="J4"/>
  <c r="L4"/>
  <c r="J320"/>
  <c r="L320"/>
  <c r="J186"/>
  <c r="L186"/>
  <c r="J199"/>
  <c r="L199"/>
  <c r="J119"/>
  <c r="L119"/>
  <c r="J163"/>
  <c r="L163"/>
  <c r="J317"/>
  <c r="L317"/>
  <c r="J354"/>
  <c r="L354"/>
  <c r="J379"/>
  <c r="L379"/>
  <c r="J401"/>
  <c r="L401"/>
  <c r="J125"/>
  <c r="L125"/>
  <c r="J321"/>
  <c r="L321"/>
  <c r="J135"/>
  <c r="L135"/>
  <c r="J147"/>
  <c r="L147"/>
  <c r="J260"/>
  <c r="L260"/>
  <c r="J121"/>
  <c r="L121"/>
  <c r="J177"/>
  <c r="L177"/>
  <c r="J232"/>
  <c r="L232"/>
  <c r="J351"/>
  <c r="L351"/>
  <c r="J376"/>
  <c r="L376"/>
  <c r="J45"/>
  <c r="L45"/>
  <c r="J169"/>
  <c r="L169"/>
  <c r="J213"/>
  <c r="L213"/>
  <c r="J417"/>
  <c r="L417"/>
  <c r="J12"/>
  <c r="L12"/>
  <c r="J62"/>
  <c r="L62"/>
  <c r="J343"/>
  <c r="L343"/>
  <c r="J281"/>
  <c r="L281"/>
  <c r="J304"/>
  <c r="L304"/>
  <c r="J327"/>
  <c r="L327"/>
  <c r="J346"/>
  <c r="L346"/>
  <c r="J270"/>
  <c r="L270"/>
  <c r="J22"/>
  <c r="L22"/>
  <c r="J100"/>
  <c r="L100"/>
  <c r="J229"/>
  <c r="L229"/>
  <c r="J290"/>
  <c r="L290"/>
  <c r="J129"/>
  <c r="L129"/>
  <c r="J79"/>
  <c r="L79"/>
  <c r="J308"/>
  <c r="L308"/>
  <c r="J179"/>
  <c r="L179"/>
  <c r="J412"/>
  <c r="L412"/>
  <c r="J235"/>
  <c r="L235"/>
  <c r="J44"/>
  <c r="L44"/>
  <c r="J148"/>
  <c r="L148"/>
  <c r="J340"/>
  <c r="L340"/>
  <c r="J348"/>
  <c r="L348"/>
  <c r="J146"/>
  <c r="L146"/>
  <c r="J313"/>
  <c r="L313"/>
  <c r="J218"/>
  <c r="L218"/>
  <c r="J312"/>
  <c r="L312"/>
  <c r="J94"/>
  <c r="L94"/>
  <c r="J6"/>
  <c r="L6"/>
  <c r="J174"/>
  <c r="L174"/>
  <c r="J131"/>
  <c r="L131"/>
  <c r="J291"/>
  <c r="L291"/>
  <c r="J138"/>
  <c r="L138"/>
  <c r="J71"/>
  <c r="L71"/>
  <c r="J161"/>
  <c r="L161"/>
  <c r="J115"/>
  <c r="L115"/>
  <c r="J151"/>
  <c r="L151"/>
  <c r="J193"/>
  <c r="L193"/>
  <c r="J173"/>
  <c r="L173"/>
  <c r="J103"/>
  <c r="L103"/>
  <c r="J175"/>
  <c r="L175"/>
  <c r="J203"/>
  <c r="L203"/>
  <c r="J110"/>
  <c r="L110"/>
  <c r="J55"/>
  <c r="L55"/>
  <c r="J150"/>
  <c r="L150"/>
  <c r="J285"/>
  <c r="L285"/>
  <c r="J352"/>
  <c r="L352"/>
  <c r="J250"/>
  <c r="L250"/>
  <c r="J225"/>
  <c r="L225"/>
  <c r="J145"/>
  <c r="L145"/>
  <c r="J93"/>
  <c r="L93"/>
  <c r="J322"/>
  <c r="L322"/>
  <c r="J325"/>
  <c r="L325"/>
  <c r="J221"/>
  <c r="L221"/>
  <c r="J239"/>
  <c r="L239"/>
  <c r="J48"/>
  <c r="L48"/>
  <c r="J403"/>
  <c r="L403"/>
  <c r="J393"/>
  <c r="L393"/>
  <c r="J201"/>
  <c r="L201"/>
  <c r="J127"/>
  <c r="L127"/>
  <c r="J40"/>
  <c r="L40"/>
  <c r="J164"/>
  <c r="L164"/>
  <c r="J222"/>
  <c r="L222"/>
  <c r="J381"/>
  <c r="L381"/>
  <c r="J152"/>
  <c r="L152"/>
  <c r="J254"/>
  <c r="L254"/>
  <c r="J288"/>
  <c r="L288"/>
  <c r="J67"/>
  <c r="L67"/>
  <c r="J43"/>
  <c r="L43"/>
  <c r="J353"/>
  <c r="L353"/>
  <c r="J111"/>
  <c r="L111"/>
  <c r="J57"/>
  <c r="L57"/>
  <c r="J167"/>
  <c r="L167"/>
  <c r="J154"/>
  <c r="L154"/>
  <c r="J289"/>
  <c r="L289"/>
  <c r="J211"/>
  <c r="L211"/>
  <c r="J253"/>
  <c r="L253"/>
  <c r="J268"/>
  <c r="L268"/>
  <c r="J23"/>
  <c r="L23"/>
  <c r="J153"/>
  <c r="L153"/>
  <c r="J342"/>
  <c r="L342"/>
  <c r="J104"/>
  <c r="L104"/>
  <c r="J58"/>
  <c r="L58"/>
  <c r="J116"/>
  <c r="L116"/>
  <c r="J408"/>
  <c r="L408"/>
  <c r="J415"/>
  <c r="L415"/>
  <c r="J231"/>
  <c r="L231"/>
  <c r="J224"/>
  <c r="L224"/>
  <c r="J274"/>
  <c r="L274"/>
  <c r="J259"/>
  <c r="L259"/>
  <c r="J15"/>
  <c r="L15"/>
  <c r="J238"/>
  <c r="L238"/>
  <c r="J20"/>
  <c r="L20"/>
  <c r="J77"/>
  <c r="L77"/>
  <c r="J295"/>
  <c r="L295"/>
  <c r="J25"/>
  <c r="L25"/>
  <c r="J42"/>
  <c r="L42"/>
  <c r="J334"/>
  <c r="L334"/>
  <c r="J388"/>
  <c r="L388"/>
  <c r="J383"/>
  <c r="L383"/>
  <c r="J402"/>
  <c r="L402"/>
  <c r="J96"/>
  <c r="L96"/>
  <c r="J246"/>
  <c r="L246"/>
  <c r="J279"/>
  <c r="L279"/>
  <c r="J47"/>
  <c r="L47"/>
  <c r="J26"/>
  <c r="L26"/>
  <c r="J141"/>
  <c r="L141"/>
  <c r="J392"/>
  <c r="L392"/>
  <c r="J241"/>
  <c r="L241"/>
  <c r="J390"/>
  <c r="L390"/>
  <c r="J331"/>
  <c r="L331"/>
  <c r="J248"/>
  <c r="L248"/>
  <c r="J324"/>
  <c r="L324"/>
  <c r="J166"/>
  <c r="L166"/>
  <c r="J323"/>
  <c r="L323"/>
  <c r="J357"/>
  <c r="L357"/>
  <c r="J363"/>
  <c r="L363"/>
  <c r="J149"/>
  <c r="L149"/>
  <c r="J336"/>
  <c r="L336"/>
  <c r="J139"/>
  <c r="L139"/>
  <c r="J370"/>
  <c r="L370"/>
  <c r="J416"/>
  <c r="L416"/>
  <c r="J37"/>
  <c r="L37"/>
  <c r="J134"/>
  <c r="L134"/>
  <c r="J386"/>
  <c r="L386"/>
  <c r="J181"/>
  <c r="L181"/>
  <c r="J60"/>
  <c r="L60"/>
  <c r="J263"/>
  <c r="L263"/>
  <c r="J10"/>
  <c r="L10"/>
  <c r="J46"/>
  <c r="L46"/>
  <c r="J130"/>
  <c r="L130"/>
  <c r="J368"/>
  <c r="L368"/>
  <c r="J87"/>
  <c r="L87"/>
  <c r="J142"/>
  <c r="L142"/>
  <c r="J160"/>
  <c r="L160"/>
  <c r="J112"/>
  <c r="L112"/>
  <c r="J350"/>
  <c r="L350"/>
  <c r="J192"/>
  <c r="L192"/>
  <c r="J400"/>
  <c r="L400"/>
  <c r="J362"/>
  <c r="L362"/>
  <c r="J157"/>
  <c r="L157"/>
  <c r="J240"/>
  <c r="L240"/>
  <c r="J63"/>
  <c r="L63"/>
  <c r="J391"/>
  <c r="L391"/>
  <c r="J86"/>
  <c r="L86"/>
  <c r="J113"/>
  <c r="L113"/>
  <c r="J31"/>
  <c r="L31"/>
  <c r="J90"/>
  <c r="L90"/>
  <c r="J65"/>
  <c r="L65"/>
  <c r="J296"/>
  <c r="L296"/>
  <c r="J275"/>
  <c r="L275"/>
  <c r="J405"/>
  <c r="L405"/>
  <c r="J32"/>
  <c r="L32"/>
  <c r="J9"/>
  <c r="L9"/>
  <c r="J247"/>
  <c r="L247"/>
  <c r="J264"/>
  <c r="L264"/>
  <c r="J297"/>
  <c r="L297"/>
  <c r="J356"/>
  <c r="L356"/>
  <c r="J319"/>
  <c r="L319"/>
  <c r="J255"/>
  <c r="L255"/>
  <c r="J220"/>
  <c r="L220"/>
  <c r="J252"/>
  <c r="L252"/>
  <c r="J36"/>
  <c r="L36"/>
  <c r="J278"/>
  <c r="L278"/>
  <c r="J209"/>
  <c r="L209"/>
  <c r="J171"/>
  <c r="L171"/>
  <c r="J413"/>
  <c r="L413"/>
  <c r="J226"/>
  <c r="L226"/>
  <c r="J265"/>
  <c r="L265"/>
  <c r="J271"/>
  <c r="L271"/>
  <c r="J176"/>
  <c r="L176"/>
  <c r="J273"/>
  <c r="L273"/>
  <c r="J61"/>
  <c r="L61"/>
  <c r="J54"/>
  <c r="L54"/>
  <c r="J105"/>
  <c r="L105"/>
  <c r="J277"/>
  <c r="L277"/>
  <c r="J384"/>
  <c r="L384"/>
  <c r="J185"/>
  <c r="L185"/>
  <c r="J170"/>
  <c r="L170"/>
  <c r="J283"/>
  <c r="L283"/>
  <c r="J3"/>
</calcChain>
</file>

<file path=xl/sharedStrings.xml><?xml version="1.0" encoding="utf-8"?>
<sst xmlns="http://schemas.openxmlformats.org/spreadsheetml/2006/main" count="1688" uniqueCount="112">
  <si>
    <t>Anio</t>
  </si>
  <si>
    <t>Semana</t>
  </si>
  <si>
    <t>Producto</t>
  </si>
  <si>
    <t>Finca</t>
  </si>
  <si>
    <t>Bloque</t>
  </si>
  <si>
    <t>Variedad</t>
  </si>
  <si>
    <t>Estimado_modelo</t>
  </si>
  <si>
    <t>STANDARD</t>
  </si>
  <si>
    <t>ASTROFLORES</t>
  </si>
  <si>
    <t>LUMIA</t>
  </si>
  <si>
    <t>SPRAY</t>
  </si>
  <si>
    <t>SOMERSET</t>
  </si>
  <si>
    <t>BELLINA</t>
  </si>
  <si>
    <t>ELBA</t>
  </si>
  <si>
    <t>HOT BUBBLES</t>
  </si>
  <si>
    <t>SUSPIRO</t>
  </si>
  <si>
    <t>SNOW BUBBLES</t>
  </si>
  <si>
    <t>FRUITY BUBBLES</t>
  </si>
  <si>
    <t>FELLINI</t>
  </si>
  <si>
    <t>GOOD PEACH</t>
  </si>
  <si>
    <t>GOOD YELLOW</t>
  </si>
  <si>
    <t>ORANGE STAR</t>
  </si>
  <si>
    <t>COSMO</t>
  </si>
  <si>
    <t>RUBICON</t>
  </si>
  <si>
    <t>SUMMER DANCE</t>
  </si>
  <si>
    <t>ELEGANT ROSEVER</t>
  </si>
  <si>
    <t>FLAME CLUB</t>
  </si>
  <si>
    <t>KELLY</t>
  </si>
  <si>
    <t>LEILA</t>
  </si>
  <si>
    <t>MIRABEL</t>
  </si>
  <si>
    <t>82989</t>
  </si>
  <si>
    <t>VELVET BLOSSOMS</t>
  </si>
  <si>
    <t>CREAMY FOLIES</t>
  </si>
  <si>
    <t>BELIEVE IN PINK</t>
  </si>
  <si>
    <t>EXPLORER</t>
  </si>
  <si>
    <t>GRACE KELLY</t>
  </si>
  <si>
    <t>LIGHT HOUSE</t>
  </si>
  <si>
    <t>MOMENTUM</t>
  </si>
  <si>
    <t>SWEETNESS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</si>
  <si>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</si>
  <si>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</si>
  <si>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</si>
  <si>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</si>
  <si>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</si>
  <si>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</si>
  <si>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</si>
  <si>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</si>
  <si>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</si>
  <si>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ATOMIC</t>
  </si>
  <si>
    <t>MONDIAL</t>
  </si>
  <si>
    <t>REDIANT</t>
  </si>
  <si>
    <t>FREEDOM</t>
  </si>
  <si>
    <t>COOLDOWN</t>
  </si>
  <si>
    <t>VIOLET HILL</t>
  </si>
  <si>
    <t>BRIGHTON</t>
  </si>
  <si>
    <t>CANDLELIGHT</t>
  </si>
  <si>
    <t>CAYENNE</t>
  </si>
  <si>
    <t>STARDUST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</si>
  <si>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</si>
  <si>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</si>
  <si>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</si>
  <si>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</si>
  <si>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</si>
  <si>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</si>
  <si>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</si>
  <si>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</si>
  <si>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FRUTTETO</t>
  </si>
  <si>
    <t>PINK MONDIAL</t>
  </si>
  <si>
    <t>LOLA</t>
  </si>
  <si>
    <t>PALOMA</t>
  </si>
  <si>
    <t>SATISFACTION</t>
  </si>
  <si>
    <t>TIFFANY</t>
  </si>
  <si>
    <t>PINK FLOYD</t>
  </si>
  <si>
    <t>IDOLE</t>
  </si>
  <si>
    <t>Produccion</t>
  </si>
  <si>
    <t>Sem&amp;Bloque&amp;Varid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</si>
  <si>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</si>
  <si>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</si>
  <si>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</si>
  <si>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</si>
  <si>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</si>
  <si>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</si>
  <si>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</si>
  <si>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</si>
  <si>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</si>
  <si>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</si>
  <si>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</si>
  <si>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</si>
  <si>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</si>
  <si>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</si>
  <si>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030</t>
  </si>
  <si>
    <t>031</t>
  </si>
  <si>
    <t>032</t>
  </si>
  <si>
    <t>033</t>
  </si>
  <si>
    <t>001</t>
  </si>
  <si>
    <t>003</t>
  </si>
  <si>
    <t>006</t>
  </si>
  <si>
    <t>008</t>
  </si>
  <si>
    <t>010</t>
  </si>
  <si>
    <t>011</t>
  </si>
  <si>
    <t>012</t>
  </si>
  <si>
    <t>013</t>
  </si>
  <si>
    <t>023</t>
  </si>
  <si>
    <t>024</t>
  </si>
  <si>
    <t>025</t>
  </si>
  <si>
    <t>026</t>
  </si>
  <si>
    <t>027</t>
  </si>
  <si>
    <t>028</t>
  </si>
  <si>
    <t>029</t>
  </si>
  <si>
    <t>Dif</t>
  </si>
  <si>
    <t>NuevoModelo</t>
  </si>
  <si>
    <t>%Dif</t>
  </si>
</sst>
</file>

<file path=xl/styles.xml><?xml version="1.0" encoding="utf-8"?>
<styleSheet xmlns="http://schemas.openxmlformats.org/spreadsheetml/2006/main">
  <numFmts count="1">
    <numFmt numFmtId="164" formatCode="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quotePrefix="1" applyNumberFormat="1" applyAlignment="1">
      <alignment horizontal="left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0" fontId="0" fillId="0" borderId="0" xfId="0" applyFill="1"/>
    <xf numFmtId="0" fontId="2" fillId="0" borderId="1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7.3530183727034126E-2"/>
          <c:y val="7.4548702245552642E-2"/>
          <c:w val="0.73677668416447972"/>
          <c:h val="0.89719889180519119"/>
        </c:manualLayout>
      </c:layout>
      <c:barChart>
        <c:barDir val="col"/>
        <c:grouping val="clustered"/>
        <c:ser>
          <c:idx val="0"/>
          <c:order val="0"/>
          <c:val>
            <c:numRef>
              <c:f>Estimado_modelo!$L$2:$L$417</c:f>
              <c:numCache>
                <c:formatCode>General</c:formatCode>
                <c:ptCount val="416"/>
                <c:pt idx="0">
                  <c:v>0.73230769230769233</c:v>
                </c:pt>
                <c:pt idx="1">
                  <c:v>0.70562091503267976</c:v>
                </c:pt>
                <c:pt idx="2">
                  <c:v>0.69957081545064381</c:v>
                </c:pt>
                <c:pt idx="3">
                  <c:v>0.62961165048543688</c:v>
                </c:pt>
                <c:pt idx="4">
                  <c:v>0.58349056603773586</c:v>
                </c:pt>
                <c:pt idx="5">
                  <c:v>0.57911479944674971</c:v>
                </c:pt>
                <c:pt idx="6">
                  <c:v>0.54522058823529407</c:v>
                </c:pt>
                <c:pt idx="7">
                  <c:v>0.54244897959183669</c:v>
                </c:pt>
                <c:pt idx="8">
                  <c:v>0.54078947368421049</c:v>
                </c:pt>
                <c:pt idx="9">
                  <c:v>0.5379935275080906</c:v>
                </c:pt>
                <c:pt idx="10">
                  <c:v>0.54346289752650179</c:v>
                </c:pt>
                <c:pt idx="11">
                  <c:v>0.51988950276243096</c:v>
                </c:pt>
                <c:pt idx="12">
                  <c:v>0.52060150375939851</c:v>
                </c:pt>
                <c:pt idx="13">
                  <c:v>0.51749999999999996</c:v>
                </c:pt>
                <c:pt idx="14">
                  <c:v>0.51597633136094678</c:v>
                </c:pt>
                <c:pt idx="15">
                  <c:v>0.51359223300970869</c:v>
                </c:pt>
                <c:pt idx="16">
                  <c:v>0.50360360360360357</c:v>
                </c:pt>
                <c:pt idx="17">
                  <c:v>0.50437086092715233</c:v>
                </c:pt>
                <c:pt idx="18">
                  <c:v>0.49583333333333335</c:v>
                </c:pt>
                <c:pt idx="19">
                  <c:v>0.49367088607594939</c:v>
                </c:pt>
                <c:pt idx="20">
                  <c:v>0.48961748633879781</c:v>
                </c:pt>
                <c:pt idx="21">
                  <c:v>0.47871972318339101</c:v>
                </c:pt>
                <c:pt idx="22">
                  <c:v>0.48328358208955224</c:v>
                </c:pt>
                <c:pt idx="23">
                  <c:v>0.47429718875502008</c:v>
                </c:pt>
                <c:pt idx="24">
                  <c:v>0.47200557103064067</c:v>
                </c:pt>
                <c:pt idx="25">
                  <c:v>0.47490842490842489</c:v>
                </c:pt>
                <c:pt idx="26">
                  <c:v>0.44972222222222225</c:v>
                </c:pt>
                <c:pt idx="27">
                  <c:v>0.46085043988269797</c:v>
                </c:pt>
                <c:pt idx="28">
                  <c:v>0.45327935222672067</c:v>
                </c:pt>
                <c:pt idx="29">
                  <c:v>0.45936507936507937</c:v>
                </c:pt>
                <c:pt idx="30">
                  <c:v>0.44606557377049183</c:v>
                </c:pt>
                <c:pt idx="31">
                  <c:v>0.43425925925925923</c:v>
                </c:pt>
                <c:pt idx="32">
                  <c:v>0.44198473282442746</c:v>
                </c:pt>
                <c:pt idx="33">
                  <c:v>0.42770833333333336</c:v>
                </c:pt>
                <c:pt idx="34">
                  <c:v>0.43851851851851853</c:v>
                </c:pt>
                <c:pt idx="35">
                  <c:v>0.42807017543859649</c:v>
                </c:pt>
                <c:pt idx="36">
                  <c:v>0.42137741046831956</c:v>
                </c:pt>
                <c:pt idx="37">
                  <c:v>0.42329545454545453</c:v>
                </c:pt>
                <c:pt idx="38">
                  <c:v>0.42272727272727273</c:v>
                </c:pt>
                <c:pt idx="39">
                  <c:v>0.39866220735785951</c:v>
                </c:pt>
                <c:pt idx="40">
                  <c:v>0.38805970149253732</c:v>
                </c:pt>
                <c:pt idx="41">
                  <c:v>0.39426086956521739</c:v>
                </c:pt>
                <c:pt idx="42">
                  <c:v>0.38992125984251969</c:v>
                </c:pt>
                <c:pt idx="43">
                  <c:v>0.38504273504273506</c:v>
                </c:pt>
                <c:pt idx="44">
                  <c:v>0.38697916666666665</c:v>
                </c:pt>
                <c:pt idx="45">
                  <c:v>0.39302832244008712</c:v>
                </c:pt>
                <c:pt idx="46">
                  <c:v>0.39437751004016064</c:v>
                </c:pt>
                <c:pt idx="47">
                  <c:v>0.38775100401606427</c:v>
                </c:pt>
                <c:pt idx="48">
                  <c:v>0.36814814814814817</c:v>
                </c:pt>
                <c:pt idx="49">
                  <c:v>0.38764912280701752</c:v>
                </c:pt>
                <c:pt idx="50">
                  <c:v>0.38557894736842108</c:v>
                </c:pt>
                <c:pt idx="51">
                  <c:v>0.38881086142322097</c:v>
                </c:pt>
                <c:pt idx="52">
                  <c:v>0.38502604166666665</c:v>
                </c:pt>
                <c:pt idx="53">
                  <c:v>0.36727272727272725</c:v>
                </c:pt>
                <c:pt idx="54">
                  <c:v>0.37651515151515152</c:v>
                </c:pt>
                <c:pt idx="55">
                  <c:v>0.37073170731707317</c:v>
                </c:pt>
                <c:pt idx="56">
                  <c:v>0.35391498881431765</c:v>
                </c:pt>
                <c:pt idx="57">
                  <c:v>0.36486486486486486</c:v>
                </c:pt>
                <c:pt idx="58">
                  <c:v>0.34666666666666668</c:v>
                </c:pt>
                <c:pt idx="59">
                  <c:v>0.35203791469194312</c:v>
                </c:pt>
                <c:pt idx="60">
                  <c:v>0.35677083333333331</c:v>
                </c:pt>
                <c:pt idx="61">
                  <c:v>0.34965986394557824</c:v>
                </c:pt>
                <c:pt idx="62">
                  <c:v>0.35417690417690417</c:v>
                </c:pt>
                <c:pt idx="63">
                  <c:v>0.35030581039755354</c:v>
                </c:pt>
                <c:pt idx="64">
                  <c:v>0.3413793103448276</c:v>
                </c:pt>
                <c:pt idx="65">
                  <c:v>0.35081081081081084</c:v>
                </c:pt>
                <c:pt idx="66">
                  <c:v>0.33524590163934426</c:v>
                </c:pt>
                <c:pt idx="67">
                  <c:v>0.34368421052631581</c:v>
                </c:pt>
                <c:pt idx="68">
                  <c:v>0.34094707520891365</c:v>
                </c:pt>
                <c:pt idx="69">
                  <c:v>0.33384615384615385</c:v>
                </c:pt>
                <c:pt idx="70">
                  <c:v>0.33784946236559138</c:v>
                </c:pt>
                <c:pt idx="71">
                  <c:v>0.32307692307692309</c:v>
                </c:pt>
                <c:pt idx="72">
                  <c:v>0.31343283582089554</c:v>
                </c:pt>
                <c:pt idx="73">
                  <c:v>0.33959731543624161</c:v>
                </c:pt>
                <c:pt idx="74">
                  <c:v>0.33073170731707319</c:v>
                </c:pt>
                <c:pt idx="75">
                  <c:v>0.33076923076923076</c:v>
                </c:pt>
                <c:pt idx="76">
                  <c:v>0.32700564971751411</c:v>
                </c:pt>
                <c:pt idx="77">
                  <c:v>0.3194736842105263</c:v>
                </c:pt>
                <c:pt idx="78">
                  <c:v>0.32984126984126982</c:v>
                </c:pt>
                <c:pt idx="79">
                  <c:v>0.32103448275862068</c:v>
                </c:pt>
                <c:pt idx="80">
                  <c:v>0.32105263157894737</c:v>
                </c:pt>
                <c:pt idx="81">
                  <c:v>0.31550925925925927</c:v>
                </c:pt>
                <c:pt idx="82">
                  <c:v>0.31788990825688074</c:v>
                </c:pt>
                <c:pt idx="83">
                  <c:v>0.296875</c:v>
                </c:pt>
                <c:pt idx="84">
                  <c:v>0.30296052631578946</c:v>
                </c:pt>
                <c:pt idx="85">
                  <c:v>0.32395833333333335</c:v>
                </c:pt>
                <c:pt idx="86">
                  <c:v>0.32361111111111113</c:v>
                </c:pt>
                <c:pt idx="87">
                  <c:v>0.30564102564102563</c:v>
                </c:pt>
                <c:pt idx="88">
                  <c:v>0.29426900584795324</c:v>
                </c:pt>
                <c:pt idx="89">
                  <c:v>0.31263157894736843</c:v>
                </c:pt>
                <c:pt idx="90">
                  <c:v>0.30265734265734268</c:v>
                </c:pt>
                <c:pt idx="91">
                  <c:v>0.27549019607843139</c:v>
                </c:pt>
                <c:pt idx="92">
                  <c:v>0.29397905759162302</c:v>
                </c:pt>
                <c:pt idx="93">
                  <c:v>0.29354838709677417</c:v>
                </c:pt>
                <c:pt idx="94">
                  <c:v>0.28524822695035462</c:v>
                </c:pt>
                <c:pt idx="95">
                  <c:v>0.27612612612612614</c:v>
                </c:pt>
                <c:pt idx="96">
                  <c:v>0.27928176795580112</c:v>
                </c:pt>
                <c:pt idx="97">
                  <c:v>0.2897826086956522</c:v>
                </c:pt>
                <c:pt idx="98">
                  <c:v>0.27065217391304347</c:v>
                </c:pt>
                <c:pt idx="99">
                  <c:v>0.28988970588235297</c:v>
                </c:pt>
                <c:pt idx="100">
                  <c:v>0.29133034379671152</c:v>
                </c:pt>
                <c:pt idx="101">
                  <c:v>0.28573643410852712</c:v>
                </c:pt>
                <c:pt idx="102">
                  <c:v>0.28934506353861195</c:v>
                </c:pt>
                <c:pt idx="103">
                  <c:v>0.28051612903225809</c:v>
                </c:pt>
                <c:pt idx="104">
                  <c:v>0.27859154929577462</c:v>
                </c:pt>
                <c:pt idx="105">
                  <c:v>0.27744000000000002</c:v>
                </c:pt>
                <c:pt idx="106">
                  <c:v>0.26966067864271459</c:v>
                </c:pt>
                <c:pt idx="107">
                  <c:v>0.25068493150684934</c:v>
                </c:pt>
                <c:pt idx="108">
                  <c:v>0.25438596491228072</c:v>
                </c:pt>
                <c:pt idx="109">
                  <c:v>0.25829383886255924</c:v>
                </c:pt>
                <c:pt idx="110">
                  <c:v>0.25984962406015039</c:v>
                </c:pt>
                <c:pt idx="111">
                  <c:v>0.26362416107382552</c:v>
                </c:pt>
                <c:pt idx="112">
                  <c:v>0.25350649350649351</c:v>
                </c:pt>
                <c:pt idx="113">
                  <c:v>0.25511111111111112</c:v>
                </c:pt>
                <c:pt idx="114">
                  <c:v>0.26195488721804511</c:v>
                </c:pt>
                <c:pt idx="115">
                  <c:v>0.27190476190476193</c:v>
                </c:pt>
                <c:pt idx="116">
                  <c:v>0.24302600472813238</c:v>
                </c:pt>
                <c:pt idx="117">
                  <c:v>0.24947589098532494</c:v>
                </c:pt>
                <c:pt idx="118">
                  <c:v>0.23838174273858923</c:v>
                </c:pt>
                <c:pt idx="119">
                  <c:v>0.24074074074074073</c:v>
                </c:pt>
                <c:pt idx="120">
                  <c:v>0.23462783171521034</c:v>
                </c:pt>
                <c:pt idx="121">
                  <c:v>0.23508771929824562</c:v>
                </c:pt>
                <c:pt idx="122">
                  <c:v>0.21640624999999999</c:v>
                </c:pt>
                <c:pt idx="123">
                  <c:v>0.22952380952380952</c:v>
                </c:pt>
                <c:pt idx="124">
                  <c:v>0.21534391534391534</c:v>
                </c:pt>
                <c:pt idx="125">
                  <c:v>0.22983425414364642</c:v>
                </c:pt>
                <c:pt idx="126">
                  <c:v>0.22500000000000001</c:v>
                </c:pt>
                <c:pt idx="127">
                  <c:v>0.21956018518518519</c:v>
                </c:pt>
                <c:pt idx="128">
                  <c:v>0.21249999999999999</c:v>
                </c:pt>
                <c:pt idx="129">
                  <c:v>0.22222222222222221</c:v>
                </c:pt>
                <c:pt idx="130">
                  <c:v>0.21797752808988763</c:v>
                </c:pt>
                <c:pt idx="131">
                  <c:v>0.2086021505376344</c:v>
                </c:pt>
                <c:pt idx="132">
                  <c:v>0.18654970760233919</c:v>
                </c:pt>
                <c:pt idx="133">
                  <c:v>0.18636363636363637</c:v>
                </c:pt>
                <c:pt idx="134">
                  <c:v>0.19701863354037266</c:v>
                </c:pt>
                <c:pt idx="135">
                  <c:v>0.18778443113772456</c:v>
                </c:pt>
                <c:pt idx="136">
                  <c:v>0.19333333333333333</c:v>
                </c:pt>
                <c:pt idx="137">
                  <c:v>0.19543624161073825</c:v>
                </c:pt>
                <c:pt idx="138">
                  <c:v>0.16870588235294118</c:v>
                </c:pt>
                <c:pt idx="139">
                  <c:v>0.1641025641025641</c:v>
                </c:pt>
                <c:pt idx="140">
                  <c:v>0.192</c:v>
                </c:pt>
                <c:pt idx="141">
                  <c:v>0.18099999999999999</c:v>
                </c:pt>
                <c:pt idx="142">
                  <c:v>0.15476190476190477</c:v>
                </c:pt>
                <c:pt idx="143">
                  <c:v>0.18270547945205479</c:v>
                </c:pt>
                <c:pt idx="144">
                  <c:v>0.17752442996742671</c:v>
                </c:pt>
                <c:pt idx="145">
                  <c:v>0.1588235294117647</c:v>
                </c:pt>
                <c:pt idx="146">
                  <c:v>0.17142857142857143</c:v>
                </c:pt>
                <c:pt idx="147">
                  <c:v>0.1752258064516129</c:v>
                </c:pt>
                <c:pt idx="148">
                  <c:v>0.1524822695035461</c:v>
                </c:pt>
                <c:pt idx="149">
                  <c:v>0.17562682215743441</c:v>
                </c:pt>
                <c:pt idx="150">
                  <c:v>0.1720496894409938</c:v>
                </c:pt>
                <c:pt idx="151">
                  <c:v>0.1826972010178117</c:v>
                </c:pt>
                <c:pt idx="152">
                  <c:v>0.15645161290322582</c:v>
                </c:pt>
                <c:pt idx="153">
                  <c:v>0.14897435897435898</c:v>
                </c:pt>
                <c:pt idx="154">
                  <c:v>0.15505952380952381</c:v>
                </c:pt>
                <c:pt idx="155">
                  <c:v>0.16463157894736843</c:v>
                </c:pt>
                <c:pt idx="156">
                  <c:v>0.15767195767195769</c:v>
                </c:pt>
                <c:pt idx="157">
                  <c:v>0.1587793427230047</c:v>
                </c:pt>
                <c:pt idx="158">
                  <c:v>0.16208530805687205</c:v>
                </c:pt>
                <c:pt idx="159">
                  <c:v>0.15267489711934157</c:v>
                </c:pt>
                <c:pt idx="160">
                  <c:v>0.14491725768321512</c:v>
                </c:pt>
                <c:pt idx="161">
                  <c:v>0.13454545454545455</c:v>
                </c:pt>
                <c:pt idx="162">
                  <c:v>0.14937853107344634</c:v>
                </c:pt>
                <c:pt idx="163">
                  <c:v>0.14294032023289666</c:v>
                </c:pt>
                <c:pt idx="164">
                  <c:v>0.10595744680851064</c:v>
                </c:pt>
                <c:pt idx="165">
                  <c:v>0.13826291079812206</c:v>
                </c:pt>
                <c:pt idx="166">
                  <c:v>0.13850000000000001</c:v>
                </c:pt>
                <c:pt idx="167">
                  <c:v>0.14028571428571429</c:v>
                </c:pt>
                <c:pt idx="168">
                  <c:v>0.12709433962264152</c:v>
                </c:pt>
                <c:pt idx="169">
                  <c:v>0.15066666666666667</c:v>
                </c:pt>
                <c:pt idx="170">
                  <c:v>0.13389473684210526</c:v>
                </c:pt>
                <c:pt idx="171">
                  <c:v>0.12471264367816091</c:v>
                </c:pt>
                <c:pt idx="172">
                  <c:v>0.11939655172413793</c:v>
                </c:pt>
                <c:pt idx="173">
                  <c:v>9.9382716049382716E-2</c:v>
                </c:pt>
                <c:pt idx="174">
                  <c:v>0.12730769230769232</c:v>
                </c:pt>
                <c:pt idx="175">
                  <c:v>0.10273972602739725</c:v>
                </c:pt>
                <c:pt idx="176">
                  <c:v>8.774509803921568E-2</c:v>
                </c:pt>
                <c:pt idx="177">
                  <c:v>0.10708074534161491</c:v>
                </c:pt>
                <c:pt idx="178">
                  <c:v>0.12</c:v>
                </c:pt>
                <c:pt idx="179">
                  <c:v>9.9487179487179486E-2</c:v>
                </c:pt>
                <c:pt idx="180">
                  <c:v>9.9509803921568621E-2</c:v>
                </c:pt>
                <c:pt idx="181">
                  <c:v>0.10916666666666666</c:v>
                </c:pt>
                <c:pt idx="182">
                  <c:v>0.11407407407407408</c:v>
                </c:pt>
                <c:pt idx="183">
                  <c:v>7.7431192660550457E-2</c:v>
                </c:pt>
                <c:pt idx="184">
                  <c:v>9.5238095238095233E-2</c:v>
                </c:pt>
                <c:pt idx="185">
                  <c:v>7.9835390946502063E-2</c:v>
                </c:pt>
                <c:pt idx="186">
                  <c:v>0.10150000000000001</c:v>
                </c:pt>
                <c:pt idx="187">
                  <c:v>9.3918918918918917E-2</c:v>
                </c:pt>
                <c:pt idx="188">
                  <c:v>9.7872340425531917E-2</c:v>
                </c:pt>
                <c:pt idx="189">
                  <c:v>9.4623655913978491E-2</c:v>
                </c:pt>
                <c:pt idx="190">
                  <c:v>8.4906666666666672E-2</c:v>
                </c:pt>
                <c:pt idx="191">
                  <c:v>7.4193548387096769E-2</c:v>
                </c:pt>
                <c:pt idx="192">
                  <c:v>7.5460992907801422E-2</c:v>
                </c:pt>
                <c:pt idx="193">
                  <c:v>7.0743801652892568E-2</c:v>
                </c:pt>
                <c:pt idx="194">
                  <c:v>8.7479674796747967E-2</c:v>
                </c:pt>
                <c:pt idx="195">
                  <c:v>8.666666666666667E-2</c:v>
                </c:pt>
                <c:pt idx="196">
                  <c:v>5.8997050147492625E-2</c:v>
                </c:pt>
                <c:pt idx="197">
                  <c:v>7.8562874251497009E-2</c:v>
                </c:pt>
                <c:pt idx="198">
                  <c:v>6.4814814814814811E-2</c:v>
                </c:pt>
                <c:pt idx="199">
                  <c:v>7.9310344827586213E-2</c:v>
                </c:pt>
                <c:pt idx="200">
                  <c:v>6.6666666666666666E-2</c:v>
                </c:pt>
                <c:pt idx="201">
                  <c:v>6.9047619047619052E-2</c:v>
                </c:pt>
                <c:pt idx="202">
                  <c:v>6.0670731707317072E-2</c:v>
                </c:pt>
                <c:pt idx="203">
                  <c:v>6.2270270270270267E-2</c:v>
                </c:pt>
                <c:pt idx="204">
                  <c:v>4.3259259259259261E-2</c:v>
                </c:pt>
                <c:pt idx="205">
                  <c:v>3.614035087719298E-2</c:v>
                </c:pt>
                <c:pt idx="206">
                  <c:v>5.6862745098039215E-2</c:v>
                </c:pt>
                <c:pt idx="207">
                  <c:v>3.1020408163265307E-2</c:v>
                </c:pt>
                <c:pt idx="208">
                  <c:v>6.5050505050505053E-2</c:v>
                </c:pt>
                <c:pt idx="209">
                  <c:v>5.1713395638629284E-2</c:v>
                </c:pt>
                <c:pt idx="210">
                  <c:v>6.1481481481481484E-2</c:v>
                </c:pt>
                <c:pt idx="211">
                  <c:v>2.4242424242424242E-2</c:v>
                </c:pt>
                <c:pt idx="212">
                  <c:v>1.6666666666666666E-2</c:v>
                </c:pt>
                <c:pt idx="213">
                  <c:v>3.3888888888888892E-2</c:v>
                </c:pt>
                <c:pt idx="214">
                  <c:v>2.6666666666666668E-2</c:v>
                </c:pt>
                <c:pt idx="215">
                  <c:v>1.4218009478672985E-2</c:v>
                </c:pt>
                <c:pt idx="216">
                  <c:v>1.9477124183006535E-2</c:v>
                </c:pt>
                <c:pt idx="217">
                  <c:v>1.7939393939393939E-2</c:v>
                </c:pt>
                <c:pt idx="218">
                  <c:v>2.3903508771929826E-2</c:v>
                </c:pt>
                <c:pt idx="219">
                  <c:v>1.896551724137931E-2</c:v>
                </c:pt>
                <c:pt idx="220">
                  <c:v>2.9743589743589743E-2</c:v>
                </c:pt>
                <c:pt idx="221">
                  <c:v>7.8350515463917522E-3</c:v>
                </c:pt>
                <c:pt idx="222">
                  <c:v>5.3763440860215055E-2</c:v>
                </c:pt>
                <c:pt idx="223">
                  <c:v>1.2543554006968641E-3</c:v>
                </c:pt>
                <c:pt idx="224">
                  <c:v>-3.1864406779661014E-2</c:v>
                </c:pt>
                <c:pt idx="225">
                  <c:v>-1.7553191489361703E-2</c:v>
                </c:pt>
                <c:pt idx="226">
                  <c:v>-5.076142131979695E-3</c:v>
                </c:pt>
                <c:pt idx="227">
                  <c:v>-3.9024390243902439E-3</c:v>
                </c:pt>
                <c:pt idx="228">
                  <c:v>-2.391304347826087E-2</c:v>
                </c:pt>
                <c:pt idx="229">
                  <c:v>-2.2846441947565542E-2</c:v>
                </c:pt>
                <c:pt idx="230">
                  <c:v>-1.0758620689655173E-2</c:v>
                </c:pt>
                <c:pt idx="231">
                  <c:v>-3.7426900584795322E-2</c:v>
                </c:pt>
                <c:pt idx="232">
                  <c:v>-1.6781609195402298E-2</c:v>
                </c:pt>
                <c:pt idx="233">
                  <c:v>0</c:v>
                </c:pt>
                <c:pt idx="234">
                  <c:v>-2.1195973949082299E-2</c:v>
                </c:pt>
                <c:pt idx="235">
                  <c:v>-2.8825910931174089E-2</c:v>
                </c:pt>
                <c:pt idx="236">
                  <c:v>-2.3352165725047083E-2</c:v>
                </c:pt>
                <c:pt idx="237">
                  <c:v>-2.6726726726726727E-2</c:v>
                </c:pt>
                <c:pt idx="238">
                  <c:v>-4.1062801932367152E-2</c:v>
                </c:pt>
                <c:pt idx="239">
                  <c:v>-1.9514237855946397E-2</c:v>
                </c:pt>
                <c:pt idx="240">
                  <c:v>-2.4497607655502393E-2</c:v>
                </c:pt>
                <c:pt idx="241">
                  <c:v>-3.1595881595881593E-2</c:v>
                </c:pt>
                <c:pt idx="242">
                  <c:v>-1.9225449515905949E-2</c:v>
                </c:pt>
                <c:pt idx="243">
                  <c:v>-1.7073170731707318E-2</c:v>
                </c:pt>
                <c:pt idx="244">
                  <c:v>-3.3181126331811264E-2</c:v>
                </c:pt>
                <c:pt idx="245">
                  <c:v>-3.7651122625215888E-2</c:v>
                </c:pt>
                <c:pt idx="246">
                  <c:v>-3.3730158730158728E-2</c:v>
                </c:pt>
                <c:pt idx="247">
                  <c:v>-3.4567901234567898E-2</c:v>
                </c:pt>
                <c:pt idx="248">
                  <c:v>-2.9680365296803651E-2</c:v>
                </c:pt>
                <c:pt idx="249">
                  <c:v>-4.4029850746268653E-2</c:v>
                </c:pt>
                <c:pt idx="250">
                  <c:v>-3.3095238095238094E-2</c:v>
                </c:pt>
                <c:pt idx="251">
                  <c:v>-2.8232189973614777E-2</c:v>
                </c:pt>
                <c:pt idx="252">
                  <c:v>-2.7093596059113302E-2</c:v>
                </c:pt>
                <c:pt idx="253">
                  <c:v>-5.1428571428571428E-2</c:v>
                </c:pt>
                <c:pt idx="254">
                  <c:v>-3.8935574229691877E-2</c:v>
                </c:pt>
                <c:pt idx="255">
                  <c:v>-2.2307692307692306E-2</c:v>
                </c:pt>
                <c:pt idx="256">
                  <c:v>-4.3789473684210524E-2</c:v>
                </c:pt>
                <c:pt idx="257">
                  <c:v>-3.8507821901323708E-2</c:v>
                </c:pt>
                <c:pt idx="258">
                  <c:v>-2.9718875502008031E-2</c:v>
                </c:pt>
                <c:pt idx="259">
                  <c:v>-0.05</c:v>
                </c:pt>
                <c:pt idx="260">
                  <c:v>-2.9705882352941176E-2</c:v>
                </c:pt>
                <c:pt idx="261">
                  <c:v>-5.0046511627906978E-2</c:v>
                </c:pt>
                <c:pt idx="262">
                  <c:v>-2.9401709401709403E-2</c:v>
                </c:pt>
                <c:pt idx="263">
                  <c:v>-4.7798742138364783E-2</c:v>
                </c:pt>
                <c:pt idx="264">
                  <c:v>-4.148606811145511E-2</c:v>
                </c:pt>
                <c:pt idx="265">
                  <c:v>-7.179487179487179E-2</c:v>
                </c:pt>
                <c:pt idx="266">
                  <c:v>-5.6666666666666664E-2</c:v>
                </c:pt>
                <c:pt idx="267">
                  <c:v>-4.8789346246973363E-2</c:v>
                </c:pt>
                <c:pt idx="268">
                  <c:v>-5.0743801652892565E-2</c:v>
                </c:pt>
                <c:pt idx="269">
                  <c:v>-4.8275862068965517E-2</c:v>
                </c:pt>
                <c:pt idx="270">
                  <c:v>-7.4210526315789477E-2</c:v>
                </c:pt>
                <c:pt idx="271">
                  <c:v>-4.9716640906749099E-2</c:v>
                </c:pt>
                <c:pt idx="272">
                  <c:v>-5.9882005899705014E-2</c:v>
                </c:pt>
                <c:pt idx="273">
                  <c:v>-5.9492385786802028E-2</c:v>
                </c:pt>
                <c:pt idx="274">
                  <c:v>-5.0032154340836014E-2</c:v>
                </c:pt>
                <c:pt idx="275">
                  <c:v>-5.8144329896907217E-2</c:v>
                </c:pt>
                <c:pt idx="276">
                  <c:v>-4.6666666666666669E-2</c:v>
                </c:pt>
                <c:pt idx="277">
                  <c:v>-4.96031746031746E-2</c:v>
                </c:pt>
                <c:pt idx="278">
                  <c:v>-5.5846422338568937E-2</c:v>
                </c:pt>
                <c:pt idx="279">
                  <c:v>-6.2544802867383509E-2</c:v>
                </c:pt>
                <c:pt idx="280">
                  <c:v>-5.5228758169934639E-2</c:v>
                </c:pt>
                <c:pt idx="281">
                  <c:v>-5.3722627737226275E-2</c:v>
                </c:pt>
                <c:pt idx="282">
                  <c:v>-8.6956521739130432E-2</c:v>
                </c:pt>
                <c:pt idx="283">
                  <c:v>-7.6901408450704228E-2</c:v>
                </c:pt>
                <c:pt idx="284">
                  <c:v>-6.4738292011019286E-2</c:v>
                </c:pt>
                <c:pt idx="285">
                  <c:v>-6.2162162162162166E-2</c:v>
                </c:pt>
                <c:pt idx="286">
                  <c:v>-6.1788617886178863E-2</c:v>
                </c:pt>
                <c:pt idx="287">
                  <c:v>-6.3095238095238093E-2</c:v>
                </c:pt>
                <c:pt idx="288">
                  <c:v>-6.7136498516320475E-2</c:v>
                </c:pt>
                <c:pt idx="289">
                  <c:v>-6.3106796116504854E-2</c:v>
                </c:pt>
                <c:pt idx="290">
                  <c:v>-6.8158844765342966E-2</c:v>
                </c:pt>
                <c:pt idx="291">
                  <c:v>-8.9834515366430265E-2</c:v>
                </c:pt>
                <c:pt idx="292">
                  <c:v>-7.8496240601503758E-2</c:v>
                </c:pt>
                <c:pt idx="293">
                  <c:v>-7.9263803680981598E-2</c:v>
                </c:pt>
                <c:pt idx="294">
                  <c:v>-6.6130653266331663E-2</c:v>
                </c:pt>
                <c:pt idx="295">
                  <c:v>-8.6334841628959283E-2</c:v>
                </c:pt>
                <c:pt idx="296">
                  <c:v>-7.9532967032967028E-2</c:v>
                </c:pt>
                <c:pt idx="297">
                  <c:v>-9.2422360248447202E-2</c:v>
                </c:pt>
                <c:pt idx="298">
                  <c:v>-9.5384615384615387E-2</c:v>
                </c:pt>
                <c:pt idx="299">
                  <c:v>-8.8888888888888892E-2</c:v>
                </c:pt>
                <c:pt idx="300">
                  <c:v>-9.6347826086956523E-2</c:v>
                </c:pt>
                <c:pt idx="301">
                  <c:v>-8.9230769230769225E-2</c:v>
                </c:pt>
                <c:pt idx="302">
                  <c:v>-9.6226415094339629E-2</c:v>
                </c:pt>
                <c:pt idx="303">
                  <c:v>-0.10149253731343283</c:v>
                </c:pt>
                <c:pt idx="304">
                  <c:v>-6.7320261437908493E-2</c:v>
                </c:pt>
                <c:pt idx="305">
                  <c:v>-0.09</c:v>
                </c:pt>
                <c:pt idx="306">
                  <c:v>-9.7553956834532371E-2</c:v>
                </c:pt>
                <c:pt idx="307">
                  <c:v>-9.5913461538461545E-2</c:v>
                </c:pt>
                <c:pt idx="308">
                  <c:v>-0.10734463276836158</c:v>
                </c:pt>
                <c:pt idx="309">
                  <c:v>-0.11214689265536723</c:v>
                </c:pt>
                <c:pt idx="310">
                  <c:v>-0.10476190476190476</c:v>
                </c:pt>
                <c:pt idx="311">
                  <c:v>-0.11400560224089636</c:v>
                </c:pt>
                <c:pt idx="312">
                  <c:v>-0.13229166666666667</c:v>
                </c:pt>
                <c:pt idx="313">
                  <c:v>-0.10721649484536082</c:v>
                </c:pt>
                <c:pt idx="314">
                  <c:v>-0.10561224489795919</c:v>
                </c:pt>
                <c:pt idx="315">
                  <c:v>-9.3333333333333338E-2</c:v>
                </c:pt>
                <c:pt idx="316">
                  <c:v>-0.10306513409961686</c:v>
                </c:pt>
                <c:pt idx="317">
                  <c:v>-0.11384615384615385</c:v>
                </c:pt>
                <c:pt idx="318">
                  <c:v>-0.11333333333333333</c:v>
                </c:pt>
                <c:pt idx="319">
                  <c:v>-0.12365591397849462</c:v>
                </c:pt>
                <c:pt idx="320">
                  <c:v>-0.11981132075471698</c:v>
                </c:pt>
                <c:pt idx="321">
                  <c:v>-0.12254901960784313</c:v>
                </c:pt>
                <c:pt idx="322">
                  <c:v>-0.12913165266106444</c:v>
                </c:pt>
                <c:pt idx="323">
                  <c:v>-0.13333333333333333</c:v>
                </c:pt>
                <c:pt idx="324">
                  <c:v>-0.13286713286713286</c:v>
                </c:pt>
                <c:pt idx="325">
                  <c:v>-0.12372372372372373</c:v>
                </c:pt>
                <c:pt idx="326">
                  <c:v>-0.12680851063829787</c:v>
                </c:pt>
                <c:pt idx="327">
                  <c:v>-0.16585365853658537</c:v>
                </c:pt>
                <c:pt idx="328">
                  <c:v>-0.13521739130434782</c:v>
                </c:pt>
                <c:pt idx="329">
                  <c:v>-0.14676616915422885</c:v>
                </c:pt>
                <c:pt idx="330">
                  <c:v>-0.1419607843137255</c:v>
                </c:pt>
                <c:pt idx="331">
                  <c:v>-0.14115805946791862</c:v>
                </c:pt>
                <c:pt idx="332">
                  <c:v>-0.15060240963855423</c:v>
                </c:pt>
                <c:pt idx="333">
                  <c:v>-0.15392156862745099</c:v>
                </c:pt>
                <c:pt idx="334">
                  <c:v>-0.1362962962962963</c:v>
                </c:pt>
                <c:pt idx="335">
                  <c:v>-0.1598360655737705</c:v>
                </c:pt>
                <c:pt idx="336">
                  <c:v>-0.16273504273504275</c:v>
                </c:pt>
                <c:pt idx="337">
                  <c:v>-0.16666666666666666</c:v>
                </c:pt>
                <c:pt idx="338">
                  <c:v>-0.17635135135135135</c:v>
                </c:pt>
                <c:pt idx="339">
                  <c:v>-0.14218749999999999</c:v>
                </c:pt>
                <c:pt idx="340">
                  <c:v>-0.13263888888888889</c:v>
                </c:pt>
                <c:pt idx="341">
                  <c:v>-0.21111111111111111</c:v>
                </c:pt>
                <c:pt idx="342">
                  <c:v>-0.16258064516129031</c:v>
                </c:pt>
                <c:pt idx="343">
                  <c:v>-0.15391705069124423</c:v>
                </c:pt>
                <c:pt idx="344">
                  <c:v>-0.19517543859649122</c:v>
                </c:pt>
                <c:pt idx="345">
                  <c:v>-0.17611111111111111</c:v>
                </c:pt>
                <c:pt idx="346">
                  <c:v>-0.1653968253968254</c:v>
                </c:pt>
                <c:pt idx="347">
                  <c:v>-0.15448275862068966</c:v>
                </c:pt>
                <c:pt idx="348">
                  <c:v>-0.16888888888888889</c:v>
                </c:pt>
                <c:pt idx="349">
                  <c:v>-0.14785714285714285</c:v>
                </c:pt>
                <c:pt idx="350">
                  <c:v>-0.21309523809523809</c:v>
                </c:pt>
                <c:pt idx="351">
                  <c:v>-0.18717948717948718</c:v>
                </c:pt>
                <c:pt idx="352">
                  <c:v>-0.20144578313253012</c:v>
                </c:pt>
                <c:pt idx="353">
                  <c:v>-0.21746031746031746</c:v>
                </c:pt>
                <c:pt idx="354">
                  <c:v>-0.22294117647058823</c:v>
                </c:pt>
                <c:pt idx="355">
                  <c:v>-0.25446009389671359</c:v>
                </c:pt>
                <c:pt idx="356">
                  <c:v>-0.24654088050314465</c:v>
                </c:pt>
                <c:pt idx="357">
                  <c:v>-0.21043478260869566</c:v>
                </c:pt>
                <c:pt idx="358">
                  <c:v>-0.20696202531645569</c:v>
                </c:pt>
                <c:pt idx="359">
                  <c:v>-0.248</c:v>
                </c:pt>
                <c:pt idx="360">
                  <c:v>-0.21044176706827308</c:v>
                </c:pt>
                <c:pt idx="361">
                  <c:v>-0.22800000000000001</c:v>
                </c:pt>
                <c:pt idx="362">
                  <c:v>-0.23735632183908045</c:v>
                </c:pt>
                <c:pt idx="363">
                  <c:v>-0.24</c:v>
                </c:pt>
                <c:pt idx="364">
                  <c:v>-0.27916666666666667</c:v>
                </c:pt>
                <c:pt idx="365">
                  <c:v>-0.21082352941176472</c:v>
                </c:pt>
                <c:pt idx="366">
                  <c:v>-0.28812500000000002</c:v>
                </c:pt>
                <c:pt idx="367">
                  <c:v>-0.23649484536082474</c:v>
                </c:pt>
                <c:pt idx="368">
                  <c:v>-0.20555555555555555</c:v>
                </c:pt>
                <c:pt idx="369">
                  <c:v>-0.28937499999999999</c:v>
                </c:pt>
                <c:pt idx="370">
                  <c:v>-0.25025641025641027</c:v>
                </c:pt>
                <c:pt idx="371">
                  <c:v>-0.27711864406779663</c:v>
                </c:pt>
                <c:pt idx="372">
                  <c:v>-0.31555555555555553</c:v>
                </c:pt>
                <c:pt idx="373">
                  <c:v>-0.26471471471471469</c:v>
                </c:pt>
                <c:pt idx="374">
                  <c:v>-0.2576419213973799</c:v>
                </c:pt>
                <c:pt idx="375">
                  <c:v>-0.25878260869565217</c:v>
                </c:pt>
                <c:pt idx="376">
                  <c:v>-0.26060606060606062</c:v>
                </c:pt>
                <c:pt idx="377">
                  <c:v>-0.32378378378378381</c:v>
                </c:pt>
                <c:pt idx="378">
                  <c:v>-0.29404761904761906</c:v>
                </c:pt>
                <c:pt idx="379">
                  <c:v>-0.30206855791962173</c:v>
                </c:pt>
                <c:pt idx="380">
                  <c:v>-0.30416666666666664</c:v>
                </c:pt>
                <c:pt idx="381">
                  <c:v>-0.28505747126436781</c:v>
                </c:pt>
                <c:pt idx="382">
                  <c:v>-0.29642857142857143</c:v>
                </c:pt>
                <c:pt idx="383">
                  <c:v>-0.29910447761194031</c:v>
                </c:pt>
                <c:pt idx="384">
                  <c:v>-0.35576923076923078</c:v>
                </c:pt>
                <c:pt idx="385">
                  <c:v>-0.34166666666666667</c:v>
                </c:pt>
                <c:pt idx="386">
                  <c:v>-0.33296296296296296</c:v>
                </c:pt>
                <c:pt idx="387">
                  <c:v>-0.33368606701940035</c:v>
                </c:pt>
                <c:pt idx="388">
                  <c:v>-0.37898550724637681</c:v>
                </c:pt>
                <c:pt idx="389">
                  <c:v>-0.34141414141414139</c:v>
                </c:pt>
                <c:pt idx="390">
                  <c:v>-0.36575757575757578</c:v>
                </c:pt>
                <c:pt idx="391">
                  <c:v>-0.35326086956521741</c:v>
                </c:pt>
                <c:pt idx="392">
                  <c:v>-0.35197132616487453</c:v>
                </c:pt>
                <c:pt idx="393">
                  <c:v>-0.37796791443850269</c:v>
                </c:pt>
                <c:pt idx="394">
                  <c:v>-0.36962962962962964</c:v>
                </c:pt>
                <c:pt idx="395">
                  <c:v>-0.42258064516129035</c:v>
                </c:pt>
                <c:pt idx="396">
                  <c:v>-0.42177419354838708</c:v>
                </c:pt>
                <c:pt idx="397">
                  <c:v>-0.47543859649122805</c:v>
                </c:pt>
                <c:pt idx="398">
                  <c:v>-0.44111111111111112</c:v>
                </c:pt>
                <c:pt idx="399">
                  <c:v>-0.51200000000000001</c:v>
                </c:pt>
                <c:pt idx="400">
                  <c:v>-0.48666666666666669</c:v>
                </c:pt>
                <c:pt idx="401">
                  <c:v>-0.52222222222222225</c:v>
                </c:pt>
                <c:pt idx="402">
                  <c:v>-0.5455882352941176</c:v>
                </c:pt>
                <c:pt idx="403">
                  <c:v>-0.65873015873015872</c:v>
                </c:pt>
                <c:pt idx="404">
                  <c:v>-0.56470588235294117</c:v>
                </c:pt>
                <c:pt idx="405">
                  <c:v>-0.62565789473684208</c:v>
                </c:pt>
                <c:pt idx="406">
                  <c:v>-0.62745098039215685</c:v>
                </c:pt>
                <c:pt idx="407">
                  <c:v>-0.70799999999999996</c:v>
                </c:pt>
                <c:pt idx="408">
                  <c:v>-0.7233716475095785</c:v>
                </c:pt>
                <c:pt idx="409">
                  <c:v>-0.85473684210526313</c:v>
                </c:pt>
                <c:pt idx="410">
                  <c:v>-0.91655328798185942</c:v>
                </c:pt>
                <c:pt idx="411">
                  <c:v>-0.89818181818181819</c:v>
                </c:pt>
                <c:pt idx="412">
                  <c:v>-0.98333333333333328</c:v>
                </c:pt>
                <c:pt idx="413">
                  <c:v>-2.4869230769230768</c:v>
                </c:pt>
                <c:pt idx="414">
                  <c:v>-3.2157142857142857</c:v>
                </c:pt>
                <c:pt idx="415">
                  <c:v>-3.5976470588235294</c:v>
                </c:pt>
              </c:numCache>
            </c:numRef>
          </c:val>
        </c:ser>
        <c:axId val="41787392"/>
        <c:axId val="41788928"/>
      </c:barChart>
      <c:catAx>
        <c:axId val="41787392"/>
        <c:scaling>
          <c:orientation val="minMax"/>
        </c:scaling>
        <c:axPos val="b"/>
        <c:tickLblPos val="nextTo"/>
        <c:crossAx val="41788928"/>
        <c:crosses val="autoZero"/>
        <c:auto val="1"/>
        <c:lblAlgn val="ctr"/>
        <c:lblOffset val="100"/>
      </c:catAx>
      <c:valAx>
        <c:axId val="41788928"/>
        <c:scaling>
          <c:orientation val="minMax"/>
        </c:scaling>
        <c:axPos val="l"/>
        <c:majorGridlines/>
        <c:numFmt formatCode="General" sourceLinked="1"/>
        <c:tickLblPos val="nextTo"/>
        <c:crossAx val="41787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542925</xdr:colOff>
      <xdr:row>0</xdr:row>
      <xdr:rowOff>66675</xdr:rowOff>
    </xdr:from>
    <xdr:to>
      <xdr:col>20</xdr:col>
      <xdr:colOff>238125</xdr:colOff>
      <xdr:row>14</xdr:row>
      <xdr:rowOff>142875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16</xdr:row>
      <xdr:rowOff>0</xdr:rowOff>
    </xdr:from>
    <xdr:to>
      <xdr:col>20</xdr:col>
      <xdr:colOff>327660</xdr:colOff>
      <xdr:row>30</xdr:row>
      <xdr:rowOff>99060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25200" y="3048000"/>
          <a:ext cx="4594860" cy="276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10</xdr:col>
      <xdr:colOff>22860</xdr:colOff>
      <xdr:row>14</xdr:row>
      <xdr:rowOff>99060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0"/>
          <a:ext cx="4594860" cy="276606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14</xdr:row>
      <xdr:rowOff>152400</xdr:rowOff>
    </xdr:from>
    <xdr:to>
      <xdr:col>10</xdr:col>
      <xdr:colOff>241935</xdr:colOff>
      <xdr:row>29</xdr:row>
      <xdr:rowOff>60960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67075" y="2819400"/>
          <a:ext cx="4594860" cy="276606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0</xdr:row>
      <xdr:rowOff>152400</xdr:rowOff>
    </xdr:from>
    <xdr:to>
      <xdr:col>10</xdr:col>
      <xdr:colOff>175260</xdr:colOff>
      <xdr:row>15</xdr:row>
      <xdr:rowOff>60960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0400" y="152400"/>
          <a:ext cx="4594860" cy="27660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AppData/Roaming/Microsoft/Excel/Produccion%20Astroflores%20a%20la%20Semana%2029_seguimient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AppData/Roaming/Microsoft/Excel/Produccion%20Astroflores%20a%20la%20Semana%2028_seguimien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AppData/Roaming/Microsoft/Excel/Produccion%20Astroflores%20BL25-26-27-28%20a%20la%20Semana%2027_Seguimien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AppData/Roaming/Microsoft/Excel/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yecto_todas_variedades%20(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29002SOMERSET</v>
          </cell>
          <cell r="H2">
            <v>7248</v>
          </cell>
          <cell r="I2">
            <v>8440</v>
          </cell>
        </row>
        <row r="3">
          <cell r="G3" t="str">
            <v>29004BELLINA</v>
          </cell>
          <cell r="H3">
            <v>1477</v>
          </cell>
          <cell r="I3">
            <v>1965</v>
          </cell>
        </row>
        <row r="4">
          <cell r="G4" t="str">
            <v>29005ELBA</v>
          </cell>
          <cell r="H4">
            <v>4832</v>
          </cell>
          <cell r="I4">
            <v>5700</v>
          </cell>
        </row>
        <row r="5">
          <cell r="G5" t="str">
            <v>29005HOT BUBBLES</v>
          </cell>
          <cell r="H5">
            <v>878</v>
          </cell>
          <cell r="I5">
            <v>1080</v>
          </cell>
        </row>
        <row r="6">
          <cell r="G6" t="str">
            <v>29005SUSPIRO</v>
          </cell>
          <cell r="H6">
            <v>3078</v>
          </cell>
          <cell r="I6">
            <v>3090</v>
          </cell>
        </row>
        <row r="7">
          <cell r="G7" t="str">
            <v>29007SNOW BUBBLES</v>
          </cell>
          <cell r="H7">
            <v>547</v>
          </cell>
          <cell r="I7">
            <v>1580</v>
          </cell>
        </row>
        <row r="8">
          <cell r="G8" t="str">
            <v>29009HOT BUBBLES</v>
          </cell>
          <cell r="H8">
            <v>6649</v>
          </cell>
          <cell r="I8">
            <v>7400</v>
          </cell>
        </row>
        <row r="9">
          <cell r="G9" t="str">
            <v>29014FRUITY BUBBLES</v>
          </cell>
          <cell r="H9">
            <v>2955</v>
          </cell>
          <cell r="I9">
            <v>4425</v>
          </cell>
        </row>
        <row r="10">
          <cell r="G10" t="str">
            <v>29015FELLINI</v>
          </cell>
          <cell r="H10">
            <v>4368</v>
          </cell>
          <cell r="I10">
            <v>7680</v>
          </cell>
        </row>
        <row r="11">
          <cell r="G11" t="str">
            <v>29016GOOD PEACH</v>
          </cell>
          <cell r="H11">
            <v>2343</v>
          </cell>
          <cell r="I11">
            <v>3360</v>
          </cell>
        </row>
        <row r="12">
          <cell r="G12" t="str">
            <v>29016GOOD YELLOW</v>
          </cell>
          <cell r="H12">
            <v>2354</v>
          </cell>
          <cell r="I12">
            <v>4680</v>
          </cell>
        </row>
        <row r="13">
          <cell r="G13" t="str">
            <v>29017ORANGE STAR</v>
          </cell>
          <cell r="H13">
            <v>1629</v>
          </cell>
          <cell r="I13">
            <v>1800</v>
          </cell>
        </row>
        <row r="14">
          <cell r="G14" t="str">
            <v>29018COSMO</v>
          </cell>
          <cell r="H14">
            <v>3571</v>
          </cell>
          <cell r="I14">
            <v>5275</v>
          </cell>
        </row>
        <row r="15">
          <cell r="G15" t="str">
            <v>29018RUBICON</v>
          </cell>
          <cell r="H15">
            <v>3970</v>
          </cell>
          <cell r="I15">
            <v>3540</v>
          </cell>
        </row>
        <row r="16">
          <cell r="G16" t="str">
            <v>29019BELLINA</v>
          </cell>
          <cell r="H16">
            <v>1530</v>
          </cell>
          <cell r="I16">
            <v>1740</v>
          </cell>
        </row>
        <row r="17">
          <cell r="G17" t="str">
            <v>29020SUMMER DANCE</v>
          </cell>
          <cell r="H17">
            <v>2650</v>
          </cell>
          <cell r="I17">
            <v>3675</v>
          </cell>
        </row>
        <row r="18">
          <cell r="G18" t="str">
            <v>29021ELEGANT ROSEVER</v>
          </cell>
          <cell r="H18">
            <v>471</v>
          </cell>
          <cell r="I18">
            <v>540</v>
          </cell>
        </row>
        <row r="19">
          <cell r="G19" t="str">
            <v>29021FLAME CLUB</v>
          </cell>
          <cell r="H19">
            <v>1505</v>
          </cell>
          <cell r="I19">
            <v>1450</v>
          </cell>
        </row>
        <row r="20">
          <cell r="G20" t="str">
            <v>29021KELLY</v>
          </cell>
          <cell r="H20">
            <v>587</v>
          </cell>
          <cell r="I20">
            <v>450</v>
          </cell>
        </row>
        <row r="21">
          <cell r="G21" t="str">
            <v>29021LEILA</v>
          </cell>
          <cell r="H21">
            <v>2510</v>
          </cell>
          <cell r="I21">
            <v>700</v>
          </cell>
        </row>
        <row r="22">
          <cell r="G22" t="str">
            <v>29021SNOW BUBBLES</v>
          </cell>
          <cell r="H22">
            <v>1359</v>
          </cell>
          <cell r="I22">
            <v>2440</v>
          </cell>
        </row>
        <row r="23">
          <cell r="G23" t="str">
            <v>29022FRUITY BUBBLES</v>
          </cell>
          <cell r="H23">
            <v>4330</v>
          </cell>
          <cell r="I23">
            <v>4650</v>
          </cell>
        </row>
        <row r="24">
          <cell r="G24" t="str">
            <v>29022GOOD PEACH</v>
          </cell>
          <cell r="H24">
            <v>1689</v>
          </cell>
          <cell r="I24">
            <v>2070</v>
          </cell>
        </row>
        <row r="25">
          <cell r="G25" t="str">
            <v>29022MIRABEL</v>
          </cell>
          <cell r="H25">
            <v>1181</v>
          </cell>
          <cell r="I25">
            <v>2180</v>
          </cell>
        </row>
        <row r="26">
          <cell r="G26" t="str">
            <v>29030MIRABEL</v>
          </cell>
          <cell r="H26">
            <v>2816</v>
          </cell>
          <cell r="I26">
            <v>4980</v>
          </cell>
        </row>
        <row r="27">
          <cell r="G27" t="str">
            <v>29030SOMERSET</v>
          </cell>
          <cell r="H27">
            <v>2709</v>
          </cell>
          <cell r="I27">
            <v>4000</v>
          </cell>
        </row>
        <row r="28">
          <cell r="G28" t="str">
            <v>2903182989</v>
          </cell>
          <cell r="H28">
            <v>823</v>
          </cell>
          <cell r="I28">
            <v>780</v>
          </cell>
        </row>
        <row r="29">
          <cell r="G29" t="str">
            <v>29031RUBICON</v>
          </cell>
          <cell r="H29">
            <v>2258</v>
          </cell>
          <cell r="I29">
            <v>2700</v>
          </cell>
        </row>
        <row r="30">
          <cell r="G30" t="str">
            <v>29031SOMERSET</v>
          </cell>
          <cell r="H30">
            <v>971</v>
          </cell>
          <cell r="I30">
            <v>960</v>
          </cell>
        </row>
        <row r="31">
          <cell r="G31" t="str">
            <v>29031VELVET BLOSSOMS</v>
          </cell>
          <cell r="H31">
            <v>313</v>
          </cell>
          <cell r="I31">
            <v>760</v>
          </cell>
        </row>
        <row r="32">
          <cell r="G32" t="str">
            <v>29032ELBA</v>
          </cell>
          <cell r="H32">
            <v>1993</v>
          </cell>
          <cell r="I32">
            <v>3090</v>
          </cell>
        </row>
        <row r="33">
          <cell r="G33" t="str">
            <v>29032MIRABEL</v>
          </cell>
          <cell r="H33">
            <v>1538</v>
          </cell>
          <cell r="I33">
            <v>1880</v>
          </cell>
        </row>
        <row r="34">
          <cell r="G34" t="str">
            <v>29033CREAMY FOLIES</v>
          </cell>
          <cell r="H34">
            <v>809</v>
          </cell>
          <cell r="I34">
            <v>780</v>
          </cell>
        </row>
        <row r="35">
          <cell r="G35" t="str">
            <v>29033HOT BUBBLES</v>
          </cell>
          <cell r="H35">
            <v>2523</v>
          </cell>
          <cell r="I35">
            <v>5780</v>
          </cell>
        </row>
        <row r="36">
          <cell r="G36" t="str">
            <v>29001BELIEVE IN PINK</v>
          </cell>
          <cell r="H36">
            <v>1668</v>
          </cell>
          <cell r="I36">
            <v>1350</v>
          </cell>
        </row>
        <row r="37">
          <cell r="G37" t="str">
            <v>29001EXPLORER</v>
          </cell>
          <cell r="H37">
            <v>3072</v>
          </cell>
          <cell r="I37">
            <v>4000</v>
          </cell>
        </row>
        <row r="38">
          <cell r="G38" t="str">
            <v>29001GRACE KELLY</v>
          </cell>
          <cell r="H38">
            <v>1695</v>
          </cell>
          <cell r="I38">
            <v>2430</v>
          </cell>
        </row>
        <row r="39">
          <cell r="G39" t="str">
            <v>29001LIGHT HOUSE</v>
          </cell>
          <cell r="H39">
            <v>1895</v>
          </cell>
          <cell r="I39">
            <v>2850</v>
          </cell>
        </row>
        <row r="40">
          <cell r="G40" t="str">
            <v>29001LUMIA</v>
          </cell>
          <cell r="H40">
            <v>1911</v>
          </cell>
          <cell r="I40">
            <v>3300</v>
          </cell>
        </row>
        <row r="41">
          <cell r="G41" t="str">
            <v>29001MOMENTUM</v>
          </cell>
          <cell r="H41">
            <v>3061</v>
          </cell>
          <cell r="I41">
            <v>5275</v>
          </cell>
        </row>
        <row r="42">
          <cell r="G42" t="str">
            <v>29002SWEETNESS</v>
          </cell>
          <cell r="H42">
            <v>4440</v>
          </cell>
          <cell r="I42">
            <v>6870</v>
          </cell>
        </row>
        <row r="43">
          <cell r="G43" t="str">
            <v>29003CABARET</v>
          </cell>
          <cell r="H43">
            <v>7262</v>
          </cell>
          <cell r="I43">
            <v>6870</v>
          </cell>
        </row>
        <row r="44">
          <cell r="G44" t="str">
            <v>29003DEEP PURPLE</v>
          </cell>
          <cell r="H44">
            <v>17839</v>
          </cell>
          <cell r="I44">
            <v>8820</v>
          </cell>
        </row>
        <row r="45">
          <cell r="G45" t="str">
            <v>29003EXPLORER</v>
          </cell>
          <cell r="H45">
            <v>1627</v>
          </cell>
          <cell r="I45">
            <v>2125</v>
          </cell>
        </row>
        <row r="46">
          <cell r="G46" t="str">
            <v>29003JOCKER</v>
          </cell>
          <cell r="H46">
            <v>776</v>
          </cell>
          <cell r="I46">
            <v>1125</v>
          </cell>
        </row>
        <row r="47">
          <cell r="G47" t="str">
            <v>29003QUICKSAND</v>
          </cell>
          <cell r="H47">
            <v>1531</v>
          </cell>
          <cell r="I47">
            <v>1860</v>
          </cell>
        </row>
        <row r="48">
          <cell r="G48" t="str">
            <v>29004COTOPAXI</v>
          </cell>
          <cell r="H48">
            <v>1026</v>
          </cell>
          <cell r="I48">
            <v>900</v>
          </cell>
        </row>
        <row r="49">
          <cell r="G49" t="str">
            <v>29004DEEP PURPLE</v>
          </cell>
          <cell r="H49">
            <v>20002</v>
          </cell>
          <cell r="I49">
            <v>12060</v>
          </cell>
        </row>
        <row r="50">
          <cell r="G50" t="str">
            <v>29004HOT EXPLORER</v>
          </cell>
          <cell r="H50">
            <v>2179</v>
          </cell>
          <cell r="I50">
            <v>1675</v>
          </cell>
        </row>
        <row r="51">
          <cell r="G51" t="str">
            <v>29004HOT MERENGUE</v>
          </cell>
          <cell r="H51">
            <v>2494</v>
          </cell>
          <cell r="I51">
            <v>2610</v>
          </cell>
        </row>
        <row r="52">
          <cell r="G52" t="str">
            <v>29004SWEETNESS</v>
          </cell>
          <cell r="H52">
            <v>681</v>
          </cell>
          <cell r="I52">
            <v>540</v>
          </cell>
        </row>
        <row r="53">
          <cell r="G53" t="str">
            <v>29005EXPLORER</v>
          </cell>
          <cell r="H53">
            <v>1115</v>
          </cell>
          <cell r="I53">
            <v>1425</v>
          </cell>
        </row>
        <row r="54">
          <cell r="G54" t="str">
            <v>29005GOLDFINCH</v>
          </cell>
          <cell r="H54">
            <v>1220</v>
          </cell>
          <cell r="I54">
            <v>900</v>
          </cell>
        </row>
        <row r="55">
          <cell r="G55" t="str">
            <v>29005JOCKER</v>
          </cell>
          <cell r="H55">
            <v>1638</v>
          </cell>
          <cell r="I55">
            <v>2375</v>
          </cell>
        </row>
        <row r="56">
          <cell r="G56" t="str">
            <v>29005VENDELA</v>
          </cell>
          <cell r="H56">
            <v>1569</v>
          </cell>
          <cell r="I56">
            <v>1710</v>
          </cell>
        </row>
        <row r="57">
          <cell r="G57" t="str">
            <v>29006ATOMIC</v>
          </cell>
          <cell r="H57">
            <v>1607</v>
          </cell>
          <cell r="I57">
            <v>950</v>
          </cell>
        </row>
        <row r="58">
          <cell r="G58" t="str">
            <v>29006EXPLORER</v>
          </cell>
          <cell r="H58">
            <v>5331</v>
          </cell>
          <cell r="I58">
            <v>5100</v>
          </cell>
        </row>
        <row r="59">
          <cell r="G59" t="str">
            <v>29006MONDIAL</v>
          </cell>
          <cell r="H59">
            <v>5459</v>
          </cell>
          <cell r="I59">
            <v>9500</v>
          </cell>
        </row>
        <row r="60">
          <cell r="G60" t="str">
            <v>29007COTOPAXI</v>
          </cell>
          <cell r="H60">
            <v>6528</v>
          </cell>
          <cell r="I60">
            <v>5850</v>
          </cell>
        </row>
        <row r="61">
          <cell r="G61" t="str">
            <v>29007REDIANT</v>
          </cell>
          <cell r="H61">
            <v>1115</v>
          </cell>
          <cell r="I61">
            <v>2160</v>
          </cell>
        </row>
        <row r="62">
          <cell r="G62" t="str">
            <v>29007VENDELA</v>
          </cell>
          <cell r="H62">
            <v>9468</v>
          </cell>
          <cell r="I62">
            <v>10650</v>
          </cell>
        </row>
        <row r="63">
          <cell r="G63" t="str">
            <v>29008DEEP PURPLE</v>
          </cell>
          <cell r="H63">
            <v>7862</v>
          </cell>
          <cell r="I63">
            <v>5670</v>
          </cell>
        </row>
        <row r="64">
          <cell r="G64" t="str">
            <v>29008FREEDOM</v>
          </cell>
          <cell r="H64">
            <v>4872</v>
          </cell>
          <cell r="I64">
            <v>2610</v>
          </cell>
        </row>
        <row r="65">
          <cell r="G65" t="str">
            <v>29008JOCKER</v>
          </cell>
          <cell r="H65">
            <v>3779</v>
          </cell>
          <cell r="I65">
            <v>5750</v>
          </cell>
        </row>
        <row r="66">
          <cell r="G66" t="str">
            <v>29010COOLDOWN</v>
          </cell>
          <cell r="H66">
            <v>1176</v>
          </cell>
          <cell r="I66">
            <v>3825</v>
          </cell>
        </row>
        <row r="67">
          <cell r="G67" t="str">
            <v>29010VIOLET HILL</v>
          </cell>
          <cell r="H67">
            <v>1821</v>
          </cell>
          <cell r="I67">
            <v>5850</v>
          </cell>
        </row>
        <row r="68">
          <cell r="G68" t="str">
            <v>29011BRIGHTON</v>
          </cell>
          <cell r="H68">
            <v>2643</v>
          </cell>
          <cell r="I68">
            <v>3550</v>
          </cell>
        </row>
        <row r="69">
          <cell r="G69" t="str">
            <v>29011CANDLELIGHT</v>
          </cell>
          <cell r="H69">
            <v>3744</v>
          </cell>
          <cell r="I69">
            <v>4640</v>
          </cell>
        </row>
        <row r="70">
          <cell r="G70" t="str">
            <v>29011CAYENNE</v>
          </cell>
          <cell r="H70">
            <v>1457</v>
          </cell>
          <cell r="I70">
            <v>1530</v>
          </cell>
        </row>
        <row r="71">
          <cell r="G71" t="str">
            <v>29011LUMIA</v>
          </cell>
          <cell r="H71">
            <v>1648</v>
          </cell>
          <cell r="I71">
            <v>2640</v>
          </cell>
        </row>
        <row r="72">
          <cell r="G72" t="str">
            <v>29011STARDUST</v>
          </cell>
          <cell r="H72">
            <v>3691</v>
          </cell>
          <cell r="I72">
            <v>4525</v>
          </cell>
        </row>
        <row r="73">
          <cell r="G73" t="str">
            <v>29012DEEP PURPLE</v>
          </cell>
          <cell r="H73">
            <v>17878</v>
          </cell>
          <cell r="I73">
            <v>19410</v>
          </cell>
        </row>
        <row r="74">
          <cell r="G74" t="str">
            <v>29012LIGHT HOUSE</v>
          </cell>
          <cell r="H74">
            <v>1529</v>
          </cell>
          <cell r="I74">
            <v>2100</v>
          </cell>
        </row>
        <row r="75">
          <cell r="G75" t="str">
            <v>29013COUNTRY BLUES</v>
          </cell>
          <cell r="H75">
            <v>1441</v>
          </cell>
          <cell r="I75">
            <v>1400</v>
          </cell>
        </row>
        <row r="76">
          <cell r="G76" t="str">
            <v>29013LORRAINE</v>
          </cell>
          <cell r="H76">
            <v>2980</v>
          </cell>
          <cell r="I76">
            <v>4025</v>
          </cell>
        </row>
        <row r="77">
          <cell r="G77" t="str">
            <v>29013LUMIA</v>
          </cell>
          <cell r="H77">
            <v>687</v>
          </cell>
          <cell r="I77">
            <v>960</v>
          </cell>
        </row>
        <row r="78">
          <cell r="G78" t="str">
            <v>29013VENDELA</v>
          </cell>
          <cell r="H78">
            <v>9212</v>
          </cell>
          <cell r="I78">
            <v>12150</v>
          </cell>
        </row>
        <row r="79">
          <cell r="G79" t="str">
            <v>29014STARDUST</v>
          </cell>
          <cell r="H79">
            <v>6572</v>
          </cell>
          <cell r="I79">
            <v>8575</v>
          </cell>
        </row>
        <row r="80">
          <cell r="G80" t="str">
            <v>29015JOCKER</v>
          </cell>
          <cell r="H80">
            <v>3730</v>
          </cell>
          <cell r="I80">
            <v>6750</v>
          </cell>
        </row>
        <row r="81">
          <cell r="G81" t="str">
            <v>29016DREAM IN PEACH</v>
          </cell>
          <cell r="H81">
            <v>1511</v>
          </cell>
          <cell r="I81">
            <v>1800</v>
          </cell>
        </row>
        <row r="82">
          <cell r="G82" t="str">
            <v>29016NINA</v>
          </cell>
          <cell r="H82">
            <v>2700</v>
          </cell>
          <cell r="I82">
            <v>3300</v>
          </cell>
        </row>
        <row r="83">
          <cell r="G83" t="str">
            <v>29017FREEDOM</v>
          </cell>
          <cell r="H83">
            <v>6563</v>
          </cell>
          <cell r="I83">
            <v>5400</v>
          </cell>
        </row>
        <row r="84">
          <cell r="G84" t="str">
            <v>29017GOLDFINCH</v>
          </cell>
          <cell r="H84">
            <v>2997</v>
          </cell>
          <cell r="I84">
            <v>3725</v>
          </cell>
        </row>
        <row r="85">
          <cell r="G85" t="str">
            <v>29018BRIGHTON</v>
          </cell>
          <cell r="H85">
            <v>2421</v>
          </cell>
          <cell r="I85">
            <v>2475</v>
          </cell>
        </row>
        <row r="86">
          <cell r="G86" t="str">
            <v>29019BRIGHTON</v>
          </cell>
          <cell r="H86">
            <v>8494</v>
          </cell>
          <cell r="I86">
            <v>9375</v>
          </cell>
        </row>
        <row r="87">
          <cell r="G87" t="str">
            <v>29019TABATHA</v>
          </cell>
          <cell r="H87">
            <v>2625</v>
          </cell>
          <cell r="I87">
            <v>2490</v>
          </cell>
        </row>
        <row r="88">
          <cell r="G88" t="str">
            <v>29020BRIGHTON</v>
          </cell>
          <cell r="H88">
            <v>5497</v>
          </cell>
          <cell r="I88">
            <v>5500</v>
          </cell>
        </row>
        <row r="89">
          <cell r="G89" t="str">
            <v>29020TYCOON</v>
          </cell>
          <cell r="H89">
            <v>1073</v>
          </cell>
          <cell r="I89">
            <v>1350</v>
          </cell>
        </row>
        <row r="90">
          <cell r="G90" t="str">
            <v>29021SHOW GIRL</v>
          </cell>
          <cell r="H90">
            <v>1179</v>
          </cell>
          <cell r="I90">
            <v>1200</v>
          </cell>
        </row>
        <row r="91">
          <cell r="G91" t="str">
            <v>29022CORAL REEF</v>
          </cell>
          <cell r="H91">
            <v>2216</v>
          </cell>
          <cell r="I91">
            <v>2375</v>
          </cell>
        </row>
        <row r="92">
          <cell r="G92" t="str">
            <v>29023COTOPAXI</v>
          </cell>
          <cell r="H92">
            <v>6263</v>
          </cell>
          <cell r="I92">
            <v>6330</v>
          </cell>
        </row>
        <row r="93">
          <cell r="G93" t="str">
            <v>29023FRUTTETO</v>
          </cell>
          <cell r="H93">
            <v>7346</v>
          </cell>
          <cell r="I93">
            <v>6960</v>
          </cell>
        </row>
        <row r="94">
          <cell r="G94" t="str">
            <v>29024COTOPAXI</v>
          </cell>
          <cell r="H94">
            <v>3040</v>
          </cell>
          <cell r="I94">
            <v>4440</v>
          </cell>
        </row>
        <row r="95">
          <cell r="G95" t="str">
            <v>29024SWEETNESS</v>
          </cell>
          <cell r="H95">
            <v>1344</v>
          </cell>
          <cell r="I95">
            <v>2220</v>
          </cell>
        </row>
        <row r="96">
          <cell r="G96" t="str">
            <v>29024TYCOON</v>
          </cell>
          <cell r="H96">
            <v>3702</v>
          </cell>
          <cell r="I96">
            <v>5070</v>
          </cell>
        </row>
        <row r="97">
          <cell r="G97" t="str">
            <v>29025PINK MONDIAL</v>
          </cell>
          <cell r="H97">
            <v>4323</v>
          </cell>
          <cell r="I97">
            <v>7400</v>
          </cell>
        </row>
        <row r="98">
          <cell r="G98" t="str">
            <v>29026LOLA</v>
          </cell>
          <cell r="H98">
            <v>5404</v>
          </cell>
          <cell r="I98">
            <v>3400</v>
          </cell>
        </row>
        <row r="99">
          <cell r="G99" t="str">
            <v>29026PALOMA</v>
          </cell>
          <cell r="H99">
            <v>5294</v>
          </cell>
          <cell r="I99">
            <v>4675</v>
          </cell>
        </row>
        <row r="100">
          <cell r="G100" t="str">
            <v>29027SATISFACTION</v>
          </cell>
          <cell r="H100">
            <v>3111</v>
          </cell>
          <cell r="I100">
            <v>7230</v>
          </cell>
        </row>
        <row r="101">
          <cell r="G101" t="str">
            <v>29027TIFFANY</v>
          </cell>
          <cell r="H101">
            <v>2772</v>
          </cell>
          <cell r="I101">
            <v>6360</v>
          </cell>
        </row>
        <row r="102">
          <cell r="G102" t="str">
            <v>29028COTOPAXI</v>
          </cell>
          <cell r="H102">
            <v>3648</v>
          </cell>
          <cell r="I102">
            <v>5010</v>
          </cell>
        </row>
        <row r="103">
          <cell r="G103" t="str">
            <v>29028DEEP PURPLE</v>
          </cell>
          <cell r="H103">
            <v>8298</v>
          </cell>
          <cell r="I103">
            <v>7260</v>
          </cell>
        </row>
        <row r="104">
          <cell r="G104" t="str">
            <v>29029PINK FLOYD</v>
          </cell>
          <cell r="H104">
            <v>3452</v>
          </cell>
          <cell r="I104">
            <v>4350</v>
          </cell>
        </row>
        <row r="105">
          <cell r="G105" t="str">
            <v>29030EXPLORER</v>
          </cell>
          <cell r="H105">
            <v>2164</v>
          </cell>
          <cell r="I105">
            <v>2600</v>
          </cell>
        </row>
        <row r="106">
          <cell r="G106" t="str">
            <v>30002SOMERSET</v>
          </cell>
          <cell r="H106">
            <v>12147</v>
          </cell>
          <cell r="I106">
            <v>8440</v>
          </cell>
        </row>
        <row r="107">
          <cell r="G107" t="str">
            <v>30004BELLINA</v>
          </cell>
          <cell r="H107">
            <v>2006</v>
          </cell>
          <cell r="I107">
            <v>1965</v>
          </cell>
        </row>
        <row r="108">
          <cell r="G108" t="str">
            <v>30005ELBA</v>
          </cell>
          <cell r="H108">
            <v>6970</v>
          </cell>
          <cell r="I108">
            <v>5700</v>
          </cell>
        </row>
        <row r="109">
          <cell r="G109" t="str">
            <v>30005HOT BUBBLES</v>
          </cell>
          <cell r="H109">
            <v>988</v>
          </cell>
          <cell r="I109">
            <v>1080</v>
          </cell>
        </row>
        <row r="110">
          <cell r="G110" t="str">
            <v>30005SUSPIRO</v>
          </cell>
          <cell r="H110">
            <v>3359</v>
          </cell>
          <cell r="I110">
            <v>3090</v>
          </cell>
        </row>
        <row r="111">
          <cell r="G111" t="str">
            <v>30007SNOW BUBBLES</v>
          </cell>
          <cell r="H111">
            <v>750</v>
          </cell>
          <cell r="I111">
            <v>1580</v>
          </cell>
        </row>
        <row r="112">
          <cell r="G112" t="str">
            <v>30009HOT BUBBLES</v>
          </cell>
          <cell r="H112">
            <v>7606</v>
          </cell>
          <cell r="I112">
            <v>7400</v>
          </cell>
        </row>
        <row r="113">
          <cell r="G113" t="str">
            <v>30014FRUITY BUBBLES</v>
          </cell>
          <cell r="H113">
            <v>3469</v>
          </cell>
          <cell r="I113">
            <v>4425</v>
          </cell>
        </row>
        <row r="114">
          <cell r="G114" t="str">
            <v>30015FELLINI</v>
          </cell>
          <cell r="H114">
            <v>5859</v>
          </cell>
          <cell r="I114">
            <v>7680</v>
          </cell>
        </row>
        <row r="115">
          <cell r="G115" t="str">
            <v>30016GOOD PEACH</v>
          </cell>
          <cell r="H115">
            <v>2922</v>
          </cell>
          <cell r="I115">
            <v>3360</v>
          </cell>
        </row>
        <row r="116">
          <cell r="G116" t="str">
            <v>30016GOOD YELLOW</v>
          </cell>
          <cell r="H116">
            <v>2931</v>
          </cell>
          <cell r="I116">
            <v>4680</v>
          </cell>
        </row>
        <row r="117">
          <cell r="G117" t="str">
            <v>30017ORANGE STAR</v>
          </cell>
          <cell r="H117">
            <v>2020</v>
          </cell>
          <cell r="I117">
            <v>1800</v>
          </cell>
        </row>
        <row r="118">
          <cell r="G118" t="str">
            <v>30018COSMO</v>
          </cell>
          <cell r="H118">
            <v>4540</v>
          </cell>
          <cell r="I118">
            <v>5275</v>
          </cell>
        </row>
        <row r="119">
          <cell r="G119" t="str">
            <v>30018RUBICON</v>
          </cell>
          <cell r="H119">
            <v>4301</v>
          </cell>
          <cell r="I119">
            <v>3540</v>
          </cell>
        </row>
        <row r="120">
          <cell r="G120" t="str">
            <v>30019BELLINA</v>
          </cell>
          <cell r="H120">
            <v>2087</v>
          </cell>
          <cell r="I120">
            <v>1740</v>
          </cell>
        </row>
        <row r="121">
          <cell r="G121" t="str">
            <v>30020SUMMER DANCE</v>
          </cell>
          <cell r="H121">
            <v>3924</v>
          </cell>
          <cell r="I121">
            <v>3675</v>
          </cell>
        </row>
        <row r="122">
          <cell r="G122" t="str">
            <v>30021ELEGANT ROSEVER</v>
          </cell>
          <cell r="H122">
            <v>847</v>
          </cell>
          <cell r="I122">
            <v>540</v>
          </cell>
        </row>
        <row r="123">
          <cell r="G123" t="str">
            <v>30021FLAME CLUB</v>
          </cell>
          <cell r="H123">
            <v>1953</v>
          </cell>
          <cell r="I123">
            <v>1450</v>
          </cell>
        </row>
        <row r="124">
          <cell r="G124" t="str">
            <v>30021KELLY</v>
          </cell>
          <cell r="H124">
            <v>626</v>
          </cell>
          <cell r="I124">
            <v>450</v>
          </cell>
        </row>
        <row r="125">
          <cell r="G125" t="str">
            <v>30021LEILA</v>
          </cell>
          <cell r="H125">
            <v>2843</v>
          </cell>
          <cell r="I125">
            <v>700</v>
          </cell>
        </row>
        <row r="126">
          <cell r="G126" t="str">
            <v>30021SNOW BUBBLES</v>
          </cell>
          <cell r="H126">
            <v>1897</v>
          </cell>
          <cell r="I126">
            <v>2440</v>
          </cell>
        </row>
        <row r="127">
          <cell r="G127" t="str">
            <v>30022FRUITY BUBBLES</v>
          </cell>
          <cell r="H127">
            <v>4956</v>
          </cell>
          <cell r="I127">
            <v>4650</v>
          </cell>
        </row>
        <row r="128">
          <cell r="G128" t="str">
            <v>30022GOOD PEACH</v>
          </cell>
          <cell r="H128">
            <v>2113</v>
          </cell>
          <cell r="I128">
            <v>2070</v>
          </cell>
        </row>
        <row r="129">
          <cell r="G129" t="str">
            <v>30022MIRABEL</v>
          </cell>
          <cell r="H129">
            <v>1148</v>
          </cell>
          <cell r="I129">
            <v>2180</v>
          </cell>
        </row>
        <row r="130">
          <cell r="G130" t="str">
            <v>30030MIRABEL</v>
          </cell>
          <cell r="H130">
            <v>3017</v>
          </cell>
          <cell r="I130">
            <v>4980</v>
          </cell>
        </row>
        <row r="131">
          <cell r="G131" t="str">
            <v>30030SOMERSET</v>
          </cell>
          <cell r="H131">
            <v>4493</v>
          </cell>
          <cell r="I131">
            <v>4000</v>
          </cell>
        </row>
        <row r="132">
          <cell r="G132" t="str">
            <v>3003182989</v>
          </cell>
          <cell r="H132">
            <v>1054</v>
          </cell>
          <cell r="I132">
            <v>780</v>
          </cell>
        </row>
        <row r="133">
          <cell r="G133" t="str">
            <v>30031RUBICON</v>
          </cell>
          <cell r="H133">
            <v>2353</v>
          </cell>
          <cell r="I133">
            <v>2700</v>
          </cell>
        </row>
        <row r="134">
          <cell r="G134" t="str">
            <v>30031SOMERSET</v>
          </cell>
          <cell r="H134">
            <v>1003</v>
          </cell>
          <cell r="I134">
            <v>960</v>
          </cell>
        </row>
        <row r="135">
          <cell r="G135" t="str">
            <v>30031VELVET BLOSSOMS</v>
          </cell>
          <cell r="H135">
            <v>321</v>
          </cell>
          <cell r="I135">
            <v>760</v>
          </cell>
        </row>
        <row r="136">
          <cell r="G136" t="str">
            <v>30032ELBA</v>
          </cell>
          <cell r="H136">
            <v>2739</v>
          </cell>
          <cell r="I136">
            <v>3090</v>
          </cell>
        </row>
        <row r="137">
          <cell r="G137" t="str">
            <v>30032MIRABEL</v>
          </cell>
          <cell r="H137">
            <v>1625</v>
          </cell>
          <cell r="I137">
            <v>1880</v>
          </cell>
        </row>
        <row r="138">
          <cell r="G138" t="str">
            <v>30033CREAMY FOLIES</v>
          </cell>
          <cell r="H138">
            <v>1079</v>
          </cell>
          <cell r="I138">
            <v>780</v>
          </cell>
        </row>
        <row r="139">
          <cell r="G139" t="str">
            <v>30033HOT BUBBLES</v>
          </cell>
          <cell r="H139">
            <v>2831</v>
          </cell>
          <cell r="I139">
            <v>5780</v>
          </cell>
        </row>
        <row r="140">
          <cell r="G140" t="str">
            <v>30001BELIEVE IN PINK</v>
          </cell>
          <cell r="H140">
            <v>1649</v>
          </cell>
          <cell r="I140">
            <v>1350</v>
          </cell>
        </row>
        <row r="141">
          <cell r="G141" t="str">
            <v>30001EXPLORER</v>
          </cell>
          <cell r="H141">
            <v>4018</v>
          </cell>
          <cell r="I141">
            <v>4000</v>
          </cell>
        </row>
        <row r="142">
          <cell r="G142" t="str">
            <v>30001GRACE KELLY</v>
          </cell>
          <cell r="H142">
            <v>2081</v>
          </cell>
          <cell r="I142">
            <v>2430</v>
          </cell>
        </row>
        <row r="143">
          <cell r="G143" t="str">
            <v>30001LIGHT HOUSE</v>
          </cell>
          <cell r="H143">
            <v>2484</v>
          </cell>
          <cell r="I143">
            <v>2850</v>
          </cell>
        </row>
        <row r="144">
          <cell r="G144" t="str">
            <v>30001LUMIA</v>
          </cell>
          <cell r="H144">
            <v>2487</v>
          </cell>
          <cell r="I144">
            <v>3300</v>
          </cell>
        </row>
        <row r="145">
          <cell r="G145" t="str">
            <v>30001MOMENTUM</v>
          </cell>
          <cell r="H145">
            <v>3750</v>
          </cell>
          <cell r="I145">
            <v>5275</v>
          </cell>
        </row>
        <row r="146">
          <cell r="G146" t="str">
            <v>30002SWEETNESS</v>
          </cell>
          <cell r="H146">
            <v>5688</v>
          </cell>
          <cell r="I146">
            <v>6870</v>
          </cell>
        </row>
        <row r="147">
          <cell r="G147" t="str">
            <v>30003CABARET</v>
          </cell>
          <cell r="H147">
            <v>8316</v>
          </cell>
          <cell r="I147">
            <v>6870</v>
          </cell>
        </row>
        <row r="148">
          <cell r="G148" t="str">
            <v>30003DEEP PURPLE</v>
          </cell>
          <cell r="H148">
            <v>16323</v>
          </cell>
          <cell r="I148">
            <v>8820</v>
          </cell>
        </row>
        <row r="149">
          <cell r="G149" t="str">
            <v>30003EXPLORER</v>
          </cell>
          <cell r="H149">
            <v>2199</v>
          </cell>
          <cell r="I149">
            <v>2125</v>
          </cell>
        </row>
        <row r="150">
          <cell r="G150" t="str">
            <v>30003JOCKER</v>
          </cell>
          <cell r="H150">
            <v>1054</v>
          </cell>
          <cell r="I150">
            <v>1125</v>
          </cell>
        </row>
        <row r="151">
          <cell r="G151" t="str">
            <v>30003QUICKSAND</v>
          </cell>
          <cell r="H151">
            <v>2111</v>
          </cell>
          <cell r="I151">
            <v>1860</v>
          </cell>
        </row>
        <row r="152">
          <cell r="G152" t="str">
            <v>30004COTOPAXI</v>
          </cell>
          <cell r="H152">
            <v>1063</v>
          </cell>
          <cell r="I152">
            <v>900</v>
          </cell>
        </row>
        <row r="153">
          <cell r="G153" t="str">
            <v>30004DEEP PURPLE</v>
          </cell>
          <cell r="H153">
            <v>18435</v>
          </cell>
          <cell r="I153">
            <v>12060</v>
          </cell>
        </row>
        <row r="154">
          <cell r="G154" t="str">
            <v>30004HOT EXPLORER</v>
          </cell>
          <cell r="H154">
            <v>2569</v>
          </cell>
          <cell r="I154">
            <v>1675</v>
          </cell>
        </row>
        <row r="155">
          <cell r="G155" t="str">
            <v>30004HOT MERENGUE</v>
          </cell>
          <cell r="H155">
            <v>3144</v>
          </cell>
          <cell r="I155">
            <v>2610</v>
          </cell>
        </row>
        <row r="156">
          <cell r="G156" t="str">
            <v>30004SWEETNESS</v>
          </cell>
          <cell r="H156">
            <v>730</v>
          </cell>
          <cell r="I156">
            <v>540</v>
          </cell>
        </row>
        <row r="157">
          <cell r="G157" t="str">
            <v>30005EXPLORER</v>
          </cell>
          <cell r="H157">
            <v>1343</v>
          </cell>
          <cell r="I157">
            <v>1425</v>
          </cell>
        </row>
        <row r="158">
          <cell r="G158" t="str">
            <v>30005GOLDFINCH</v>
          </cell>
          <cell r="H158">
            <v>1485</v>
          </cell>
          <cell r="I158">
            <v>900</v>
          </cell>
        </row>
        <row r="159">
          <cell r="G159" t="str">
            <v>30005JOCKER</v>
          </cell>
          <cell r="H159">
            <v>2378</v>
          </cell>
          <cell r="I159">
            <v>2375</v>
          </cell>
        </row>
        <row r="160">
          <cell r="G160" t="str">
            <v>30005VENDELA</v>
          </cell>
          <cell r="H160">
            <v>2287</v>
          </cell>
          <cell r="I160">
            <v>1710</v>
          </cell>
        </row>
        <row r="161">
          <cell r="G161" t="str">
            <v>30006ATOMIC</v>
          </cell>
          <cell r="H161">
            <v>1559</v>
          </cell>
          <cell r="I161">
            <v>950</v>
          </cell>
        </row>
        <row r="162">
          <cell r="G162" t="str">
            <v>30006EXPLORER</v>
          </cell>
          <cell r="H162">
            <v>6221</v>
          </cell>
          <cell r="I162">
            <v>5100</v>
          </cell>
        </row>
        <row r="163">
          <cell r="G163" t="str">
            <v>30006MONDIAL</v>
          </cell>
          <cell r="H163">
            <v>7576</v>
          </cell>
          <cell r="I163">
            <v>9500</v>
          </cell>
        </row>
        <row r="164">
          <cell r="G164" t="str">
            <v>30007COTOPAXI</v>
          </cell>
          <cell r="H164">
            <v>6540</v>
          </cell>
          <cell r="I164">
            <v>5850</v>
          </cell>
        </row>
        <row r="165">
          <cell r="G165" t="str">
            <v>30007REDIANT</v>
          </cell>
          <cell r="H165">
            <v>1498</v>
          </cell>
          <cell r="I165">
            <v>2160</v>
          </cell>
        </row>
        <row r="166">
          <cell r="G166" t="str">
            <v>30007VENDELA</v>
          </cell>
          <cell r="H166">
            <v>12406</v>
          </cell>
          <cell r="I166">
            <v>10650</v>
          </cell>
        </row>
        <row r="167">
          <cell r="G167" t="str">
            <v>30008DEEP PURPLE</v>
          </cell>
          <cell r="H167">
            <v>8425</v>
          </cell>
          <cell r="I167">
            <v>5670</v>
          </cell>
        </row>
        <row r="168">
          <cell r="G168" t="str">
            <v>30008FREEDOM</v>
          </cell>
          <cell r="H168">
            <v>5557</v>
          </cell>
          <cell r="I168">
            <v>2610</v>
          </cell>
        </row>
        <row r="169">
          <cell r="G169" t="str">
            <v>30008JOCKER</v>
          </cell>
          <cell r="H169">
            <v>5513</v>
          </cell>
          <cell r="I169">
            <v>5750</v>
          </cell>
        </row>
        <row r="170">
          <cell r="G170" t="str">
            <v>30010COOLDOWN</v>
          </cell>
          <cell r="H170">
            <v>1877</v>
          </cell>
          <cell r="I170">
            <v>3825</v>
          </cell>
        </row>
        <row r="171">
          <cell r="G171" t="str">
            <v>30010VIOLET HILL</v>
          </cell>
          <cell r="H171">
            <v>2038</v>
          </cell>
          <cell r="I171">
            <v>5850</v>
          </cell>
        </row>
        <row r="172">
          <cell r="G172" t="str">
            <v>30011BRIGHTON</v>
          </cell>
          <cell r="H172">
            <v>4026</v>
          </cell>
          <cell r="I172">
            <v>3550</v>
          </cell>
        </row>
        <row r="173">
          <cell r="G173" t="str">
            <v>30011CANDLELIGHT</v>
          </cell>
          <cell r="H173">
            <v>5059</v>
          </cell>
          <cell r="I173">
            <v>4640</v>
          </cell>
        </row>
        <row r="174">
          <cell r="G174" t="str">
            <v>30011CAYENNE</v>
          </cell>
          <cell r="H174">
            <v>1990</v>
          </cell>
          <cell r="I174">
            <v>1530</v>
          </cell>
        </row>
        <row r="175">
          <cell r="G175" t="str">
            <v>30011LUMIA</v>
          </cell>
          <cell r="H175">
            <v>2151</v>
          </cell>
          <cell r="I175">
            <v>2640</v>
          </cell>
        </row>
        <row r="176">
          <cell r="G176" t="str">
            <v>30011STARDUST</v>
          </cell>
          <cell r="H176">
            <v>4587</v>
          </cell>
          <cell r="I176">
            <v>4525</v>
          </cell>
        </row>
        <row r="177">
          <cell r="G177" t="str">
            <v>30012DEEP PURPLE</v>
          </cell>
          <cell r="H177">
            <v>21486</v>
          </cell>
          <cell r="I177">
            <v>19410</v>
          </cell>
        </row>
        <row r="178">
          <cell r="G178" t="str">
            <v>30012LIGHT HOUSE</v>
          </cell>
          <cell r="H178">
            <v>1991</v>
          </cell>
          <cell r="I178">
            <v>2100</v>
          </cell>
        </row>
        <row r="179">
          <cell r="G179" t="str">
            <v>30013COUNTRY BLUES</v>
          </cell>
          <cell r="H179">
            <v>1781</v>
          </cell>
          <cell r="I179">
            <v>1400</v>
          </cell>
        </row>
        <row r="180">
          <cell r="G180" t="str">
            <v>30013LORRAINE</v>
          </cell>
          <cell r="H180">
            <v>3799</v>
          </cell>
          <cell r="I180">
            <v>4025</v>
          </cell>
        </row>
        <row r="181">
          <cell r="G181" t="str">
            <v>30013LUMIA</v>
          </cell>
          <cell r="H181">
            <v>896</v>
          </cell>
          <cell r="I181">
            <v>960</v>
          </cell>
        </row>
        <row r="182">
          <cell r="G182" t="str">
            <v>30013VENDELA</v>
          </cell>
          <cell r="H182">
            <v>11771</v>
          </cell>
          <cell r="I182">
            <v>12150</v>
          </cell>
        </row>
        <row r="183">
          <cell r="G183" t="str">
            <v>30014STARDUST</v>
          </cell>
          <cell r="H183">
            <v>8534</v>
          </cell>
          <cell r="I183">
            <v>8575</v>
          </cell>
        </row>
        <row r="184">
          <cell r="G184" t="str">
            <v>30015JOCKER</v>
          </cell>
          <cell r="H184">
            <v>5802</v>
          </cell>
          <cell r="I184">
            <v>6750</v>
          </cell>
        </row>
        <row r="185">
          <cell r="G185" t="str">
            <v>30016DREAM IN PEACH</v>
          </cell>
          <cell r="H185">
            <v>2056</v>
          </cell>
          <cell r="I185">
            <v>1800</v>
          </cell>
        </row>
        <row r="186">
          <cell r="G186" t="str">
            <v>30016NINA</v>
          </cell>
          <cell r="H186">
            <v>3491</v>
          </cell>
          <cell r="I186">
            <v>3300</v>
          </cell>
        </row>
        <row r="187">
          <cell r="G187" t="str">
            <v>30017FREEDOM</v>
          </cell>
          <cell r="H187">
            <v>7452</v>
          </cell>
          <cell r="I187">
            <v>5400</v>
          </cell>
        </row>
        <row r="188">
          <cell r="G188" t="str">
            <v>30017GOLDFINCH</v>
          </cell>
          <cell r="H188">
            <v>3612</v>
          </cell>
          <cell r="I188">
            <v>3725</v>
          </cell>
        </row>
        <row r="189">
          <cell r="G189" t="str">
            <v>30018BRIGHTON</v>
          </cell>
          <cell r="H189">
            <v>2697</v>
          </cell>
          <cell r="I189">
            <v>2475</v>
          </cell>
        </row>
        <row r="190">
          <cell r="G190" t="str">
            <v>30019BRIGHTON</v>
          </cell>
          <cell r="H190">
            <v>9574</v>
          </cell>
          <cell r="I190">
            <v>9375</v>
          </cell>
        </row>
        <row r="191">
          <cell r="G191" t="str">
            <v>30019TABATHA</v>
          </cell>
          <cell r="H191">
            <v>3253</v>
          </cell>
          <cell r="I191">
            <v>2490</v>
          </cell>
        </row>
        <row r="192">
          <cell r="G192" t="str">
            <v>30020BRIGHTON</v>
          </cell>
          <cell r="H192">
            <v>6408</v>
          </cell>
          <cell r="I192">
            <v>5500</v>
          </cell>
        </row>
        <row r="193">
          <cell r="G193" t="str">
            <v>30020TYCOON</v>
          </cell>
          <cell r="H193">
            <v>1110</v>
          </cell>
          <cell r="I193">
            <v>1350</v>
          </cell>
        </row>
        <row r="194">
          <cell r="G194" t="str">
            <v>30021SHOW GIRL</v>
          </cell>
          <cell r="H194">
            <v>1452</v>
          </cell>
          <cell r="I194">
            <v>1200</v>
          </cell>
        </row>
        <row r="195">
          <cell r="G195" t="str">
            <v>30022CORAL REEF</v>
          </cell>
          <cell r="H195">
            <v>2850</v>
          </cell>
          <cell r="I195">
            <v>2375</v>
          </cell>
        </row>
        <row r="196">
          <cell r="G196" t="str">
            <v>30023COTOPAXI</v>
          </cell>
          <cell r="H196">
            <v>6265</v>
          </cell>
          <cell r="I196">
            <v>6330</v>
          </cell>
        </row>
        <row r="197">
          <cell r="G197" t="str">
            <v>30023FRUTTETO</v>
          </cell>
          <cell r="H197">
            <v>7768</v>
          </cell>
          <cell r="I197">
            <v>6960</v>
          </cell>
        </row>
        <row r="198">
          <cell r="G198" t="str">
            <v>30024COTOPAXI</v>
          </cell>
          <cell r="H198">
            <v>3298</v>
          </cell>
          <cell r="I198">
            <v>4440</v>
          </cell>
        </row>
        <row r="199">
          <cell r="G199" t="str">
            <v>30024SWEETNESS</v>
          </cell>
          <cell r="H199">
            <v>1597</v>
          </cell>
          <cell r="I199">
            <v>2220</v>
          </cell>
        </row>
        <row r="200">
          <cell r="G200" t="str">
            <v>30024TYCOON</v>
          </cell>
          <cell r="H200">
            <v>3702</v>
          </cell>
          <cell r="I200">
            <v>5070</v>
          </cell>
        </row>
        <row r="201">
          <cell r="G201" t="str">
            <v>30025PINK MONDIAL</v>
          </cell>
          <cell r="H201">
            <v>5559</v>
          </cell>
          <cell r="I201">
            <v>7400</v>
          </cell>
        </row>
        <row r="202">
          <cell r="G202" t="str">
            <v>30026LOLA</v>
          </cell>
          <cell r="H202">
            <v>5801</v>
          </cell>
          <cell r="I202">
            <v>3400</v>
          </cell>
        </row>
        <row r="203">
          <cell r="G203" t="str">
            <v>30026PALOMA</v>
          </cell>
          <cell r="H203">
            <v>6611</v>
          </cell>
          <cell r="I203">
            <v>4675</v>
          </cell>
        </row>
        <row r="204">
          <cell r="G204" t="str">
            <v>30027SATISFACTION</v>
          </cell>
          <cell r="H204">
            <v>4545</v>
          </cell>
          <cell r="I204">
            <v>7230</v>
          </cell>
        </row>
        <row r="205">
          <cell r="G205" t="str">
            <v>30027TIFFANY</v>
          </cell>
          <cell r="H205">
            <v>3983</v>
          </cell>
          <cell r="I205">
            <v>6360</v>
          </cell>
        </row>
        <row r="206">
          <cell r="G206" t="str">
            <v>30028COTOPAXI</v>
          </cell>
          <cell r="H206">
            <v>3475</v>
          </cell>
          <cell r="I206">
            <v>5010</v>
          </cell>
        </row>
        <row r="207">
          <cell r="G207" t="str">
            <v>30028DEEP PURPLE</v>
          </cell>
          <cell r="H207">
            <v>9828</v>
          </cell>
          <cell r="I207">
            <v>7260</v>
          </cell>
        </row>
        <row r="208">
          <cell r="G208" t="str">
            <v>30029PINK FLOYD</v>
          </cell>
          <cell r="H208">
            <v>4743</v>
          </cell>
          <cell r="I208">
            <v>4350</v>
          </cell>
        </row>
        <row r="209">
          <cell r="G209" t="str">
            <v>30030EXPLORER</v>
          </cell>
          <cell r="H209">
            <v>2228</v>
          </cell>
          <cell r="I209">
            <v>2600</v>
          </cell>
        </row>
        <row r="210">
          <cell r="G210" t="str">
            <v>31002SOMERSET</v>
          </cell>
          <cell r="H210">
            <v>11506</v>
          </cell>
          <cell r="I210">
            <v>8440</v>
          </cell>
        </row>
        <row r="211">
          <cell r="G211" t="str">
            <v>31004BELLINA</v>
          </cell>
          <cell r="H211">
            <v>2220</v>
          </cell>
          <cell r="I211">
            <v>1965</v>
          </cell>
        </row>
        <row r="212">
          <cell r="G212" t="str">
            <v>31005ELBA</v>
          </cell>
          <cell r="H212">
            <v>8629</v>
          </cell>
          <cell r="I212">
            <v>5700</v>
          </cell>
        </row>
        <row r="213">
          <cell r="G213" t="str">
            <v>31005HOT BUBBLES</v>
          </cell>
          <cell r="H213">
            <v>1241</v>
          </cell>
          <cell r="I213">
            <v>1080</v>
          </cell>
        </row>
        <row r="214">
          <cell r="G214" t="str">
            <v>31005SUSPIRO</v>
          </cell>
          <cell r="H214">
            <v>3543</v>
          </cell>
          <cell r="I214">
            <v>3090</v>
          </cell>
        </row>
        <row r="215">
          <cell r="G215" t="str">
            <v>31007SNOW BUBBLES</v>
          </cell>
          <cell r="H215">
            <v>1261</v>
          </cell>
          <cell r="I215">
            <v>1580</v>
          </cell>
        </row>
        <row r="216">
          <cell r="G216" t="str">
            <v>31009HOT BUBBLES</v>
          </cell>
          <cell r="H216">
            <v>9606</v>
          </cell>
          <cell r="I216">
            <v>7400</v>
          </cell>
        </row>
        <row r="217">
          <cell r="G217" t="str">
            <v>31014FRUITY BUBBLES</v>
          </cell>
          <cell r="H217">
            <v>3687</v>
          </cell>
          <cell r="I217">
            <v>4425</v>
          </cell>
        </row>
        <row r="218">
          <cell r="G218" t="str">
            <v>31015FELLINI</v>
          </cell>
          <cell r="H218">
            <v>7005</v>
          </cell>
          <cell r="I218">
            <v>7680</v>
          </cell>
        </row>
        <row r="219">
          <cell r="G219" t="str">
            <v>31016GOOD PEACH</v>
          </cell>
          <cell r="H219">
            <v>2694</v>
          </cell>
          <cell r="I219">
            <v>3360</v>
          </cell>
        </row>
        <row r="220">
          <cell r="G220" t="str">
            <v>31016GOOD YELLOW</v>
          </cell>
          <cell r="H220">
            <v>3063</v>
          </cell>
          <cell r="I220">
            <v>4680</v>
          </cell>
        </row>
        <row r="221">
          <cell r="G221" t="str">
            <v>31017ORANGE STAR</v>
          </cell>
          <cell r="H221">
            <v>2200</v>
          </cell>
          <cell r="I221">
            <v>1800</v>
          </cell>
        </row>
        <row r="222">
          <cell r="G222" t="str">
            <v>31018COSMO</v>
          </cell>
          <cell r="H222">
            <v>5336</v>
          </cell>
          <cell r="I222">
            <v>5275</v>
          </cell>
        </row>
        <row r="223">
          <cell r="G223" t="str">
            <v>31018RUBICON</v>
          </cell>
          <cell r="H223">
            <v>4843</v>
          </cell>
          <cell r="I223">
            <v>3540</v>
          </cell>
        </row>
        <row r="224">
          <cell r="G224" t="str">
            <v>31019BELLINA</v>
          </cell>
          <cell r="H224">
            <v>2410</v>
          </cell>
          <cell r="I224">
            <v>1740</v>
          </cell>
        </row>
        <row r="225">
          <cell r="G225" t="str">
            <v>31020SUMMER DANCE</v>
          </cell>
          <cell r="H225">
            <v>4118</v>
          </cell>
          <cell r="I225">
            <v>3675</v>
          </cell>
        </row>
        <row r="226">
          <cell r="G226" t="str">
            <v>31021ELEGANT ROSEVER</v>
          </cell>
          <cell r="H226">
            <v>720</v>
          </cell>
          <cell r="I226">
            <v>540</v>
          </cell>
        </row>
        <row r="227">
          <cell r="G227" t="str">
            <v>31021FLAME CLUB</v>
          </cell>
          <cell r="H227">
            <v>1909</v>
          </cell>
          <cell r="I227">
            <v>1450</v>
          </cell>
        </row>
        <row r="228">
          <cell r="G228" t="str">
            <v>31021KELLY</v>
          </cell>
          <cell r="H228">
            <v>702</v>
          </cell>
          <cell r="I228">
            <v>450</v>
          </cell>
        </row>
        <row r="229">
          <cell r="G229" t="str">
            <v>31021LEILA</v>
          </cell>
          <cell r="H229">
            <v>2458</v>
          </cell>
          <cell r="I229">
            <v>700</v>
          </cell>
        </row>
        <row r="230">
          <cell r="G230" t="str">
            <v>31021SNOW BUBBLES</v>
          </cell>
          <cell r="H230">
            <v>3175</v>
          </cell>
          <cell r="I230">
            <v>2440</v>
          </cell>
        </row>
        <row r="231">
          <cell r="G231" t="str">
            <v>31022FRUITY BUBBLES</v>
          </cell>
          <cell r="H231">
            <v>5366</v>
          </cell>
          <cell r="I231">
            <v>4650</v>
          </cell>
        </row>
        <row r="232">
          <cell r="G232" t="str">
            <v>31022GOOD PEACH</v>
          </cell>
          <cell r="H232">
            <v>1920</v>
          </cell>
          <cell r="I232">
            <v>2070</v>
          </cell>
        </row>
        <row r="233">
          <cell r="G233" t="str">
            <v>31022MIRABEL</v>
          </cell>
          <cell r="H233">
            <v>1399</v>
          </cell>
          <cell r="I233">
            <v>2180</v>
          </cell>
        </row>
        <row r="234">
          <cell r="G234" t="str">
            <v>31030MIRABEL</v>
          </cell>
          <cell r="H234">
            <v>3739</v>
          </cell>
          <cell r="I234">
            <v>4980</v>
          </cell>
        </row>
        <row r="235">
          <cell r="G235" t="str">
            <v>31030SOMERSET</v>
          </cell>
          <cell r="H235">
            <v>4362</v>
          </cell>
          <cell r="I235">
            <v>4000</v>
          </cell>
        </row>
        <row r="236">
          <cell r="G236" t="str">
            <v>3103182989</v>
          </cell>
          <cell r="H236">
            <v>1217</v>
          </cell>
          <cell r="I236">
            <v>780</v>
          </cell>
        </row>
        <row r="237">
          <cell r="G237" t="str">
            <v>31031RUBICON</v>
          </cell>
          <cell r="H237">
            <v>2584</v>
          </cell>
          <cell r="I237">
            <v>2700</v>
          </cell>
        </row>
        <row r="238">
          <cell r="G238" t="str">
            <v>31031SOMERSET</v>
          </cell>
          <cell r="H238">
            <v>2313</v>
          </cell>
          <cell r="I238">
            <v>960</v>
          </cell>
        </row>
        <row r="239">
          <cell r="G239" t="str">
            <v>31031VELVET BLOSSOMS</v>
          </cell>
          <cell r="H239">
            <v>337</v>
          </cell>
          <cell r="I239">
            <v>760</v>
          </cell>
        </row>
        <row r="240">
          <cell r="G240" t="str">
            <v>31032ELBA</v>
          </cell>
          <cell r="H240">
            <v>3454</v>
          </cell>
          <cell r="I240">
            <v>3090</v>
          </cell>
        </row>
        <row r="241">
          <cell r="G241" t="str">
            <v>31032MIRABEL</v>
          </cell>
          <cell r="H241">
            <v>1948</v>
          </cell>
          <cell r="I241">
            <v>1880</v>
          </cell>
        </row>
        <row r="242">
          <cell r="G242" t="str">
            <v>31033CREAMY FOLIES</v>
          </cell>
          <cell r="H242">
            <v>1146</v>
          </cell>
          <cell r="I242">
            <v>780</v>
          </cell>
        </row>
        <row r="243">
          <cell r="G243" t="str">
            <v>31033HOT BUBBLES</v>
          </cell>
          <cell r="H243">
            <v>3166</v>
          </cell>
          <cell r="I243">
            <v>5780</v>
          </cell>
        </row>
        <row r="244">
          <cell r="G244" t="str">
            <v>31001BELIEVE IN PINK</v>
          </cell>
          <cell r="H244">
            <v>1596</v>
          </cell>
          <cell r="I244">
            <v>1350</v>
          </cell>
        </row>
        <row r="245">
          <cell r="G245" t="str">
            <v>31001EXPLORER</v>
          </cell>
          <cell r="H245">
            <v>4201</v>
          </cell>
          <cell r="I245">
            <v>4000</v>
          </cell>
        </row>
        <row r="246">
          <cell r="G246" t="str">
            <v>31001GRACE KELLY</v>
          </cell>
          <cell r="H246">
            <v>2178</v>
          </cell>
          <cell r="I246">
            <v>2430</v>
          </cell>
        </row>
        <row r="247">
          <cell r="G247" t="str">
            <v>31001LIGHT HOUSE</v>
          </cell>
          <cell r="H247">
            <v>2275</v>
          </cell>
          <cell r="I247">
            <v>2850</v>
          </cell>
        </row>
        <row r="248">
          <cell r="G248" t="str">
            <v>31001LUMIA</v>
          </cell>
          <cell r="H248">
            <v>3178</v>
          </cell>
          <cell r="I248">
            <v>3300</v>
          </cell>
        </row>
        <row r="249">
          <cell r="G249" t="str">
            <v>31001MOMENTUM</v>
          </cell>
          <cell r="H249">
            <v>4367</v>
          </cell>
          <cell r="I249">
            <v>5275</v>
          </cell>
        </row>
        <row r="250">
          <cell r="G250" t="str">
            <v>31002SWEETNESS</v>
          </cell>
          <cell r="H250">
            <v>7390</v>
          </cell>
          <cell r="I250">
            <v>6870</v>
          </cell>
        </row>
        <row r="251">
          <cell r="G251" t="str">
            <v>31003CABARET</v>
          </cell>
          <cell r="H251">
            <v>8155</v>
          </cell>
          <cell r="I251">
            <v>6870</v>
          </cell>
        </row>
        <row r="252">
          <cell r="G252" t="str">
            <v>31003DEEP PURPLE</v>
          </cell>
          <cell r="H252">
            <v>15788</v>
          </cell>
          <cell r="I252">
            <v>8820</v>
          </cell>
        </row>
        <row r="253">
          <cell r="G253" t="str">
            <v>31003EXPLORER</v>
          </cell>
          <cell r="H253">
            <v>2330</v>
          </cell>
          <cell r="I253">
            <v>2125</v>
          </cell>
        </row>
        <row r="254">
          <cell r="G254" t="str">
            <v>31003JOCKER</v>
          </cell>
          <cell r="H254">
            <v>1413</v>
          </cell>
          <cell r="I254">
            <v>1125</v>
          </cell>
        </row>
        <row r="255">
          <cell r="G255" t="str">
            <v>31003QUICKSAND</v>
          </cell>
          <cell r="H255">
            <v>2216</v>
          </cell>
          <cell r="I255">
            <v>1860</v>
          </cell>
        </row>
        <row r="256">
          <cell r="G256" t="str">
            <v>31004COTOPAXI</v>
          </cell>
          <cell r="H256">
            <v>1174</v>
          </cell>
          <cell r="I256">
            <v>900</v>
          </cell>
        </row>
        <row r="257">
          <cell r="G257" t="str">
            <v>31004DEEP PURPLE</v>
          </cell>
          <cell r="H257">
            <v>17860</v>
          </cell>
          <cell r="I257">
            <v>12060</v>
          </cell>
        </row>
        <row r="258">
          <cell r="G258" t="str">
            <v>31004HOT EXPLORER</v>
          </cell>
          <cell r="H258">
            <v>3144</v>
          </cell>
          <cell r="I258">
            <v>1675</v>
          </cell>
        </row>
        <row r="259">
          <cell r="G259" t="str">
            <v>31004HOT MERENGUE</v>
          </cell>
          <cell r="H259">
            <v>2986</v>
          </cell>
          <cell r="I259">
            <v>2610</v>
          </cell>
        </row>
        <row r="260">
          <cell r="G260" t="str">
            <v>31004SWEETNESS</v>
          </cell>
          <cell r="H260">
            <v>951</v>
          </cell>
          <cell r="I260">
            <v>540</v>
          </cell>
        </row>
        <row r="261">
          <cell r="G261" t="str">
            <v>31005EXPLORER</v>
          </cell>
          <cell r="H261">
            <v>1533</v>
          </cell>
          <cell r="I261">
            <v>1425</v>
          </cell>
        </row>
        <row r="262">
          <cell r="G262" t="str">
            <v>31005GOLDFINCH</v>
          </cell>
          <cell r="H262">
            <v>1203</v>
          </cell>
          <cell r="I262">
            <v>900</v>
          </cell>
        </row>
        <row r="263">
          <cell r="G263" t="str">
            <v>31005JOCKER</v>
          </cell>
          <cell r="H263">
            <v>3082</v>
          </cell>
          <cell r="I263">
            <v>2375</v>
          </cell>
        </row>
        <row r="264">
          <cell r="G264" t="str">
            <v>31005VENDELA</v>
          </cell>
          <cell r="H264">
            <v>2261</v>
          </cell>
          <cell r="I264">
            <v>1710</v>
          </cell>
        </row>
        <row r="265">
          <cell r="G265" t="str">
            <v>31006ATOMIC</v>
          </cell>
          <cell r="H265">
            <v>1518</v>
          </cell>
          <cell r="I265">
            <v>950</v>
          </cell>
        </row>
        <row r="266">
          <cell r="G266" t="str">
            <v>31006EXPLORER</v>
          </cell>
          <cell r="H266">
            <v>6816</v>
          </cell>
          <cell r="I266">
            <v>5100</v>
          </cell>
        </row>
        <row r="267">
          <cell r="G267" t="str">
            <v>31006MONDIAL</v>
          </cell>
          <cell r="H267">
            <v>8332</v>
          </cell>
          <cell r="I267">
            <v>9500</v>
          </cell>
        </row>
        <row r="268">
          <cell r="G268" t="str">
            <v>31007COTOPAXI</v>
          </cell>
          <cell r="H268">
            <v>6797</v>
          </cell>
          <cell r="I268">
            <v>5850</v>
          </cell>
        </row>
        <row r="269">
          <cell r="G269" t="str">
            <v>31007REDIANT</v>
          </cell>
          <cell r="H269">
            <v>1752</v>
          </cell>
          <cell r="I269">
            <v>2160</v>
          </cell>
        </row>
        <row r="270">
          <cell r="G270" t="str">
            <v>31007VENDELA</v>
          </cell>
          <cell r="H270">
            <v>12761</v>
          </cell>
          <cell r="I270">
            <v>10650</v>
          </cell>
        </row>
        <row r="271">
          <cell r="G271" t="str">
            <v>31008DEEP PURPLE</v>
          </cell>
          <cell r="H271">
            <v>8155</v>
          </cell>
          <cell r="I271">
            <v>5670</v>
          </cell>
        </row>
        <row r="272">
          <cell r="G272" t="str">
            <v>31008FREEDOM</v>
          </cell>
          <cell r="H272">
            <v>4704</v>
          </cell>
          <cell r="I272">
            <v>2610</v>
          </cell>
        </row>
        <row r="273">
          <cell r="G273" t="str">
            <v>31008JOCKER</v>
          </cell>
          <cell r="H273">
            <v>7326</v>
          </cell>
          <cell r="I273">
            <v>5750</v>
          </cell>
        </row>
        <row r="274">
          <cell r="G274" t="str">
            <v>31010COOLDOWN</v>
          </cell>
          <cell r="H274">
            <v>2074</v>
          </cell>
          <cell r="I274">
            <v>3825</v>
          </cell>
        </row>
        <row r="275">
          <cell r="G275" t="str">
            <v>31010VIOLET HILL</v>
          </cell>
          <cell r="H275">
            <v>3657</v>
          </cell>
          <cell r="I275">
            <v>5850</v>
          </cell>
        </row>
        <row r="276">
          <cell r="G276" t="str">
            <v>31011BRIGHTON</v>
          </cell>
          <cell r="H276">
            <v>5126</v>
          </cell>
          <cell r="I276">
            <v>3550</v>
          </cell>
        </row>
        <row r="277">
          <cell r="G277" t="str">
            <v>31011CANDLELIGHT</v>
          </cell>
          <cell r="H277">
            <v>5924</v>
          </cell>
          <cell r="I277">
            <v>4640</v>
          </cell>
        </row>
        <row r="278">
          <cell r="G278" t="str">
            <v>31011CAYENNE</v>
          </cell>
          <cell r="H278">
            <v>2243</v>
          </cell>
          <cell r="I278">
            <v>1530</v>
          </cell>
        </row>
        <row r="279">
          <cell r="G279" t="str">
            <v>31011LUMIA</v>
          </cell>
          <cell r="H279">
            <v>2805</v>
          </cell>
          <cell r="I279">
            <v>2640</v>
          </cell>
        </row>
        <row r="280">
          <cell r="G280" t="str">
            <v>31011STARDUST</v>
          </cell>
          <cell r="H280">
            <v>4821</v>
          </cell>
          <cell r="I280">
            <v>4525</v>
          </cell>
        </row>
        <row r="281">
          <cell r="G281" t="str">
            <v>31012DEEP PURPLE</v>
          </cell>
          <cell r="H281">
            <v>24550</v>
          </cell>
          <cell r="I281">
            <v>19410</v>
          </cell>
        </row>
        <row r="282">
          <cell r="G282" t="str">
            <v>31012LIGHT HOUSE</v>
          </cell>
          <cell r="H282">
            <v>1880</v>
          </cell>
          <cell r="I282">
            <v>2100</v>
          </cell>
        </row>
        <row r="283">
          <cell r="G283" t="str">
            <v>31013COUNTRY BLUES</v>
          </cell>
          <cell r="H283">
            <v>1770</v>
          </cell>
          <cell r="I283">
            <v>1400</v>
          </cell>
        </row>
        <row r="284">
          <cell r="G284" t="str">
            <v>31013LORRAINE</v>
          </cell>
          <cell r="H284">
            <v>4357</v>
          </cell>
          <cell r="I284">
            <v>4025</v>
          </cell>
        </row>
        <row r="285">
          <cell r="G285" t="str">
            <v>31013LUMIA</v>
          </cell>
          <cell r="H285">
            <v>1296</v>
          </cell>
          <cell r="I285">
            <v>960</v>
          </cell>
        </row>
        <row r="286">
          <cell r="G286" t="str">
            <v>31013VENDELA</v>
          </cell>
          <cell r="H286">
            <v>12021</v>
          </cell>
          <cell r="I286">
            <v>12150</v>
          </cell>
        </row>
        <row r="287">
          <cell r="G287" t="str">
            <v>31014STARDUST</v>
          </cell>
          <cell r="H287">
            <v>8900</v>
          </cell>
          <cell r="I287">
            <v>8575</v>
          </cell>
        </row>
        <row r="288">
          <cell r="G288" t="str">
            <v>31015JOCKER</v>
          </cell>
          <cell r="H288">
            <v>7797</v>
          </cell>
          <cell r="I288">
            <v>6750</v>
          </cell>
        </row>
        <row r="289">
          <cell r="G289" t="str">
            <v>31016DREAM IN PEACH</v>
          </cell>
          <cell r="H289">
            <v>1646</v>
          </cell>
          <cell r="I289">
            <v>1800</v>
          </cell>
        </row>
        <row r="290">
          <cell r="G290" t="str">
            <v>31016NINA</v>
          </cell>
          <cell r="H290">
            <v>4063</v>
          </cell>
          <cell r="I290">
            <v>3300</v>
          </cell>
        </row>
        <row r="291">
          <cell r="G291" t="str">
            <v>31017FREEDOM</v>
          </cell>
          <cell r="H291">
            <v>6169</v>
          </cell>
          <cell r="I291">
            <v>5400</v>
          </cell>
        </row>
        <row r="292">
          <cell r="G292" t="str">
            <v>31017GOLDFINCH</v>
          </cell>
          <cell r="H292">
            <v>3056</v>
          </cell>
          <cell r="I292">
            <v>3725</v>
          </cell>
        </row>
        <row r="293">
          <cell r="G293" t="str">
            <v>31018BRIGHTON</v>
          </cell>
          <cell r="H293">
            <v>2335</v>
          </cell>
          <cell r="I293">
            <v>2475</v>
          </cell>
        </row>
        <row r="294">
          <cell r="G294" t="str">
            <v>31019BRIGHTON</v>
          </cell>
          <cell r="H294">
            <v>8352</v>
          </cell>
          <cell r="I294">
            <v>9375</v>
          </cell>
        </row>
        <row r="295">
          <cell r="G295" t="str">
            <v>31019TABATHA</v>
          </cell>
          <cell r="H295">
            <v>3348</v>
          </cell>
          <cell r="I295">
            <v>2490</v>
          </cell>
        </row>
        <row r="296">
          <cell r="G296" t="str">
            <v>31020BRIGHTON</v>
          </cell>
          <cell r="H296">
            <v>5400</v>
          </cell>
          <cell r="I296">
            <v>5500</v>
          </cell>
        </row>
        <row r="297">
          <cell r="G297" t="str">
            <v>31020TYCOON</v>
          </cell>
          <cell r="H297">
            <v>1014</v>
          </cell>
          <cell r="I297">
            <v>1350</v>
          </cell>
        </row>
        <row r="298">
          <cell r="G298" t="str">
            <v>31021SHOW GIRL</v>
          </cell>
          <cell r="H298">
            <v>1726</v>
          </cell>
          <cell r="I298">
            <v>1200</v>
          </cell>
        </row>
        <row r="299">
          <cell r="G299" t="str">
            <v>31022CORAL REEF</v>
          </cell>
          <cell r="H299">
            <v>2625</v>
          </cell>
          <cell r="I299">
            <v>2375</v>
          </cell>
        </row>
        <row r="300">
          <cell r="G300" t="str">
            <v>31023COTOPAXI</v>
          </cell>
          <cell r="H300">
            <v>6494</v>
          </cell>
          <cell r="I300">
            <v>6330</v>
          </cell>
        </row>
        <row r="301">
          <cell r="G301" t="str">
            <v>31023FRUTTETO</v>
          </cell>
          <cell r="H301">
            <v>8000</v>
          </cell>
          <cell r="I301">
            <v>6960</v>
          </cell>
        </row>
        <row r="302">
          <cell r="G302" t="str">
            <v>31024COTOPAXI</v>
          </cell>
          <cell r="H302">
            <v>3133</v>
          </cell>
          <cell r="I302">
            <v>4440</v>
          </cell>
        </row>
        <row r="303">
          <cell r="G303" t="str">
            <v>31024SWEETNESS</v>
          </cell>
          <cell r="H303">
            <v>2142</v>
          </cell>
          <cell r="I303">
            <v>2220</v>
          </cell>
        </row>
        <row r="304">
          <cell r="G304" t="str">
            <v>31024TYCOON</v>
          </cell>
          <cell r="H304">
            <v>3439</v>
          </cell>
          <cell r="I304">
            <v>5070</v>
          </cell>
        </row>
        <row r="305">
          <cell r="G305" t="str">
            <v>31025PINK MONDIAL</v>
          </cell>
          <cell r="H305">
            <v>5714</v>
          </cell>
          <cell r="I305">
            <v>7400</v>
          </cell>
        </row>
        <row r="306">
          <cell r="G306" t="str">
            <v>31026LOLA</v>
          </cell>
          <cell r="H306">
            <v>5485</v>
          </cell>
          <cell r="I306">
            <v>3400</v>
          </cell>
        </row>
        <row r="307">
          <cell r="G307" t="str">
            <v>31026PALOMA</v>
          </cell>
          <cell r="H307">
            <v>6644</v>
          </cell>
          <cell r="I307">
            <v>4675</v>
          </cell>
        </row>
        <row r="308">
          <cell r="G308" t="str">
            <v>31027SATISFACTION</v>
          </cell>
          <cell r="H308">
            <v>6330</v>
          </cell>
          <cell r="I308">
            <v>7230</v>
          </cell>
        </row>
        <row r="309">
          <cell r="G309" t="str">
            <v>31027TIFFANY</v>
          </cell>
          <cell r="H309">
            <v>5818</v>
          </cell>
          <cell r="I309">
            <v>6360</v>
          </cell>
        </row>
        <row r="310">
          <cell r="G310" t="str">
            <v>31028COTOPAXI</v>
          </cell>
          <cell r="H310">
            <v>4352</v>
          </cell>
          <cell r="I310">
            <v>5010</v>
          </cell>
        </row>
        <row r="311">
          <cell r="G311" t="str">
            <v>31028DEEP PURPLE</v>
          </cell>
          <cell r="H311">
            <v>11527</v>
          </cell>
          <cell r="I311">
            <v>7260</v>
          </cell>
        </row>
        <row r="312">
          <cell r="G312" t="str">
            <v>31029PINK FLOYD</v>
          </cell>
          <cell r="H312">
            <v>5375</v>
          </cell>
          <cell r="I312">
            <v>4350</v>
          </cell>
        </row>
        <row r="313">
          <cell r="G313" t="str">
            <v>31030EXPLORER</v>
          </cell>
          <cell r="H313">
            <v>2402</v>
          </cell>
          <cell r="I313">
            <v>2600</v>
          </cell>
        </row>
        <row r="314">
          <cell r="G314" t="str">
            <v>32002SOMERSET</v>
          </cell>
          <cell r="H314">
            <v>10049</v>
          </cell>
          <cell r="I314">
            <v>8440</v>
          </cell>
        </row>
        <row r="315">
          <cell r="G315" t="str">
            <v>32004BELLINA</v>
          </cell>
          <cell r="H315">
            <v>1684</v>
          </cell>
          <cell r="I315">
            <v>1965</v>
          </cell>
        </row>
        <row r="316">
          <cell r="G316" t="str">
            <v>32005ELBA</v>
          </cell>
          <cell r="H316">
            <v>7136</v>
          </cell>
          <cell r="I316">
            <v>5700</v>
          </cell>
        </row>
        <row r="317">
          <cell r="G317" t="str">
            <v>32005HOT BUBBLES</v>
          </cell>
          <cell r="H317">
            <v>1198</v>
          </cell>
          <cell r="I317">
            <v>1080</v>
          </cell>
        </row>
        <row r="318">
          <cell r="G318" t="str">
            <v>32005SUSPIRO</v>
          </cell>
          <cell r="H318">
            <v>2937</v>
          </cell>
          <cell r="I318">
            <v>3090</v>
          </cell>
        </row>
        <row r="319">
          <cell r="G319" t="str">
            <v>32007SNOW BUBBLES</v>
          </cell>
          <cell r="H319">
            <v>1343</v>
          </cell>
          <cell r="I319">
            <v>1580</v>
          </cell>
        </row>
        <row r="320">
          <cell r="G320" t="str">
            <v>32009HOT BUBBLES</v>
          </cell>
          <cell r="H320">
            <v>9358</v>
          </cell>
          <cell r="I320">
            <v>7400</v>
          </cell>
        </row>
        <row r="321">
          <cell r="G321" t="str">
            <v>32014FRUITY BUBBLES</v>
          </cell>
          <cell r="H321">
            <v>3693</v>
          </cell>
          <cell r="I321">
            <v>4425</v>
          </cell>
        </row>
        <row r="322">
          <cell r="G322" t="str">
            <v>32015FELLINI</v>
          </cell>
          <cell r="H322">
            <v>5958</v>
          </cell>
          <cell r="I322">
            <v>7680</v>
          </cell>
        </row>
        <row r="323">
          <cell r="G323" t="str">
            <v>32016GOOD PEACH</v>
          </cell>
          <cell r="H323">
            <v>2828</v>
          </cell>
          <cell r="I323">
            <v>3360</v>
          </cell>
        </row>
        <row r="324">
          <cell r="G324" t="str">
            <v>32016GOOD YELLOW</v>
          </cell>
          <cell r="H324">
            <v>2903</v>
          </cell>
          <cell r="I324">
            <v>4680</v>
          </cell>
        </row>
        <row r="325">
          <cell r="G325" t="str">
            <v>32017ORANGE STAR</v>
          </cell>
          <cell r="H325">
            <v>1676</v>
          </cell>
          <cell r="I325">
            <v>1800</v>
          </cell>
        </row>
        <row r="326">
          <cell r="G326" t="str">
            <v>32018COSMO</v>
          </cell>
          <cell r="H326">
            <v>4708</v>
          </cell>
          <cell r="I326">
            <v>5275</v>
          </cell>
        </row>
        <row r="327">
          <cell r="G327" t="str">
            <v>32018RUBICON</v>
          </cell>
          <cell r="H327">
            <v>4397</v>
          </cell>
          <cell r="I327">
            <v>3540</v>
          </cell>
        </row>
        <row r="328">
          <cell r="G328" t="str">
            <v>32019BELLINA</v>
          </cell>
          <cell r="H328">
            <v>1808</v>
          </cell>
          <cell r="I328">
            <v>1740</v>
          </cell>
        </row>
        <row r="329">
          <cell r="G329" t="str">
            <v>32020SUMMER DANCE</v>
          </cell>
          <cell r="H329">
            <v>3869</v>
          </cell>
          <cell r="I329">
            <v>3675</v>
          </cell>
        </row>
        <row r="330">
          <cell r="G330" t="str">
            <v>32021ELEGANT ROSEVER</v>
          </cell>
          <cell r="H330">
            <v>631</v>
          </cell>
          <cell r="I330">
            <v>540</v>
          </cell>
        </row>
        <row r="331">
          <cell r="G331" t="str">
            <v>32021FLAME CLUB</v>
          </cell>
          <cell r="H331">
            <v>1876</v>
          </cell>
          <cell r="I331">
            <v>1450</v>
          </cell>
        </row>
        <row r="332">
          <cell r="G332" t="str">
            <v>32021KELLY</v>
          </cell>
          <cell r="H332">
            <v>627</v>
          </cell>
          <cell r="I332">
            <v>450</v>
          </cell>
        </row>
        <row r="333">
          <cell r="G333" t="str">
            <v>32021LEILA</v>
          </cell>
          <cell r="H333">
            <v>2132</v>
          </cell>
          <cell r="I333">
            <v>700</v>
          </cell>
        </row>
        <row r="334">
          <cell r="G334" t="str">
            <v>32021SNOW BUBBLES</v>
          </cell>
          <cell r="H334">
            <v>3491</v>
          </cell>
          <cell r="I334">
            <v>2440</v>
          </cell>
        </row>
        <row r="335">
          <cell r="G335" t="str">
            <v>32022FRUITY BUBBLES</v>
          </cell>
          <cell r="H335">
            <v>5713</v>
          </cell>
          <cell r="I335">
            <v>4650</v>
          </cell>
        </row>
        <row r="336">
          <cell r="G336" t="str">
            <v>32022GOOD PEACH</v>
          </cell>
          <cell r="H336">
            <v>2052</v>
          </cell>
          <cell r="I336">
            <v>2070</v>
          </cell>
        </row>
        <row r="337">
          <cell r="G337" t="str">
            <v>32022MIRABEL</v>
          </cell>
          <cell r="H337">
            <v>1657</v>
          </cell>
          <cell r="I337">
            <v>2180</v>
          </cell>
        </row>
        <row r="338">
          <cell r="G338" t="str">
            <v>32030MIRABEL</v>
          </cell>
          <cell r="H338">
            <v>3938</v>
          </cell>
          <cell r="I338">
            <v>4980</v>
          </cell>
        </row>
        <row r="339">
          <cell r="G339" t="str">
            <v>32030SOMERSET</v>
          </cell>
          <cell r="H339">
            <v>3749</v>
          </cell>
          <cell r="I339">
            <v>4000</v>
          </cell>
        </row>
        <row r="340">
          <cell r="G340" t="str">
            <v>3203182989</v>
          </cell>
          <cell r="H340">
            <v>1601</v>
          </cell>
          <cell r="I340">
            <v>780</v>
          </cell>
        </row>
        <row r="341">
          <cell r="G341" t="str">
            <v>32031RUBICON</v>
          </cell>
          <cell r="H341">
            <v>2345</v>
          </cell>
          <cell r="I341">
            <v>2700</v>
          </cell>
        </row>
        <row r="342">
          <cell r="G342" t="str">
            <v>32031SOMERSET</v>
          </cell>
          <cell r="H342">
            <v>2480</v>
          </cell>
          <cell r="I342">
            <v>960</v>
          </cell>
        </row>
        <row r="343">
          <cell r="G343" t="str">
            <v>32031VELVET BLOSSOMS</v>
          </cell>
          <cell r="H343">
            <v>513</v>
          </cell>
          <cell r="I343">
            <v>760</v>
          </cell>
        </row>
        <row r="344">
          <cell r="G344" t="str">
            <v>32032ELBA</v>
          </cell>
          <cell r="H344">
            <v>2912</v>
          </cell>
          <cell r="I344">
            <v>3090</v>
          </cell>
        </row>
        <row r="345">
          <cell r="G345" t="str">
            <v>32032MIRABEL</v>
          </cell>
          <cell r="H345">
            <v>2118</v>
          </cell>
          <cell r="I345">
            <v>1880</v>
          </cell>
        </row>
        <row r="346">
          <cell r="G346" t="str">
            <v>32033CREAMY FOLIES</v>
          </cell>
          <cell r="H346">
            <v>1205</v>
          </cell>
          <cell r="I346">
            <v>780</v>
          </cell>
        </row>
        <row r="347">
          <cell r="G347" t="str">
            <v>32033HOT BUBBLES</v>
          </cell>
          <cell r="H347">
            <v>3370</v>
          </cell>
          <cell r="I347">
            <v>5780</v>
          </cell>
        </row>
        <row r="348">
          <cell r="G348" t="str">
            <v>32001BELIEVE IN PINK</v>
          </cell>
          <cell r="H348">
            <v>1316</v>
          </cell>
          <cell r="I348">
            <v>1350</v>
          </cell>
        </row>
        <row r="349">
          <cell r="G349" t="str">
            <v>32001EXPLORER</v>
          </cell>
          <cell r="H349">
            <v>3575</v>
          </cell>
          <cell r="I349">
            <v>4000</v>
          </cell>
        </row>
        <row r="350">
          <cell r="G350" t="str">
            <v>32001GRACE KELLY</v>
          </cell>
          <cell r="H350">
            <v>1674</v>
          </cell>
          <cell r="I350">
            <v>2430</v>
          </cell>
        </row>
        <row r="351">
          <cell r="G351" t="str">
            <v>32001LIGHT HOUSE</v>
          </cell>
          <cell r="H351">
            <v>1822</v>
          </cell>
          <cell r="I351">
            <v>2850</v>
          </cell>
        </row>
        <row r="352">
          <cell r="G352" t="str">
            <v>32001LUMIA</v>
          </cell>
          <cell r="H352">
            <v>3335</v>
          </cell>
          <cell r="I352">
            <v>3300</v>
          </cell>
        </row>
        <row r="353">
          <cell r="G353" t="str">
            <v>32001MOMENTUM</v>
          </cell>
          <cell r="H353">
            <v>3894</v>
          </cell>
          <cell r="I353">
            <v>5275</v>
          </cell>
        </row>
        <row r="354">
          <cell r="G354" t="str">
            <v>32002SWEETNESS</v>
          </cell>
          <cell r="H354">
            <v>6514</v>
          </cell>
          <cell r="I354">
            <v>6870</v>
          </cell>
        </row>
        <row r="355">
          <cell r="G355" t="str">
            <v>32003CABARET</v>
          </cell>
          <cell r="H355">
            <v>5116</v>
          </cell>
          <cell r="I355">
            <v>6870</v>
          </cell>
        </row>
        <row r="356">
          <cell r="G356" t="str">
            <v>32003DEEP PURPLE</v>
          </cell>
          <cell r="H356">
            <v>10514</v>
          </cell>
          <cell r="I356">
            <v>8820</v>
          </cell>
        </row>
        <row r="357">
          <cell r="G357" t="str">
            <v>32003EXPLORER</v>
          </cell>
          <cell r="H357">
            <v>1953</v>
          </cell>
          <cell r="I357">
            <v>2125</v>
          </cell>
        </row>
        <row r="358">
          <cell r="G358" t="str">
            <v>32003JOCKER</v>
          </cell>
          <cell r="H358">
            <v>1044</v>
          </cell>
          <cell r="I358">
            <v>1125</v>
          </cell>
        </row>
        <row r="359">
          <cell r="G359" t="str">
            <v>32003QUICKSAND</v>
          </cell>
          <cell r="H359">
            <v>1998</v>
          </cell>
          <cell r="I359">
            <v>1860</v>
          </cell>
        </row>
        <row r="360">
          <cell r="G360" t="str">
            <v>32004COTOPAXI</v>
          </cell>
          <cell r="H360">
            <v>1185</v>
          </cell>
          <cell r="I360">
            <v>900</v>
          </cell>
        </row>
        <row r="361">
          <cell r="G361" t="str">
            <v>32004DEEP PURPLE</v>
          </cell>
          <cell r="H361">
            <v>11914</v>
          </cell>
          <cell r="I361">
            <v>12060</v>
          </cell>
        </row>
        <row r="362">
          <cell r="G362" t="str">
            <v>32004HOT EXPLORER</v>
          </cell>
          <cell r="H362">
            <v>2543</v>
          </cell>
          <cell r="I362">
            <v>1675</v>
          </cell>
        </row>
        <row r="363">
          <cell r="G363" t="str">
            <v>32004HOT MERENGUE</v>
          </cell>
          <cell r="H363">
            <v>2461</v>
          </cell>
          <cell r="I363">
            <v>2610</v>
          </cell>
        </row>
        <row r="364">
          <cell r="G364" t="str">
            <v>32004SWEETNESS</v>
          </cell>
          <cell r="H364">
            <v>755</v>
          </cell>
          <cell r="I364">
            <v>540</v>
          </cell>
        </row>
        <row r="365">
          <cell r="G365" t="str">
            <v>32005EXPLORER</v>
          </cell>
          <cell r="H365">
            <v>1215</v>
          </cell>
          <cell r="I365">
            <v>1425</v>
          </cell>
        </row>
        <row r="366">
          <cell r="G366" t="str">
            <v>32005GOLDFINCH</v>
          </cell>
          <cell r="H366">
            <v>936</v>
          </cell>
          <cell r="I366">
            <v>900</v>
          </cell>
        </row>
        <row r="367">
          <cell r="G367" t="str">
            <v>32005JOCKER</v>
          </cell>
          <cell r="H367">
            <v>2026</v>
          </cell>
          <cell r="I367">
            <v>2375</v>
          </cell>
        </row>
        <row r="368">
          <cell r="G368" t="str">
            <v>32005VENDELA</v>
          </cell>
          <cell r="H368">
            <v>2159</v>
          </cell>
          <cell r="I368">
            <v>1710</v>
          </cell>
        </row>
        <row r="369">
          <cell r="G369" t="str">
            <v>32006ATOMIC</v>
          </cell>
          <cell r="H369">
            <v>1088</v>
          </cell>
          <cell r="I369">
            <v>950</v>
          </cell>
        </row>
        <row r="370">
          <cell r="G370" t="str">
            <v>32006EXPLORER</v>
          </cell>
          <cell r="H370">
            <v>5658</v>
          </cell>
          <cell r="I370">
            <v>5100</v>
          </cell>
        </row>
        <row r="371">
          <cell r="G371" t="str">
            <v>32006MONDIAL</v>
          </cell>
          <cell r="H371">
            <v>6266</v>
          </cell>
          <cell r="I371">
            <v>9500</v>
          </cell>
        </row>
        <row r="372">
          <cell r="G372" t="str">
            <v>32007COTOPAXI</v>
          </cell>
          <cell r="H372">
            <v>6492</v>
          </cell>
          <cell r="I372">
            <v>5850</v>
          </cell>
        </row>
        <row r="373">
          <cell r="G373" t="str">
            <v>32007REDIANT</v>
          </cell>
          <cell r="H373">
            <v>1383</v>
          </cell>
          <cell r="I373">
            <v>2160</v>
          </cell>
        </row>
        <row r="374">
          <cell r="G374" t="str">
            <v>32007VENDELA</v>
          </cell>
          <cell r="H374">
            <v>13641</v>
          </cell>
          <cell r="I374">
            <v>10650</v>
          </cell>
        </row>
        <row r="375">
          <cell r="G375" t="str">
            <v>32008DEEP PURPLE</v>
          </cell>
          <cell r="H375">
            <v>5519</v>
          </cell>
          <cell r="I375">
            <v>5670</v>
          </cell>
        </row>
        <row r="376">
          <cell r="G376" t="str">
            <v>32008FREEDOM</v>
          </cell>
          <cell r="H376">
            <v>3614</v>
          </cell>
          <cell r="I376">
            <v>2610</v>
          </cell>
        </row>
        <row r="377">
          <cell r="G377" t="str">
            <v>32008JOCKER</v>
          </cell>
          <cell r="H377">
            <v>4772</v>
          </cell>
          <cell r="I377">
            <v>5750</v>
          </cell>
        </row>
        <row r="378">
          <cell r="G378" t="str">
            <v>32010COOLDOWN</v>
          </cell>
          <cell r="H378">
            <v>1799</v>
          </cell>
          <cell r="I378">
            <v>3825</v>
          </cell>
        </row>
        <row r="379">
          <cell r="G379" t="str">
            <v>32010VIOLET HILL</v>
          </cell>
          <cell r="H379">
            <v>2917</v>
          </cell>
          <cell r="I379">
            <v>5850</v>
          </cell>
        </row>
        <row r="380">
          <cell r="G380" t="str">
            <v>32011BRIGHTON</v>
          </cell>
          <cell r="H380">
            <v>3632</v>
          </cell>
          <cell r="I380">
            <v>3550</v>
          </cell>
        </row>
        <row r="381">
          <cell r="G381" t="str">
            <v>32011CANDLELIGHT</v>
          </cell>
          <cell r="H381">
            <v>3976</v>
          </cell>
          <cell r="I381">
            <v>4640</v>
          </cell>
        </row>
        <row r="382">
          <cell r="G382" t="str">
            <v>32011CAYENNE</v>
          </cell>
          <cell r="H382">
            <v>1186</v>
          </cell>
          <cell r="I382">
            <v>1530</v>
          </cell>
        </row>
        <row r="383">
          <cell r="G383" t="str">
            <v>32011LUMIA</v>
          </cell>
          <cell r="H383">
            <v>2932</v>
          </cell>
          <cell r="I383">
            <v>2640</v>
          </cell>
        </row>
        <row r="384">
          <cell r="G384" t="str">
            <v>32011STARDUST</v>
          </cell>
          <cell r="H384">
            <v>3074</v>
          </cell>
          <cell r="I384">
            <v>4525</v>
          </cell>
        </row>
        <row r="385">
          <cell r="G385" t="str">
            <v>32012DEEP PURPLE</v>
          </cell>
          <cell r="H385">
            <v>17690</v>
          </cell>
          <cell r="I385">
            <v>19410</v>
          </cell>
        </row>
        <row r="386">
          <cell r="G386" t="str">
            <v>32012LIGHT HOUSE</v>
          </cell>
          <cell r="H386">
            <v>1524</v>
          </cell>
          <cell r="I386">
            <v>2100</v>
          </cell>
        </row>
        <row r="387">
          <cell r="G387" t="str">
            <v>32013COUNTRY BLUES</v>
          </cell>
          <cell r="H387">
            <v>1314</v>
          </cell>
          <cell r="I387">
            <v>1400</v>
          </cell>
        </row>
        <row r="388">
          <cell r="G388" t="str">
            <v>32013LORRAINE</v>
          </cell>
          <cell r="H388">
            <v>3768</v>
          </cell>
          <cell r="I388">
            <v>4025</v>
          </cell>
        </row>
        <row r="389">
          <cell r="G389" t="str">
            <v>32013LUMIA</v>
          </cell>
          <cell r="H389">
            <v>1075</v>
          </cell>
          <cell r="I389">
            <v>960</v>
          </cell>
        </row>
        <row r="390">
          <cell r="G390" t="str">
            <v>32013VENDELA</v>
          </cell>
          <cell r="H390">
            <v>12686</v>
          </cell>
          <cell r="I390">
            <v>12150</v>
          </cell>
        </row>
        <row r="391">
          <cell r="G391" t="str">
            <v>32014STARDUST</v>
          </cell>
          <cell r="H391">
            <v>5475</v>
          </cell>
          <cell r="I391">
            <v>8575</v>
          </cell>
        </row>
        <row r="392">
          <cell r="G392" t="str">
            <v>32015JOCKER</v>
          </cell>
          <cell r="H392">
            <v>4398</v>
          </cell>
          <cell r="I392">
            <v>6750</v>
          </cell>
        </row>
        <row r="393">
          <cell r="G393" t="str">
            <v>32016DREAM IN PEACH</v>
          </cell>
          <cell r="H393">
            <v>1058</v>
          </cell>
          <cell r="I393">
            <v>1800</v>
          </cell>
        </row>
        <row r="394">
          <cell r="G394" t="str">
            <v>32016NINA</v>
          </cell>
          <cell r="H394">
            <v>3028</v>
          </cell>
          <cell r="I394">
            <v>3300</v>
          </cell>
        </row>
        <row r="395">
          <cell r="G395" t="str">
            <v>32017FREEDOM</v>
          </cell>
          <cell r="H395">
            <v>4837</v>
          </cell>
          <cell r="I395">
            <v>5400</v>
          </cell>
        </row>
        <row r="396">
          <cell r="G396" t="str">
            <v>32017GOLDFINCH</v>
          </cell>
          <cell r="H396">
            <v>2362</v>
          </cell>
          <cell r="I396">
            <v>3725</v>
          </cell>
        </row>
        <row r="397">
          <cell r="G397" t="str">
            <v>32018BRIGHTON</v>
          </cell>
          <cell r="H397">
            <v>1745</v>
          </cell>
          <cell r="I397">
            <v>2475</v>
          </cell>
        </row>
        <row r="398">
          <cell r="G398" t="str">
            <v>32019BRIGHTON</v>
          </cell>
          <cell r="H398">
            <v>6196</v>
          </cell>
          <cell r="I398">
            <v>9375</v>
          </cell>
        </row>
        <row r="399">
          <cell r="G399" t="str">
            <v>32019TABATHA</v>
          </cell>
          <cell r="H399">
            <v>2372</v>
          </cell>
          <cell r="I399">
            <v>2490</v>
          </cell>
        </row>
        <row r="400">
          <cell r="G400" t="str">
            <v>32020BRIGHTON</v>
          </cell>
          <cell r="H400">
            <v>4296</v>
          </cell>
          <cell r="I400">
            <v>5500</v>
          </cell>
        </row>
        <row r="401">
          <cell r="G401" t="str">
            <v>32020TYCOON</v>
          </cell>
          <cell r="H401">
            <v>704</v>
          </cell>
          <cell r="I401">
            <v>1350</v>
          </cell>
        </row>
        <row r="402">
          <cell r="G402" t="str">
            <v>32021SHOW GIRL</v>
          </cell>
          <cell r="H402">
            <v>1544</v>
          </cell>
          <cell r="I402">
            <v>1200</v>
          </cell>
        </row>
        <row r="403">
          <cell r="G403" t="str">
            <v>32022CORAL REEF</v>
          </cell>
          <cell r="H403">
            <v>2189</v>
          </cell>
          <cell r="I403">
            <v>2375</v>
          </cell>
        </row>
        <row r="404">
          <cell r="G404" t="str">
            <v>32023COTOPAXI</v>
          </cell>
          <cell r="H404">
            <v>6489</v>
          </cell>
          <cell r="I404">
            <v>6330</v>
          </cell>
        </row>
        <row r="405">
          <cell r="G405" t="str">
            <v>32023FRUTTETO</v>
          </cell>
          <cell r="H405">
            <v>5088</v>
          </cell>
          <cell r="I405">
            <v>6960</v>
          </cell>
        </row>
        <row r="406">
          <cell r="G406" t="str">
            <v>32024COTOPAXI</v>
          </cell>
          <cell r="H406">
            <v>3100</v>
          </cell>
          <cell r="I406">
            <v>4440</v>
          </cell>
        </row>
        <row r="407">
          <cell r="G407" t="str">
            <v>32024SWEETNESS</v>
          </cell>
          <cell r="H407">
            <v>1903</v>
          </cell>
          <cell r="I407">
            <v>2220</v>
          </cell>
        </row>
        <row r="408">
          <cell r="G408" t="str">
            <v>32024TYCOON</v>
          </cell>
          <cell r="H408">
            <v>2485</v>
          </cell>
          <cell r="I408">
            <v>5070</v>
          </cell>
        </row>
        <row r="409">
          <cell r="G409" t="str">
            <v>32025PINK MONDIAL</v>
          </cell>
          <cell r="H409">
            <v>4634</v>
          </cell>
          <cell r="I409">
            <v>7400</v>
          </cell>
        </row>
        <row r="410">
          <cell r="G410" t="str">
            <v>32026LOLA</v>
          </cell>
          <cell r="H410">
            <v>4603</v>
          </cell>
          <cell r="I410">
            <v>3400</v>
          </cell>
        </row>
        <row r="411">
          <cell r="G411" t="str">
            <v>32026PALOMA</v>
          </cell>
          <cell r="H411">
            <v>4775</v>
          </cell>
          <cell r="I411">
            <v>4675</v>
          </cell>
        </row>
        <row r="412">
          <cell r="G412" t="str">
            <v>32027SATISFACTION</v>
          </cell>
          <cell r="H412">
            <v>4572</v>
          </cell>
          <cell r="I412">
            <v>7230</v>
          </cell>
        </row>
        <row r="413">
          <cell r="G413" t="str">
            <v>32027TIFFANY</v>
          </cell>
          <cell r="H413">
            <v>4300</v>
          </cell>
          <cell r="I413">
            <v>6360</v>
          </cell>
        </row>
        <row r="414">
          <cell r="G414" t="str">
            <v>32028COTOPAXI</v>
          </cell>
          <cell r="H414">
            <v>5552</v>
          </cell>
          <cell r="I414">
            <v>5010</v>
          </cell>
        </row>
        <row r="415">
          <cell r="G415" t="str">
            <v>32028DEEP PURPLE</v>
          </cell>
          <cell r="H415">
            <v>8355</v>
          </cell>
          <cell r="I415">
            <v>7260</v>
          </cell>
        </row>
        <row r="416">
          <cell r="G416" t="str">
            <v>32029PINK FLOYD</v>
          </cell>
          <cell r="H416">
            <v>4267</v>
          </cell>
          <cell r="I416">
            <v>4350</v>
          </cell>
        </row>
        <row r="417">
          <cell r="G417" t="str">
            <v>32030EXPLORER</v>
          </cell>
          <cell r="H417">
            <v>2004</v>
          </cell>
          <cell r="I417">
            <v>2600</v>
          </cell>
        </row>
        <row r="418">
          <cell r="G418" t="str">
            <v>29008LUMIA</v>
          </cell>
          <cell r="H418">
            <v>2834</v>
          </cell>
          <cell r="I418">
            <v>2850</v>
          </cell>
        </row>
        <row r="419">
          <cell r="G419" t="str">
            <v>30008LUMIA</v>
          </cell>
          <cell r="H419">
            <v>1797</v>
          </cell>
          <cell r="I419">
            <v>2850</v>
          </cell>
        </row>
        <row r="420">
          <cell r="G420" t="str">
            <v>31008LUMIA</v>
          </cell>
          <cell r="H420">
            <v>1403</v>
          </cell>
          <cell r="I420">
            <v>2850</v>
          </cell>
        </row>
        <row r="421">
          <cell r="G421" t="str">
            <v>32008LUMIA</v>
          </cell>
          <cell r="H421">
            <v>1703</v>
          </cell>
          <cell r="I421">
            <v>2850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28002SOMERSET</v>
          </cell>
          <cell r="H2">
            <v>7280</v>
          </cell>
        </row>
        <row r="3">
          <cell r="G3" t="str">
            <v>28004BELLINA</v>
          </cell>
          <cell r="H3">
            <v>2115</v>
          </cell>
        </row>
        <row r="4">
          <cell r="G4" t="str">
            <v>28005ELBA</v>
          </cell>
          <cell r="H4">
            <v>6510</v>
          </cell>
        </row>
        <row r="5">
          <cell r="G5" t="str">
            <v>28005HOT BUBBLES</v>
          </cell>
          <cell r="H5">
            <v>1220</v>
          </cell>
        </row>
        <row r="6">
          <cell r="G6" t="str">
            <v>28005SUSPIRO</v>
          </cell>
          <cell r="H6">
            <v>2970</v>
          </cell>
        </row>
        <row r="7">
          <cell r="G7" t="str">
            <v>28007SNOW BUBBLES</v>
          </cell>
          <cell r="H7">
            <v>1100</v>
          </cell>
        </row>
        <row r="8">
          <cell r="G8" t="str">
            <v>28009HOT BUBBLES</v>
          </cell>
          <cell r="H8">
            <v>10540</v>
          </cell>
        </row>
        <row r="9">
          <cell r="G9" t="str">
            <v>28014FRUITY BUBBLES</v>
          </cell>
          <cell r="H9">
            <v>4350</v>
          </cell>
        </row>
        <row r="10">
          <cell r="G10" t="str">
            <v>28015FELLINI</v>
          </cell>
          <cell r="H10">
            <v>5840</v>
          </cell>
        </row>
        <row r="11">
          <cell r="G11" t="str">
            <v>28016GOOD PEACH</v>
          </cell>
          <cell r="H11">
            <v>3720</v>
          </cell>
        </row>
        <row r="12">
          <cell r="G12" t="str">
            <v>28016GOOD YELLOW</v>
          </cell>
          <cell r="H12">
            <v>4470</v>
          </cell>
        </row>
        <row r="13">
          <cell r="G13" t="str">
            <v>28017ORANGE STAR</v>
          </cell>
          <cell r="H13">
            <v>2000</v>
          </cell>
        </row>
        <row r="14">
          <cell r="G14" t="str">
            <v>28018COSMO</v>
          </cell>
          <cell r="H14">
            <v>3700</v>
          </cell>
        </row>
        <row r="15">
          <cell r="G15" t="str">
            <v>28018RUBICON</v>
          </cell>
          <cell r="H15">
            <v>3570</v>
          </cell>
        </row>
        <row r="16">
          <cell r="G16" t="str">
            <v>28019BELLINA</v>
          </cell>
          <cell r="H16">
            <v>1575</v>
          </cell>
        </row>
        <row r="17">
          <cell r="G17" t="str">
            <v>28020SUMMER DANCE</v>
          </cell>
          <cell r="H17">
            <v>3525</v>
          </cell>
        </row>
        <row r="18">
          <cell r="G18" t="str">
            <v>28021ELEGANT ROSEVER</v>
          </cell>
          <cell r="H18">
            <v>630</v>
          </cell>
        </row>
        <row r="19">
          <cell r="G19" t="str">
            <v>28021FLAME CLUB</v>
          </cell>
          <cell r="H19">
            <v>1400</v>
          </cell>
        </row>
        <row r="20">
          <cell r="G20" t="str">
            <v>28021KELLY</v>
          </cell>
          <cell r="H20">
            <v>575</v>
          </cell>
        </row>
        <row r="21">
          <cell r="G21" t="str">
            <v>28021LEILA</v>
          </cell>
          <cell r="H21">
            <v>850</v>
          </cell>
        </row>
        <row r="22">
          <cell r="G22" t="str">
            <v>28021PISTACHIO KISS</v>
          </cell>
          <cell r="H22">
            <v>50</v>
          </cell>
        </row>
        <row r="23">
          <cell r="G23" t="str">
            <v>28021SNOW BUBBLES</v>
          </cell>
          <cell r="H23">
            <v>1480</v>
          </cell>
        </row>
        <row r="24">
          <cell r="G24" t="str">
            <v>28022FRUITY BUBBLES</v>
          </cell>
          <cell r="H24">
            <v>5425</v>
          </cell>
        </row>
        <row r="25">
          <cell r="G25" t="str">
            <v>28022GOOD PEACH</v>
          </cell>
          <cell r="H25">
            <v>2430</v>
          </cell>
        </row>
        <row r="26">
          <cell r="G26" t="str">
            <v>28022MIRABEL</v>
          </cell>
          <cell r="H26">
            <v>2100</v>
          </cell>
        </row>
        <row r="27">
          <cell r="G27" t="str">
            <v>28030MIRABEL</v>
          </cell>
          <cell r="H27">
            <v>6100</v>
          </cell>
        </row>
        <row r="28">
          <cell r="G28" t="str">
            <v>28030SOMERSET</v>
          </cell>
          <cell r="H28">
            <v>3620</v>
          </cell>
        </row>
        <row r="29">
          <cell r="G29" t="str">
            <v>2803182989</v>
          </cell>
          <cell r="H29">
            <v>1280</v>
          </cell>
        </row>
        <row r="30">
          <cell r="G30" t="str">
            <v>28031RUBICON</v>
          </cell>
          <cell r="H30">
            <v>2520</v>
          </cell>
        </row>
        <row r="31">
          <cell r="G31" t="str">
            <v>28031SOMERSET</v>
          </cell>
          <cell r="H31">
            <v>520</v>
          </cell>
        </row>
        <row r="32">
          <cell r="G32" t="str">
            <v>28031VELVET BLOSSOMS</v>
          </cell>
          <cell r="H32">
            <v>720</v>
          </cell>
        </row>
        <row r="33">
          <cell r="G33" t="str">
            <v>28032ELBA</v>
          </cell>
          <cell r="H33">
            <v>3840</v>
          </cell>
        </row>
        <row r="34">
          <cell r="G34" t="str">
            <v>28032MIRABEL</v>
          </cell>
          <cell r="H34">
            <v>3040</v>
          </cell>
        </row>
        <row r="35">
          <cell r="G35" t="str">
            <v>28033CREAMY FOLIES</v>
          </cell>
          <cell r="H35">
            <v>930</v>
          </cell>
        </row>
        <row r="36">
          <cell r="G36" t="str">
            <v>28033HOT BUBBLES</v>
          </cell>
          <cell r="H36">
            <v>5440</v>
          </cell>
        </row>
        <row r="37">
          <cell r="G37" t="str">
            <v>28001BELIEVE IN PINK</v>
          </cell>
          <cell r="H37">
            <v>1350</v>
          </cell>
        </row>
        <row r="38">
          <cell r="G38" t="str">
            <v>28001EXPLORER</v>
          </cell>
          <cell r="H38">
            <v>4625</v>
          </cell>
        </row>
        <row r="39">
          <cell r="G39" t="str">
            <v>28001GRACE KELLY</v>
          </cell>
          <cell r="H39">
            <v>2190</v>
          </cell>
        </row>
        <row r="40">
          <cell r="G40" t="str">
            <v>28001LIGHT HOUSE</v>
          </cell>
          <cell r="H40">
            <v>2670</v>
          </cell>
        </row>
        <row r="41">
          <cell r="G41" t="str">
            <v>28001LUMIA</v>
          </cell>
          <cell r="H41">
            <v>2880</v>
          </cell>
        </row>
        <row r="42">
          <cell r="G42" t="str">
            <v>28001MOMENTUM</v>
          </cell>
          <cell r="H42">
            <v>4650</v>
          </cell>
        </row>
        <row r="43">
          <cell r="G43" t="str">
            <v>28002SUMMER ROMANCE</v>
          </cell>
          <cell r="H43">
            <v>1300</v>
          </cell>
        </row>
        <row r="44">
          <cell r="G44" t="str">
            <v>28002SWEETNESS</v>
          </cell>
          <cell r="H44">
            <v>8520</v>
          </cell>
        </row>
        <row r="45">
          <cell r="G45" t="str">
            <v>28003CABARET</v>
          </cell>
          <cell r="H45">
            <v>10230</v>
          </cell>
        </row>
        <row r="46">
          <cell r="G46" t="str">
            <v>28003DEEP PURPLE</v>
          </cell>
          <cell r="H46">
            <v>14220</v>
          </cell>
        </row>
        <row r="47">
          <cell r="G47" t="str">
            <v>28003EXPLORER</v>
          </cell>
          <cell r="H47">
            <v>2375</v>
          </cell>
        </row>
        <row r="48">
          <cell r="G48" t="str">
            <v>28003JOCKER</v>
          </cell>
          <cell r="H48">
            <v>1300</v>
          </cell>
        </row>
        <row r="49">
          <cell r="G49" t="str">
            <v>28003QUICKSAND</v>
          </cell>
          <cell r="H49">
            <v>2040</v>
          </cell>
        </row>
        <row r="50">
          <cell r="G50" t="str">
            <v>28004COTOPAXI</v>
          </cell>
          <cell r="H50">
            <v>1440</v>
          </cell>
        </row>
        <row r="51">
          <cell r="G51" t="str">
            <v>28004DEEP PURPLE</v>
          </cell>
          <cell r="H51">
            <v>16920</v>
          </cell>
        </row>
        <row r="52">
          <cell r="G52" t="str">
            <v>28004HOT EXPLORER</v>
          </cell>
          <cell r="H52">
            <v>2425</v>
          </cell>
        </row>
        <row r="53">
          <cell r="G53" t="str">
            <v>28004HOT MERENGUE</v>
          </cell>
          <cell r="H53">
            <v>2790</v>
          </cell>
        </row>
        <row r="54">
          <cell r="G54" t="str">
            <v>28004SWEETNESS</v>
          </cell>
          <cell r="H54">
            <v>660</v>
          </cell>
        </row>
        <row r="55">
          <cell r="G55" t="str">
            <v>28005EXPLORER</v>
          </cell>
          <cell r="H55">
            <v>1400</v>
          </cell>
        </row>
        <row r="56">
          <cell r="G56" t="str">
            <v>28005GOLDFINCH</v>
          </cell>
          <cell r="H56">
            <v>1125</v>
          </cell>
        </row>
        <row r="57">
          <cell r="G57" t="str">
            <v>28005JOCKER</v>
          </cell>
          <cell r="H57">
            <v>2900</v>
          </cell>
        </row>
        <row r="58">
          <cell r="G58" t="str">
            <v>28005VENDELA</v>
          </cell>
          <cell r="H58">
            <v>1620</v>
          </cell>
        </row>
        <row r="59">
          <cell r="G59" t="str">
            <v>28006ATOMIC</v>
          </cell>
          <cell r="H59">
            <v>1100</v>
          </cell>
        </row>
        <row r="60">
          <cell r="G60" t="str">
            <v>28006EXPLORER</v>
          </cell>
          <cell r="H60">
            <v>6050</v>
          </cell>
        </row>
        <row r="61">
          <cell r="G61" t="str">
            <v>28006MONDIAL</v>
          </cell>
          <cell r="H61">
            <v>8975</v>
          </cell>
        </row>
        <row r="62">
          <cell r="G62" t="str">
            <v>28007BELIEVE IN PINK</v>
          </cell>
          <cell r="H62">
            <v>0</v>
          </cell>
        </row>
        <row r="63">
          <cell r="G63" t="str">
            <v>28007COTOPAXI</v>
          </cell>
          <cell r="H63">
            <v>6570</v>
          </cell>
        </row>
        <row r="64">
          <cell r="G64" t="str">
            <v>28007REDIANT</v>
          </cell>
          <cell r="H64">
            <v>1710</v>
          </cell>
        </row>
        <row r="65">
          <cell r="G65" t="str">
            <v>28007SUMMER ROMANCE</v>
          </cell>
          <cell r="H65">
            <v>300</v>
          </cell>
        </row>
        <row r="66">
          <cell r="G66" t="str">
            <v>28007VENDELA</v>
          </cell>
          <cell r="H66">
            <v>9450</v>
          </cell>
        </row>
        <row r="67">
          <cell r="G67" t="str">
            <v>28008DEEP PURPLE</v>
          </cell>
          <cell r="H67">
            <v>8640</v>
          </cell>
        </row>
        <row r="68">
          <cell r="G68" t="str">
            <v>28008FREEDOM</v>
          </cell>
          <cell r="H68">
            <v>3960</v>
          </cell>
        </row>
        <row r="69">
          <cell r="G69" t="str">
            <v>28008JOCKER</v>
          </cell>
          <cell r="H69">
            <v>6700</v>
          </cell>
        </row>
        <row r="70">
          <cell r="G70" t="str">
            <v>28008LUMIA</v>
          </cell>
          <cell r="H70">
            <v>3180</v>
          </cell>
        </row>
        <row r="71">
          <cell r="G71" t="str">
            <v>28010COOLDOWN</v>
          </cell>
          <cell r="H71">
            <v>3725</v>
          </cell>
        </row>
        <row r="72">
          <cell r="G72" t="str">
            <v>28010VIOLET HILL</v>
          </cell>
          <cell r="H72">
            <v>6990</v>
          </cell>
        </row>
        <row r="73">
          <cell r="G73" t="str">
            <v>28011BRIGHTON</v>
          </cell>
          <cell r="H73">
            <v>3775</v>
          </cell>
        </row>
        <row r="74">
          <cell r="G74" t="str">
            <v>28011CANDLELIGHT</v>
          </cell>
          <cell r="H74">
            <v>4820</v>
          </cell>
        </row>
        <row r="75">
          <cell r="G75" t="str">
            <v>28011CAYENNE</v>
          </cell>
          <cell r="H75">
            <v>2220</v>
          </cell>
        </row>
        <row r="76">
          <cell r="G76" t="str">
            <v>28011LUMIA</v>
          </cell>
          <cell r="H76">
            <v>1890</v>
          </cell>
        </row>
        <row r="77">
          <cell r="G77" t="str">
            <v>28011STARDUST</v>
          </cell>
          <cell r="H77">
            <v>4025</v>
          </cell>
        </row>
        <row r="78">
          <cell r="G78" t="str">
            <v>28012DEEP PURPLE</v>
          </cell>
          <cell r="H78">
            <v>24420</v>
          </cell>
        </row>
        <row r="79">
          <cell r="G79" t="str">
            <v>28012LIGHT HOUSE</v>
          </cell>
          <cell r="H79">
            <v>2460</v>
          </cell>
        </row>
        <row r="80">
          <cell r="G80" t="str">
            <v>28013COUNTRY BLUES</v>
          </cell>
          <cell r="H80">
            <v>1440</v>
          </cell>
        </row>
        <row r="81">
          <cell r="G81" t="str">
            <v>28013LORRAINE</v>
          </cell>
          <cell r="H81">
            <v>4600</v>
          </cell>
        </row>
        <row r="82">
          <cell r="G82" t="str">
            <v>28013LUMIA</v>
          </cell>
          <cell r="H82">
            <v>630</v>
          </cell>
        </row>
        <row r="83">
          <cell r="G83" t="str">
            <v>28013VENDELA</v>
          </cell>
          <cell r="H83">
            <v>12300</v>
          </cell>
        </row>
        <row r="84">
          <cell r="G84" t="str">
            <v>28014STARDUST</v>
          </cell>
          <cell r="H84">
            <v>9075</v>
          </cell>
        </row>
        <row r="85">
          <cell r="G85" t="str">
            <v>28015JOCKER</v>
          </cell>
          <cell r="H85">
            <v>7725</v>
          </cell>
        </row>
        <row r="86">
          <cell r="G86" t="str">
            <v>28016DREAM IN PEACH</v>
          </cell>
          <cell r="H86">
            <v>1950</v>
          </cell>
        </row>
        <row r="87">
          <cell r="G87" t="str">
            <v>28016NINA</v>
          </cell>
          <cell r="H87">
            <v>3875</v>
          </cell>
        </row>
        <row r="88">
          <cell r="G88" t="str">
            <v>28017FREEDOM</v>
          </cell>
          <cell r="H88">
            <v>6390</v>
          </cell>
        </row>
        <row r="89">
          <cell r="G89" t="str">
            <v>28017GOLDFINCH</v>
          </cell>
          <cell r="H89">
            <v>3500</v>
          </cell>
        </row>
        <row r="90">
          <cell r="G90" t="str">
            <v>28018BRIGHTON</v>
          </cell>
          <cell r="H90">
            <v>3175</v>
          </cell>
        </row>
        <row r="91">
          <cell r="G91" t="str">
            <v>28019BRIGHTON</v>
          </cell>
          <cell r="H91">
            <v>9975</v>
          </cell>
        </row>
        <row r="92">
          <cell r="G92" t="str">
            <v>28019TABATHA</v>
          </cell>
          <cell r="H92">
            <v>2250</v>
          </cell>
        </row>
        <row r="93">
          <cell r="G93" t="str">
            <v>28020BRIGHTON</v>
          </cell>
          <cell r="H93">
            <v>6450</v>
          </cell>
        </row>
        <row r="94">
          <cell r="G94" t="str">
            <v>28020TYCOON</v>
          </cell>
          <cell r="H94">
            <v>1500</v>
          </cell>
        </row>
        <row r="95">
          <cell r="G95" t="str">
            <v>28021SHOW GIRL</v>
          </cell>
          <cell r="H95">
            <v>1225</v>
          </cell>
        </row>
        <row r="96">
          <cell r="G96" t="str">
            <v>28022CORAL REEF</v>
          </cell>
          <cell r="H96">
            <v>2425</v>
          </cell>
        </row>
        <row r="97">
          <cell r="G97" t="str">
            <v>28023COTOPAXI</v>
          </cell>
          <cell r="H97">
            <v>7050</v>
          </cell>
        </row>
        <row r="98">
          <cell r="G98" t="str">
            <v>28023FRUTTETO</v>
          </cell>
          <cell r="H98">
            <v>7980</v>
          </cell>
        </row>
        <row r="99">
          <cell r="G99" t="str">
            <v>28024COTOPAXI</v>
          </cell>
          <cell r="H99">
            <v>3390</v>
          </cell>
        </row>
        <row r="100">
          <cell r="G100" t="str">
            <v>28024SWEETNESS</v>
          </cell>
          <cell r="H100">
            <v>2490</v>
          </cell>
        </row>
        <row r="101">
          <cell r="G101" t="str">
            <v>28024TYCOON</v>
          </cell>
          <cell r="H101">
            <v>4410</v>
          </cell>
        </row>
        <row r="102">
          <cell r="G102" t="str">
            <v>28025PINK MONDIAL</v>
          </cell>
          <cell r="H102">
            <v>7125</v>
          </cell>
        </row>
        <row r="103">
          <cell r="G103" t="str">
            <v>28026LOLA</v>
          </cell>
          <cell r="H103">
            <v>4250</v>
          </cell>
        </row>
        <row r="104">
          <cell r="G104" t="str">
            <v>28026PALOMA</v>
          </cell>
          <cell r="H104">
            <v>4850</v>
          </cell>
        </row>
        <row r="105">
          <cell r="G105" t="str">
            <v>28027SATISFACTION</v>
          </cell>
          <cell r="H105">
            <v>6180</v>
          </cell>
        </row>
        <row r="106">
          <cell r="G106" t="str">
            <v>28027TIFFANY</v>
          </cell>
          <cell r="H106">
            <v>5430</v>
          </cell>
        </row>
        <row r="107">
          <cell r="G107" t="str">
            <v>28028COTOPAXI</v>
          </cell>
          <cell r="H107">
            <v>6150</v>
          </cell>
        </row>
        <row r="108">
          <cell r="G108" t="str">
            <v>28028DEEP PURPLE</v>
          </cell>
          <cell r="H108">
            <v>7650</v>
          </cell>
        </row>
        <row r="109">
          <cell r="G109" t="str">
            <v>28029PINK FLOYD</v>
          </cell>
          <cell r="H109">
            <v>4125</v>
          </cell>
        </row>
        <row r="110">
          <cell r="G110" t="str">
            <v>28030EXPLORER</v>
          </cell>
          <cell r="H110">
            <v>3125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8515">
          <cell r="G8515" t="str">
            <v>27002SOMERSET</v>
          </cell>
          <cell r="H8515">
            <v>7100</v>
          </cell>
        </row>
        <row r="8516">
          <cell r="G8516" t="str">
            <v>27004BELLINA</v>
          </cell>
          <cell r="H8516">
            <v>1830</v>
          </cell>
        </row>
        <row r="8517">
          <cell r="G8517" t="str">
            <v>27005ELBA</v>
          </cell>
          <cell r="H8517">
            <v>6660</v>
          </cell>
        </row>
        <row r="8518">
          <cell r="G8518" t="str">
            <v>27005HOT BUBBLES</v>
          </cell>
          <cell r="H8518">
            <v>1340</v>
          </cell>
        </row>
        <row r="8519">
          <cell r="G8519" t="str">
            <v>27005SUSPIRO</v>
          </cell>
          <cell r="H8519">
            <v>3300</v>
          </cell>
        </row>
        <row r="8520">
          <cell r="G8520" t="str">
            <v>27007SNOW BUBBLES</v>
          </cell>
          <cell r="H8520">
            <v>900</v>
          </cell>
        </row>
        <row r="8521">
          <cell r="G8521" t="str">
            <v>27009HOT BUBBLES</v>
          </cell>
          <cell r="H8521">
            <v>12160</v>
          </cell>
        </row>
        <row r="8522">
          <cell r="G8522" t="str">
            <v>27014FRUITY BUBBLES</v>
          </cell>
          <cell r="H8522">
            <v>4250</v>
          </cell>
        </row>
        <row r="8523">
          <cell r="G8523" t="str">
            <v>27015FELLINI</v>
          </cell>
          <cell r="H8523">
            <v>6540</v>
          </cell>
        </row>
        <row r="8524">
          <cell r="G8524" t="str">
            <v>27016GOOD PEACH</v>
          </cell>
          <cell r="H8524">
            <v>4320</v>
          </cell>
        </row>
        <row r="8525">
          <cell r="G8525" t="str">
            <v>27016GOOD YELLOW</v>
          </cell>
          <cell r="H8525">
            <v>4980</v>
          </cell>
        </row>
        <row r="8526">
          <cell r="G8526" t="str">
            <v>27017ORANGE STAR</v>
          </cell>
          <cell r="H8526">
            <v>2200</v>
          </cell>
        </row>
        <row r="8527">
          <cell r="G8527" t="str">
            <v>27018COSMO</v>
          </cell>
          <cell r="H8527">
            <v>2875</v>
          </cell>
        </row>
        <row r="8528">
          <cell r="G8528" t="str">
            <v>27018RUBICON</v>
          </cell>
          <cell r="H8528">
            <v>5250</v>
          </cell>
        </row>
        <row r="8529">
          <cell r="G8529" t="str">
            <v>27019BELLINA</v>
          </cell>
          <cell r="H8529">
            <v>1590</v>
          </cell>
        </row>
        <row r="8530">
          <cell r="G8530" t="str">
            <v>27020SUMMER DANCE</v>
          </cell>
          <cell r="H8530">
            <v>3375</v>
          </cell>
        </row>
        <row r="8531">
          <cell r="G8531" t="str">
            <v>27021ELEGANT ROSEVER</v>
          </cell>
          <cell r="H8531">
            <v>840</v>
          </cell>
        </row>
        <row r="8532">
          <cell r="G8532" t="str">
            <v>27021FLAME CLUB</v>
          </cell>
          <cell r="H8532">
            <v>1250</v>
          </cell>
        </row>
        <row r="8533">
          <cell r="G8533" t="str">
            <v>27021KELLY</v>
          </cell>
          <cell r="H8533">
            <v>650</v>
          </cell>
        </row>
        <row r="8534">
          <cell r="G8534" t="str">
            <v>27021LEILA</v>
          </cell>
          <cell r="H8534">
            <v>1300</v>
          </cell>
        </row>
        <row r="8535">
          <cell r="G8535" t="str">
            <v>27021SNOW BUBBLES</v>
          </cell>
          <cell r="H8535">
            <v>1520</v>
          </cell>
        </row>
        <row r="8536">
          <cell r="G8536" t="str">
            <v>27022FRUITY BUBBLES</v>
          </cell>
          <cell r="H8536">
            <v>6175</v>
          </cell>
        </row>
        <row r="8537">
          <cell r="G8537" t="str">
            <v>27022GOOD PEACH</v>
          </cell>
          <cell r="H8537">
            <v>2460</v>
          </cell>
        </row>
        <row r="8538">
          <cell r="G8538" t="str">
            <v>27022MIRABEL</v>
          </cell>
          <cell r="H8538">
            <v>1840</v>
          </cell>
        </row>
        <row r="8539">
          <cell r="G8539" t="str">
            <v>27026PURPLE BUBBLY</v>
          </cell>
          <cell r="H8539" t="e">
            <v>#N/A</v>
          </cell>
        </row>
        <row r="8540">
          <cell r="G8540" t="str">
            <v>27030MIRABEL</v>
          </cell>
          <cell r="H8540">
            <v>6820</v>
          </cell>
        </row>
        <row r="8541">
          <cell r="G8541" t="str">
            <v>27030SOMERSET</v>
          </cell>
          <cell r="H8541">
            <v>3600</v>
          </cell>
        </row>
        <row r="8542">
          <cell r="G8542" t="str">
            <v>2703182989</v>
          </cell>
          <cell r="H8542">
            <v>2720</v>
          </cell>
        </row>
        <row r="8543">
          <cell r="G8543" t="str">
            <v>27031RUBICON</v>
          </cell>
          <cell r="H8543">
            <v>3930</v>
          </cell>
        </row>
        <row r="8544">
          <cell r="G8544" t="str">
            <v>27031SOMERSET</v>
          </cell>
          <cell r="H8544">
            <v>720</v>
          </cell>
        </row>
        <row r="8545">
          <cell r="G8545" t="str">
            <v>27031VELVET BLOSSOMS</v>
          </cell>
          <cell r="H8545">
            <v>800</v>
          </cell>
        </row>
        <row r="8546">
          <cell r="G8546" t="str">
            <v>27032ELBA</v>
          </cell>
          <cell r="H8546">
            <v>4800</v>
          </cell>
        </row>
        <row r="8547">
          <cell r="G8547" t="str">
            <v>27032MIRABEL</v>
          </cell>
          <cell r="H8547">
            <v>3820</v>
          </cell>
        </row>
        <row r="8548">
          <cell r="G8548" t="str">
            <v>27033CREAMY FOLIES</v>
          </cell>
          <cell r="H8548">
            <v>1410</v>
          </cell>
        </row>
        <row r="8549">
          <cell r="G8549" t="str">
            <v>27033HOT BUBBLES</v>
          </cell>
          <cell r="H8549">
            <v>4240</v>
          </cell>
        </row>
        <row r="8550">
          <cell r="G8550" t="str">
            <v>27001BELIEVE IN PINK</v>
          </cell>
          <cell r="H8550">
            <v>1260</v>
          </cell>
        </row>
        <row r="8551">
          <cell r="G8551" t="str">
            <v>27001EXPLORER</v>
          </cell>
          <cell r="H8551">
            <v>5700</v>
          </cell>
        </row>
        <row r="8552">
          <cell r="G8552" t="str">
            <v>27001GRACE KELLY</v>
          </cell>
          <cell r="H8552">
            <v>1950</v>
          </cell>
        </row>
        <row r="8553">
          <cell r="G8553" t="str">
            <v>27001IDOLE</v>
          </cell>
          <cell r="H8553" t="e">
            <v>#N/A</v>
          </cell>
        </row>
        <row r="8554">
          <cell r="G8554" t="str">
            <v>27001LIGHT HOUSE</v>
          </cell>
          <cell r="H8554">
            <v>2760</v>
          </cell>
        </row>
        <row r="8555">
          <cell r="G8555" t="str">
            <v>27001LUMIA</v>
          </cell>
          <cell r="H8555">
            <v>2040</v>
          </cell>
        </row>
        <row r="8556">
          <cell r="G8556" t="str">
            <v>27001MOMENTUM</v>
          </cell>
          <cell r="H8556">
            <v>4275</v>
          </cell>
        </row>
        <row r="8557">
          <cell r="G8557" t="str">
            <v>27002SUMMER ROMANCE</v>
          </cell>
          <cell r="H8557">
            <v>1200</v>
          </cell>
        </row>
        <row r="8558">
          <cell r="G8558" t="str">
            <v>27002SWEETNESS</v>
          </cell>
          <cell r="H8558">
            <v>5790</v>
          </cell>
        </row>
        <row r="8559">
          <cell r="G8559" t="str">
            <v>27003CABARET</v>
          </cell>
          <cell r="H8559">
            <v>8850</v>
          </cell>
        </row>
        <row r="8560">
          <cell r="G8560" t="str">
            <v>27003DEEP PURPLE</v>
          </cell>
          <cell r="H8560">
            <v>14310</v>
          </cell>
        </row>
        <row r="8561">
          <cell r="G8561" t="str">
            <v>27003EXPLORER</v>
          </cell>
          <cell r="H8561">
            <v>3075</v>
          </cell>
        </row>
        <row r="8562">
          <cell r="G8562" t="str">
            <v>27003JOCKER</v>
          </cell>
          <cell r="H8562">
            <v>1300</v>
          </cell>
        </row>
        <row r="8563">
          <cell r="G8563" t="str">
            <v>27003QUICKSAND</v>
          </cell>
          <cell r="H8563">
            <v>2040</v>
          </cell>
        </row>
        <row r="8564">
          <cell r="G8564" t="str">
            <v>27004COTOPAXI</v>
          </cell>
          <cell r="H8564">
            <v>2010</v>
          </cell>
        </row>
        <row r="8565">
          <cell r="G8565" t="str">
            <v>27004DEEP PURPLE</v>
          </cell>
          <cell r="H8565">
            <v>21360</v>
          </cell>
        </row>
        <row r="8566">
          <cell r="G8566" t="str">
            <v>27004HOT EXPLORER</v>
          </cell>
          <cell r="H8566">
            <v>3900</v>
          </cell>
        </row>
        <row r="8567">
          <cell r="G8567" t="str">
            <v>27004HOT MERENGUE</v>
          </cell>
          <cell r="H8567">
            <v>3210</v>
          </cell>
        </row>
        <row r="8568">
          <cell r="G8568" t="str">
            <v>27004SWEETNESS</v>
          </cell>
          <cell r="H8568">
            <v>510</v>
          </cell>
        </row>
        <row r="8569">
          <cell r="G8569" t="str">
            <v>27005EXPLORER</v>
          </cell>
          <cell r="H8569">
            <v>1925</v>
          </cell>
        </row>
        <row r="8570">
          <cell r="G8570" t="str">
            <v>27005GOLDFINCH</v>
          </cell>
          <cell r="H8570">
            <v>1175</v>
          </cell>
        </row>
        <row r="8571">
          <cell r="G8571" t="str">
            <v>27005JOCKER</v>
          </cell>
          <cell r="H8571">
            <v>2350</v>
          </cell>
        </row>
        <row r="8572">
          <cell r="G8572" t="str">
            <v>27005VENDELA</v>
          </cell>
          <cell r="H8572">
            <v>1680</v>
          </cell>
        </row>
        <row r="8573">
          <cell r="G8573" t="str">
            <v>27006ATOMIC</v>
          </cell>
          <cell r="H8573">
            <v>1275</v>
          </cell>
        </row>
        <row r="8574">
          <cell r="G8574" t="str">
            <v>27006EXPLORER</v>
          </cell>
          <cell r="H8574">
            <v>8050</v>
          </cell>
        </row>
        <row r="8575">
          <cell r="G8575" t="str">
            <v>27006MONDIAL</v>
          </cell>
          <cell r="H8575">
            <v>6625</v>
          </cell>
        </row>
        <row r="8576">
          <cell r="G8576" t="str">
            <v>27007COTOPAXI</v>
          </cell>
          <cell r="H8576">
            <v>8100</v>
          </cell>
        </row>
        <row r="8577">
          <cell r="G8577" t="str">
            <v>27007REDIANT</v>
          </cell>
          <cell r="H8577">
            <v>1920</v>
          </cell>
        </row>
        <row r="8578">
          <cell r="G8578" t="str">
            <v>27007VENDELA</v>
          </cell>
          <cell r="H8578">
            <v>9210</v>
          </cell>
        </row>
        <row r="8579">
          <cell r="G8579" t="str">
            <v>27008DEEP PURPLE</v>
          </cell>
          <cell r="H8579">
            <v>8190</v>
          </cell>
        </row>
        <row r="8580">
          <cell r="G8580" t="str">
            <v>27008FREEDOM</v>
          </cell>
          <cell r="H8580">
            <v>4380</v>
          </cell>
        </row>
        <row r="8581">
          <cell r="G8581" t="str">
            <v>27008JOCKER</v>
          </cell>
          <cell r="H8581">
            <v>5500</v>
          </cell>
        </row>
        <row r="8582">
          <cell r="G8582" t="str">
            <v>27010COOLDOWN</v>
          </cell>
          <cell r="H8582">
            <v>3520</v>
          </cell>
        </row>
        <row r="8583">
          <cell r="G8583" t="str">
            <v>27010VIOLET HILL</v>
          </cell>
          <cell r="H8583">
            <v>6180</v>
          </cell>
        </row>
        <row r="8584">
          <cell r="G8584" t="str">
            <v>27011BRIGHTON</v>
          </cell>
          <cell r="H8584">
            <v>3325</v>
          </cell>
        </row>
        <row r="8585">
          <cell r="G8585" t="str">
            <v>27011CANDLELIGHT</v>
          </cell>
          <cell r="H8585">
            <v>7180</v>
          </cell>
        </row>
        <row r="8586">
          <cell r="G8586" t="str">
            <v>27011CAYENNE</v>
          </cell>
          <cell r="H8586">
            <v>1650</v>
          </cell>
        </row>
        <row r="8587">
          <cell r="G8587" t="str">
            <v>27011LUMIA</v>
          </cell>
          <cell r="H8587">
            <v>1890</v>
          </cell>
        </row>
        <row r="8588">
          <cell r="G8588" t="str">
            <v>27011STARDUST</v>
          </cell>
          <cell r="H8588">
            <v>3800</v>
          </cell>
        </row>
        <row r="8589">
          <cell r="G8589" t="str">
            <v>27012DEEP PURPLE</v>
          </cell>
          <cell r="H8589">
            <v>22050</v>
          </cell>
        </row>
        <row r="8590">
          <cell r="G8590" t="str">
            <v>27012LIGHT HOUSE</v>
          </cell>
          <cell r="H8590">
            <v>2040</v>
          </cell>
        </row>
        <row r="8591">
          <cell r="G8591" t="str">
            <v>27013COUNTRY BLUES</v>
          </cell>
          <cell r="H8591">
            <v>1240</v>
          </cell>
        </row>
        <row r="8592">
          <cell r="G8592" t="str">
            <v>27013LORRAINE</v>
          </cell>
          <cell r="H8592">
            <v>4175</v>
          </cell>
        </row>
        <row r="8593">
          <cell r="G8593" t="str">
            <v>27013LUMIA</v>
          </cell>
          <cell r="H8593">
            <v>900</v>
          </cell>
        </row>
        <row r="8594">
          <cell r="G8594" t="str">
            <v>27013VENDELA</v>
          </cell>
          <cell r="H8594">
            <v>13380</v>
          </cell>
        </row>
        <row r="8595">
          <cell r="G8595" t="str">
            <v>27014STARDUST</v>
          </cell>
          <cell r="H8595">
            <v>7475</v>
          </cell>
        </row>
        <row r="8596">
          <cell r="G8596" t="str">
            <v>27015JOCKER</v>
          </cell>
          <cell r="H8596">
            <v>6175</v>
          </cell>
        </row>
        <row r="8597">
          <cell r="G8597" t="str">
            <v>27016DREAM IN PEACH</v>
          </cell>
          <cell r="H8597">
            <v>2400</v>
          </cell>
        </row>
        <row r="8598">
          <cell r="G8598" t="str">
            <v>27016NINA</v>
          </cell>
          <cell r="H8598">
            <v>4900</v>
          </cell>
        </row>
        <row r="8599">
          <cell r="G8599" t="str">
            <v>27017FREEDOM</v>
          </cell>
          <cell r="H8599">
            <v>5880</v>
          </cell>
        </row>
        <row r="8600">
          <cell r="G8600" t="str">
            <v>27017GOLDFINCH</v>
          </cell>
          <cell r="H8600">
            <v>3325</v>
          </cell>
        </row>
        <row r="8601">
          <cell r="G8601" t="str">
            <v>27018BRIGHTON</v>
          </cell>
          <cell r="H8601">
            <v>2700</v>
          </cell>
        </row>
        <row r="8602">
          <cell r="G8602" t="str">
            <v>27019BRIGHTON</v>
          </cell>
          <cell r="H8602">
            <v>8350</v>
          </cell>
        </row>
        <row r="8603">
          <cell r="G8603" t="str">
            <v>27019TABATHA</v>
          </cell>
          <cell r="H8603">
            <v>2610</v>
          </cell>
        </row>
        <row r="8604">
          <cell r="G8604" t="str">
            <v>27020BRIGHTON</v>
          </cell>
          <cell r="H8604">
            <v>6700</v>
          </cell>
        </row>
        <row r="8605">
          <cell r="G8605" t="str">
            <v>27020TYCOON</v>
          </cell>
          <cell r="H8605">
            <v>1380</v>
          </cell>
        </row>
        <row r="8606">
          <cell r="G8606" t="str">
            <v>27021SHOW GIRL</v>
          </cell>
          <cell r="H8606">
            <v>1475</v>
          </cell>
        </row>
        <row r="8607">
          <cell r="G8607" t="str">
            <v>27022CORAL REEF</v>
          </cell>
          <cell r="H8607">
            <v>2725</v>
          </cell>
        </row>
        <row r="8608">
          <cell r="G8608" t="str">
            <v>27023COTOPAXI</v>
          </cell>
          <cell r="H8608">
            <v>6570</v>
          </cell>
        </row>
        <row r="8609">
          <cell r="G8609" t="str">
            <v>27023FRUTTETO</v>
          </cell>
          <cell r="H8609">
            <v>8490</v>
          </cell>
        </row>
        <row r="8610">
          <cell r="G8610" t="str">
            <v>27024COTOPAXI</v>
          </cell>
          <cell r="H8610">
            <v>3150</v>
          </cell>
        </row>
        <row r="8611">
          <cell r="G8611" t="str">
            <v>27024SWEETNESS</v>
          </cell>
          <cell r="H8611">
            <v>1950</v>
          </cell>
        </row>
        <row r="8612">
          <cell r="G8612" t="str">
            <v>27024TYCOON</v>
          </cell>
          <cell r="H8612">
            <v>4230</v>
          </cell>
        </row>
        <row r="8613">
          <cell r="G8613" t="str">
            <v>27025PINK MONDIAL</v>
          </cell>
          <cell r="H8613">
            <v>5700</v>
          </cell>
        </row>
        <row r="8614">
          <cell r="G8614" t="str">
            <v>27026LOLA</v>
          </cell>
          <cell r="H8614">
            <v>6300</v>
          </cell>
        </row>
        <row r="8615">
          <cell r="G8615" t="str">
            <v>27026PALOMA</v>
          </cell>
          <cell r="H8615">
            <v>7150</v>
          </cell>
        </row>
        <row r="8616">
          <cell r="G8616" t="str">
            <v>27027SATISFACTION</v>
          </cell>
          <cell r="H8616">
            <v>5460</v>
          </cell>
        </row>
        <row r="8617">
          <cell r="G8617" t="str">
            <v>27027TIFFANY</v>
          </cell>
          <cell r="H8617">
            <v>4590</v>
          </cell>
        </row>
        <row r="8618">
          <cell r="G8618" t="str">
            <v>27028COTOPAXI</v>
          </cell>
          <cell r="H8618">
            <v>5850</v>
          </cell>
        </row>
        <row r="8619">
          <cell r="G8619" t="str">
            <v>27028DEEP PURPLE</v>
          </cell>
          <cell r="H8619">
            <v>9150</v>
          </cell>
        </row>
        <row r="8620">
          <cell r="G8620" t="str">
            <v>27029PINK FLOYD</v>
          </cell>
          <cell r="H8620">
            <v>3875</v>
          </cell>
        </row>
        <row r="8621">
          <cell r="G8621" t="str">
            <v>27030EXPLORER</v>
          </cell>
          <cell r="H8621">
            <v>3725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26002SOMERSET</v>
          </cell>
          <cell r="H2">
            <v>8260</v>
          </cell>
        </row>
        <row r="3">
          <cell r="G3" t="str">
            <v>26004BELLINA</v>
          </cell>
          <cell r="H3">
            <v>1950</v>
          </cell>
        </row>
        <row r="4">
          <cell r="G4" t="str">
            <v>26005ELBA</v>
          </cell>
          <cell r="H4">
            <v>7230</v>
          </cell>
        </row>
        <row r="5">
          <cell r="G5" t="str">
            <v>26005HOT BUBBLES</v>
          </cell>
          <cell r="H5">
            <v>1300</v>
          </cell>
        </row>
        <row r="6">
          <cell r="G6" t="str">
            <v>26005SUSPIRO</v>
          </cell>
          <cell r="H6">
            <v>3330</v>
          </cell>
        </row>
        <row r="7">
          <cell r="G7" t="str">
            <v>26007SNOW BUBBLES</v>
          </cell>
          <cell r="H7">
            <v>960</v>
          </cell>
        </row>
        <row r="8">
          <cell r="G8" t="str">
            <v>26009HOT BUBBLES</v>
          </cell>
          <cell r="H8">
            <v>13480</v>
          </cell>
        </row>
        <row r="9">
          <cell r="G9" t="str">
            <v>26014FRUITY BUBBLES</v>
          </cell>
          <cell r="H9">
            <v>4200</v>
          </cell>
        </row>
        <row r="10">
          <cell r="G10" t="str">
            <v>26015FELLINI</v>
          </cell>
          <cell r="H10">
            <v>7175</v>
          </cell>
        </row>
        <row r="11">
          <cell r="G11" t="str">
            <v>26016GOOD PEACH</v>
          </cell>
          <cell r="H11">
            <v>3330</v>
          </cell>
        </row>
        <row r="12">
          <cell r="G12" t="str">
            <v>26016GOOD YELLOW</v>
          </cell>
          <cell r="H12">
            <v>4560</v>
          </cell>
        </row>
        <row r="13">
          <cell r="G13" t="str">
            <v>26017ORANGE STAR</v>
          </cell>
          <cell r="H13">
            <v>1900</v>
          </cell>
        </row>
        <row r="14">
          <cell r="G14" t="str">
            <v>26018COSMO</v>
          </cell>
          <cell r="H14">
            <v>2925</v>
          </cell>
        </row>
        <row r="15">
          <cell r="G15" t="str">
            <v>26018RUBICON</v>
          </cell>
          <cell r="H15">
            <v>7140</v>
          </cell>
        </row>
        <row r="16">
          <cell r="G16" t="str">
            <v>26019BELLINA</v>
          </cell>
          <cell r="H16">
            <v>1800</v>
          </cell>
        </row>
        <row r="17">
          <cell r="G17" t="str">
            <v>26020SUMMER DANCE</v>
          </cell>
          <cell r="H17">
            <v>3625</v>
          </cell>
        </row>
        <row r="18">
          <cell r="G18" t="str">
            <v>26021ELEGANT ROSEVER</v>
          </cell>
          <cell r="H18">
            <v>630</v>
          </cell>
        </row>
        <row r="19">
          <cell r="G19" t="str">
            <v>26021FLAME CLUB</v>
          </cell>
          <cell r="H19">
            <v>1700</v>
          </cell>
        </row>
        <row r="20">
          <cell r="G20" t="str">
            <v>26021KELLY</v>
          </cell>
          <cell r="H20">
            <v>775</v>
          </cell>
        </row>
        <row r="21">
          <cell r="G21" t="str">
            <v>26021LEILA</v>
          </cell>
          <cell r="H21">
            <v>1850</v>
          </cell>
        </row>
        <row r="22">
          <cell r="G22" t="str">
            <v>26021PISTACHIO KISS</v>
          </cell>
          <cell r="H22">
            <v>200</v>
          </cell>
        </row>
        <row r="23">
          <cell r="G23" t="str">
            <v>26021SNOW BUBBLES</v>
          </cell>
          <cell r="H23">
            <v>1380</v>
          </cell>
        </row>
        <row r="24">
          <cell r="G24" t="str">
            <v>26022FRUITY BUBBLES</v>
          </cell>
          <cell r="H24">
            <v>6050</v>
          </cell>
        </row>
        <row r="25">
          <cell r="G25" t="str">
            <v>26022GOOD PEACH</v>
          </cell>
          <cell r="H25">
            <v>2130</v>
          </cell>
        </row>
        <row r="26">
          <cell r="G26" t="str">
            <v>26022MIRABEL</v>
          </cell>
          <cell r="H26">
            <v>1600</v>
          </cell>
        </row>
        <row r="27">
          <cell r="G27" t="str">
            <v>26030MIRABEL</v>
          </cell>
          <cell r="H27">
            <v>6460</v>
          </cell>
        </row>
        <row r="28">
          <cell r="G28" t="str">
            <v>26030SOMERSET</v>
          </cell>
          <cell r="H28">
            <v>4080</v>
          </cell>
        </row>
        <row r="29">
          <cell r="G29" t="str">
            <v>2603182989</v>
          </cell>
          <cell r="H29">
            <v>3280</v>
          </cell>
        </row>
        <row r="30">
          <cell r="G30" t="str">
            <v>26031RUBICON</v>
          </cell>
          <cell r="H30">
            <v>3390</v>
          </cell>
        </row>
        <row r="31">
          <cell r="G31" t="str">
            <v>26031SOMERSET</v>
          </cell>
          <cell r="H31">
            <v>1240</v>
          </cell>
        </row>
        <row r="32">
          <cell r="G32" t="str">
            <v>26031VELVET BLOSSOMS</v>
          </cell>
          <cell r="H32">
            <v>640</v>
          </cell>
        </row>
        <row r="33">
          <cell r="G33" t="str">
            <v>26032ELBA</v>
          </cell>
          <cell r="H33">
            <v>4350</v>
          </cell>
        </row>
        <row r="34">
          <cell r="G34" t="str">
            <v>26032MIRABEL</v>
          </cell>
          <cell r="H34">
            <v>3400</v>
          </cell>
        </row>
        <row r="35">
          <cell r="G35" t="str">
            <v>26033CREAMY FOLIES</v>
          </cell>
          <cell r="H35">
            <v>1530</v>
          </cell>
        </row>
        <row r="36">
          <cell r="G36" t="str">
            <v>26033HOT BUBBLES</v>
          </cell>
          <cell r="H36">
            <v>3920</v>
          </cell>
        </row>
        <row r="37">
          <cell r="G37" t="str">
            <v>26001BELIEVE IN PINK</v>
          </cell>
          <cell r="H37">
            <v>1230</v>
          </cell>
        </row>
        <row r="38">
          <cell r="G38" t="str">
            <v>26001EXPLORER</v>
          </cell>
          <cell r="H38">
            <v>6925</v>
          </cell>
        </row>
        <row r="39">
          <cell r="G39" t="str">
            <v>26001GRACE KELLY</v>
          </cell>
          <cell r="H39">
            <v>2040</v>
          </cell>
        </row>
        <row r="40">
          <cell r="G40" t="str">
            <v>26001LIGHT HOUSE</v>
          </cell>
          <cell r="H40">
            <v>2520</v>
          </cell>
        </row>
        <row r="41">
          <cell r="G41" t="str">
            <v>26001LUMIA</v>
          </cell>
          <cell r="H41">
            <v>2070</v>
          </cell>
        </row>
        <row r="42">
          <cell r="G42" t="str">
            <v>26001MOMENTUM</v>
          </cell>
          <cell r="H42">
            <v>3475</v>
          </cell>
        </row>
        <row r="43">
          <cell r="G43" t="str">
            <v>26002SUMMER ROMANCE</v>
          </cell>
          <cell r="H43">
            <v>1775</v>
          </cell>
        </row>
        <row r="44">
          <cell r="G44" t="str">
            <v>26002SWEETNESS</v>
          </cell>
          <cell r="H44">
            <v>8760</v>
          </cell>
        </row>
        <row r="45">
          <cell r="G45" t="str">
            <v>26003CABARET</v>
          </cell>
          <cell r="H45">
            <v>6090</v>
          </cell>
        </row>
        <row r="46">
          <cell r="G46" t="str">
            <v>26003DEEP PURPLE</v>
          </cell>
          <cell r="H46">
            <v>11370</v>
          </cell>
        </row>
        <row r="47">
          <cell r="G47" t="str">
            <v>26003EXPLORER</v>
          </cell>
          <cell r="H47">
            <v>2875</v>
          </cell>
        </row>
        <row r="48">
          <cell r="G48" t="str">
            <v>26003JOCKER</v>
          </cell>
          <cell r="H48">
            <v>750</v>
          </cell>
        </row>
        <row r="49">
          <cell r="G49" t="str">
            <v>26003QUICKSAND</v>
          </cell>
          <cell r="H49">
            <v>1860</v>
          </cell>
        </row>
        <row r="50">
          <cell r="G50" t="str">
            <v>26004COTOPAXI</v>
          </cell>
          <cell r="H50">
            <v>1230</v>
          </cell>
        </row>
        <row r="51">
          <cell r="G51" t="str">
            <v>26004DEEP PURPLE</v>
          </cell>
          <cell r="H51">
            <v>15540</v>
          </cell>
        </row>
        <row r="52">
          <cell r="G52" t="str">
            <v>26004HOT EXPLORER</v>
          </cell>
          <cell r="H52">
            <v>4925</v>
          </cell>
        </row>
        <row r="53">
          <cell r="G53" t="str">
            <v>26004HOT MERENGUE</v>
          </cell>
          <cell r="H53">
            <v>3480</v>
          </cell>
        </row>
        <row r="54">
          <cell r="G54" t="str">
            <v>26004SWEETNESS</v>
          </cell>
          <cell r="H54">
            <v>540</v>
          </cell>
        </row>
        <row r="55">
          <cell r="G55" t="str">
            <v>26005EXPLORER</v>
          </cell>
          <cell r="H55">
            <v>2075</v>
          </cell>
        </row>
        <row r="56">
          <cell r="G56" t="str">
            <v>26005GOLDFINCH</v>
          </cell>
          <cell r="H56">
            <v>1175</v>
          </cell>
        </row>
        <row r="57">
          <cell r="G57" t="str">
            <v>26005JOCKER</v>
          </cell>
          <cell r="H57">
            <v>2300</v>
          </cell>
        </row>
        <row r="58">
          <cell r="G58" t="str">
            <v>26005VENDELA</v>
          </cell>
          <cell r="H58">
            <v>2490</v>
          </cell>
        </row>
        <row r="59">
          <cell r="G59" t="str">
            <v>26006ATOMIC</v>
          </cell>
          <cell r="H59">
            <v>1200</v>
          </cell>
        </row>
        <row r="60">
          <cell r="G60" t="str">
            <v>26006EXPLORER</v>
          </cell>
          <cell r="H60">
            <v>7275</v>
          </cell>
        </row>
        <row r="61">
          <cell r="G61" t="str">
            <v>26006MONDIAL</v>
          </cell>
          <cell r="H61">
            <v>5525</v>
          </cell>
        </row>
        <row r="62">
          <cell r="G62" t="str">
            <v>26007COTOPAXI</v>
          </cell>
          <cell r="H62">
            <v>5250</v>
          </cell>
        </row>
        <row r="63">
          <cell r="G63" t="str">
            <v>26007REDIANT</v>
          </cell>
          <cell r="H63">
            <v>1860</v>
          </cell>
        </row>
        <row r="64">
          <cell r="G64" t="str">
            <v>26007SUMMER ROMANCE</v>
          </cell>
          <cell r="H64">
            <v>225</v>
          </cell>
        </row>
        <row r="65">
          <cell r="G65" t="str">
            <v>26007VENDELA</v>
          </cell>
          <cell r="H65">
            <v>8310</v>
          </cell>
        </row>
        <row r="66">
          <cell r="G66" t="str">
            <v>26008DEEP PURPLE</v>
          </cell>
          <cell r="H66">
            <v>5310</v>
          </cell>
        </row>
        <row r="67">
          <cell r="G67" t="str">
            <v>26008FREEDOM</v>
          </cell>
          <cell r="H67">
            <v>3570</v>
          </cell>
        </row>
        <row r="68">
          <cell r="G68" t="str">
            <v>26008JOCKER</v>
          </cell>
          <cell r="H68">
            <v>4150</v>
          </cell>
        </row>
        <row r="69">
          <cell r="G69" t="str">
            <v>26008LUMIA</v>
          </cell>
          <cell r="H69">
            <v>3480</v>
          </cell>
        </row>
        <row r="70">
          <cell r="G70" t="str">
            <v>26010COOLDOWN</v>
          </cell>
          <cell r="H70">
            <v>4025</v>
          </cell>
        </row>
        <row r="71">
          <cell r="G71" t="str">
            <v>26010VIOLET HILL</v>
          </cell>
          <cell r="H71">
            <v>5910</v>
          </cell>
        </row>
        <row r="72">
          <cell r="G72" t="str">
            <v>26011BRIGHTON</v>
          </cell>
          <cell r="H72">
            <v>3625</v>
          </cell>
        </row>
        <row r="73">
          <cell r="G73" t="str">
            <v>26011CANDLELIGHT</v>
          </cell>
          <cell r="H73">
            <v>4160</v>
          </cell>
        </row>
        <row r="74">
          <cell r="G74" t="str">
            <v>26011CAYENNE</v>
          </cell>
          <cell r="H74">
            <v>1590</v>
          </cell>
        </row>
        <row r="75">
          <cell r="G75" t="str">
            <v>26011LUMIA</v>
          </cell>
          <cell r="H75">
            <v>1500</v>
          </cell>
        </row>
        <row r="76">
          <cell r="G76" t="str">
            <v>26011STARDUST</v>
          </cell>
          <cell r="H76">
            <v>3325</v>
          </cell>
        </row>
        <row r="77">
          <cell r="G77" t="str">
            <v>26012DEEP PURPLE</v>
          </cell>
          <cell r="H77">
            <v>16890</v>
          </cell>
        </row>
        <row r="78">
          <cell r="G78" t="str">
            <v>26012LIGHT HOUSE</v>
          </cell>
          <cell r="H78">
            <v>1680</v>
          </cell>
        </row>
        <row r="79">
          <cell r="G79" t="str">
            <v>26013COUNTRY BLUES</v>
          </cell>
          <cell r="H79">
            <v>1180</v>
          </cell>
        </row>
        <row r="80">
          <cell r="G80" t="str">
            <v>26013LORRAINE</v>
          </cell>
          <cell r="H80">
            <v>3350</v>
          </cell>
        </row>
        <row r="81">
          <cell r="G81" t="str">
            <v>26013LUMIA</v>
          </cell>
          <cell r="H81">
            <v>570</v>
          </cell>
        </row>
        <row r="82">
          <cell r="G82" t="str">
            <v>26013VENDELA</v>
          </cell>
          <cell r="H82">
            <v>11940</v>
          </cell>
        </row>
        <row r="83">
          <cell r="G83" t="str">
            <v>26014STARDUST</v>
          </cell>
          <cell r="H83">
            <v>5525</v>
          </cell>
        </row>
        <row r="84">
          <cell r="G84" t="str">
            <v>26015JOCKER</v>
          </cell>
          <cell r="H84">
            <v>5125</v>
          </cell>
        </row>
        <row r="85">
          <cell r="G85" t="str">
            <v>26016DREAM IN PEACH</v>
          </cell>
          <cell r="H85">
            <v>1770</v>
          </cell>
        </row>
        <row r="86">
          <cell r="G86" t="str">
            <v>26016NINA</v>
          </cell>
          <cell r="H86">
            <v>4975</v>
          </cell>
        </row>
        <row r="87">
          <cell r="G87" t="str">
            <v>26017FREEDOM</v>
          </cell>
          <cell r="H87">
            <v>6360</v>
          </cell>
        </row>
        <row r="88">
          <cell r="G88" t="str">
            <v>26017GOLDFINCH</v>
          </cell>
          <cell r="H88">
            <v>3425</v>
          </cell>
        </row>
        <row r="89">
          <cell r="G89" t="str">
            <v>26018BRIGHTON</v>
          </cell>
          <cell r="H89">
            <v>2100</v>
          </cell>
        </row>
        <row r="90">
          <cell r="G90" t="str">
            <v>26019BRIGHTON</v>
          </cell>
          <cell r="H90">
            <v>7775</v>
          </cell>
        </row>
        <row r="91">
          <cell r="G91" t="str">
            <v>26019TABATHA</v>
          </cell>
          <cell r="H91">
            <v>2280</v>
          </cell>
        </row>
        <row r="92">
          <cell r="G92" t="str">
            <v>26020BRIGHTON</v>
          </cell>
          <cell r="H92">
            <v>5375</v>
          </cell>
        </row>
        <row r="93">
          <cell r="G93" t="str">
            <v>26020TYCOON</v>
          </cell>
          <cell r="H93">
            <v>1350</v>
          </cell>
        </row>
        <row r="94">
          <cell r="G94" t="str">
            <v>26021SHOW GIRL</v>
          </cell>
          <cell r="H94">
            <v>1600</v>
          </cell>
        </row>
        <row r="95">
          <cell r="G95" t="str">
            <v>26022CORAL REEF</v>
          </cell>
          <cell r="H95">
            <v>2400</v>
          </cell>
        </row>
        <row r="96">
          <cell r="G96" t="str">
            <v>26023COTOPAXI</v>
          </cell>
          <cell r="H96">
            <v>5730</v>
          </cell>
        </row>
        <row r="97">
          <cell r="G97" t="str">
            <v>26023FRUTTETO</v>
          </cell>
          <cell r="H97">
            <v>8010</v>
          </cell>
        </row>
        <row r="98">
          <cell r="G98" t="str">
            <v>26024COTOPAXI</v>
          </cell>
          <cell r="H98">
            <v>3060</v>
          </cell>
        </row>
        <row r="99">
          <cell r="G99" t="str">
            <v>26024SWEETNESS</v>
          </cell>
          <cell r="H99">
            <v>2010</v>
          </cell>
        </row>
        <row r="100">
          <cell r="G100" t="str">
            <v>26024TYCOON</v>
          </cell>
          <cell r="H100">
            <v>4080</v>
          </cell>
        </row>
        <row r="101">
          <cell r="G101" t="str">
            <v>26025PINK MONDIAL</v>
          </cell>
          <cell r="H101">
            <v>5225</v>
          </cell>
        </row>
        <row r="102">
          <cell r="G102" t="str">
            <v>26026LOLA</v>
          </cell>
          <cell r="H102">
            <v>5925</v>
          </cell>
        </row>
        <row r="103">
          <cell r="G103" t="str">
            <v>26026PALOMA</v>
          </cell>
          <cell r="H103">
            <v>5850</v>
          </cell>
        </row>
        <row r="104">
          <cell r="G104" t="str">
            <v>26027SATISFACTION</v>
          </cell>
          <cell r="H104">
            <v>4230</v>
          </cell>
        </row>
        <row r="105">
          <cell r="G105" t="str">
            <v>26027TIFFANY</v>
          </cell>
          <cell r="H105">
            <v>3840</v>
          </cell>
        </row>
        <row r="106">
          <cell r="G106" t="str">
            <v>26028COTOPAXI</v>
          </cell>
          <cell r="H106">
            <v>5580</v>
          </cell>
        </row>
        <row r="107">
          <cell r="G107" t="str">
            <v>26028DEEP PURPLE</v>
          </cell>
          <cell r="H107">
            <v>6480</v>
          </cell>
        </row>
        <row r="108">
          <cell r="G108" t="str">
            <v>26029PINK FLOYD</v>
          </cell>
          <cell r="H108">
            <v>4075</v>
          </cell>
        </row>
        <row r="109">
          <cell r="G109" t="str">
            <v>26030EXPLORER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  <sheetName val="MSE_por_BloqueVarid"/>
    </sheetNames>
    <sheetDataSet>
      <sheetData sheetId="0">
        <row r="2">
          <cell r="G2" t="str">
            <v>26002SOMERSET</v>
          </cell>
          <cell r="H2">
            <v>8663</v>
          </cell>
        </row>
        <row r="3">
          <cell r="G3" t="str">
            <v>26004BELLINA</v>
          </cell>
          <cell r="H3">
            <v>2136</v>
          </cell>
        </row>
        <row r="4">
          <cell r="G4" t="str">
            <v>26005ELBA</v>
          </cell>
          <cell r="H4">
            <v>7369</v>
          </cell>
        </row>
        <row r="5">
          <cell r="G5" t="str">
            <v>26005HOT BUBBLES</v>
          </cell>
          <cell r="H5">
            <v>1329</v>
          </cell>
        </row>
        <row r="6">
          <cell r="G6" t="str">
            <v>26005SUSPIRO</v>
          </cell>
          <cell r="H6">
            <v>3742</v>
          </cell>
        </row>
        <row r="7">
          <cell r="G7" t="str">
            <v>26007SNOW BUBBLES</v>
          </cell>
          <cell r="H7">
            <v>1252</v>
          </cell>
        </row>
        <row r="8">
          <cell r="G8" t="str">
            <v>26009HOT BUBBLES</v>
          </cell>
          <cell r="H8">
            <v>14385</v>
          </cell>
        </row>
        <row r="9">
          <cell r="G9" t="str">
            <v>26014FRUITY BUBBLES</v>
          </cell>
          <cell r="H9">
            <v>4339</v>
          </cell>
        </row>
        <row r="10">
          <cell r="G10" t="str">
            <v>26015FELLINI</v>
          </cell>
          <cell r="H10">
            <v>7166</v>
          </cell>
        </row>
        <row r="11">
          <cell r="G11" t="str">
            <v>26016GOOD PEACH</v>
          </cell>
          <cell r="H11">
            <v>3419</v>
          </cell>
        </row>
        <row r="12">
          <cell r="G12" t="str">
            <v>26016GOOD YELLOW</v>
          </cell>
          <cell r="H12">
            <v>4451</v>
          </cell>
        </row>
        <row r="13">
          <cell r="G13" t="str">
            <v>26017ORANGE STAR</v>
          </cell>
          <cell r="H13">
            <v>2041</v>
          </cell>
        </row>
        <row r="14">
          <cell r="G14" t="str">
            <v>26018COSMO</v>
          </cell>
          <cell r="H14">
            <v>3401</v>
          </cell>
        </row>
        <row r="15">
          <cell r="G15" t="str">
            <v>26018RUBICON</v>
          </cell>
          <cell r="H15">
            <v>7418</v>
          </cell>
        </row>
        <row r="16">
          <cell r="G16" t="str">
            <v>26019BELLINA</v>
          </cell>
          <cell r="H16">
            <v>2117</v>
          </cell>
        </row>
        <row r="17">
          <cell r="G17" t="str">
            <v>26020SUMMER DANCE</v>
          </cell>
          <cell r="H17">
            <v>3664</v>
          </cell>
        </row>
        <row r="18">
          <cell r="G18" t="str">
            <v>26021ELEGANT ROSEVER</v>
          </cell>
          <cell r="H18">
            <v>1045</v>
          </cell>
        </row>
        <row r="19">
          <cell r="G19" t="str">
            <v>26021FLAME CLUB</v>
          </cell>
          <cell r="H19">
            <v>2079</v>
          </cell>
        </row>
        <row r="20">
          <cell r="G20" t="str">
            <v>26021KELLY</v>
          </cell>
          <cell r="H20">
            <v>901</v>
          </cell>
        </row>
        <row r="21">
          <cell r="G21" t="str">
            <v>26021LEILA</v>
          </cell>
          <cell r="H21">
            <v>2449</v>
          </cell>
        </row>
        <row r="22">
          <cell r="G22" t="str">
            <v>26021SNOW BUBBLES</v>
          </cell>
          <cell r="H22">
            <v>1903</v>
          </cell>
        </row>
        <row r="23">
          <cell r="G23" t="str">
            <v>26022FRUITY BUBBLES</v>
          </cell>
          <cell r="H23">
            <v>6357</v>
          </cell>
        </row>
        <row r="24">
          <cell r="G24" t="str">
            <v>26022GOOD PEACH</v>
          </cell>
          <cell r="H24">
            <v>2672</v>
          </cell>
        </row>
        <row r="25">
          <cell r="G25" t="str">
            <v>26022MIRABEL</v>
          </cell>
          <cell r="H25">
            <v>2061</v>
          </cell>
        </row>
        <row r="26">
          <cell r="G26" t="str">
            <v>26030MIRABEL</v>
          </cell>
          <cell r="H26">
            <v>6728</v>
          </cell>
        </row>
        <row r="27">
          <cell r="G27" t="str">
            <v>26030SOMERSET</v>
          </cell>
          <cell r="H27">
            <v>4284</v>
          </cell>
        </row>
        <row r="28">
          <cell r="G28" t="str">
            <v>2603182989</v>
          </cell>
          <cell r="H28">
            <v>3081</v>
          </cell>
        </row>
        <row r="29">
          <cell r="G29" t="str">
            <v>26031RUBICON</v>
          </cell>
          <cell r="H29">
            <v>3593</v>
          </cell>
        </row>
        <row r="30">
          <cell r="G30" t="str">
            <v>26031SOMERSET</v>
          </cell>
          <cell r="H30">
            <v>1764</v>
          </cell>
        </row>
        <row r="31">
          <cell r="G31" t="str">
            <v>26031VELVET BLOSSOMS</v>
          </cell>
          <cell r="H31">
            <v>731</v>
          </cell>
        </row>
        <row r="32">
          <cell r="G32" t="str">
            <v>26032ELBA</v>
          </cell>
          <cell r="H32">
            <v>4423</v>
          </cell>
        </row>
        <row r="33">
          <cell r="G33" t="str">
            <v>26032MIRABEL</v>
          </cell>
          <cell r="H33">
            <v>3501</v>
          </cell>
        </row>
        <row r="34">
          <cell r="G34" t="str">
            <v>26033CREAMY FOLIES</v>
          </cell>
          <cell r="H34">
            <v>1443</v>
          </cell>
        </row>
        <row r="35">
          <cell r="G35" t="str">
            <v>26033HOT BUBBLES</v>
          </cell>
          <cell r="H35">
            <v>4334</v>
          </cell>
        </row>
        <row r="36">
          <cell r="G36" t="str">
            <v>26001BELIEVE IN PINK</v>
          </cell>
          <cell r="H36">
            <v>1306</v>
          </cell>
        </row>
        <row r="37">
          <cell r="G37" t="str">
            <v>26001EXPLORER</v>
          </cell>
          <cell r="H37">
            <v>7397</v>
          </cell>
        </row>
        <row r="38">
          <cell r="G38" t="str">
            <v>26001GRACE KELLY</v>
          </cell>
          <cell r="H38">
            <v>2354</v>
          </cell>
        </row>
        <row r="39">
          <cell r="G39" t="str">
            <v>26001LIGHT HOUSE</v>
          </cell>
          <cell r="H39">
            <v>2605</v>
          </cell>
        </row>
        <row r="40">
          <cell r="G40" t="str">
            <v>26001LUMIA</v>
          </cell>
          <cell r="H40">
            <v>2250</v>
          </cell>
        </row>
        <row r="41">
          <cell r="G41" t="str">
            <v>26001MOMENTUM</v>
          </cell>
          <cell r="H41">
            <v>3814</v>
          </cell>
        </row>
        <row r="42">
          <cell r="G42" t="str">
            <v>26002SUMMER ROMANCE</v>
          </cell>
          <cell r="H42">
            <v>1915</v>
          </cell>
        </row>
        <row r="43">
          <cell r="G43" t="str">
            <v>26002SWEETNESS</v>
          </cell>
          <cell r="H43">
            <v>9020</v>
          </cell>
        </row>
        <row r="44">
          <cell r="G44" t="str">
            <v>26003CABARET</v>
          </cell>
          <cell r="H44">
            <v>6255</v>
          </cell>
        </row>
        <row r="45">
          <cell r="G45" t="str">
            <v>26003DEEP PURPLE</v>
          </cell>
          <cell r="H45">
            <v>11691</v>
          </cell>
        </row>
        <row r="46">
          <cell r="G46" t="str">
            <v>26003EXPLORER</v>
          </cell>
          <cell r="H46">
            <v>3152</v>
          </cell>
        </row>
        <row r="47">
          <cell r="G47" t="str">
            <v>26003JOCKER</v>
          </cell>
          <cell r="H47">
            <v>1134</v>
          </cell>
        </row>
        <row r="48">
          <cell r="G48" t="str">
            <v>26003QUICKSAND</v>
          </cell>
          <cell r="H48">
            <v>2090</v>
          </cell>
        </row>
        <row r="49">
          <cell r="G49" t="str">
            <v>26004COTOPAXI</v>
          </cell>
          <cell r="H49">
            <v>1434</v>
          </cell>
        </row>
        <row r="50">
          <cell r="G50" t="str">
            <v>26004DEEP PURPLE</v>
          </cell>
          <cell r="H50">
            <v>16031</v>
          </cell>
        </row>
        <row r="51">
          <cell r="G51" t="str">
            <v>26004HOT EXPLORER</v>
          </cell>
          <cell r="H51">
            <v>5218</v>
          </cell>
        </row>
        <row r="52">
          <cell r="G52" t="str">
            <v>26004HOT MERENGUE</v>
          </cell>
          <cell r="H52">
            <v>3414</v>
          </cell>
        </row>
        <row r="53">
          <cell r="G53" t="str">
            <v>26004SWEETNESS</v>
          </cell>
          <cell r="H53">
            <v>822</v>
          </cell>
        </row>
        <row r="54">
          <cell r="G54" t="str">
            <v>26005EXPLORER</v>
          </cell>
          <cell r="H54">
            <v>2493</v>
          </cell>
        </row>
        <row r="55">
          <cell r="G55" t="str">
            <v>26005GOLDFINCH</v>
          </cell>
          <cell r="H55">
            <v>1324</v>
          </cell>
        </row>
        <row r="56">
          <cell r="G56" t="str">
            <v>26005JOCKER</v>
          </cell>
          <cell r="H56">
            <v>2611</v>
          </cell>
        </row>
        <row r="57">
          <cell r="G57" t="str">
            <v>26005VENDELA</v>
          </cell>
          <cell r="H57">
            <v>2564</v>
          </cell>
        </row>
        <row r="58">
          <cell r="G58" t="str">
            <v>26006ATOMIC</v>
          </cell>
          <cell r="H58">
            <v>1535</v>
          </cell>
        </row>
        <row r="59">
          <cell r="G59" t="str">
            <v>26006EXPLORER</v>
          </cell>
          <cell r="H59">
            <v>8055</v>
          </cell>
        </row>
        <row r="60">
          <cell r="G60" t="str">
            <v>26006MONDIAL</v>
          </cell>
          <cell r="H60">
            <v>6002</v>
          </cell>
        </row>
        <row r="61">
          <cell r="G61" t="str">
            <v>26007COTOPAXI</v>
          </cell>
          <cell r="H61">
            <v>5520</v>
          </cell>
        </row>
        <row r="62">
          <cell r="G62" t="str">
            <v>26007REDIANT</v>
          </cell>
          <cell r="H62">
            <v>1760</v>
          </cell>
        </row>
        <row r="63">
          <cell r="G63" t="str">
            <v>26007VENDELA</v>
          </cell>
          <cell r="H63">
            <v>8630</v>
          </cell>
        </row>
        <row r="64">
          <cell r="G64" t="str">
            <v>26008DEEP PURPLE</v>
          </cell>
          <cell r="H64">
            <v>5434</v>
          </cell>
        </row>
        <row r="65">
          <cell r="G65" t="str">
            <v>26008FREEDOM</v>
          </cell>
          <cell r="H65">
            <v>3977</v>
          </cell>
        </row>
        <row r="66">
          <cell r="G66" t="str">
            <v>26008JOCKER</v>
          </cell>
          <cell r="H66">
            <v>4775</v>
          </cell>
        </row>
        <row r="67">
          <cell r="G67" t="str">
            <v>26010COOLDOWN</v>
          </cell>
          <cell r="H67">
            <v>4397</v>
          </cell>
        </row>
        <row r="68">
          <cell r="G68" t="str">
            <v>26010VIOLET HILL</v>
          </cell>
          <cell r="H68">
            <v>5940</v>
          </cell>
        </row>
        <row r="69">
          <cell r="G69" t="str">
            <v>26011BRIGHTON</v>
          </cell>
          <cell r="H69">
            <v>3800</v>
          </cell>
        </row>
        <row r="70">
          <cell r="G70" t="str">
            <v>26011CANDLELIGHT</v>
          </cell>
          <cell r="H70">
            <v>4559</v>
          </cell>
        </row>
        <row r="71">
          <cell r="G71" t="str">
            <v>26011CAYENNE</v>
          </cell>
          <cell r="H71">
            <v>1743</v>
          </cell>
        </row>
        <row r="72">
          <cell r="G72" t="str">
            <v>26011LUMIA</v>
          </cell>
          <cell r="H72">
            <v>1872</v>
          </cell>
        </row>
        <row r="73">
          <cell r="G73" t="str">
            <v>26011STARDUST</v>
          </cell>
          <cell r="H73">
            <v>3586</v>
          </cell>
        </row>
        <row r="74">
          <cell r="G74" t="str">
            <v>26012DEEP PURPLE</v>
          </cell>
          <cell r="H74">
            <v>17248</v>
          </cell>
        </row>
        <row r="75">
          <cell r="G75" t="str">
            <v>26012LIGHT HOUSE</v>
          </cell>
          <cell r="H75">
            <v>2038</v>
          </cell>
        </row>
        <row r="76">
          <cell r="G76" t="str">
            <v>26013COUNTRY BLUES</v>
          </cell>
          <cell r="H76">
            <v>1507</v>
          </cell>
        </row>
        <row r="77">
          <cell r="G77" t="str">
            <v>26013LORRAINE</v>
          </cell>
          <cell r="H77">
            <v>3690</v>
          </cell>
        </row>
        <row r="78">
          <cell r="G78" t="str">
            <v>26013LUMIA</v>
          </cell>
          <cell r="H78">
            <v>841</v>
          </cell>
        </row>
        <row r="79">
          <cell r="G79" t="str">
            <v>26013VENDELA</v>
          </cell>
          <cell r="H79">
            <v>12173</v>
          </cell>
        </row>
        <row r="80">
          <cell r="G80" t="str">
            <v>26014STARDUST</v>
          </cell>
          <cell r="H80">
            <v>6018</v>
          </cell>
        </row>
        <row r="81">
          <cell r="G81" t="str">
            <v>26015JOCKER</v>
          </cell>
          <cell r="H81">
            <v>5145</v>
          </cell>
        </row>
        <row r="82">
          <cell r="G82" t="str">
            <v>26016DREAM IN PEACH</v>
          </cell>
          <cell r="H82">
            <v>1960</v>
          </cell>
        </row>
        <row r="83">
          <cell r="G83" t="str">
            <v>26016NINA</v>
          </cell>
          <cell r="H83">
            <v>5304</v>
          </cell>
        </row>
        <row r="84">
          <cell r="G84" t="str">
            <v>26017FREEDOM</v>
          </cell>
          <cell r="H84">
            <v>6664</v>
          </cell>
        </row>
        <row r="85">
          <cell r="G85" t="str">
            <v>26017GOLDFINCH</v>
          </cell>
          <cell r="H85">
            <v>3609</v>
          </cell>
        </row>
        <row r="86">
          <cell r="G86" t="str">
            <v>26018BRIGHTON</v>
          </cell>
          <cell r="H86">
            <v>2296</v>
          </cell>
        </row>
        <row r="87">
          <cell r="G87" t="str">
            <v>26019BRIGHTON</v>
          </cell>
          <cell r="H87">
            <v>8164</v>
          </cell>
        </row>
        <row r="88">
          <cell r="G88" t="str">
            <v>26019TABATHA</v>
          </cell>
          <cell r="H88">
            <v>2725</v>
          </cell>
        </row>
        <row r="89">
          <cell r="G89" t="str">
            <v>26020BRIGHTON</v>
          </cell>
          <cell r="H89">
            <v>5644</v>
          </cell>
        </row>
        <row r="90">
          <cell r="G90" t="str">
            <v>26020TYCOON</v>
          </cell>
          <cell r="H90">
            <v>1534</v>
          </cell>
        </row>
        <row r="91">
          <cell r="G91" t="str">
            <v>26021SHOW GIRL</v>
          </cell>
          <cell r="H91">
            <v>2063</v>
          </cell>
        </row>
        <row r="92">
          <cell r="G92" t="str">
            <v>26022CORAL REEF</v>
          </cell>
          <cell r="H92">
            <v>2720</v>
          </cell>
        </row>
        <row r="93">
          <cell r="G93" t="str">
            <v>26023COTOPAXI</v>
          </cell>
          <cell r="H93">
            <v>6050</v>
          </cell>
        </row>
        <row r="94">
          <cell r="G94" t="str">
            <v>26023FRUTTETO</v>
          </cell>
          <cell r="H94">
            <v>8193</v>
          </cell>
        </row>
        <row r="95">
          <cell r="G95" t="str">
            <v>26024COTOPAXI</v>
          </cell>
          <cell r="H95">
            <v>3229</v>
          </cell>
        </row>
        <row r="96">
          <cell r="G96" t="str">
            <v>26024SWEETNESS</v>
          </cell>
          <cell r="H96">
            <v>2305</v>
          </cell>
        </row>
        <row r="97">
          <cell r="G97" t="str">
            <v>26024TYCOON</v>
          </cell>
          <cell r="H97">
            <v>4580</v>
          </cell>
        </row>
        <row r="98">
          <cell r="G98" t="str">
            <v>26025PINK MONDIAL</v>
          </cell>
          <cell r="H98">
            <v>5353</v>
          </cell>
        </row>
        <row r="99">
          <cell r="G99" t="str">
            <v>26026LOLA</v>
          </cell>
          <cell r="H99">
            <v>5767</v>
          </cell>
        </row>
        <row r="100">
          <cell r="G100" t="str">
            <v>26026PALOMA</v>
          </cell>
          <cell r="H100">
            <v>6022</v>
          </cell>
        </row>
        <row r="101">
          <cell r="G101" t="str">
            <v>26027SATISFACTION</v>
          </cell>
          <cell r="H101">
            <v>4610</v>
          </cell>
        </row>
        <row r="102">
          <cell r="G102" t="str">
            <v>26027TIFFANY</v>
          </cell>
          <cell r="H102">
            <v>4348</v>
          </cell>
        </row>
        <row r="103">
          <cell r="G103" t="str">
            <v>26028COTOPAXI</v>
          </cell>
          <cell r="H103">
            <v>5929</v>
          </cell>
        </row>
        <row r="104">
          <cell r="G104" t="str">
            <v>26028DEEP PURPLE</v>
          </cell>
          <cell r="H104">
            <v>6704</v>
          </cell>
        </row>
        <row r="105">
          <cell r="G105" t="str">
            <v>26029PINK FLOYD</v>
          </cell>
          <cell r="H105">
            <v>4398</v>
          </cell>
        </row>
        <row r="106">
          <cell r="G106" t="str">
            <v>26030EXPLORER</v>
          </cell>
          <cell r="H106">
            <v>4050</v>
          </cell>
        </row>
        <row r="107">
          <cell r="G107" t="str">
            <v>27002SOMERSET</v>
          </cell>
          <cell r="H107">
            <v>7646</v>
          </cell>
        </row>
        <row r="108">
          <cell r="G108" t="str">
            <v>27004BELLINA</v>
          </cell>
          <cell r="H108">
            <v>2135</v>
          </cell>
        </row>
        <row r="109">
          <cell r="G109" t="str">
            <v>27005ELBA</v>
          </cell>
          <cell r="H109">
            <v>8423</v>
          </cell>
        </row>
        <row r="110">
          <cell r="G110" t="str">
            <v>27005HOT BUBBLES</v>
          </cell>
          <cell r="H110">
            <v>1399</v>
          </cell>
        </row>
        <row r="111">
          <cell r="G111" t="str">
            <v>27005SUSPIRO</v>
          </cell>
          <cell r="H111">
            <v>4507</v>
          </cell>
        </row>
        <row r="112">
          <cell r="G112" t="str">
            <v>27007SNOW BUBBLES</v>
          </cell>
          <cell r="H112">
            <v>1184</v>
          </cell>
        </row>
        <row r="113">
          <cell r="G113" t="str">
            <v>27009HOT BUBBLES</v>
          </cell>
          <cell r="H113">
            <v>8256</v>
          </cell>
        </row>
        <row r="114">
          <cell r="G114" t="str">
            <v>27014FRUITY BUBBLES</v>
          </cell>
          <cell r="H114">
            <v>3533</v>
          </cell>
        </row>
        <row r="115">
          <cell r="G115" t="str">
            <v>27015FELLINI</v>
          </cell>
          <cell r="H115">
            <v>4249</v>
          </cell>
        </row>
        <row r="116">
          <cell r="G116" t="str">
            <v>27016GOOD PEACH</v>
          </cell>
          <cell r="H116">
            <v>2957</v>
          </cell>
        </row>
        <row r="117">
          <cell r="G117" t="str">
            <v>27016GOOD YELLOW</v>
          </cell>
          <cell r="H117">
            <v>3016</v>
          </cell>
        </row>
        <row r="118">
          <cell r="G118" t="str">
            <v>27017ORANGE STAR</v>
          </cell>
          <cell r="H118">
            <v>1904</v>
          </cell>
        </row>
        <row r="119">
          <cell r="G119" t="str">
            <v>27018COSMO</v>
          </cell>
          <cell r="H119">
            <v>3619</v>
          </cell>
        </row>
        <row r="120">
          <cell r="G120" t="str">
            <v>27018RUBICON</v>
          </cell>
          <cell r="H120">
            <v>4045</v>
          </cell>
        </row>
        <row r="121">
          <cell r="G121" t="str">
            <v>27019BELLINA</v>
          </cell>
          <cell r="H121">
            <v>1982</v>
          </cell>
        </row>
        <row r="122">
          <cell r="G122" t="str">
            <v>27020SUMMER DANCE</v>
          </cell>
          <cell r="H122">
            <v>3229</v>
          </cell>
        </row>
        <row r="123">
          <cell r="G123" t="str">
            <v>27021ELEGANT ROSEVER</v>
          </cell>
          <cell r="H123">
            <v>1087</v>
          </cell>
        </row>
        <row r="124">
          <cell r="G124" t="str">
            <v>27021FLAME CLUB</v>
          </cell>
          <cell r="H124">
            <v>2135</v>
          </cell>
        </row>
        <row r="125">
          <cell r="G125" t="str">
            <v>27021KELLY</v>
          </cell>
          <cell r="H125">
            <v>724</v>
          </cell>
        </row>
        <row r="126">
          <cell r="G126" t="str">
            <v>27021LEILA</v>
          </cell>
          <cell r="H126">
            <v>4533</v>
          </cell>
        </row>
        <row r="127">
          <cell r="G127" t="str">
            <v>27021SNOW BUBBLES</v>
          </cell>
          <cell r="H127">
            <v>2471</v>
          </cell>
        </row>
        <row r="128">
          <cell r="G128" t="str">
            <v>27022FRUITY BUBBLES</v>
          </cell>
          <cell r="H128">
            <v>6353</v>
          </cell>
        </row>
        <row r="129">
          <cell r="G129" t="str">
            <v>27022GOOD PEACH</v>
          </cell>
          <cell r="H129">
            <v>2502</v>
          </cell>
        </row>
        <row r="130">
          <cell r="G130" t="str">
            <v>27022MIRABEL</v>
          </cell>
          <cell r="H130">
            <v>2490</v>
          </cell>
        </row>
        <row r="131">
          <cell r="G131" t="str">
            <v>27030MIRABEL</v>
          </cell>
          <cell r="H131">
            <v>3677</v>
          </cell>
        </row>
        <row r="132">
          <cell r="G132" t="str">
            <v>27030SOMERSET</v>
          </cell>
          <cell r="H132">
            <v>1981</v>
          </cell>
        </row>
        <row r="133">
          <cell r="G133" t="str">
            <v>2703182989</v>
          </cell>
          <cell r="H133">
            <v>1237</v>
          </cell>
        </row>
        <row r="134">
          <cell r="G134" t="str">
            <v>27031RUBICON</v>
          </cell>
          <cell r="H134">
            <v>2193</v>
          </cell>
        </row>
        <row r="135">
          <cell r="G135" t="str">
            <v>27031SOMERSET</v>
          </cell>
          <cell r="H135">
            <v>872</v>
          </cell>
        </row>
        <row r="136">
          <cell r="G136" t="str">
            <v>27031VELVET BLOSSOMS</v>
          </cell>
          <cell r="H136">
            <v>386</v>
          </cell>
        </row>
        <row r="137">
          <cell r="G137" t="str">
            <v>27032ELBA</v>
          </cell>
          <cell r="H137">
            <v>2747</v>
          </cell>
        </row>
        <row r="138">
          <cell r="G138" t="str">
            <v>27032MIRABEL</v>
          </cell>
          <cell r="H138">
            <v>2697</v>
          </cell>
        </row>
        <row r="139">
          <cell r="G139" t="str">
            <v>27033CREAMY FOLIES</v>
          </cell>
          <cell r="H139">
            <v>1195</v>
          </cell>
        </row>
        <row r="140">
          <cell r="G140" t="str">
            <v>27033HOT BUBBLES</v>
          </cell>
          <cell r="H140">
            <v>4748</v>
          </cell>
        </row>
        <row r="141">
          <cell r="G141" t="str">
            <v>27001BELIEVE IN PINK</v>
          </cell>
          <cell r="H141">
            <v>1065</v>
          </cell>
        </row>
        <row r="142">
          <cell r="G142" t="str">
            <v>27001EXPLORER</v>
          </cell>
          <cell r="H142">
            <v>3741</v>
          </cell>
        </row>
        <row r="143">
          <cell r="G143" t="str">
            <v>27001GRACE KELLY</v>
          </cell>
          <cell r="H143">
            <v>1630</v>
          </cell>
        </row>
        <row r="144">
          <cell r="G144" t="str">
            <v>27001IDOLE</v>
          </cell>
          <cell r="H144">
            <v>1052</v>
          </cell>
        </row>
        <row r="145">
          <cell r="G145" t="str">
            <v>27001LIGHT HOUSE</v>
          </cell>
          <cell r="H145">
            <v>2013</v>
          </cell>
        </row>
        <row r="146">
          <cell r="G146" t="str">
            <v>27001LUMIA</v>
          </cell>
          <cell r="H146">
            <v>1861</v>
          </cell>
        </row>
        <row r="147">
          <cell r="G147" t="str">
            <v>27001MOMENTUM</v>
          </cell>
          <cell r="H147">
            <v>3017</v>
          </cell>
        </row>
        <row r="148">
          <cell r="G148" t="str">
            <v>27002SUMMER ROMANCE</v>
          </cell>
          <cell r="H148">
            <v>1131</v>
          </cell>
        </row>
        <row r="149">
          <cell r="G149" t="str">
            <v>27002SWEETNESS</v>
          </cell>
          <cell r="H149">
            <v>6008</v>
          </cell>
        </row>
        <row r="150">
          <cell r="G150" t="str">
            <v>27003CABARET</v>
          </cell>
          <cell r="H150">
            <v>5956</v>
          </cell>
        </row>
        <row r="151">
          <cell r="G151" t="str">
            <v>27003DEEP PURPLE</v>
          </cell>
          <cell r="H151">
            <v>10740</v>
          </cell>
        </row>
        <row r="152">
          <cell r="G152" t="str">
            <v>27003EXPLORER</v>
          </cell>
          <cell r="H152">
            <v>2806</v>
          </cell>
        </row>
        <row r="153">
          <cell r="G153" t="str">
            <v>27003JOCKER</v>
          </cell>
          <cell r="H153">
            <v>880</v>
          </cell>
        </row>
        <row r="154">
          <cell r="G154" t="str">
            <v>27003QUICKSAND</v>
          </cell>
          <cell r="H154">
            <v>1716</v>
          </cell>
        </row>
        <row r="155">
          <cell r="G155" t="str">
            <v>27004COTOPAXI</v>
          </cell>
          <cell r="H155">
            <v>1380</v>
          </cell>
        </row>
        <row r="156">
          <cell r="G156" t="str">
            <v>27004DEEP PURPLE</v>
          </cell>
          <cell r="H156">
            <v>13055</v>
          </cell>
        </row>
        <row r="157">
          <cell r="G157" t="str">
            <v>27004HOT EXPLORER</v>
          </cell>
          <cell r="H157">
            <v>3319</v>
          </cell>
        </row>
        <row r="158">
          <cell r="G158" t="str">
            <v>27004HOT MERENGUE</v>
          </cell>
          <cell r="H158">
            <v>3044</v>
          </cell>
        </row>
        <row r="159">
          <cell r="G159" t="str">
            <v>27004SWEETNESS</v>
          </cell>
          <cell r="H159">
            <v>830</v>
          </cell>
        </row>
        <row r="160">
          <cell r="G160" t="str">
            <v>27005EXPLORER</v>
          </cell>
          <cell r="H160">
            <v>1437</v>
          </cell>
        </row>
        <row r="161">
          <cell r="G161" t="str">
            <v>27005GOLDFINCH</v>
          </cell>
          <cell r="H161">
            <v>1060</v>
          </cell>
        </row>
        <row r="162">
          <cell r="G162" t="str">
            <v>27005JOCKER</v>
          </cell>
          <cell r="H162">
            <v>2101</v>
          </cell>
        </row>
        <row r="163">
          <cell r="G163" t="str">
            <v>27005VENDELA</v>
          </cell>
          <cell r="H163">
            <v>1323</v>
          </cell>
        </row>
        <row r="164">
          <cell r="G164" t="str">
            <v>27006ATOMIC</v>
          </cell>
          <cell r="H164">
            <v>1995</v>
          </cell>
        </row>
        <row r="165">
          <cell r="G165" t="str">
            <v>27006EXPLORER</v>
          </cell>
          <cell r="H165">
            <v>6665</v>
          </cell>
        </row>
        <row r="166">
          <cell r="G166" t="str">
            <v>27006MONDIAL</v>
          </cell>
          <cell r="H166">
            <v>5783</v>
          </cell>
        </row>
        <row r="167">
          <cell r="G167" t="str">
            <v>27007COTOPAXI</v>
          </cell>
          <cell r="H167">
            <v>8829</v>
          </cell>
        </row>
        <row r="168">
          <cell r="G168" t="str">
            <v>27007REDIANT</v>
          </cell>
          <cell r="H168">
            <v>1235</v>
          </cell>
        </row>
        <row r="169">
          <cell r="G169" t="str">
            <v>27007VENDELA</v>
          </cell>
          <cell r="H169">
            <v>7575</v>
          </cell>
        </row>
        <row r="170">
          <cell r="G170" t="str">
            <v>27008DEEP PURPLE</v>
          </cell>
          <cell r="H170">
            <v>5481</v>
          </cell>
        </row>
        <row r="171">
          <cell r="G171" t="str">
            <v>27008FREEDOM</v>
          </cell>
          <cell r="H171">
            <v>3930</v>
          </cell>
        </row>
        <row r="172">
          <cell r="G172" t="str">
            <v>27008JOCKER</v>
          </cell>
          <cell r="H172">
            <v>3480</v>
          </cell>
        </row>
        <row r="173">
          <cell r="G173" t="str">
            <v>27010COOLDOWN</v>
          </cell>
          <cell r="H173">
            <v>2030</v>
          </cell>
        </row>
        <row r="174">
          <cell r="G174" t="str">
            <v>27010VIOLET HILL</v>
          </cell>
          <cell r="H174">
            <v>2289</v>
          </cell>
        </row>
        <row r="175">
          <cell r="G175" t="str">
            <v>27011BRIGHTON</v>
          </cell>
          <cell r="H175">
            <v>1594</v>
          </cell>
        </row>
        <row r="176">
          <cell r="G176" t="str">
            <v>27011CANDLELIGHT</v>
          </cell>
          <cell r="H176">
            <v>3791</v>
          </cell>
        </row>
        <row r="177">
          <cell r="G177" t="str">
            <v>27011CAYENNE</v>
          </cell>
          <cell r="H177">
            <v>1078</v>
          </cell>
        </row>
        <row r="178">
          <cell r="G178" t="str">
            <v>27011LUMIA</v>
          </cell>
          <cell r="H178">
            <v>1483</v>
          </cell>
        </row>
        <row r="179">
          <cell r="G179" t="str">
            <v>27011STARDUST</v>
          </cell>
          <cell r="H179">
            <v>2586</v>
          </cell>
        </row>
        <row r="180">
          <cell r="G180" t="str">
            <v>27012DEEP PURPLE</v>
          </cell>
          <cell r="H180">
            <v>11921</v>
          </cell>
        </row>
        <row r="181">
          <cell r="G181" t="str">
            <v>27012LIGHT HOUSE</v>
          </cell>
          <cell r="H181">
            <v>1478</v>
          </cell>
        </row>
        <row r="182">
          <cell r="G182" t="str">
            <v>27013COUNTRY BLUES</v>
          </cell>
          <cell r="H182">
            <v>1763</v>
          </cell>
        </row>
        <row r="183">
          <cell r="G183" t="str">
            <v>27013LORRAINE</v>
          </cell>
          <cell r="H183">
            <v>3847</v>
          </cell>
        </row>
        <row r="184">
          <cell r="G184" t="str">
            <v>27013LUMIA</v>
          </cell>
          <cell r="H184">
            <v>885</v>
          </cell>
        </row>
        <row r="185">
          <cell r="G185" t="str">
            <v>27013VENDELA</v>
          </cell>
          <cell r="H185">
            <v>9482</v>
          </cell>
        </row>
        <row r="186">
          <cell r="G186" t="str">
            <v>27014STARDUST</v>
          </cell>
          <cell r="H186">
            <v>4495</v>
          </cell>
        </row>
        <row r="187">
          <cell r="G187" t="str">
            <v>27015JOCKER</v>
          </cell>
          <cell r="H187">
            <v>3376</v>
          </cell>
        </row>
        <row r="188">
          <cell r="G188" t="str">
            <v>27016DREAM IN PEACH</v>
          </cell>
          <cell r="H188">
            <v>2138</v>
          </cell>
        </row>
        <row r="189">
          <cell r="G189" t="str">
            <v>27016NINA</v>
          </cell>
          <cell r="H189">
            <v>2242</v>
          </cell>
        </row>
        <row r="190">
          <cell r="G190" t="str">
            <v>27017FREEDOM</v>
          </cell>
          <cell r="H190">
            <v>6251</v>
          </cell>
        </row>
        <row r="191">
          <cell r="G191" t="str">
            <v>27017GOLDFINCH</v>
          </cell>
          <cell r="H191">
            <v>2454</v>
          </cell>
        </row>
        <row r="192">
          <cell r="G192" t="str">
            <v>27018BRIGHTON</v>
          </cell>
          <cell r="H192">
            <v>1706</v>
          </cell>
        </row>
        <row r="193">
          <cell r="G193" t="str">
            <v>27019BRIGHTON</v>
          </cell>
          <cell r="H193">
            <v>6782</v>
          </cell>
        </row>
        <row r="194">
          <cell r="G194" t="str">
            <v>27019TABATHA</v>
          </cell>
          <cell r="H194">
            <v>2879</v>
          </cell>
        </row>
        <row r="195">
          <cell r="G195" t="str">
            <v>27020BRIGHTON</v>
          </cell>
          <cell r="H195">
            <v>4100</v>
          </cell>
        </row>
        <row r="196">
          <cell r="G196" t="str">
            <v>27020TYCOON</v>
          </cell>
          <cell r="H196">
            <v>1413</v>
          </cell>
        </row>
        <row r="197">
          <cell r="G197" t="str">
            <v>27021SHOW GIRL</v>
          </cell>
          <cell r="H197">
            <v>1522</v>
          </cell>
        </row>
        <row r="198">
          <cell r="G198" t="str">
            <v>27022CORAL REEF</v>
          </cell>
          <cell r="H198">
            <v>2514</v>
          </cell>
        </row>
        <row r="199">
          <cell r="G199" t="str">
            <v>27023COTOPAXI</v>
          </cell>
          <cell r="H199">
            <v>6132</v>
          </cell>
        </row>
        <row r="200">
          <cell r="G200" t="str">
            <v>27023FRUTTETO</v>
          </cell>
          <cell r="H200">
            <v>3876</v>
          </cell>
        </row>
        <row r="201">
          <cell r="G201" t="str">
            <v>27024COTOPAXI</v>
          </cell>
          <cell r="H201">
            <v>3671</v>
          </cell>
        </row>
        <row r="202">
          <cell r="G202" t="str">
            <v>27024SWEETNESS</v>
          </cell>
          <cell r="H202">
            <v>1354</v>
          </cell>
        </row>
        <row r="203">
          <cell r="G203" t="str">
            <v>27024TYCOON</v>
          </cell>
          <cell r="H203">
            <v>3617</v>
          </cell>
        </row>
        <row r="204">
          <cell r="G204" t="str">
            <v>27025PINK MONDIAL</v>
          </cell>
          <cell r="H204">
            <v>4250</v>
          </cell>
        </row>
        <row r="205">
          <cell r="G205" t="str">
            <v>27026LOLA</v>
          </cell>
          <cell r="H205">
            <v>4222</v>
          </cell>
        </row>
        <row r="206">
          <cell r="G206" t="str">
            <v>27026PALOMA</v>
          </cell>
          <cell r="H206">
            <v>4986</v>
          </cell>
        </row>
        <row r="207">
          <cell r="G207" t="str">
            <v>27027SATISFACTION</v>
          </cell>
          <cell r="H207">
            <v>2867</v>
          </cell>
        </row>
        <row r="208">
          <cell r="G208" t="str">
            <v>27027TIFFANY</v>
          </cell>
          <cell r="H208">
            <v>2786</v>
          </cell>
        </row>
        <row r="209">
          <cell r="G209" t="str">
            <v>27028COTOPAXI</v>
          </cell>
          <cell r="H209">
            <v>5268</v>
          </cell>
        </row>
        <row r="210">
          <cell r="G210" t="str">
            <v>27028DEEP PURPLE</v>
          </cell>
          <cell r="H210">
            <v>4670</v>
          </cell>
        </row>
        <row r="211">
          <cell r="G211" t="str">
            <v>27029PINK FLOYD</v>
          </cell>
          <cell r="H211">
            <v>3196</v>
          </cell>
        </row>
        <row r="212">
          <cell r="G212" t="str">
            <v>27030EXPLORER</v>
          </cell>
          <cell r="H212">
            <v>2743</v>
          </cell>
        </row>
        <row r="213">
          <cell r="G213" t="str">
            <v>28002SOMERSET</v>
          </cell>
          <cell r="H213">
            <v>7859</v>
          </cell>
        </row>
        <row r="214">
          <cell r="G214" t="str">
            <v>28004BELLINA</v>
          </cell>
          <cell r="H214">
            <v>1601</v>
          </cell>
        </row>
        <row r="215">
          <cell r="G215" t="str">
            <v>28005ELBA</v>
          </cell>
          <cell r="H215">
            <v>5890</v>
          </cell>
        </row>
        <row r="216">
          <cell r="G216" t="str">
            <v>28005HOT BUBBLES</v>
          </cell>
          <cell r="H216">
            <v>1415</v>
          </cell>
        </row>
        <row r="217">
          <cell r="G217" t="str">
            <v>28005SUSPIRO</v>
          </cell>
          <cell r="H217">
            <v>3744</v>
          </cell>
        </row>
        <row r="218">
          <cell r="G218" t="str">
            <v>28007SNOW BUBBLES</v>
          </cell>
          <cell r="H218">
            <v>895</v>
          </cell>
        </row>
        <row r="219">
          <cell r="G219" t="str">
            <v>28009HOT BUBBLES</v>
          </cell>
          <cell r="H219">
            <v>7446</v>
          </cell>
        </row>
        <row r="220">
          <cell r="G220" t="str">
            <v>28014FRUITY BUBBLES</v>
          </cell>
          <cell r="H220">
            <v>2865</v>
          </cell>
        </row>
        <row r="221">
          <cell r="G221" t="str">
            <v>28015FELLINI</v>
          </cell>
          <cell r="H221">
            <v>4773</v>
          </cell>
        </row>
        <row r="222">
          <cell r="G222" t="str">
            <v>28016GOOD PEACH</v>
          </cell>
          <cell r="H222">
            <v>3138</v>
          </cell>
        </row>
        <row r="223">
          <cell r="G223" t="str">
            <v>28016GOOD YELLOW</v>
          </cell>
          <cell r="H223">
            <v>2888</v>
          </cell>
        </row>
        <row r="224">
          <cell r="G224" t="str">
            <v>28017ORANGE STAR</v>
          </cell>
          <cell r="H224">
            <v>1797</v>
          </cell>
        </row>
        <row r="225">
          <cell r="G225" t="str">
            <v>28018COSMO</v>
          </cell>
          <cell r="H225">
            <v>3930</v>
          </cell>
        </row>
        <row r="226">
          <cell r="G226" t="str">
            <v>28018RUBICON</v>
          </cell>
          <cell r="H226">
            <v>4031</v>
          </cell>
        </row>
        <row r="227">
          <cell r="G227" t="str">
            <v>28019BELLINA</v>
          </cell>
          <cell r="H227">
            <v>1740</v>
          </cell>
        </row>
        <row r="228">
          <cell r="G228" t="str">
            <v>28020SUMMER DANCE</v>
          </cell>
          <cell r="H228">
            <v>3259</v>
          </cell>
        </row>
        <row r="229">
          <cell r="G229" t="str">
            <v>28021ELEGANT ROSEVER</v>
          </cell>
          <cell r="H229">
            <v>767</v>
          </cell>
        </row>
        <row r="230">
          <cell r="G230" t="str">
            <v>28021FLAME CLUB</v>
          </cell>
          <cell r="H230">
            <v>1815</v>
          </cell>
        </row>
        <row r="231">
          <cell r="G231" t="str">
            <v>28021KELLY</v>
          </cell>
          <cell r="H231">
            <v>696</v>
          </cell>
        </row>
        <row r="232">
          <cell r="G232" t="str">
            <v>28021LEILA</v>
          </cell>
          <cell r="H232">
            <v>3908</v>
          </cell>
        </row>
        <row r="233">
          <cell r="G233" t="str">
            <v>28021SNOW BUBBLES</v>
          </cell>
          <cell r="H233">
            <v>1741</v>
          </cell>
        </row>
        <row r="234">
          <cell r="G234" t="str">
            <v>28022FRUITY BUBBLES</v>
          </cell>
          <cell r="H234">
            <v>6260</v>
          </cell>
        </row>
        <row r="235">
          <cell r="G235" t="str">
            <v>28022GOOD PEACH</v>
          </cell>
          <cell r="H235">
            <v>2236</v>
          </cell>
        </row>
        <row r="236">
          <cell r="G236" t="str">
            <v>28022MIRABEL</v>
          </cell>
          <cell r="H236">
            <v>1955</v>
          </cell>
        </row>
        <row r="237">
          <cell r="G237" t="str">
            <v>28030MIRABEL</v>
          </cell>
          <cell r="H237">
            <v>3379</v>
          </cell>
        </row>
        <row r="238">
          <cell r="G238" t="str">
            <v>28030SOMERSET</v>
          </cell>
          <cell r="H238">
            <v>2609</v>
          </cell>
        </row>
        <row r="239">
          <cell r="G239" t="str">
            <v>2803182989</v>
          </cell>
          <cell r="H239">
            <v>1003</v>
          </cell>
        </row>
        <row r="240">
          <cell r="G240" t="str">
            <v>28031RUBICON</v>
          </cell>
          <cell r="H240">
            <v>2645</v>
          </cell>
        </row>
        <row r="241">
          <cell r="G241" t="str">
            <v>28031SOMERSET</v>
          </cell>
          <cell r="H241">
            <v>705</v>
          </cell>
        </row>
        <row r="242">
          <cell r="G242" t="str">
            <v>28031VELVET BLOSSOMS</v>
          </cell>
          <cell r="H242">
            <v>363</v>
          </cell>
        </row>
        <row r="243">
          <cell r="G243" t="str">
            <v>28032ELBA</v>
          </cell>
          <cell r="H243">
            <v>2354</v>
          </cell>
        </row>
        <row r="244">
          <cell r="G244" t="str">
            <v>28032MIRABEL</v>
          </cell>
          <cell r="H244">
            <v>2119</v>
          </cell>
        </row>
        <row r="245">
          <cell r="G245" t="str">
            <v>28033CREAMY FOLIES</v>
          </cell>
          <cell r="H245">
            <v>842</v>
          </cell>
        </row>
        <row r="246">
          <cell r="G246" t="str">
            <v>28033HOT BUBBLES</v>
          </cell>
          <cell r="H246">
            <v>3863</v>
          </cell>
        </row>
        <row r="247">
          <cell r="G247" t="str">
            <v>28001BELIEVE IN PINK</v>
          </cell>
          <cell r="H247">
            <v>1503</v>
          </cell>
        </row>
        <row r="248">
          <cell r="G248" t="str">
            <v>28001EXPLORER</v>
          </cell>
          <cell r="H248">
            <v>4337</v>
          </cell>
        </row>
        <row r="249">
          <cell r="G249" t="str">
            <v>28001GRACE KELLY</v>
          </cell>
          <cell r="H249">
            <v>1641</v>
          </cell>
        </row>
        <row r="250">
          <cell r="G250" t="str">
            <v>28001IDOLE</v>
          </cell>
          <cell r="H250">
            <v>1614</v>
          </cell>
        </row>
        <row r="251">
          <cell r="G251" t="str">
            <v>28001LIGHT HOUSE</v>
          </cell>
          <cell r="H251">
            <v>2088</v>
          </cell>
        </row>
        <row r="252">
          <cell r="G252" t="str">
            <v>28001LUMIA</v>
          </cell>
          <cell r="H252">
            <v>1948</v>
          </cell>
        </row>
        <row r="253">
          <cell r="G253" t="str">
            <v>28001MOMENTUM</v>
          </cell>
          <cell r="H253">
            <v>3079</v>
          </cell>
        </row>
        <row r="254">
          <cell r="G254" t="str">
            <v>28002SUMMER ROMANCE</v>
          </cell>
          <cell r="H254">
            <v>841</v>
          </cell>
        </row>
        <row r="255">
          <cell r="G255" t="str">
            <v>28002SWEETNESS</v>
          </cell>
          <cell r="H255">
            <v>7342</v>
          </cell>
        </row>
        <row r="256">
          <cell r="G256" t="str">
            <v>28003CABARET</v>
          </cell>
          <cell r="H256">
            <v>7270</v>
          </cell>
        </row>
        <row r="257">
          <cell r="G257" t="str">
            <v>28003DEEP PURPLE</v>
          </cell>
          <cell r="H257">
            <v>17163</v>
          </cell>
        </row>
        <row r="258">
          <cell r="G258" t="str">
            <v>28003EXPLORER</v>
          </cell>
          <cell r="H258">
            <v>2057</v>
          </cell>
        </row>
        <row r="259">
          <cell r="G259" t="str">
            <v>28003JOCKER</v>
          </cell>
          <cell r="H259">
            <v>866</v>
          </cell>
        </row>
        <row r="260">
          <cell r="G260" t="str">
            <v>28003QUICKSAND</v>
          </cell>
          <cell r="H260">
            <v>1837</v>
          </cell>
        </row>
        <row r="261">
          <cell r="G261" t="str">
            <v>28004COTOPAXI</v>
          </cell>
          <cell r="H261">
            <v>1116</v>
          </cell>
        </row>
        <row r="262">
          <cell r="G262" t="str">
            <v>28004DEEP PURPLE</v>
          </cell>
          <cell r="H262">
            <v>22031</v>
          </cell>
        </row>
        <row r="263">
          <cell r="G263" t="str">
            <v>28004HOT EXPLORER</v>
          </cell>
          <cell r="H263">
            <v>2566</v>
          </cell>
        </row>
        <row r="264">
          <cell r="G264" t="str">
            <v>28004HOT MERENGUE</v>
          </cell>
          <cell r="H264">
            <v>3772</v>
          </cell>
        </row>
        <row r="265">
          <cell r="G265" t="str">
            <v>28004SWEETNESS</v>
          </cell>
          <cell r="H265">
            <v>644</v>
          </cell>
        </row>
        <row r="266">
          <cell r="G266" t="str">
            <v>28005EXPLORER</v>
          </cell>
          <cell r="H266">
            <v>1160</v>
          </cell>
        </row>
        <row r="267">
          <cell r="G267" t="str">
            <v>28005GOLDFINCH</v>
          </cell>
          <cell r="H267">
            <v>1315</v>
          </cell>
        </row>
        <row r="268">
          <cell r="G268" t="str">
            <v>28005JOCKER</v>
          </cell>
          <cell r="H268">
            <v>1969</v>
          </cell>
        </row>
        <row r="269">
          <cell r="G269" t="str">
            <v>28005VENDELA</v>
          </cell>
          <cell r="H269">
            <v>1459</v>
          </cell>
        </row>
        <row r="270">
          <cell r="G270" t="str">
            <v>28006ATOMIC</v>
          </cell>
          <cell r="H270">
            <v>2088</v>
          </cell>
        </row>
        <row r="271">
          <cell r="G271" t="str">
            <v>28006EXPLORER</v>
          </cell>
          <cell r="H271">
            <v>5622</v>
          </cell>
        </row>
        <row r="272">
          <cell r="G272" t="str">
            <v>28006MONDIAL</v>
          </cell>
          <cell r="H272">
            <v>5915</v>
          </cell>
        </row>
        <row r="273">
          <cell r="G273" t="str">
            <v>28007COTOPAXI</v>
          </cell>
          <cell r="H273">
            <v>6788</v>
          </cell>
        </row>
        <row r="274">
          <cell r="G274" t="str">
            <v>28007REDIANT</v>
          </cell>
          <cell r="H274">
            <v>1391</v>
          </cell>
        </row>
        <row r="275">
          <cell r="G275" t="str">
            <v>28007VENDELA</v>
          </cell>
          <cell r="H275">
            <v>7960</v>
          </cell>
        </row>
        <row r="276">
          <cell r="G276" t="str">
            <v>28008DEEP PURPLE</v>
          </cell>
          <cell r="H276">
            <v>6743</v>
          </cell>
        </row>
        <row r="277">
          <cell r="G277" t="str">
            <v>28008FREEDOM</v>
          </cell>
          <cell r="H277">
            <v>5312</v>
          </cell>
        </row>
        <row r="278">
          <cell r="G278" t="str">
            <v>28008JOCKER</v>
          </cell>
          <cell r="H278">
            <v>3462</v>
          </cell>
        </row>
        <row r="279">
          <cell r="G279" t="str">
            <v>28010COOLDOWN</v>
          </cell>
          <cell r="H279">
            <v>2460</v>
          </cell>
        </row>
        <row r="280">
          <cell r="G280" t="str">
            <v>28010VIOLET HILL</v>
          </cell>
          <cell r="H280">
            <v>2100</v>
          </cell>
        </row>
        <row r="281">
          <cell r="G281" t="str">
            <v>28011BRIGHTON</v>
          </cell>
          <cell r="H281">
            <v>1871</v>
          </cell>
        </row>
        <row r="282">
          <cell r="G282" t="str">
            <v>28011CANDLELIGHT</v>
          </cell>
          <cell r="H282">
            <v>3671</v>
          </cell>
        </row>
        <row r="283">
          <cell r="G283" t="str">
            <v>28011CAYENNE</v>
          </cell>
          <cell r="H283">
            <v>1410</v>
          </cell>
        </row>
        <row r="284">
          <cell r="G284" t="str">
            <v>28011LUMIA</v>
          </cell>
          <cell r="H284">
            <v>1435</v>
          </cell>
        </row>
        <row r="285">
          <cell r="G285" t="str">
            <v>28011STARDUST</v>
          </cell>
          <cell r="H285">
            <v>3232</v>
          </cell>
        </row>
        <row r="286">
          <cell r="G286" t="str">
            <v>28012DEEP PURPLE</v>
          </cell>
          <cell r="H286">
            <v>15771</v>
          </cell>
        </row>
        <row r="287">
          <cell r="G287" t="str">
            <v>28012LIGHT HOUSE</v>
          </cell>
          <cell r="H287">
            <v>1548</v>
          </cell>
        </row>
        <row r="288">
          <cell r="G288" t="str">
            <v>28013COUNTRY BLUES</v>
          </cell>
          <cell r="H288">
            <v>1631</v>
          </cell>
        </row>
        <row r="289">
          <cell r="G289" t="str">
            <v>28013LORRAINE</v>
          </cell>
          <cell r="H289">
            <v>3267</v>
          </cell>
        </row>
        <row r="290">
          <cell r="G290" t="str">
            <v>28013LUMIA</v>
          </cell>
          <cell r="H290">
            <v>686</v>
          </cell>
        </row>
        <row r="291">
          <cell r="G291" t="str">
            <v>28013VENDELA</v>
          </cell>
          <cell r="H291">
            <v>9922</v>
          </cell>
        </row>
        <row r="292">
          <cell r="G292" t="str">
            <v>28014STARDUST</v>
          </cell>
          <cell r="H292">
            <v>5251</v>
          </cell>
        </row>
        <row r="293">
          <cell r="G293" t="str">
            <v>28015JOCKER</v>
          </cell>
          <cell r="H293">
            <v>3569</v>
          </cell>
        </row>
        <row r="294">
          <cell r="G294" t="str">
            <v>28016DREAM IN PEACH</v>
          </cell>
          <cell r="H294">
            <v>1892</v>
          </cell>
        </row>
        <row r="295">
          <cell r="G295" t="str">
            <v>28016NINA</v>
          </cell>
          <cell r="H295">
            <v>2788</v>
          </cell>
        </row>
        <row r="296">
          <cell r="G296" t="str">
            <v>28017FREEDOM</v>
          </cell>
          <cell r="H296">
            <v>7292</v>
          </cell>
        </row>
        <row r="297">
          <cell r="G297" t="str">
            <v>28017GOLDFINCH</v>
          </cell>
          <cell r="H297">
            <v>3009</v>
          </cell>
        </row>
        <row r="298">
          <cell r="G298" t="str">
            <v>28018BRIGHTON</v>
          </cell>
          <cell r="H298">
            <v>1937</v>
          </cell>
        </row>
        <row r="299">
          <cell r="G299" t="str">
            <v>28019BRIGHTON</v>
          </cell>
          <cell r="H299">
            <v>7383</v>
          </cell>
        </row>
        <row r="300">
          <cell r="G300" t="str">
            <v>28019TABATHA</v>
          </cell>
          <cell r="H300">
            <v>2763</v>
          </cell>
        </row>
        <row r="301">
          <cell r="G301" t="str">
            <v>28020BRIGHTON</v>
          </cell>
          <cell r="H301">
            <v>4607</v>
          </cell>
        </row>
        <row r="302">
          <cell r="G302" t="str">
            <v>28020TYCOON</v>
          </cell>
          <cell r="H302">
            <v>1274</v>
          </cell>
        </row>
        <row r="303">
          <cell r="G303" t="str">
            <v>28021SHOW GIRL</v>
          </cell>
          <cell r="H303">
            <v>1519</v>
          </cell>
        </row>
        <row r="304">
          <cell r="G304" t="str">
            <v>28022CORAL REEF</v>
          </cell>
          <cell r="H304">
            <v>2406</v>
          </cell>
        </row>
        <row r="305">
          <cell r="G305" t="str">
            <v>28023COTOPAXI</v>
          </cell>
          <cell r="H305">
            <v>5039</v>
          </cell>
        </row>
        <row r="306">
          <cell r="G306" t="str">
            <v>28023FRUTTETO</v>
          </cell>
          <cell r="H306">
            <v>4564</v>
          </cell>
        </row>
        <row r="307">
          <cell r="G307" t="str">
            <v>28024COTOPAXI</v>
          </cell>
          <cell r="H307">
            <v>3190</v>
          </cell>
        </row>
        <row r="308">
          <cell r="G308" t="str">
            <v>28024SWEETNESS</v>
          </cell>
          <cell r="H308">
            <v>1309</v>
          </cell>
        </row>
        <row r="309">
          <cell r="G309" t="str">
            <v>28024TYCOON</v>
          </cell>
          <cell r="H309">
            <v>2868</v>
          </cell>
        </row>
        <row r="310">
          <cell r="G310" t="str">
            <v>28025PINK MONDIAL</v>
          </cell>
          <cell r="H310">
            <v>4363</v>
          </cell>
        </row>
        <row r="311">
          <cell r="G311" t="str">
            <v>28026LOLA</v>
          </cell>
          <cell r="H311">
            <v>5146</v>
          </cell>
        </row>
        <row r="312">
          <cell r="G312" t="str">
            <v>28026PALOMA</v>
          </cell>
          <cell r="H312">
            <v>5997</v>
          </cell>
        </row>
        <row r="313">
          <cell r="G313" t="str">
            <v>28027SATISFACTION</v>
          </cell>
          <cell r="H313">
            <v>3006</v>
          </cell>
        </row>
        <row r="314">
          <cell r="G314" t="str">
            <v>28027TIFFANY</v>
          </cell>
          <cell r="H314">
            <v>2607</v>
          </cell>
        </row>
        <row r="315">
          <cell r="G315" t="str">
            <v>28028COTOPAXI</v>
          </cell>
          <cell r="H315">
            <v>4116</v>
          </cell>
        </row>
        <row r="316">
          <cell r="G316" t="str">
            <v>28028DEEP PURPLE</v>
          </cell>
          <cell r="H316">
            <v>7501</v>
          </cell>
        </row>
        <row r="317">
          <cell r="G317" t="str">
            <v>28029PINK FLOYD</v>
          </cell>
          <cell r="H317">
            <v>4051</v>
          </cell>
        </row>
        <row r="318">
          <cell r="G318" t="str">
            <v>28030EXPLORER</v>
          </cell>
          <cell r="H318">
            <v>2258</v>
          </cell>
        </row>
        <row r="319">
          <cell r="G319" t="str">
            <v>29002SOMERSET</v>
          </cell>
          <cell r="H319">
            <v>6260</v>
          </cell>
        </row>
        <row r="320">
          <cell r="G320" t="str">
            <v>29004BELLINA</v>
          </cell>
          <cell r="H320">
            <v>1606</v>
          </cell>
        </row>
        <row r="321">
          <cell r="G321" t="str">
            <v>29005ELBA</v>
          </cell>
          <cell r="H321">
            <v>5494</v>
          </cell>
        </row>
        <row r="322">
          <cell r="G322" t="str">
            <v>29005HOT BUBBLES</v>
          </cell>
          <cell r="H322">
            <v>1449</v>
          </cell>
        </row>
        <row r="323">
          <cell r="G323" t="str">
            <v>29005SUSPIRO</v>
          </cell>
          <cell r="H323">
            <v>3285</v>
          </cell>
        </row>
        <row r="324">
          <cell r="G324" t="str">
            <v>29007SNOW BUBBLES</v>
          </cell>
          <cell r="H324">
            <v>800</v>
          </cell>
        </row>
        <row r="325">
          <cell r="G325" t="str">
            <v>29009HOT BUBBLES</v>
          </cell>
          <cell r="H325">
            <v>6705</v>
          </cell>
        </row>
        <row r="326">
          <cell r="G326" t="str">
            <v>29014FRUITY BUBBLES</v>
          </cell>
          <cell r="H326">
            <v>3764</v>
          </cell>
        </row>
        <row r="327">
          <cell r="G327" t="str">
            <v>29015FELLINI</v>
          </cell>
          <cell r="H327">
            <v>4723</v>
          </cell>
        </row>
        <row r="328">
          <cell r="G328" t="str">
            <v>29016GOOD PEACH</v>
          </cell>
          <cell r="H328">
            <v>2839</v>
          </cell>
        </row>
        <row r="329">
          <cell r="G329" t="str">
            <v>29016GOOD YELLOW</v>
          </cell>
          <cell r="H329">
            <v>2878</v>
          </cell>
        </row>
        <row r="330">
          <cell r="G330" t="str">
            <v>29017ORANGE STAR</v>
          </cell>
          <cell r="H330">
            <v>1800</v>
          </cell>
        </row>
        <row r="331">
          <cell r="G331" t="str">
            <v>29018COSMO</v>
          </cell>
          <cell r="H331">
            <v>4420</v>
          </cell>
        </row>
        <row r="332">
          <cell r="G332" t="str">
            <v>29018RUBICON</v>
          </cell>
          <cell r="H332">
            <v>3937</v>
          </cell>
        </row>
        <row r="333">
          <cell r="G333" t="str">
            <v>29019BELLINA</v>
          </cell>
          <cell r="H333">
            <v>1523</v>
          </cell>
        </row>
        <row r="334">
          <cell r="G334" t="str">
            <v>29020SUMMER DANCE</v>
          </cell>
          <cell r="H334">
            <v>3561</v>
          </cell>
        </row>
        <row r="335">
          <cell r="G335" t="str">
            <v>29021ELEGANT ROSEVER</v>
          </cell>
          <cell r="H335">
            <v>505</v>
          </cell>
        </row>
        <row r="336">
          <cell r="G336" t="str">
            <v>29021FLAME CLUB</v>
          </cell>
          <cell r="H336">
            <v>1674</v>
          </cell>
        </row>
        <row r="337">
          <cell r="G337" t="str">
            <v>29021KELLY</v>
          </cell>
          <cell r="H337">
            <v>669</v>
          </cell>
        </row>
        <row r="338">
          <cell r="G338" t="str">
            <v>29021LEILA</v>
          </cell>
          <cell r="H338">
            <v>2951</v>
          </cell>
        </row>
        <row r="339">
          <cell r="G339" t="str">
            <v>29021SNOW BUBBLES</v>
          </cell>
          <cell r="H339">
            <v>1622</v>
          </cell>
        </row>
        <row r="340">
          <cell r="G340" t="str">
            <v>29022FRUITY BUBBLES</v>
          </cell>
          <cell r="H340">
            <v>3680</v>
          </cell>
        </row>
        <row r="341">
          <cell r="G341" t="str">
            <v>29022GOOD PEACH</v>
          </cell>
          <cell r="H341">
            <v>2155</v>
          </cell>
        </row>
        <row r="342">
          <cell r="G342" t="str">
            <v>29022MIRABEL</v>
          </cell>
          <cell r="H342">
            <v>1487</v>
          </cell>
        </row>
        <row r="343">
          <cell r="G343" t="str">
            <v>29030MIRABEL</v>
          </cell>
          <cell r="H343">
            <v>3049</v>
          </cell>
        </row>
        <row r="344">
          <cell r="G344" t="str">
            <v>29030SOMERSET</v>
          </cell>
          <cell r="H344">
            <v>3446</v>
          </cell>
        </row>
        <row r="345">
          <cell r="G345" t="str">
            <v>2903182989</v>
          </cell>
          <cell r="H345">
            <v>836</v>
          </cell>
        </row>
        <row r="346">
          <cell r="G346" t="str">
            <v>29031RUBICON</v>
          </cell>
          <cell r="H346">
            <v>2392</v>
          </cell>
        </row>
        <row r="347">
          <cell r="G347" t="str">
            <v>29031SOMERSET</v>
          </cell>
          <cell r="H347">
            <v>675</v>
          </cell>
        </row>
        <row r="348">
          <cell r="G348" t="str">
            <v>29031VELVET BLOSSOMS</v>
          </cell>
          <cell r="H348">
            <v>349</v>
          </cell>
        </row>
        <row r="349">
          <cell r="G349" t="str">
            <v>29032ELBA</v>
          </cell>
          <cell r="H349">
            <v>2365</v>
          </cell>
        </row>
        <row r="350">
          <cell r="G350" t="str">
            <v>29032MIRABEL</v>
          </cell>
          <cell r="H350">
            <v>1913</v>
          </cell>
        </row>
        <row r="351">
          <cell r="G351" t="str">
            <v>29033CREAMY FOLIES</v>
          </cell>
          <cell r="H351">
            <v>926</v>
          </cell>
        </row>
        <row r="352">
          <cell r="G352" t="str">
            <v>29033HOT BUBBLES</v>
          </cell>
          <cell r="H352">
            <v>3013</v>
          </cell>
        </row>
        <row r="353">
          <cell r="G353" t="str">
            <v>29001BELIEVE IN PINK</v>
          </cell>
          <cell r="H353">
            <v>1849</v>
          </cell>
        </row>
        <row r="354">
          <cell r="G354" t="str">
            <v>29001EXPLORER</v>
          </cell>
          <cell r="H354">
            <v>3276</v>
          </cell>
        </row>
        <row r="355">
          <cell r="G355" t="str">
            <v>29001GRACE KELLY</v>
          </cell>
          <cell r="H355">
            <v>1890</v>
          </cell>
        </row>
        <row r="356">
          <cell r="G356" t="str">
            <v>29001IDOLE</v>
          </cell>
          <cell r="H356">
            <v>1710</v>
          </cell>
        </row>
        <row r="357">
          <cell r="G357" t="str">
            <v>29001LIGHT HOUSE</v>
          </cell>
          <cell r="H357">
            <v>1959</v>
          </cell>
        </row>
        <row r="358">
          <cell r="G358" t="str">
            <v>29001LUMIA</v>
          </cell>
          <cell r="H358">
            <v>1905</v>
          </cell>
        </row>
        <row r="359">
          <cell r="G359" t="str">
            <v>29001MOMENTUM</v>
          </cell>
          <cell r="H359">
            <v>3418</v>
          </cell>
        </row>
        <row r="360">
          <cell r="G360" t="str">
            <v>29002SUMMER ROMANCE</v>
          </cell>
          <cell r="H360">
            <v>810</v>
          </cell>
        </row>
        <row r="361">
          <cell r="G361" t="str">
            <v>29002SWEETNESS</v>
          </cell>
          <cell r="H361">
            <v>5888</v>
          </cell>
        </row>
        <row r="362">
          <cell r="G362" t="str">
            <v>29003CABARET</v>
          </cell>
          <cell r="H362">
            <v>8640</v>
          </cell>
        </row>
        <row r="363">
          <cell r="G363" t="str">
            <v>29003DEEP PURPLE</v>
          </cell>
          <cell r="H363">
            <v>16904</v>
          </cell>
        </row>
        <row r="364">
          <cell r="G364" t="str">
            <v>29003EXPLORER</v>
          </cell>
          <cell r="H364">
            <v>1717</v>
          </cell>
        </row>
        <row r="365">
          <cell r="G365" t="str">
            <v>29003JOCKER</v>
          </cell>
          <cell r="H365">
            <v>838</v>
          </cell>
        </row>
        <row r="366">
          <cell r="G366" t="str">
            <v>29003QUICKSAND</v>
          </cell>
          <cell r="H366">
            <v>1722</v>
          </cell>
        </row>
        <row r="367">
          <cell r="G367" t="str">
            <v>29004COTOPAXI</v>
          </cell>
          <cell r="H367">
            <v>942</v>
          </cell>
        </row>
        <row r="368">
          <cell r="G368" t="str">
            <v>29004DEEP PURPLE</v>
          </cell>
          <cell r="H368">
            <v>23919</v>
          </cell>
        </row>
        <row r="369">
          <cell r="G369" t="str">
            <v>29004HOT EXPLORER</v>
          </cell>
          <cell r="H369">
            <v>2176</v>
          </cell>
        </row>
        <row r="370">
          <cell r="G370" t="str">
            <v>29004HOT MERENGUE</v>
          </cell>
          <cell r="H370">
            <v>3354</v>
          </cell>
        </row>
        <row r="371">
          <cell r="G371" t="str">
            <v>29004SWEETNESS</v>
          </cell>
          <cell r="H371">
            <v>651</v>
          </cell>
        </row>
        <row r="372">
          <cell r="G372" t="str">
            <v>29005EXPLORER</v>
          </cell>
          <cell r="H372">
            <v>1090</v>
          </cell>
        </row>
        <row r="373">
          <cell r="G373" t="str">
            <v>29005GOLDFINCH</v>
          </cell>
          <cell r="H373">
            <v>1297</v>
          </cell>
        </row>
        <row r="374">
          <cell r="G374" t="str">
            <v>29005JOCKER</v>
          </cell>
          <cell r="H374">
            <v>1984</v>
          </cell>
        </row>
        <row r="375">
          <cell r="G375" t="str">
            <v>29005VENDELA</v>
          </cell>
          <cell r="H375">
            <v>1774</v>
          </cell>
        </row>
        <row r="376">
          <cell r="G376" t="str">
            <v>29006ATOMIC</v>
          </cell>
          <cell r="H376">
            <v>1762</v>
          </cell>
        </row>
        <row r="377">
          <cell r="G377" t="str">
            <v>29006EXPLORER</v>
          </cell>
          <cell r="H377">
            <v>5824</v>
          </cell>
        </row>
        <row r="378">
          <cell r="G378" t="str">
            <v>29006MONDIAL</v>
          </cell>
          <cell r="H378">
            <v>5837</v>
          </cell>
        </row>
        <row r="379">
          <cell r="G379" t="str">
            <v>29007COTOPAXI</v>
          </cell>
          <cell r="H379">
            <v>7314</v>
          </cell>
        </row>
        <row r="380">
          <cell r="G380" t="str">
            <v>29007REDIANT</v>
          </cell>
          <cell r="H380">
            <v>1222</v>
          </cell>
        </row>
        <row r="381">
          <cell r="G381" t="str">
            <v>29007VENDELA</v>
          </cell>
          <cell r="H381">
            <v>8959</v>
          </cell>
        </row>
        <row r="382">
          <cell r="G382" t="str">
            <v>29008DEEP PURPLE</v>
          </cell>
          <cell r="H382">
            <v>7562</v>
          </cell>
        </row>
        <row r="383">
          <cell r="G383" t="str">
            <v>29008FREEDOM</v>
          </cell>
          <cell r="H383">
            <v>4498</v>
          </cell>
        </row>
        <row r="384">
          <cell r="G384" t="str">
            <v>29008JOCKER</v>
          </cell>
          <cell r="H384">
            <v>3483</v>
          </cell>
        </row>
        <row r="385">
          <cell r="G385" t="str">
            <v>29010COOLDOWN</v>
          </cell>
          <cell r="H385">
            <v>1126</v>
          </cell>
        </row>
        <row r="386">
          <cell r="G386" t="str">
            <v>29010VIOLET HILL</v>
          </cell>
          <cell r="H386">
            <v>1566</v>
          </cell>
        </row>
        <row r="387">
          <cell r="G387" t="str">
            <v>29011BRIGHTON</v>
          </cell>
          <cell r="H387">
            <v>2561</v>
          </cell>
        </row>
        <row r="388">
          <cell r="G388" t="str">
            <v>29011CANDLELIGHT</v>
          </cell>
          <cell r="H388">
            <v>4086</v>
          </cell>
        </row>
        <row r="389">
          <cell r="G389" t="str">
            <v>29011CAYENNE</v>
          </cell>
          <cell r="H389">
            <v>1633</v>
          </cell>
        </row>
        <row r="390">
          <cell r="G390" t="str">
            <v>29011LUMIA</v>
          </cell>
          <cell r="H390">
            <v>1646</v>
          </cell>
        </row>
        <row r="391">
          <cell r="G391" t="str">
            <v>29011STARDUST</v>
          </cell>
          <cell r="H391">
            <v>3485</v>
          </cell>
        </row>
        <row r="392">
          <cell r="G392" t="str">
            <v>29012DEEP PURPLE</v>
          </cell>
          <cell r="H392">
            <v>20375</v>
          </cell>
        </row>
        <row r="393">
          <cell r="G393" t="str">
            <v>29012LIGHT HOUSE</v>
          </cell>
          <cell r="H393">
            <v>1529</v>
          </cell>
        </row>
        <row r="394">
          <cell r="G394" t="str">
            <v>29013COUNTRY BLUES</v>
          </cell>
          <cell r="H394">
            <v>1607</v>
          </cell>
        </row>
        <row r="395">
          <cell r="G395" t="str">
            <v>29013LORRAINE</v>
          </cell>
          <cell r="H395">
            <v>3594</v>
          </cell>
        </row>
        <row r="396">
          <cell r="G396" t="str">
            <v>29013LUMIA</v>
          </cell>
          <cell r="H396">
            <v>649</v>
          </cell>
        </row>
        <row r="397">
          <cell r="G397" t="str">
            <v>29013VENDELA</v>
          </cell>
          <cell r="H397">
            <v>10295</v>
          </cell>
        </row>
        <row r="398">
          <cell r="G398" t="str">
            <v>29014STARDUST</v>
          </cell>
          <cell r="H398">
            <v>7069</v>
          </cell>
        </row>
        <row r="399">
          <cell r="G399" t="str">
            <v>29015JOCKER</v>
          </cell>
          <cell r="H399">
            <v>3790</v>
          </cell>
        </row>
        <row r="400">
          <cell r="G400" t="str">
            <v>29016DREAM IN PEACH</v>
          </cell>
          <cell r="H400">
            <v>1739</v>
          </cell>
        </row>
        <row r="401">
          <cell r="G401" t="str">
            <v>29016NINA</v>
          </cell>
          <cell r="H401">
            <v>3014</v>
          </cell>
        </row>
        <row r="402">
          <cell r="G402" t="str">
            <v>29017FREEDOM</v>
          </cell>
          <cell r="H402">
            <v>7198</v>
          </cell>
        </row>
        <row r="403">
          <cell r="G403" t="str">
            <v>29017GOLDFINCH</v>
          </cell>
          <cell r="H403">
            <v>2997</v>
          </cell>
        </row>
        <row r="404">
          <cell r="G404" t="str">
            <v>29018BRIGHTON</v>
          </cell>
          <cell r="H404">
            <v>2314</v>
          </cell>
        </row>
        <row r="405">
          <cell r="G405" t="str">
            <v>29019BRIGHTON</v>
          </cell>
          <cell r="H405">
            <v>8579</v>
          </cell>
        </row>
        <row r="406">
          <cell r="G406" t="str">
            <v>29019TABATHA</v>
          </cell>
          <cell r="H406">
            <v>3014</v>
          </cell>
        </row>
        <row r="407">
          <cell r="G407" t="str">
            <v>29020BRIGHTON</v>
          </cell>
          <cell r="H407">
            <v>4840</v>
          </cell>
        </row>
        <row r="408">
          <cell r="G408" t="str">
            <v>29020TYCOON</v>
          </cell>
          <cell r="H408">
            <v>1267</v>
          </cell>
        </row>
        <row r="409">
          <cell r="G409" t="str">
            <v>29021SHOW GIRL</v>
          </cell>
          <cell r="H409">
            <v>1268</v>
          </cell>
        </row>
        <row r="410">
          <cell r="G410" t="str">
            <v>29022CORAL REEF</v>
          </cell>
          <cell r="H410">
            <v>2479</v>
          </cell>
        </row>
        <row r="411">
          <cell r="G411" t="str">
            <v>29023COTOPAXI</v>
          </cell>
          <cell r="H411">
            <v>6240</v>
          </cell>
        </row>
        <row r="412">
          <cell r="G412" t="str">
            <v>29023FRUTTETO</v>
          </cell>
          <cell r="H412">
            <v>8612</v>
          </cell>
        </row>
        <row r="413">
          <cell r="G413" t="str">
            <v>29024COTOPAXI</v>
          </cell>
          <cell r="H413">
            <v>3214</v>
          </cell>
        </row>
        <row r="414">
          <cell r="G414" t="str">
            <v>29024SWEETNESS</v>
          </cell>
          <cell r="H414">
            <v>1102</v>
          </cell>
        </row>
        <row r="415">
          <cell r="G415" t="str">
            <v>29024TYCOON</v>
          </cell>
          <cell r="H415">
            <v>2454</v>
          </cell>
        </row>
        <row r="416">
          <cell r="G416" t="str">
            <v>29025PINK MONDIAL</v>
          </cell>
          <cell r="H416">
            <v>4804</v>
          </cell>
        </row>
        <row r="417">
          <cell r="G417" t="str">
            <v>29026LOLA</v>
          </cell>
          <cell r="H417">
            <v>5255</v>
          </cell>
        </row>
        <row r="418">
          <cell r="G418" t="str">
            <v>29026PALOMA</v>
          </cell>
          <cell r="H418">
            <v>6442</v>
          </cell>
        </row>
        <row r="419">
          <cell r="G419" t="str">
            <v>29027SATISFACTION</v>
          </cell>
          <cell r="H419">
            <v>3043</v>
          </cell>
        </row>
        <row r="420">
          <cell r="G420" t="str">
            <v>29027TIFFANY</v>
          </cell>
          <cell r="H420">
            <v>2649</v>
          </cell>
        </row>
        <row r="421">
          <cell r="G421" t="str">
            <v>29028COTOPAXI</v>
          </cell>
          <cell r="H421">
            <v>3659</v>
          </cell>
        </row>
        <row r="422">
          <cell r="G422" t="str">
            <v>29028DEEP PURPLE</v>
          </cell>
          <cell r="H422">
            <v>7730</v>
          </cell>
        </row>
        <row r="423">
          <cell r="G423" t="str">
            <v>29029PINK FLOYD</v>
          </cell>
          <cell r="H423">
            <v>4005</v>
          </cell>
        </row>
        <row r="424">
          <cell r="G424" t="str">
            <v>29030EXPLORER</v>
          </cell>
          <cell r="H424">
            <v>2269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0"/>
  <sheetViews>
    <sheetView tabSelected="1" topLeftCell="J1" zoomScaleNormal="100" workbookViewId="0">
      <selection activeCell="M403" sqref="M403"/>
    </sheetView>
  </sheetViews>
  <sheetFormatPr baseColWidth="10" defaultColWidth="9.140625" defaultRowHeight="15"/>
  <cols>
    <col min="5" max="5" width="9.140625" style="3"/>
    <col min="6" max="6" width="17.5703125" bestFit="1" customWidth="1"/>
    <col min="7" max="7" width="20.5703125" bestFit="1" customWidth="1"/>
    <col min="8" max="8" width="21.7109375" bestFit="1" customWidth="1"/>
    <col min="9" max="9" width="15.42578125" style="9" bestFit="1" customWidth="1"/>
    <col min="10" max="10" width="9.140625" style="5"/>
    <col min="11" max="11" width="18.42578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75</v>
      </c>
      <c r="H1" s="1" t="s">
        <v>6</v>
      </c>
      <c r="I1" s="8" t="s">
        <v>74</v>
      </c>
      <c r="J1" s="6" t="s">
        <v>109</v>
      </c>
      <c r="K1" s="7" t="s">
        <v>110</v>
      </c>
      <c r="L1" s="7" t="s">
        <v>111</v>
      </c>
    </row>
    <row r="2" spans="1:12">
      <c r="A2">
        <v>2026</v>
      </c>
      <c r="B2">
        <v>29</v>
      </c>
      <c r="C2" t="s">
        <v>7</v>
      </c>
      <c r="D2" t="s">
        <v>8</v>
      </c>
      <c r="E2" s="2" t="s">
        <v>98</v>
      </c>
      <c r="F2" t="s">
        <v>53</v>
      </c>
      <c r="G2" t="str">
        <f t="shared" ref="G2:G65" si="0">+B2&amp;E2&amp;F2</f>
        <v>29010VIOLET HILL</v>
      </c>
      <c r="H2">
        <v>1782</v>
      </c>
      <c r="I2" s="9">
        <f>VLOOKUP(G2,[1]Estimado_modelo!$G$2:$I$421,3,FALSE)</f>
        <v>5850</v>
      </c>
      <c r="J2" s="5">
        <f t="shared" ref="J2:J65" si="1">+(I2-H2)/I2</f>
        <v>0.69538461538461538</v>
      </c>
      <c r="K2">
        <f>VLOOKUP(G2,[5]Estimado_modelo!$G$2:$H$424,2,FALSE)</f>
        <v>1566</v>
      </c>
      <c r="L2">
        <f t="shared" ref="L2:L65" si="2">+(I2-K2)/I2</f>
        <v>0.73230769230769233</v>
      </c>
    </row>
    <row r="3" spans="1:12">
      <c r="A3">
        <v>2026</v>
      </c>
      <c r="B3">
        <v>29</v>
      </c>
      <c r="C3" t="s">
        <v>7</v>
      </c>
      <c r="D3" t="s">
        <v>8</v>
      </c>
      <c r="E3" s="2" t="s">
        <v>98</v>
      </c>
      <c r="F3" t="s">
        <v>52</v>
      </c>
      <c r="G3" t="str">
        <f t="shared" si="0"/>
        <v>29010COOLDOWN</v>
      </c>
      <c r="H3">
        <v>1700</v>
      </c>
      <c r="I3" s="9">
        <f>VLOOKUP(G3,[1]Estimado_modelo!$G$2:$I$421,3,FALSE)</f>
        <v>3825</v>
      </c>
      <c r="J3" s="5">
        <f t="shared" si="1"/>
        <v>0.55555555555555558</v>
      </c>
      <c r="K3">
        <f>VLOOKUP(G3,[5]Estimado_modelo!$G$2:$H$424,2,FALSE)</f>
        <v>1126</v>
      </c>
      <c r="L3">
        <f t="shared" si="2"/>
        <v>0.70562091503267976</v>
      </c>
    </row>
    <row r="4" spans="1:12">
      <c r="A4">
        <v>2026</v>
      </c>
      <c r="B4">
        <v>28</v>
      </c>
      <c r="C4" t="s">
        <v>7</v>
      </c>
      <c r="D4" t="s">
        <v>8</v>
      </c>
      <c r="E4" s="2" t="s">
        <v>98</v>
      </c>
      <c r="F4" t="s">
        <v>53</v>
      </c>
      <c r="G4" t="str">
        <f t="shared" si="0"/>
        <v>28010VIOLET HILL</v>
      </c>
      <c r="H4">
        <v>2247</v>
      </c>
      <c r="I4" s="9">
        <f>VLOOKUP(G4,[2]Astroflores!$G$2:$H$110,2,FALSE)</f>
        <v>6990</v>
      </c>
      <c r="J4" s="5">
        <f t="shared" si="1"/>
        <v>0.67854077253218881</v>
      </c>
      <c r="K4">
        <f>VLOOKUP(G4,[5]Estimado_modelo!$G$2:$H$424,2,FALSE)</f>
        <v>2100</v>
      </c>
      <c r="L4">
        <f t="shared" si="2"/>
        <v>0.69957081545064381</v>
      </c>
    </row>
    <row r="5" spans="1:12">
      <c r="A5">
        <v>2026</v>
      </c>
      <c r="B5">
        <v>27</v>
      </c>
      <c r="C5" t="s">
        <v>7</v>
      </c>
      <c r="D5" t="s">
        <v>8</v>
      </c>
      <c r="E5" s="2" t="s">
        <v>98</v>
      </c>
      <c r="F5" t="s">
        <v>53</v>
      </c>
      <c r="G5" t="str">
        <f t="shared" si="0"/>
        <v>27010VIOLET HILL</v>
      </c>
      <c r="H5">
        <v>2527</v>
      </c>
      <c r="I5" s="9">
        <f>VLOOKUP(G5,[3]Hoja1!$G$8515:$H$8621,2,FALSE)</f>
        <v>6180</v>
      </c>
      <c r="J5" s="5">
        <f t="shared" si="1"/>
        <v>0.59110032362459541</v>
      </c>
      <c r="K5">
        <f>VLOOKUP(G5,[5]Estimado_modelo!$G$2:$H$424,2,FALSE)</f>
        <v>2289</v>
      </c>
      <c r="L5">
        <f t="shared" si="2"/>
        <v>0.62961165048543688</v>
      </c>
    </row>
    <row r="6" spans="1:12">
      <c r="A6">
        <v>2026</v>
      </c>
      <c r="B6">
        <v>29</v>
      </c>
      <c r="C6" t="s">
        <v>7</v>
      </c>
      <c r="D6" t="s">
        <v>8</v>
      </c>
      <c r="E6" s="2" t="s">
        <v>106</v>
      </c>
      <c r="F6" t="s">
        <v>71</v>
      </c>
      <c r="G6" t="str">
        <f t="shared" si="0"/>
        <v>29027TIFFANY</v>
      </c>
      <c r="H6">
        <v>2731</v>
      </c>
      <c r="I6" s="9">
        <f>VLOOKUP(G6,[1]Estimado_modelo!$G$2:$I$421,3,FALSE)</f>
        <v>6360</v>
      </c>
      <c r="J6" s="5">
        <f t="shared" si="1"/>
        <v>0.57059748427672952</v>
      </c>
      <c r="K6">
        <f>VLOOKUP(G6,[5]Estimado_modelo!$G$2:$H$424,2,FALSE)</f>
        <v>2649</v>
      </c>
      <c r="L6">
        <f t="shared" si="2"/>
        <v>0.58349056603773586</v>
      </c>
    </row>
    <row r="7" spans="1:12">
      <c r="A7">
        <v>2026</v>
      </c>
      <c r="B7">
        <v>29</v>
      </c>
      <c r="C7" t="s">
        <v>7</v>
      </c>
      <c r="D7" t="s">
        <v>8</v>
      </c>
      <c r="E7" s="2" t="s">
        <v>106</v>
      </c>
      <c r="F7" t="s">
        <v>70</v>
      </c>
      <c r="G7" t="str">
        <f t="shared" si="0"/>
        <v>29027SATISFACTION</v>
      </c>
      <c r="H7">
        <v>3103</v>
      </c>
      <c r="I7" s="9">
        <f>VLOOKUP(G7,[1]Estimado_modelo!$G$2:$I$421,3,FALSE)</f>
        <v>7230</v>
      </c>
      <c r="J7" s="5">
        <f t="shared" si="1"/>
        <v>0.57081604426002763</v>
      </c>
      <c r="K7">
        <f>VLOOKUP(G7,[5]Estimado_modelo!$G$2:$H$424,2,FALSE)</f>
        <v>3043</v>
      </c>
      <c r="L7">
        <f t="shared" si="2"/>
        <v>0.57911479944674971</v>
      </c>
    </row>
    <row r="8" spans="1:12">
      <c r="A8">
        <v>2026</v>
      </c>
      <c r="B8">
        <v>27</v>
      </c>
      <c r="C8" t="s">
        <v>10</v>
      </c>
      <c r="D8" t="s">
        <v>8</v>
      </c>
      <c r="E8" s="2" t="s">
        <v>91</v>
      </c>
      <c r="F8" t="s">
        <v>30</v>
      </c>
      <c r="G8" t="str">
        <f t="shared" si="0"/>
        <v>2703182989</v>
      </c>
      <c r="H8">
        <v>1275</v>
      </c>
      <c r="I8" s="9">
        <f>VLOOKUP(G8,[3]Hoja1!$G$8515:$H$8621,2,FALSE)</f>
        <v>2720</v>
      </c>
      <c r="J8" s="5">
        <f t="shared" si="1"/>
        <v>0.53125</v>
      </c>
      <c r="K8">
        <f>VLOOKUP(G8,[5]Estimado_modelo!$G$2:$H$424,2,FALSE)</f>
        <v>1237</v>
      </c>
      <c r="L8">
        <f t="shared" si="2"/>
        <v>0.54522058823529407</v>
      </c>
    </row>
    <row r="9" spans="1:12">
      <c r="A9">
        <v>2026</v>
      </c>
      <c r="B9">
        <v>27</v>
      </c>
      <c r="C9" t="s">
        <v>7</v>
      </c>
      <c r="D9" t="s">
        <v>8</v>
      </c>
      <c r="E9" s="2" t="s">
        <v>83</v>
      </c>
      <c r="F9" t="s">
        <v>61</v>
      </c>
      <c r="G9" t="str">
        <f t="shared" si="0"/>
        <v>27016NINA</v>
      </c>
      <c r="H9">
        <v>2494</v>
      </c>
      <c r="I9" s="9">
        <f>VLOOKUP(G9,[3]Hoja1!$G$8515:$H$8621,2,FALSE)</f>
        <v>4900</v>
      </c>
      <c r="J9" s="5">
        <f t="shared" si="1"/>
        <v>0.49102040816326531</v>
      </c>
      <c r="K9">
        <f>VLOOKUP(G9,[5]Estimado_modelo!$G$2:$H$424,2,FALSE)</f>
        <v>2242</v>
      </c>
      <c r="L9">
        <f t="shared" si="2"/>
        <v>0.54244897959183669</v>
      </c>
    </row>
    <row r="10" spans="1:12">
      <c r="A10">
        <v>2026</v>
      </c>
      <c r="B10">
        <v>29</v>
      </c>
      <c r="C10" t="s">
        <v>10</v>
      </c>
      <c r="D10" t="s">
        <v>8</v>
      </c>
      <c r="E10" s="2" t="s">
        <v>91</v>
      </c>
      <c r="F10" t="s">
        <v>31</v>
      </c>
      <c r="G10" t="str">
        <f t="shared" si="0"/>
        <v>29031VELVET BLOSSOMS</v>
      </c>
      <c r="H10">
        <v>314</v>
      </c>
      <c r="I10" s="9">
        <f>VLOOKUP(G10,[1]Estimado_modelo!$G$2:$I$421,3,FALSE)</f>
        <v>760</v>
      </c>
      <c r="J10" s="5">
        <f t="shared" si="1"/>
        <v>0.58684210526315794</v>
      </c>
      <c r="K10">
        <f>VLOOKUP(G10,[5]Estimado_modelo!$G$2:$H$424,2,FALSE)</f>
        <v>349</v>
      </c>
      <c r="L10">
        <f t="shared" si="2"/>
        <v>0.54078947368421049</v>
      </c>
    </row>
    <row r="11" spans="1:12">
      <c r="A11">
        <v>2026</v>
      </c>
      <c r="B11">
        <v>28</v>
      </c>
      <c r="C11" t="s">
        <v>7</v>
      </c>
      <c r="D11" t="s">
        <v>8</v>
      </c>
      <c r="E11" s="2" t="s">
        <v>82</v>
      </c>
      <c r="F11" t="s">
        <v>41</v>
      </c>
      <c r="G11" t="str">
        <f t="shared" si="0"/>
        <v>28015JOCKER</v>
      </c>
      <c r="H11">
        <v>3254</v>
      </c>
      <c r="I11" s="9">
        <f>VLOOKUP(G11,[2]Astroflores!$G$2:$H$110,2,FALSE)</f>
        <v>7725</v>
      </c>
      <c r="J11" s="5">
        <f t="shared" si="1"/>
        <v>0.57877022653721688</v>
      </c>
      <c r="K11">
        <f>VLOOKUP(G11,[5]Estimado_modelo!$G$2:$H$424,2,FALSE)</f>
        <v>3569</v>
      </c>
      <c r="L11">
        <f t="shared" si="2"/>
        <v>0.5379935275080906</v>
      </c>
    </row>
    <row r="12" spans="1:12">
      <c r="A12">
        <v>2026</v>
      </c>
      <c r="B12">
        <v>27</v>
      </c>
      <c r="C12" t="s">
        <v>7</v>
      </c>
      <c r="D12" t="s">
        <v>8</v>
      </c>
      <c r="E12" s="2" t="s">
        <v>102</v>
      </c>
      <c r="F12" t="s">
        <v>66</v>
      </c>
      <c r="G12" t="str">
        <f t="shared" si="0"/>
        <v>27023FRUTTETO</v>
      </c>
      <c r="H12">
        <v>5104</v>
      </c>
      <c r="I12" s="9">
        <f>VLOOKUP(G12,[3]Hoja1!$G$8515:$H$8621,2,FALSE)</f>
        <v>8490</v>
      </c>
      <c r="J12" s="5">
        <f t="shared" si="1"/>
        <v>0.3988221436984688</v>
      </c>
      <c r="K12">
        <f>VLOOKUP(G12,[5]Estimado_modelo!$G$2:$H$424,2,FALSE)</f>
        <v>3876</v>
      </c>
      <c r="L12">
        <f t="shared" si="2"/>
        <v>0.54346289752650179</v>
      </c>
    </row>
    <row r="13" spans="1:12">
      <c r="A13">
        <v>2026</v>
      </c>
      <c r="B13">
        <v>28</v>
      </c>
      <c r="C13" t="s">
        <v>7</v>
      </c>
      <c r="D13" t="s">
        <v>8</v>
      </c>
      <c r="E13" s="2" t="s">
        <v>106</v>
      </c>
      <c r="F13" t="s">
        <v>71</v>
      </c>
      <c r="G13" t="str">
        <f t="shared" si="0"/>
        <v>28027TIFFANY</v>
      </c>
      <c r="H13">
        <v>3054</v>
      </c>
      <c r="I13" s="9">
        <f>VLOOKUP(G13,[2]Astroflores!$G$2:$H$110,2,FALSE)</f>
        <v>5430</v>
      </c>
      <c r="J13" s="5">
        <f t="shared" si="1"/>
        <v>0.43756906077348068</v>
      </c>
      <c r="K13">
        <f>VLOOKUP(G13,[5]Estimado_modelo!$G$2:$H$424,2,FALSE)</f>
        <v>2607</v>
      </c>
      <c r="L13">
        <f t="shared" si="2"/>
        <v>0.51988950276243096</v>
      </c>
    </row>
    <row r="14" spans="1:12">
      <c r="A14">
        <v>2026</v>
      </c>
      <c r="B14">
        <v>27</v>
      </c>
      <c r="C14" t="s">
        <v>7</v>
      </c>
      <c r="D14" t="s">
        <v>8</v>
      </c>
      <c r="E14" s="2" t="s">
        <v>99</v>
      </c>
      <c r="F14" t="s">
        <v>54</v>
      </c>
      <c r="G14" t="str">
        <f t="shared" si="0"/>
        <v>27011BRIGHTON</v>
      </c>
      <c r="H14">
        <v>1406</v>
      </c>
      <c r="I14" s="9">
        <f>VLOOKUP(G14,[3]Hoja1!$G$8515:$H$8621,2,FALSE)</f>
        <v>3325</v>
      </c>
      <c r="J14" s="5">
        <f t="shared" si="1"/>
        <v>0.57714285714285718</v>
      </c>
      <c r="K14">
        <f>VLOOKUP(G14,[5]Estimado_modelo!$G$2:$H$424,2,FALSE)</f>
        <v>1594</v>
      </c>
      <c r="L14">
        <f t="shared" si="2"/>
        <v>0.52060150375939851</v>
      </c>
    </row>
    <row r="15" spans="1:12">
      <c r="A15">
        <v>2026</v>
      </c>
      <c r="B15">
        <v>27</v>
      </c>
      <c r="C15" t="s">
        <v>10</v>
      </c>
      <c r="D15" t="s">
        <v>8</v>
      </c>
      <c r="E15" s="2" t="s">
        <v>91</v>
      </c>
      <c r="F15" t="s">
        <v>31</v>
      </c>
      <c r="G15" t="str">
        <f t="shared" si="0"/>
        <v>27031VELVET BLOSSOMS</v>
      </c>
      <c r="H15">
        <v>432</v>
      </c>
      <c r="I15" s="9">
        <f>VLOOKUP(G15,[3]Hoja1!$G$8515:$H$8621,2,FALSE)</f>
        <v>800</v>
      </c>
      <c r="J15" s="5">
        <f t="shared" si="1"/>
        <v>0.46</v>
      </c>
      <c r="K15">
        <f>VLOOKUP(G15,[5]Estimado_modelo!$G$2:$H$424,2,FALSE)</f>
        <v>386</v>
      </c>
      <c r="L15">
        <f t="shared" si="2"/>
        <v>0.51749999999999996</v>
      </c>
    </row>
    <row r="16" spans="1:12">
      <c r="A16">
        <v>2026</v>
      </c>
      <c r="B16">
        <v>29</v>
      </c>
      <c r="C16" t="s">
        <v>7</v>
      </c>
      <c r="D16" t="s">
        <v>8</v>
      </c>
      <c r="E16" s="2" t="s">
        <v>103</v>
      </c>
      <c r="F16" t="s">
        <v>63</v>
      </c>
      <c r="G16" t="str">
        <f t="shared" si="0"/>
        <v>29024TYCOON</v>
      </c>
      <c r="H16">
        <v>3625</v>
      </c>
      <c r="I16" s="9">
        <f>VLOOKUP(G16,[1]Estimado_modelo!$G$2:$I$421,3,FALSE)</f>
        <v>5070</v>
      </c>
      <c r="J16" s="5">
        <f t="shared" si="1"/>
        <v>0.28500986193293887</v>
      </c>
      <c r="K16">
        <f>VLOOKUP(G16,[5]Estimado_modelo!$G$2:$H$424,2,FALSE)</f>
        <v>2454</v>
      </c>
      <c r="L16">
        <f t="shared" si="2"/>
        <v>0.51597633136094678</v>
      </c>
    </row>
    <row r="17" spans="1:12">
      <c r="A17">
        <v>2026</v>
      </c>
      <c r="B17">
        <v>28</v>
      </c>
      <c r="C17" t="s">
        <v>7</v>
      </c>
      <c r="D17" t="s">
        <v>8</v>
      </c>
      <c r="E17" s="2" t="s">
        <v>106</v>
      </c>
      <c r="F17" t="s">
        <v>70</v>
      </c>
      <c r="G17" t="str">
        <f t="shared" si="0"/>
        <v>28027SATISFACTION</v>
      </c>
      <c r="H17">
        <v>3376</v>
      </c>
      <c r="I17" s="9">
        <f>VLOOKUP(G17,[2]Astroflores!$G$2:$H$110,2,FALSE)</f>
        <v>6180</v>
      </c>
      <c r="J17" s="5">
        <f t="shared" si="1"/>
        <v>0.45372168284789643</v>
      </c>
      <c r="K17">
        <f>VLOOKUP(G17,[5]Estimado_modelo!$G$2:$H$424,2,FALSE)</f>
        <v>3006</v>
      </c>
      <c r="L17">
        <f t="shared" si="2"/>
        <v>0.51359223300970869</v>
      </c>
    </row>
    <row r="18" spans="1:12">
      <c r="A18">
        <v>2026</v>
      </c>
      <c r="B18">
        <v>29</v>
      </c>
      <c r="C18" t="s">
        <v>7</v>
      </c>
      <c r="D18" t="s">
        <v>8</v>
      </c>
      <c r="E18" s="2" t="s">
        <v>103</v>
      </c>
      <c r="F18" t="s">
        <v>38</v>
      </c>
      <c r="G18" t="str">
        <f t="shared" si="0"/>
        <v>29024SWEETNESS</v>
      </c>
      <c r="H18">
        <v>1310</v>
      </c>
      <c r="I18" s="9">
        <f>VLOOKUP(G18,[1]Estimado_modelo!$G$2:$I$421,3,FALSE)</f>
        <v>2220</v>
      </c>
      <c r="J18" s="5">
        <f t="shared" si="1"/>
        <v>0.40990990990990989</v>
      </c>
      <c r="K18">
        <f>VLOOKUP(G18,[5]Estimado_modelo!$G$2:$H$424,2,FALSE)</f>
        <v>1102</v>
      </c>
      <c r="L18">
        <f t="shared" si="2"/>
        <v>0.50360360360360357</v>
      </c>
    </row>
    <row r="19" spans="1:12">
      <c r="A19">
        <v>2026</v>
      </c>
      <c r="B19">
        <v>28</v>
      </c>
      <c r="C19" t="s">
        <v>7</v>
      </c>
      <c r="D19" t="s">
        <v>8</v>
      </c>
      <c r="E19" s="2" t="s">
        <v>99</v>
      </c>
      <c r="F19" t="s">
        <v>54</v>
      </c>
      <c r="G19" t="str">
        <f t="shared" si="0"/>
        <v>28011BRIGHTON</v>
      </c>
      <c r="H19">
        <v>1995</v>
      </c>
      <c r="I19" s="9">
        <f>VLOOKUP(G19,[2]Astroflores!$G$2:$H$110,2,FALSE)</f>
        <v>3775</v>
      </c>
      <c r="J19" s="5">
        <f t="shared" si="1"/>
        <v>0.47152317880794703</v>
      </c>
      <c r="K19">
        <f>VLOOKUP(G19,[5]Estimado_modelo!$G$2:$H$424,2,FALSE)</f>
        <v>1871</v>
      </c>
      <c r="L19">
        <f t="shared" si="2"/>
        <v>0.50437086092715233</v>
      </c>
    </row>
    <row r="20" spans="1:12">
      <c r="A20">
        <v>2026</v>
      </c>
      <c r="B20">
        <v>28</v>
      </c>
      <c r="C20" t="s">
        <v>10</v>
      </c>
      <c r="D20" t="s">
        <v>8</v>
      </c>
      <c r="E20" s="2" t="s">
        <v>91</v>
      </c>
      <c r="F20" t="s">
        <v>31</v>
      </c>
      <c r="G20" t="str">
        <f t="shared" si="0"/>
        <v>28031VELVET BLOSSOMS</v>
      </c>
      <c r="H20">
        <v>320</v>
      </c>
      <c r="I20" s="9">
        <f>VLOOKUP(G20,[2]Astroflores!$G$2:$H$110,2,FALSE)</f>
        <v>720</v>
      </c>
      <c r="J20" s="5">
        <f t="shared" si="1"/>
        <v>0.55555555555555558</v>
      </c>
      <c r="K20">
        <f>VLOOKUP(G20,[5]Estimado_modelo!$G$2:$H$424,2,FALSE)</f>
        <v>363</v>
      </c>
      <c r="L20">
        <f t="shared" si="2"/>
        <v>0.49583333333333335</v>
      </c>
    </row>
    <row r="21" spans="1:12">
      <c r="A21">
        <v>2026</v>
      </c>
      <c r="B21">
        <v>29</v>
      </c>
      <c r="C21" t="s">
        <v>10</v>
      </c>
      <c r="D21" t="s">
        <v>8</v>
      </c>
      <c r="E21" s="2" t="s">
        <v>79</v>
      </c>
      <c r="F21" t="s">
        <v>16</v>
      </c>
      <c r="G21" t="str">
        <f t="shared" si="0"/>
        <v>29007SNOW BUBBLES</v>
      </c>
      <c r="H21">
        <v>549</v>
      </c>
      <c r="I21" s="9">
        <f>VLOOKUP(G21,[1]Estimado_modelo!$G$2:$I$421,3,FALSE)</f>
        <v>1580</v>
      </c>
      <c r="J21" s="5">
        <f t="shared" si="1"/>
        <v>0.65253164556962029</v>
      </c>
      <c r="K21">
        <f>VLOOKUP(G21,[5]Estimado_modelo!$G$2:$H$424,2,FALSE)</f>
        <v>800</v>
      </c>
      <c r="L21">
        <f t="shared" si="2"/>
        <v>0.49367088607594939</v>
      </c>
    </row>
    <row r="22" spans="1:12">
      <c r="A22">
        <v>2026</v>
      </c>
      <c r="B22">
        <v>27</v>
      </c>
      <c r="C22" t="s">
        <v>7</v>
      </c>
      <c r="D22" t="s">
        <v>8</v>
      </c>
      <c r="E22" s="2" t="s">
        <v>107</v>
      </c>
      <c r="F22" t="s">
        <v>40</v>
      </c>
      <c r="G22" t="str">
        <f t="shared" si="0"/>
        <v>27028DEEP PURPLE</v>
      </c>
      <c r="H22">
        <v>4670</v>
      </c>
      <c r="I22" s="9">
        <f>VLOOKUP(G22,[3]Hoja1!$G$8515:$H$8621,2,FALSE)</f>
        <v>9150</v>
      </c>
      <c r="J22" s="5">
        <f t="shared" si="1"/>
        <v>0.48961748633879781</v>
      </c>
      <c r="K22">
        <f>VLOOKUP(G22,[5]Estimado_modelo!$G$2:$H$424,2,FALSE)</f>
        <v>4670</v>
      </c>
      <c r="L22">
        <f t="shared" si="2"/>
        <v>0.48961748633879781</v>
      </c>
    </row>
    <row r="23" spans="1:12">
      <c r="A23">
        <v>2026</v>
      </c>
      <c r="B23">
        <v>29</v>
      </c>
      <c r="C23" t="s">
        <v>10</v>
      </c>
      <c r="D23" t="s">
        <v>8</v>
      </c>
      <c r="E23" s="2" t="s">
        <v>93</v>
      </c>
      <c r="F23" t="s">
        <v>14</v>
      </c>
      <c r="G23" t="str">
        <f t="shared" si="0"/>
        <v>29033HOT BUBBLES</v>
      </c>
      <c r="H23">
        <v>2520</v>
      </c>
      <c r="I23" s="9">
        <f>VLOOKUP(G23,[1]Estimado_modelo!$G$2:$I$421,3,FALSE)</f>
        <v>5780</v>
      </c>
      <c r="J23" s="5">
        <f t="shared" si="1"/>
        <v>0.56401384083044981</v>
      </c>
      <c r="K23">
        <f>VLOOKUP(G23,[5]Estimado_modelo!$G$2:$H$424,2,FALSE)</f>
        <v>3013</v>
      </c>
      <c r="L23">
        <f t="shared" si="2"/>
        <v>0.47871972318339101</v>
      </c>
    </row>
    <row r="24" spans="1:12">
      <c r="A24">
        <v>2026</v>
      </c>
      <c r="B24">
        <v>28</v>
      </c>
      <c r="C24" t="s">
        <v>7</v>
      </c>
      <c r="D24" t="s">
        <v>8</v>
      </c>
      <c r="E24" s="2" t="s">
        <v>97</v>
      </c>
      <c r="F24" t="s">
        <v>41</v>
      </c>
      <c r="G24" t="str">
        <f t="shared" si="0"/>
        <v>28008JOCKER</v>
      </c>
      <c r="H24">
        <v>3479</v>
      </c>
      <c r="I24" s="9">
        <f>VLOOKUP(G24,[2]Astroflores!$G$2:$H$110,2,FALSE)</f>
        <v>6700</v>
      </c>
      <c r="J24" s="5">
        <f t="shared" si="1"/>
        <v>0.48074626865671644</v>
      </c>
      <c r="K24">
        <f>VLOOKUP(G24,[5]Estimado_modelo!$G$2:$H$424,2,FALSE)</f>
        <v>3462</v>
      </c>
      <c r="L24">
        <f t="shared" si="2"/>
        <v>0.48328358208955224</v>
      </c>
    </row>
    <row r="25" spans="1:12">
      <c r="A25">
        <v>2026</v>
      </c>
      <c r="B25">
        <v>28</v>
      </c>
      <c r="C25" t="s">
        <v>7</v>
      </c>
      <c r="D25" t="s">
        <v>8</v>
      </c>
      <c r="E25" s="2" t="s">
        <v>103</v>
      </c>
      <c r="F25" t="s">
        <v>38</v>
      </c>
      <c r="G25" t="str">
        <f t="shared" si="0"/>
        <v>28024SWEETNESS</v>
      </c>
      <c r="H25">
        <v>1615</v>
      </c>
      <c r="I25" s="9">
        <f>VLOOKUP(G25,[2]Astroflores!$G$2:$H$110,2,FALSE)</f>
        <v>2490</v>
      </c>
      <c r="J25" s="5">
        <f t="shared" si="1"/>
        <v>0.35140562248995982</v>
      </c>
      <c r="K25">
        <f>VLOOKUP(G25,[5]Estimado_modelo!$G$2:$H$424,2,FALSE)</f>
        <v>1309</v>
      </c>
      <c r="L25">
        <f t="shared" si="2"/>
        <v>0.47429718875502008</v>
      </c>
    </row>
    <row r="26" spans="1:12">
      <c r="A26">
        <v>2026</v>
      </c>
      <c r="B26">
        <v>27</v>
      </c>
      <c r="C26" t="s">
        <v>7</v>
      </c>
      <c r="D26" t="s">
        <v>8</v>
      </c>
      <c r="E26" s="2" t="s">
        <v>99</v>
      </c>
      <c r="F26" t="s">
        <v>55</v>
      </c>
      <c r="G26" t="str">
        <f t="shared" si="0"/>
        <v>27011CANDLELIGHT</v>
      </c>
      <c r="H26">
        <v>4246</v>
      </c>
      <c r="I26" s="9">
        <f>VLOOKUP(G26,[3]Hoja1!$G$8515:$H$8621,2,FALSE)</f>
        <v>7180</v>
      </c>
      <c r="J26" s="5">
        <f t="shared" si="1"/>
        <v>0.40863509749303623</v>
      </c>
      <c r="K26">
        <f>VLOOKUP(G26,[5]Estimado_modelo!$G$2:$H$424,2,FALSE)</f>
        <v>3791</v>
      </c>
      <c r="L26">
        <f t="shared" si="2"/>
        <v>0.47200557103064067</v>
      </c>
    </row>
    <row r="27" spans="1:12">
      <c r="A27">
        <v>2026</v>
      </c>
      <c r="B27">
        <v>27</v>
      </c>
      <c r="C27" t="s">
        <v>7</v>
      </c>
      <c r="D27" t="s">
        <v>8</v>
      </c>
      <c r="E27" s="2" t="s">
        <v>106</v>
      </c>
      <c r="F27" t="s">
        <v>70</v>
      </c>
      <c r="G27" t="str">
        <f t="shared" si="0"/>
        <v>27027SATISFACTION</v>
      </c>
      <c r="H27">
        <v>3969</v>
      </c>
      <c r="I27" s="9">
        <f>VLOOKUP(G27,[3]Hoja1!$G$8515:$H$8621,2,FALSE)</f>
        <v>5460</v>
      </c>
      <c r="J27" s="5">
        <f t="shared" si="1"/>
        <v>0.27307692307692305</v>
      </c>
      <c r="K27">
        <f>VLOOKUP(G27,[5]Estimado_modelo!$G$2:$H$424,2,FALSE)</f>
        <v>2867</v>
      </c>
      <c r="L27">
        <f t="shared" si="2"/>
        <v>0.47490842490842489</v>
      </c>
    </row>
    <row r="28" spans="1:12">
      <c r="A28">
        <v>2026</v>
      </c>
      <c r="B28">
        <v>27</v>
      </c>
      <c r="C28" t="s">
        <v>10</v>
      </c>
      <c r="D28" t="s">
        <v>8</v>
      </c>
      <c r="E28" s="2" t="s">
        <v>90</v>
      </c>
      <c r="F28" t="s">
        <v>11</v>
      </c>
      <c r="G28" t="str">
        <f t="shared" si="0"/>
        <v>27030SOMERSET</v>
      </c>
      <c r="H28">
        <v>1729</v>
      </c>
      <c r="I28" s="9">
        <f>VLOOKUP(G28,[3]Hoja1!$G$8515:$H$8621,2,FALSE)</f>
        <v>3600</v>
      </c>
      <c r="J28" s="5">
        <f t="shared" si="1"/>
        <v>0.5197222222222222</v>
      </c>
      <c r="K28">
        <f>VLOOKUP(G28,[5]Estimado_modelo!$G$2:$H$424,2,FALSE)</f>
        <v>1981</v>
      </c>
      <c r="L28">
        <f t="shared" si="2"/>
        <v>0.44972222222222225</v>
      </c>
    </row>
    <row r="29" spans="1:12">
      <c r="A29">
        <v>2026</v>
      </c>
      <c r="B29">
        <v>27</v>
      </c>
      <c r="C29" t="s">
        <v>10</v>
      </c>
      <c r="D29" t="s">
        <v>8</v>
      </c>
      <c r="E29" s="2" t="s">
        <v>90</v>
      </c>
      <c r="F29" t="s">
        <v>29</v>
      </c>
      <c r="G29" t="str">
        <f t="shared" si="0"/>
        <v>27030MIRABEL</v>
      </c>
      <c r="H29">
        <v>3540</v>
      </c>
      <c r="I29" s="9">
        <f>VLOOKUP(G29,[3]Hoja1!$G$8515:$H$8621,2,FALSE)</f>
        <v>6820</v>
      </c>
      <c r="J29" s="5">
        <f t="shared" si="1"/>
        <v>0.48093841642228741</v>
      </c>
      <c r="K29">
        <f>VLOOKUP(G29,[5]Estimado_modelo!$G$2:$H$424,2,FALSE)</f>
        <v>3677</v>
      </c>
      <c r="L29">
        <f t="shared" si="2"/>
        <v>0.46085043988269797</v>
      </c>
    </row>
    <row r="30" spans="1:12">
      <c r="A30">
        <v>2026</v>
      </c>
      <c r="B30">
        <v>27</v>
      </c>
      <c r="C30" t="s">
        <v>7</v>
      </c>
      <c r="D30" t="s">
        <v>8</v>
      </c>
      <c r="E30" s="2" t="s">
        <v>82</v>
      </c>
      <c r="F30" t="s">
        <v>41</v>
      </c>
      <c r="G30" t="str">
        <f t="shared" si="0"/>
        <v>27015JOCKER</v>
      </c>
      <c r="H30">
        <v>2698</v>
      </c>
      <c r="I30" s="9">
        <f>VLOOKUP(G30,[3]Hoja1!$G$8515:$H$8621,2,FALSE)</f>
        <v>6175</v>
      </c>
      <c r="J30" s="5">
        <f t="shared" si="1"/>
        <v>0.56307692307692303</v>
      </c>
      <c r="K30">
        <f>VLOOKUP(G30,[5]Estimado_modelo!$G$2:$H$424,2,FALSE)</f>
        <v>3376</v>
      </c>
      <c r="L30">
        <f t="shared" si="2"/>
        <v>0.45327935222672067</v>
      </c>
    </row>
    <row r="31" spans="1:12">
      <c r="A31">
        <v>2026</v>
      </c>
      <c r="B31">
        <v>27</v>
      </c>
      <c r="C31" t="s">
        <v>7</v>
      </c>
      <c r="D31" t="s">
        <v>8</v>
      </c>
      <c r="E31" s="2" t="s">
        <v>100</v>
      </c>
      <c r="F31" t="s">
        <v>40</v>
      </c>
      <c r="G31" t="str">
        <f t="shared" si="0"/>
        <v>27012DEEP PURPLE</v>
      </c>
      <c r="H31">
        <v>10108</v>
      </c>
      <c r="I31" s="9">
        <f>VLOOKUP(G31,[3]Hoja1!$G$8515:$H$8621,2,FALSE)</f>
        <v>22050</v>
      </c>
      <c r="J31" s="5">
        <f t="shared" si="1"/>
        <v>0.54158730158730162</v>
      </c>
      <c r="K31">
        <f>VLOOKUP(G31,[5]Estimado_modelo!$G$2:$H$424,2,FALSE)</f>
        <v>11921</v>
      </c>
      <c r="L31">
        <f t="shared" si="2"/>
        <v>0.45936507936507937</v>
      </c>
    </row>
    <row r="32" spans="1:12">
      <c r="A32">
        <v>2026</v>
      </c>
      <c r="B32">
        <v>28</v>
      </c>
      <c r="C32" t="s">
        <v>10</v>
      </c>
      <c r="D32" t="s">
        <v>8</v>
      </c>
      <c r="E32" s="2" t="s">
        <v>90</v>
      </c>
      <c r="F32" t="s">
        <v>29</v>
      </c>
      <c r="G32" t="str">
        <f t="shared" si="0"/>
        <v>28030MIRABEL</v>
      </c>
      <c r="H32">
        <v>3143</v>
      </c>
      <c r="I32" s="9">
        <f>VLOOKUP(G32,[2]Astroflores!$G$2:$H$110,2,FALSE)</f>
        <v>6100</v>
      </c>
      <c r="J32" s="5">
        <f t="shared" si="1"/>
        <v>0.48475409836065575</v>
      </c>
      <c r="K32">
        <f>VLOOKUP(G32,[5]Estimado_modelo!$G$2:$H$424,2,FALSE)</f>
        <v>3379</v>
      </c>
      <c r="L32">
        <f t="shared" si="2"/>
        <v>0.44606557377049183</v>
      </c>
    </row>
    <row r="33" spans="1:12">
      <c r="A33">
        <v>2026</v>
      </c>
      <c r="B33">
        <v>29</v>
      </c>
      <c r="C33" t="s">
        <v>7</v>
      </c>
      <c r="D33" t="s">
        <v>8</v>
      </c>
      <c r="E33" s="2" t="s">
        <v>79</v>
      </c>
      <c r="F33" t="s">
        <v>50</v>
      </c>
      <c r="G33" t="str">
        <f t="shared" si="0"/>
        <v>29007REDIANT</v>
      </c>
      <c r="H33">
        <v>1159</v>
      </c>
      <c r="I33" s="9">
        <f>VLOOKUP(G33,[1]Estimado_modelo!$G$2:$I$421,3,FALSE)</f>
        <v>2160</v>
      </c>
      <c r="J33" s="5">
        <f t="shared" si="1"/>
        <v>0.46342592592592591</v>
      </c>
      <c r="K33">
        <f>VLOOKUP(G33,[5]Estimado_modelo!$G$2:$H$424,2,FALSE)</f>
        <v>1222</v>
      </c>
      <c r="L33">
        <f t="shared" si="2"/>
        <v>0.43425925925925923</v>
      </c>
    </row>
    <row r="34" spans="1:12">
      <c r="A34">
        <v>2026</v>
      </c>
      <c r="B34">
        <v>27</v>
      </c>
      <c r="C34" t="s">
        <v>10</v>
      </c>
      <c r="D34" t="s">
        <v>8</v>
      </c>
      <c r="E34" s="2" t="s">
        <v>91</v>
      </c>
      <c r="F34" t="s">
        <v>23</v>
      </c>
      <c r="G34" t="str">
        <f t="shared" si="0"/>
        <v>27031RUBICON</v>
      </c>
      <c r="H34">
        <v>2053</v>
      </c>
      <c r="I34" s="9">
        <f>VLOOKUP(G34,[3]Hoja1!$G$8515:$H$8621,2,FALSE)</f>
        <v>3930</v>
      </c>
      <c r="J34" s="5">
        <f t="shared" si="1"/>
        <v>0.4776081424936387</v>
      </c>
      <c r="K34">
        <f>VLOOKUP(G34,[5]Estimado_modelo!$G$2:$H$424,2,FALSE)</f>
        <v>2193</v>
      </c>
      <c r="L34">
        <f t="shared" si="2"/>
        <v>0.44198473282442746</v>
      </c>
    </row>
    <row r="35" spans="1:12">
      <c r="A35">
        <v>2026</v>
      </c>
      <c r="B35">
        <v>27</v>
      </c>
      <c r="C35" t="s">
        <v>10</v>
      </c>
      <c r="D35" t="s">
        <v>8</v>
      </c>
      <c r="E35" s="2" t="s">
        <v>92</v>
      </c>
      <c r="F35" t="s">
        <v>13</v>
      </c>
      <c r="G35" t="str">
        <f t="shared" si="0"/>
        <v>27032ELBA</v>
      </c>
      <c r="H35">
        <v>2800</v>
      </c>
      <c r="I35" s="9">
        <f>VLOOKUP(G35,[3]Hoja1!$G$8515:$H$8621,2,FALSE)</f>
        <v>4800</v>
      </c>
      <c r="J35" s="5">
        <f t="shared" si="1"/>
        <v>0.41666666666666669</v>
      </c>
      <c r="K35">
        <f>VLOOKUP(G35,[5]Estimado_modelo!$G$2:$H$424,2,FALSE)</f>
        <v>2747</v>
      </c>
      <c r="L35">
        <f t="shared" si="2"/>
        <v>0.42770833333333336</v>
      </c>
    </row>
    <row r="36" spans="1:12">
      <c r="A36">
        <v>2026</v>
      </c>
      <c r="B36">
        <v>29</v>
      </c>
      <c r="C36" t="s">
        <v>7</v>
      </c>
      <c r="D36" t="s">
        <v>8</v>
      </c>
      <c r="E36" s="2" t="s">
        <v>82</v>
      </c>
      <c r="F36" t="s">
        <v>41</v>
      </c>
      <c r="G36" t="str">
        <f t="shared" si="0"/>
        <v>29015JOCKER</v>
      </c>
      <c r="H36">
        <v>3715</v>
      </c>
      <c r="I36" s="9">
        <f>VLOOKUP(G36,[1]Estimado_modelo!$G$2:$I$421,3,FALSE)</f>
        <v>6750</v>
      </c>
      <c r="J36" s="5">
        <f t="shared" si="1"/>
        <v>0.44962962962962966</v>
      </c>
      <c r="K36">
        <f>VLOOKUP(G36,[5]Estimado_modelo!$G$2:$H$424,2,FALSE)</f>
        <v>3790</v>
      </c>
      <c r="L36">
        <f t="shared" si="2"/>
        <v>0.43851851851851853</v>
      </c>
    </row>
    <row r="37" spans="1:12">
      <c r="A37">
        <v>2026</v>
      </c>
      <c r="B37">
        <v>28</v>
      </c>
      <c r="C37" t="s">
        <v>7</v>
      </c>
      <c r="D37" t="s">
        <v>8</v>
      </c>
      <c r="E37" s="2" t="s">
        <v>102</v>
      </c>
      <c r="F37" t="s">
        <v>66</v>
      </c>
      <c r="G37" t="str">
        <f t="shared" si="0"/>
        <v>28023FRUTTETO</v>
      </c>
      <c r="H37">
        <v>4946</v>
      </c>
      <c r="I37" s="9">
        <f>VLOOKUP(G37,[2]Astroflores!$G$2:$H$110,2,FALSE)</f>
        <v>7980</v>
      </c>
      <c r="J37" s="5">
        <f t="shared" si="1"/>
        <v>0.38020050125313282</v>
      </c>
      <c r="K37">
        <f>VLOOKUP(G37,[5]Estimado_modelo!$G$2:$H$424,2,FALSE)</f>
        <v>4564</v>
      </c>
      <c r="L37">
        <f t="shared" si="2"/>
        <v>0.42807017543859649</v>
      </c>
    </row>
    <row r="38" spans="1:12">
      <c r="A38">
        <v>2026</v>
      </c>
      <c r="B38">
        <v>28</v>
      </c>
      <c r="C38" t="s">
        <v>7</v>
      </c>
      <c r="D38" t="s">
        <v>8</v>
      </c>
      <c r="E38" s="2" t="s">
        <v>81</v>
      </c>
      <c r="F38" t="s">
        <v>57</v>
      </c>
      <c r="G38" t="str">
        <f t="shared" si="0"/>
        <v>28014STARDUST</v>
      </c>
      <c r="H38">
        <v>5170</v>
      </c>
      <c r="I38" s="9">
        <f>VLOOKUP(G38,[2]Astroflores!$G$2:$H$110,2,FALSE)</f>
        <v>9075</v>
      </c>
      <c r="J38" s="5">
        <f t="shared" si="1"/>
        <v>0.4303030303030303</v>
      </c>
      <c r="K38">
        <f>VLOOKUP(G38,[5]Estimado_modelo!$G$2:$H$424,2,FALSE)</f>
        <v>5251</v>
      </c>
      <c r="L38">
        <f t="shared" si="2"/>
        <v>0.42137741046831956</v>
      </c>
    </row>
    <row r="39" spans="1:12">
      <c r="A39">
        <v>2026</v>
      </c>
      <c r="B39">
        <v>27</v>
      </c>
      <c r="C39" t="s">
        <v>7</v>
      </c>
      <c r="D39" t="s">
        <v>8</v>
      </c>
      <c r="E39" s="2" t="s">
        <v>98</v>
      </c>
      <c r="F39" t="s">
        <v>52</v>
      </c>
      <c r="G39" t="str">
        <f t="shared" si="0"/>
        <v>27010COOLDOWN</v>
      </c>
      <c r="H39">
        <v>1939</v>
      </c>
      <c r="I39" s="9">
        <f>VLOOKUP(G39,[3]Hoja1!$G$8515:$H$8621,2,FALSE)</f>
        <v>3520</v>
      </c>
      <c r="J39" s="5">
        <f t="shared" si="1"/>
        <v>0.44914772727272728</v>
      </c>
      <c r="K39">
        <f>VLOOKUP(G39,[5]Estimado_modelo!$G$2:$H$424,2,FALSE)</f>
        <v>2030</v>
      </c>
      <c r="L39">
        <f t="shared" si="2"/>
        <v>0.42329545454545453</v>
      </c>
    </row>
    <row r="40" spans="1:12">
      <c r="A40">
        <v>2026</v>
      </c>
      <c r="B40">
        <v>29</v>
      </c>
      <c r="C40" t="s">
        <v>7</v>
      </c>
      <c r="D40" t="s">
        <v>8</v>
      </c>
      <c r="E40" s="2" t="s">
        <v>94</v>
      </c>
      <c r="F40" t="s">
        <v>9</v>
      </c>
      <c r="G40" t="str">
        <f t="shared" si="0"/>
        <v>29001LUMIA</v>
      </c>
      <c r="H40">
        <v>1908</v>
      </c>
      <c r="I40" s="9">
        <f>VLOOKUP(G40,[1]Estimado_modelo!$G$2:$I$421,3,FALSE)</f>
        <v>3300</v>
      </c>
      <c r="J40" s="5">
        <f t="shared" si="1"/>
        <v>0.42181818181818181</v>
      </c>
      <c r="K40">
        <f>VLOOKUP(G40,[5]Estimado_modelo!$G$2:$H$424,2,FALSE)</f>
        <v>1905</v>
      </c>
      <c r="L40">
        <f t="shared" si="2"/>
        <v>0.42272727272727273</v>
      </c>
    </row>
    <row r="41" spans="1:12">
      <c r="A41">
        <v>2026</v>
      </c>
      <c r="B41">
        <v>27</v>
      </c>
      <c r="C41" t="s">
        <v>7</v>
      </c>
      <c r="D41" t="s">
        <v>8</v>
      </c>
      <c r="E41" s="2" t="s">
        <v>81</v>
      </c>
      <c r="F41" t="s">
        <v>57</v>
      </c>
      <c r="G41" t="str">
        <f t="shared" si="0"/>
        <v>27014STARDUST</v>
      </c>
      <c r="H41">
        <v>3941</v>
      </c>
      <c r="I41" s="9">
        <f>VLOOKUP(G41,[3]Hoja1!$G$8515:$H$8621,2,FALSE)</f>
        <v>7475</v>
      </c>
      <c r="J41" s="5">
        <f t="shared" si="1"/>
        <v>0.47277591973244149</v>
      </c>
      <c r="K41">
        <f>VLOOKUP(G41,[5]Estimado_modelo!$G$2:$H$424,2,FALSE)</f>
        <v>4495</v>
      </c>
      <c r="L41">
        <f t="shared" si="2"/>
        <v>0.39866220735785951</v>
      </c>
    </row>
    <row r="42" spans="1:12">
      <c r="A42">
        <v>2026</v>
      </c>
      <c r="B42">
        <v>27</v>
      </c>
      <c r="C42" t="s">
        <v>7</v>
      </c>
      <c r="D42" t="s">
        <v>8</v>
      </c>
      <c r="E42" s="2" t="s">
        <v>87</v>
      </c>
      <c r="F42" t="s">
        <v>54</v>
      </c>
      <c r="G42" t="str">
        <f t="shared" si="0"/>
        <v>27020BRIGHTON</v>
      </c>
      <c r="H42">
        <v>3291</v>
      </c>
      <c r="I42" s="9">
        <f>VLOOKUP(G42,[3]Hoja1!$G$8515:$H$8621,2,FALSE)</f>
        <v>6700</v>
      </c>
      <c r="J42" s="5">
        <f t="shared" si="1"/>
        <v>0.50880597014925377</v>
      </c>
      <c r="K42">
        <f>VLOOKUP(G42,[5]Estimado_modelo!$G$2:$H$424,2,FALSE)</f>
        <v>4100</v>
      </c>
      <c r="L42">
        <f t="shared" si="2"/>
        <v>0.38805970149253732</v>
      </c>
    </row>
    <row r="43" spans="1:12">
      <c r="A43">
        <v>2026</v>
      </c>
      <c r="B43">
        <v>29</v>
      </c>
      <c r="C43" t="s">
        <v>7</v>
      </c>
      <c r="D43" t="s">
        <v>8</v>
      </c>
      <c r="E43" s="2" t="s">
        <v>97</v>
      </c>
      <c r="F43" t="s">
        <v>41</v>
      </c>
      <c r="G43" t="str">
        <f t="shared" si="0"/>
        <v>29008JOCKER</v>
      </c>
      <c r="H43">
        <v>3776</v>
      </c>
      <c r="I43" s="9">
        <f>VLOOKUP(G43,[1]Estimado_modelo!$G$2:$I$421,3,FALSE)</f>
        <v>5750</v>
      </c>
      <c r="J43" s="5">
        <f t="shared" si="1"/>
        <v>0.34330434782608693</v>
      </c>
      <c r="K43">
        <f>VLOOKUP(G43,[5]Estimado_modelo!$G$2:$H$424,2,FALSE)</f>
        <v>3483</v>
      </c>
      <c r="L43">
        <f t="shared" si="2"/>
        <v>0.39426086956521739</v>
      </c>
    </row>
    <row r="44" spans="1:12">
      <c r="A44">
        <v>2026</v>
      </c>
      <c r="B44">
        <v>28</v>
      </c>
      <c r="C44" t="s">
        <v>7</v>
      </c>
      <c r="D44" t="s">
        <v>8</v>
      </c>
      <c r="E44" s="2" t="s">
        <v>85</v>
      </c>
      <c r="F44" t="s">
        <v>54</v>
      </c>
      <c r="G44" t="str">
        <f t="shared" si="0"/>
        <v>28018BRIGHTON</v>
      </c>
      <c r="H44">
        <v>1904</v>
      </c>
      <c r="I44" s="9">
        <f>VLOOKUP(G44,[2]Astroflores!$G$2:$H$110,2,FALSE)</f>
        <v>3175</v>
      </c>
      <c r="J44" s="5">
        <f t="shared" si="1"/>
        <v>0.40031496062992128</v>
      </c>
      <c r="K44">
        <f>VLOOKUP(G44,[5]Estimado_modelo!$G$2:$H$424,2,FALSE)</f>
        <v>1937</v>
      </c>
      <c r="L44">
        <f t="shared" si="2"/>
        <v>0.38992125984251969</v>
      </c>
    </row>
    <row r="45" spans="1:12">
      <c r="A45">
        <v>2026</v>
      </c>
      <c r="B45">
        <v>29</v>
      </c>
      <c r="C45" t="s">
        <v>10</v>
      </c>
      <c r="D45" t="s">
        <v>8</v>
      </c>
      <c r="E45" s="2" t="s">
        <v>83</v>
      </c>
      <c r="F45" t="s">
        <v>20</v>
      </c>
      <c r="G45" t="str">
        <f t="shared" si="0"/>
        <v>29016GOOD YELLOW</v>
      </c>
      <c r="H45">
        <v>2983</v>
      </c>
      <c r="I45" s="9">
        <f>VLOOKUP(G45,[1]Estimado_modelo!$G$2:$I$421,3,FALSE)</f>
        <v>4680</v>
      </c>
      <c r="J45" s="5">
        <f t="shared" si="1"/>
        <v>0.3626068376068376</v>
      </c>
      <c r="K45">
        <f>VLOOKUP(G45,[5]Estimado_modelo!$G$2:$H$424,2,FALSE)</f>
        <v>2878</v>
      </c>
      <c r="L45">
        <f t="shared" si="2"/>
        <v>0.38504273504273506</v>
      </c>
    </row>
    <row r="46" spans="1:12">
      <c r="A46">
        <v>2026</v>
      </c>
      <c r="B46">
        <v>28</v>
      </c>
      <c r="C46" t="s">
        <v>10</v>
      </c>
      <c r="D46" t="s">
        <v>8</v>
      </c>
      <c r="E46" s="2" t="s">
        <v>92</v>
      </c>
      <c r="F46" t="s">
        <v>13</v>
      </c>
      <c r="G46" t="str">
        <f t="shared" si="0"/>
        <v>28032ELBA</v>
      </c>
      <c r="H46">
        <v>2104</v>
      </c>
      <c r="I46" s="9">
        <f>VLOOKUP(G46,[2]Astroflores!$G$2:$H$110,2,FALSE)</f>
        <v>3840</v>
      </c>
      <c r="J46" s="5">
        <f t="shared" si="1"/>
        <v>0.45208333333333334</v>
      </c>
      <c r="K46">
        <f>VLOOKUP(G46,[5]Estimado_modelo!$G$2:$H$424,2,FALSE)</f>
        <v>2354</v>
      </c>
      <c r="L46">
        <f t="shared" si="2"/>
        <v>0.38697916666666665</v>
      </c>
    </row>
    <row r="47" spans="1:12">
      <c r="A47">
        <v>2026</v>
      </c>
      <c r="B47">
        <v>27</v>
      </c>
      <c r="C47" t="s">
        <v>7</v>
      </c>
      <c r="D47" t="s">
        <v>8</v>
      </c>
      <c r="E47" s="2" t="s">
        <v>106</v>
      </c>
      <c r="F47" t="s">
        <v>71</v>
      </c>
      <c r="G47" t="str">
        <f t="shared" si="0"/>
        <v>27027TIFFANY</v>
      </c>
      <c r="H47">
        <v>3932</v>
      </c>
      <c r="I47" s="9">
        <f>VLOOKUP(G47,[3]Hoja1!$G$8515:$H$8621,2,FALSE)</f>
        <v>4590</v>
      </c>
      <c r="J47" s="5">
        <f t="shared" si="1"/>
        <v>0.14335511982570806</v>
      </c>
      <c r="K47">
        <f>VLOOKUP(G47,[5]Estimado_modelo!$G$2:$H$424,2,FALSE)</f>
        <v>2786</v>
      </c>
      <c r="L47">
        <f t="shared" si="2"/>
        <v>0.39302832244008712</v>
      </c>
    </row>
    <row r="48" spans="1:12">
      <c r="A48">
        <v>2026</v>
      </c>
      <c r="B48">
        <v>27</v>
      </c>
      <c r="C48" t="s">
        <v>10</v>
      </c>
      <c r="D48" t="s">
        <v>8</v>
      </c>
      <c r="E48" s="2" t="s">
        <v>83</v>
      </c>
      <c r="F48" t="s">
        <v>20</v>
      </c>
      <c r="G48" t="str">
        <f t="shared" si="0"/>
        <v>27016GOOD YELLOW</v>
      </c>
      <c r="H48">
        <v>2944</v>
      </c>
      <c r="I48" s="9">
        <f>VLOOKUP(G48,[3]Hoja1!$G$8515:$H$8621,2,FALSE)</f>
        <v>4980</v>
      </c>
      <c r="J48" s="5">
        <f t="shared" si="1"/>
        <v>0.40883534136546185</v>
      </c>
      <c r="K48">
        <f>VLOOKUP(G48,[5]Estimado_modelo!$G$2:$H$424,2,FALSE)</f>
        <v>3016</v>
      </c>
      <c r="L48">
        <f t="shared" si="2"/>
        <v>0.39437751004016064</v>
      </c>
    </row>
    <row r="49" spans="1:12">
      <c r="A49">
        <v>2026</v>
      </c>
      <c r="B49">
        <v>29</v>
      </c>
      <c r="C49" t="s">
        <v>10</v>
      </c>
      <c r="D49" t="s">
        <v>8</v>
      </c>
      <c r="E49" s="2" t="s">
        <v>90</v>
      </c>
      <c r="F49" t="s">
        <v>29</v>
      </c>
      <c r="G49" t="str">
        <f t="shared" si="0"/>
        <v>29030MIRABEL</v>
      </c>
      <c r="H49">
        <v>2797</v>
      </c>
      <c r="I49" s="9">
        <f>VLOOKUP(G49,[1]Estimado_modelo!$G$2:$I$421,3,FALSE)</f>
        <v>4980</v>
      </c>
      <c r="J49" s="5">
        <f t="shared" si="1"/>
        <v>0.4383534136546185</v>
      </c>
      <c r="K49">
        <f>VLOOKUP(G49,[5]Estimado_modelo!$G$2:$H$424,2,FALSE)</f>
        <v>3049</v>
      </c>
      <c r="L49">
        <f t="shared" si="2"/>
        <v>0.38775100401606427</v>
      </c>
    </row>
    <row r="50" spans="1:12">
      <c r="A50">
        <v>2026</v>
      </c>
      <c r="B50">
        <v>27</v>
      </c>
      <c r="C50" t="s">
        <v>7</v>
      </c>
      <c r="D50" t="s">
        <v>8</v>
      </c>
      <c r="E50" s="2" t="s">
        <v>85</v>
      </c>
      <c r="F50" t="s">
        <v>54</v>
      </c>
      <c r="G50" t="str">
        <f t="shared" si="0"/>
        <v>27018BRIGHTON</v>
      </c>
      <c r="H50">
        <v>1501</v>
      </c>
      <c r="I50" s="9">
        <f>VLOOKUP(G50,[3]Hoja1!$G$8515:$H$8621,2,FALSE)</f>
        <v>2700</v>
      </c>
      <c r="J50" s="5">
        <f t="shared" si="1"/>
        <v>0.44407407407407407</v>
      </c>
      <c r="K50">
        <f>VLOOKUP(G50,[5]Estimado_modelo!$G$2:$H$424,2,FALSE)</f>
        <v>1706</v>
      </c>
      <c r="L50">
        <f t="shared" si="2"/>
        <v>0.36814814814814817</v>
      </c>
    </row>
    <row r="51" spans="1:12">
      <c r="A51">
        <v>2026</v>
      </c>
      <c r="B51">
        <v>28</v>
      </c>
      <c r="C51" t="s">
        <v>7</v>
      </c>
      <c r="D51" t="s">
        <v>8</v>
      </c>
      <c r="E51" s="2" t="s">
        <v>104</v>
      </c>
      <c r="F51" t="s">
        <v>67</v>
      </c>
      <c r="G51" t="str">
        <f t="shared" si="0"/>
        <v>28025PINK MONDIAL</v>
      </c>
      <c r="H51">
        <v>4392</v>
      </c>
      <c r="I51" s="9">
        <f>VLOOKUP(G51,[2]Astroflores!$G$2:$H$110,2,FALSE)</f>
        <v>7125</v>
      </c>
      <c r="J51" s="5">
        <f t="shared" si="1"/>
        <v>0.38357894736842107</v>
      </c>
      <c r="K51">
        <f>VLOOKUP(G51,[5]Estimado_modelo!$G$2:$H$424,2,FALSE)</f>
        <v>4363</v>
      </c>
      <c r="L51">
        <f t="shared" si="2"/>
        <v>0.38764912280701752</v>
      </c>
    </row>
    <row r="52" spans="1:12">
      <c r="A52">
        <v>2026</v>
      </c>
      <c r="B52">
        <v>29</v>
      </c>
      <c r="C52" t="s">
        <v>7</v>
      </c>
      <c r="D52" t="s">
        <v>8</v>
      </c>
      <c r="E52" s="2" t="s">
        <v>96</v>
      </c>
      <c r="F52" t="s">
        <v>49</v>
      </c>
      <c r="G52" t="str">
        <f t="shared" si="0"/>
        <v>29006MONDIAL</v>
      </c>
      <c r="H52">
        <v>5440</v>
      </c>
      <c r="I52" s="9">
        <f>VLOOKUP(G52,[1]Estimado_modelo!$G$2:$I$421,3,FALSE)</f>
        <v>9500</v>
      </c>
      <c r="J52" s="5">
        <f t="shared" si="1"/>
        <v>0.42736842105263156</v>
      </c>
      <c r="K52">
        <f>VLOOKUP(G52,[5]Estimado_modelo!$G$2:$H$424,2,FALSE)</f>
        <v>5837</v>
      </c>
      <c r="L52">
        <f t="shared" si="2"/>
        <v>0.38557894736842108</v>
      </c>
    </row>
    <row r="53" spans="1:12">
      <c r="A53">
        <v>2026</v>
      </c>
      <c r="B53">
        <v>27</v>
      </c>
      <c r="C53" t="s">
        <v>7</v>
      </c>
      <c r="D53" t="s">
        <v>8</v>
      </c>
      <c r="E53" s="2" t="s">
        <v>77</v>
      </c>
      <c r="F53" t="s">
        <v>40</v>
      </c>
      <c r="G53" t="str">
        <f t="shared" si="0"/>
        <v>27004DEEP PURPLE</v>
      </c>
      <c r="H53">
        <v>10471</v>
      </c>
      <c r="I53" s="9">
        <f>VLOOKUP(G53,[3]Hoja1!$G$8515:$H$8621,2,FALSE)</f>
        <v>21360</v>
      </c>
      <c r="J53" s="5">
        <f t="shared" si="1"/>
        <v>0.50978464419475655</v>
      </c>
      <c r="K53">
        <f>VLOOKUP(G53,[5]Estimado_modelo!$G$2:$H$424,2,FALSE)</f>
        <v>13055</v>
      </c>
      <c r="L53">
        <f t="shared" si="2"/>
        <v>0.38881086142322097</v>
      </c>
    </row>
    <row r="54" spans="1:12">
      <c r="A54">
        <v>2026</v>
      </c>
      <c r="B54">
        <v>29</v>
      </c>
      <c r="C54" t="s">
        <v>10</v>
      </c>
      <c r="D54" t="s">
        <v>8</v>
      </c>
      <c r="E54" s="2" t="s">
        <v>82</v>
      </c>
      <c r="F54" t="s">
        <v>18</v>
      </c>
      <c r="G54" t="str">
        <f t="shared" si="0"/>
        <v>29015FELLINI</v>
      </c>
      <c r="H54">
        <v>4345</v>
      </c>
      <c r="I54" s="9">
        <f>VLOOKUP(G54,[1]Estimado_modelo!$G$2:$I$421,3,FALSE)</f>
        <v>7680</v>
      </c>
      <c r="J54" s="5">
        <f t="shared" si="1"/>
        <v>0.43424479166666669</v>
      </c>
      <c r="K54">
        <f>VLOOKUP(G54,[5]Estimado_modelo!$G$2:$H$424,2,FALSE)</f>
        <v>4723</v>
      </c>
      <c r="L54">
        <f t="shared" si="2"/>
        <v>0.38502604166666665</v>
      </c>
    </row>
    <row r="55" spans="1:12">
      <c r="A55">
        <v>2026</v>
      </c>
      <c r="B55">
        <v>27</v>
      </c>
      <c r="C55" t="s">
        <v>7</v>
      </c>
      <c r="D55" t="s">
        <v>8</v>
      </c>
      <c r="E55" s="2" t="s">
        <v>97</v>
      </c>
      <c r="F55" t="s">
        <v>41</v>
      </c>
      <c r="G55" t="str">
        <f t="shared" si="0"/>
        <v>27008JOCKER</v>
      </c>
      <c r="H55">
        <v>2903</v>
      </c>
      <c r="I55" s="9">
        <f>VLOOKUP(G55,[3]Hoja1!$G$8515:$H$8621,2,FALSE)</f>
        <v>5500</v>
      </c>
      <c r="J55" s="5">
        <f t="shared" si="1"/>
        <v>0.4721818181818182</v>
      </c>
      <c r="K55">
        <f>VLOOKUP(G55,[5]Estimado_modelo!$G$2:$H$424,2,FALSE)</f>
        <v>3480</v>
      </c>
      <c r="L55">
        <f t="shared" si="2"/>
        <v>0.36727272727272725</v>
      </c>
    </row>
    <row r="56" spans="1:12">
      <c r="A56">
        <v>2026</v>
      </c>
      <c r="B56">
        <v>29</v>
      </c>
      <c r="C56" t="s">
        <v>7</v>
      </c>
      <c r="D56" t="s">
        <v>8</v>
      </c>
      <c r="E56" s="2" t="s">
        <v>99</v>
      </c>
      <c r="F56" t="s">
        <v>9</v>
      </c>
      <c r="G56" t="str">
        <f t="shared" si="0"/>
        <v>29011LUMIA</v>
      </c>
      <c r="H56">
        <v>1638</v>
      </c>
      <c r="I56" s="9">
        <f>VLOOKUP(G56,[1]Estimado_modelo!$G$2:$I$421,3,FALSE)</f>
        <v>2640</v>
      </c>
      <c r="J56" s="5">
        <f t="shared" si="1"/>
        <v>0.37954545454545452</v>
      </c>
      <c r="K56">
        <f>VLOOKUP(G56,[5]Estimado_modelo!$G$2:$H$424,2,FALSE)</f>
        <v>1646</v>
      </c>
      <c r="L56">
        <f t="shared" si="2"/>
        <v>0.37651515151515152</v>
      </c>
    </row>
    <row r="57" spans="1:12">
      <c r="A57">
        <v>2026</v>
      </c>
      <c r="B57">
        <v>28</v>
      </c>
      <c r="C57" t="s">
        <v>7</v>
      </c>
      <c r="D57" t="s">
        <v>8</v>
      </c>
      <c r="E57" s="2" t="s">
        <v>100</v>
      </c>
      <c r="F57" t="s">
        <v>36</v>
      </c>
      <c r="G57" t="str">
        <f t="shared" si="0"/>
        <v>28012LIGHT HOUSE</v>
      </c>
      <c r="H57">
        <v>1492</v>
      </c>
      <c r="I57" s="9">
        <f>VLOOKUP(G57,[2]Astroflores!$G$2:$H$110,2,FALSE)</f>
        <v>2460</v>
      </c>
      <c r="J57" s="5">
        <f t="shared" si="1"/>
        <v>0.39349593495934959</v>
      </c>
      <c r="K57">
        <f>VLOOKUP(G57,[5]Estimado_modelo!$G$2:$H$424,2,FALSE)</f>
        <v>1548</v>
      </c>
      <c r="L57">
        <f t="shared" si="2"/>
        <v>0.37073170731707317</v>
      </c>
    </row>
    <row r="58" spans="1:12">
      <c r="A58">
        <v>2026</v>
      </c>
      <c r="B58">
        <v>28</v>
      </c>
      <c r="C58" t="s">
        <v>10</v>
      </c>
      <c r="D58" t="s">
        <v>8</v>
      </c>
      <c r="E58" s="2" t="s">
        <v>83</v>
      </c>
      <c r="F58" t="s">
        <v>20</v>
      </c>
      <c r="G58" t="str">
        <f t="shared" si="0"/>
        <v>28016GOOD YELLOW</v>
      </c>
      <c r="H58">
        <v>2887</v>
      </c>
      <c r="I58" s="9">
        <f>VLOOKUP(G58,[2]Astroflores!$G$2:$H$110,2,FALSE)</f>
        <v>4470</v>
      </c>
      <c r="J58" s="5">
        <f t="shared" si="1"/>
        <v>0.35413870246085011</v>
      </c>
      <c r="K58">
        <f>VLOOKUP(G58,[5]Estimado_modelo!$G$2:$H$424,2,FALSE)</f>
        <v>2888</v>
      </c>
      <c r="L58">
        <f t="shared" si="2"/>
        <v>0.35391498881431765</v>
      </c>
    </row>
    <row r="59" spans="1:12">
      <c r="A59">
        <v>2026</v>
      </c>
      <c r="B59">
        <v>28</v>
      </c>
      <c r="C59" t="s">
        <v>7</v>
      </c>
      <c r="D59" t="s">
        <v>8</v>
      </c>
      <c r="E59" s="2" t="s">
        <v>99</v>
      </c>
      <c r="F59" t="s">
        <v>56</v>
      </c>
      <c r="G59" t="str">
        <f t="shared" si="0"/>
        <v>28011CAYENNE</v>
      </c>
      <c r="H59">
        <v>1276</v>
      </c>
      <c r="I59" s="9">
        <f>VLOOKUP(G59,[2]Astroflores!$G$2:$H$110,2,FALSE)</f>
        <v>2220</v>
      </c>
      <c r="J59" s="5">
        <f t="shared" si="1"/>
        <v>0.42522522522522521</v>
      </c>
      <c r="K59">
        <f>VLOOKUP(G59,[5]Estimado_modelo!$G$2:$H$424,2,FALSE)</f>
        <v>1410</v>
      </c>
      <c r="L59">
        <f t="shared" si="2"/>
        <v>0.36486486486486486</v>
      </c>
    </row>
    <row r="60" spans="1:12">
      <c r="A60">
        <v>2026</v>
      </c>
      <c r="B60">
        <v>27</v>
      </c>
      <c r="C60" t="s">
        <v>7</v>
      </c>
      <c r="D60" t="s">
        <v>8</v>
      </c>
      <c r="E60" s="2" t="s">
        <v>99</v>
      </c>
      <c r="F60" t="s">
        <v>56</v>
      </c>
      <c r="G60" t="str">
        <f t="shared" si="0"/>
        <v>27011CAYENNE</v>
      </c>
      <c r="H60">
        <v>1023</v>
      </c>
      <c r="I60" s="9">
        <f>VLOOKUP(G60,[3]Hoja1!$G$8515:$H$8621,2,FALSE)</f>
        <v>1650</v>
      </c>
      <c r="J60" s="5">
        <f t="shared" si="1"/>
        <v>0.38</v>
      </c>
      <c r="K60">
        <f>VLOOKUP(G60,[5]Estimado_modelo!$G$2:$H$424,2,FALSE)</f>
        <v>1078</v>
      </c>
      <c r="L60">
        <f t="shared" si="2"/>
        <v>0.34666666666666668</v>
      </c>
    </row>
    <row r="61" spans="1:12">
      <c r="A61">
        <v>2026</v>
      </c>
      <c r="B61">
        <v>29</v>
      </c>
      <c r="C61" t="s">
        <v>7</v>
      </c>
      <c r="D61" t="s">
        <v>8</v>
      </c>
      <c r="E61" s="2" t="s">
        <v>94</v>
      </c>
      <c r="F61" t="s">
        <v>37</v>
      </c>
      <c r="G61" t="str">
        <f t="shared" si="0"/>
        <v>29001MOMENTUM</v>
      </c>
      <c r="H61">
        <v>3056</v>
      </c>
      <c r="I61" s="9">
        <f>VLOOKUP(G61,[1]Estimado_modelo!$G$2:$I$421,3,FALSE)</f>
        <v>5275</v>
      </c>
      <c r="J61" s="5">
        <f t="shared" si="1"/>
        <v>0.42066350710900474</v>
      </c>
      <c r="K61">
        <f>VLOOKUP(G61,[5]Estimado_modelo!$G$2:$H$424,2,FALSE)</f>
        <v>3418</v>
      </c>
      <c r="L61">
        <f t="shared" si="2"/>
        <v>0.35203791469194312</v>
      </c>
    </row>
    <row r="62" spans="1:12">
      <c r="A62">
        <v>2026</v>
      </c>
      <c r="B62">
        <v>27</v>
      </c>
      <c r="C62" t="s">
        <v>7</v>
      </c>
      <c r="D62" t="s">
        <v>8</v>
      </c>
      <c r="E62" s="2" t="s">
        <v>79</v>
      </c>
      <c r="F62" t="s">
        <v>50</v>
      </c>
      <c r="G62" t="str">
        <f t="shared" si="0"/>
        <v>27007REDIANT</v>
      </c>
      <c r="H62">
        <v>1095</v>
      </c>
      <c r="I62" s="9">
        <f>VLOOKUP(G62,[3]Hoja1!$G$8515:$H$8621,2,FALSE)</f>
        <v>1920</v>
      </c>
      <c r="J62" s="5">
        <f t="shared" si="1"/>
        <v>0.4296875</v>
      </c>
      <c r="K62">
        <f>VLOOKUP(G62,[5]Estimado_modelo!$G$2:$H$424,2,FALSE)</f>
        <v>1235</v>
      </c>
      <c r="L62">
        <f t="shared" si="2"/>
        <v>0.35677083333333331</v>
      </c>
    </row>
    <row r="63" spans="1:12">
      <c r="A63">
        <v>2026</v>
      </c>
      <c r="B63">
        <v>28</v>
      </c>
      <c r="C63" t="s">
        <v>7</v>
      </c>
      <c r="D63" t="s">
        <v>8</v>
      </c>
      <c r="E63" s="2" t="s">
        <v>103</v>
      </c>
      <c r="F63" t="s">
        <v>63</v>
      </c>
      <c r="G63" t="str">
        <f t="shared" si="0"/>
        <v>28024TYCOON</v>
      </c>
      <c r="H63">
        <v>3456</v>
      </c>
      <c r="I63" s="9">
        <f>VLOOKUP(G63,[2]Astroflores!$G$2:$H$110,2,FALSE)</f>
        <v>4410</v>
      </c>
      <c r="J63" s="5">
        <f t="shared" si="1"/>
        <v>0.21632653061224491</v>
      </c>
      <c r="K63">
        <f>VLOOKUP(G63,[5]Estimado_modelo!$G$2:$H$424,2,FALSE)</f>
        <v>2868</v>
      </c>
      <c r="L63">
        <f t="shared" si="2"/>
        <v>0.34965986394557824</v>
      </c>
    </row>
    <row r="64" spans="1:12">
      <c r="A64">
        <v>2026</v>
      </c>
      <c r="B64">
        <v>28</v>
      </c>
      <c r="C64" t="s">
        <v>7</v>
      </c>
      <c r="D64" t="s">
        <v>8</v>
      </c>
      <c r="E64" s="2" t="s">
        <v>100</v>
      </c>
      <c r="F64" t="s">
        <v>40</v>
      </c>
      <c r="G64" t="str">
        <f t="shared" si="0"/>
        <v>28012DEEP PURPLE</v>
      </c>
      <c r="H64">
        <v>15352</v>
      </c>
      <c r="I64" s="9">
        <f>VLOOKUP(G64,[2]Astroflores!$G$2:$H$110,2,FALSE)</f>
        <v>24420</v>
      </c>
      <c r="J64" s="5">
        <f t="shared" si="1"/>
        <v>0.37133497133497134</v>
      </c>
      <c r="K64">
        <f>VLOOKUP(G64,[5]Estimado_modelo!$G$2:$H$424,2,FALSE)</f>
        <v>15771</v>
      </c>
      <c r="L64">
        <f t="shared" si="2"/>
        <v>0.35417690417690417</v>
      </c>
    </row>
    <row r="65" spans="1:12">
      <c r="A65">
        <v>2026</v>
      </c>
      <c r="B65">
        <v>27</v>
      </c>
      <c r="C65" t="s">
        <v>10</v>
      </c>
      <c r="D65" t="s">
        <v>8</v>
      </c>
      <c r="E65" s="2" t="s">
        <v>82</v>
      </c>
      <c r="F65" t="s">
        <v>18</v>
      </c>
      <c r="G65" t="str">
        <f t="shared" si="0"/>
        <v>27015FELLINI</v>
      </c>
      <c r="H65">
        <v>5082</v>
      </c>
      <c r="I65" s="9">
        <f>VLOOKUP(G65,[3]Hoja1!$G$8515:$H$8621,2,FALSE)</f>
        <v>6540</v>
      </c>
      <c r="J65" s="5">
        <f t="shared" si="1"/>
        <v>0.22293577981651377</v>
      </c>
      <c r="K65">
        <f>VLOOKUP(G65,[5]Estimado_modelo!$G$2:$H$424,2,FALSE)</f>
        <v>4249</v>
      </c>
      <c r="L65">
        <f t="shared" si="2"/>
        <v>0.35030581039755354</v>
      </c>
    </row>
    <row r="66" spans="1:12">
      <c r="A66">
        <v>2026</v>
      </c>
      <c r="B66">
        <v>28</v>
      </c>
      <c r="C66" t="s">
        <v>10</v>
      </c>
      <c r="D66" t="s">
        <v>8</v>
      </c>
      <c r="E66" s="2" t="s">
        <v>81</v>
      </c>
      <c r="F66" t="s">
        <v>17</v>
      </c>
      <c r="G66" t="str">
        <f t="shared" ref="G66:G129" si="3">+B66&amp;E66&amp;F66</f>
        <v>28014FRUITY BUBBLES</v>
      </c>
      <c r="H66">
        <v>3120</v>
      </c>
      <c r="I66" s="9">
        <f>VLOOKUP(G66,[2]Astroflores!$G$2:$H$110,2,FALSE)</f>
        <v>4350</v>
      </c>
      <c r="J66" s="5">
        <f t="shared" ref="J66:J129" si="4">+(I66-H66)/I66</f>
        <v>0.28275862068965518</v>
      </c>
      <c r="K66">
        <f>VLOOKUP(G66,[5]Estimado_modelo!$G$2:$H$424,2,FALSE)</f>
        <v>2865</v>
      </c>
      <c r="L66">
        <f t="shared" ref="L66:L129" si="5">+(I66-K66)/I66</f>
        <v>0.3413793103448276</v>
      </c>
    </row>
    <row r="67" spans="1:12">
      <c r="A67">
        <v>2026</v>
      </c>
      <c r="B67">
        <v>29</v>
      </c>
      <c r="C67" t="s">
        <v>7</v>
      </c>
      <c r="D67" t="s">
        <v>8</v>
      </c>
      <c r="E67" s="2" t="s">
        <v>104</v>
      </c>
      <c r="F67" t="s">
        <v>67</v>
      </c>
      <c r="G67" t="str">
        <f t="shared" si="3"/>
        <v>29025PINK MONDIAL</v>
      </c>
      <c r="H67">
        <v>4306</v>
      </c>
      <c r="I67" s="9">
        <f>VLOOKUP(G67,[1]Estimado_modelo!$G$2:$I$421,3,FALSE)</f>
        <v>7400</v>
      </c>
      <c r="J67" s="5">
        <f t="shared" si="4"/>
        <v>0.41810810810810811</v>
      </c>
      <c r="K67">
        <f>VLOOKUP(G67,[5]Estimado_modelo!$G$2:$H$424,2,FALSE)</f>
        <v>4804</v>
      </c>
      <c r="L67">
        <f t="shared" si="5"/>
        <v>0.35081081081081084</v>
      </c>
    </row>
    <row r="68" spans="1:12">
      <c r="A68">
        <v>2026</v>
      </c>
      <c r="B68">
        <v>29</v>
      </c>
      <c r="C68" t="s">
        <v>10</v>
      </c>
      <c r="D68" t="s">
        <v>8</v>
      </c>
      <c r="E68" s="2" t="s">
        <v>88</v>
      </c>
      <c r="F68" t="s">
        <v>16</v>
      </c>
      <c r="G68" t="str">
        <f t="shared" si="3"/>
        <v>29021SNOW BUBBLES</v>
      </c>
      <c r="H68">
        <v>1359</v>
      </c>
      <c r="I68" s="9">
        <f>VLOOKUP(G68,[1]Estimado_modelo!$G$2:$I$421,3,FALSE)</f>
        <v>2440</v>
      </c>
      <c r="J68" s="5">
        <f t="shared" si="4"/>
        <v>0.44303278688524589</v>
      </c>
      <c r="K68">
        <f>VLOOKUP(G68,[5]Estimado_modelo!$G$2:$H$424,2,FALSE)</f>
        <v>1622</v>
      </c>
      <c r="L68">
        <f t="shared" si="5"/>
        <v>0.33524590163934426</v>
      </c>
    </row>
    <row r="69" spans="1:12">
      <c r="A69">
        <v>2026</v>
      </c>
      <c r="B69">
        <v>27</v>
      </c>
      <c r="C69" t="s">
        <v>7</v>
      </c>
      <c r="D69" t="s">
        <v>8</v>
      </c>
      <c r="E69" s="2" t="s">
        <v>94</v>
      </c>
      <c r="F69" t="s">
        <v>34</v>
      </c>
      <c r="G69" t="str">
        <f t="shared" si="3"/>
        <v>27001EXPLORER</v>
      </c>
      <c r="H69">
        <v>4333</v>
      </c>
      <c r="I69" s="9">
        <f>VLOOKUP(G69,[3]Hoja1!$G$8515:$H$8621,2,FALSE)</f>
        <v>5700</v>
      </c>
      <c r="J69" s="5">
        <f t="shared" si="4"/>
        <v>0.23982456140350877</v>
      </c>
      <c r="K69">
        <f>VLOOKUP(G69,[5]Estimado_modelo!$G$2:$H$424,2,FALSE)</f>
        <v>3741</v>
      </c>
      <c r="L69">
        <f t="shared" si="5"/>
        <v>0.34368421052631581</v>
      </c>
    </row>
    <row r="70" spans="1:12">
      <c r="A70">
        <v>2026</v>
      </c>
      <c r="B70">
        <v>28</v>
      </c>
      <c r="C70" t="s">
        <v>7</v>
      </c>
      <c r="D70" t="s">
        <v>8</v>
      </c>
      <c r="E70" s="2" t="s">
        <v>96</v>
      </c>
      <c r="F70" t="s">
        <v>49</v>
      </c>
      <c r="G70" t="str">
        <f t="shared" si="3"/>
        <v>28006MONDIAL</v>
      </c>
      <c r="H70">
        <v>5948</v>
      </c>
      <c r="I70" s="9">
        <f>VLOOKUP(G70,[2]Astroflores!$G$2:$H$110,2,FALSE)</f>
        <v>8975</v>
      </c>
      <c r="J70" s="5">
        <f t="shared" si="4"/>
        <v>0.33727019498607241</v>
      </c>
      <c r="K70">
        <f>VLOOKUP(G70,[5]Estimado_modelo!$G$2:$H$424,2,FALSE)</f>
        <v>5915</v>
      </c>
      <c r="L70">
        <f t="shared" si="5"/>
        <v>0.34094707520891365</v>
      </c>
    </row>
    <row r="71" spans="1:12">
      <c r="A71">
        <v>2026</v>
      </c>
      <c r="B71">
        <v>28</v>
      </c>
      <c r="C71" t="s">
        <v>7</v>
      </c>
      <c r="D71" t="s">
        <v>8</v>
      </c>
      <c r="E71" s="2" t="s">
        <v>95</v>
      </c>
      <c r="F71" t="s">
        <v>41</v>
      </c>
      <c r="G71" t="str">
        <f t="shared" si="3"/>
        <v>28003JOCKER</v>
      </c>
      <c r="H71">
        <v>680</v>
      </c>
      <c r="I71" s="9">
        <f>VLOOKUP(G71,[2]Astroflores!$G$2:$H$110,2,FALSE)</f>
        <v>1300</v>
      </c>
      <c r="J71" s="5">
        <f t="shared" si="4"/>
        <v>0.47692307692307695</v>
      </c>
      <c r="K71">
        <f>VLOOKUP(G71,[5]Estimado_modelo!$G$2:$H$424,2,FALSE)</f>
        <v>866</v>
      </c>
      <c r="L71">
        <f t="shared" si="5"/>
        <v>0.33384615384615385</v>
      </c>
    </row>
    <row r="72" spans="1:12">
      <c r="A72">
        <v>2026</v>
      </c>
      <c r="B72">
        <v>28</v>
      </c>
      <c r="C72" t="s">
        <v>7</v>
      </c>
      <c r="D72" t="s">
        <v>8</v>
      </c>
      <c r="E72" s="2" t="s">
        <v>94</v>
      </c>
      <c r="F72" t="s">
        <v>37</v>
      </c>
      <c r="G72" t="str">
        <f t="shared" si="3"/>
        <v>28001MOMENTUM</v>
      </c>
      <c r="H72">
        <v>3074</v>
      </c>
      <c r="I72" s="9">
        <f>VLOOKUP(G72,[2]Astroflores!$G$2:$H$110,2,FALSE)</f>
        <v>4650</v>
      </c>
      <c r="J72" s="5">
        <f t="shared" si="4"/>
        <v>0.3389247311827957</v>
      </c>
      <c r="K72">
        <f>VLOOKUP(G72,[5]Estimado_modelo!$G$2:$H$424,2,FALSE)</f>
        <v>3079</v>
      </c>
      <c r="L72">
        <f t="shared" si="5"/>
        <v>0.33784946236559138</v>
      </c>
    </row>
    <row r="73" spans="1:12">
      <c r="A73">
        <v>2026</v>
      </c>
      <c r="B73">
        <v>27</v>
      </c>
      <c r="C73" t="s">
        <v>7</v>
      </c>
      <c r="D73" t="s">
        <v>8</v>
      </c>
      <c r="E73" s="2" t="s">
        <v>95</v>
      </c>
      <c r="F73" t="s">
        <v>41</v>
      </c>
      <c r="G73" t="str">
        <f t="shared" si="3"/>
        <v>27003JOCKER</v>
      </c>
      <c r="H73">
        <v>530</v>
      </c>
      <c r="I73" s="9">
        <f>VLOOKUP(G73,[3]Hoja1!$G$8515:$H$8621,2,FALSE)</f>
        <v>1300</v>
      </c>
      <c r="J73" s="5">
        <f t="shared" si="4"/>
        <v>0.59230769230769231</v>
      </c>
      <c r="K73">
        <f>VLOOKUP(G73,[5]Estimado_modelo!$G$2:$H$424,2,FALSE)</f>
        <v>880</v>
      </c>
      <c r="L73">
        <f t="shared" si="5"/>
        <v>0.32307692307692309</v>
      </c>
    </row>
    <row r="74" spans="1:12">
      <c r="A74">
        <v>2026</v>
      </c>
      <c r="B74">
        <v>27</v>
      </c>
      <c r="C74" t="s">
        <v>7</v>
      </c>
      <c r="D74" t="s">
        <v>8</v>
      </c>
      <c r="E74" s="2" t="s">
        <v>77</v>
      </c>
      <c r="F74" t="s">
        <v>43</v>
      </c>
      <c r="G74" t="str">
        <f t="shared" si="3"/>
        <v>27004COTOPAXI</v>
      </c>
      <c r="H74">
        <v>983</v>
      </c>
      <c r="I74" s="9">
        <f>VLOOKUP(G74,[3]Hoja1!$G$8515:$H$8621,2,FALSE)</f>
        <v>2010</v>
      </c>
      <c r="J74" s="5">
        <f t="shared" si="4"/>
        <v>0.51094527363184084</v>
      </c>
      <c r="K74">
        <f>VLOOKUP(G74,[5]Estimado_modelo!$G$2:$H$424,2,FALSE)</f>
        <v>1380</v>
      </c>
      <c r="L74">
        <f t="shared" si="5"/>
        <v>0.31343283582089554</v>
      </c>
    </row>
    <row r="75" spans="1:12">
      <c r="A75">
        <v>2026</v>
      </c>
      <c r="B75">
        <v>28</v>
      </c>
      <c r="C75" t="s">
        <v>7</v>
      </c>
      <c r="D75" t="s">
        <v>8</v>
      </c>
      <c r="E75" s="2" t="s">
        <v>98</v>
      </c>
      <c r="F75" t="s">
        <v>52</v>
      </c>
      <c r="G75" t="str">
        <f t="shared" si="3"/>
        <v>28010COOLDOWN</v>
      </c>
      <c r="H75">
        <v>2141</v>
      </c>
      <c r="I75" s="9">
        <f>VLOOKUP(G75,[2]Astroflores!$G$2:$H$110,2,FALSE)</f>
        <v>3725</v>
      </c>
      <c r="J75" s="5">
        <f t="shared" si="4"/>
        <v>0.42523489932885905</v>
      </c>
      <c r="K75">
        <f>VLOOKUP(G75,[5]Estimado_modelo!$G$2:$H$424,2,FALSE)</f>
        <v>2460</v>
      </c>
      <c r="L75">
        <f t="shared" si="5"/>
        <v>0.33959731543624161</v>
      </c>
    </row>
    <row r="76" spans="1:12">
      <c r="A76">
        <v>2026</v>
      </c>
      <c r="B76">
        <v>28</v>
      </c>
      <c r="C76" t="s">
        <v>7</v>
      </c>
      <c r="D76" t="s">
        <v>8</v>
      </c>
      <c r="E76" s="2" t="s">
        <v>107</v>
      </c>
      <c r="F76" t="s">
        <v>43</v>
      </c>
      <c r="G76" t="str">
        <f t="shared" si="3"/>
        <v>28028COTOPAXI</v>
      </c>
      <c r="H76">
        <v>4137</v>
      </c>
      <c r="I76" s="9">
        <f>VLOOKUP(G76,[2]Astroflores!$G$2:$H$110,2,FALSE)</f>
        <v>6150</v>
      </c>
      <c r="J76" s="5">
        <f t="shared" si="4"/>
        <v>0.32731707317073172</v>
      </c>
      <c r="K76">
        <f>VLOOKUP(G76,[5]Estimado_modelo!$G$2:$H$424,2,FALSE)</f>
        <v>4116</v>
      </c>
      <c r="L76">
        <f t="shared" si="5"/>
        <v>0.33073170731707319</v>
      </c>
    </row>
    <row r="77" spans="1:12">
      <c r="A77">
        <v>2026</v>
      </c>
      <c r="B77">
        <v>27</v>
      </c>
      <c r="C77" t="s">
        <v>7</v>
      </c>
      <c r="D77" t="s">
        <v>8</v>
      </c>
      <c r="E77" s="2" t="s">
        <v>97</v>
      </c>
      <c r="F77" t="s">
        <v>40</v>
      </c>
      <c r="G77" t="str">
        <f t="shared" si="3"/>
        <v>27008DEEP PURPLE</v>
      </c>
      <c r="H77">
        <v>4389</v>
      </c>
      <c r="I77" s="9">
        <f>VLOOKUP(G77,[3]Hoja1!$G$8515:$H$8621,2,FALSE)</f>
        <v>8190</v>
      </c>
      <c r="J77" s="5">
        <f t="shared" si="4"/>
        <v>0.46410256410256412</v>
      </c>
      <c r="K77">
        <f>VLOOKUP(G77,[5]Estimado_modelo!$G$2:$H$424,2,FALSE)</f>
        <v>5481</v>
      </c>
      <c r="L77">
        <f t="shared" si="5"/>
        <v>0.33076923076923076</v>
      </c>
    </row>
    <row r="78" spans="1:12">
      <c r="A78">
        <v>2026</v>
      </c>
      <c r="B78">
        <v>27</v>
      </c>
      <c r="C78" t="s">
        <v>7</v>
      </c>
      <c r="D78" t="s">
        <v>8</v>
      </c>
      <c r="E78" s="2" t="s">
        <v>95</v>
      </c>
      <c r="F78" t="s">
        <v>39</v>
      </c>
      <c r="G78" t="str">
        <f t="shared" si="3"/>
        <v>27003CABARET</v>
      </c>
      <c r="H78">
        <v>6458</v>
      </c>
      <c r="I78" s="9">
        <f>VLOOKUP(G78,[3]Hoja1!$G$8515:$H$8621,2,FALSE)</f>
        <v>8850</v>
      </c>
      <c r="J78" s="5">
        <f t="shared" si="4"/>
        <v>0.27028248587570619</v>
      </c>
      <c r="K78">
        <f>VLOOKUP(G78,[5]Estimado_modelo!$G$2:$H$424,2,FALSE)</f>
        <v>5956</v>
      </c>
      <c r="L78">
        <f t="shared" si="5"/>
        <v>0.32700564971751411</v>
      </c>
    </row>
    <row r="79" spans="1:12">
      <c r="A79">
        <v>2026</v>
      </c>
      <c r="B79">
        <v>27</v>
      </c>
      <c r="C79" t="s">
        <v>7</v>
      </c>
      <c r="D79" t="s">
        <v>8</v>
      </c>
      <c r="E79" s="2" t="s">
        <v>99</v>
      </c>
      <c r="F79" t="s">
        <v>57</v>
      </c>
      <c r="G79" t="str">
        <f t="shared" si="3"/>
        <v>27011STARDUST</v>
      </c>
      <c r="H79">
        <v>2280</v>
      </c>
      <c r="I79" s="9">
        <f>VLOOKUP(G79,[3]Hoja1!$G$8515:$H$8621,2,FALSE)</f>
        <v>3800</v>
      </c>
      <c r="J79" s="5">
        <f t="shared" si="4"/>
        <v>0.4</v>
      </c>
      <c r="K79">
        <f>VLOOKUP(G79,[5]Estimado_modelo!$G$2:$H$424,2,FALSE)</f>
        <v>2586</v>
      </c>
      <c r="L79">
        <f t="shared" si="5"/>
        <v>0.3194736842105263</v>
      </c>
    </row>
    <row r="80" spans="1:12">
      <c r="A80">
        <v>2026</v>
      </c>
      <c r="B80">
        <v>27</v>
      </c>
      <c r="C80" t="s">
        <v>7</v>
      </c>
      <c r="D80" t="s">
        <v>8</v>
      </c>
      <c r="E80" s="2" t="s">
        <v>105</v>
      </c>
      <c r="F80" t="s">
        <v>68</v>
      </c>
      <c r="G80" t="str">
        <f t="shared" si="3"/>
        <v>27026LOLA</v>
      </c>
      <c r="H80">
        <v>4561</v>
      </c>
      <c r="I80" s="9">
        <f>VLOOKUP(G80,[3]Hoja1!$G$8515:$H$8621,2,FALSE)</f>
        <v>6300</v>
      </c>
      <c r="J80" s="5">
        <f t="shared" si="4"/>
        <v>0.27603174603174602</v>
      </c>
      <c r="K80">
        <f>VLOOKUP(G80,[5]Estimado_modelo!$G$2:$H$424,2,FALSE)</f>
        <v>4222</v>
      </c>
      <c r="L80">
        <f t="shared" si="5"/>
        <v>0.32984126984126982</v>
      </c>
    </row>
    <row r="81" spans="1:12">
      <c r="A81">
        <v>2026</v>
      </c>
      <c r="B81">
        <v>28</v>
      </c>
      <c r="C81" t="s">
        <v>7</v>
      </c>
      <c r="D81" t="s">
        <v>8</v>
      </c>
      <c r="E81" s="2" t="s">
        <v>78</v>
      </c>
      <c r="F81" t="s">
        <v>41</v>
      </c>
      <c r="G81" t="str">
        <f t="shared" si="3"/>
        <v>28005JOCKER</v>
      </c>
      <c r="H81">
        <v>1503</v>
      </c>
      <c r="I81" s="9">
        <f>VLOOKUP(G81,[2]Astroflores!$G$2:$H$110,2,FALSE)</f>
        <v>2900</v>
      </c>
      <c r="J81" s="5">
        <f t="shared" si="4"/>
        <v>0.48172413793103447</v>
      </c>
      <c r="K81">
        <f>VLOOKUP(G81,[5]Estimado_modelo!$G$2:$H$424,2,FALSE)</f>
        <v>1969</v>
      </c>
      <c r="L81">
        <f t="shared" si="5"/>
        <v>0.32103448275862068</v>
      </c>
    </row>
    <row r="82" spans="1:12">
      <c r="A82">
        <v>2026</v>
      </c>
      <c r="B82">
        <v>27</v>
      </c>
      <c r="C82" t="s">
        <v>10</v>
      </c>
      <c r="D82" t="s">
        <v>8</v>
      </c>
      <c r="E82" s="2" t="s">
        <v>80</v>
      </c>
      <c r="F82" t="s">
        <v>14</v>
      </c>
      <c r="G82" t="str">
        <f t="shared" si="3"/>
        <v>27009HOT BUBBLES</v>
      </c>
      <c r="H82">
        <v>8247</v>
      </c>
      <c r="I82" s="9">
        <f>VLOOKUP(G82,[3]Hoja1!$G$8515:$H$8621,2,FALSE)</f>
        <v>12160</v>
      </c>
      <c r="J82" s="5">
        <f t="shared" si="4"/>
        <v>0.32179276315789473</v>
      </c>
      <c r="K82">
        <f>VLOOKUP(G82,[5]Estimado_modelo!$G$2:$H$424,2,FALSE)</f>
        <v>8256</v>
      </c>
      <c r="L82">
        <f t="shared" si="5"/>
        <v>0.32105263157894737</v>
      </c>
    </row>
    <row r="83" spans="1:12">
      <c r="A83">
        <v>2026</v>
      </c>
      <c r="B83">
        <v>27</v>
      </c>
      <c r="C83" t="s">
        <v>10</v>
      </c>
      <c r="D83" t="s">
        <v>8</v>
      </c>
      <c r="E83" s="2" t="s">
        <v>83</v>
      </c>
      <c r="F83" t="s">
        <v>19</v>
      </c>
      <c r="G83" t="str">
        <f t="shared" si="3"/>
        <v>27016GOOD PEACH</v>
      </c>
      <c r="H83">
        <v>2892</v>
      </c>
      <c r="I83" s="9">
        <f>VLOOKUP(G83,[3]Hoja1!$G$8515:$H$8621,2,FALSE)</f>
        <v>4320</v>
      </c>
      <c r="J83" s="5">
        <f t="shared" si="4"/>
        <v>0.33055555555555555</v>
      </c>
      <c r="K83">
        <f>VLOOKUP(G83,[5]Estimado_modelo!$G$2:$H$424,2,FALSE)</f>
        <v>2957</v>
      </c>
      <c r="L83">
        <f t="shared" si="5"/>
        <v>0.31550925925925927</v>
      </c>
    </row>
    <row r="84" spans="1:12">
      <c r="A84">
        <v>2026</v>
      </c>
      <c r="B84">
        <v>29</v>
      </c>
      <c r="C84" t="s">
        <v>10</v>
      </c>
      <c r="D84" t="s">
        <v>8</v>
      </c>
      <c r="E84" s="2" t="s">
        <v>89</v>
      </c>
      <c r="F84" t="s">
        <v>29</v>
      </c>
      <c r="G84" t="str">
        <f t="shared" si="3"/>
        <v>29022MIRABEL</v>
      </c>
      <c r="H84">
        <v>1186</v>
      </c>
      <c r="I84" s="9">
        <f>VLOOKUP(G84,[1]Estimado_modelo!$G$2:$I$421,3,FALSE)</f>
        <v>2180</v>
      </c>
      <c r="J84" s="5">
        <f t="shared" si="4"/>
        <v>0.45596330275229358</v>
      </c>
      <c r="K84">
        <f>VLOOKUP(G84,[5]Estimado_modelo!$G$2:$H$424,2,FALSE)</f>
        <v>1487</v>
      </c>
      <c r="L84">
        <f t="shared" si="5"/>
        <v>0.31788990825688074</v>
      </c>
    </row>
    <row r="85" spans="1:12">
      <c r="A85">
        <v>2026</v>
      </c>
      <c r="B85">
        <v>29</v>
      </c>
      <c r="C85" t="s">
        <v>10</v>
      </c>
      <c r="D85" t="s">
        <v>8</v>
      </c>
      <c r="E85" s="2" t="s">
        <v>91</v>
      </c>
      <c r="F85" t="s">
        <v>11</v>
      </c>
      <c r="G85" t="str">
        <f t="shared" si="3"/>
        <v>29031SOMERSET</v>
      </c>
      <c r="H85">
        <v>967</v>
      </c>
      <c r="I85" s="9">
        <f>VLOOKUP(G85,[1]Estimado_modelo!$G$2:$I$421,3,FALSE)</f>
        <v>960</v>
      </c>
      <c r="J85" s="5">
        <f t="shared" si="4"/>
        <v>-7.2916666666666668E-3</v>
      </c>
      <c r="K85">
        <f>VLOOKUP(G85,[5]Estimado_modelo!$G$2:$H$424,2,FALSE)</f>
        <v>675</v>
      </c>
      <c r="L85">
        <f t="shared" si="5"/>
        <v>0.296875</v>
      </c>
    </row>
    <row r="86" spans="1:12">
      <c r="A86">
        <v>2026</v>
      </c>
      <c r="B86">
        <v>28</v>
      </c>
      <c r="C86" t="s">
        <v>10</v>
      </c>
      <c r="D86" t="s">
        <v>8</v>
      </c>
      <c r="E86" s="2" t="s">
        <v>92</v>
      </c>
      <c r="F86" t="s">
        <v>29</v>
      </c>
      <c r="G86" t="str">
        <f t="shared" si="3"/>
        <v>28032MIRABEL</v>
      </c>
      <c r="H86">
        <v>1707</v>
      </c>
      <c r="I86" s="9">
        <f>VLOOKUP(G86,[2]Astroflores!$G$2:$H$110,2,FALSE)</f>
        <v>3040</v>
      </c>
      <c r="J86" s="5">
        <f t="shared" si="4"/>
        <v>0.43848684210526317</v>
      </c>
      <c r="K86">
        <f>VLOOKUP(G86,[5]Estimado_modelo!$G$2:$H$424,2,FALSE)</f>
        <v>2119</v>
      </c>
      <c r="L86">
        <f t="shared" si="5"/>
        <v>0.30296052631578946</v>
      </c>
    </row>
    <row r="87" spans="1:12">
      <c r="A87">
        <v>2026</v>
      </c>
      <c r="B87">
        <v>29</v>
      </c>
      <c r="C87" t="s">
        <v>7</v>
      </c>
      <c r="D87" t="s">
        <v>8</v>
      </c>
      <c r="E87" s="2" t="s">
        <v>101</v>
      </c>
      <c r="F87" t="s">
        <v>9</v>
      </c>
      <c r="G87" t="str">
        <f t="shared" si="3"/>
        <v>29013LUMIA</v>
      </c>
      <c r="H87">
        <v>688</v>
      </c>
      <c r="I87" s="9">
        <f>VLOOKUP(G87,[1]Estimado_modelo!$G$2:$I$421,3,FALSE)</f>
        <v>960</v>
      </c>
      <c r="J87" s="5">
        <f t="shared" si="4"/>
        <v>0.28333333333333333</v>
      </c>
      <c r="K87">
        <f>VLOOKUP(G87,[5]Estimado_modelo!$G$2:$H$424,2,FALSE)</f>
        <v>649</v>
      </c>
      <c r="L87">
        <f t="shared" si="5"/>
        <v>0.32395833333333335</v>
      </c>
    </row>
    <row r="88" spans="1:12">
      <c r="A88">
        <v>2026</v>
      </c>
      <c r="B88">
        <v>28</v>
      </c>
      <c r="C88" t="s">
        <v>7</v>
      </c>
      <c r="D88" t="s">
        <v>8</v>
      </c>
      <c r="E88" s="2" t="s">
        <v>94</v>
      </c>
      <c r="F88" t="s">
        <v>9</v>
      </c>
      <c r="G88" t="str">
        <f t="shared" si="3"/>
        <v>28001LUMIA</v>
      </c>
      <c r="H88">
        <v>1610</v>
      </c>
      <c r="I88" s="9">
        <f>VLOOKUP(G88,[2]Astroflores!$G$2:$H$110,2,FALSE)</f>
        <v>2880</v>
      </c>
      <c r="J88" s="5">
        <f t="shared" si="4"/>
        <v>0.44097222222222221</v>
      </c>
      <c r="K88">
        <f>VLOOKUP(G88,[5]Estimado_modelo!$G$2:$H$424,2,FALSE)</f>
        <v>1948</v>
      </c>
      <c r="L88">
        <f t="shared" si="5"/>
        <v>0.32361111111111113</v>
      </c>
    </row>
    <row r="89" spans="1:12">
      <c r="A89">
        <v>2026</v>
      </c>
      <c r="B89">
        <v>27</v>
      </c>
      <c r="C89" t="s">
        <v>7</v>
      </c>
      <c r="D89" t="s">
        <v>8</v>
      </c>
      <c r="E89" s="2" t="s">
        <v>103</v>
      </c>
      <c r="F89" t="s">
        <v>38</v>
      </c>
      <c r="G89" t="str">
        <f t="shared" si="3"/>
        <v>27024SWEETNESS</v>
      </c>
      <c r="H89">
        <v>1349</v>
      </c>
      <c r="I89" s="9">
        <f>VLOOKUP(G89,[3]Hoja1!$G$8515:$H$8621,2,FALSE)</f>
        <v>1950</v>
      </c>
      <c r="J89" s="5">
        <f t="shared" si="4"/>
        <v>0.30820512820512819</v>
      </c>
      <c r="K89">
        <f>VLOOKUP(G89,[5]Estimado_modelo!$G$2:$H$424,2,FALSE)</f>
        <v>1354</v>
      </c>
      <c r="L89">
        <f t="shared" si="5"/>
        <v>0.30564102564102563</v>
      </c>
    </row>
    <row r="90" spans="1:12">
      <c r="A90">
        <v>2026</v>
      </c>
      <c r="B90">
        <v>27</v>
      </c>
      <c r="C90" t="s">
        <v>7</v>
      </c>
      <c r="D90" t="s">
        <v>8</v>
      </c>
      <c r="E90" s="2" t="s">
        <v>94</v>
      </c>
      <c r="F90" t="s">
        <v>37</v>
      </c>
      <c r="G90" t="str">
        <f t="shared" si="3"/>
        <v>27001MOMENTUM</v>
      </c>
      <c r="H90">
        <v>3395</v>
      </c>
      <c r="I90" s="9">
        <f>VLOOKUP(G90,[3]Hoja1!$G$8515:$H$8621,2,FALSE)</f>
        <v>4275</v>
      </c>
      <c r="J90" s="5">
        <f t="shared" si="4"/>
        <v>0.20584795321637428</v>
      </c>
      <c r="K90">
        <f>VLOOKUP(G90,[5]Estimado_modelo!$G$2:$H$424,2,FALSE)</f>
        <v>3017</v>
      </c>
      <c r="L90">
        <f t="shared" si="5"/>
        <v>0.29426900584795324</v>
      </c>
    </row>
    <row r="91" spans="1:12">
      <c r="A91">
        <v>2026</v>
      </c>
      <c r="B91">
        <v>29</v>
      </c>
      <c r="C91" t="s">
        <v>7</v>
      </c>
      <c r="D91" t="s">
        <v>8</v>
      </c>
      <c r="E91" s="2" t="s">
        <v>94</v>
      </c>
      <c r="F91" t="s">
        <v>36</v>
      </c>
      <c r="G91" t="str">
        <f t="shared" si="3"/>
        <v>29001LIGHT HOUSE</v>
      </c>
      <c r="H91">
        <v>1905</v>
      </c>
      <c r="I91" s="9">
        <f>VLOOKUP(G91,[1]Estimado_modelo!$G$2:$I$421,3,FALSE)</f>
        <v>2850</v>
      </c>
      <c r="J91" s="5">
        <f t="shared" si="4"/>
        <v>0.33157894736842103</v>
      </c>
      <c r="K91">
        <f>VLOOKUP(G91,[5]Estimado_modelo!$G$2:$H$424,2,FALSE)</f>
        <v>1959</v>
      </c>
      <c r="L91">
        <f t="shared" si="5"/>
        <v>0.31263157894736843</v>
      </c>
    </row>
    <row r="92" spans="1:12">
      <c r="A92">
        <v>2026</v>
      </c>
      <c r="B92">
        <v>27</v>
      </c>
      <c r="C92" t="s">
        <v>7</v>
      </c>
      <c r="D92" t="s">
        <v>8</v>
      </c>
      <c r="E92" s="2" t="s">
        <v>105</v>
      </c>
      <c r="F92" t="s">
        <v>69</v>
      </c>
      <c r="G92" t="str">
        <f t="shared" si="3"/>
        <v>27026PALOMA</v>
      </c>
      <c r="H92">
        <v>5528</v>
      </c>
      <c r="I92" s="9">
        <f>VLOOKUP(G92,[3]Hoja1!$G$8515:$H$8621,2,FALSE)</f>
        <v>7150</v>
      </c>
      <c r="J92" s="5">
        <f t="shared" si="4"/>
        <v>0.22685314685314686</v>
      </c>
      <c r="K92">
        <f>VLOOKUP(G92,[5]Estimado_modelo!$G$2:$H$424,2,FALSE)</f>
        <v>4986</v>
      </c>
      <c r="L92">
        <f t="shared" si="5"/>
        <v>0.30265734265734268</v>
      </c>
    </row>
    <row r="93" spans="1:12">
      <c r="A93">
        <v>2026</v>
      </c>
      <c r="B93">
        <v>27</v>
      </c>
      <c r="C93" t="s">
        <v>7</v>
      </c>
      <c r="D93" t="s">
        <v>8</v>
      </c>
      <c r="E93" s="2" t="s">
        <v>100</v>
      </c>
      <c r="F93" t="s">
        <v>36</v>
      </c>
      <c r="G93" t="str">
        <f t="shared" si="3"/>
        <v>27012LIGHT HOUSE</v>
      </c>
      <c r="H93">
        <v>1045</v>
      </c>
      <c r="I93" s="9">
        <f>VLOOKUP(G93,[3]Hoja1!$G$8515:$H$8621,2,FALSE)</f>
        <v>2040</v>
      </c>
      <c r="J93" s="5">
        <f t="shared" si="4"/>
        <v>0.48774509803921567</v>
      </c>
      <c r="K93">
        <f>VLOOKUP(G93,[5]Estimado_modelo!$G$2:$H$424,2,FALSE)</f>
        <v>1478</v>
      </c>
      <c r="L93">
        <f t="shared" si="5"/>
        <v>0.27549019607843139</v>
      </c>
    </row>
    <row r="94" spans="1:12">
      <c r="A94">
        <v>2026</v>
      </c>
      <c r="B94">
        <v>27</v>
      </c>
      <c r="C94" t="s">
        <v>10</v>
      </c>
      <c r="D94" t="s">
        <v>8</v>
      </c>
      <c r="E94" s="2" t="s">
        <v>92</v>
      </c>
      <c r="F94" t="s">
        <v>29</v>
      </c>
      <c r="G94" t="str">
        <f t="shared" si="3"/>
        <v>27032MIRABEL</v>
      </c>
      <c r="H94">
        <v>1967</v>
      </c>
      <c r="I94" s="9">
        <f>VLOOKUP(G94,[3]Hoja1!$G$8515:$H$8621,2,FALSE)</f>
        <v>3820</v>
      </c>
      <c r="J94" s="5">
        <f t="shared" si="4"/>
        <v>0.4850785340314136</v>
      </c>
      <c r="K94">
        <f>VLOOKUP(G94,[5]Estimado_modelo!$G$2:$H$424,2,FALSE)</f>
        <v>2697</v>
      </c>
      <c r="L94">
        <f t="shared" si="5"/>
        <v>0.29397905759162302</v>
      </c>
    </row>
    <row r="95" spans="1:12">
      <c r="A95">
        <v>2026</v>
      </c>
      <c r="B95">
        <v>28</v>
      </c>
      <c r="C95" t="s">
        <v>10</v>
      </c>
      <c r="D95" t="s">
        <v>8</v>
      </c>
      <c r="E95" s="2" t="s">
        <v>80</v>
      </c>
      <c r="F95" t="s">
        <v>14</v>
      </c>
      <c r="G95" t="str">
        <f t="shared" si="3"/>
        <v>28009HOT BUBBLES</v>
      </c>
      <c r="H95">
        <v>7465</v>
      </c>
      <c r="I95" s="9">
        <f>VLOOKUP(G95,[2]Astroflores!$G$2:$H$110,2,FALSE)</f>
        <v>10540</v>
      </c>
      <c r="J95" s="5">
        <f t="shared" si="4"/>
        <v>0.29174573055028463</v>
      </c>
      <c r="K95">
        <f>VLOOKUP(G95,[5]Estimado_modelo!$G$2:$H$424,2,FALSE)</f>
        <v>7446</v>
      </c>
      <c r="L95">
        <f t="shared" si="5"/>
        <v>0.29354838709677417</v>
      </c>
    </row>
    <row r="96" spans="1:12">
      <c r="A96">
        <v>2026</v>
      </c>
      <c r="B96">
        <v>28</v>
      </c>
      <c r="C96" t="s">
        <v>7</v>
      </c>
      <c r="D96" t="s">
        <v>8</v>
      </c>
      <c r="E96" s="2" t="s">
        <v>102</v>
      </c>
      <c r="F96" t="s">
        <v>43</v>
      </c>
      <c r="G96" t="str">
        <f t="shared" si="3"/>
        <v>28023COTOPAXI</v>
      </c>
      <c r="H96">
        <v>5201</v>
      </c>
      <c r="I96" s="9">
        <f>VLOOKUP(G96,[2]Astroflores!$G$2:$H$110,2,FALSE)</f>
        <v>7050</v>
      </c>
      <c r="J96" s="5">
        <f t="shared" si="4"/>
        <v>0.26226950354609929</v>
      </c>
      <c r="K96">
        <f>VLOOKUP(G96,[5]Estimado_modelo!$G$2:$H$424,2,FALSE)</f>
        <v>5039</v>
      </c>
      <c r="L96">
        <f t="shared" si="5"/>
        <v>0.28524822695035462</v>
      </c>
    </row>
    <row r="97" spans="1:12">
      <c r="A97">
        <v>2026</v>
      </c>
      <c r="B97">
        <v>29</v>
      </c>
      <c r="C97" t="s">
        <v>7</v>
      </c>
      <c r="D97" t="s">
        <v>8</v>
      </c>
      <c r="E97" s="2" t="s">
        <v>103</v>
      </c>
      <c r="F97" t="s">
        <v>43</v>
      </c>
      <c r="G97" t="str">
        <f t="shared" si="3"/>
        <v>29024COTOPAXI</v>
      </c>
      <c r="H97">
        <v>3043</v>
      </c>
      <c r="I97" s="9">
        <f>VLOOKUP(G97,[1]Estimado_modelo!$G$2:$I$421,3,FALSE)</f>
        <v>4440</v>
      </c>
      <c r="J97" s="5">
        <f t="shared" si="4"/>
        <v>0.31463963963963965</v>
      </c>
      <c r="K97">
        <f>VLOOKUP(G97,[5]Estimado_modelo!$G$2:$H$424,2,FALSE)</f>
        <v>3214</v>
      </c>
      <c r="L97">
        <f t="shared" si="5"/>
        <v>0.27612612612612614</v>
      </c>
    </row>
    <row r="98" spans="1:12">
      <c r="A98">
        <v>2026</v>
      </c>
      <c r="B98">
        <v>28</v>
      </c>
      <c r="C98" t="s">
        <v>10</v>
      </c>
      <c r="D98" t="s">
        <v>8</v>
      </c>
      <c r="E98" s="2" t="s">
        <v>90</v>
      </c>
      <c r="F98" t="s">
        <v>11</v>
      </c>
      <c r="G98" t="str">
        <f t="shared" si="3"/>
        <v>28030SOMERSET</v>
      </c>
      <c r="H98">
        <v>2461</v>
      </c>
      <c r="I98" s="9">
        <f>VLOOKUP(G98,[2]Astroflores!$G$2:$H$110,2,FALSE)</f>
        <v>3620</v>
      </c>
      <c r="J98" s="5">
        <f t="shared" si="4"/>
        <v>0.3201657458563536</v>
      </c>
      <c r="K98">
        <f>VLOOKUP(G98,[5]Estimado_modelo!$G$2:$H$424,2,FALSE)</f>
        <v>2609</v>
      </c>
      <c r="L98">
        <f t="shared" si="5"/>
        <v>0.27928176795580112</v>
      </c>
    </row>
    <row r="99" spans="1:12">
      <c r="A99">
        <v>2026</v>
      </c>
      <c r="B99">
        <v>28</v>
      </c>
      <c r="C99" t="s">
        <v>7</v>
      </c>
      <c r="D99" t="s">
        <v>8</v>
      </c>
      <c r="E99" s="2" t="s">
        <v>101</v>
      </c>
      <c r="F99" t="s">
        <v>59</v>
      </c>
      <c r="G99" t="str">
        <f t="shared" si="3"/>
        <v>28013LORRAINE</v>
      </c>
      <c r="H99">
        <v>3216</v>
      </c>
      <c r="I99" s="9">
        <f>VLOOKUP(G99,[2]Astroflores!$G$2:$H$110,2,FALSE)</f>
        <v>4600</v>
      </c>
      <c r="J99" s="5">
        <f t="shared" si="4"/>
        <v>0.30086956521739128</v>
      </c>
      <c r="K99">
        <f>VLOOKUP(G99,[5]Estimado_modelo!$G$2:$H$424,2,FALSE)</f>
        <v>3267</v>
      </c>
      <c r="L99">
        <f t="shared" si="5"/>
        <v>0.2897826086956522</v>
      </c>
    </row>
    <row r="100" spans="1:12">
      <c r="A100">
        <v>2026</v>
      </c>
      <c r="B100">
        <v>27</v>
      </c>
      <c r="C100" t="s">
        <v>7</v>
      </c>
      <c r="D100" t="s">
        <v>8</v>
      </c>
      <c r="E100" s="2" t="s">
        <v>94</v>
      </c>
      <c r="F100" t="s">
        <v>36</v>
      </c>
      <c r="G100" t="str">
        <f t="shared" si="3"/>
        <v>27001LIGHT HOUSE</v>
      </c>
      <c r="H100">
        <v>1342</v>
      </c>
      <c r="I100" s="9">
        <f>VLOOKUP(G100,[3]Hoja1!$G$8515:$H$8621,2,FALSE)</f>
        <v>2760</v>
      </c>
      <c r="J100" s="5">
        <f t="shared" si="4"/>
        <v>0.51376811594202898</v>
      </c>
      <c r="K100">
        <f>VLOOKUP(G100,[5]Estimado_modelo!$G$2:$H$424,2,FALSE)</f>
        <v>2013</v>
      </c>
      <c r="L100">
        <f t="shared" si="5"/>
        <v>0.27065217391304347</v>
      </c>
    </row>
    <row r="101" spans="1:12">
      <c r="A101">
        <v>2026</v>
      </c>
      <c r="B101">
        <v>28</v>
      </c>
      <c r="C101" t="s">
        <v>10</v>
      </c>
      <c r="D101" t="s">
        <v>8</v>
      </c>
      <c r="E101" s="2" t="s">
        <v>93</v>
      </c>
      <c r="F101" t="s">
        <v>14</v>
      </c>
      <c r="G101" t="str">
        <f t="shared" si="3"/>
        <v>28033HOT BUBBLES</v>
      </c>
      <c r="H101">
        <v>3071</v>
      </c>
      <c r="I101" s="9">
        <f>VLOOKUP(G101,[2]Astroflores!$G$2:$H$110,2,FALSE)</f>
        <v>5440</v>
      </c>
      <c r="J101" s="5">
        <f t="shared" si="4"/>
        <v>0.4354779411764706</v>
      </c>
      <c r="K101">
        <f>VLOOKUP(G101,[5]Estimado_modelo!$G$2:$H$424,2,FALSE)</f>
        <v>3863</v>
      </c>
      <c r="L101">
        <f t="shared" si="5"/>
        <v>0.28988970588235297</v>
      </c>
    </row>
    <row r="102" spans="1:12">
      <c r="A102">
        <v>2026</v>
      </c>
      <c r="B102">
        <v>27</v>
      </c>
      <c r="C102" t="s">
        <v>7</v>
      </c>
      <c r="D102" t="s">
        <v>8</v>
      </c>
      <c r="E102" s="2" t="s">
        <v>101</v>
      </c>
      <c r="F102" t="s">
        <v>47</v>
      </c>
      <c r="G102" t="str">
        <f t="shared" si="3"/>
        <v>27013VENDELA</v>
      </c>
      <c r="H102">
        <v>7777</v>
      </c>
      <c r="I102" s="9">
        <f>VLOOKUP(G102,[3]Hoja1!$G$8515:$H$8621,2,FALSE)</f>
        <v>13380</v>
      </c>
      <c r="J102" s="5">
        <f t="shared" si="4"/>
        <v>0.41875934230194317</v>
      </c>
      <c r="K102">
        <f>VLOOKUP(G102,[5]Estimado_modelo!$G$2:$H$424,2,FALSE)</f>
        <v>9482</v>
      </c>
      <c r="L102">
        <f t="shared" si="5"/>
        <v>0.29133034379671152</v>
      </c>
    </row>
    <row r="103" spans="1:12">
      <c r="A103">
        <v>2026</v>
      </c>
      <c r="B103">
        <v>28</v>
      </c>
      <c r="C103" t="s">
        <v>7</v>
      </c>
      <c r="D103" t="s">
        <v>8</v>
      </c>
      <c r="E103" s="2" t="s">
        <v>87</v>
      </c>
      <c r="F103" t="s">
        <v>54</v>
      </c>
      <c r="G103" t="str">
        <f t="shared" si="3"/>
        <v>28020BRIGHTON</v>
      </c>
      <c r="H103">
        <v>4458</v>
      </c>
      <c r="I103" s="9">
        <f>VLOOKUP(G103,[2]Astroflores!$G$2:$H$110,2,FALSE)</f>
        <v>6450</v>
      </c>
      <c r="J103" s="5">
        <f t="shared" si="4"/>
        <v>0.30883720930232555</v>
      </c>
      <c r="K103">
        <f>VLOOKUP(G103,[5]Estimado_modelo!$G$2:$H$424,2,FALSE)</f>
        <v>4607</v>
      </c>
      <c r="L103">
        <f t="shared" si="5"/>
        <v>0.28573643410852712</v>
      </c>
    </row>
    <row r="104" spans="1:12">
      <c r="A104">
        <v>2026</v>
      </c>
      <c r="B104">
        <v>28</v>
      </c>
      <c r="C104" t="s">
        <v>7</v>
      </c>
      <c r="D104" t="s">
        <v>8</v>
      </c>
      <c r="E104" s="2" t="s">
        <v>95</v>
      </c>
      <c r="F104" t="s">
        <v>39</v>
      </c>
      <c r="G104" t="str">
        <f t="shared" si="3"/>
        <v>28003CABARET</v>
      </c>
      <c r="H104">
        <v>6467</v>
      </c>
      <c r="I104" s="9">
        <f>VLOOKUP(G104,[2]Astroflores!$G$2:$H$110,2,FALSE)</f>
        <v>10230</v>
      </c>
      <c r="J104" s="5">
        <f t="shared" si="4"/>
        <v>0.36783968719452592</v>
      </c>
      <c r="K104">
        <f>VLOOKUP(G104,[5]Estimado_modelo!$G$2:$H$424,2,FALSE)</f>
        <v>7270</v>
      </c>
      <c r="L104">
        <f t="shared" si="5"/>
        <v>0.28934506353861195</v>
      </c>
    </row>
    <row r="105" spans="1:12">
      <c r="A105">
        <v>2026</v>
      </c>
      <c r="B105">
        <v>28</v>
      </c>
      <c r="C105" t="s">
        <v>7</v>
      </c>
      <c r="D105" t="s">
        <v>8</v>
      </c>
      <c r="E105" s="2" t="s">
        <v>83</v>
      </c>
      <c r="F105" t="s">
        <v>61</v>
      </c>
      <c r="G105" t="str">
        <f t="shared" si="3"/>
        <v>28016NINA</v>
      </c>
      <c r="H105">
        <v>2657</v>
      </c>
      <c r="I105" s="9">
        <f>VLOOKUP(G105,[2]Astroflores!$G$2:$H$110,2,FALSE)</f>
        <v>3875</v>
      </c>
      <c r="J105" s="5">
        <f t="shared" si="4"/>
        <v>0.31432258064516128</v>
      </c>
      <c r="K105">
        <f>VLOOKUP(G105,[5]Estimado_modelo!$G$2:$H$424,2,FALSE)</f>
        <v>2788</v>
      </c>
      <c r="L105">
        <f t="shared" si="5"/>
        <v>0.28051612903225809</v>
      </c>
    </row>
    <row r="106" spans="1:12">
      <c r="A106">
        <v>2026</v>
      </c>
      <c r="B106">
        <v>29</v>
      </c>
      <c r="C106" t="s">
        <v>7</v>
      </c>
      <c r="D106" t="s">
        <v>8</v>
      </c>
      <c r="E106" s="2" t="s">
        <v>99</v>
      </c>
      <c r="F106" t="s">
        <v>54</v>
      </c>
      <c r="G106" t="str">
        <f t="shared" si="3"/>
        <v>29011BRIGHTON</v>
      </c>
      <c r="H106">
        <v>2639</v>
      </c>
      <c r="I106" s="9">
        <f>VLOOKUP(G106,[1]Estimado_modelo!$G$2:$I$421,3,FALSE)</f>
        <v>3550</v>
      </c>
      <c r="J106" s="5">
        <f t="shared" si="4"/>
        <v>0.25661971830985914</v>
      </c>
      <c r="K106">
        <f>VLOOKUP(G106,[5]Estimado_modelo!$G$2:$H$424,2,FALSE)</f>
        <v>2561</v>
      </c>
      <c r="L106">
        <f t="shared" si="5"/>
        <v>0.27859154929577462</v>
      </c>
    </row>
    <row r="107" spans="1:12">
      <c r="A107">
        <v>2026</v>
      </c>
      <c r="B107">
        <v>28</v>
      </c>
      <c r="C107" t="s">
        <v>7</v>
      </c>
      <c r="D107" t="s">
        <v>8</v>
      </c>
      <c r="E107" s="2" t="s">
        <v>90</v>
      </c>
      <c r="F107" t="s">
        <v>34</v>
      </c>
      <c r="G107" t="str">
        <f t="shared" si="3"/>
        <v>28030EXPLORER</v>
      </c>
      <c r="H107">
        <v>2355</v>
      </c>
      <c r="I107" s="9">
        <f>VLOOKUP(G107,[2]Astroflores!$G$2:$H$110,2,FALSE)</f>
        <v>3125</v>
      </c>
      <c r="J107" s="5">
        <f t="shared" si="4"/>
        <v>0.24640000000000001</v>
      </c>
      <c r="K107">
        <f>VLOOKUP(G107,[5]Estimado_modelo!$G$2:$H$424,2,FALSE)</f>
        <v>2258</v>
      </c>
      <c r="L107">
        <f t="shared" si="5"/>
        <v>0.27744000000000002</v>
      </c>
    </row>
    <row r="108" spans="1:12">
      <c r="A108">
        <v>2026</v>
      </c>
      <c r="B108">
        <v>29</v>
      </c>
      <c r="C108" t="s">
        <v>7</v>
      </c>
      <c r="D108" t="s">
        <v>8</v>
      </c>
      <c r="E108" s="2" t="s">
        <v>107</v>
      </c>
      <c r="F108" t="s">
        <v>43</v>
      </c>
      <c r="G108" t="str">
        <f t="shared" si="3"/>
        <v>29028COTOPAXI</v>
      </c>
      <c r="H108">
        <v>3665</v>
      </c>
      <c r="I108" s="9">
        <f>VLOOKUP(G108,[1]Estimado_modelo!$G$2:$I$421,3,FALSE)</f>
        <v>5010</v>
      </c>
      <c r="J108" s="5">
        <f t="shared" si="4"/>
        <v>0.2684630738522954</v>
      </c>
      <c r="K108">
        <f>VLOOKUP(G108,[5]Estimado_modelo!$G$2:$H$424,2,FALSE)</f>
        <v>3659</v>
      </c>
      <c r="L108">
        <f t="shared" si="5"/>
        <v>0.26966067864271459</v>
      </c>
    </row>
    <row r="109" spans="1:12">
      <c r="A109">
        <v>2026</v>
      </c>
      <c r="B109">
        <v>28</v>
      </c>
      <c r="C109" t="s">
        <v>7</v>
      </c>
      <c r="D109" t="s">
        <v>8</v>
      </c>
      <c r="E109" s="2" t="s">
        <v>94</v>
      </c>
      <c r="F109" t="s">
        <v>35</v>
      </c>
      <c r="G109" t="str">
        <f t="shared" si="3"/>
        <v>28001GRACE KELLY</v>
      </c>
      <c r="H109">
        <v>1560</v>
      </c>
      <c r="I109" s="9">
        <f>VLOOKUP(G109,[2]Astroflores!$G$2:$H$110,2,FALSE)</f>
        <v>2190</v>
      </c>
      <c r="J109" s="5">
        <f t="shared" si="4"/>
        <v>0.28767123287671231</v>
      </c>
      <c r="K109">
        <f>VLOOKUP(G109,[5]Estimado_modelo!$G$2:$H$424,2,FALSE)</f>
        <v>1641</v>
      </c>
      <c r="L109">
        <f t="shared" si="5"/>
        <v>0.25068493150684934</v>
      </c>
    </row>
    <row r="110" spans="1:12">
      <c r="A110">
        <v>2026</v>
      </c>
      <c r="B110">
        <v>27</v>
      </c>
      <c r="C110" t="s">
        <v>7</v>
      </c>
      <c r="D110" t="s">
        <v>8</v>
      </c>
      <c r="E110" s="2" t="s">
        <v>104</v>
      </c>
      <c r="F110" t="s">
        <v>67</v>
      </c>
      <c r="G110" t="str">
        <f t="shared" si="3"/>
        <v>27025PINK MONDIAL</v>
      </c>
      <c r="H110">
        <v>5013</v>
      </c>
      <c r="I110" s="9">
        <f>VLOOKUP(G110,[3]Hoja1!$G$8515:$H$8621,2,FALSE)</f>
        <v>5700</v>
      </c>
      <c r="J110" s="5">
        <f t="shared" si="4"/>
        <v>0.12052631578947369</v>
      </c>
      <c r="K110">
        <f>VLOOKUP(G110,[5]Estimado_modelo!$G$2:$H$424,2,FALSE)</f>
        <v>4250</v>
      </c>
      <c r="L110">
        <f t="shared" si="5"/>
        <v>0.25438596491228072</v>
      </c>
    </row>
    <row r="111" spans="1:12">
      <c r="A111">
        <v>2026</v>
      </c>
      <c r="B111">
        <v>29</v>
      </c>
      <c r="C111" t="s">
        <v>10</v>
      </c>
      <c r="D111" t="s">
        <v>8</v>
      </c>
      <c r="E111" s="2" t="s">
        <v>76</v>
      </c>
      <c r="F111" t="s">
        <v>11</v>
      </c>
      <c r="G111" t="str">
        <f t="shared" si="3"/>
        <v>29002SOMERSET</v>
      </c>
      <c r="H111">
        <v>7207</v>
      </c>
      <c r="I111" s="9">
        <f>VLOOKUP(G111,[1]Estimado_modelo!$G$2:$I$421,3,FALSE)</f>
        <v>8440</v>
      </c>
      <c r="J111" s="5">
        <f t="shared" si="4"/>
        <v>0.14609004739336492</v>
      </c>
      <c r="K111">
        <f>VLOOKUP(G111,[5]Estimado_modelo!$G$2:$H$424,2,FALSE)</f>
        <v>6260</v>
      </c>
      <c r="L111">
        <f t="shared" si="5"/>
        <v>0.25829383886255924</v>
      </c>
    </row>
    <row r="112" spans="1:12">
      <c r="A112">
        <v>2026</v>
      </c>
      <c r="B112">
        <v>28</v>
      </c>
      <c r="C112" t="s">
        <v>7</v>
      </c>
      <c r="D112" t="s">
        <v>8</v>
      </c>
      <c r="E112" s="2" t="s">
        <v>86</v>
      </c>
      <c r="F112" t="s">
        <v>54</v>
      </c>
      <c r="G112" t="str">
        <f t="shared" si="3"/>
        <v>28019BRIGHTON</v>
      </c>
      <c r="H112">
        <v>6768</v>
      </c>
      <c r="I112" s="9">
        <f>VLOOKUP(G112,[2]Astroflores!$G$2:$H$110,2,FALSE)</f>
        <v>9975</v>
      </c>
      <c r="J112" s="5">
        <f t="shared" si="4"/>
        <v>0.32150375939849624</v>
      </c>
      <c r="K112">
        <f>VLOOKUP(G112,[5]Estimado_modelo!$G$2:$H$424,2,FALSE)</f>
        <v>7383</v>
      </c>
      <c r="L112">
        <f t="shared" si="5"/>
        <v>0.25984962406015039</v>
      </c>
    </row>
    <row r="113" spans="1:12">
      <c r="A113">
        <v>2026</v>
      </c>
      <c r="B113">
        <v>27</v>
      </c>
      <c r="C113" t="s">
        <v>7</v>
      </c>
      <c r="D113" t="s">
        <v>8</v>
      </c>
      <c r="E113" s="2" t="s">
        <v>90</v>
      </c>
      <c r="F113" t="s">
        <v>34</v>
      </c>
      <c r="G113" t="str">
        <f t="shared" si="3"/>
        <v>27030EXPLORER</v>
      </c>
      <c r="H113">
        <v>3087</v>
      </c>
      <c r="I113" s="9">
        <f>VLOOKUP(G113,[3]Hoja1!$G$8515:$H$8621,2,FALSE)</f>
        <v>3725</v>
      </c>
      <c r="J113" s="5">
        <f t="shared" si="4"/>
        <v>0.17127516778523491</v>
      </c>
      <c r="K113">
        <f>VLOOKUP(G113,[5]Estimado_modelo!$G$2:$H$424,2,FALSE)</f>
        <v>2743</v>
      </c>
      <c r="L113">
        <f t="shared" si="5"/>
        <v>0.26362416107382552</v>
      </c>
    </row>
    <row r="114" spans="1:12">
      <c r="A114">
        <v>2026</v>
      </c>
      <c r="B114">
        <v>27</v>
      </c>
      <c r="C114" t="s">
        <v>7</v>
      </c>
      <c r="D114" t="s">
        <v>8</v>
      </c>
      <c r="E114" s="2" t="s">
        <v>78</v>
      </c>
      <c r="F114" t="s">
        <v>34</v>
      </c>
      <c r="G114" t="str">
        <f t="shared" si="3"/>
        <v>27005EXPLORER</v>
      </c>
      <c r="H114">
        <v>1620</v>
      </c>
      <c r="I114" s="9">
        <f>VLOOKUP(G114,[3]Hoja1!$G$8515:$H$8621,2,FALSE)</f>
        <v>1925</v>
      </c>
      <c r="J114" s="5">
        <f t="shared" si="4"/>
        <v>0.15844155844155844</v>
      </c>
      <c r="K114">
        <f>VLOOKUP(G114,[5]Estimado_modelo!$G$2:$H$424,2,FALSE)</f>
        <v>1437</v>
      </c>
      <c r="L114">
        <f t="shared" si="5"/>
        <v>0.25350649350649351</v>
      </c>
    </row>
    <row r="115" spans="1:12">
      <c r="A115">
        <v>2026</v>
      </c>
      <c r="B115">
        <v>29</v>
      </c>
      <c r="C115" t="s">
        <v>7</v>
      </c>
      <c r="D115" t="s">
        <v>8</v>
      </c>
      <c r="E115" s="2" t="s">
        <v>95</v>
      </c>
      <c r="F115" t="s">
        <v>41</v>
      </c>
      <c r="G115" t="str">
        <f t="shared" si="3"/>
        <v>29003JOCKER</v>
      </c>
      <c r="H115">
        <v>773</v>
      </c>
      <c r="I115" s="9">
        <f>VLOOKUP(G115,[1]Estimado_modelo!$G$2:$I$421,3,FALSE)</f>
        <v>1125</v>
      </c>
      <c r="J115" s="5">
        <f t="shared" si="4"/>
        <v>0.31288888888888888</v>
      </c>
      <c r="K115">
        <f>VLOOKUP(G115,[5]Estimado_modelo!$G$2:$H$424,2,FALSE)</f>
        <v>838</v>
      </c>
      <c r="L115">
        <f t="shared" si="5"/>
        <v>0.25511111111111112</v>
      </c>
    </row>
    <row r="116" spans="1:12">
      <c r="A116">
        <v>2026</v>
      </c>
      <c r="B116">
        <v>27</v>
      </c>
      <c r="C116" t="s">
        <v>7</v>
      </c>
      <c r="D116" t="s">
        <v>8</v>
      </c>
      <c r="E116" s="2" t="s">
        <v>84</v>
      </c>
      <c r="F116" t="s">
        <v>46</v>
      </c>
      <c r="G116" t="str">
        <f t="shared" si="3"/>
        <v>27017GOLDFINCH</v>
      </c>
      <c r="H116">
        <v>2445</v>
      </c>
      <c r="I116" s="9">
        <f>VLOOKUP(G116,[3]Hoja1!$G$8515:$H$8621,2,FALSE)</f>
        <v>3325</v>
      </c>
      <c r="J116" s="5">
        <f t="shared" si="4"/>
        <v>0.26466165413533832</v>
      </c>
      <c r="K116">
        <f>VLOOKUP(G116,[5]Estimado_modelo!$G$2:$H$424,2,FALSE)</f>
        <v>2454</v>
      </c>
      <c r="L116">
        <f t="shared" si="5"/>
        <v>0.26195488721804511</v>
      </c>
    </row>
    <row r="117" spans="1:12">
      <c r="A117">
        <v>2026</v>
      </c>
      <c r="B117">
        <v>29</v>
      </c>
      <c r="C117" t="s">
        <v>7</v>
      </c>
      <c r="D117" t="s">
        <v>8</v>
      </c>
      <c r="E117" s="2" t="s">
        <v>100</v>
      </c>
      <c r="F117" t="s">
        <v>36</v>
      </c>
      <c r="G117" t="str">
        <f t="shared" si="3"/>
        <v>29012LIGHT HOUSE</v>
      </c>
      <c r="H117">
        <v>1519</v>
      </c>
      <c r="I117" s="9">
        <f>VLOOKUP(G117,[1]Estimado_modelo!$G$2:$I$421,3,FALSE)</f>
        <v>2100</v>
      </c>
      <c r="J117" s="5">
        <f t="shared" si="4"/>
        <v>0.27666666666666667</v>
      </c>
      <c r="K117">
        <f>VLOOKUP(G117,[5]Estimado_modelo!$G$2:$H$424,2,FALSE)</f>
        <v>1529</v>
      </c>
      <c r="L117">
        <f t="shared" si="5"/>
        <v>0.27190476190476193</v>
      </c>
    </row>
    <row r="118" spans="1:12">
      <c r="A118">
        <v>2026</v>
      </c>
      <c r="B118">
        <v>28</v>
      </c>
      <c r="C118" t="s">
        <v>10</v>
      </c>
      <c r="D118" t="s">
        <v>8</v>
      </c>
      <c r="E118" s="2" t="s">
        <v>77</v>
      </c>
      <c r="F118" t="s">
        <v>12</v>
      </c>
      <c r="G118" t="str">
        <f t="shared" si="3"/>
        <v>28004BELLINA</v>
      </c>
      <c r="H118">
        <v>1428</v>
      </c>
      <c r="I118" s="9">
        <f>VLOOKUP(G118,[2]Astroflores!$G$2:$H$110,2,FALSE)</f>
        <v>2115</v>
      </c>
      <c r="J118" s="5">
        <f t="shared" si="4"/>
        <v>0.32482269503546102</v>
      </c>
      <c r="K118">
        <f>VLOOKUP(G118,[5]Estimado_modelo!$G$2:$H$424,2,FALSE)</f>
        <v>1601</v>
      </c>
      <c r="L118">
        <f t="shared" si="5"/>
        <v>0.24302600472813238</v>
      </c>
    </row>
    <row r="119" spans="1:12">
      <c r="A119">
        <v>2026</v>
      </c>
      <c r="B119">
        <v>27</v>
      </c>
      <c r="C119" t="s">
        <v>7</v>
      </c>
      <c r="D119" t="s">
        <v>8</v>
      </c>
      <c r="E119" s="2" t="s">
        <v>95</v>
      </c>
      <c r="F119" t="s">
        <v>40</v>
      </c>
      <c r="G119" t="str">
        <f t="shared" si="3"/>
        <v>27003DEEP PURPLE</v>
      </c>
      <c r="H119">
        <v>8630</v>
      </c>
      <c r="I119" s="9">
        <f>VLOOKUP(G119,[3]Hoja1!$G$8515:$H$8621,2,FALSE)</f>
        <v>14310</v>
      </c>
      <c r="J119" s="5">
        <f t="shared" si="4"/>
        <v>0.39692522711390638</v>
      </c>
      <c r="K119">
        <f>VLOOKUP(G119,[5]Estimado_modelo!$G$2:$H$424,2,FALSE)</f>
        <v>10740</v>
      </c>
      <c r="L119">
        <f t="shared" si="5"/>
        <v>0.24947589098532494</v>
      </c>
    </row>
    <row r="120" spans="1:12">
      <c r="A120">
        <v>2026</v>
      </c>
      <c r="B120">
        <v>28</v>
      </c>
      <c r="C120" t="s">
        <v>7</v>
      </c>
      <c r="D120" t="s">
        <v>8</v>
      </c>
      <c r="E120" s="2" t="s">
        <v>99</v>
      </c>
      <c r="F120" t="s">
        <v>55</v>
      </c>
      <c r="G120" t="str">
        <f t="shared" si="3"/>
        <v>28011CANDLELIGHT</v>
      </c>
      <c r="H120">
        <v>3705</v>
      </c>
      <c r="I120" s="9">
        <f>VLOOKUP(G120,[2]Astroflores!$G$2:$H$110,2,FALSE)</f>
        <v>4820</v>
      </c>
      <c r="J120" s="5">
        <f t="shared" si="4"/>
        <v>0.23132780082987553</v>
      </c>
      <c r="K120">
        <f>VLOOKUP(G120,[5]Estimado_modelo!$G$2:$H$424,2,FALSE)</f>
        <v>3671</v>
      </c>
      <c r="L120">
        <f t="shared" si="5"/>
        <v>0.23838174273858923</v>
      </c>
    </row>
    <row r="121" spans="1:12">
      <c r="A121">
        <v>2026</v>
      </c>
      <c r="B121">
        <v>28</v>
      </c>
      <c r="C121" t="s">
        <v>7</v>
      </c>
      <c r="D121" t="s">
        <v>8</v>
      </c>
      <c r="E121" s="2" t="s">
        <v>99</v>
      </c>
      <c r="F121" t="s">
        <v>9</v>
      </c>
      <c r="G121" t="str">
        <f t="shared" si="3"/>
        <v>28011LUMIA</v>
      </c>
      <c r="H121">
        <v>1334</v>
      </c>
      <c r="I121" s="9">
        <f>VLOOKUP(G121,[2]Astroflores!$G$2:$H$110,2,FALSE)</f>
        <v>1890</v>
      </c>
      <c r="J121" s="5">
        <f t="shared" si="4"/>
        <v>0.29417989417989415</v>
      </c>
      <c r="K121">
        <f>VLOOKUP(G121,[5]Estimado_modelo!$G$2:$H$424,2,FALSE)</f>
        <v>1435</v>
      </c>
      <c r="L121">
        <f t="shared" si="5"/>
        <v>0.24074074074074073</v>
      </c>
    </row>
    <row r="122" spans="1:12">
      <c r="A122">
        <v>2026</v>
      </c>
      <c r="B122">
        <v>29</v>
      </c>
      <c r="C122" t="s">
        <v>10</v>
      </c>
      <c r="D122" t="s">
        <v>8</v>
      </c>
      <c r="E122" s="2" t="s">
        <v>92</v>
      </c>
      <c r="F122" t="s">
        <v>13</v>
      </c>
      <c r="G122" t="str">
        <f t="shared" si="3"/>
        <v>29032ELBA</v>
      </c>
      <c r="H122">
        <v>1995</v>
      </c>
      <c r="I122" s="9">
        <f>VLOOKUP(G122,[1]Estimado_modelo!$G$2:$I$421,3,FALSE)</f>
        <v>3090</v>
      </c>
      <c r="J122" s="5">
        <f t="shared" si="4"/>
        <v>0.35436893203883496</v>
      </c>
      <c r="K122">
        <f>VLOOKUP(G122,[5]Estimado_modelo!$G$2:$H$424,2,FALSE)</f>
        <v>2365</v>
      </c>
      <c r="L122">
        <f t="shared" si="5"/>
        <v>0.23462783171521034</v>
      </c>
    </row>
    <row r="123" spans="1:12">
      <c r="A123">
        <v>2026</v>
      </c>
      <c r="B123">
        <v>29</v>
      </c>
      <c r="C123" t="s">
        <v>7</v>
      </c>
      <c r="D123" t="s">
        <v>8</v>
      </c>
      <c r="E123" s="2" t="s">
        <v>78</v>
      </c>
      <c r="F123" t="s">
        <v>34</v>
      </c>
      <c r="G123" t="str">
        <f t="shared" si="3"/>
        <v>29005EXPLORER</v>
      </c>
      <c r="H123">
        <v>1128</v>
      </c>
      <c r="I123" s="9">
        <f>VLOOKUP(G123,[1]Estimado_modelo!$G$2:$I$421,3,FALSE)</f>
        <v>1425</v>
      </c>
      <c r="J123" s="5">
        <f t="shared" si="4"/>
        <v>0.20842105263157895</v>
      </c>
      <c r="K123">
        <f>VLOOKUP(G123,[5]Estimado_modelo!$G$2:$H$424,2,FALSE)</f>
        <v>1090</v>
      </c>
      <c r="L123">
        <f t="shared" si="5"/>
        <v>0.23508771929824562</v>
      </c>
    </row>
    <row r="124" spans="1:12">
      <c r="A124">
        <v>2026</v>
      </c>
      <c r="B124">
        <v>28</v>
      </c>
      <c r="C124" t="s">
        <v>10</v>
      </c>
      <c r="D124" t="s">
        <v>8</v>
      </c>
      <c r="E124" s="2" t="s">
        <v>91</v>
      </c>
      <c r="F124" t="s">
        <v>30</v>
      </c>
      <c r="G124" t="str">
        <f t="shared" si="3"/>
        <v>2803182989</v>
      </c>
      <c r="H124">
        <v>1009</v>
      </c>
      <c r="I124" s="9">
        <f>VLOOKUP(G124,[2]Astroflores!$G$2:$H$110,2,FALSE)</f>
        <v>1280</v>
      </c>
      <c r="J124" s="5">
        <f t="shared" si="4"/>
        <v>0.21171875000000001</v>
      </c>
      <c r="K124">
        <f>VLOOKUP(G124,[5]Estimado_modelo!$G$2:$H$424,2,FALSE)</f>
        <v>1003</v>
      </c>
      <c r="L124">
        <f t="shared" si="5"/>
        <v>0.21640624999999999</v>
      </c>
    </row>
    <row r="125" spans="1:12">
      <c r="A125">
        <v>2026</v>
      </c>
      <c r="B125">
        <v>27</v>
      </c>
      <c r="C125" t="s">
        <v>10</v>
      </c>
      <c r="D125" t="s">
        <v>8</v>
      </c>
      <c r="E125" s="2" t="s">
        <v>85</v>
      </c>
      <c r="F125" t="s">
        <v>23</v>
      </c>
      <c r="G125" t="str">
        <f t="shared" si="3"/>
        <v>27018RUBICON</v>
      </c>
      <c r="H125">
        <v>3720</v>
      </c>
      <c r="I125" s="9">
        <f>VLOOKUP(G125,[3]Hoja1!$G$8515:$H$8621,2,FALSE)</f>
        <v>5250</v>
      </c>
      <c r="J125" s="5">
        <f t="shared" si="4"/>
        <v>0.29142857142857143</v>
      </c>
      <c r="K125">
        <f>VLOOKUP(G125,[5]Estimado_modelo!$G$2:$H$424,2,FALSE)</f>
        <v>4045</v>
      </c>
      <c r="L125">
        <f t="shared" si="5"/>
        <v>0.22952380952380952</v>
      </c>
    </row>
    <row r="126" spans="1:12">
      <c r="A126">
        <v>2026</v>
      </c>
      <c r="B126">
        <v>27</v>
      </c>
      <c r="C126" t="s">
        <v>7</v>
      </c>
      <c r="D126" t="s">
        <v>8</v>
      </c>
      <c r="E126" s="2" t="s">
        <v>99</v>
      </c>
      <c r="F126" t="s">
        <v>9</v>
      </c>
      <c r="G126" t="str">
        <f t="shared" si="3"/>
        <v>27011LUMIA</v>
      </c>
      <c r="H126">
        <v>1017</v>
      </c>
      <c r="I126" s="9">
        <f>VLOOKUP(G126,[3]Hoja1!$G$8515:$H$8621,2,FALSE)</f>
        <v>1890</v>
      </c>
      <c r="J126" s="5">
        <f t="shared" si="4"/>
        <v>0.46190476190476193</v>
      </c>
      <c r="K126">
        <f>VLOOKUP(G126,[5]Estimado_modelo!$G$2:$H$424,2,FALSE)</f>
        <v>1483</v>
      </c>
      <c r="L126">
        <f t="shared" si="5"/>
        <v>0.21534391534391534</v>
      </c>
    </row>
    <row r="127" spans="1:12">
      <c r="A127">
        <v>2026</v>
      </c>
      <c r="B127">
        <v>29</v>
      </c>
      <c r="C127" t="s">
        <v>7</v>
      </c>
      <c r="D127" t="s">
        <v>8</v>
      </c>
      <c r="E127" s="2" t="s">
        <v>99</v>
      </c>
      <c r="F127" t="s">
        <v>57</v>
      </c>
      <c r="G127" t="str">
        <f t="shared" si="3"/>
        <v>29011STARDUST</v>
      </c>
      <c r="H127">
        <v>3698</v>
      </c>
      <c r="I127" s="9">
        <f>VLOOKUP(G127,[1]Estimado_modelo!$G$2:$I$421,3,FALSE)</f>
        <v>4525</v>
      </c>
      <c r="J127" s="5">
        <f t="shared" si="4"/>
        <v>0.18276243093922651</v>
      </c>
      <c r="K127">
        <f>VLOOKUP(G127,[5]Estimado_modelo!$G$2:$H$424,2,FALSE)</f>
        <v>3485</v>
      </c>
      <c r="L127">
        <f t="shared" si="5"/>
        <v>0.22983425414364642</v>
      </c>
    </row>
    <row r="128" spans="1:12">
      <c r="A128">
        <v>2026</v>
      </c>
      <c r="B128">
        <v>28</v>
      </c>
      <c r="C128" t="s">
        <v>7</v>
      </c>
      <c r="D128" t="s">
        <v>8</v>
      </c>
      <c r="E128" s="2" t="s">
        <v>77</v>
      </c>
      <c r="F128" t="s">
        <v>43</v>
      </c>
      <c r="G128" t="str">
        <f t="shared" si="3"/>
        <v>28004COTOPAXI</v>
      </c>
      <c r="H128">
        <v>889</v>
      </c>
      <c r="I128" s="9">
        <f>VLOOKUP(G128,[2]Astroflores!$G$2:$H$110,2,FALSE)</f>
        <v>1440</v>
      </c>
      <c r="J128" s="5">
        <f t="shared" si="4"/>
        <v>0.38263888888888886</v>
      </c>
      <c r="K128">
        <f>VLOOKUP(G128,[5]Estimado_modelo!$G$2:$H$424,2,FALSE)</f>
        <v>1116</v>
      </c>
      <c r="L128">
        <f t="shared" si="5"/>
        <v>0.22500000000000001</v>
      </c>
    </row>
    <row r="129" spans="1:12">
      <c r="A129">
        <v>2026</v>
      </c>
      <c r="B129">
        <v>28</v>
      </c>
      <c r="C129" t="s">
        <v>7</v>
      </c>
      <c r="D129" t="s">
        <v>8</v>
      </c>
      <c r="E129" s="2" t="s">
        <v>97</v>
      </c>
      <c r="F129" t="s">
        <v>40</v>
      </c>
      <c r="G129" t="str">
        <f t="shared" si="3"/>
        <v>28008DEEP PURPLE</v>
      </c>
      <c r="H129">
        <v>6109</v>
      </c>
      <c r="I129" s="9">
        <f>VLOOKUP(G129,[2]Astroflores!$G$2:$H$110,2,FALSE)</f>
        <v>8640</v>
      </c>
      <c r="J129" s="5">
        <f t="shared" si="4"/>
        <v>0.29293981481481479</v>
      </c>
      <c r="K129">
        <f>VLOOKUP(G129,[5]Estimado_modelo!$G$2:$H$424,2,FALSE)</f>
        <v>6743</v>
      </c>
      <c r="L129">
        <f t="shared" si="5"/>
        <v>0.21956018518518519</v>
      </c>
    </row>
    <row r="130" spans="1:12">
      <c r="A130">
        <v>2026</v>
      </c>
      <c r="B130">
        <v>27</v>
      </c>
      <c r="C130" t="s">
        <v>7</v>
      </c>
      <c r="D130" t="s">
        <v>8</v>
      </c>
      <c r="E130" s="2" t="s">
        <v>78</v>
      </c>
      <c r="F130" t="s">
        <v>47</v>
      </c>
      <c r="G130" t="str">
        <f t="shared" ref="G130:G193" si="6">+B130&amp;E130&amp;F130</f>
        <v>27005VENDELA</v>
      </c>
      <c r="H130">
        <v>1347</v>
      </c>
      <c r="I130" s="9">
        <f>VLOOKUP(G130,[3]Hoja1!$G$8515:$H$8621,2,FALSE)</f>
        <v>1680</v>
      </c>
      <c r="J130" s="5">
        <f t="shared" ref="J130:J193" si="7">+(I130-H130)/I130</f>
        <v>0.1982142857142857</v>
      </c>
      <c r="K130">
        <f>VLOOKUP(G130,[5]Estimado_modelo!$G$2:$H$424,2,FALSE)</f>
        <v>1323</v>
      </c>
      <c r="L130">
        <f t="shared" ref="L130:L193" si="8">+(I130-K130)/I130</f>
        <v>0.21249999999999999</v>
      </c>
    </row>
    <row r="131" spans="1:12">
      <c r="A131">
        <v>2026</v>
      </c>
      <c r="B131">
        <v>29</v>
      </c>
      <c r="C131" t="s">
        <v>7</v>
      </c>
      <c r="D131" t="s">
        <v>8</v>
      </c>
      <c r="E131" s="2" t="s">
        <v>94</v>
      </c>
      <c r="F131" t="s">
        <v>35</v>
      </c>
      <c r="G131" t="str">
        <f t="shared" si="6"/>
        <v>29001GRACE KELLY</v>
      </c>
      <c r="H131">
        <v>1700</v>
      </c>
      <c r="I131" s="9">
        <f>VLOOKUP(G131,[1]Estimado_modelo!$G$2:$I$421,3,FALSE)</f>
        <v>2430</v>
      </c>
      <c r="J131" s="5">
        <f t="shared" si="7"/>
        <v>0.30041152263374488</v>
      </c>
      <c r="K131">
        <f>VLOOKUP(G131,[5]Estimado_modelo!$G$2:$H$424,2,FALSE)</f>
        <v>1890</v>
      </c>
      <c r="L131">
        <f t="shared" si="8"/>
        <v>0.22222222222222221</v>
      </c>
    </row>
    <row r="132" spans="1:12">
      <c r="A132">
        <v>2026</v>
      </c>
      <c r="B132">
        <v>28</v>
      </c>
      <c r="C132" t="s">
        <v>7</v>
      </c>
      <c r="D132" t="s">
        <v>8</v>
      </c>
      <c r="E132" s="2" t="s">
        <v>94</v>
      </c>
      <c r="F132" t="s">
        <v>36</v>
      </c>
      <c r="G132" t="str">
        <f t="shared" si="6"/>
        <v>28001LIGHT HOUSE</v>
      </c>
      <c r="H132">
        <v>1897</v>
      </c>
      <c r="I132" s="9">
        <f>VLOOKUP(G132,[2]Astroflores!$G$2:$H$110,2,FALSE)</f>
        <v>2670</v>
      </c>
      <c r="J132" s="5">
        <f t="shared" si="7"/>
        <v>0.28951310861423218</v>
      </c>
      <c r="K132">
        <f>VLOOKUP(G132,[5]Estimado_modelo!$G$2:$H$424,2,FALSE)</f>
        <v>2088</v>
      </c>
      <c r="L132">
        <f t="shared" si="8"/>
        <v>0.21797752808988763</v>
      </c>
    </row>
    <row r="133" spans="1:12">
      <c r="A133">
        <v>2026</v>
      </c>
      <c r="B133">
        <v>29</v>
      </c>
      <c r="C133" t="s">
        <v>10</v>
      </c>
      <c r="D133" t="s">
        <v>8</v>
      </c>
      <c r="E133" s="2" t="s">
        <v>89</v>
      </c>
      <c r="F133" t="s">
        <v>17</v>
      </c>
      <c r="G133" t="str">
        <f t="shared" si="6"/>
        <v>29022FRUITY BUBBLES</v>
      </c>
      <c r="H133">
        <v>4358</v>
      </c>
      <c r="I133" s="9">
        <f>VLOOKUP(G133,[1]Estimado_modelo!$G$2:$I$421,3,FALSE)</f>
        <v>4650</v>
      </c>
      <c r="J133" s="5">
        <f t="shared" si="7"/>
        <v>6.2795698924731178E-2</v>
      </c>
      <c r="K133">
        <f>VLOOKUP(G133,[5]Estimado_modelo!$G$2:$H$424,2,FALSE)</f>
        <v>3680</v>
      </c>
      <c r="L133">
        <f t="shared" si="8"/>
        <v>0.2086021505376344</v>
      </c>
    </row>
    <row r="134" spans="1:12">
      <c r="A134">
        <v>2026</v>
      </c>
      <c r="B134">
        <v>28</v>
      </c>
      <c r="C134" t="s">
        <v>7</v>
      </c>
      <c r="D134" t="s">
        <v>8</v>
      </c>
      <c r="E134" s="2" t="s">
        <v>79</v>
      </c>
      <c r="F134" t="s">
        <v>50</v>
      </c>
      <c r="G134" t="str">
        <f t="shared" si="6"/>
        <v>28007REDIANT</v>
      </c>
      <c r="H134">
        <v>1192</v>
      </c>
      <c r="I134" s="9">
        <f>VLOOKUP(G134,[2]Astroflores!$G$2:$H$110,2,FALSE)</f>
        <v>1710</v>
      </c>
      <c r="J134" s="5">
        <f t="shared" si="7"/>
        <v>0.30292397660818715</v>
      </c>
      <c r="K134">
        <f>VLOOKUP(G134,[5]Estimado_modelo!$G$2:$H$424,2,FALSE)</f>
        <v>1391</v>
      </c>
      <c r="L134">
        <f t="shared" si="8"/>
        <v>0.18654970760233919</v>
      </c>
    </row>
    <row r="135" spans="1:12">
      <c r="A135">
        <v>2026</v>
      </c>
      <c r="B135">
        <v>28</v>
      </c>
      <c r="C135" t="s">
        <v>10</v>
      </c>
      <c r="D135" t="s">
        <v>8</v>
      </c>
      <c r="E135" s="2" t="s">
        <v>79</v>
      </c>
      <c r="F135" t="s">
        <v>16</v>
      </c>
      <c r="G135" t="str">
        <f t="shared" si="6"/>
        <v>28007SNOW BUBBLES</v>
      </c>
      <c r="H135">
        <v>601</v>
      </c>
      <c r="I135" s="9">
        <f>VLOOKUP(G135,[2]Astroflores!$G$2:$H$110,2,FALSE)</f>
        <v>1100</v>
      </c>
      <c r="J135" s="5">
        <f t="shared" si="7"/>
        <v>0.45363636363636362</v>
      </c>
      <c r="K135">
        <f>VLOOKUP(G135,[5]Estimado_modelo!$G$2:$H$424,2,FALSE)</f>
        <v>895</v>
      </c>
      <c r="L135">
        <f t="shared" si="8"/>
        <v>0.18636363636363637</v>
      </c>
    </row>
    <row r="136" spans="1:12">
      <c r="A136">
        <v>2026</v>
      </c>
      <c r="B136">
        <v>28</v>
      </c>
      <c r="C136" t="s">
        <v>7</v>
      </c>
      <c r="D136" t="s">
        <v>8</v>
      </c>
      <c r="E136" s="2" t="s">
        <v>99</v>
      </c>
      <c r="F136" t="s">
        <v>57</v>
      </c>
      <c r="G136" t="str">
        <f t="shared" si="6"/>
        <v>28011STARDUST</v>
      </c>
      <c r="H136">
        <v>2996</v>
      </c>
      <c r="I136" s="9">
        <f>VLOOKUP(G136,[2]Astroflores!$G$2:$H$110,2,FALSE)</f>
        <v>4025</v>
      </c>
      <c r="J136" s="5">
        <f t="shared" si="7"/>
        <v>0.25565217391304346</v>
      </c>
      <c r="K136">
        <f>VLOOKUP(G136,[5]Estimado_modelo!$G$2:$H$424,2,FALSE)</f>
        <v>3232</v>
      </c>
      <c r="L136">
        <f t="shared" si="8"/>
        <v>0.19701863354037266</v>
      </c>
    </row>
    <row r="137" spans="1:12">
      <c r="A137">
        <v>2026</v>
      </c>
      <c r="B137">
        <v>27</v>
      </c>
      <c r="C137" t="s">
        <v>7</v>
      </c>
      <c r="D137" t="s">
        <v>8</v>
      </c>
      <c r="E137" s="2" t="s">
        <v>86</v>
      </c>
      <c r="F137" t="s">
        <v>54</v>
      </c>
      <c r="G137" t="str">
        <f t="shared" si="6"/>
        <v>27019BRIGHTON</v>
      </c>
      <c r="H137">
        <v>5496</v>
      </c>
      <c r="I137" s="9">
        <f>VLOOKUP(G137,[3]Hoja1!$G$8515:$H$8621,2,FALSE)</f>
        <v>8350</v>
      </c>
      <c r="J137" s="5">
        <f t="shared" si="7"/>
        <v>0.34179640718562876</v>
      </c>
      <c r="K137">
        <f>VLOOKUP(G137,[5]Estimado_modelo!$G$2:$H$424,2,FALSE)</f>
        <v>6782</v>
      </c>
      <c r="L137">
        <f t="shared" si="8"/>
        <v>0.18778443113772456</v>
      </c>
    </row>
    <row r="138" spans="1:12">
      <c r="A138">
        <v>2026</v>
      </c>
      <c r="B138">
        <v>28</v>
      </c>
      <c r="C138" t="s">
        <v>7</v>
      </c>
      <c r="D138" t="s">
        <v>8</v>
      </c>
      <c r="E138" s="2" t="s">
        <v>101</v>
      </c>
      <c r="F138" t="s">
        <v>47</v>
      </c>
      <c r="G138" t="str">
        <f t="shared" si="6"/>
        <v>28013VENDELA</v>
      </c>
      <c r="H138">
        <v>8305</v>
      </c>
      <c r="I138" s="9">
        <f>VLOOKUP(G138,[2]Astroflores!$G$2:$H$110,2,FALSE)</f>
        <v>12300</v>
      </c>
      <c r="J138" s="5">
        <f t="shared" si="7"/>
        <v>0.32479674796747965</v>
      </c>
      <c r="K138">
        <f>VLOOKUP(G138,[5]Estimado_modelo!$G$2:$H$424,2,FALSE)</f>
        <v>9922</v>
      </c>
      <c r="L138">
        <f t="shared" si="8"/>
        <v>0.19333333333333333</v>
      </c>
    </row>
    <row r="139" spans="1:12">
      <c r="A139">
        <v>2026</v>
      </c>
      <c r="B139">
        <v>29</v>
      </c>
      <c r="C139" t="s">
        <v>7</v>
      </c>
      <c r="D139" t="s">
        <v>8</v>
      </c>
      <c r="E139" s="2" t="s">
        <v>84</v>
      </c>
      <c r="F139" t="s">
        <v>46</v>
      </c>
      <c r="G139" t="str">
        <f t="shared" si="6"/>
        <v>29017GOLDFINCH</v>
      </c>
      <c r="H139">
        <v>2986</v>
      </c>
      <c r="I139" s="9">
        <f>VLOOKUP(G139,[1]Estimado_modelo!$G$2:$I$421,3,FALSE)</f>
        <v>3725</v>
      </c>
      <c r="J139" s="5">
        <f t="shared" si="7"/>
        <v>0.19838926174496643</v>
      </c>
      <c r="K139">
        <f>VLOOKUP(G139,[5]Estimado_modelo!$G$2:$H$424,2,FALSE)</f>
        <v>2997</v>
      </c>
      <c r="L139">
        <f t="shared" si="8"/>
        <v>0.19543624161073825</v>
      </c>
    </row>
    <row r="140" spans="1:12">
      <c r="A140">
        <v>2026</v>
      </c>
      <c r="B140">
        <v>27</v>
      </c>
      <c r="C140" t="s">
        <v>10</v>
      </c>
      <c r="D140" t="s">
        <v>8</v>
      </c>
      <c r="E140" s="2" t="s">
        <v>81</v>
      </c>
      <c r="F140" t="s">
        <v>17</v>
      </c>
      <c r="G140" t="str">
        <f t="shared" si="6"/>
        <v>27014FRUITY BUBBLES</v>
      </c>
      <c r="H140">
        <v>3381</v>
      </c>
      <c r="I140" s="9">
        <f>VLOOKUP(G140,[3]Hoja1!$G$8515:$H$8621,2,FALSE)</f>
        <v>4250</v>
      </c>
      <c r="J140" s="5">
        <f t="shared" si="7"/>
        <v>0.20447058823529413</v>
      </c>
      <c r="K140">
        <f>VLOOKUP(G140,[5]Estimado_modelo!$G$2:$H$424,2,FALSE)</f>
        <v>3533</v>
      </c>
      <c r="L140">
        <f t="shared" si="8"/>
        <v>0.16870588235294118</v>
      </c>
    </row>
    <row r="141" spans="1:12">
      <c r="A141">
        <v>2026</v>
      </c>
      <c r="B141">
        <v>27</v>
      </c>
      <c r="C141" t="s">
        <v>7</v>
      </c>
      <c r="D141" t="s">
        <v>8</v>
      </c>
      <c r="E141" s="2" t="s">
        <v>94</v>
      </c>
      <c r="F141" t="s">
        <v>35</v>
      </c>
      <c r="G141" t="str">
        <f t="shared" si="6"/>
        <v>27001GRACE KELLY</v>
      </c>
      <c r="H141">
        <v>1803</v>
      </c>
      <c r="I141" s="9">
        <f>VLOOKUP(G141,[3]Hoja1!$G$8515:$H$8621,2,FALSE)</f>
        <v>1950</v>
      </c>
      <c r="J141" s="5">
        <f t="shared" si="7"/>
        <v>7.5384615384615383E-2</v>
      </c>
      <c r="K141">
        <f>VLOOKUP(G141,[5]Estimado_modelo!$G$2:$H$424,2,FALSE)</f>
        <v>1630</v>
      </c>
      <c r="L141">
        <f t="shared" si="8"/>
        <v>0.1641025641025641</v>
      </c>
    </row>
    <row r="142" spans="1:12">
      <c r="A142">
        <v>2026</v>
      </c>
      <c r="B142">
        <v>29</v>
      </c>
      <c r="C142" t="s">
        <v>7</v>
      </c>
      <c r="D142" t="s">
        <v>8</v>
      </c>
      <c r="E142" s="2" t="s">
        <v>95</v>
      </c>
      <c r="F142" t="s">
        <v>34</v>
      </c>
      <c r="G142" t="str">
        <f t="shared" si="6"/>
        <v>29003EXPLORER</v>
      </c>
      <c r="H142">
        <v>1636</v>
      </c>
      <c r="I142" s="9">
        <f>VLOOKUP(G142,[1]Estimado_modelo!$G$2:$I$421,3,FALSE)</f>
        <v>2125</v>
      </c>
      <c r="J142" s="5">
        <f t="shared" si="7"/>
        <v>0.23011764705882354</v>
      </c>
      <c r="K142">
        <f>VLOOKUP(G142,[5]Estimado_modelo!$G$2:$H$424,2,FALSE)</f>
        <v>1717</v>
      </c>
      <c r="L142">
        <f t="shared" si="8"/>
        <v>0.192</v>
      </c>
    </row>
    <row r="143" spans="1:12">
      <c r="A143">
        <v>2026</v>
      </c>
      <c r="B143">
        <v>29</v>
      </c>
      <c r="C143" t="s">
        <v>7</v>
      </c>
      <c r="D143" t="s">
        <v>8</v>
      </c>
      <c r="E143" s="2" t="s">
        <v>94</v>
      </c>
      <c r="F143" t="s">
        <v>34</v>
      </c>
      <c r="G143" t="str">
        <f t="shared" si="6"/>
        <v>29001EXPLORER</v>
      </c>
      <c r="H143">
        <v>3088</v>
      </c>
      <c r="I143" s="9">
        <f>VLOOKUP(G143,[1]Estimado_modelo!$G$2:$I$421,3,FALSE)</f>
        <v>4000</v>
      </c>
      <c r="J143" s="5">
        <f t="shared" si="7"/>
        <v>0.22800000000000001</v>
      </c>
      <c r="K143">
        <f>VLOOKUP(G143,[5]Estimado_modelo!$G$2:$H$424,2,FALSE)</f>
        <v>3276</v>
      </c>
      <c r="L143">
        <f t="shared" si="8"/>
        <v>0.18099999999999999</v>
      </c>
    </row>
    <row r="144" spans="1:12">
      <c r="A144">
        <v>2026</v>
      </c>
      <c r="B144">
        <v>27</v>
      </c>
      <c r="C144" t="s">
        <v>7</v>
      </c>
      <c r="D144" t="s">
        <v>8</v>
      </c>
      <c r="E144" s="2" t="s">
        <v>94</v>
      </c>
      <c r="F144" t="s">
        <v>33</v>
      </c>
      <c r="G144" t="str">
        <f t="shared" si="6"/>
        <v>27001BELIEVE IN PINK</v>
      </c>
      <c r="H144">
        <v>1000</v>
      </c>
      <c r="I144" s="9">
        <f>VLOOKUP(G144,[3]Hoja1!$G$8515:$H$8621,2,FALSE)</f>
        <v>1260</v>
      </c>
      <c r="J144" s="5">
        <f t="shared" si="7"/>
        <v>0.20634920634920634</v>
      </c>
      <c r="K144">
        <f>VLOOKUP(G144,[5]Estimado_modelo!$G$2:$H$424,2,FALSE)</f>
        <v>1065</v>
      </c>
      <c r="L144">
        <f t="shared" si="8"/>
        <v>0.15476190476190477</v>
      </c>
    </row>
    <row r="145" spans="1:12">
      <c r="A145">
        <v>2026</v>
      </c>
      <c r="B145">
        <v>28</v>
      </c>
      <c r="C145" t="s">
        <v>10</v>
      </c>
      <c r="D145" t="s">
        <v>8</v>
      </c>
      <c r="E145" s="2" t="s">
        <v>82</v>
      </c>
      <c r="F145" t="s">
        <v>18</v>
      </c>
      <c r="G145" t="str">
        <f t="shared" si="6"/>
        <v>28015FELLINI</v>
      </c>
      <c r="H145">
        <v>4602</v>
      </c>
      <c r="I145" s="9">
        <f>VLOOKUP(G145,[2]Astroflores!$G$2:$H$110,2,FALSE)</f>
        <v>5840</v>
      </c>
      <c r="J145" s="5">
        <f t="shared" si="7"/>
        <v>0.21198630136986302</v>
      </c>
      <c r="K145">
        <f>VLOOKUP(G145,[5]Estimado_modelo!$G$2:$H$424,2,FALSE)</f>
        <v>4773</v>
      </c>
      <c r="L145">
        <f t="shared" si="8"/>
        <v>0.18270547945205479</v>
      </c>
    </row>
    <row r="146" spans="1:12">
      <c r="A146">
        <v>2026</v>
      </c>
      <c r="B146">
        <v>27</v>
      </c>
      <c r="C146" t="s">
        <v>7</v>
      </c>
      <c r="D146" t="s">
        <v>8</v>
      </c>
      <c r="E146" s="2" t="s">
        <v>79</v>
      </c>
      <c r="F146" t="s">
        <v>47</v>
      </c>
      <c r="G146" t="str">
        <f t="shared" si="6"/>
        <v>27007VENDELA</v>
      </c>
      <c r="H146">
        <v>7804</v>
      </c>
      <c r="I146" s="9">
        <f>VLOOKUP(G146,[3]Hoja1!$G$8515:$H$8621,2,FALSE)</f>
        <v>9210</v>
      </c>
      <c r="J146" s="5">
        <f t="shared" si="7"/>
        <v>0.15266015200868621</v>
      </c>
      <c r="K146">
        <f>VLOOKUP(G146,[5]Estimado_modelo!$G$2:$H$424,2,FALSE)</f>
        <v>7575</v>
      </c>
      <c r="L146">
        <f t="shared" si="8"/>
        <v>0.17752442996742671</v>
      </c>
    </row>
    <row r="147" spans="1:12">
      <c r="A147">
        <v>2026</v>
      </c>
      <c r="B147">
        <v>27</v>
      </c>
      <c r="C147" t="s">
        <v>7</v>
      </c>
      <c r="D147" t="s">
        <v>8</v>
      </c>
      <c r="E147" s="2" t="s">
        <v>95</v>
      </c>
      <c r="F147" t="s">
        <v>42</v>
      </c>
      <c r="G147" t="str">
        <f t="shared" si="6"/>
        <v>27003QUICKSAND</v>
      </c>
      <c r="H147">
        <v>1890</v>
      </c>
      <c r="I147" s="9">
        <f>VLOOKUP(G147,[3]Hoja1!$G$8515:$H$8621,2,FALSE)</f>
        <v>2040</v>
      </c>
      <c r="J147" s="5">
        <f t="shared" si="7"/>
        <v>7.3529411764705885E-2</v>
      </c>
      <c r="K147">
        <f>VLOOKUP(G147,[5]Estimado_modelo!$G$2:$H$424,2,FALSE)</f>
        <v>1716</v>
      </c>
      <c r="L147">
        <f t="shared" si="8"/>
        <v>0.1588235294117647</v>
      </c>
    </row>
    <row r="148" spans="1:12">
      <c r="A148">
        <v>2026</v>
      </c>
      <c r="B148">
        <v>28</v>
      </c>
      <c r="C148" t="s">
        <v>7</v>
      </c>
      <c r="D148" t="s">
        <v>8</v>
      </c>
      <c r="E148" s="2" t="s">
        <v>78</v>
      </c>
      <c r="F148" t="s">
        <v>34</v>
      </c>
      <c r="G148" t="str">
        <f t="shared" si="6"/>
        <v>28005EXPLORER</v>
      </c>
      <c r="H148">
        <v>1296</v>
      </c>
      <c r="I148" s="9">
        <f>VLOOKUP(G148,[2]Astroflores!$G$2:$H$110,2,FALSE)</f>
        <v>1400</v>
      </c>
      <c r="J148" s="5">
        <f t="shared" si="7"/>
        <v>7.4285714285714288E-2</v>
      </c>
      <c r="K148">
        <f>VLOOKUP(G148,[5]Estimado_modelo!$G$2:$H$424,2,FALSE)</f>
        <v>1160</v>
      </c>
      <c r="L148">
        <f t="shared" si="8"/>
        <v>0.17142857142857143</v>
      </c>
    </row>
    <row r="149" spans="1:12">
      <c r="A149">
        <v>2026</v>
      </c>
      <c r="B149">
        <v>27</v>
      </c>
      <c r="C149" t="s">
        <v>7</v>
      </c>
      <c r="D149" t="s">
        <v>8</v>
      </c>
      <c r="E149" s="2" t="s">
        <v>108</v>
      </c>
      <c r="F149" t="s">
        <v>72</v>
      </c>
      <c r="G149" t="str">
        <f t="shared" si="6"/>
        <v>27029PINK FLOYD</v>
      </c>
      <c r="H149">
        <v>3216</v>
      </c>
      <c r="I149" s="9">
        <f>VLOOKUP(G149,[3]Hoja1!$G$8515:$H$8621,2,FALSE)</f>
        <v>3875</v>
      </c>
      <c r="J149" s="5">
        <f t="shared" si="7"/>
        <v>0.17006451612903226</v>
      </c>
      <c r="K149">
        <f>VLOOKUP(G149,[5]Estimado_modelo!$G$2:$H$424,2,FALSE)</f>
        <v>3196</v>
      </c>
      <c r="L149">
        <f t="shared" si="8"/>
        <v>0.1752258064516129</v>
      </c>
    </row>
    <row r="150" spans="1:12">
      <c r="A150">
        <v>2026</v>
      </c>
      <c r="B150">
        <v>27</v>
      </c>
      <c r="C150" t="s">
        <v>10</v>
      </c>
      <c r="D150" t="s">
        <v>8</v>
      </c>
      <c r="E150" s="2" t="s">
        <v>93</v>
      </c>
      <c r="F150" t="s">
        <v>32</v>
      </c>
      <c r="G150" t="str">
        <f t="shared" si="6"/>
        <v>27033CREAMY FOLIES</v>
      </c>
      <c r="H150">
        <v>1070</v>
      </c>
      <c r="I150" s="9">
        <f>VLOOKUP(G150,[3]Hoja1!$G$8515:$H$8621,2,FALSE)</f>
        <v>1410</v>
      </c>
      <c r="J150" s="5">
        <f t="shared" si="7"/>
        <v>0.24113475177304963</v>
      </c>
      <c r="K150">
        <f>VLOOKUP(G150,[5]Estimado_modelo!$G$2:$H$424,2,FALSE)</f>
        <v>1195</v>
      </c>
      <c r="L150">
        <f t="shared" si="8"/>
        <v>0.1524822695035461</v>
      </c>
    </row>
    <row r="151" spans="1:12">
      <c r="A151">
        <v>2026</v>
      </c>
      <c r="B151">
        <v>29</v>
      </c>
      <c r="C151" t="s">
        <v>7</v>
      </c>
      <c r="D151" t="s">
        <v>8</v>
      </c>
      <c r="E151" s="2" t="s">
        <v>81</v>
      </c>
      <c r="F151" t="s">
        <v>57</v>
      </c>
      <c r="G151" t="str">
        <f t="shared" si="6"/>
        <v>29014STARDUST</v>
      </c>
      <c r="H151">
        <v>6564</v>
      </c>
      <c r="I151" s="9">
        <f>VLOOKUP(G151,[1]Estimado_modelo!$G$2:$I$421,3,FALSE)</f>
        <v>8575</v>
      </c>
      <c r="J151" s="5">
        <f t="shared" si="7"/>
        <v>0.2345189504373178</v>
      </c>
      <c r="K151">
        <f>VLOOKUP(G151,[5]Estimado_modelo!$G$2:$H$424,2,FALSE)</f>
        <v>7069</v>
      </c>
      <c r="L151">
        <f t="shared" si="8"/>
        <v>0.17562682215743441</v>
      </c>
    </row>
    <row r="152" spans="1:12">
      <c r="A152">
        <v>2026</v>
      </c>
      <c r="B152">
        <v>27</v>
      </c>
      <c r="C152" t="s">
        <v>7</v>
      </c>
      <c r="D152" t="s">
        <v>8</v>
      </c>
      <c r="E152" s="2" t="s">
        <v>96</v>
      </c>
      <c r="F152" t="s">
        <v>34</v>
      </c>
      <c r="G152" t="str">
        <f t="shared" si="6"/>
        <v>27006EXPLORER</v>
      </c>
      <c r="H152">
        <v>7472</v>
      </c>
      <c r="I152" s="9">
        <f>VLOOKUP(G152,[3]Hoja1!$G$8515:$H$8621,2,FALSE)</f>
        <v>8050</v>
      </c>
      <c r="J152" s="5">
        <f t="shared" si="7"/>
        <v>7.180124223602484E-2</v>
      </c>
      <c r="K152">
        <f>VLOOKUP(G152,[5]Estimado_modelo!$G$2:$H$424,2,FALSE)</f>
        <v>6665</v>
      </c>
      <c r="L152">
        <f t="shared" si="8"/>
        <v>0.1720496894409938</v>
      </c>
    </row>
    <row r="153" spans="1:12">
      <c r="A153">
        <v>2026</v>
      </c>
      <c r="B153">
        <v>29</v>
      </c>
      <c r="C153" t="s">
        <v>10</v>
      </c>
      <c r="D153" t="s">
        <v>8</v>
      </c>
      <c r="E153" s="2" t="s">
        <v>77</v>
      </c>
      <c r="F153" t="s">
        <v>12</v>
      </c>
      <c r="G153" t="str">
        <f t="shared" si="6"/>
        <v>29004BELLINA</v>
      </c>
      <c r="H153">
        <v>1471</v>
      </c>
      <c r="I153" s="9">
        <f>VLOOKUP(G153,[1]Estimado_modelo!$G$2:$I$421,3,FALSE)</f>
        <v>1965</v>
      </c>
      <c r="J153" s="5">
        <f t="shared" si="7"/>
        <v>0.25139949109414761</v>
      </c>
      <c r="K153">
        <f>VLOOKUP(G153,[5]Estimado_modelo!$G$2:$H$424,2,FALSE)</f>
        <v>1606</v>
      </c>
      <c r="L153">
        <f t="shared" si="8"/>
        <v>0.1826972010178117</v>
      </c>
    </row>
    <row r="154" spans="1:12">
      <c r="A154">
        <v>2026</v>
      </c>
      <c r="B154">
        <v>28</v>
      </c>
      <c r="C154" t="s">
        <v>10</v>
      </c>
      <c r="D154" t="s">
        <v>8</v>
      </c>
      <c r="E154" s="2" t="s">
        <v>83</v>
      </c>
      <c r="F154" t="s">
        <v>19</v>
      </c>
      <c r="G154" t="str">
        <f t="shared" si="6"/>
        <v>28016GOOD PEACH</v>
      </c>
      <c r="H154">
        <v>2692</v>
      </c>
      <c r="I154" s="9">
        <f>VLOOKUP(G154,[2]Astroflores!$G$2:$H$110,2,FALSE)</f>
        <v>3720</v>
      </c>
      <c r="J154" s="5">
        <f t="shared" si="7"/>
        <v>0.2763440860215054</v>
      </c>
      <c r="K154">
        <f>VLOOKUP(G154,[5]Estimado_modelo!$G$2:$H$424,2,FALSE)</f>
        <v>3138</v>
      </c>
      <c r="L154">
        <f t="shared" si="8"/>
        <v>0.15645161290322582</v>
      </c>
    </row>
    <row r="155" spans="1:12">
      <c r="A155">
        <v>2026</v>
      </c>
      <c r="B155">
        <v>27</v>
      </c>
      <c r="C155" t="s">
        <v>7</v>
      </c>
      <c r="D155" t="s">
        <v>8</v>
      </c>
      <c r="E155" s="2" t="s">
        <v>77</v>
      </c>
      <c r="F155" t="s">
        <v>44</v>
      </c>
      <c r="G155" t="str">
        <f t="shared" si="6"/>
        <v>27004HOT EXPLORER</v>
      </c>
      <c r="H155">
        <v>3381</v>
      </c>
      <c r="I155" s="9">
        <f>VLOOKUP(G155,[3]Hoja1!$G$8515:$H$8621,2,FALSE)</f>
        <v>3900</v>
      </c>
      <c r="J155" s="5">
        <f t="shared" si="7"/>
        <v>0.13307692307692306</v>
      </c>
      <c r="K155">
        <f>VLOOKUP(G155,[5]Estimado_modelo!$G$2:$H$424,2,FALSE)</f>
        <v>3319</v>
      </c>
      <c r="L155">
        <f t="shared" si="8"/>
        <v>0.14897435897435898</v>
      </c>
    </row>
    <row r="156" spans="1:12">
      <c r="A156">
        <v>2026</v>
      </c>
      <c r="B156">
        <v>29</v>
      </c>
      <c r="C156" t="s">
        <v>10</v>
      </c>
      <c r="D156" t="s">
        <v>8</v>
      </c>
      <c r="E156" s="2" t="s">
        <v>83</v>
      </c>
      <c r="F156" t="s">
        <v>19</v>
      </c>
      <c r="G156" t="str">
        <f t="shared" si="6"/>
        <v>29016GOOD PEACH</v>
      </c>
      <c r="H156">
        <v>2338</v>
      </c>
      <c r="I156" s="9">
        <f>VLOOKUP(G156,[1]Estimado_modelo!$G$2:$I$421,3,FALSE)</f>
        <v>3360</v>
      </c>
      <c r="J156" s="5">
        <f t="shared" si="7"/>
        <v>0.30416666666666664</v>
      </c>
      <c r="K156">
        <f>VLOOKUP(G156,[5]Estimado_modelo!$G$2:$H$424,2,FALSE)</f>
        <v>2839</v>
      </c>
      <c r="L156">
        <f t="shared" si="8"/>
        <v>0.15505952380952381</v>
      </c>
    </row>
    <row r="157" spans="1:12">
      <c r="A157">
        <v>2026</v>
      </c>
      <c r="B157">
        <v>29</v>
      </c>
      <c r="C157" t="s">
        <v>7</v>
      </c>
      <c r="D157" t="s">
        <v>8</v>
      </c>
      <c r="E157" s="2" t="s">
        <v>78</v>
      </c>
      <c r="F157" t="s">
        <v>41</v>
      </c>
      <c r="G157" t="str">
        <f t="shared" si="6"/>
        <v>29005JOCKER</v>
      </c>
      <c r="H157">
        <v>1641</v>
      </c>
      <c r="I157" s="9">
        <f>VLOOKUP(G157,[1]Estimado_modelo!$G$2:$I$421,3,FALSE)</f>
        <v>2375</v>
      </c>
      <c r="J157" s="5">
        <f t="shared" si="7"/>
        <v>0.30905263157894736</v>
      </c>
      <c r="K157">
        <f>VLOOKUP(G157,[5]Estimado_modelo!$G$2:$H$424,2,FALSE)</f>
        <v>1984</v>
      </c>
      <c r="L157">
        <f t="shared" si="8"/>
        <v>0.16463157894736843</v>
      </c>
    </row>
    <row r="158" spans="1:12">
      <c r="A158">
        <v>2026</v>
      </c>
      <c r="B158">
        <v>28</v>
      </c>
      <c r="C158" t="s">
        <v>7</v>
      </c>
      <c r="D158" t="s">
        <v>8</v>
      </c>
      <c r="E158" s="2" t="s">
        <v>79</v>
      </c>
      <c r="F158" t="s">
        <v>47</v>
      </c>
      <c r="G158" t="str">
        <f t="shared" si="6"/>
        <v>28007VENDELA</v>
      </c>
      <c r="H158">
        <v>8435</v>
      </c>
      <c r="I158" s="9">
        <f>VLOOKUP(G158,[2]Astroflores!$G$2:$H$110,2,FALSE)</f>
        <v>9450</v>
      </c>
      <c r="J158" s="5">
        <f t="shared" si="7"/>
        <v>0.10740740740740741</v>
      </c>
      <c r="K158">
        <f>VLOOKUP(G158,[5]Estimado_modelo!$G$2:$H$424,2,FALSE)</f>
        <v>7960</v>
      </c>
      <c r="L158">
        <f t="shared" si="8"/>
        <v>0.15767195767195769</v>
      </c>
    </row>
    <row r="159" spans="1:12">
      <c r="A159">
        <v>2026</v>
      </c>
      <c r="B159">
        <v>29</v>
      </c>
      <c r="C159" t="s">
        <v>7</v>
      </c>
      <c r="D159" t="s">
        <v>8</v>
      </c>
      <c r="E159" s="2" t="s">
        <v>79</v>
      </c>
      <c r="F159" t="s">
        <v>47</v>
      </c>
      <c r="G159" t="str">
        <f t="shared" si="6"/>
        <v>29007VENDELA</v>
      </c>
      <c r="H159">
        <v>9434</v>
      </c>
      <c r="I159" s="9">
        <f>VLOOKUP(G159,[1]Estimado_modelo!$G$2:$I$421,3,FALSE)</f>
        <v>10650</v>
      </c>
      <c r="J159" s="5">
        <f t="shared" si="7"/>
        <v>0.11417840375586855</v>
      </c>
      <c r="K159">
        <f>VLOOKUP(G159,[5]Estimado_modelo!$G$2:$H$424,2,FALSE)</f>
        <v>8959</v>
      </c>
      <c r="L159">
        <f t="shared" si="8"/>
        <v>0.1587793427230047</v>
      </c>
    </row>
    <row r="160" spans="1:12">
      <c r="A160">
        <v>2026</v>
      </c>
      <c r="B160">
        <v>29</v>
      </c>
      <c r="C160" t="s">
        <v>10</v>
      </c>
      <c r="D160" t="s">
        <v>8</v>
      </c>
      <c r="E160" s="2" t="s">
        <v>85</v>
      </c>
      <c r="F160" t="s">
        <v>22</v>
      </c>
      <c r="G160" t="str">
        <f t="shared" si="6"/>
        <v>29018COSMO</v>
      </c>
      <c r="H160">
        <v>3528</v>
      </c>
      <c r="I160" s="9">
        <f>VLOOKUP(G160,[1]Estimado_modelo!$G$2:$I$421,3,FALSE)</f>
        <v>5275</v>
      </c>
      <c r="J160" s="5">
        <f t="shared" si="7"/>
        <v>0.33118483412322275</v>
      </c>
      <c r="K160">
        <f>VLOOKUP(G160,[5]Estimado_modelo!$G$2:$H$424,2,FALSE)</f>
        <v>4420</v>
      </c>
      <c r="L160">
        <f t="shared" si="8"/>
        <v>0.16208530805687205</v>
      </c>
    </row>
    <row r="161" spans="1:12">
      <c r="A161">
        <v>2026</v>
      </c>
      <c r="B161">
        <v>29</v>
      </c>
      <c r="C161" t="s">
        <v>7</v>
      </c>
      <c r="D161" t="s">
        <v>8</v>
      </c>
      <c r="E161" s="2" t="s">
        <v>101</v>
      </c>
      <c r="F161" t="s">
        <v>47</v>
      </c>
      <c r="G161" t="str">
        <f t="shared" si="6"/>
        <v>29013VENDELA</v>
      </c>
      <c r="H161">
        <v>9183</v>
      </c>
      <c r="I161" s="9">
        <f>VLOOKUP(G161,[1]Estimado_modelo!$G$2:$I$421,3,FALSE)</f>
        <v>12150</v>
      </c>
      <c r="J161" s="5">
        <f t="shared" si="7"/>
        <v>0.24419753086419754</v>
      </c>
      <c r="K161">
        <f>VLOOKUP(G161,[5]Estimado_modelo!$G$2:$H$424,2,FALSE)</f>
        <v>10295</v>
      </c>
      <c r="L161">
        <f t="shared" si="8"/>
        <v>0.15267489711934157</v>
      </c>
    </row>
    <row r="162" spans="1:12">
      <c r="A162">
        <v>2026</v>
      </c>
      <c r="B162">
        <v>27</v>
      </c>
      <c r="C162" t="s">
        <v>7</v>
      </c>
      <c r="D162" t="s">
        <v>8</v>
      </c>
      <c r="E162" s="2" t="s">
        <v>103</v>
      </c>
      <c r="F162" t="s">
        <v>63</v>
      </c>
      <c r="G162" t="str">
        <f t="shared" si="6"/>
        <v>27024TYCOON</v>
      </c>
      <c r="H162">
        <v>3412</v>
      </c>
      <c r="I162" s="9">
        <f>VLOOKUP(G162,[3]Hoja1!$G$8515:$H$8621,2,FALSE)</f>
        <v>4230</v>
      </c>
      <c r="J162" s="5">
        <f t="shared" si="7"/>
        <v>0.1933806146572104</v>
      </c>
      <c r="K162">
        <f>VLOOKUP(G162,[5]Estimado_modelo!$G$2:$H$424,2,FALSE)</f>
        <v>3617</v>
      </c>
      <c r="L162">
        <f t="shared" si="8"/>
        <v>0.14491725768321512</v>
      </c>
    </row>
    <row r="163" spans="1:12">
      <c r="A163">
        <v>2026</v>
      </c>
      <c r="B163">
        <v>27</v>
      </c>
      <c r="C163" t="s">
        <v>10</v>
      </c>
      <c r="D163" t="s">
        <v>8</v>
      </c>
      <c r="E163" s="2" t="s">
        <v>84</v>
      </c>
      <c r="F163" t="s">
        <v>21</v>
      </c>
      <c r="G163" t="str">
        <f t="shared" si="6"/>
        <v>27017ORANGE STAR</v>
      </c>
      <c r="H163">
        <v>1811</v>
      </c>
      <c r="I163" s="9">
        <f>VLOOKUP(G163,[3]Hoja1!$G$8515:$H$8621,2,FALSE)</f>
        <v>2200</v>
      </c>
      <c r="J163" s="5">
        <f t="shared" si="7"/>
        <v>0.17681818181818182</v>
      </c>
      <c r="K163">
        <f>VLOOKUP(G163,[5]Estimado_modelo!$G$2:$H$424,2,FALSE)</f>
        <v>1904</v>
      </c>
      <c r="L163">
        <f t="shared" si="8"/>
        <v>0.13454545454545455</v>
      </c>
    </row>
    <row r="164" spans="1:12">
      <c r="A164">
        <v>2026</v>
      </c>
      <c r="B164">
        <v>29</v>
      </c>
      <c r="C164" t="s">
        <v>10</v>
      </c>
      <c r="D164" t="s">
        <v>8</v>
      </c>
      <c r="E164" s="2" t="s">
        <v>81</v>
      </c>
      <c r="F164" t="s">
        <v>17</v>
      </c>
      <c r="G164" t="str">
        <f t="shared" si="6"/>
        <v>29014FRUITY BUBBLES</v>
      </c>
      <c r="H164">
        <v>2913</v>
      </c>
      <c r="I164" s="9">
        <f>VLOOKUP(G164,[1]Estimado_modelo!$G$2:$I$421,3,FALSE)</f>
        <v>4425</v>
      </c>
      <c r="J164" s="5">
        <f t="shared" si="7"/>
        <v>0.34169491525423729</v>
      </c>
      <c r="K164">
        <f>VLOOKUP(G164,[5]Estimado_modelo!$G$2:$H$424,2,FALSE)</f>
        <v>3764</v>
      </c>
      <c r="L164">
        <f t="shared" si="8"/>
        <v>0.14937853107344634</v>
      </c>
    </row>
    <row r="165" spans="1:12">
      <c r="A165">
        <v>2026</v>
      </c>
      <c r="B165">
        <v>29</v>
      </c>
      <c r="C165" t="s">
        <v>7</v>
      </c>
      <c r="D165" t="s">
        <v>8</v>
      </c>
      <c r="E165" s="2" t="s">
        <v>76</v>
      </c>
      <c r="F165" t="s">
        <v>38</v>
      </c>
      <c r="G165" t="str">
        <f t="shared" si="6"/>
        <v>29002SWEETNESS</v>
      </c>
      <c r="H165">
        <v>4426</v>
      </c>
      <c r="I165" s="9">
        <f>VLOOKUP(G165,[1]Estimado_modelo!$G$2:$I$421,3,FALSE)</f>
        <v>6870</v>
      </c>
      <c r="J165" s="5">
        <f t="shared" si="7"/>
        <v>0.35574963609898108</v>
      </c>
      <c r="K165">
        <f>VLOOKUP(G165,[5]Estimado_modelo!$G$2:$H$424,2,FALSE)</f>
        <v>5888</v>
      </c>
      <c r="L165">
        <f t="shared" si="8"/>
        <v>0.14294032023289666</v>
      </c>
    </row>
    <row r="166" spans="1:12">
      <c r="A166">
        <v>2026</v>
      </c>
      <c r="B166">
        <v>27</v>
      </c>
      <c r="C166" t="s">
        <v>7</v>
      </c>
      <c r="D166" t="s">
        <v>8</v>
      </c>
      <c r="E166" s="2" t="s">
        <v>78</v>
      </c>
      <c r="F166" t="s">
        <v>41</v>
      </c>
      <c r="G166" t="str">
        <f t="shared" si="6"/>
        <v>27005JOCKER</v>
      </c>
      <c r="H166">
        <v>1228</v>
      </c>
      <c r="I166" s="9">
        <f>VLOOKUP(G166,[3]Hoja1!$G$8515:$H$8621,2,FALSE)</f>
        <v>2350</v>
      </c>
      <c r="J166" s="5">
        <f t="shared" si="7"/>
        <v>0.47744680851063831</v>
      </c>
      <c r="K166">
        <f>VLOOKUP(G166,[5]Estimado_modelo!$G$2:$H$424,2,FALSE)</f>
        <v>2101</v>
      </c>
      <c r="L166">
        <f t="shared" si="8"/>
        <v>0.10595744680851064</v>
      </c>
    </row>
    <row r="167" spans="1:12">
      <c r="A167">
        <v>2026</v>
      </c>
      <c r="B167">
        <v>28</v>
      </c>
      <c r="C167" t="s">
        <v>7</v>
      </c>
      <c r="D167" t="s">
        <v>8</v>
      </c>
      <c r="E167" s="2" t="s">
        <v>76</v>
      </c>
      <c r="F167" t="s">
        <v>38</v>
      </c>
      <c r="G167" t="str">
        <f t="shared" si="6"/>
        <v>28002SWEETNESS</v>
      </c>
      <c r="H167">
        <v>5725</v>
      </c>
      <c r="I167" s="9">
        <f>VLOOKUP(G167,[2]Astroflores!$G$2:$H$110,2,FALSE)</f>
        <v>8520</v>
      </c>
      <c r="J167" s="5">
        <f t="shared" si="7"/>
        <v>0.32805164319248825</v>
      </c>
      <c r="K167">
        <f>VLOOKUP(G167,[5]Estimado_modelo!$G$2:$H$424,2,FALSE)</f>
        <v>7342</v>
      </c>
      <c r="L167">
        <f t="shared" si="8"/>
        <v>0.13826291079812206</v>
      </c>
    </row>
    <row r="168" spans="1:12">
      <c r="A168">
        <v>2026</v>
      </c>
      <c r="B168">
        <v>29</v>
      </c>
      <c r="C168" t="s">
        <v>10</v>
      </c>
      <c r="D168" t="s">
        <v>8</v>
      </c>
      <c r="E168" s="2" t="s">
        <v>90</v>
      </c>
      <c r="F168" t="s">
        <v>11</v>
      </c>
      <c r="G168" t="str">
        <f t="shared" si="6"/>
        <v>29030SOMERSET</v>
      </c>
      <c r="H168">
        <v>2707</v>
      </c>
      <c r="I168" s="9">
        <f>VLOOKUP(G168,[1]Estimado_modelo!$G$2:$I$421,3,FALSE)</f>
        <v>4000</v>
      </c>
      <c r="J168" s="5">
        <f t="shared" si="7"/>
        <v>0.32324999999999998</v>
      </c>
      <c r="K168">
        <f>VLOOKUP(G168,[5]Estimado_modelo!$G$2:$H$424,2,FALSE)</f>
        <v>3446</v>
      </c>
      <c r="L168">
        <f t="shared" si="8"/>
        <v>0.13850000000000001</v>
      </c>
    </row>
    <row r="169" spans="1:12">
      <c r="A169">
        <v>2026</v>
      </c>
      <c r="B169">
        <v>28</v>
      </c>
      <c r="C169" t="s">
        <v>7</v>
      </c>
      <c r="D169" t="s">
        <v>8</v>
      </c>
      <c r="E169" s="2" t="s">
        <v>84</v>
      </c>
      <c r="F169" t="s">
        <v>46</v>
      </c>
      <c r="G169" t="str">
        <f t="shared" si="6"/>
        <v>28017GOLDFINCH</v>
      </c>
      <c r="H169">
        <v>2970</v>
      </c>
      <c r="I169" s="9">
        <f>VLOOKUP(G169,[2]Astroflores!$G$2:$H$110,2,FALSE)</f>
        <v>3500</v>
      </c>
      <c r="J169" s="5">
        <f t="shared" si="7"/>
        <v>0.15142857142857144</v>
      </c>
      <c r="K169">
        <f>VLOOKUP(G169,[5]Estimado_modelo!$G$2:$H$424,2,FALSE)</f>
        <v>3009</v>
      </c>
      <c r="L169">
        <f t="shared" si="8"/>
        <v>0.14028571428571429</v>
      </c>
    </row>
    <row r="170" spans="1:12">
      <c r="A170">
        <v>2026</v>
      </c>
      <c r="B170">
        <v>27</v>
      </c>
      <c r="C170" t="s">
        <v>7</v>
      </c>
      <c r="D170" t="s">
        <v>8</v>
      </c>
      <c r="E170" s="2" t="s">
        <v>96</v>
      </c>
      <c r="F170" t="s">
        <v>49</v>
      </c>
      <c r="G170" t="str">
        <f t="shared" si="6"/>
        <v>27006MONDIAL</v>
      </c>
      <c r="H170">
        <v>6831</v>
      </c>
      <c r="I170" s="9">
        <f>VLOOKUP(G170,[3]Hoja1!$G$8515:$H$8621,2,FALSE)</f>
        <v>6625</v>
      </c>
      <c r="J170" s="5">
        <f t="shared" si="7"/>
        <v>-3.109433962264151E-2</v>
      </c>
      <c r="K170">
        <f>VLOOKUP(G170,[5]Estimado_modelo!$G$2:$H$424,2,FALSE)</f>
        <v>5783</v>
      </c>
      <c r="L170">
        <f t="shared" si="8"/>
        <v>0.12709433962264152</v>
      </c>
    </row>
    <row r="171" spans="1:12">
      <c r="A171">
        <v>2026</v>
      </c>
      <c r="B171">
        <v>28</v>
      </c>
      <c r="C171" t="s">
        <v>7</v>
      </c>
      <c r="D171" t="s">
        <v>8</v>
      </c>
      <c r="E171" s="2" t="s">
        <v>87</v>
      </c>
      <c r="F171" t="s">
        <v>63</v>
      </c>
      <c r="G171" t="str">
        <f t="shared" si="6"/>
        <v>28020TYCOON</v>
      </c>
      <c r="H171">
        <v>1020</v>
      </c>
      <c r="I171" s="9">
        <f>VLOOKUP(G171,[2]Astroflores!$G$2:$H$110,2,FALSE)</f>
        <v>1500</v>
      </c>
      <c r="J171" s="5">
        <f t="shared" si="7"/>
        <v>0.32</v>
      </c>
      <c r="K171">
        <f>VLOOKUP(G171,[5]Estimado_modelo!$G$2:$H$424,2,FALSE)</f>
        <v>1274</v>
      </c>
      <c r="L171">
        <f t="shared" si="8"/>
        <v>0.15066666666666667</v>
      </c>
    </row>
    <row r="172" spans="1:12">
      <c r="A172">
        <v>2026</v>
      </c>
      <c r="B172">
        <v>28</v>
      </c>
      <c r="C172" t="s">
        <v>7</v>
      </c>
      <c r="D172" t="s">
        <v>8</v>
      </c>
      <c r="E172" s="2" t="s">
        <v>95</v>
      </c>
      <c r="F172" t="s">
        <v>34</v>
      </c>
      <c r="G172" t="str">
        <f t="shared" si="6"/>
        <v>28003EXPLORER</v>
      </c>
      <c r="H172">
        <v>2225</v>
      </c>
      <c r="I172" s="9">
        <f>VLOOKUP(G172,[2]Astroflores!$G$2:$H$110,2,FALSE)</f>
        <v>2375</v>
      </c>
      <c r="J172" s="5">
        <f t="shared" si="7"/>
        <v>6.3157894736842107E-2</v>
      </c>
      <c r="K172">
        <f>VLOOKUP(G172,[5]Estimado_modelo!$G$2:$H$424,2,FALSE)</f>
        <v>2057</v>
      </c>
      <c r="L172">
        <f t="shared" si="8"/>
        <v>0.13389473684210526</v>
      </c>
    </row>
    <row r="173" spans="1:12">
      <c r="A173">
        <v>2026</v>
      </c>
      <c r="B173">
        <v>29</v>
      </c>
      <c r="C173" t="s">
        <v>10</v>
      </c>
      <c r="D173" t="s">
        <v>8</v>
      </c>
      <c r="E173" s="2" t="s">
        <v>86</v>
      </c>
      <c r="F173" t="s">
        <v>12</v>
      </c>
      <c r="G173" t="str">
        <f t="shared" si="6"/>
        <v>29019BELLINA</v>
      </c>
      <c r="H173">
        <v>1528</v>
      </c>
      <c r="I173" s="9">
        <f>VLOOKUP(G173,[1]Estimado_modelo!$G$2:$I$421,3,FALSE)</f>
        <v>1740</v>
      </c>
      <c r="J173" s="5">
        <f t="shared" si="7"/>
        <v>0.12183908045977011</v>
      </c>
      <c r="K173">
        <f>VLOOKUP(G173,[5]Estimado_modelo!$G$2:$H$424,2,FALSE)</f>
        <v>1523</v>
      </c>
      <c r="L173">
        <f t="shared" si="8"/>
        <v>0.12471264367816091</v>
      </c>
    </row>
    <row r="174" spans="1:12">
      <c r="A174">
        <v>2026</v>
      </c>
      <c r="B174">
        <v>29</v>
      </c>
      <c r="C174" t="s">
        <v>7</v>
      </c>
      <c r="D174" t="s">
        <v>8</v>
      </c>
      <c r="E174" s="2" t="s">
        <v>99</v>
      </c>
      <c r="F174" t="s">
        <v>55</v>
      </c>
      <c r="G174" t="str">
        <f t="shared" si="6"/>
        <v>29011CANDLELIGHT</v>
      </c>
      <c r="H174">
        <v>3736</v>
      </c>
      <c r="I174" s="9">
        <f>VLOOKUP(G174,[1]Estimado_modelo!$G$2:$I$421,3,FALSE)</f>
        <v>4640</v>
      </c>
      <c r="J174" s="5">
        <f t="shared" si="7"/>
        <v>0.19482758620689655</v>
      </c>
      <c r="K174">
        <f>VLOOKUP(G174,[5]Estimado_modelo!$G$2:$H$424,2,FALSE)</f>
        <v>4086</v>
      </c>
      <c r="L174">
        <f t="shared" si="8"/>
        <v>0.11939655172413793</v>
      </c>
    </row>
    <row r="175" spans="1:12">
      <c r="A175">
        <v>2026</v>
      </c>
      <c r="B175">
        <v>28</v>
      </c>
      <c r="C175" t="s">
        <v>7</v>
      </c>
      <c r="D175" t="s">
        <v>8</v>
      </c>
      <c r="E175" s="2" t="s">
        <v>78</v>
      </c>
      <c r="F175" t="s">
        <v>47</v>
      </c>
      <c r="G175" t="str">
        <f t="shared" si="6"/>
        <v>28005VENDELA</v>
      </c>
      <c r="H175">
        <v>1393</v>
      </c>
      <c r="I175" s="9">
        <f>VLOOKUP(G175,[2]Astroflores!$G$2:$H$110,2,FALSE)</f>
        <v>1620</v>
      </c>
      <c r="J175" s="5">
        <f t="shared" si="7"/>
        <v>0.14012345679012345</v>
      </c>
      <c r="K175">
        <f>VLOOKUP(G175,[5]Estimado_modelo!$G$2:$H$424,2,FALSE)</f>
        <v>1459</v>
      </c>
      <c r="L175">
        <f t="shared" si="8"/>
        <v>9.9382716049382716E-2</v>
      </c>
    </row>
    <row r="176" spans="1:12">
      <c r="A176">
        <v>2026</v>
      </c>
      <c r="B176">
        <v>29</v>
      </c>
      <c r="C176" t="s">
        <v>7</v>
      </c>
      <c r="D176" t="s">
        <v>8</v>
      </c>
      <c r="E176" s="2" t="s">
        <v>90</v>
      </c>
      <c r="F176" t="s">
        <v>34</v>
      </c>
      <c r="G176" t="str">
        <f t="shared" si="6"/>
        <v>29030EXPLORER</v>
      </c>
      <c r="H176">
        <v>2175</v>
      </c>
      <c r="I176" s="9">
        <f>VLOOKUP(G176,[1]Estimado_modelo!$G$2:$I$421,3,FALSE)</f>
        <v>2600</v>
      </c>
      <c r="J176" s="5">
        <f t="shared" si="7"/>
        <v>0.16346153846153846</v>
      </c>
      <c r="K176">
        <f>VLOOKUP(G176,[5]Estimado_modelo!$G$2:$H$424,2,FALSE)</f>
        <v>2269</v>
      </c>
      <c r="L176">
        <f t="shared" si="8"/>
        <v>0.12730769230769232</v>
      </c>
    </row>
    <row r="177" spans="1:12">
      <c r="A177">
        <v>2026</v>
      </c>
      <c r="B177">
        <v>27</v>
      </c>
      <c r="C177" t="s">
        <v>7</v>
      </c>
      <c r="D177" t="s">
        <v>8</v>
      </c>
      <c r="E177" s="2" t="s">
        <v>97</v>
      </c>
      <c r="F177" t="s">
        <v>51</v>
      </c>
      <c r="G177" t="str">
        <f t="shared" si="6"/>
        <v>27008FREEDOM</v>
      </c>
      <c r="H177">
        <v>3880</v>
      </c>
      <c r="I177" s="9">
        <f>VLOOKUP(G177,[3]Hoja1!$G$8515:$H$8621,2,FALSE)</f>
        <v>4380</v>
      </c>
      <c r="J177" s="5">
        <f t="shared" si="7"/>
        <v>0.11415525114155251</v>
      </c>
      <c r="K177">
        <f>VLOOKUP(G177,[5]Estimado_modelo!$G$2:$H$424,2,FALSE)</f>
        <v>3930</v>
      </c>
      <c r="L177">
        <f t="shared" si="8"/>
        <v>0.10273972602739725</v>
      </c>
    </row>
    <row r="178" spans="1:12">
      <c r="A178">
        <v>2026</v>
      </c>
      <c r="B178">
        <v>27</v>
      </c>
      <c r="C178" t="s">
        <v>7</v>
      </c>
      <c r="D178" t="s">
        <v>8</v>
      </c>
      <c r="E178" s="2" t="s">
        <v>94</v>
      </c>
      <c r="F178" t="s">
        <v>9</v>
      </c>
      <c r="G178" t="str">
        <f t="shared" si="6"/>
        <v>27001LUMIA</v>
      </c>
      <c r="H178">
        <v>1173</v>
      </c>
      <c r="I178" s="9">
        <f>VLOOKUP(G178,[3]Hoja1!$G$8515:$H$8621,2,FALSE)</f>
        <v>2040</v>
      </c>
      <c r="J178" s="5">
        <f t="shared" si="7"/>
        <v>0.42499999999999999</v>
      </c>
      <c r="K178">
        <f>VLOOKUP(G178,[5]Estimado_modelo!$G$2:$H$424,2,FALSE)</f>
        <v>1861</v>
      </c>
      <c r="L178">
        <f t="shared" si="8"/>
        <v>8.774509803921568E-2</v>
      </c>
    </row>
    <row r="179" spans="1:12">
      <c r="A179">
        <v>2026</v>
      </c>
      <c r="B179">
        <v>29</v>
      </c>
      <c r="C179" t="s">
        <v>7</v>
      </c>
      <c r="D179" t="s">
        <v>8</v>
      </c>
      <c r="E179" s="2" t="s">
        <v>101</v>
      </c>
      <c r="F179" t="s">
        <v>59</v>
      </c>
      <c r="G179" t="str">
        <f t="shared" si="6"/>
        <v>29013LORRAINE</v>
      </c>
      <c r="H179">
        <v>3524</v>
      </c>
      <c r="I179" s="9">
        <f>VLOOKUP(G179,[1]Estimado_modelo!$G$2:$I$421,3,FALSE)</f>
        <v>4025</v>
      </c>
      <c r="J179" s="5">
        <f t="shared" si="7"/>
        <v>0.12447204968944099</v>
      </c>
      <c r="K179">
        <f>VLOOKUP(G179,[5]Estimado_modelo!$G$2:$H$424,2,FALSE)</f>
        <v>3594</v>
      </c>
      <c r="L179">
        <f t="shared" si="8"/>
        <v>0.10708074534161491</v>
      </c>
    </row>
    <row r="180" spans="1:12">
      <c r="A180">
        <v>2026</v>
      </c>
      <c r="B180">
        <v>29</v>
      </c>
      <c r="C180" t="s">
        <v>7</v>
      </c>
      <c r="D180" t="s">
        <v>8</v>
      </c>
      <c r="E180" s="2" t="s">
        <v>87</v>
      </c>
      <c r="F180" t="s">
        <v>54</v>
      </c>
      <c r="G180" t="str">
        <f t="shared" si="6"/>
        <v>29020BRIGHTON</v>
      </c>
      <c r="H180">
        <v>5473</v>
      </c>
      <c r="I180" s="9">
        <f>VLOOKUP(G180,[1]Estimado_modelo!$G$2:$I$421,3,FALSE)</f>
        <v>5500</v>
      </c>
      <c r="J180" s="5">
        <f t="shared" si="7"/>
        <v>4.909090909090909E-3</v>
      </c>
      <c r="K180">
        <f>VLOOKUP(G180,[5]Estimado_modelo!$G$2:$H$424,2,FALSE)</f>
        <v>4840</v>
      </c>
      <c r="L180">
        <f t="shared" si="8"/>
        <v>0.12</v>
      </c>
    </row>
    <row r="181" spans="1:12">
      <c r="A181">
        <v>2026</v>
      </c>
      <c r="B181">
        <v>27</v>
      </c>
      <c r="C181" t="s">
        <v>7</v>
      </c>
      <c r="D181" t="s">
        <v>8</v>
      </c>
      <c r="E181" s="2" t="s">
        <v>107</v>
      </c>
      <c r="F181" t="s">
        <v>43</v>
      </c>
      <c r="G181" t="str">
        <f t="shared" si="6"/>
        <v>27028COTOPAXI</v>
      </c>
      <c r="H181">
        <v>4677</v>
      </c>
      <c r="I181" s="9">
        <f>VLOOKUP(G181,[3]Hoja1!$G$8515:$H$8621,2,FALSE)</f>
        <v>5850</v>
      </c>
      <c r="J181" s="5">
        <f t="shared" si="7"/>
        <v>0.20051282051282052</v>
      </c>
      <c r="K181">
        <f>VLOOKUP(G181,[5]Estimado_modelo!$G$2:$H$424,2,FALSE)</f>
        <v>5268</v>
      </c>
      <c r="L181">
        <f t="shared" si="8"/>
        <v>9.9487179487179486E-2</v>
      </c>
    </row>
    <row r="182" spans="1:12">
      <c r="A182">
        <v>2026</v>
      </c>
      <c r="B182">
        <v>28</v>
      </c>
      <c r="C182" t="s">
        <v>7</v>
      </c>
      <c r="D182" t="s">
        <v>8</v>
      </c>
      <c r="E182" s="2" t="s">
        <v>95</v>
      </c>
      <c r="F182" t="s">
        <v>42</v>
      </c>
      <c r="G182" t="str">
        <f t="shared" si="6"/>
        <v>28003QUICKSAND</v>
      </c>
      <c r="H182">
        <v>1735</v>
      </c>
      <c r="I182" s="9">
        <f>VLOOKUP(G182,[2]Astroflores!$G$2:$H$110,2,FALSE)</f>
        <v>2040</v>
      </c>
      <c r="J182" s="5">
        <f t="shared" si="7"/>
        <v>0.14950980392156862</v>
      </c>
      <c r="K182">
        <f>VLOOKUP(G182,[5]Estimado_modelo!$G$2:$H$424,2,FALSE)</f>
        <v>1837</v>
      </c>
      <c r="L182">
        <f t="shared" si="8"/>
        <v>9.9509803921568621E-2</v>
      </c>
    </row>
    <row r="183" spans="1:12">
      <c r="A183">
        <v>2026</v>
      </c>
      <c r="B183">
        <v>27</v>
      </c>
      <c r="C183" t="s">
        <v>7</v>
      </c>
      <c r="D183" t="s">
        <v>8</v>
      </c>
      <c r="E183" s="2" t="s">
        <v>83</v>
      </c>
      <c r="F183" t="s">
        <v>60</v>
      </c>
      <c r="G183" t="str">
        <f t="shared" si="6"/>
        <v>27016DREAM IN PEACH</v>
      </c>
      <c r="H183">
        <v>2014</v>
      </c>
      <c r="I183" s="9">
        <f>VLOOKUP(G183,[3]Hoja1!$G$8515:$H$8621,2,FALSE)</f>
        <v>2400</v>
      </c>
      <c r="J183" s="5">
        <f t="shared" si="7"/>
        <v>0.16083333333333333</v>
      </c>
      <c r="K183">
        <f>VLOOKUP(G183,[5]Estimado_modelo!$G$2:$H$424,2,FALSE)</f>
        <v>2138</v>
      </c>
      <c r="L183">
        <f t="shared" si="8"/>
        <v>0.10916666666666666</v>
      </c>
    </row>
    <row r="184" spans="1:12">
      <c r="A184">
        <v>2026</v>
      </c>
      <c r="B184">
        <v>29</v>
      </c>
      <c r="C184" t="s">
        <v>10</v>
      </c>
      <c r="D184" t="s">
        <v>8</v>
      </c>
      <c r="E184" s="2" t="s">
        <v>91</v>
      </c>
      <c r="F184" t="s">
        <v>23</v>
      </c>
      <c r="G184" t="str">
        <f t="shared" si="6"/>
        <v>29031RUBICON</v>
      </c>
      <c r="H184">
        <v>2264</v>
      </c>
      <c r="I184" s="9">
        <f>VLOOKUP(G184,[1]Estimado_modelo!$G$2:$I$421,3,FALSE)</f>
        <v>2700</v>
      </c>
      <c r="J184" s="5">
        <f t="shared" si="7"/>
        <v>0.16148148148148148</v>
      </c>
      <c r="K184">
        <f>VLOOKUP(G184,[5]Estimado_modelo!$G$2:$H$424,2,FALSE)</f>
        <v>2392</v>
      </c>
      <c r="L184">
        <f t="shared" si="8"/>
        <v>0.11407407407407408</v>
      </c>
    </row>
    <row r="185" spans="1:12">
      <c r="A185">
        <v>2026</v>
      </c>
      <c r="B185">
        <v>27</v>
      </c>
      <c r="C185" t="s">
        <v>7</v>
      </c>
      <c r="D185" t="s">
        <v>8</v>
      </c>
      <c r="E185" s="2" t="s">
        <v>89</v>
      </c>
      <c r="F185" t="s">
        <v>65</v>
      </c>
      <c r="G185" t="str">
        <f t="shared" si="6"/>
        <v>27022CORAL REEF</v>
      </c>
      <c r="H185">
        <v>2544</v>
      </c>
      <c r="I185" s="9">
        <f>VLOOKUP(G185,[3]Hoja1!$G$8515:$H$8621,2,FALSE)</f>
        <v>2725</v>
      </c>
      <c r="J185" s="5">
        <f t="shared" si="7"/>
        <v>6.6422018348623851E-2</v>
      </c>
      <c r="K185">
        <f>VLOOKUP(G185,[5]Estimado_modelo!$G$2:$H$424,2,FALSE)</f>
        <v>2514</v>
      </c>
      <c r="L185">
        <f t="shared" si="8"/>
        <v>7.7431192660550457E-2</v>
      </c>
    </row>
    <row r="186" spans="1:12">
      <c r="A186">
        <v>2026</v>
      </c>
      <c r="B186">
        <v>28</v>
      </c>
      <c r="C186" t="s">
        <v>10</v>
      </c>
      <c r="D186" t="s">
        <v>8</v>
      </c>
      <c r="E186" s="2" t="s">
        <v>78</v>
      </c>
      <c r="F186" t="s">
        <v>13</v>
      </c>
      <c r="G186" t="str">
        <f t="shared" si="6"/>
        <v>28005ELBA</v>
      </c>
      <c r="H186">
        <v>5145</v>
      </c>
      <c r="I186" s="9">
        <f>VLOOKUP(G186,[2]Astroflores!$G$2:$H$110,2,FALSE)</f>
        <v>6510</v>
      </c>
      <c r="J186" s="5">
        <f t="shared" si="7"/>
        <v>0.20967741935483872</v>
      </c>
      <c r="K186">
        <f>VLOOKUP(G186,[5]Estimado_modelo!$G$2:$H$424,2,FALSE)</f>
        <v>5890</v>
      </c>
      <c r="L186">
        <f t="shared" si="8"/>
        <v>9.5238095238095233E-2</v>
      </c>
    </row>
    <row r="187" spans="1:12">
      <c r="A187">
        <v>2026</v>
      </c>
      <c r="B187">
        <v>28</v>
      </c>
      <c r="C187" t="s">
        <v>10</v>
      </c>
      <c r="D187" t="s">
        <v>8</v>
      </c>
      <c r="E187" s="2" t="s">
        <v>89</v>
      </c>
      <c r="F187" t="s">
        <v>19</v>
      </c>
      <c r="G187" t="str">
        <f t="shared" si="6"/>
        <v>28022GOOD PEACH</v>
      </c>
      <c r="H187">
        <v>1931</v>
      </c>
      <c r="I187" s="9">
        <f>VLOOKUP(G187,[2]Astroflores!$G$2:$H$110,2,FALSE)</f>
        <v>2430</v>
      </c>
      <c r="J187" s="5">
        <f t="shared" si="7"/>
        <v>0.20534979423868313</v>
      </c>
      <c r="K187">
        <f>VLOOKUP(G187,[5]Estimado_modelo!$G$2:$H$424,2,FALSE)</f>
        <v>2236</v>
      </c>
      <c r="L187">
        <f t="shared" si="8"/>
        <v>7.9835390946502063E-2</v>
      </c>
    </row>
    <row r="188" spans="1:12">
      <c r="A188">
        <v>2026</v>
      </c>
      <c r="B188">
        <v>28</v>
      </c>
      <c r="C188" t="s">
        <v>10</v>
      </c>
      <c r="D188" t="s">
        <v>8</v>
      </c>
      <c r="E188" s="2" t="s">
        <v>84</v>
      </c>
      <c r="F188" t="s">
        <v>21</v>
      </c>
      <c r="G188" t="str">
        <f t="shared" si="6"/>
        <v>28017ORANGE STAR</v>
      </c>
      <c r="H188">
        <v>1659</v>
      </c>
      <c r="I188" s="9">
        <f>VLOOKUP(G188,[2]Astroflores!$G$2:$H$110,2,FALSE)</f>
        <v>2000</v>
      </c>
      <c r="J188" s="5">
        <f t="shared" si="7"/>
        <v>0.17050000000000001</v>
      </c>
      <c r="K188">
        <f>VLOOKUP(G188,[5]Estimado_modelo!$G$2:$H$424,2,FALSE)</f>
        <v>1797</v>
      </c>
      <c r="L188">
        <f t="shared" si="8"/>
        <v>0.10150000000000001</v>
      </c>
    </row>
    <row r="189" spans="1:12">
      <c r="A189">
        <v>2026</v>
      </c>
      <c r="B189">
        <v>29</v>
      </c>
      <c r="C189" t="s">
        <v>10</v>
      </c>
      <c r="D189" t="s">
        <v>8</v>
      </c>
      <c r="E189" s="2" t="s">
        <v>80</v>
      </c>
      <c r="F189" t="s">
        <v>14</v>
      </c>
      <c r="G189" t="str">
        <f t="shared" si="6"/>
        <v>29009HOT BUBBLES</v>
      </c>
      <c r="H189">
        <v>6643</v>
      </c>
      <c r="I189" s="9">
        <f>VLOOKUP(G189,[1]Estimado_modelo!$G$2:$I$421,3,FALSE)</f>
        <v>7400</v>
      </c>
      <c r="J189" s="5">
        <f t="shared" si="7"/>
        <v>0.10229729729729729</v>
      </c>
      <c r="K189">
        <f>VLOOKUP(G189,[5]Estimado_modelo!$G$2:$H$424,2,FALSE)</f>
        <v>6705</v>
      </c>
      <c r="L189">
        <f t="shared" si="8"/>
        <v>9.3918918918918917E-2</v>
      </c>
    </row>
    <row r="190" spans="1:12">
      <c r="A190">
        <v>2026</v>
      </c>
      <c r="B190">
        <v>27</v>
      </c>
      <c r="C190" t="s">
        <v>7</v>
      </c>
      <c r="D190" t="s">
        <v>8</v>
      </c>
      <c r="E190" s="2" t="s">
        <v>78</v>
      </c>
      <c r="F190" t="s">
        <v>46</v>
      </c>
      <c r="G190" t="str">
        <f t="shared" si="6"/>
        <v>27005GOLDFINCH</v>
      </c>
      <c r="H190">
        <v>1011</v>
      </c>
      <c r="I190" s="9">
        <f>VLOOKUP(G190,[3]Hoja1!$G$8515:$H$8621,2,FALSE)</f>
        <v>1175</v>
      </c>
      <c r="J190" s="5">
        <f t="shared" si="7"/>
        <v>0.13957446808510637</v>
      </c>
      <c r="K190">
        <f>VLOOKUP(G190,[5]Estimado_modelo!$G$2:$H$424,2,FALSE)</f>
        <v>1060</v>
      </c>
      <c r="L190">
        <f t="shared" si="8"/>
        <v>9.7872340425531917E-2</v>
      </c>
    </row>
    <row r="191" spans="1:12">
      <c r="A191">
        <v>2026</v>
      </c>
      <c r="B191">
        <v>28</v>
      </c>
      <c r="C191" t="s">
        <v>10</v>
      </c>
      <c r="D191" t="s">
        <v>8</v>
      </c>
      <c r="E191" s="2" t="s">
        <v>93</v>
      </c>
      <c r="F191" t="s">
        <v>32</v>
      </c>
      <c r="G191" t="str">
        <f t="shared" si="6"/>
        <v>28033CREAMY FOLIES</v>
      </c>
      <c r="H191">
        <v>819</v>
      </c>
      <c r="I191" s="9">
        <f>VLOOKUP(G191,[2]Astroflores!$G$2:$H$110,2,FALSE)</f>
        <v>930</v>
      </c>
      <c r="J191" s="5">
        <f t="shared" si="7"/>
        <v>0.11935483870967742</v>
      </c>
      <c r="K191">
        <f>VLOOKUP(G191,[5]Estimado_modelo!$G$2:$H$424,2,FALSE)</f>
        <v>842</v>
      </c>
      <c r="L191">
        <f t="shared" si="8"/>
        <v>9.4623655913978491E-2</v>
      </c>
    </row>
    <row r="192" spans="1:12">
      <c r="A192">
        <v>2026</v>
      </c>
      <c r="B192">
        <v>29</v>
      </c>
      <c r="C192" t="s">
        <v>7</v>
      </c>
      <c r="D192" t="s">
        <v>8</v>
      </c>
      <c r="E192" s="2" t="s">
        <v>86</v>
      </c>
      <c r="F192" t="s">
        <v>54</v>
      </c>
      <c r="G192" t="str">
        <f t="shared" si="6"/>
        <v>29019BRIGHTON</v>
      </c>
      <c r="H192">
        <v>8504</v>
      </c>
      <c r="I192" s="9">
        <f>VLOOKUP(G192,[1]Estimado_modelo!$G$2:$I$421,3,FALSE)</f>
        <v>9375</v>
      </c>
      <c r="J192" s="5">
        <f t="shared" si="7"/>
        <v>9.2906666666666665E-2</v>
      </c>
      <c r="K192">
        <f>VLOOKUP(G192,[5]Estimado_modelo!$G$2:$H$424,2,FALSE)</f>
        <v>8579</v>
      </c>
      <c r="L192">
        <f t="shared" si="8"/>
        <v>8.4906666666666672E-2</v>
      </c>
    </row>
    <row r="193" spans="1:12">
      <c r="A193">
        <v>2026</v>
      </c>
      <c r="B193">
        <v>29</v>
      </c>
      <c r="C193" t="s">
        <v>7</v>
      </c>
      <c r="D193" t="s">
        <v>8</v>
      </c>
      <c r="E193" s="2" t="s">
        <v>95</v>
      </c>
      <c r="F193" t="s">
        <v>42</v>
      </c>
      <c r="G193" t="str">
        <f t="shared" si="6"/>
        <v>29003QUICKSAND</v>
      </c>
      <c r="H193">
        <v>1526</v>
      </c>
      <c r="I193" s="9">
        <f>VLOOKUP(G193,[1]Estimado_modelo!$G$2:$I$421,3,FALSE)</f>
        <v>1860</v>
      </c>
      <c r="J193" s="5">
        <f t="shared" si="7"/>
        <v>0.17956989247311828</v>
      </c>
      <c r="K193">
        <f>VLOOKUP(G193,[5]Estimado_modelo!$G$2:$H$424,2,FALSE)</f>
        <v>1722</v>
      </c>
      <c r="L193">
        <f t="shared" si="8"/>
        <v>7.4193548387096769E-2</v>
      </c>
    </row>
    <row r="194" spans="1:12">
      <c r="A194">
        <v>2026</v>
      </c>
      <c r="B194">
        <v>28</v>
      </c>
      <c r="C194" t="s">
        <v>10</v>
      </c>
      <c r="D194" t="s">
        <v>8</v>
      </c>
      <c r="E194" s="2" t="s">
        <v>87</v>
      </c>
      <c r="F194" t="s">
        <v>24</v>
      </c>
      <c r="G194" t="str">
        <f t="shared" ref="G194:G257" si="9">+B194&amp;E194&amp;F194</f>
        <v>28020SUMMER DANCE</v>
      </c>
      <c r="H194">
        <v>3118</v>
      </c>
      <c r="I194" s="9">
        <f>VLOOKUP(G194,[2]Astroflores!$G$2:$H$110,2,FALSE)</f>
        <v>3525</v>
      </c>
      <c r="J194" s="5">
        <f t="shared" ref="J194:J257" si="10">+(I194-H194)/I194</f>
        <v>0.11546099290780142</v>
      </c>
      <c r="K194">
        <f>VLOOKUP(G194,[5]Estimado_modelo!$G$2:$H$424,2,FALSE)</f>
        <v>3259</v>
      </c>
      <c r="L194">
        <f t="shared" ref="L194:L257" si="11">+(I194-K194)/I194</f>
        <v>7.5460992907801422E-2</v>
      </c>
    </row>
    <row r="195" spans="1:12">
      <c r="A195">
        <v>2026</v>
      </c>
      <c r="B195">
        <v>28</v>
      </c>
      <c r="C195" t="s">
        <v>7</v>
      </c>
      <c r="D195" t="s">
        <v>8</v>
      </c>
      <c r="E195" s="2" t="s">
        <v>96</v>
      </c>
      <c r="F195" t="s">
        <v>34</v>
      </c>
      <c r="G195" t="str">
        <f t="shared" si="9"/>
        <v>28006EXPLORER</v>
      </c>
      <c r="H195">
        <v>5560</v>
      </c>
      <c r="I195" s="9">
        <f>VLOOKUP(G195,[2]Astroflores!$G$2:$H$110,2,FALSE)</f>
        <v>6050</v>
      </c>
      <c r="J195" s="5">
        <f t="shared" si="10"/>
        <v>8.0991735537190079E-2</v>
      </c>
      <c r="K195">
        <f>VLOOKUP(G195,[5]Estimado_modelo!$G$2:$H$424,2,FALSE)</f>
        <v>5622</v>
      </c>
      <c r="L195">
        <f t="shared" si="11"/>
        <v>7.0743801652892568E-2</v>
      </c>
    </row>
    <row r="196" spans="1:12">
      <c r="A196">
        <v>2026</v>
      </c>
      <c r="B196">
        <v>27</v>
      </c>
      <c r="C196" t="s">
        <v>7</v>
      </c>
      <c r="D196" t="s">
        <v>8</v>
      </c>
      <c r="E196" s="2" t="s">
        <v>95</v>
      </c>
      <c r="F196" t="s">
        <v>34</v>
      </c>
      <c r="G196" t="str">
        <f t="shared" si="9"/>
        <v>27003EXPLORER</v>
      </c>
      <c r="H196">
        <v>2461</v>
      </c>
      <c r="I196" s="9">
        <f>VLOOKUP(G196,[3]Hoja1!$G$8515:$H$8621,2,FALSE)</f>
        <v>3075</v>
      </c>
      <c r="J196" s="5">
        <f t="shared" si="10"/>
        <v>0.19967479674796748</v>
      </c>
      <c r="K196">
        <f>VLOOKUP(G196,[5]Estimado_modelo!$G$2:$H$424,2,FALSE)</f>
        <v>2806</v>
      </c>
      <c r="L196">
        <f t="shared" si="11"/>
        <v>8.7479674796747967E-2</v>
      </c>
    </row>
    <row r="197" spans="1:12">
      <c r="A197">
        <v>2026</v>
      </c>
      <c r="B197">
        <v>29</v>
      </c>
      <c r="C197" t="s">
        <v>7</v>
      </c>
      <c r="D197" t="s">
        <v>8</v>
      </c>
      <c r="E197" s="2" t="s">
        <v>83</v>
      </c>
      <c r="F197" t="s">
        <v>61</v>
      </c>
      <c r="G197" t="str">
        <f t="shared" si="9"/>
        <v>29016NINA</v>
      </c>
      <c r="H197">
        <v>2686</v>
      </c>
      <c r="I197" s="9">
        <f>VLOOKUP(G197,[1]Estimado_modelo!$G$2:$I$421,3,FALSE)</f>
        <v>3300</v>
      </c>
      <c r="J197" s="5">
        <f t="shared" si="10"/>
        <v>0.18606060606060607</v>
      </c>
      <c r="K197">
        <f>VLOOKUP(G197,[5]Estimado_modelo!$G$2:$H$424,2,FALSE)</f>
        <v>3014</v>
      </c>
      <c r="L197">
        <f t="shared" si="11"/>
        <v>8.666666666666667E-2</v>
      </c>
    </row>
    <row r="198" spans="1:12">
      <c r="A198">
        <v>2026</v>
      </c>
      <c r="B198">
        <v>28</v>
      </c>
      <c r="C198" t="s">
        <v>7</v>
      </c>
      <c r="D198" t="s">
        <v>8</v>
      </c>
      <c r="E198" s="2" t="s">
        <v>103</v>
      </c>
      <c r="F198" t="s">
        <v>43</v>
      </c>
      <c r="G198" t="str">
        <f t="shared" si="9"/>
        <v>28024COTOPAXI</v>
      </c>
      <c r="H198">
        <v>3050</v>
      </c>
      <c r="I198" s="9">
        <f>VLOOKUP(G198,[2]Astroflores!$G$2:$H$110,2,FALSE)</f>
        <v>3390</v>
      </c>
      <c r="J198" s="5">
        <f t="shared" si="10"/>
        <v>0.10029498525073746</v>
      </c>
      <c r="K198">
        <f>VLOOKUP(G198,[5]Estimado_modelo!$G$2:$H$424,2,FALSE)</f>
        <v>3190</v>
      </c>
      <c r="L198">
        <f t="shared" si="11"/>
        <v>5.8997050147492625E-2</v>
      </c>
    </row>
    <row r="199" spans="1:12">
      <c r="A199">
        <v>2026</v>
      </c>
      <c r="B199">
        <v>27</v>
      </c>
      <c r="C199" t="s">
        <v>7</v>
      </c>
      <c r="D199" t="s">
        <v>8</v>
      </c>
      <c r="E199" s="2" t="s">
        <v>101</v>
      </c>
      <c r="F199" t="s">
        <v>59</v>
      </c>
      <c r="G199" t="str">
        <f t="shared" si="9"/>
        <v>27013LORRAINE</v>
      </c>
      <c r="H199">
        <v>3454</v>
      </c>
      <c r="I199" s="9">
        <f>VLOOKUP(G199,[3]Hoja1!$G$8515:$H$8621,2,FALSE)</f>
        <v>4175</v>
      </c>
      <c r="J199" s="5">
        <f t="shared" si="10"/>
        <v>0.17269461077844311</v>
      </c>
      <c r="K199">
        <f>VLOOKUP(G199,[5]Estimado_modelo!$G$2:$H$424,2,FALSE)</f>
        <v>3847</v>
      </c>
      <c r="L199">
        <f t="shared" si="11"/>
        <v>7.8562874251497009E-2</v>
      </c>
    </row>
    <row r="200" spans="1:12">
      <c r="A200">
        <v>2026</v>
      </c>
      <c r="B200">
        <v>29</v>
      </c>
      <c r="C200" t="s">
        <v>10</v>
      </c>
      <c r="D200" t="s">
        <v>8</v>
      </c>
      <c r="E200" s="2" t="s">
        <v>88</v>
      </c>
      <c r="F200" t="s">
        <v>25</v>
      </c>
      <c r="G200" t="str">
        <f t="shared" si="9"/>
        <v>29021ELEGANT ROSEVER</v>
      </c>
      <c r="H200">
        <v>463</v>
      </c>
      <c r="I200" s="9">
        <f>VLOOKUP(G200,[1]Estimado_modelo!$G$2:$I$421,3,FALSE)</f>
        <v>540</v>
      </c>
      <c r="J200" s="5">
        <f t="shared" si="10"/>
        <v>0.1425925925925926</v>
      </c>
      <c r="K200">
        <f>VLOOKUP(G200,[5]Estimado_modelo!$G$2:$H$424,2,FALSE)</f>
        <v>505</v>
      </c>
      <c r="L200">
        <f t="shared" si="11"/>
        <v>6.4814814814814811E-2</v>
      </c>
    </row>
    <row r="201" spans="1:12">
      <c r="A201">
        <v>2026</v>
      </c>
      <c r="B201">
        <v>29</v>
      </c>
      <c r="C201" t="s">
        <v>7</v>
      </c>
      <c r="D201" t="s">
        <v>8</v>
      </c>
      <c r="E201" s="2" t="s">
        <v>108</v>
      </c>
      <c r="F201" t="s">
        <v>72</v>
      </c>
      <c r="G201" t="str">
        <f t="shared" si="9"/>
        <v>29029PINK FLOYD</v>
      </c>
      <c r="H201">
        <v>3412</v>
      </c>
      <c r="I201" s="9">
        <f>VLOOKUP(G201,[1]Estimado_modelo!$G$2:$I$421,3,FALSE)</f>
        <v>4350</v>
      </c>
      <c r="J201" s="5">
        <f t="shared" si="10"/>
        <v>0.21563218390804598</v>
      </c>
      <c r="K201">
        <f>VLOOKUP(G201,[5]Estimado_modelo!$G$2:$H$424,2,FALSE)</f>
        <v>4005</v>
      </c>
      <c r="L201">
        <f t="shared" si="11"/>
        <v>7.9310344827586213E-2</v>
      </c>
    </row>
    <row r="202" spans="1:12">
      <c r="A202">
        <v>2026</v>
      </c>
      <c r="B202">
        <v>27</v>
      </c>
      <c r="C202" t="s">
        <v>7</v>
      </c>
      <c r="D202" t="s">
        <v>8</v>
      </c>
      <c r="E202" s="2" t="s">
        <v>102</v>
      </c>
      <c r="F202" t="s">
        <v>43</v>
      </c>
      <c r="G202" t="str">
        <f t="shared" si="9"/>
        <v>27023COTOPAXI</v>
      </c>
      <c r="H202">
        <v>6967</v>
      </c>
      <c r="I202" s="9">
        <f>VLOOKUP(G202,[3]Hoja1!$G$8515:$H$8621,2,FALSE)</f>
        <v>6570</v>
      </c>
      <c r="J202" s="5">
        <f t="shared" si="10"/>
        <v>-6.0426179604261797E-2</v>
      </c>
      <c r="K202">
        <f>VLOOKUP(G202,[5]Estimado_modelo!$G$2:$H$424,2,FALSE)</f>
        <v>6132</v>
      </c>
      <c r="L202">
        <f t="shared" si="11"/>
        <v>6.6666666666666666E-2</v>
      </c>
    </row>
    <row r="203" spans="1:12">
      <c r="A203">
        <v>2026</v>
      </c>
      <c r="B203">
        <v>28</v>
      </c>
      <c r="C203" t="s">
        <v>10</v>
      </c>
      <c r="D203" t="s">
        <v>8</v>
      </c>
      <c r="E203" s="2" t="s">
        <v>89</v>
      </c>
      <c r="F203" t="s">
        <v>29</v>
      </c>
      <c r="G203" t="str">
        <f t="shared" si="9"/>
        <v>28022MIRABEL</v>
      </c>
      <c r="H203">
        <v>1553</v>
      </c>
      <c r="I203" s="9">
        <f>VLOOKUP(G203,[2]Astroflores!$G$2:$H$110,2,FALSE)</f>
        <v>2100</v>
      </c>
      <c r="J203" s="5">
        <f t="shared" si="10"/>
        <v>0.26047619047619047</v>
      </c>
      <c r="K203">
        <f>VLOOKUP(G203,[5]Estimado_modelo!$G$2:$H$424,2,FALSE)</f>
        <v>1955</v>
      </c>
      <c r="L203">
        <f t="shared" si="11"/>
        <v>6.9047619047619052E-2</v>
      </c>
    </row>
    <row r="204" spans="1:12">
      <c r="A204">
        <v>2026</v>
      </c>
      <c r="B204">
        <v>26</v>
      </c>
      <c r="C204" t="s">
        <v>10</v>
      </c>
      <c r="D204" t="s">
        <v>8</v>
      </c>
      <c r="E204" s="2" t="s">
        <v>91</v>
      </c>
      <c r="F204" t="s">
        <v>30</v>
      </c>
      <c r="G204" t="str">
        <f t="shared" si="9"/>
        <v>2603182989</v>
      </c>
      <c r="H204">
        <v>2827</v>
      </c>
      <c r="I204" s="9">
        <f>VLOOKUP(G204,[4]Astroflores!$G$2:$H$109,2,FALSE)</f>
        <v>3280</v>
      </c>
      <c r="J204" s="5">
        <f t="shared" si="10"/>
        <v>0.13810975609756099</v>
      </c>
      <c r="K204">
        <f>VLOOKUP(G204,[5]Estimado_modelo!$G$2:$H$424,2,FALSE)</f>
        <v>3081</v>
      </c>
      <c r="L204">
        <f t="shared" si="11"/>
        <v>6.0670731707317072E-2</v>
      </c>
    </row>
    <row r="205" spans="1:12">
      <c r="A205">
        <v>2026</v>
      </c>
      <c r="B205">
        <v>28</v>
      </c>
      <c r="C205" t="s">
        <v>7</v>
      </c>
      <c r="D205" t="s">
        <v>8</v>
      </c>
      <c r="E205" s="2" t="s">
        <v>94</v>
      </c>
      <c r="F205" t="s">
        <v>34</v>
      </c>
      <c r="G205" t="str">
        <f t="shared" si="9"/>
        <v>28001EXPLORER</v>
      </c>
      <c r="H205">
        <v>4161</v>
      </c>
      <c r="I205" s="9">
        <f>VLOOKUP(G205,[2]Astroflores!$G$2:$H$110,2,FALSE)</f>
        <v>4625</v>
      </c>
      <c r="J205" s="5">
        <f t="shared" si="10"/>
        <v>0.10032432432432432</v>
      </c>
      <c r="K205">
        <f>VLOOKUP(G205,[5]Estimado_modelo!$G$2:$H$424,2,FALSE)</f>
        <v>4337</v>
      </c>
      <c r="L205">
        <f t="shared" si="11"/>
        <v>6.2270270270270267E-2</v>
      </c>
    </row>
    <row r="206" spans="1:12">
      <c r="A206">
        <v>2026</v>
      </c>
      <c r="B206">
        <v>27</v>
      </c>
      <c r="C206" t="s">
        <v>10</v>
      </c>
      <c r="D206" t="s">
        <v>8</v>
      </c>
      <c r="E206" s="2" t="s">
        <v>87</v>
      </c>
      <c r="F206" t="s">
        <v>24</v>
      </c>
      <c r="G206" t="str">
        <f t="shared" si="9"/>
        <v>27020SUMMER DANCE</v>
      </c>
      <c r="H206">
        <v>3053</v>
      </c>
      <c r="I206" s="9">
        <f>VLOOKUP(G206,[3]Hoja1!$G$8515:$H$8621,2,FALSE)</f>
        <v>3375</v>
      </c>
      <c r="J206" s="5">
        <f t="shared" si="10"/>
        <v>9.5407407407407413E-2</v>
      </c>
      <c r="K206">
        <f>VLOOKUP(G206,[5]Estimado_modelo!$G$2:$H$424,2,FALSE)</f>
        <v>3229</v>
      </c>
      <c r="L206">
        <f t="shared" si="11"/>
        <v>4.3259259259259261E-2</v>
      </c>
    </row>
    <row r="207" spans="1:12">
      <c r="A207">
        <v>2026</v>
      </c>
      <c r="B207">
        <v>29</v>
      </c>
      <c r="C207" t="s">
        <v>10</v>
      </c>
      <c r="D207" t="s">
        <v>8</v>
      </c>
      <c r="E207" s="2" t="s">
        <v>78</v>
      </c>
      <c r="F207" t="s">
        <v>13</v>
      </c>
      <c r="G207" t="str">
        <f t="shared" si="9"/>
        <v>29005ELBA</v>
      </c>
      <c r="H207">
        <v>4820</v>
      </c>
      <c r="I207" s="9">
        <f>VLOOKUP(G207,[1]Estimado_modelo!$G$2:$I$421,3,FALSE)</f>
        <v>5700</v>
      </c>
      <c r="J207" s="5">
        <f t="shared" si="10"/>
        <v>0.15438596491228071</v>
      </c>
      <c r="K207">
        <f>VLOOKUP(G207,[5]Estimado_modelo!$G$2:$H$424,2,FALSE)</f>
        <v>5494</v>
      </c>
      <c r="L207">
        <f t="shared" si="11"/>
        <v>3.614035087719298E-2</v>
      </c>
    </row>
    <row r="208" spans="1:12">
      <c r="A208">
        <v>2026</v>
      </c>
      <c r="B208">
        <v>26</v>
      </c>
      <c r="C208" t="s">
        <v>10</v>
      </c>
      <c r="D208" t="s">
        <v>8</v>
      </c>
      <c r="E208" s="2" t="s">
        <v>93</v>
      </c>
      <c r="F208" t="s">
        <v>32</v>
      </c>
      <c r="G208" t="str">
        <f t="shared" si="9"/>
        <v>26033CREAMY FOLIES</v>
      </c>
      <c r="H208">
        <v>1447</v>
      </c>
      <c r="I208" s="9">
        <f>VLOOKUP(G208,[4]Astroflores!$G$2:$H$109,2,FALSE)</f>
        <v>1530</v>
      </c>
      <c r="J208" s="5">
        <f t="shared" si="10"/>
        <v>5.4248366013071897E-2</v>
      </c>
      <c r="K208">
        <f>VLOOKUP(G208,[5]Estimado_modelo!$G$2:$H$424,2,FALSE)</f>
        <v>1443</v>
      </c>
      <c r="L208">
        <f t="shared" si="11"/>
        <v>5.6862745098039215E-2</v>
      </c>
    </row>
    <row r="209" spans="1:12">
      <c r="A209">
        <v>2026</v>
      </c>
      <c r="B209">
        <v>29</v>
      </c>
      <c r="C209" t="s">
        <v>10</v>
      </c>
      <c r="D209" t="s">
        <v>8</v>
      </c>
      <c r="E209" s="2" t="s">
        <v>87</v>
      </c>
      <c r="F209" t="s">
        <v>24</v>
      </c>
      <c r="G209" t="str">
        <f t="shared" si="9"/>
        <v>29020SUMMER DANCE</v>
      </c>
      <c r="H209">
        <v>3451</v>
      </c>
      <c r="I209" s="9">
        <f>VLOOKUP(G209,[1]Estimado_modelo!$G$2:$I$421,3,FALSE)</f>
        <v>3675</v>
      </c>
      <c r="J209" s="5">
        <f t="shared" si="10"/>
        <v>6.0952380952380952E-2</v>
      </c>
      <c r="K209">
        <f>VLOOKUP(G209,[5]Estimado_modelo!$G$2:$H$424,2,FALSE)</f>
        <v>3561</v>
      </c>
      <c r="L209">
        <f t="shared" si="11"/>
        <v>3.1020408163265307E-2</v>
      </c>
    </row>
    <row r="210" spans="1:12">
      <c r="A210">
        <v>2026</v>
      </c>
      <c r="B210">
        <v>29</v>
      </c>
      <c r="C210" t="s">
        <v>7</v>
      </c>
      <c r="D210" t="s">
        <v>8</v>
      </c>
      <c r="E210" s="2" t="s">
        <v>85</v>
      </c>
      <c r="F210" t="s">
        <v>54</v>
      </c>
      <c r="G210" t="str">
        <f t="shared" si="9"/>
        <v>29018BRIGHTON</v>
      </c>
      <c r="H210">
        <v>2422</v>
      </c>
      <c r="I210" s="9">
        <f>VLOOKUP(G210,[1]Estimado_modelo!$G$2:$I$421,3,FALSE)</f>
        <v>2475</v>
      </c>
      <c r="J210" s="5">
        <f t="shared" si="10"/>
        <v>2.1414141414141413E-2</v>
      </c>
      <c r="K210">
        <f>VLOOKUP(G210,[5]Estimado_modelo!$G$2:$H$424,2,FALSE)</f>
        <v>2314</v>
      </c>
      <c r="L210">
        <f t="shared" si="11"/>
        <v>6.5050505050505053E-2</v>
      </c>
    </row>
    <row r="211" spans="1:12">
      <c r="A211">
        <v>2026</v>
      </c>
      <c r="B211">
        <v>27</v>
      </c>
      <c r="C211" t="s">
        <v>7</v>
      </c>
      <c r="D211" t="s">
        <v>8</v>
      </c>
      <c r="E211" s="2" t="s">
        <v>77</v>
      </c>
      <c r="F211" t="s">
        <v>45</v>
      </c>
      <c r="G211" t="str">
        <f t="shared" si="9"/>
        <v>27004HOT MERENGUE</v>
      </c>
      <c r="H211">
        <v>2846</v>
      </c>
      <c r="I211" s="9">
        <f>VLOOKUP(G211,[3]Hoja1!$G$8515:$H$8621,2,FALSE)</f>
        <v>3210</v>
      </c>
      <c r="J211" s="5">
        <f t="shared" si="10"/>
        <v>0.11339563862928349</v>
      </c>
      <c r="K211">
        <f>VLOOKUP(G211,[5]Estimado_modelo!$G$2:$H$424,2,FALSE)</f>
        <v>3044</v>
      </c>
      <c r="L211">
        <f t="shared" si="11"/>
        <v>5.1713395638629284E-2</v>
      </c>
    </row>
    <row r="212" spans="1:12">
      <c r="A212">
        <v>2026</v>
      </c>
      <c r="B212">
        <v>29</v>
      </c>
      <c r="C212" t="s">
        <v>7</v>
      </c>
      <c r="D212" t="s">
        <v>8</v>
      </c>
      <c r="E212" s="2" t="s">
        <v>87</v>
      </c>
      <c r="F212" t="s">
        <v>63</v>
      </c>
      <c r="G212" t="str">
        <f t="shared" si="9"/>
        <v>29020TYCOON</v>
      </c>
      <c r="H212">
        <v>1064</v>
      </c>
      <c r="I212" s="9">
        <f>VLOOKUP(G212,[1]Estimado_modelo!$G$2:$I$421,3,FALSE)</f>
        <v>1350</v>
      </c>
      <c r="J212" s="5">
        <f t="shared" si="10"/>
        <v>0.21185185185185185</v>
      </c>
      <c r="K212">
        <f>VLOOKUP(G212,[5]Estimado_modelo!$G$2:$H$424,2,FALSE)</f>
        <v>1267</v>
      </c>
      <c r="L212">
        <f t="shared" si="11"/>
        <v>6.1481481481481484E-2</v>
      </c>
    </row>
    <row r="213" spans="1:12">
      <c r="A213">
        <v>2026</v>
      </c>
      <c r="B213">
        <v>28</v>
      </c>
      <c r="C213" t="s">
        <v>7</v>
      </c>
      <c r="D213" t="s">
        <v>8</v>
      </c>
      <c r="E213" s="2" t="s">
        <v>77</v>
      </c>
      <c r="F213" t="s">
        <v>38</v>
      </c>
      <c r="G213" t="str">
        <f t="shared" si="9"/>
        <v>28004SWEETNESS</v>
      </c>
      <c r="H213">
        <v>564</v>
      </c>
      <c r="I213" s="9">
        <f>VLOOKUP(G213,[2]Astroflores!$G$2:$H$110,2,FALSE)</f>
        <v>660</v>
      </c>
      <c r="J213" s="5">
        <f t="shared" si="10"/>
        <v>0.14545454545454545</v>
      </c>
      <c r="K213">
        <f>VLOOKUP(G213,[5]Estimado_modelo!$G$2:$H$424,2,FALSE)</f>
        <v>644</v>
      </c>
      <c r="L213">
        <f t="shared" si="11"/>
        <v>2.4242424242424242E-2</v>
      </c>
    </row>
    <row r="214" spans="1:12">
      <c r="A214">
        <v>2026</v>
      </c>
      <c r="B214">
        <v>27</v>
      </c>
      <c r="C214" t="s">
        <v>7</v>
      </c>
      <c r="D214" t="s">
        <v>8</v>
      </c>
      <c r="E214" s="2" t="s">
        <v>101</v>
      </c>
      <c r="F214" t="s">
        <v>9</v>
      </c>
      <c r="G214" t="str">
        <f t="shared" si="9"/>
        <v>27013LUMIA</v>
      </c>
      <c r="H214">
        <v>537</v>
      </c>
      <c r="I214" s="9">
        <f>VLOOKUP(G214,[3]Hoja1!$G$8515:$H$8621,2,FALSE)</f>
        <v>900</v>
      </c>
      <c r="J214" s="5">
        <f t="shared" si="10"/>
        <v>0.40333333333333332</v>
      </c>
      <c r="K214">
        <f>VLOOKUP(G214,[5]Estimado_modelo!$G$2:$H$424,2,FALSE)</f>
        <v>885</v>
      </c>
      <c r="L214">
        <f t="shared" si="11"/>
        <v>1.6666666666666666E-2</v>
      </c>
    </row>
    <row r="215" spans="1:12">
      <c r="A215">
        <v>2026</v>
      </c>
      <c r="B215">
        <v>29</v>
      </c>
      <c r="C215" t="s">
        <v>7</v>
      </c>
      <c r="D215" t="s">
        <v>8</v>
      </c>
      <c r="E215" s="2" t="s">
        <v>83</v>
      </c>
      <c r="F215" t="s">
        <v>60</v>
      </c>
      <c r="G215" t="str">
        <f t="shared" si="9"/>
        <v>29016DREAM IN PEACH</v>
      </c>
      <c r="H215">
        <v>1492</v>
      </c>
      <c r="I215" s="9">
        <f>VLOOKUP(G215,[1]Estimado_modelo!$G$2:$I$421,3,FALSE)</f>
        <v>1800</v>
      </c>
      <c r="J215" s="5">
        <f t="shared" si="10"/>
        <v>0.1711111111111111</v>
      </c>
      <c r="K215">
        <f>VLOOKUP(G215,[5]Estimado_modelo!$G$2:$H$424,2,FALSE)</f>
        <v>1739</v>
      </c>
      <c r="L215">
        <f t="shared" si="11"/>
        <v>3.3888888888888892E-2</v>
      </c>
    </row>
    <row r="216" spans="1:12">
      <c r="A216">
        <v>2026</v>
      </c>
      <c r="B216">
        <v>26</v>
      </c>
      <c r="C216" t="s">
        <v>7</v>
      </c>
      <c r="D216" t="s">
        <v>8</v>
      </c>
      <c r="E216" s="2" t="s">
        <v>105</v>
      </c>
      <c r="F216" t="s">
        <v>68</v>
      </c>
      <c r="G216" t="str">
        <f t="shared" si="9"/>
        <v>26026LOLA</v>
      </c>
      <c r="H216">
        <v>5119</v>
      </c>
      <c r="I216" s="9">
        <f>VLOOKUP(G216,[4]Astroflores!$G$2:$H$109,2,FALSE)</f>
        <v>5925</v>
      </c>
      <c r="J216" s="5">
        <f t="shared" si="10"/>
        <v>0.13603375527426159</v>
      </c>
      <c r="K216">
        <f>VLOOKUP(G216,[5]Estimado_modelo!$G$2:$H$424,2,FALSE)</f>
        <v>5767</v>
      </c>
      <c r="L216">
        <f t="shared" si="11"/>
        <v>2.6666666666666668E-2</v>
      </c>
    </row>
    <row r="217" spans="1:12">
      <c r="A217">
        <v>2026</v>
      </c>
      <c r="B217">
        <v>29</v>
      </c>
      <c r="C217" t="s">
        <v>7</v>
      </c>
      <c r="D217" t="s">
        <v>8</v>
      </c>
      <c r="E217" s="2" t="s">
        <v>102</v>
      </c>
      <c r="F217" t="s">
        <v>43</v>
      </c>
      <c r="G217" t="str">
        <f t="shared" si="9"/>
        <v>29023COTOPAXI</v>
      </c>
      <c r="H217">
        <v>6238</v>
      </c>
      <c r="I217" s="9">
        <f>VLOOKUP(G217,[1]Estimado_modelo!$G$2:$I$421,3,FALSE)</f>
        <v>6330</v>
      </c>
      <c r="J217" s="5">
        <f t="shared" si="10"/>
        <v>1.4533965244865719E-2</v>
      </c>
      <c r="K217">
        <f>VLOOKUP(G217,[5]Estimado_modelo!$G$2:$H$424,2,FALSE)</f>
        <v>6240</v>
      </c>
      <c r="L217">
        <f t="shared" si="11"/>
        <v>1.4218009478672985E-2</v>
      </c>
    </row>
    <row r="218" spans="1:12">
      <c r="A218">
        <v>2026</v>
      </c>
      <c r="B218">
        <v>28</v>
      </c>
      <c r="C218" t="s">
        <v>7</v>
      </c>
      <c r="D218" t="s">
        <v>8</v>
      </c>
      <c r="E218" s="2" t="s">
        <v>107</v>
      </c>
      <c r="F218" t="s">
        <v>40</v>
      </c>
      <c r="G218" t="str">
        <f t="shared" si="9"/>
        <v>28028DEEP PURPLE</v>
      </c>
      <c r="H218">
        <v>7288</v>
      </c>
      <c r="I218" s="9">
        <f>VLOOKUP(G218,[2]Astroflores!$G$2:$H$110,2,FALSE)</f>
        <v>7650</v>
      </c>
      <c r="J218" s="5">
        <f t="shared" si="10"/>
        <v>4.7320261437908497E-2</v>
      </c>
      <c r="K218">
        <f>VLOOKUP(G218,[5]Estimado_modelo!$G$2:$H$424,2,FALSE)</f>
        <v>7501</v>
      </c>
      <c r="L218">
        <f t="shared" si="11"/>
        <v>1.9477124183006535E-2</v>
      </c>
    </row>
    <row r="219" spans="1:12">
      <c r="A219">
        <v>2026</v>
      </c>
      <c r="B219">
        <v>28</v>
      </c>
      <c r="C219" t="s">
        <v>7</v>
      </c>
      <c r="D219" t="s">
        <v>8</v>
      </c>
      <c r="E219" s="2" t="s">
        <v>108</v>
      </c>
      <c r="F219" t="s">
        <v>72</v>
      </c>
      <c r="G219" t="str">
        <f t="shared" si="9"/>
        <v>28029PINK FLOYD</v>
      </c>
      <c r="H219">
        <v>3635</v>
      </c>
      <c r="I219" s="9">
        <f>VLOOKUP(G219,[2]Astroflores!$G$2:$H$110,2,FALSE)</f>
        <v>4125</v>
      </c>
      <c r="J219" s="5">
        <f t="shared" si="10"/>
        <v>0.11878787878787879</v>
      </c>
      <c r="K219">
        <f>VLOOKUP(G219,[5]Estimado_modelo!$G$2:$H$424,2,FALSE)</f>
        <v>4051</v>
      </c>
      <c r="L219">
        <f t="shared" si="11"/>
        <v>1.7939393939393939E-2</v>
      </c>
    </row>
    <row r="220" spans="1:12">
      <c r="A220">
        <v>2026</v>
      </c>
      <c r="B220">
        <v>26</v>
      </c>
      <c r="C220" t="s">
        <v>10</v>
      </c>
      <c r="D220" t="s">
        <v>8</v>
      </c>
      <c r="E220" s="2" t="s">
        <v>83</v>
      </c>
      <c r="F220" t="s">
        <v>20</v>
      </c>
      <c r="G220" t="str">
        <f t="shared" si="9"/>
        <v>26016GOOD YELLOW</v>
      </c>
      <c r="H220">
        <v>3851</v>
      </c>
      <c r="I220" s="9">
        <f>VLOOKUP(G220,[4]Astroflores!$G$2:$H$109,2,FALSE)</f>
        <v>4560</v>
      </c>
      <c r="J220" s="5">
        <f t="shared" si="10"/>
        <v>0.15548245614035089</v>
      </c>
      <c r="K220">
        <f>VLOOKUP(G220,[5]Estimado_modelo!$G$2:$H$424,2,FALSE)</f>
        <v>4451</v>
      </c>
      <c r="L220">
        <f t="shared" si="11"/>
        <v>2.3903508771929826E-2</v>
      </c>
    </row>
    <row r="221" spans="1:12">
      <c r="A221">
        <v>2026</v>
      </c>
      <c r="B221">
        <v>26</v>
      </c>
      <c r="C221" t="s">
        <v>7</v>
      </c>
      <c r="D221" t="s">
        <v>8</v>
      </c>
      <c r="E221" s="2" t="s">
        <v>77</v>
      </c>
      <c r="F221" t="s">
        <v>45</v>
      </c>
      <c r="G221" t="str">
        <f t="shared" si="9"/>
        <v>26004HOT MERENGUE</v>
      </c>
      <c r="H221">
        <v>3056</v>
      </c>
      <c r="I221" s="9">
        <f>VLOOKUP(G221,[4]Astroflores!$G$2:$H$109,2,FALSE)</f>
        <v>3480</v>
      </c>
      <c r="J221" s="5">
        <f t="shared" si="10"/>
        <v>0.12183908045977011</v>
      </c>
      <c r="K221">
        <f>VLOOKUP(G221,[5]Estimado_modelo!$G$2:$H$424,2,FALSE)</f>
        <v>3414</v>
      </c>
      <c r="L221">
        <f t="shared" si="11"/>
        <v>1.896551724137931E-2</v>
      </c>
    </row>
    <row r="222" spans="1:12">
      <c r="A222">
        <v>2026</v>
      </c>
      <c r="B222">
        <v>28</v>
      </c>
      <c r="C222" t="s">
        <v>7</v>
      </c>
      <c r="D222" t="s">
        <v>8</v>
      </c>
      <c r="E222" s="2" t="s">
        <v>83</v>
      </c>
      <c r="F222" t="s">
        <v>60</v>
      </c>
      <c r="G222" t="str">
        <f t="shared" si="9"/>
        <v>28016DREAM IN PEACH</v>
      </c>
      <c r="H222">
        <v>1736</v>
      </c>
      <c r="I222" s="9">
        <f>VLOOKUP(G222,[2]Astroflores!$G$2:$H$110,2,FALSE)</f>
        <v>1950</v>
      </c>
      <c r="J222" s="5">
        <f t="shared" si="10"/>
        <v>0.10974358974358975</v>
      </c>
      <c r="K222">
        <f>VLOOKUP(G222,[5]Estimado_modelo!$G$2:$H$424,2,FALSE)</f>
        <v>1892</v>
      </c>
      <c r="L222">
        <f t="shared" si="11"/>
        <v>2.9743589743589743E-2</v>
      </c>
    </row>
    <row r="223" spans="1:12">
      <c r="A223">
        <v>2026</v>
      </c>
      <c r="B223">
        <v>28</v>
      </c>
      <c r="C223" t="s">
        <v>7</v>
      </c>
      <c r="D223" t="s">
        <v>8</v>
      </c>
      <c r="E223" s="2" t="s">
        <v>89</v>
      </c>
      <c r="F223" t="s">
        <v>65</v>
      </c>
      <c r="G223" t="str">
        <f t="shared" si="9"/>
        <v>28022CORAL REEF</v>
      </c>
      <c r="H223">
        <v>2294</v>
      </c>
      <c r="I223" s="9">
        <f>VLOOKUP(G223,[2]Astroflores!$G$2:$H$110,2,FALSE)</f>
        <v>2425</v>
      </c>
      <c r="J223" s="5">
        <f t="shared" si="10"/>
        <v>5.4020618556701032E-2</v>
      </c>
      <c r="K223">
        <f>VLOOKUP(G223,[5]Estimado_modelo!$G$2:$H$424,2,FALSE)</f>
        <v>2406</v>
      </c>
      <c r="L223">
        <f t="shared" si="11"/>
        <v>7.8350515463917522E-3</v>
      </c>
    </row>
    <row r="224" spans="1:12">
      <c r="A224">
        <v>2026</v>
      </c>
      <c r="B224">
        <v>26</v>
      </c>
      <c r="C224" t="s">
        <v>7</v>
      </c>
      <c r="D224" t="s">
        <v>8</v>
      </c>
      <c r="E224" s="2" t="s">
        <v>79</v>
      </c>
      <c r="F224" t="s">
        <v>50</v>
      </c>
      <c r="G224" t="str">
        <f t="shared" si="9"/>
        <v>26007REDIANT</v>
      </c>
      <c r="H224">
        <v>1637</v>
      </c>
      <c r="I224" s="9">
        <f>VLOOKUP(G224,[4]Astroflores!$G$2:$H$109,2,FALSE)</f>
        <v>1860</v>
      </c>
      <c r="J224" s="5">
        <f t="shared" si="10"/>
        <v>0.11989247311827957</v>
      </c>
      <c r="K224">
        <f>VLOOKUP(G224,[5]Estimado_modelo!$G$2:$H$424,2,FALSE)</f>
        <v>1760</v>
      </c>
      <c r="L224">
        <f t="shared" si="11"/>
        <v>5.3763440860215055E-2</v>
      </c>
    </row>
    <row r="225" spans="1:12">
      <c r="A225">
        <v>2026</v>
      </c>
      <c r="B225">
        <v>26</v>
      </c>
      <c r="C225" t="s">
        <v>10</v>
      </c>
      <c r="D225" t="s">
        <v>8</v>
      </c>
      <c r="E225" s="2" t="s">
        <v>82</v>
      </c>
      <c r="F225" t="s">
        <v>18</v>
      </c>
      <c r="G225" t="str">
        <f t="shared" si="9"/>
        <v>26015FELLINI</v>
      </c>
      <c r="H225">
        <v>6989</v>
      </c>
      <c r="I225" s="9">
        <f>VLOOKUP(G225,[4]Astroflores!$G$2:$H$109,2,FALSE)</f>
        <v>7175</v>
      </c>
      <c r="J225" s="5">
        <f t="shared" si="10"/>
        <v>2.5923344947735193E-2</v>
      </c>
      <c r="K225">
        <f>VLOOKUP(G225,[5]Estimado_modelo!$G$2:$H$424,2,FALSE)</f>
        <v>7166</v>
      </c>
      <c r="L225">
        <f t="shared" si="11"/>
        <v>1.2543554006968641E-3</v>
      </c>
    </row>
    <row r="226" spans="1:12">
      <c r="A226">
        <v>2026</v>
      </c>
      <c r="B226">
        <v>27</v>
      </c>
      <c r="C226" t="s">
        <v>7</v>
      </c>
      <c r="D226" t="s">
        <v>8</v>
      </c>
      <c r="E226" s="2" t="s">
        <v>88</v>
      </c>
      <c r="F226" t="s">
        <v>64</v>
      </c>
      <c r="G226" t="str">
        <f t="shared" si="9"/>
        <v>27021SHOW GIRL</v>
      </c>
      <c r="H226">
        <v>1708</v>
      </c>
      <c r="I226" s="9">
        <f>VLOOKUP(G226,[3]Hoja1!$G$8515:$H$8621,2,FALSE)</f>
        <v>1475</v>
      </c>
      <c r="J226" s="5">
        <f t="shared" si="10"/>
        <v>-0.15796610169491526</v>
      </c>
      <c r="K226">
        <f>VLOOKUP(G226,[5]Estimado_modelo!$G$2:$H$424,2,FALSE)</f>
        <v>1522</v>
      </c>
      <c r="L226">
        <f t="shared" si="11"/>
        <v>-3.1864406779661014E-2</v>
      </c>
    </row>
    <row r="227" spans="1:12">
      <c r="A227">
        <v>2026</v>
      </c>
      <c r="B227">
        <v>29</v>
      </c>
      <c r="C227" t="s">
        <v>10</v>
      </c>
      <c r="D227" t="s">
        <v>8</v>
      </c>
      <c r="E227" s="2" t="s">
        <v>92</v>
      </c>
      <c r="F227" t="s">
        <v>29</v>
      </c>
      <c r="G227" t="str">
        <f t="shared" si="9"/>
        <v>29032MIRABEL</v>
      </c>
      <c r="H227">
        <v>1530</v>
      </c>
      <c r="I227" s="9">
        <f>VLOOKUP(G227,[1]Estimado_modelo!$G$2:$I$421,3,FALSE)</f>
        <v>1880</v>
      </c>
      <c r="J227" s="5">
        <f t="shared" si="10"/>
        <v>0.18617021276595744</v>
      </c>
      <c r="K227">
        <f>VLOOKUP(G227,[5]Estimado_modelo!$G$2:$H$424,2,FALSE)</f>
        <v>1913</v>
      </c>
      <c r="L227">
        <f t="shared" si="11"/>
        <v>-1.7553191489361703E-2</v>
      </c>
    </row>
    <row r="228" spans="1:12">
      <c r="A228">
        <v>2026</v>
      </c>
      <c r="B228">
        <v>26</v>
      </c>
      <c r="C228" t="s">
        <v>7</v>
      </c>
      <c r="D228" t="s">
        <v>8</v>
      </c>
      <c r="E228" s="2" t="s">
        <v>98</v>
      </c>
      <c r="F228" t="s">
        <v>53</v>
      </c>
      <c r="G228" t="str">
        <f t="shared" si="9"/>
        <v>26010VIOLET HILL</v>
      </c>
      <c r="H228">
        <v>5529</v>
      </c>
      <c r="I228" s="9">
        <f>VLOOKUP(G228,[4]Astroflores!$G$2:$H$109,2,FALSE)</f>
        <v>5910</v>
      </c>
      <c r="J228" s="5">
        <f t="shared" si="10"/>
        <v>6.4467005076142128E-2</v>
      </c>
      <c r="K228">
        <f>VLOOKUP(G228,[5]Estimado_modelo!$G$2:$H$424,2,FALSE)</f>
        <v>5940</v>
      </c>
      <c r="L228">
        <f t="shared" si="11"/>
        <v>-5.076142131979695E-3</v>
      </c>
    </row>
    <row r="229" spans="1:12">
      <c r="A229">
        <v>2026</v>
      </c>
      <c r="B229">
        <v>26</v>
      </c>
      <c r="C229" t="s">
        <v>7</v>
      </c>
      <c r="D229" t="s">
        <v>8</v>
      </c>
      <c r="E229" s="2" t="s">
        <v>82</v>
      </c>
      <c r="F229" t="s">
        <v>41</v>
      </c>
      <c r="G229" t="str">
        <f t="shared" si="9"/>
        <v>26015JOCKER</v>
      </c>
      <c r="H229">
        <v>4868</v>
      </c>
      <c r="I229" s="9">
        <f>VLOOKUP(G229,[4]Astroflores!$G$2:$H$109,2,FALSE)</f>
        <v>5125</v>
      </c>
      <c r="J229" s="5">
        <f t="shared" si="10"/>
        <v>5.0146341463414637E-2</v>
      </c>
      <c r="K229">
        <f>VLOOKUP(G229,[5]Estimado_modelo!$G$2:$H$424,2,FALSE)</f>
        <v>5145</v>
      </c>
      <c r="L229">
        <f t="shared" si="11"/>
        <v>-3.9024390243902439E-3</v>
      </c>
    </row>
    <row r="230" spans="1:12">
      <c r="A230">
        <v>2026</v>
      </c>
      <c r="B230">
        <v>27</v>
      </c>
      <c r="C230" t="s">
        <v>7</v>
      </c>
      <c r="D230" t="s">
        <v>8</v>
      </c>
      <c r="E230" s="2" t="s">
        <v>87</v>
      </c>
      <c r="F230" t="s">
        <v>63</v>
      </c>
      <c r="G230" t="str">
        <f t="shared" si="9"/>
        <v>27020TYCOON</v>
      </c>
      <c r="H230">
        <v>961</v>
      </c>
      <c r="I230" s="9">
        <f>VLOOKUP(G230,[3]Hoja1!$G$8515:$H$8621,2,FALSE)</f>
        <v>1380</v>
      </c>
      <c r="J230" s="5">
        <f t="shared" si="10"/>
        <v>0.30362318840579711</v>
      </c>
      <c r="K230">
        <f>VLOOKUP(G230,[5]Estimado_modelo!$G$2:$H$424,2,FALSE)</f>
        <v>1413</v>
      </c>
      <c r="L230">
        <f t="shared" si="11"/>
        <v>-2.391304347826087E-2</v>
      </c>
    </row>
    <row r="231" spans="1:12">
      <c r="A231">
        <v>2026</v>
      </c>
      <c r="B231">
        <v>26</v>
      </c>
      <c r="C231" t="s">
        <v>7</v>
      </c>
      <c r="D231" t="s">
        <v>8</v>
      </c>
      <c r="E231" s="2" t="s">
        <v>102</v>
      </c>
      <c r="F231" t="s">
        <v>66</v>
      </c>
      <c r="G231" t="str">
        <f t="shared" si="9"/>
        <v>26023FRUTTETO</v>
      </c>
      <c r="H231">
        <v>8062</v>
      </c>
      <c r="I231" s="9">
        <f>VLOOKUP(G231,[4]Astroflores!$G$2:$H$109,2,FALSE)</f>
        <v>8010</v>
      </c>
      <c r="J231" s="5">
        <f t="shared" si="10"/>
        <v>-6.4918851435705367E-3</v>
      </c>
      <c r="K231">
        <f>VLOOKUP(G231,[5]Estimado_modelo!$G$2:$H$424,2,FALSE)</f>
        <v>8193</v>
      </c>
      <c r="L231">
        <f t="shared" si="11"/>
        <v>-2.2846441947565542E-2</v>
      </c>
    </row>
    <row r="232" spans="1:12">
      <c r="A232">
        <v>2026</v>
      </c>
      <c r="B232">
        <v>26</v>
      </c>
      <c r="C232" t="s">
        <v>10</v>
      </c>
      <c r="D232" t="s">
        <v>8</v>
      </c>
      <c r="E232" s="2" t="s">
        <v>87</v>
      </c>
      <c r="F232" t="s">
        <v>24</v>
      </c>
      <c r="G232" t="str">
        <f t="shared" si="9"/>
        <v>26020SUMMER DANCE</v>
      </c>
      <c r="H232">
        <v>3271</v>
      </c>
      <c r="I232" s="9">
        <f>VLOOKUP(G232,[4]Astroflores!$G$2:$H$109,2,FALSE)</f>
        <v>3625</v>
      </c>
      <c r="J232" s="5">
        <f t="shared" si="10"/>
        <v>9.7655172413793109E-2</v>
      </c>
      <c r="K232">
        <f>VLOOKUP(G232,[5]Estimado_modelo!$G$2:$H$424,2,FALSE)</f>
        <v>3664</v>
      </c>
      <c r="L232">
        <f t="shared" si="11"/>
        <v>-1.0758620689655173E-2</v>
      </c>
    </row>
    <row r="233" spans="1:12">
      <c r="A233">
        <v>2026</v>
      </c>
      <c r="B233">
        <v>29</v>
      </c>
      <c r="C233" t="s">
        <v>7</v>
      </c>
      <c r="D233" t="s">
        <v>8</v>
      </c>
      <c r="E233" s="2" t="s">
        <v>78</v>
      </c>
      <c r="F233" t="s">
        <v>47</v>
      </c>
      <c r="G233" t="str">
        <f t="shared" si="9"/>
        <v>29005VENDELA</v>
      </c>
      <c r="H233">
        <v>1568</v>
      </c>
      <c r="I233" s="9">
        <f>VLOOKUP(G233,[1]Estimado_modelo!$G$2:$I$421,3,FALSE)</f>
        <v>1710</v>
      </c>
      <c r="J233" s="5">
        <f t="shared" si="10"/>
        <v>8.3040935672514624E-2</v>
      </c>
      <c r="K233">
        <f>VLOOKUP(G233,[5]Estimado_modelo!$G$2:$H$424,2,FALSE)</f>
        <v>1774</v>
      </c>
      <c r="L233">
        <f t="shared" si="11"/>
        <v>-3.7426900584795322E-2</v>
      </c>
    </row>
    <row r="234" spans="1:12">
      <c r="A234">
        <v>2026</v>
      </c>
      <c r="B234">
        <v>26</v>
      </c>
      <c r="C234" t="s">
        <v>10</v>
      </c>
      <c r="D234" t="s">
        <v>8</v>
      </c>
      <c r="E234" s="2" t="s">
        <v>92</v>
      </c>
      <c r="F234" t="s">
        <v>13</v>
      </c>
      <c r="G234" t="str">
        <f t="shared" si="9"/>
        <v>26032ELBA</v>
      </c>
      <c r="H234">
        <v>3603</v>
      </c>
      <c r="I234" s="9">
        <f>VLOOKUP(G234,[4]Astroflores!$G$2:$H$109,2,FALSE)</f>
        <v>4350</v>
      </c>
      <c r="J234" s="5">
        <f t="shared" si="10"/>
        <v>0.17172413793103447</v>
      </c>
      <c r="K234">
        <f>VLOOKUP(G234,[5]Estimado_modelo!$G$2:$H$424,2,FALSE)</f>
        <v>4423</v>
      </c>
      <c r="L234">
        <f t="shared" si="11"/>
        <v>-1.6781609195402298E-2</v>
      </c>
    </row>
    <row r="235" spans="1:12">
      <c r="A235">
        <v>2026</v>
      </c>
      <c r="B235">
        <v>29</v>
      </c>
      <c r="C235" t="s">
        <v>10</v>
      </c>
      <c r="D235" t="s">
        <v>8</v>
      </c>
      <c r="E235" s="2" t="s">
        <v>84</v>
      </c>
      <c r="F235" t="s">
        <v>21</v>
      </c>
      <c r="G235" t="str">
        <f t="shared" si="9"/>
        <v>29017ORANGE STAR</v>
      </c>
      <c r="H235">
        <v>1615</v>
      </c>
      <c r="I235" s="9">
        <f>VLOOKUP(G235,[1]Estimado_modelo!$G$2:$I$421,3,FALSE)</f>
        <v>1800</v>
      </c>
      <c r="J235" s="5">
        <f t="shared" si="10"/>
        <v>0.10277777777777777</v>
      </c>
      <c r="K235">
        <f>VLOOKUP(G235,[5]Estimado_modelo!$G$2:$H$424,2,FALSE)</f>
        <v>1800</v>
      </c>
      <c r="L235">
        <f t="shared" si="11"/>
        <v>0</v>
      </c>
    </row>
    <row r="236" spans="1:12">
      <c r="A236">
        <v>2026</v>
      </c>
      <c r="B236">
        <v>26</v>
      </c>
      <c r="C236" t="s">
        <v>7</v>
      </c>
      <c r="D236" t="s">
        <v>8</v>
      </c>
      <c r="E236" s="2" t="s">
        <v>100</v>
      </c>
      <c r="F236" t="s">
        <v>40</v>
      </c>
      <c r="G236" t="str">
        <f t="shared" si="9"/>
        <v>26012DEEP PURPLE</v>
      </c>
      <c r="H236">
        <v>15398</v>
      </c>
      <c r="I236" s="9">
        <f>VLOOKUP(G236,[4]Astroflores!$G$2:$H$109,2,FALSE)</f>
        <v>16890</v>
      </c>
      <c r="J236" s="5">
        <f t="shared" si="10"/>
        <v>8.8336293664890472E-2</v>
      </c>
      <c r="K236">
        <f>VLOOKUP(G236,[5]Estimado_modelo!$G$2:$H$424,2,FALSE)</f>
        <v>17248</v>
      </c>
      <c r="L236">
        <f t="shared" si="11"/>
        <v>-2.1195973949082299E-2</v>
      </c>
    </row>
    <row r="237" spans="1:12">
      <c r="A237">
        <v>2026</v>
      </c>
      <c r="B237">
        <v>27</v>
      </c>
      <c r="C237" t="s">
        <v>10</v>
      </c>
      <c r="D237" t="s">
        <v>8</v>
      </c>
      <c r="E237" s="2" t="s">
        <v>89</v>
      </c>
      <c r="F237" t="s">
        <v>17</v>
      </c>
      <c r="G237" t="str">
        <f t="shared" si="9"/>
        <v>27022FRUITY BUBBLES</v>
      </c>
      <c r="H237">
        <v>5495</v>
      </c>
      <c r="I237" s="9">
        <f>VLOOKUP(G237,[3]Hoja1!$G$8515:$H$8621,2,FALSE)</f>
        <v>6175</v>
      </c>
      <c r="J237" s="5">
        <f t="shared" si="10"/>
        <v>0.11012145748987855</v>
      </c>
      <c r="K237">
        <f>VLOOKUP(G237,[5]Estimado_modelo!$G$2:$H$424,2,FALSE)</f>
        <v>6353</v>
      </c>
      <c r="L237">
        <f t="shared" si="11"/>
        <v>-2.8825910931174089E-2</v>
      </c>
    </row>
    <row r="238" spans="1:12">
      <c r="A238">
        <v>2026</v>
      </c>
      <c r="B238">
        <v>26</v>
      </c>
      <c r="C238" t="s">
        <v>7</v>
      </c>
      <c r="D238" t="s">
        <v>8</v>
      </c>
      <c r="E238" s="2" t="s">
        <v>97</v>
      </c>
      <c r="F238" t="s">
        <v>40</v>
      </c>
      <c r="G238" t="str">
        <f t="shared" si="9"/>
        <v>26008DEEP PURPLE</v>
      </c>
      <c r="H238">
        <v>5037</v>
      </c>
      <c r="I238" s="9">
        <f>VLOOKUP(G238,[4]Astroflores!$G$2:$H$109,2,FALSE)</f>
        <v>5310</v>
      </c>
      <c r="J238" s="5">
        <f t="shared" si="10"/>
        <v>5.141242937853107E-2</v>
      </c>
      <c r="K238">
        <f>VLOOKUP(G238,[5]Estimado_modelo!$G$2:$H$424,2,FALSE)</f>
        <v>5434</v>
      </c>
      <c r="L238">
        <f t="shared" si="11"/>
        <v>-2.3352165725047083E-2</v>
      </c>
    </row>
    <row r="239" spans="1:12">
      <c r="A239">
        <v>2026</v>
      </c>
      <c r="B239">
        <v>26</v>
      </c>
      <c r="C239" t="s">
        <v>10</v>
      </c>
      <c r="D239" t="s">
        <v>8</v>
      </c>
      <c r="E239" s="2" t="s">
        <v>83</v>
      </c>
      <c r="F239" t="s">
        <v>19</v>
      </c>
      <c r="G239" t="str">
        <f t="shared" si="9"/>
        <v>26016GOOD PEACH</v>
      </c>
      <c r="H239">
        <v>3139</v>
      </c>
      <c r="I239" s="9">
        <f>VLOOKUP(G239,[4]Astroflores!$G$2:$H$109,2,FALSE)</f>
        <v>3330</v>
      </c>
      <c r="J239" s="5">
        <f t="shared" si="10"/>
        <v>5.7357357357357357E-2</v>
      </c>
      <c r="K239">
        <f>VLOOKUP(G239,[5]Estimado_modelo!$G$2:$H$424,2,FALSE)</f>
        <v>3419</v>
      </c>
      <c r="L239">
        <f t="shared" si="11"/>
        <v>-2.6726726726726727E-2</v>
      </c>
    </row>
    <row r="240" spans="1:12">
      <c r="A240">
        <v>2026</v>
      </c>
      <c r="B240">
        <v>29</v>
      </c>
      <c r="C240" t="s">
        <v>10</v>
      </c>
      <c r="D240" t="s">
        <v>8</v>
      </c>
      <c r="E240" s="2" t="s">
        <v>89</v>
      </c>
      <c r="F240" t="s">
        <v>19</v>
      </c>
      <c r="G240" t="str">
        <f t="shared" si="9"/>
        <v>29022GOOD PEACH</v>
      </c>
      <c r="H240">
        <v>1694</v>
      </c>
      <c r="I240" s="9">
        <f>VLOOKUP(G240,[1]Estimado_modelo!$G$2:$I$421,3,FALSE)</f>
        <v>2070</v>
      </c>
      <c r="J240" s="5">
        <f t="shared" si="10"/>
        <v>0.18164251207729468</v>
      </c>
      <c r="K240">
        <f>VLOOKUP(G240,[5]Estimado_modelo!$G$2:$H$424,2,FALSE)</f>
        <v>2155</v>
      </c>
      <c r="L240">
        <f t="shared" si="11"/>
        <v>-4.1062801932367152E-2</v>
      </c>
    </row>
    <row r="241" spans="1:12">
      <c r="A241">
        <v>2026</v>
      </c>
      <c r="B241">
        <v>26</v>
      </c>
      <c r="C241" t="s">
        <v>7</v>
      </c>
      <c r="D241" t="s">
        <v>8</v>
      </c>
      <c r="E241" s="2" t="s">
        <v>101</v>
      </c>
      <c r="F241" t="s">
        <v>47</v>
      </c>
      <c r="G241" t="str">
        <f t="shared" si="9"/>
        <v>26013VENDELA</v>
      </c>
      <c r="H241">
        <v>10094</v>
      </c>
      <c r="I241" s="9">
        <f>VLOOKUP(G241,[4]Astroflores!$G$2:$H$109,2,FALSE)</f>
        <v>11940</v>
      </c>
      <c r="J241" s="5">
        <f t="shared" si="10"/>
        <v>0.15460636515912898</v>
      </c>
      <c r="K241">
        <f>VLOOKUP(G241,[5]Estimado_modelo!$G$2:$H$424,2,FALSE)</f>
        <v>12173</v>
      </c>
      <c r="L241">
        <f t="shared" si="11"/>
        <v>-1.9514237855946397E-2</v>
      </c>
    </row>
    <row r="242" spans="1:12">
      <c r="A242">
        <v>2026</v>
      </c>
      <c r="B242">
        <v>26</v>
      </c>
      <c r="C242" t="s">
        <v>7</v>
      </c>
      <c r="D242" t="s">
        <v>8</v>
      </c>
      <c r="E242" s="2" t="s">
        <v>104</v>
      </c>
      <c r="F242" t="s">
        <v>67</v>
      </c>
      <c r="G242" t="str">
        <f t="shared" si="9"/>
        <v>26025PINK MONDIAL</v>
      </c>
      <c r="H242">
        <v>5825</v>
      </c>
      <c r="I242" s="9">
        <f>VLOOKUP(G242,[4]Astroflores!$G$2:$H$109,2,FALSE)</f>
        <v>5225</v>
      </c>
      <c r="J242" s="5">
        <f t="shared" si="10"/>
        <v>-0.11483253588516747</v>
      </c>
      <c r="K242">
        <f>VLOOKUP(G242,[5]Estimado_modelo!$G$2:$H$424,2,FALSE)</f>
        <v>5353</v>
      </c>
      <c r="L242">
        <f t="shared" si="11"/>
        <v>-2.4497607655502393E-2</v>
      </c>
    </row>
    <row r="243" spans="1:12">
      <c r="A243">
        <v>2026</v>
      </c>
      <c r="B243">
        <v>26</v>
      </c>
      <c r="C243" t="s">
        <v>7</v>
      </c>
      <c r="D243" t="s">
        <v>8</v>
      </c>
      <c r="E243" s="2" t="s">
        <v>77</v>
      </c>
      <c r="F243" t="s">
        <v>40</v>
      </c>
      <c r="G243" t="str">
        <f t="shared" si="9"/>
        <v>26004DEEP PURPLE</v>
      </c>
      <c r="H243">
        <v>13562</v>
      </c>
      <c r="I243" s="9">
        <f>VLOOKUP(G243,[4]Astroflores!$G$2:$H$109,2,FALSE)</f>
        <v>15540</v>
      </c>
      <c r="J243" s="5">
        <f t="shared" si="10"/>
        <v>0.12728442728442729</v>
      </c>
      <c r="K243">
        <f>VLOOKUP(G243,[5]Estimado_modelo!$G$2:$H$424,2,FALSE)</f>
        <v>16031</v>
      </c>
      <c r="L243">
        <f t="shared" si="11"/>
        <v>-3.1595881595881593E-2</v>
      </c>
    </row>
    <row r="244" spans="1:12">
      <c r="A244">
        <v>2026</v>
      </c>
      <c r="B244">
        <v>26</v>
      </c>
      <c r="C244" t="s">
        <v>10</v>
      </c>
      <c r="D244" t="s">
        <v>8</v>
      </c>
      <c r="E244" s="2" t="s">
        <v>78</v>
      </c>
      <c r="F244" t="s">
        <v>13</v>
      </c>
      <c r="G244" t="str">
        <f t="shared" si="9"/>
        <v>26005ELBA</v>
      </c>
      <c r="H244">
        <v>8481</v>
      </c>
      <c r="I244" s="9">
        <f>VLOOKUP(G244,[4]Astroflores!$G$2:$H$109,2,FALSE)</f>
        <v>7230</v>
      </c>
      <c r="J244" s="5">
        <f t="shared" si="10"/>
        <v>-0.17302904564315352</v>
      </c>
      <c r="K244">
        <f>VLOOKUP(G244,[5]Estimado_modelo!$G$2:$H$424,2,FALSE)</f>
        <v>7369</v>
      </c>
      <c r="L244">
        <f t="shared" si="11"/>
        <v>-1.9225449515905949E-2</v>
      </c>
    </row>
    <row r="245" spans="1:12">
      <c r="A245">
        <v>2026</v>
      </c>
      <c r="B245">
        <v>27</v>
      </c>
      <c r="C245" t="s">
        <v>10</v>
      </c>
      <c r="D245" t="s">
        <v>8</v>
      </c>
      <c r="E245" s="2" t="s">
        <v>89</v>
      </c>
      <c r="F245" t="s">
        <v>19</v>
      </c>
      <c r="G245" t="str">
        <f t="shared" si="9"/>
        <v>27022GOOD PEACH</v>
      </c>
      <c r="H245">
        <v>2135</v>
      </c>
      <c r="I245" s="9">
        <f>VLOOKUP(G245,[3]Hoja1!$G$8515:$H$8621,2,FALSE)</f>
        <v>2460</v>
      </c>
      <c r="J245" s="5">
        <f t="shared" si="10"/>
        <v>0.13211382113821138</v>
      </c>
      <c r="K245">
        <f>VLOOKUP(G245,[5]Estimado_modelo!$G$2:$H$424,2,FALSE)</f>
        <v>2502</v>
      </c>
      <c r="L245">
        <f t="shared" si="11"/>
        <v>-1.7073170731707318E-2</v>
      </c>
    </row>
    <row r="246" spans="1:12">
      <c r="A246">
        <v>2026</v>
      </c>
      <c r="B246">
        <v>28</v>
      </c>
      <c r="C246" t="s">
        <v>7</v>
      </c>
      <c r="D246" t="s">
        <v>8</v>
      </c>
      <c r="E246" s="2" t="s">
        <v>79</v>
      </c>
      <c r="F246" t="s">
        <v>43</v>
      </c>
      <c r="G246" t="str">
        <f t="shared" si="9"/>
        <v>28007COTOPAXI</v>
      </c>
      <c r="H246">
        <v>5559</v>
      </c>
      <c r="I246" s="9">
        <f>VLOOKUP(G246,[2]Astroflores!$G$2:$H$110,2,FALSE)</f>
        <v>6570</v>
      </c>
      <c r="J246" s="5">
        <f t="shared" si="10"/>
        <v>0.15388127853881278</v>
      </c>
      <c r="K246">
        <f>VLOOKUP(G246,[5]Estimado_modelo!$G$2:$H$424,2,FALSE)</f>
        <v>6788</v>
      </c>
      <c r="L246">
        <f t="shared" si="11"/>
        <v>-3.3181126331811264E-2</v>
      </c>
    </row>
    <row r="247" spans="1:12">
      <c r="A247">
        <v>2026</v>
      </c>
      <c r="B247">
        <v>27</v>
      </c>
      <c r="C247" t="s">
        <v>7</v>
      </c>
      <c r="D247" t="s">
        <v>8</v>
      </c>
      <c r="E247" s="2" t="s">
        <v>76</v>
      </c>
      <c r="F247" t="s">
        <v>38</v>
      </c>
      <c r="G247" t="str">
        <f t="shared" si="9"/>
        <v>27002SWEETNESS</v>
      </c>
      <c r="H247">
        <v>4672</v>
      </c>
      <c r="I247" s="9">
        <f>VLOOKUP(G247,[3]Hoja1!$G$8515:$H$8621,2,FALSE)</f>
        <v>5790</v>
      </c>
      <c r="J247" s="5">
        <f t="shared" si="10"/>
        <v>0.19309153713298791</v>
      </c>
      <c r="K247">
        <f>VLOOKUP(G247,[5]Estimado_modelo!$G$2:$H$424,2,FALSE)</f>
        <v>6008</v>
      </c>
      <c r="L247">
        <f t="shared" si="11"/>
        <v>-3.7651122625215888E-2</v>
      </c>
    </row>
    <row r="248" spans="1:12">
      <c r="A248">
        <v>2026</v>
      </c>
      <c r="B248">
        <v>26</v>
      </c>
      <c r="C248" t="s">
        <v>7</v>
      </c>
      <c r="D248" t="s">
        <v>8</v>
      </c>
      <c r="E248" s="2" t="s">
        <v>94</v>
      </c>
      <c r="F248" t="s">
        <v>36</v>
      </c>
      <c r="G248" t="str">
        <f t="shared" si="9"/>
        <v>26001LIGHT HOUSE</v>
      </c>
      <c r="H248">
        <v>2352</v>
      </c>
      <c r="I248" s="9">
        <f>VLOOKUP(G248,[4]Astroflores!$G$2:$H$109,2,FALSE)</f>
        <v>2520</v>
      </c>
      <c r="J248" s="5">
        <f t="shared" si="10"/>
        <v>6.6666666666666666E-2</v>
      </c>
      <c r="K248">
        <f>VLOOKUP(G248,[5]Estimado_modelo!$G$2:$H$424,2,FALSE)</f>
        <v>2605</v>
      </c>
      <c r="L248">
        <f t="shared" si="11"/>
        <v>-3.3730158730158728E-2</v>
      </c>
    </row>
    <row r="249" spans="1:12">
      <c r="A249">
        <v>2026</v>
      </c>
      <c r="B249">
        <v>26</v>
      </c>
      <c r="C249" t="s">
        <v>7</v>
      </c>
      <c r="D249" t="s">
        <v>8</v>
      </c>
      <c r="E249" s="2" t="s">
        <v>107</v>
      </c>
      <c r="F249" t="s">
        <v>40</v>
      </c>
      <c r="G249" t="str">
        <f t="shared" si="9"/>
        <v>26028DEEP PURPLE</v>
      </c>
      <c r="H249">
        <v>7160</v>
      </c>
      <c r="I249" s="9">
        <f>VLOOKUP(G249,[4]Astroflores!$G$2:$H$109,2,FALSE)</f>
        <v>6480</v>
      </c>
      <c r="J249" s="5">
        <f t="shared" si="10"/>
        <v>-0.10493827160493827</v>
      </c>
      <c r="K249">
        <f>VLOOKUP(G249,[5]Estimado_modelo!$G$2:$H$424,2,FALSE)</f>
        <v>6704</v>
      </c>
      <c r="L249">
        <f t="shared" si="11"/>
        <v>-3.4567901234567898E-2</v>
      </c>
    </row>
    <row r="250" spans="1:12">
      <c r="A250">
        <v>2026</v>
      </c>
      <c r="B250">
        <v>26</v>
      </c>
      <c r="C250" t="s">
        <v>7</v>
      </c>
      <c r="D250" t="s">
        <v>8</v>
      </c>
      <c r="E250" s="2" t="s">
        <v>76</v>
      </c>
      <c r="F250" t="s">
        <v>38</v>
      </c>
      <c r="G250" t="str">
        <f t="shared" si="9"/>
        <v>26002SWEETNESS</v>
      </c>
      <c r="H250">
        <v>7915</v>
      </c>
      <c r="I250" s="9">
        <f>VLOOKUP(G250,[4]Astroflores!$G$2:$H$109,2,FALSE)</f>
        <v>8760</v>
      </c>
      <c r="J250" s="5">
        <f t="shared" si="10"/>
        <v>9.6461187214611874E-2</v>
      </c>
      <c r="K250">
        <f>VLOOKUP(G250,[5]Estimado_modelo!$G$2:$H$424,2,FALSE)</f>
        <v>9020</v>
      </c>
      <c r="L250">
        <f t="shared" si="11"/>
        <v>-2.9680365296803651E-2</v>
      </c>
    </row>
    <row r="251" spans="1:12">
      <c r="A251">
        <v>2026</v>
      </c>
      <c r="B251">
        <v>27</v>
      </c>
      <c r="C251" t="s">
        <v>10</v>
      </c>
      <c r="D251" t="s">
        <v>8</v>
      </c>
      <c r="E251" s="2" t="s">
        <v>78</v>
      </c>
      <c r="F251" t="s">
        <v>14</v>
      </c>
      <c r="G251" t="str">
        <f t="shared" si="9"/>
        <v>27005HOT BUBBLES</v>
      </c>
      <c r="H251">
        <v>1079</v>
      </c>
      <c r="I251" s="9">
        <f>VLOOKUP(G251,[3]Hoja1!$G$8515:$H$8621,2,FALSE)</f>
        <v>1340</v>
      </c>
      <c r="J251" s="5">
        <f t="shared" si="10"/>
        <v>0.19477611940298509</v>
      </c>
      <c r="K251">
        <f>VLOOKUP(G251,[5]Estimado_modelo!$G$2:$H$424,2,FALSE)</f>
        <v>1399</v>
      </c>
      <c r="L251">
        <f t="shared" si="11"/>
        <v>-4.4029850746268653E-2</v>
      </c>
    </row>
    <row r="252" spans="1:12">
      <c r="A252">
        <v>2026</v>
      </c>
      <c r="B252">
        <v>26</v>
      </c>
      <c r="C252" t="s">
        <v>10</v>
      </c>
      <c r="D252" t="s">
        <v>8</v>
      </c>
      <c r="E252" s="2" t="s">
        <v>81</v>
      </c>
      <c r="F252" t="s">
        <v>17</v>
      </c>
      <c r="G252" t="str">
        <f t="shared" si="9"/>
        <v>26014FRUITY BUBBLES</v>
      </c>
      <c r="H252">
        <v>4020</v>
      </c>
      <c r="I252" s="9">
        <f>VLOOKUP(G252,[4]Astroflores!$G$2:$H$109,2,FALSE)</f>
        <v>4200</v>
      </c>
      <c r="J252" s="5">
        <f t="shared" si="10"/>
        <v>4.2857142857142858E-2</v>
      </c>
      <c r="K252">
        <f>VLOOKUP(G252,[5]Estimado_modelo!$G$2:$H$424,2,FALSE)</f>
        <v>4339</v>
      </c>
      <c r="L252">
        <f t="shared" si="11"/>
        <v>-3.3095238095238094E-2</v>
      </c>
    </row>
    <row r="253" spans="1:12">
      <c r="A253">
        <v>2026</v>
      </c>
      <c r="B253">
        <v>26</v>
      </c>
      <c r="C253" t="s">
        <v>7</v>
      </c>
      <c r="D253" t="s">
        <v>8</v>
      </c>
      <c r="E253" s="2" t="s">
        <v>95</v>
      </c>
      <c r="F253" t="s">
        <v>40</v>
      </c>
      <c r="G253" t="str">
        <f t="shared" si="9"/>
        <v>26003DEEP PURPLE</v>
      </c>
      <c r="H253">
        <v>10629</v>
      </c>
      <c r="I253" s="9">
        <f>VLOOKUP(G253,[4]Astroflores!$G$2:$H$109,2,FALSE)</f>
        <v>11370</v>
      </c>
      <c r="J253" s="5">
        <f t="shared" si="10"/>
        <v>6.5171503957783636E-2</v>
      </c>
      <c r="K253">
        <f>VLOOKUP(G253,[5]Estimado_modelo!$G$2:$H$424,2,FALSE)</f>
        <v>11691</v>
      </c>
      <c r="L253">
        <f t="shared" si="11"/>
        <v>-2.8232189973614777E-2</v>
      </c>
    </row>
    <row r="254" spans="1:12">
      <c r="A254">
        <v>2026</v>
      </c>
      <c r="B254">
        <v>26</v>
      </c>
      <c r="C254" t="s">
        <v>7</v>
      </c>
      <c r="D254" t="s">
        <v>8</v>
      </c>
      <c r="E254" s="2" t="s">
        <v>95</v>
      </c>
      <c r="F254" t="s">
        <v>39</v>
      </c>
      <c r="G254" t="str">
        <f t="shared" si="9"/>
        <v>26003CABARET</v>
      </c>
      <c r="H254">
        <v>6627</v>
      </c>
      <c r="I254" s="9">
        <f>VLOOKUP(G254,[4]Astroflores!$G$2:$H$109,2,FALSE)</f>
        <v>6090</v>
      </c>
      <c r="J254" s="5">
        <f t="shared" si="10"/>
        <v>-8.817733990147783E-2</v>
      </c>
      <c r="K254">
        <f>VLOOKUP(G254,[5]Estimado_modelo!$G$2:$H$424,2,FALSE)</f>
        <v>6255</v>
      </c>
      <c r="L254">
        <f t="shared" si="11"/>
        <v>-2.7093596059113302E-2</v>
      </c>
    </row>
    <row r="255" spans="1:12">
      <c r="A255">
        <v>2026</v>
      </c>
      <c r="B255">
        <v>26</v>
      </c>
      <c r="C255" t="s">
        <v>7</v>
      </c>
      <c r="D255" t="s">
        <v>8</v>
      </c>
      <c r="E255" s="2" t="s">
        <v>79</v>
      </c>
      <c r="F255" t="s">
        <v>43</v>
      </c>
      <c r="G255" t="str">
        <f t="shared" si="9"/>
        <v>26007COTOPAXI</v>
      </c>
      <c r="H255">
        <v>5540</v>
      </c>
      <c r="I255" s="9">
        <f>VLOOKUP(G255,[4]Astroflores!$G$2:$H$109,2,FALSE)</f>
        <v>5250</v>
      </c>
      <c r="J255" s="5">
        <f t="shared" si="10"/>
        <v>-5.5238095238095239E-2</v>
      </c>
      <c r="K255">
        <f>VLOOKUP(G255,[5]Estimado_modelo!$G$2:$H$424,2,FALSE)</f>
        <v>5520</v>
      </c>
      <c r="L255">
        <f t="shared" si="11"/>
        <v>-5.1428571428571428E-2</v>
      </c>
    </row>
    <row r="256" spans="1:12">
      <c r="A256">
        <v>2026</v>
      </c>
      <c r="B256">
        <v>26</v>
      </c>
      <c r="C256" t="s">
        <v>10</v>
      </c>
      <c r="D256" t="s">
        <v>8</v>
      </c>
      <c r="E256" s="2" t="s">
        <v>85</v>
      </c>
      <c r="F256" t="s">
        <v>23</v>
      </c>
      <c r="G256" t="str">
        <f t="shared" si="9"/>
        <v>26018RUBICON</v>
      </c>
      <c r="H256">
        <v>6711</v>
      </c>
      <c r="I256" s="9">
        <f>VLOOKUP(G256,[4]Astroflores!$G$2:$H$109,2,FALSE)</f>
        <v>7140</v>
      </c>
      <c r="J256" s="5">
        <f t="shared" si="10"/>
        <v>6.008403361344538E-2</v>
      </c>
      <c r="K256">
        <f>VLOOKUP(G256,[5]Estimado_modelo!$G$2:$H$424,2,FALSE)</f>
        <v>7418</v>
      </c>
      <c r="L256">
        <f t="shared" si="11"/>
        <v>-3.8935574229691877E-2</v>
      </c>
    </row>
    <row r="257" spans="1:12">
      <c r="A257">
        <v>2026</v>
      </c>
      <c r="B257">
        <v>26</v>
      </c>
      <c r="C257" t="s">
        <v>10</v>
      </c>
      <c r="D257" t="s">
        <v>8</v>
      </c>
      <c r="E257" s="2" t="s">
        <v>78</v>
      </c>
      <c r="F257" t="s">
        <v>14</v>
      </c>
      <c r="G257" t="str">
        <f t="shared" si="9"/>
        <v>26005HOT BUBBLES</v>
      </c>
      <c r="H257">
        <v>1488</v>
      </c>
      <c r="I257" s="9">
        <f>VLOOKUP(G257,[4]Astroflores!$G$2:$H$109,2,FALSE)</f>
        <v>1300</v>
      </c>
      <c r="J257" s="5">
        <f t="shared" si="10"/>
        <v>-0.14461538461538462</v>
      </c>
      <c r="K257">
        <f>VLOOKUP(G257,[5]Estimado_modelo!$G$2:$H$424,2,FALSE)</f>
        <v>1329</v>
      </c>
      <c r="L257">
        <f t="shared" si="11"/>
        <v>-2.2307692307692306E-2</v>
      </c>
    </row>
    <row r="258" spans="1:12">
      <c r="A258">
        <v>2026</v>
      </c>
      <c r="B258">
        <v>29</v>
      </c>
      <c r="C258" t="s">
        <v>7</v>
      </c>
      <c r="D258" t="s">
        <v>8</v>
      </c>
      <c r="E258" s="2" t="s">
        <v>89</v>
      </c>
      <c r="F258" t="s">
        <v>65</v>
      </c>
      <c r="G258" t="str">
        <f t="shared" ref="G258:G321" si="12">+B258&amp;E258&amp;F258</f>
        <v>29022CORAL REEF</v>
      </c>
      <c r="H258">
        <v>2193</v>
      </c>
      <c r="I258" s="9">
        <f>VLOOKUP(G258,[1]Estimado_modelo!$G$2:$I$421,3,FALSE)</f>
        <v>2375</v>
      </c>
      <c r="J258" s="5">
        <f t="shared" ref="J258:J321" si="13">+(I258-H258)/I258</f>
        <v>7.6631578947368426E-2</v>
      </c>
      <c r="K258">
        <f>VLOOKUP(G258,[5]Estimado_modelo!$G$2:$H$424,2,FALSE)</f>
        <v>2479</v>
      </c>
      <c r="L258">
        <f t="shared" ref="L258:L321" si="14">+(I258-K258)/I258</f>
        <v>-4.3789473684210524E-2</v>
      </c>
    </row>
    <row r="259" spans="1:12">
      <c r="A259">
        <v>2026</v>
      </c>
      <c r="B259">
        <v>26</v>
      </c>
      <c r="C259" t="s">
        <v>7</v>
      </c>
      <c r="D259" t="s">
        <v>8</v>
      </c>
      <c r="E259" s="2" t="s">
        <v>79</v>
      </c>
      <c r="F259" t="s">
        <v>47</v>
      </c>
      <c r="G259" t="str">
        <f t="shared" si="12"/>
        <v>26007VENDELA</v>
      </c>
      <c r="H259">
        <v>10153</v>
      </c>
      <c r="I259" s="9">
        <f>VLOOKUP(G259,[4]Astroflores!$G$2:$H$109,2,FALSE)</f>
        <v>8310</v>
      </c>
      <c r="J259" s="5">
        <f t="shared" si="13"/>
        <v>-0.22178098676293623</v>
      </c>
      <c r="K259">
        <f>VLOOKUP(G259,[5]Estimado_modelo!$G$2:$H$424,2,FALSE)</f>
        <v>8630</v>
      </c>
      <c r="L259">
        <f t="shared" si="14"/>
        <v>-3.8507821901323708E-2</v>
      </c>
    </row>
    <row r="260" spans="1:12">
      <c r="A260">
        <v>2026</v>
      </c>
      <c r="B260">
        <v>26</v>
      </c>
      <c r="C260" t="s">
        <v>7</v>
      </c>
      <c r="D260" t="s">
        <v>8</v>
      </c>
      <c r="E260" s="2" t="s">
        <v>78</v>
      </c>
      <c r="F260" t="s">
        <v>47</v>
      </c>
      <c r="G260" t="str">
        <f t="shared" si="12"/>
        <v>26005VENDELA</v>
      </c>
      <c r="H260">
        <v>2392</v>
      </c>
      <c r="I260" s="9">
        <f>VLOOKUP(G260,[4]Astroflores!$G$2:$H$109,2,FALSE)</f>
        <v>2490</v>
      </c>
      <c r="J260" s="5">
        <f t="shared" si="13"/>
        <v>3.93574297188755E-2</v>
      </c>
      <c r="K260">
        <f>VLOOKUP(G260,[5]Estimado_modelo!$G$2:$H$424,2,FALSE)</f>
        <v>2564</v>
      </c>
      <c r="L260">
        <f t="shared" si="14"/>
        <v>-2.9718875502008031E-2</v>
      </c>
    </row>
    <row r="261" spans="1:12">
      <c r="A261">
        <v>2026</v>
      </c>
      <c r="B261">
        <v>26</v>
      </c>
      <c r="C261" t="s">
        <v>10</v>
      </c>
      <c r="D261" t="s">
        <v>8</v>
      </c>
      <c r="E261" s="2" t="s">
        <v>90</v>
      </c>
      <c r="F261" t="s">
        <v>11</v>
      </c>
      <c r="G261" t="str">
        <f t="shared" si="12"/>
        <v>26030SOMERSET</v>
      </c>
      <c r="H261">
        <v>3581</v>
      </c>
      <c r="I261" s="9">
        <f>VLOOKUP(G261,[4]Astroflores!$G$2:$H$109,2,FALSE)</f>
        <v>4080</v>
      </c>
      <c r="J261" s="5">
        <f t="shared" si="13"/>
        <v>0.12230392156862745</v>
      </c>
      <c r="K261">
        <f>VLOOKUP(G261,[5]Estimado_modelo!$G$2:$H$424,2,FALSE)</f>
        <v>4284</v>
      </c>
      <c r="L261">
        <f t="shared" si="14"/>
        <v>-0.05</v>
      </c>
    </row>
    <row r="262" spans="1:12">
      <c r="A262">
        <v>2026</v>
      </c>
      <c r="B262">
        <v>26</v>
      </c>
      <c r="C262" t="s">
        <v>10</v>
      </c>
      <c r="D262" t="s">
        <v>8</v>
      </c>
      <c r="E262" s="2" t="s">
        <v>92</v>
      </c>
      <c r="F262" t="s">
        <v>29</v>
      </c>
      <c r="G262" t="str">
        <f t="shared" si="12"/>
        <v>26032MIRABEL</v>
      </c>
      <c r="H262">
        <v>3440</v>
      </c>
      <c r="I262" s="9">
        <f>VLOOKUP(G262,[4]Astroflores!$G$2:$H$109,2,FALSE)</f>
        <v>3400</v>
      </c>
      <c r="J262" s="5">
        <f t="shared" si="13"/>
        <v>-1.1764705882352941E-2</v>
      </c>
      <c r="K262">
        <f>VLOOKUP(G262,[5]Estimado_modelo!$G$2:$H$424,2,FALSE)</f>
        <v>3501</v>
      </c>
      <c r="L262">
        <f t="shared" si="14"/>
        <v>-2.9705882352941176E-2</v>
      </c>
    </row>
    <row r="263" spans="1:12">
      <c r="A263">
        <v>2026</v>
      </c>
      <c r="B263">
        <v>26</v>
      </c>
      <c r="C263" t="s">
        <v>7</v>
      </c>
      <c r="D263" t="s">
        <v>8</v>
      </c>
      <c r="E263" s="2" t="s">
        <v>87</v>
      </c>
      <c r="F263" t="s">
        <v>54</v>
      </c>
      <c r="G263" t="str">
        <f t="shared" si="12"/>
        <v>26020BRIGHTON</v>
      </c>
      <c r="H263">
        <v>5353</v>
      </c>
      <c r="I263" s="9">
        <f>VLOOKUP(G263,[4]Astroflores!$G$2:$H$109,2,FALSE)</f>
        <v>5375</v>
      </c>
      <c r="J263" s="5">
        <f t="shared" si="13"/>
        <v>4.0930232558139537E-3</v>
      </c>
      <c r="K263">
        <f>VLOOKUP(G263,[5]Estimado_modelo!$G$2:$H$424,2,FALSE)</f>
        <v>5644</v>
      </c>
      <c r="L263">
        <f t="shared" si="14"/>
        <v>-5.0046511627906978E-2</v>
      </c>
    </row>
    <row r="264" spans="1:12">
      <c r="A264">
        <v>2026</v>
      </c>
      <c r="B264">
        <v>26</v>
      </c>
      <c r="C264" t="s">
        <v>7</v>
      </c>
      <c r="D264" t="s">
        <v>8</v>
      </c>
      <c r="E264" s="2" t="s">
        <v>105</v>
      </c>
      <c r="F264" t="s">
        <v>69</v>
      </c>
      <c r="G264" t="str">
        <f t="shared" si="12"/>
        <v>26026PALOMA</v>
      </c>
      <c r="H264">
        <v>6215</v>
      </c>
      <c r="I264" s="9">
        <f>VLOOKUP(G264,[4]Astroflores!$G$2:$H$109,2,FALSE)</f>
        <v>5850</v>
      </c>
      <c r="J264" s="5">
        <f t="shared" si="13"/>
        <v>-6.2393162393162394E-2</v>
      </c>
      <c r="K264">
        <f>VLOOKUP(G264,[5]Estimado_modelo!$G$2:$H$424,2,FALSE)</f>
        <v>6022</v>
      </c>
      <c r="L264">
        <f t="shared" si="14"/>
        <v>-2.9401709401709403E-2</v>
      </c>
    </row>
    <row r="265" spans="1:12">
      <c r="A265">
        <v>2026</v>
      </c>
      <c r="B265">
        <v>26</v>
      </c>
      <c r="C265" t="s">
        <v>7</v>
      </c>
      <c r="D265" t="s">
        <v>8</v>
      </c>
      <c r="E265" s="2" t="s">
        <v>84</v>
      </c>
      <c r="F265" t="s">
        <v>51</v>
      </c>
      <c r="G265" t="str">
        <f t="shared" si="12"/>
        <v>26017FREEDOM</v>
      </c>
      <c r="H265">
        <v>5654</v>
      </c>
      <c r="I265" s="9">
        <f>VLOOKUP(G265,[4]Astroflores!$G$2:$H$109,2,FALSE)</f>
        <v>6360</v>
      </c>
      <c r="J265" s="5">
        <f t="shared" si="13"/>
        <v>0.1110062893081761</v>
      </c>
      <c r="K265">
        <f>VLOOKUP(G265,[5]Estimado_modelo!$G$2:$H$424,2,FALSE)</f>
        <v>6664</v>
      </c>
      <c r="L265">
        <f t="shared" si="14"/>
        <v>-4.7798742138364783E-2</v>
      </c>
    </row>
    <row r="266" spans="1:12">
      <c r="A266">
        <v>2026</v>
      </c>
      <c r="B266">
        <v>26</v>
      </c>
      <c r="C266" t="s">
        <v>10</v>
      </c>
      <c r="D266" t="s">
        <v>8</v>
      </c>
      <c r="E266" s="2" t="s">
        <v>90</v>
      </c>
      <c r="F266" t="s">
        <v>29</v>
      </c>
      <c r="G266" t="str">
        <f t="shared" si="12"/>
        <v>26030MIRABEL</v>
      </c>
      <c r="H266">
        <v>6460</v>
      </c>
      <c r="I266" s="9">
        <f>VLOOKUP(G266,[4]Astroflores!$G$2:$H$109,2,FALSE)</f>
        <v>6460</v>
      </c>
      <c r="J266" s="5">
        <f t="shared" si="13"/>
        <v>0</v>
      </c>
      <c r="K266">
        <f>VLOOKUP(G266,[5]Estimado_modelo!$G$2:$H$424,2,FALSE)</f>
        <v>6728</v>
      </c>
      <c r="L266">
        <f t="shared" si="14"/>
        <v>-4.148606811145511E-2</v>
      </c>
    </row>
    <row r="267" spans="1:12">
      <c r="A267">
        <v>2026</v>
      </c>
      <c r="B267">
        <v>29</v>
      </c>
      <c r="C267" t="s">
        <v>10</v>
      </c>
      <c r="D267" t="s">
        <v>8</v>
      </c>
      <c r="E267" s="2" t="s">
        <v>91</v>
      </c>
      <c r="F267" t="s">
        <v>30</v>
      </c>
      <c r="G267" t="str">
        <f t="shared" si="12"/>
        <v>2903182989</v>
      </c>
      <c r="H267">
        <v>813</v>
      </c>
      <c r="I267" s="9">
        <f>VLOOKUP(G267,[1]Estimado_modelo!$G$2:$I$421,3,FALSE)</f>
        <v>780</v>
      </c>
      <c r="J267" s="5">
        <f t="shared" si="13"/>
        <v>-4.230769230769231E-2</v>
      </c>
      <c r="K267">
        <f>VLOOKUP(G267,[5]Estimado_modelo!$G$2:$H$424,2,FALSE)</f>
        <v>836</v>
      </c>
      <c r="L267">
        <f t="shared" si="14"/>
        <v>-7.179487179487179E-2</v>
      </c>
    </row>
    <row r="268" spans="1:12">
      <c r="A268">
        <v>2026</v>
      </c>
      <c r="B268">
        <v>29</v>
      </c>
      <c r="C268" t="s">
        <v>7</v>
      </c>
      <c r="D268" t="s">
        <v>8</v>
      </c>
      <c r="E268" s="2" t="s">
        <v>88</v>
      </c>
      <c r="F268" t="s">
        <v>64</v>
      </c>
      <c r="G268" t="str">
        <f t="shared" si="12"/>
        <v>29021SHOW GIRL</v>
      </c>
      <c r="H268">
        <v>1190</v>
      </c>
      <c r="I268" s="9">
        <f>VLOOKUP(G268,[1]Estimado_modelo!$G$2:$I$421,3,FALSE)</f>
        <v>1200</v>
      </c>
      <c r="J268" s="5">
        <f t="shared" si="13"/>
        <v>8.3333333333333332E-3</v>
      </c>
      <c r="K268">
        <f>VLOOKUP(G268,[5]Estimado_modelo!$G$2:$H$424,2,FALSE)</f>
        <v>1268</v>
      </c>
      <c r="L268">
        <f t="shared" si="14"/>
        <v>-5.6666666666666664E-2</v>
      </c>
    </row>
    <row r="269" spans="1:12">
      <c r="A269">
        <v>2026</v>
      </c>
      <c r="B269">
        <v>26</v>
      </c>
      <c r="C269" t="s">
        <v>10</v>
      </c>
      <c r="D269" t="s">
        <v>8</v>
      </c>
      <c r="E269" s="2" t="s">
        <v>76</v>
      </c>
      <c r="F269" t="s">
        <v>11</v>
      </c>
      <c r="G269" t="str">
        <f t="shared" si="12"/>
        <v>26002SOMERSET</v>
      </c>
      <c r="H269">
        <v>9549</v>
      </c>
      <c r="I269" s="9">
        <f>VLOOKUP(G269,[4]Astroflores!$G$2:$H$109,2,FALSE)</f>
        <v>8260</v>
      </c>
      <c r="J269" s="5">
        <f t="shared" si="13"/>
        <v>-0.15605326876513317</v>
      </c>
      <c r="K269">
        <f>VLOOKUP(G269,[5]Estimado_modelo!$G$2:$H$424,2,FALSE)</f>
        <v>8663</v>
      </c>
      <c r="L269">
        <f t="shared" si="14"/>
        <v>-4.8789346246973363E-2</v>
      </c>
    </row>
    <row r="270" spans="1:12">
      <c r="A270">
        <v>2026</v>
      </c>
      <c r="B270">
        <v>26</v>
      </c>
      <c r="C270" t="s">
        <v>10</v>
      </c>
      <c r="D270" t="s">
        <v>8</v>
      </c>
      <c r="E270" s="2" t="s">
        <v>89</v>
      </c>
      <c r="F270" t="s">
        <v>17</v>
      </c>
      <c r="G270" t="str">
        <f t="shared" si="12"/>
        <v>26022FRUITY BUBBLES</v>
      </c>
      <c r="H270">
        <v>6359</v>
      </c>
      <c r="I270" s="9">
        <f>VLOOKUP(G270,[4]Astroflores!$G$2:$H$109,2,FALSE)</f>
        <v>6050</v>
      </c>
      <c r="J270" s="5">
        <f t="shared" si="13"/>
        <v>-5.1074380165289257E-2</v>
      </c>
      <c r="K270">
        <f>VLOOKUP(G270,[5]Estimado_modelo!$G$2:$H$424,2,FALSE)</f>
        <v>6357</v>
      </c>
      <c r="L270">
        <f t="shared" si="14"/>
        <v>-5.0743801652892565E-2</v>
      </c>
    </row>
    <row r="271" spans="1:12">
      <c r="A271">
        <v>2026</v>
      </c>
      <c r="B271">
        <v>26</v>
      </c>
      <c r="C271" t="s">
        <v>7</v>
      </c>
      <c r="D271" t="s">
        <v>8</v>
      </c>
      <c r="E271" s="2" t="s">
        <v>99</v>
      </c>
      <c r="F271" t="s">
        <v>54</v>
      </c>
      <c r="G271" t="str">
        <f t="shared" si="12"/>
        <v>26011BRIGHTON</v>
      </c>
      <c r="H271">
        <v>3510</v>
      </c>
      <c r="I271" s="9">
        <f>VLOOKUP(G271,[4]Astroflores!$G$2:$H$109,2,FALSE)</f>
        <v>3625</v>
      </c>
      <c r="J271" s="5">
        <f t="shared" si="13"/>
        <v>3.1724137931034485E-2</v>
      </c>
      <c r="K271">
        <f>VLOOKUP(G271,[5]Estimado_modelo!$G$2:$H$424,2,FALSE)</f>
        <v>3800</v>
      </c>
      <c r="L271">
        <f t="shared" si="14"/>
        <v>-4.8275862068965517E-2</v>
      </c>
    </row>
    <row r="272" spans="1:12">
      <c r="A272">
        <v>2026</v>
      </c>
      <c r="B272">
        <v>26</v>
      </c>
      <c r="C272" t="s">
        <v>10</v>
      </c>
      <c r="D272" t="s">
        <v>8</v>
      </c>
      <c r="E272" s="2" t="s">
        <v>84</v>
      </c>
      <c r="F272" t="s">
        <v>21</v>
      </c>
      <c r="G272" t="str">
        <f t="shared" si="12"/>
        <v>26017ORANGE STAR</v>
      </c>
      <c r="H272">
        <v>1953</v>
      </c>
      <c r="I272" s="9">
        <f>VLOOKUP(G272,[4]Astroflores!$G$2:$H$109,2,FALSE)</f>
        <v>1900</v>
      </c>
      <c r="J272" s="5">
        <f t="shared" si="13"/>
        <v>-2.7894736842105264E-2</v>
      </c>
      <c r="K272">
        <f>VLOOKUP(G272,[5]Estimado_modelo!$G$2:$H$424,2,FALSE)</f>
        <v>2041</v>
      </c>
      <c r="L272">
        <f t="shared" si="14"/>
        <v>-7.4210526315789477E-2</v>
      </c>
    </row>
    <row r="273" spans="1:12">
      <c r="A273">
        <v>2026</v>
      </c>
      <c r="B273">
        <v>29</v>
      </c>
      <c r="C273" t="s">
        <v>7</v>
      </c>
      <c r="D273" t="s">
        <v>8</v>
      </c>
      <c r="E273" s="2" t="s">
        <v>100</v>
      </c>
      <c r="F273" t="s">
        <v>40</v>
      </c>
      <c r="G273" t="str">
        <f t="shared" si="12"/>
        <v>29012DEEP PURPLE</v>
      </c>
      <c r="H273">
        <v>17981</v>
      </c>
      <c r="I273" s="9">
        <f>VLOOKUP(G273,[1]Estimado_modelo!$G$2:$I$421,3,FALSE)</f>
        <v>19410</v>
      </c>
      <c r="J273" s="5">
        <f t="shared" si="13"/>
        <v>7.3621844410097892E-2</v>
      </c>
      <c r="K273">
        <f>VLOOKUP(G273,[5]Estimado_modelo!$G$2:$H$424,2,FALSE)</f>
        <v>20375</v>
      </c>
      <c r="L273">
        <f t="shared" si="14"/>
        <v>-4.9716640906749099E-2</v>
      </c>
    </row>
    <row r="274" spans="1:12">
      <c r="A274">
        <v>2026</v>
      </c>
      <c r="B274">
        <v>26</v>
      </c>
      <c r="C274" t="s">
        <v>10</v>
      </c>
      <c r="D274" t="s">
        <v>8</v>
      </c>
      <c r="E274" s="2" t="s">
        <v>91</v>
      </c>
      <c r="F274" t="s">
        <v>23</v>
      </c>
      <c r="G274" t="str">
        <f t="shared" si="12"/>
        <v>26031RUBICON</v>
      </c>
      <c r="H274">
        <v>3644</v>
      </c>
      <c r="I274" s="9">
        <f>VLOOKUP(G274,[4]Astroflores!$G$2:$H$109,2,FALSE)</f>
        <v>3390</v>
      </c>
      <c r="J274" s="5">
        <f t="shared" si="13"/>
        <v>-7.4926253687315633E-2</v>
      </c>
      <c r="K274">
        <f>VLOOKUP(G274,[5]Estimado_modelo!$G$2:$H$424,2,FALSE)</f>
        <v>3593</v>
      </c>
      <c r="L274">
        <f t="shared" si="14"/>
        <v>-5.9882005899705014E-2</v>
      </c>
    </row>
    <row r="275" spans="1:12">
      <c r="A275">
        <v>2026</v>
      </c>
      <c r="B275">
        <v>26</v>
      </c>
      <c r="C275" t="s">
        <v>7</v>
      </c>
      <c r="D275" t="s">
        <v>8</v>
      </c>
      <c r="E275" s="2" t="s">
        <v>77</v>
      </c>
      <c r="F275" t="s">
        <v>44</v>
      </c>
      <c r="G275" t="str">
        <f t="shared" si="12"/>
        <v>26004HOT EXPLORER</v>
      </c>
      <c r="H275">
        <v>4531</v>
      </c>
      <c r="I275" s="9">
        <f>VLOOKUP(G275,[4]Astroflores!$G$2:$H$109,2,FALSE)</f>
        <v>4925</v>
      </c>
      <c r="J275" s="5">
        <f t="shared" si="13"/>
        <v>0.08</v>
      </c>
      <c r="K275">
        <f>VLOOKUP(G275,[5]Estimado_modelo!$G$2:$H$424,2,FALSE)</f>
        <v>5218</v>
      </c>
      <c r="L275">
        <f t="shared" si="14"/>
        <v>-5.9492385786802028E-2</v>
      </c>
    </row>
    <row r="276" spans="1:12">
      <c r="A276">
        <v>2026</v>
      </c>
      <c r="B276">
        <v>26</v>
      </c>
      <c r="C276" t="s">
        <v>7</v>
      </c>
      <c r="D276" t="s">
        <v>8</v>
      </c>
      <c r="E276" s="2" t="s">
        <v>86</v>
      </c>
      <c r="F276" t="s">
        <v>54</v>
      </c>
      <c r="G276" t="str">
        <f t="shared" si="12"/>
        <v>26019BRIGHTON</v>
      </c>
      <c r="H276">
        <v>7621</v>
      </c>
      <c r="I276" s="9">
        <f>VLOOKUP(G276,[4]Astroflores!$G$2:$H$109,2,FALSE)</f>
        <v>7775</v>
      </c>
      <c r="J276" s="5">
        <f t="shared" si="13"/>
        <v>1.9807073954983923E-2</v>
      </c>
      <c r="K276">
        <f>VLOOKUP(G276,[5]Estimado_modelo!$G$2:$H$424,2,FALSE)</f>
        <v>8164</v>
      </c>
      <c r="L276">
        <f t="shared" si="14"/>
        <v>-5.0032154340836014E-2</v>
      </c>
    </row>
    <row r="277" spans="1:12">
      <c r="A277">
        <v>2026</v>
      </c>
      <c r="B277">
        <v>28</v>
      </c>
      <c r="C277" t="s">
        <v>7</v>
      </c>
      <c r="D277" t="s">
        <v>8</v>
      </c>
      <c r="E277" s="2" t="s">
        <v>77</v>
      </c>
      <c r="F277" t="s">
        <v>44</v>
      </c>
      <c r="G277" t="str">
        <f t="shared" si="12"/>
        <v>28004HOT EXPLORER</v>
      </c>
      <c r="H277">
        <v>2569</v>
      </c>
      <c r="I277" s="9">
        <f>VLOOKUP(G277,[2]Astroflores!$G$2:$H$110,2,FALSE)</f>
        <v>2425</v>
      </c>
      <c r="J277" s="5">
        <f t="shared" si="13"/>
        <v>-5.9381443298969071E-2</v>
      </c>
      <c r="K277">
        <f>VLOOKUP(G277,[5]Estimado_modelo!$G$2:$H$424,2,FALSE)</f>
        <v>2566</v>
      </c>
      <c r="L277">
        <f t="shared" si="14"/>
        <v>-5.8144329896907217E-2</v>
      </c>
    </row>
    <row r="278" spans="1:12">
      <c r="A278">
        <v>2026</v>
      </c>
      <c r="B278">
        <v>29</v>
      </c>
      <c r="C278" t="s">
        <v>7</v>
      </c>
      <c r="D278" t="s">
        <v>8</v>
      </c>
      <c r="E278" s="2" t="s">
        <v>77</v>
      </c>
      <c r="F278" t="s">
        <v>43</v>
      </c>
      <c r="G278" t="str">
        <f t="shared" si="12"/>
        <v>29004COTOPAXI</v>
      </c>
      <c r="H278">
        <v>788</v>
      </c>
      <c r="I278" s="9">
        <f>VLOOKUP(G278,[1]Estimado_modelo!$G$2:$I$421,3,FALSE)</f>
        <v>900</v>
      </c>
      <c r="J278" s="5">
        <f t="shared" si="13"/>
        <v>0.12444444444444444</v>
      </c>
      <c r="K278">
        <f>VLOOKUP(G278,[5]Estimado_modelo!$G$2:$H$424,2,FALSE)</f>
        <v>942</v>
      </c>
      <c r="L278">
        <f t="shared" si="14"/>
        <v>-4.6666666666666669E-2</v>
      </c>
    </row>
    <row r="279" spans="1:12">
      <c r="A279">
        <v>2026</v>
      </c>
      <c r="B279">
        <v>28</v>
      </c>
      <c r="C279" t="s">
        <v>10</v>
      </c>
      <c r="D279" t="s">
        <v>8</v>
      </c>
      <c r="E279" s="2" t="s">
        <v>91</v>
      </c>
      <c r="F279" t="s">
        <v>23</v>
      </c>
      <c r="G279" t="str">
        <f t="shared" si="12"/>
        <v>28031RUBICON</v>
      </c>
      <c r="H279">
        <v>2265</v>
      </c>
      <c r="I279" s="9">
        <f>VLOOKUP(G279,[2]Astroflores!$G$2:$H$110,2,FALSE)</f>
        <v>2520</v>
      </c>
      <c r="J279" s="5">
        <f t="shared" si="13"/>
        <v>0.10119047619047619</v>
      </c>
      <c r="K279">
        <f>VLOOKUP(G279,[5]Estimado_modelo!$G$2:$H$424,2,FALSE)</f>
        <v>2645</v>
      </c>
      <c r="L279">
        <f t="shared" si="14"/>
        <v>-4.96031746031746E-2</v>
      </c>
    </row>
    <row r="280" spans="1:12">
      <c r="A280">
        <v>2026</v>
      </c>
      <c r="B280">
        <v>26</v>
      </c>
      <c r="C280" t="s">
        <v>7</v>
      </c>
      <c r="D280" t="s">
        <v>8</v>
      </c>
      <c r="E280" s="2" t="s">
        <v>102</v>
      </c>
      <c r="F280" t="s">
        <v>43</v>
      </c>
      <c r="G280" t="str">
        <f t="shared" si="12"/>
        <v>26023COTOPAXI</v>
      </c>
      <c r="H280">
        <v>5472</v>
      </c>
      <c r="I280" s="9">
        <f>VLOOKUP(G280,[4]Astroflores!$G$2:$H$109,2,FALSE)</f>
        <v>5730</v>
      </c>
      <c r="J280" s="5">
        <f t="shared" si="13"/>
        <v>4.5026178010471207E-2</v>
      </c>
      <c r="K280">
        <f>VLOOKUP(G280,[5]Estimado_modelo!$G$2:$H$424,2,FALSE)</f>
        <v>6050</v>
      </c>
      <c r="L280">
        <f t="shared" si="14"/>
        <v>-5.5846422338568937E-2</v>
      </c>
    </row>
    <row r="281" spans="1:12">
      <c r="A281">
        <v>2026</v>
      </c>
      <c r="B281">
        <v>26</v>
      </c>
      <c r="C281" t="s">
        <v>7</v>
      </c>
      <c r="D281" t="s">
        <v>8</v>
      </c>
      <c r="E281" s="2" t="s">
        <v>107</v>
      </c>
      <c r="F281" t="s">
        <v>43</v>
      </c>
      <c r="G281" t="str">
        <f t="shared" si="12"/>
        <v>26028COTOPAXI</v>
      </c>
      <c r="H281">
        <v>5712</v>
      </c>
      <c r="I281" s="9">
        <f>VLOOKUP(G281,[4]Astroflores!$G$2:$H$109,2,FALSE)</f>
        <v>5580</v>
      </c>
      <c r="J281" s="5">
        <f t="shared" si="13"/>
        <v>-2.3655913978494623E-2</v>
      </c>
      <c r="K281">
        <f>VLOOKUP(G281,[5]Estimado_modelo!$G$2:$H$424,2,FALSE)</f>
        <v>5929</v>
      </c>
      <c r="L281">
        <f t="shared" si="14"/>
        <v>-6.2544802867383509E-2</v>
      </c>
    </row>
    <row r="282" spans="1:12">
      <c r="A282">
        <v>2026</v>
      </c>
      <c r="B282">
        <v>26</v>
      </c>
      <c r="C282" t="s">
        <v>7</v>
      </c>
      <c r="D282" t="s">
        <v>8</v>
      </c>
      <c r="E282" s="2" t="s">
        <v>103</v>
      </c>
      <c r="F282" t="s">
        <v>43</v>
      </c>
      <c r="G282" t="str">
        <f t="shared" si="12"/>
        <v>26024COTOPAXI</v>
      </c>
      <c r="H282">
        <v>2923</v>
      </c>
      <c r="I282" s="9">
        <f>VLOOKUP(G282,[4]Astroflores!$G$2:$H$109,2,FALSE)</f>
        <v>3060</v>
      </c>
      <c r="J282" s="5">
        <f t="shared" si="13"/>
        <v>4.477124183006536E-2</v>
      </c>
      <c r="K282">
        <f>VLOOKUP(G282,[5]Estimado_modelo!$G$2:$H$424,2,FALSE)</f>
        <v>3229</v>
      </c>
      <c r="L282">
        <f t="shared" si="14"/>
        <v>-5.5228758169934639E-2</v>
      </c>
    </row>
    <row r="283" spans="1:12">
      <c r="A283">
        <v>2026</v>
      </c>
      <c r="B283">
        <v>26</v>
      </c>
      <c r="C283" t="s">
        <v>7</v>
      </c>
      <c r="D283" t="s">
        <v>8</v>
      </c>
      <c r="E283" s="2" t="s">
        <v>84</v>
      </c>
      <c r="F283" t="s">
        <v>46</v>
      </c>
      <c r="G283" t="str">
        <f t="shared" si="12"/>
        <v>26017GOLDFINCH</v>
      </c>
      <c r="H283">
        <v>3198</v>
      </c>
      <c r="I283" s="9">
        <f>VLOOKUP(G283,[4]Astroflores!$G$2:$H$109,2,FALSE)</f>
        <v>3425</v>
      </c>
      <c r="J283" s="5">
        <f t="shared" si="13"/>
        <v>6.6277372262773721E-2</v>
      </c>
      <c r="K283">
        <f>VLOOKUP(G283,[5]Estimado_modelo!$G$2:$H$424,2,FALSE)</f>
        <v>3609</v>
      </c>
      <c r="L283">
        <f t="shared" si="14"/>
        <v>-5.3722627737226275E-2</v>
      </c>
    </row>
    <row r="284" spans="1:12">
      <c r="A284">
        <v>2026</v>
      </c>
      <c r="B284">
        <v>26</v>
      </c>
      <c r="C284" t="s">
        <v>7</v>
      </c>
      <c r="D284" t="s">
        <v>8</v>
      </c>
      <c r="E284" s="2" t="s">
        <v>94</v>
      </c>
      <c r="F284" t="s">
        <v>9</v>
      </c>
      <c r="G284" t="str">
        <f t="shared" si="12"/>
        <v>26001LUMIA</v>
      </c>
      <c r="H284">
        <v>1927</v>
      </c>
      <c r="I284" s="9">
        <f>VLOOKUP(G284,[4]Astroflores!$G$2:$H$109,2,FALSE)</f>
        <v>2070</v>
      </c>
      <c r="J284" s="5">
        <f t="shared" si="13"/>
        <v>6.908212560386473E-2</v>
      </c>
      <c r="K284">
        <f>VLOOKUP(G284,[5]Estimado_modelo!$G$2:$H$424,2,FALSE)</f>
        <v>2250</v>
      </c>
      <c r="L284">
        <f t="shared" si="14"/>
        <v>-8.6956521739130432E-2</v>
      </c>
    </row>
    <row r="285" spans="1:12">
      <c r="A285">
        <v>2026</v>
      </c>
      <c r="B285">
        <v>27</v>
      </c>
      <c r="C285" t="s">
        <v>10</v>
      </c>
      <c r="D285" t="s">
        <v>8</v>
      </c>
      <c r="E285" s="2" t="s">
        <v>76</v>
      </c>
      <c r="F285" t="s">
        <v>11</v>
      </c>
      <c r="G285" t="str">
        <f t="shared" si="12"/>
        <v>27002SOMERSET</v>
      </c>
      <c r="H285">
        <v>5133</v>
      </c>
      <c r="I285" s="9">
        <f>VLOOKUP(G285,[3]Hoja1!$G$8515:$H$8621,2,FALSE)</f>
        <v>7100</v>
      </c>
      <c r="J285" s="5">
        <f t="shared" si="13"/>
        <v>0.27704225352112677</v>
      </c>
      <c r="K285">
        <f>VLOOKUP(G285,[5]Estimado_modelo!$G$2:$H$424,2,FALSE)</f>
        <v>7646</v>
      </c>
      <c r="L285">
        <f t="shared" si="14"/>
        <v>-7.6901408450704228E-2</v>
      </c>
    </row>
    <row r="286" spans="1:12">
      <c r="A286">
        <v>2026</v>
      </c>
      <c r="B286">
        <v>29</v>
      </c>
      <c r="C286" t="s">
        <v>7</v>
      </c>
      <c r="D286" t="s">
        <v>8</v>
      </c>
      <c r="E286" s="2" t="s">
        <v>107</v>
      </c>
      <c r="F286" t="s">
        <v>40</v>
      </c>
      <c r="G286" t="str">
        <f t="shared" si="12"/>
        <v>29028DEEP PURPLE</v>
      </c>
      <c r="H286">
        <v>8310</v>
      </c>
      <c r="I286" s="9">
        <f>VLOOKUP(G286,[1]Estimado_modelo!$G$2:$I$421,3,FALSE)</f>
        <v>7260</v>
      </c>
      <c r="J286" s="5">
        <f t="shared" si="13"/>
        <v>-0.14462809917355371</v>
      </c>
      <c r="K286">
        <f>VLOOKUP(G286,[5]Estimado_modelo!$G$2:$H$424,2,FALSE)</f>
        <v>7730</v>
      </c>
      <c r="L286">
        <f t="shared" si="14"/>
        <v>-6.4738292011019286E-2</v>
      </c>
    </row>
    <row r="287" spans="1:12">
      <c r="A287">
        <v>2026</v>
      </c>
      <c r="B287">
        <v>28</v>
      </c>
      <c r="C287" t="s">
        <v>10</v>
      </c>
      <c r="D287" t="s">
        <v>8</v>
      </c>
      <c r="E287" s="2" t="s">
        <v>85</v>
      </c>
      <c r="F287" t="s">
        <v>22</v>
      </c>
      <c r="G287" t="str">
        <f t="shared" si="12"/>
        <v>28018COSMO</v>
      </c>
      <c r="H287">
        <v>3401</v>
      </c>
      <c r="I287" s="9">
        <f>VLOOKUP(G287,[2]Astroflores!$G$2:$H$110,2,FALSE)</f>
        <v>3700</v>
      </c>
      <c r="J287" s="5">
        <f t="shared" si="13"/>
        <v>8.0810810810810804E-2</v>
      </c>
      <c r="K287">
        <f>VLOOKUP(G287,[5]Estimado_modelo!$G$2:$H$424,2,FALSE)</f>
        <v>3930</v>
      </c>
      <c r="L287">
        <f t="shared" si="14"/>
        <v>-6.2162162162162166E-2</v>
      </c>
    </row>
    <row r="288" spans="1:12">
      <c r="A288">
        <v>2026</v>
      </c>
      <c r="B288">
        <v>26</v>
      </c>
      <c r="C288" t="s">
        <v>7</v>
      </c>
      <c r="D288" t="s">
        <v>8</v>
      </c>
      <c r="E288" s="2" t="s">
        <v>94</v>
      </c>
      <c r="F288" t="s">
        <v>33</v>
      </c>
      <c r="G288" t="str">
        <f t="shared" si="12"/>
        <v>26001BELIEVE IN PINK</v>
      </c>
      <c r="H288">
        <v>1219</v>
      </c>
      <c r="I288" s="9">
        <f>VLOOKUP(G288,[4]Astroflores!$G$2:$H$109,2,FALSE)</f>
        <v>1230</v>
      </c>
      <c r="J288" s="5">
        <f t="shared" si="13"/>
        <v>8.9430894308943094E-3</v>
      </c>
      <c r="K288">
        <f>VLOOKUP(G288,[5]Estimado_modelo!$G$2:$H$424,2,FALSE)</f>
        <v>1306</v>
      </c>
      <c r="L288">
        <f t="shared" si="14"/>
        <v>-6.1788617886178863E-2</v>
      </c>
    </row>
    <row r="289" spans="1:12">
      <c r="A289">
        <v>2026</v>
      </c>
      <c r="B289">
        <v>27</v>
      </c>
      <c r="C289" t="s">
        <v>7</v>
      </c>
      <c r="D289" t="s">
        <v>8</v>
      </c>
      <c r="E289" s="2" t="s">
        <v>84</v>
      </c>
      <c r="F289" t="s">
        <v>51</v>
      </c>
      <c r="G289" t="str">
        <f t="shared" si="12"/>
        <v>27017FREEDOM</v>
      </c>
      <c r="H289">
        <v>5260</v>
      </c>
      <c r="I289" s="9">
        <f>VLOOKUP(G289,[3]Hoja1!$G$8515:$H$8621,2,FALSE)</f>
        <v>5880</v>
      </c>
      <c r="J289" s="5">
        <f t="shared" si="13"/>
        <v>0.10544217687074831</v>
      </c>
      <c r="K289">
        <f>VLOOKUP(G289,[5]Estimado_modelo!$G$2:$H$424,2,FALSE)</f>
        <v>6251</v>
      </c>
      <c r="L289">
        <f t="shared" si="14"/>
        <v>-6.3095238095238093E-2</v>
      </c>
    </row>
    <row r="290" spans="1:12">
      <c r="A290">
        <v>2026</v>
      </c>
      <c r="B290">
        <v>26</v>
      </c>
      <c r="C290" t="s">
        <v>10</v>
      </c>
      <c r="D290" t="s">
        <v>8</v>
      </c>
      <c r="E290" s="2" t="s">
        <v>80</v>
      </c>
      <c r="F290" t="s">
        <v>14</v>
      </c>
      <c r="G290" t="str">
        <f t="shared" si="12"/>
        <v>26009HOT BUBBLES</v>
      </c>
      <c r="H290">
        <v>11826</v>
      </c>
      <c r="I290" s="9">
        <f>VLOOKUP(G290,[4]Astroflores!$G$2:$H$109,2,FALSE)</f>
        <v>13480</v>
      </c>
      <c r="J290" s="5">
        <f t="shared" si="13"/>
        <v>0.12270029673590505</v>
      </c>
      <c r="K290">
        <f>VLOOKUP(G290,[5]Estimado_modelo!$G$2:$H$424,2,FALSE)</f>
        <v>14385</v>
      </c>
      <c r="L290">
        <f t="shared" si="14"/>
        <v>-6.7136498516320475E-2</v>
      </c>
    </row>
    <row r="291" spans="1:12">
      <c r="A291">
        <v>2026</v>
      </c>
      <c r="B291">
        <v>29</v>
      </c>
      <c r="C291" t="s">
        <v>10</v>
      </c>
      <c r="D291" t="s">
        <v>8</v>
      </c>
      <c r="E291" s="2" t="s">
        <v>78</v>
      </c>
      <c r="F291" t="s">
        <v>15</v>
      </c>
      <c r="G291" t="str">
        <f t="shared" si="12"/>
        <v>29005SUSPIRO</v>
      </c>
      <c r="H291">
        <v>3092</v>
      </c>
      <c r="I291" s="9">
        <f>VLOOKUP(G291,[1]Estimado_modelo!$G$2:$I$421,3,FALSE)</f>
        <v>3090</v>
      </c>
      <c r="J291" s="5">
        <f t="shared" si="13"/>
        <v>-6.4724919093851134E-4</v>
      </c>
      <c r="K291">
        <f>VLOOKUP(G291,[5]Estimado_modelo!$G$2:$H$424,2,FALSE)</f>
        <v>3285</v>
      </c>
      <c r="L291">
        <f t="shared" si="14"/>
        <v>-6.3106796116504854E-2</v>
      </c>
    </row>
    <row r="292" spans="1:12">
      <c r="A292">
        <v>2026</v>
      </c>
      <c r="B292">
        <v>26</v>
      </c>
      <c r="C292" t="s">
        <v>7</v>
      </c>
      <c r="D292" t="s">
        <v>8</v>
      </c>
      <c r="E292" s="2" t="s">
        <v>94</v>
      </c>
      <c r="F292" t="s">
        <v>34</v>
      </c>
      <c r="G292" t="str">
        <f t="shared" si="12"/>
        <v>26001EXPLORER</v>
      </c>
      <c r="H292">
        <v>6231</v>
      </c>
      <c r="I292" s="9">
        <f>VLOOKUP(G292,[4]Astroflores!$G$2:$H$109,2,FALSE)</f>
        <v>6925</v>
      </c>
      <c r="J292" s="5">
        <f t="shared" si="13"/>
        <v>0.10021660649819494</v>
      </c>
      <c r="K292">
        <f>VLOOKUP(G292,[5]Estimado_modelo!$G$2:$H$424,2,FALSE)</f>
        <v>7397</v>
      </c>
      <c r="L292">
        <f t="shared" si="14"/>
        <v>-6.8158844765342966E-2</v>
      </c>
    </row>
    <row r="293" spans="1:12">
      <c r="A293">
        <v>2026</v>
      </c>
      <c r="B293">
        <v>26</v>
      </c>
      <c r="C293" t="s">
        <v>7</v>
      </c>
      <c r="D293" t="s">
        <v>8</v>
      </c>
      <c r="E293" s="2" t="s">
        <v>106</v>
      </c>
      <c r="F293" t="s">
        <v>70</v>
      </c>
      <c r="G293" t="str">
        <f t="shared" si="12"/>
        <v>26027SATISFACTION</v>
      </c>
      <c r="H293">
        <v>5076</v>
      </c>
      <c r="I293" s="9">
        <f>VLOOKUP(G293,[4]Astroflores!$G$2:$H$109,2,FALSE)</f>
        <v>4230</v>
      </c>
      <c r="J293" s="5">
        <f t="shared" si="13"/>
        <v>-0.2</v>
      </c>
      <c r="K293">
        <f>VLOOKUP(G293,[5]Estimado_modelo!$G$2:$H$424,2,FALSE)</f>
        <v>4610</v>
      </c>
      <c r="L293">
        <f t="shared" si="14"/>
        <v>-8.9834515366430265E-2</v>
      </c>
    </row>
    <row r="294" spans="1:12">
      <c r="A294">
        <v>2026</v>
      </c>
      <c r="B294">
        <v>26</v>
      </c>
      <c r="C294" t="s">
        <v>7</v>
      </c>
      <c r="D294" t="s">
        <v>8</v>
      </c>
      <c r="E294" s="2" t="s">
        <v>99</v>
      </c>
      <c r="F294" t="s">
        <v>57</v>
      </c>
      <c r="G294" t="str">
        <f t="shared" si="12"/>
        <v>26011STARDUST</v>
      </c>
      <c r="H294">
        <v>3258</v>
      </c>
      <c r="I294" s="9">
        <f>VLOOKUP(G294,[4]Astroflores!$G$2:$H$109,2,FALSE)</f>
        <v>3325</v>
      </c>
      <c r="J294" s="5">
        <f t="shared" si="13"/>
        <v>2.0150375939849623E-2</v>
      </c>
      <c r="K294">
        <f>VLOOKUP(G294,[5]Estimado_modelo!$G$2:$H$424,2,FALSE)</f>
        <v>3586</v>
      </c>
      <c r="L294">
        <f t="shared" si="14"/>
        <v>-7.8496240601503758E-2</v>
      </c>
    </row>
    <row r="295" spans="1:12">
      <c r="A295">
        <v>2026</v>
      </c>
      <c r="B295">
        <v>26</v>
      </c>
      <c r="C295" t="s">
        <v>7</v>
      </c>
      <c r="D295" t="s">
        <v>8</v>
      </c>
      <c r="E295" s="2" t="s">
        <v>108</v>
      </c>
      <c r="F295" t="s">
        <v>72</v>
      </c>
      <c r="G295" t="str">
        <f t="shared" si="12"/>
        <v>26029PINK FLOYD</v>
      </c>
      <c r="H295">
        <v>4734</v>
      </c>
      <c r="I295" s="9">
        <f>VLOOKUP(G295,[4]Astroflores!$G$2:$H$109,2,FALSE)</f>
        <v>4075</v>
      </c>
      <c r="J295" s="5">
        <f t="shared" si="13"/>
        <v>-0.16171779141104295</v>
      </c>
      <c r="K295">
        <f>VLOOKUP(G295,[5]Estimado_modelo!$G$2:$H$424,2,FALSE)</f>
        <v>4398</v>
      </c>
      <c r="L295">
        <f t="shared" si="14"/>
        <v>-7.9263803680981598E-2</v>
      </c>
    </row>
    <row r="296" spans="1:12">
      <c r="A296">
        <v>2026</v>
      </c>
      <c r="B296">
        <v>26</v>
      </c>
      <c r="C296" t="s">
        <v>7</v>
      </c>
      <c r="D296" t="s">
        <v>8</v>
      </c>
      <c r="E296" s="2" t="s">
        <v>83</v>
      </c>
      <c r="F296" t="s">
        <v>61</v>
      </c>
      <c r="G296" t="str">
        <f t="shared" si="12"/>
        <v>26016NINA</v>
      </c>
      <c r="H296">
        <v>4485</v>
      </c>
      <c r="I296" s="9">
        <f>VLOOKUP(G296,[4]Astroflores!$G$2:$H$109,2,FALSE)</f>
        <v>4975</v>
      </c>
      <c r="J296" s="5">
        <f t="shared" si="13"/>
        <v>9.8492462311557782E-2</v>
      </c>
      <c r="K296">
        <f>VLOOKUP(G296,[5]Estimado_modelo!$G$2:$H$424,2,FALSE)</f>
        <v>5304</v>
      </c>
      <c r="L296">
        <f t="shared" si="14"/>
        <v>-6.6130653266331663E-2</v>
      </c>
    </row>
    <row r="297" spans="1:12">
      <c r="A297">
        <v>2026</v>
      </c>
      <c r="B297">
        <v>26</v>
      </c>
      <c r="C297" t="s">
        <v>7</v>
      </c>
      <c r="D297" t="s">
        <v>8</v>
      </c>
      <c r="E297" s="2" t="s">
        <v>96</v>
      </c>
      <c r="F297" t="s">
        <v>49</v>
      </c>
      <c r="G297" t="str">
        <f t="shared" si="12"/>
        <v>26006MONDIAL</v>
      </c>
      <c r="H297">
        <v>6988</v>
      </c>
      <c r="I297" s="9">
        <f>VLOOKUP(G297,[4]Astroflores!$G$2:$H$109,2,FALSE)</f>
        <v>5525</v>
      </c>
      <c r="J297" s="5">
        <f t="shared" si="13"/>
        <v>-0.26479638009049772</v>
      </c>
      <c r="K297">
        <f>VLOOKUP(G297,[5]Estimado_modelo!$G$2:$H$424,2,FALSE)</f>
        <v>6002</v>
      </c>
      <c r="L297">
        <f t="shared" si="14"/>
        <v>-8.6334841628959283E-2</v>
      </c>
    </row>
    <row r="298" spans="1:12">
      <c r="A298">
        <v>2026</v>
      </c>
      <c r="B298">
        <v>28</v>
      </c>
      <c r="C298" t="s">
        <v>10</v>
      </c>
      <c r="D298" t="s">
        <v>8</v>
      </c>
      <c r="E298" s="2" t="s">
        <v>76</v>
      </c>
      <c r="F298" t="s">
        <v>11</v>
      </c>
      <c r="G298" t="str">
        <f t="shared" si="12"/>
        <v>28002SOMERSET</v>
      </c>
      <c r="H298">
        <v>6950</v>
      </c>
      <c r="I298" s="9">
        <f>VLOOKUP(G298,[2]Astroflores!$G$2:$H$110,2,FALSE)</f>
        <v>7280</v>
      </c>
      <c r="J298" s="5">
        <f t="shared" si="13"/>
        <v>4.5329670329670328E-2</v>
      </c>
      <c r="K298">
        <f>VLOOKUP(G298,[5]Estimado_modelo!$G$2:$H$424,2,FALSE)</f>
        <v>7859</v>
      </c>
      <c r="L298">
        <f t="shared" si="14"/>
        <v>-7.9532967032967028E-2</v>
      </c>
    </row>
    <row r="299" spans="1:12">
      <c r="A299">
        <v>2026</v>
      </c>
      <c r="B299">
        <v>26</v>
      </c>
      <c r="C299" t="s">
        <v>7</v>
      </c>
      <c r="D299" t="s">
        <v>8</v>
      </c>
      <c r="E299" s="2" t="s">
        <v>98</v>
      </c>
      <c r="F299" t="s">
        <v>52</v>
      </c>
      <c r="G299" t="str">
        <f t="shared" si="12"/>
        <v>26010COOLDOWN</v>
      </c>
      <c r="H299">
        <v>3615</v>
      </c>
      <c r="I299" s="9">
        <f>VLOOKUP(G299,[4]Astroflores!$G$2:$H$109,2,FALSE)</f>
        <v>4025</v>
      </c>
      <c r="J299" s="5">
        <f t="shared" si="13"/>
        <v>0.10186335403726708</v>
      </c>
      <c r="K299">
        <f>VLOOKUP(G299,[5]Estimado_modelo!$G$2:$H$424,2,FALSE)</f>
        <v>4397</v>
      </c>
      <c r="L299">
        <f t="shared" si="14"/>
        <v>-9.2422360248447202E-2</v>
      </c>
    </row>
    <row r="300" spans="1:12">
      <c r="A300">
        <v>2026</v>
      </c>
      <c r="B300">
        <v>26</v>
      </c>
      <c r="C300" t="s">
        <v>10</v>
      </c>
      <c r="D300" t="s">
        <v>8</v>
      </c>
      <c r="E300" s="2" t="s">
        <v>77</v>
      </c>
      <c r="F300" t="s">
        <v>12</v>
      </c>
      <c r="G300" t="str">
        <f t="shared" si="12"/>
        <v>26004BELLINA</v>
      </c>
      <c r="H300">
        <v>1837</v>
      </c>
      <c r="I300" s="9">
        <f>VLOOKUP(G300,[4]Astroflores!$G$2:$H$109,2,FALSE)</f>
        <v>1950</v>
      </c>
      <c r="J300" s="5">
        <f t="shared" si="13"/>
        <v>5.7948717948717948E-2</v>
      </c>
      <c r="K300">
        <f>VLOOKUP(G300,[5]Estimado_modelo!$G$2:$H$424,2,FALSE)</f>
        <v>2136</v>
      </c>
      <c r="L300">
        <f t="shared" si="14"/>
        <v>-9.5384615384615387E-2</v>
      </c>
    </row>
    <row r="301" spans="1:12">
      <c r="A301">
        <v>2026</v>
      </c>
      <c r="B301">
        <v>28</v>
      </c>
      <c r="C301" t="s">
        <v>7</v>
      </c>
      <c r="D301" t="s">
        <v>8</v>
      </c>
      <c r="E301" s="2" t="s">
        <v>101</v>
      </c>
      <c r="F301" t="s">
        <v>9</v>
      </c>
      <c r="G301" t="str">
        <f t="shared" si="12"/>
        <v>28013LUMIA</v>
      </c>
      <c r="H301">
        <v>558</v>
      </c>
      <c r="I301" s="9">
        <f>VLOOKUP(G301,[2]Astroflores!$G$2:$H$110,2,FALSE)</f>
        <v>630</v>
      </c>
      <c r="J301" s="5">
        <f t="shared" si="13"/>
        <v>0.11428571428571428</v>
      </c>
      <c r="K301">
        <f>VLOOKUP(G301,[5]Estimado_modelo!$G$2:$H$424,2,FALSE)</f>
        <v>686</v>
      </c>
      <c r="L301">
        <f t="shared" si="14"/>
        <v>-8.8888888888888892E-2</v>
      </c>
    </row>
    <row r="302" spans="1:12">
      <c r="A302">
        <v>2026</v>
      </c>
      <c r="B302">
        <v>26</v>
      </c>
      <c r="C302" t="s">
        <v>7</v>
      </c>
      <c r="D302" t="s">
        <v>8</v>
      </c>
      <c r="E302" s="2" t="s">
        <v>95</v>
      </c>
      <c r="F302" t="s">
        <v>34</v>
      </c>
      <c r="G302" t="str">
        <f t="shared" si="12"/>
        <v>26003EXPLORER</v>
      </c>
      <c r="H302">
        <v>3276</v>
      </c>
      <c r="I302" s="9">
        <f>VLOOKUP(G302,[4]Astroflores!$G$2:$H$109,2,FALSE)</f>
        <v>2875</v>
      </c>
      <c r="J302" s="5">
        <f t="shared" si="13"/>
        <v>-0.13947826086956522</v>
      </c>
      <c r="K302">
        <f>VLOOKUP(G302,[5]Estimado_modelo!$G$2:$H$424,2,FALSE)</f>
        <v>3152</v>
      </c>
      <c r="L302">
        <f t="shared" si="14"/>
        <v>-9.6347826086956523E-2</v>
      </c>
    </row>
    <row r="303" spans="1:12">
      <c r="A303">
        <v>2026</v>
      </c>
      <c r="B303">
        <v>26</v>
      </c>
      <c r="C303" t="s">
        <v>7</v>
      </c>
      <c r="D303" t="s">
        <v>8</v>
      </c>
      <c r="E303" s="2" t="s">
        <v>81</v>
      </c>
      <c r="F303" t="s">
        <v>57</v>
      </c>
      <c r="G303" t="str">
        <f t="shared" si="12"/>
        <v>26014STARDUST</v>
      </c>
      <c r="H303">
        <v>5649</v>
      </c>
      <c r="I303" s="9">
        <f>VLOOKUP(G303,[4]Astroflores!$G$2:$H$109,2,FALSE)</f>
        <v>5525</v>
      </c>
      <c r="J303" s="5">
        <f t="shared" si="13"/>
        <v>-2.2443438914027149E-2</v>
      </c>
      <c r="K303">
        <f>VLOOKUP(G303,[5]Estimado_modelo!$G$2:$H$424,2,FALSE)</f>
        <v>6018</v>
      </c>
      <c r="L303">
        <f t="shared" si="14"/>
        <v>-8.9230769230769225E-2</v>
      </c>
    </row>
    <row r="304" spans="1:12">
      <c r="A304">
        <v>2026</v>
      </c>
      <c r="B304">
        <v>26</v>
      </c>
      <c r="C304" t="s">
        <v>7</v>
      </c>
      <c r="D304" t="s">
        <v>8</v>
      </c>
      <c r="E304" s="2" t="s">
        <v>99</v>
      </c>
      <c r="F304" t="s">
        <v>56</v>
      </c>
      <c r="G304" t="str">
        <f t="shared" si="12"/>
        <v>26011CAYENNE</v>
      </c>
      <c r="H304">
        <v>1722</v>
      </c>
      <c r="I304" s="9">
        <f>VLOOKUP(G304,[4]Astroflores!$G$2:$H$109,2,FALSE)</f>
        <v>1590</v>
      </c>
      <c r="J304" s="5">
        <f t="shared" si="13"/>
        <v>-8.3018867924528297E-2</v>
      </c>
      <c r="K304">
        <f>VLOOKUP(G304,[5]Estimado_modelo!$G$2:$H$424,2,FALSE)</f>
        <v>1743</v>
      </c>
      <c r="L304">
        <f t="shared" si="14"/>
        <v>-9.6226415094339629E-2</v>
      </c>
    </row>
    <row r="305" spans="1:12">
      <c r="A305">
        <v>2026</v>
      </c>
      <c r="B305">
        <v>26</v>
      </c>
      <c r="C305" t="s">
        <v>7</v>
      </c>
      <c r="D305" t="s">
        <v>8</v>
      </c>
      <c r="E305" s="2" t="s">
        <v>101</v>
      </c>
      <c r="F305" t="s">
        <v>59</v>
      </c>
      <c r="G305" t="str">
        <f t="shared" si="12"/>
        <v>26013LORRAINE</v>
      </c>
      <c r="H305">
        <v>4052</v>
      </c>
      <c r="I305" s="9">
        <f>VLOOKUP(G305,[4]Astroflores!$G$2:$H$109,2,FALSE)</f>
        <v>3350</v>
      </c>
      <c r="J305" s="5">
        <f t="shared" si="13"/>
        <v>-0.20955223880597015</v>
      </c>
      <c r="K305">
        <f>VLOOKUP(G305,[5]Estimado_modelo!$G$2:$H$424,2,FALSE)</f>
        <v>3690</v>
      </c>
      <c r="L305">
        <f t="shared" si="14"/>
        <v>-0.10149253731343283</v>
      </c>
    </row>
    <row r="306" spans="1:12">
      <c r="A306">
        <v>2026</v>
      </c>
      <c r="B306">
        <v>29</v>
      </c>
      <c r="C306" t="s">
        <v>7</v>
      </c>
      <c r="D306" t="s">
        <v>8</v>
      </c>
      <c r="E306" s="2" t="s">
        <v>99</v>
      </c>
      <c r="F306" t="s">
        <v>56</v>
      </c>
      <c r="G306" t="str">
        <f t="shared" si="12"/>
        <v>29011CAYENNE</v>
      </c>
      <c r="H306">
        <v>1440</v>
      </c>
      <c r="I306" s="9">
        <f>VLOOKUP(G306,[1]Estimado_modelo!$G$2:$I$421,3,FALSE)</f>
        <v>1530</v>
      </c>
      <c r="J306" s="5">
        <f t="shared" si="13"/>
        <v>5.8823529411764705E-2</v>
      </c>
      <c r="K306">
        <f>VLOOKUP(G306,[5]Estimado_modelo!$G$2:$H$424,2,FALSE)</f>
        <v>1633</v>
      </c>
      <c r="L306">
        <f t="shared" si="14"/>
        <v>-6.7320261437908493E-2</v>
      </c>
    </row>
    <row r="307" spans="1:12">
      <c r="A307">
        <v>2026</v>
      </c>
      <c r="B307">
        <v>27</v>
      </c>
      <c r="C307" t="s">
        <v>7</v>
      </c>
      <c r="D307" t="s">
        <v>8</v>
      </c>
      <c r="E307" s="2" t="s">
        <v>79</v>
      </c>
      <c r="F307" t="s">
        <v>43</v>
      </c>
      <c r="G307" t="str">
        <f t="shared" si="12"/>
        <v>27007COTOPAXI</v>
      </c>
      <c r="H307">
        <v>7438</v>
      </c>
      <c r="I307" s="9">
        <f>VLOOKUP(G307,[3]Hoja1!$G$8515:$H$8621,2,FALSE)</f>
        <v>8100</v>
      </c>
      <c r="J307" s="5">
        <f t="shared" si="13"/>
        <v>8.1728395061728396E-2</v>
      </c>
      <c r="K307">
        <f>VLOOKUP(G307,[5]Estimado_modelo!$G$2:$H$424,2,FALSE)</f>
        <v>8829</v>
      </c>
      <c r="L307">
        <f t="shared" si="14"/>
        <v>-0.09</v>
      </c>
    </row>
    <row r="308" spans="1:12">
      <c r="A308">
        <v>2026</v>
      </c>
      <c r="B308">
        <v>26</v>
      </c>
      <c r="C308" t="s">
        <v>7</v>
      </c>
      <c r="D308" t="s">
        <v>8</v>
      </c>
      <c r="E308" s="2" t="s">
        <v>94</v>
      </c>
      <c r="F308" t="s">
        <v>37</v>
      </c>
      <c r="G308" t="str">
        <f t="shared" si="12"/>
        <v>26001MOMENTUM</v>
      </c>
      <c r="H308">
        <v>4058</v>
      </c>
      <c r="I308" s="9">
        <f>VLOOKUP(G308,[4]Astroflores!$G$2:$H$109,2,FALSE)</f>
        <v>3475</v>
      </c>
      <c r="J308" s="5">
        <f t="shared" si="13"/>
        <v>-0.16776978417266186</v>
      </c>
      <c r="K308">
        <f>VLOOKUP(G308,[5]Estimado_modelo!$G$2:$H$424,2,FALSE)</f>
        <v>3814</v>
      </c>
      <c r="L308">
        <f t="shared" si="14"/>
        <v>-9.7553956834532371E-2</v>
      </c>
    </row>
    <row r="309" spans="1:12">
      <c r="A309">
        <v>2026</v>
      </c>
      <c r="B309">
        <v>26</v>
      </c>
      <c r="C309" t="s">
        <v>7</v>
      </c>
      <c r="D309" t="s">
        <v>8</v>
      </c>
      <c r="E309" s="2" t="s">
        <v>99</v>
      </c>
      <c r="F309" t="s">
        <v>55</v>
      </c>
      <c r="G309" t="str">
        <f t="shared" si="12"/>
        <v>26011CANDLELIGHT</v>
      </c>
      <c r="H309">
        <v>4808</v>
      </c>
      <c r="I309" s="9">
        <f>VLOOKUP(G309,[4]Astroflores!$G$2:$H$109,2,FALSE)</f>
        <v>4160</v>
      </c>
      <c r="J309" s="5">
        <f t="shared" si="13"/>
        <v>-0.15576923076923077</v>
      </c>
      <c r="K309">
        <f>VLOOKUP(G309,[5]Estimado_modelo!$G$2:$H$424,2,FALSE)</f>
        <v>4559</v>
      </c>
      <c r="L309">
        <f t="shared" si="14"/>
        <v>-9.5913461538461545E-2</v>
      </c>
    </row>
    <row r="310" spans="1:12">
      <c r="A310">
        <v>2026</v>
      </c>
      <c r="B310">
        <v>26</v>
      </c>
      <c r="C310" t="s">
        <v>7</v>
      </c>
      <c r="D310" t="s">
        <v>8</v>
      </c>
      <c r="E310" s="2" t="s">
        <v>83</v>
      </c>
      <c r="F310" t="s">
        <v>60</v>
      </c>
      <c r="G310" t="str">
        <f t="shared" si="12"/>
        <v>26016DREAM IN PEACH</v>
      </c>
      <c r="H310">
        <v>1826</v>
      </c>
      <c r="I310" s="9">
        <f>VLOOKUP(G310,[4]Astroflores!$G$2:$H$109,2,FALSE)</f>
        <v>1770</v>
      </c>
      <c r="J310" s="5">
        <f t="shared" si="13"/>
        <v>-3.1638418079096044E-2</v>
      </c>
      <c r="K310">
        <f>VLOOKUP(G310,[5]Estimado_modelo!$G$2:$H$424,2,FALSE)</f>
        <v>1960</v>
      </c>
      <c r="L310">
        <f t="shared" si="14"/>
        <v>-0.10734463276836158</v>
      </c>
    </row>
    <row r="311" spans="1:12">
      <c r="A311">
        <v>2026</v>
      </c>
      <c r="B311">
        <v>29</v>
      </c>
      <c r="C311" t="s">
        <v>10</v>
      </c>
      <c r="D311" t="s">
        <v>8</v>
      </c>
      <c r="E311" s="2" t="s">
        <v>85</v>
      </c>
      <c r="F311" t="s">
        <v>23</v>
      </c>
      <c r="G311" t="str">
        <f t="shared" si="12"/>
        <v>29018RUBICON</v>
      </c>
      <c r="H311">
        <v>3955</v>
      </c>
      <c r="I311" s="9">
        <f>VLOOKUP(G311,[1]Estimado_modelo!$G$2:$I$421,3,FALSE)</f>
        <v>3540</v>
      </c>
      <c r="J311" s="5">
        <f t="shared" si="13"/>
        <v>-0.1172316384180791</v>
      </c>
      <c r="K311">
        <f>VLOOKUP(G311,[5]Estimado_modelo!$G$2:$H$424,2,FALSE)</f>
        <v>3937</v>
      </c>
      <c r="L311">
        <f t="shared" si="14"/>
        <v>-0.11214689265536723</v>
      </c>
    </row>
    <row r="312" spans="1:12">
      <c r="A312">
        <v>2026</v>
      </c>
      <c r="B312">
        <v>28</v>
      </c>
      <c r="C312" t="s">
        <v>10</v>
      </c>
      <c r="D312" t="s">
        <v>8</v>
      </c>
      <c r="E312" s="2" t="s">
        <v>86</v>
      </c>
      <c r="F312" t="s">
        <v>12</v>
      </c>
      <c r="G312" t="str">
        <f t="shared" si="12"/>
        <v>28019BELLINA</v>
      </c>
      <c r="H312">
        <v>1517</v>
      </c>
      <c r="I312" s="9">
        <f>VLOOKUP(G312,[2]Astroflores!$G$2:$H$110,2,FALSE)</f>
        <v>1575</v>
      </c>
      <c r="J312" s="5">
        <f t="shared" si="13"/>
        <v>3.6825396825396824E-2</v>
      </c>
      <c r="K312">
        <f>VLOOKUP(G312,[5]Estimado_modelo!$G$2:$H$424,2,FALSE)</f>
        <v>1740</v>
      </c>
      <c r="L312">
        <f t="shared" si="14"/>
        <v>-0.10476190476190476</v>
      </c>
    </row>
    <row r="313" spans="1:12">
      <c r="A313">
        <v>2026</v>
      </c>
      <c r="B313">
        <v>26</v>
      </c>
      <c r="C313" t="s">
        <v>7</v>
      </c>
      <c r="D313" t="s">
        <v>8</v>
      </c>
      <c r="E313" s="2" t="s">
        <v>97</v>
      </c>
      <c r="F313" t="s">
        <v>51</v>
      </c>
      <c r="G313" t="str">
        <f t="shared" si="12"/>
        <v>26008FREEDOM</v>
      </c>
      <c r="H313">
        <v>4136</v>
      </c>
      <c r="I313" s="9">
        <f>VLOOKUP(G313,[4]Astroflores!$G$2:$H$109,2,FALSE)</f>
        <v>3570</v>
      </c>
      <c r="J313" s="5">
        <f t="shared" si="13"/>
        <v>-0.15854341736694677</v>
      </c>
      <c r="K313">
        <f>VLOOKUP(G313,[5]Estimado_modelo!$G$2:$H$424,2,FALSE)</f>
        <v>3977</v>
      </c>
      <c r="L313">
        <f t="shared" si="14"/>
        <v>-0.11400560224089636</v>
      </c>
    </row>
    <row r="314" spans="1:12">
      <c r="A314">
        <v>2026</v>
      </c>
      <c r="B314">
        <v>26</v>
      </c>
      <c r="C314" t="s">
        <v>7</v>
      </c>
      <c r="D314" t="s">
        <v>8</v>
      </c>
      <c r="E314" s="2" t="s">
        <v>106</v>
      </c>
      <c r="F314" t="s">
        <v>71</v>
      </c>
      <c r="G314" t="str">
        <f t="shared" si="12"/>
        <v>26027TIFFANY</v>
      </c>
      <c r="H314">
        <v>4807</v>
      </c>
      <c r="I314" s="9">
        <f>VLOOKUP(G314,[4]Astroflores!$G$2:$H$109,2,FALSE)</f>
        <v>3840</v>
      </c>
      <c r="J314" s="5">
        <f t="shared" si="13"/>
        <v>-0.25182291666666667</v>
      </c>
      <c r="K314">
        <f>VLOOKUP(G314,[5]Estimado_modelo!$G$2:$H$424,2,FALSE)</f>
        <v>4348</v>
      </c>
      <c r="L314">
        <f t="shared" si="14"/>
        <v>-0.13229166666666667</v>
      </c>
    </row>
    <row r="315" spans="1:12">
      <c r="A315">
        <v>2026</v>
      </c>
      <c r="B315">
        <v>26</v>
      </c>
      <c r="C315" t="s">
        <v>7</v>
      </c>
      <c r="D315" t="s">
        <v>8</v>
      </c>
      <c r="E315" s="2" t="s">
        <v>96</v>
      </c>
      <c r="F315" t="s">
        <v>34</v>
      </c>
      <c r="G315" t="str">
        <f t="shared" si="12"/>
        <v>26006EXPLORER</v>
      </c>
      <c r="H315">
        <v>7778</v>
      </c>
      <c r="I315" s="9">
        <f>VLOOKUP(G315,[4]Astroflores!$G$2:$H$109,2,FALSE)</f>
        <v>7275</v>
      </c>
      <c r="J315" s="5">
        <f t="shared" si="13"/>
        <v>-6.9140893470790374E-2</v>
      </c>
      <c r="K315">
        <f>VLOOKUP(G315,[5]Estimado_modelo!$G$2:$H$424,2,FALSE)</f>
        <v>8055</v>
      </c>
      <c r="L315">
        <f t="shared" si="14"/>
        <v>-0.10721649484536082</v>
      </c>
    </row>
    <row r="316" spans="1:12">
      <c r="A316">
        <v>2026</v>
      </c>
      <c r="B316">
        <v>26</v>
      </c>
      <c r="C316" t="s">
        <v>10</v>
      </c>
      <c r="D316" t="s">
        <v>8</v>
      </c>
      <c r="E316" s="2" t="s">
        <v>93</v>
      </c>
      <c r="F316" t="s">
        <v>14</v>
      </c>
      <c r="G316" t="str">
        <f t="shared" si="12"/>
        <v>26033HOT BUBBLES</v>
      </c>
      <c r="H316">
        <v>4797</v>
      </c>
      <c r="I316" s="9">
        <f>VLOOKUP(G316,[4]Astroflores!$G$2:$H$109,2,FALSE)</f>
        <v>3920</v>
      </c>
      <c r="J316" s="5">
        <f t="shared" si="13"/>
        <v>-0.22372448979591836</v>
      </c>
      <c r="K316">
        <f>VLOOKUP(G316,[5]Estimado_modelo!$G$2:$H$424,2,FALSE)</f>
        <v>4334</v>
      </c>
      <c r="L316">
        <f t="shared" si="14"/>
        <v>-0.10561224489795919</v>
      </c>
    </row>
    <row r="317" spans="1:12">
      <c r="A317">
        <v>2026</v>
      </c>
      <c r="B317">
        <v>26</v>
      </c>
      <c r="C317" t="s">
        <v>7</v>
      </c>
      <c r="D317" t="s">
        <v>8</v>
      </c>
      <c r="E317" s="2" t="s">
        <v>85</v>
      </c>
      <c r="F317" t="s">
        <v>54</v>
      </c>
      <c r="G317" t="str">
        <f t="shared" si="12"/>
        <v>26018BRIGHTON</v>
      </c>
      <c r="H317">
        <v>2146</v>
      </c>
      <c r="I317" s="9">
        <f>VLOOKUP(G317,[4]Astroflores!$G$2:$H$109,2,FALSE)</f>
        <v>2100</v>
      </c>
      <c r="J317" s="5">
        <f t="shared" si="13"/>
        <v>-2.1904761904761906E-2</v>
      </c>
      <c r="K317">
        <f>VLOOKUP(G317,[5]Estimado_modelo!$G$2:$H$424,2,FALSE)</f>
        <v>2296</v>
      </c>
      <c r="L317">
        <f t="shared" si="14"/>
        <v>-9.3333333333333338E-2</v>
      </c>
    </row>
    <row r="318" spans="1:12">
      <c r="A318">
        <v>2026</v>
      </c>
      <c r="B318">
        <v>27</v>
      </c>
      <c r="C318" t="s">
        <v>7</v>
      </c>
      <c r="D318" t="s">
        <v>8</v>
      </c>
      <c r="E318" s="2" t="s">
        <v>86</v>
      </c>
      <c r="F318" t="s">
        <v>62</v>
      </c>
      <c r="G318" t="str">
        <f t="shared" si="12"/>
        <v>27019TABATHA</v>
      </c>
      <c r="H318">
        <v>2891</v>
      </c>
      <c r="I318" s="9">
        <f>VLOOKUP(G318,[3]Hoja1!$G$8515:$H$8621,2,FALSE)</f>
        <v>2610</v>
      </c>
      <c r="J318" s="5">
        <f t="shared" si="13"/>
        <v>-0.10766283524904215</v>
      </c>
      <c r="K318">
        <f>VLOOKUP(G318,[5]Estimado_modelo!$G$2:$H$424,2,FALSE)</f>
        <v>2879</v>
      </c>
      <c r="L318">
        <f t="shared" si="14"/>
        <v>-0.10306513409961686</v>
      </c>
    </row>
    <row r="319" spans="1:12">
      <c r="A319">
        <v>2026</v>
      </c>
      <c r="B319">
        <v>27</v>
      </c>
      <c r="C319" t="s">
        <v>10</v>
      </c>
      <c r="D319" t="s">
        <v>8</v>
      </c>
      <c r="E319" s="2" t="s">
        <v>88</v>
      </c>
      <c r="F319" t="s">
        <v>27</v>
      </c>
      <c r="G319" t="str">
        <f t="shared" si="12"/>
        <v>27021KELLY</v>
      </c>
      <c r="H319">
        <v>654</v>
      </c>
      <c r="I319" s="9">
        <f>VLOOKUP(G319,[3]Hoja1!$G$8515:$H$8621,2,FALSE)</f>
        <v>650</v>
      </c>
      <c r="J319" s="5">
        <f t="shared" si="13"/>
        <v>-6.1538461538461538E-3</v>
      </c>
      <c r="K319">
        <f>VLOOKUP(G319,[5]Estimado_modelo!$G$2:$H$424,2,FALSE)</f>
        <v>724</v>
      </c>
      <c r="L319">
        <f t="shared" si="14"/>
        <v>-0.11384615384615385</v>
      </c>
    </row>
    <row r="320" spans="1:12">
      <c r="A320">
        <v>2026</v>
      </c>
      <c r="B320">
        <v>28</v>
      </c>
      <c r="C320" t="s">
        <v>7</v>
      </c>
      <c r="D320" t="s">
        <v>8</v>
      </c>
      <c r="E320" s="2" t="s">
        <v>94</v>
      </c>
      <c r="F320" t="s">
        <v>33</v>
      </c>
      <c r="G320" t="str">
        <f t="shared" si="12"/>
        <v>28001BELIEVE IN PINK</v>
      </c>
      <c r="H320">
        <v>1380</v>
      </c>
      <c r="I320" s="9">
        <f>VLOOKUP(G320,[2]Astroflores!$G$2:$H$110,2,FALSE)</f>
        <v>1350</v>
      </c>
      <c r="J320" s="5">
        <f t="shared" si="13"/>
        <v>-2.2222222222222223E-2</v>
      </c>
      <c r="K320">
        <f>VLOOKUP(G320,[5]Estimado_modelo!$G$2:$H$424,2,FALSE)</f>
        <v>1503</v>
      </c>
      <c r="L320">
        <f t="shared" si="14"/>
        <v>-0.11333333333333333</v>
      </c>
    </row>
    <row r="321" spans="1:12">
      <c r="A321">
        <v>2026</v>
      </c>
      <c r="B321">
        <v>26</v>
      </c>
      <c r="C321" t="s">
        <v>7</v>
      </c>
      <c r="D321" t="s">
        <v>8</v>
      </c>
      <c r="E321" s="2" t="s">
        <v>95</v>
      </c>
      <c r="F321" t="s">
        <v>42</v>
      </c>
      <c r="G321" t="str">
        <f t="shared" si="12"/>
        <v>26003QUICKSAND</v>
      </c>
      <c r="H321">
        <v>2141</v>
      </c>
      <c r="I321" s="9">
        <f>VLOOKUP(G321,[4]Astroflores!$G$2:$H$109,2,FALSE)</f>
        <v>1860</v>
      </c>
      <c r="J321" s="5">
        <f t="shared" si="13"/>
        <v>-0.15107526881720429</v>
      </c>
      <c r="K321">
        <f>VLOOKUP(G321,[5]Estimado_modelo!$G$2:$H$424,2,FALSE)</f>
        <v>2090</v>
      </c>
      <c r="L321">
        <f t="shared" si="14"/>
        <v>-0.12365591397849462</v>
      </c>
    </row>
    <row r="322" spans="1:12">
      <c r="A322">
        <v>2026</v>
      </c>
      <c r="B322">
        <v>27</v>
      </c>
      <c r="C322" t="s">
        <v>10</v>
      </c>
      <c r="D322" t="s">
        <v>8</v>
      </c>
      <c r="E322" s="2" t="s">
        <v>93</v>
      </c>
      <c r="F322" t="s">
        <v>14</v>
      </c>
      <c r="G322" t="str">
        <f t="shared" ref="G322:G385" si="15">+B322&amp;E322&amp;F322</f>
        <v>27033HOT BUBBLES</v>
      </c>
      <c r="H322">
        <v>3798</v>
      </c>
      <c r="I322" s="9">
        <f>VLOOKUP(G322,[3]Hoja1!$G$8515:$H$8621,2,FALSE)</f>
        <v>4240</v>
      </c>
      <c r="J322" s="5">
        <f t="shared" ref="J322:J385" si="16">+(I322-H322)/I322</f>
        <v>0.10424528301886793</v>
      </c>
      <c r="K322">
        <f>VLOOKUP(G322,[5]Estimado_modelo!$G$2:$H$424,2,FALSE)</f>
        <v>4748</v>
      </c>
      <c r="L322">
        <f t="shared" ref="L322:L385" si="17">+(I322-K322)/I322</f>
        <v>-0.11981132075471698</v>
      </c>
    </row>
    <row r="323" spans="1:12">
      <c r="A323">
        <v>2026</v>
      </c>
      <c r="B323">
        <v>26</v>
      </c>
      <c r="C323" t="s">
        <v>7</v>
      </c>
      <c r="D323" t="s">
        <v>8</v>
      </c>
      <c r="E323" s="2" t="s">
        <v>103</v>
      </c>
      <c r="F323" t="s">
        <v>63</v>
      </c>
      <c r="G323" t="str">
        <f t="shared" si="15"/>
        <v>26024TYCOON</v>
      </c>
      <c r="H323">
        <v>4523</v>
      </c>
      <c r="I323" s="9">
        <f>VLOOKUP(G323,[4]Astroflores!$G$2:$H$109,2,FALSE)</f>
        <v>4080</v>
      </c>
      <c r="J323" s="5">
        <f t="shared" si="16"/>
        <v>-0.10857843137254902</v>
      </c>
      <c r="K323">
        <f>VLOOKUP(G323,[5]Estimado_modelo!$G$2:$H$424,2,FALSE)</f>
        <v>4580</v>
      </c>
      <c r="L323">
        <f t="shared" si="17"/>
        <v>-0.12254901960784313</v>
      </c>
    </row>
    <row r="324" spans="1:12">
      <c r="A324">
        <v>2026</v>
      </c>
      <c r="B324">
        <v>28</v>
      </c>
      <c r="C324" t="s">
        <v>10</v>
      </c>
      <c r="D324" t="s">
        <v>8</v>
      </c>
      <c r="E324" s="2" t="s">
        <v>85</v>
      </c>
      <c r="F324" t="s">
        <v>23</v>
      </c>
      <c r="G324" t="str">
        <f t="shared" si="15"/>
        <v>28018RUBICON</v>
      </c>
      <c r="H324">
        <v>4012</v>
      </c>
      <c r="I324" s="9">
        <f>VLOOKUP(G324,[2]Astroflores!$G$2:$H$110,2,FALSE)</f>
        <v>3570</v>
      </c>
      <c r="J324" s="5">
        <f t="shared" si="16"/>
        <v>-0.12380952380952381</v>
      </c>
      <c r="K324">
        <f>VLOOKUP(G324,[5]Estimado_modelo!$G$2:$H$424,2,FALSE)</f>
        <v>4031</v>
      </c>
      <c r="L324">
        <f t="shared" si="17"/>
        <v>-0.12913165266106444</v>
      </c>
    </row>
    <row r="325" spans="1:12">
      <c r="A325">
        <v>2026</v>
      </c>
      <c r="B325">
        <v>26</v>
      </c>
      <c r="C325" t="s">
        <v>7</v>
      </c>
      <c r="D325" t="s">
        <v>8</v>
      </c>
      <c r="E325" s="2" t="s">
        <v>89</v>
      </c>
      <c r="F325" t="s">
        <v>65</v>
      </c>
      <c r="G325" t="str">
        <f t="shared" si="15"/>
        <v>26022CORAL REEF</v>
      </c>
      <c r="H325">
        <v>2741</v>
      </c>
      <c r="I325" s="9">
        <f>VLOOKUP(G325,[4]Astroflores!$G$2:$H$109,2,FALSE)</f>
        <v>2400</v>
      </c>
      <c r="J325" s="5">
        <f t="shared" si="16"/>
        <v>-0.14208333333333334</v>
      </c>
      <c r="K325">
        <f>VLOOKUP(G325,[5]Estimado_modelo!$G$2:$H$424,2,FALSE)</f>
        <v>2720</v>
      </c>
      <c r="L325">
        <f t="shared" si="17"/>
        <v>-0.13333333333333333</v>
      </c>
    </row>
    <row r="326" spans="1:12">
      <c r="A326">
        <v>2026</v>
      </c>
      <c r="B326">
        <v>26</v>
      </c>
      <c r="C326" t="s">
        <v>7</v>
      </c>
      <c r="D326" t="s">
        <v>8</v>
      </c>
      <c r="E326" s="2" t="s">
        <v>90</v>
      </c>
      <c r="F326" t="s">
        <v>34</v>
      </c>
      <c r="G326" t="str">
        <f t="shared" si="15"/>
        <v>26030EXPLORER</v>
      </c>
      <c r="H326">
        <v>3517</v>
      </c>
      <c r="I326" s="9">
        <f>VLOOKUP(G326,[4]Astroflores!$G$2:$H$109,2,FALSE)</f>
        <v>3575</v>
      </c>
      <c r="J326" s="5">
        <f t="shared" si="16"/>
        <v>1.6223776223776225E-2</v>
      </c>
      <c r="K326">
        <f>VLOOKUP(G326,[5]Estimado_modelo!$G$2:$H$424,2,FALSE)</f>
        <v>4050</v>
      </c>
      <c r="L326">
        <f t="shared" si="17"/>
        <v>-0.13286713286713286</v>
      </c>
    </row>
    <row r="327" spans="1:12">
      <c r="A327">
        <v>2026</v>
      </c>
      <c r="B327">
        <v>26</v>
      </c>
      <c r="C327" t="s">
        <v>10</v>
      </c>
      <c r="D327" t="s">
        <v>8</v>
      </c>
      <c r="E327" s="2" t="s">
        <v>78</v>
      </c>
      <c r="F327" t="s">
        <v>15</v>
      </c>
      <c r="G327" t="str">
        <f t="shared" si="15"/>
        <v>26005SUSPIRO</v>
      </c>
      <c r="H327">
        <v>4045</v>
      </c>
      <c r="I327" s="9">
        <f>VLOOKUP(G327,[4]Astroflores!$G$2:$H$109,2,FALSE)</f>
        <v>3330</v>
      </c>
      <c r="J327" s="5">
        <f t="shared" si="16"/>
        <v>-0.21471471471471471</v>
      </c>
      <c r="K327">
        <f>VLOOKUP(G327,[5]Estimado_modelo!$G$2:$H$424,2,FALSE)</f>
        <v>3742</v>
      </c>
      <c r="L327">
        <f t="shared" si="17"/>
        <v>-0.12372372372372373</v>
      </c>
    </row>
    <row r="328" spans="1:12">
      <c r="A328">
        <v>2026</v>
      </c>
      <c r="B328">
        <v>26</v>
      </c>
      <c r="C328" t="s">
        <v>7</v>
      </c>
      <c r="D328" t="s">
        <v>8</v>
      </c>
      <c r="E328" s="2" t="s">
        <v>78</v>
      </c>
      <c r="F328" t="s">
        <v>46</v>
      </c>
      <c r="G328" t="str">
        <f t="shared" si="15"/>
        <v>26005GOLDFINCH</v>
      </c>
      <c r="H328">
        <v>1279</v>
      </c>
      <c r="I328" s="9">
        <f>VLOOKUP(G328,[4]Astroflores!$G$2:$H$109,2,FALSE)</f>
        <v>1175</v>
      </c>
      <c r="J328" s="5">
        <f t="shared" si="16"/>
        <v>-8.851063829787234E-2</v>
      </c>
      <c r="K328">
        <f>VLOOKUP(G328,[5]Estimado_modelo!$G$2:$H$424,2,FALSE)</f>
        <v>1324</v>
      </c>
      <c r="L328">
        <f t="shared" si="17"/>
        <v>-0.12680851063829787</v>
      </c>
    </row>
    <row r="329" spans="1:12">
      <c r="A329">
        <v>2026</v>
      </c>
      <c r="B329">
        <v>26</v>
      </c>
      <c r="C329" t="s">
        <v>7</v>
      </c>
      <c r="D329" t="s">
        <v>8</v>
      </c>
      <c r="E329" s="2" t="s">
        <v>77</v>
      </c>
      <c r="F329" t="s">
        <v>43</v>
      </c>
      <c r="G329" t="str">
        <f t="shared" si="15"/>
        <v>26004COTOPAXI</v>
      </c>
      <c r="H329">
        <v>1200</v>
      </c>
      <c r="I329" s="9">
        <f>VLOOKUP(G329,[4]Astroflores!$G$2:$H$109,2,FALSE)</f>
        <v>1230</v>
      </c>
      <c r="J329" s="5">
        <f t="shared" si="16"/>
        <v>2.4390243902439025E-2</v>
      </c>
      <c r="K329">
        <f>VLOOKUP(G329,[5]Estimado_modelo!$G$2:$H$424,2,FALSE)</f>
        <v>1434</v>
      </c>
      <c r="L329">
        <f t="shared" si="17"/>
        <v>-0.16585365853658537</v>
      </c>
    </row>
    <row r="330" spans="1:12">
      <c r="A330">
        <v>2026</v>
      </c>
      <c r="B330">
        <v>26</v>
      </c>
      <c r="C330" t="s">
        <v>7</v>
      </c>
      <c r="D330" t="s">
        <v>8</v>
      </c>
      <c r="E330" s="2" t="s">
        <v>78</v>
      </c>
      <c r="F330" t="s">
        <v>41</v>
      </c>
      <c r="G330" t="str">
        <f t="shared" si="15"/>
        <v>26005JOCKER</v>
      </c>
      <c r="H330">
        <v>2056</v>
      </c>
      <c r="I330" s="9">
        <f>VLOOKUP(G330,[4]Astroflores!$G$2:$H$109,2,FALSE)</f>
        <v>2300</v>
      </c>
      <c r="J330" s="5">
        <f t="shared" si="16"/>
        <v>0.10608695652173913</v>
      </c>
      <c r="K330">
        <f>VLOOKUP(G330,[5]Estimado_modelo!$G$2:$H$424,2,FALSE)</f>
        <v>2611</v>
      </c>
      <c r="L330">
        <f t="shared" si="17"/>
        <v>-0.13521739130434782</v>
      </c>
    </row>
    <row r="331" spans="1:12">
      <c r="A331">
        <v>2026</v>
      </c>
      <c r="B331">
        <v>26</v>
      </c>
      <c r="C331" t="s">
        <v>7</v>
      </c>
      <c r="D331" t="s">
        <v>8</v>
      </c>
      <c r="E331" s="2" t="s">
        <v>103</v>
      </c>
      <c r="F331" t="s">
        <v>38</v>
      </c>
      <c r="G331" t="str">
        <f t="shared" si="15"/>
        <v>26024SWEETNESS</v>
      </c>
      <c r="H331">
        <v>2334</v>
      </c>
      <c r="I331" s="9">
        <f>VLOOKUP(G331,[4]Astroflores!$G$2:$H$109,2,FALSE)</f>
        <v>2010</v>
      </c>
      <c r="J331" s="5">
        <f t="shared" si="16"/>
        <v>-0.16119402985074627</v>
      </c>
      <c r="K331">
        <f>VLOOKUP(G331,[5]Estimado_modelo!$G$2:$H$424,2,FALSE)</f>
        <v>2305</v>
      </c>
      <c r="L331">
        <f t="shared" si="17"/>
        <v>-0.14676616915422885</v>
      </c>
    </row>
    <row r="332" spans="1:12">
      <c r="A332">
        <v>2026</v>
      </c>
      <c r="B332">
        <v>29</v>
      </c>
      <c r="C332" t="s">
        <v>7</v>
      </c>
      <c r="D332" t="s">
        <v>8</v>
      </c>
      <c r="E332" s="2" t="s">
        <v>96</v>
      </c>
      <c r="F332" t="s">
        <v>34</v>
      </c>
      <c r="G332" t="str">
        <f t="shared" si="15"/>
        <v>29006EXPLORER</v>
      </c>
      <c r="H332">
        <v>5333</v>
      </c>
      <c r="I332" s="9">
        <f>VLOOKUP(G332,[1]Estimado_modelo!$G$2:$I$421,3,FALSE)</f>
        <v>5100</v>
      </c>
      <c r="J332" s="5">
        <f t="shared" si="16"/>
        <v>-4.568627450980392E-2</v>
      </c>
      <c r="K332">
        <f>VLOOKUP(G332,[5]Estimado_modelo!$G$2:$H$424,2,FALSE)</f>
        <v>5824</v>
      </c>
      <c r="L332">
        <f t="shared" si="17"/>
        <v>-0.1419607843137255</v>
      </c>
    </row>
    <row r="333" spans="1:12">
      <c r="A333">
        <v>2026</v>
      </c>
      <c r="B333">
        <v>28</v>
      </c>
      <c r="C333" t="s">
        <v>7</v>
      </c>
      <c r="D333" t="s">
        <v>8</v>
      </c>
      <c r="E333" s="2" t="s">
        <v>84</v>
      </c>
      <c r="F333" t="s">
        <v>51</v>
      </c>
      <c r="G333" t="str">
        <f t="shared" si="15"/>
        <v>28017FREEDOM</v>
      </c>
      <c r="H333">
        <v>7100</v>
      </c>
      <c r="I333" s="9">
        <f>VLOOKUP(G333,[2]Astroflores!$G$2:$H$110,2,FALSE)</f>
        <v>6390</v>
      </c>
      <c r="J333" s="5">
        <f t="shared" si="16"/>
        <v>-0.1111111111111111</v>
      </c>
      <c r="K333">
        <f>VLOOKUP(G333,[5]Estimado_modelo!$G$2:$H$424,2,FALSE)</f>
        <v>7292</v>
      </c>
      <c r="L333">
        <f t="shared" si="17"/>
        <v>-0.14115805946791862</v>
      </c>
    </row>
    <row r="334" spans="1:12">
      <c r="A334">
        <v>2026</v>
      </c>
      <c r="B334">
        <v>26</v>
      </c>
      <c r="C334" t="s">
        <v>7</v>
      </c>
      <c r="D334" t="s">
        <v>8</v>
      </c>
      <c r="E334" s="2" t="s">
        <v>97</v>
      </c>
      <c r="F334" t="s">
        <v>41</v>
      </c>
      <c r="G334" t="str">
        <f t="shared" si="15"/>
        <v>26008JOCKER</v>
      </c>
      <c r="H334">
        <v>4764</v>
      </c>
      <c r="I334" s="9">
        <f>VLOOKUP(G334,[4]Astroflores!$G$2:$H$109,2,FALSE)</f>
        <v>4150</v>
      </c>
      <c r="J334" s="5">
        <f t="shared" si="16"/>
        <v>-0.14795180722891565</v>
      </c>
      <c r="K334">
        <f>VLOOKUP(G334,[5]Estimado_modelo!$G$2:$H$424,2,FALSE)</f>
        <v>4775</v>
      </c>
      <c r="L334">
        <f t="shared" si="17"/>
        <v>-0.15060240963855423</v>
      </c>
    </row>
    <row r="335" spans="1:12">
      <c r="A335">
        <v>2026</v>
      </c>
      <c r="B335">
        <v>26</v>
      </c>
      <c r="C335" t="s">
        <v>7</v>
      </c>
      <c r="D335" t="s">
        <v>8</v>
      </c>
      <c r="E335" s="2" t="s">
        <v>94</v>
      </c>
      <c r="F335" t="s">
        <v>35</v>
      </c>
      <c r="G335" t="str">
        <f t="shared" si="15"/>
        <v>26001GRACE KELLY</v>
      </c>
      <c r="H335">
        <v>2287</v>
      </c>
      <c r="I335" s="9">
        <f>VLOOKUP(G335,[4]Astroflores!$G$2:$H$109,2,FALSE)</f>
        <v>2040</v>
      </c>
      <c r="J335" s="5">
        <f t="shared" si="16"/>
        <v>-0.12107843137254902</v>
      </c>
      <c r="K335">
        <f>VLOOKUP(G335,[5]Estimado_modelo!$G$2:$H$424,2,FALSE)</f>
        <v>2354</v>
      </c>
      <c r="L335">
        <f t="shared" si="17"/>
        <v>-0.15392156862745099</v>
      </c>
    </row>
    <row r="336" spans="1:12">
      <c r="A336">
        <v>2026</v>
      </c>
      <c r="B336">
        <v>26</v>
      </c>
      <c r="C336" t="s">
        <v>7</v>
      </c>
      <c r="D336" t="s">
        <v>8</v>
      </c>
      <c r="E336" s="2" t="s">
        <v>87</v>
      </c>
      <c r="F336" t="s">
        <v>63</v>
      </c>
      <c r="G336" t="str">
        <f t="shared" si="15"/>
        <v>26020TYCOON</v>
      </c>
      <c r="H336">
        <v>1258</v>
      </c>
      <c r="I336" s="9">
        <f>VLOOKUP(G336,[4]Astroflores!$G$2:$H$109,2,FALSE)</f>
        <v>1350</v>
      </c>
      <c r="J336" s="5">
        <f t="shared" si="16"/>
        <v>6.8148148148148152E-2</v>
      </c>
      <c r="K336">
        <f>VLOOKUP(G336,[5]Estimado_modelo!$G$2:$H$424,2,FALSE)</f>
        <v>1534</v>
      </c>
      <c r="L336">
        <f t="shared" si="17"/>
        <v>-0.1362962962962963</v>
      </c>
    </row>
    <row r="337" spans="1:12">
      <c r="A337">
        <v>2026</v>
      </c>
      <c r="B337">
        <v>28</v>
      </c>
      <c r="C337" t="s">
        <v>10</v>
      </c>
      <c r="D337" t="s">
        <v>8</v>
      </c>
      <c r="E337" s="2" t="s">
        <v>78</v>
      </c>
      <c r="F337" t="s">
        <v>14</v>
      </c>
      <c r="G337" t="str">
        <f t="shared" si="15"/>
        <v>28005HOT BUBBLES</v>
      </c>
      <c r="H337">
        <v>997</v>
      </c>
      <c r="I337" s="9">
        <f>VLOOKUP(G337,[2]Astroflores!$G$2:$H$110,2,FALSE)</f>
        <v>1220</v>
      </c>
      <c r="J337" s="5">
        <f t="shared" si="16"/>
        <v>0.18278688524590164</v>
      </c>
      <c r="K337">
        <f>VLOOKUP(G337,[5]Estimado_modelo!$G$2:$H$424,2,FALSE)</f>
        <v>1415</v>
      </c>
      <c r="L337">
        <f t="shared" si="17"/>
        <v>-0.1598360655737705</v>
      </c>
    </row>
    <row r="338" spans="1:12">
      <c r="A338">
        <v>2026</v>
      </c>
      <c r="B338">
        <v>26</v>
      </c>
      <c r="C338" t="s">
        <v>10</v>
      </c>
      <c r="D338" t="s">
        <v>8</v>
      </c>
      <c r="E338" s="2" t="s">
        <v>85</v>
      </c>
      <c r="F338" t="s">
        <v>22</v>
      </c>
      <c r="G338" t="str">
        <f t="shared" si="15"/>
        <v>26018COSMO</v>
      </c>
      <c r="H338">
        <v>3782</v>
      </c>
      <c r="I338" s="9">
        <f>VLOOKUP(G338,[4]Astroflores!$G$2:$H$109,2,FALSE)</f>
        <v>2925</v>
      </c>
      <c r="J338" s="5">
        <f t="shared" si="16"/>
        <v>-0.29299145299145302</v>
      </c>
      <c r="K338">
        <f>VLOOKUP(G338,[5]Estimado_modelo!$G$2:$H$424,2,FALSE)</f>
        <v>3401</v>
      </c>
      <c r="L338">
        <f t="shared" si="17"/>
        <v>-0.16273504273504275</v>
      </c>
    </row>
    <row r="339" spans="1:12">
      <c r="A339">
        <v>2026</v>
      </c>
      <c r="B339">
        <v>27</v>
      </c>
      <c r="C339" t="s">
        <v>10</v>
      </c>
      <c r="D339" t="s">
        <v>8</v>
      </c>
      <c r="E339" s="2" t="s">
        <v>77</v>
      </c>
      <c r="F339" t="s">
        <v>12</v>
      </c>
      <c r="G339" t="str">
        <f t="shared" si="15"/>
        <v>27004BELLINA</v>
      </c>
      <c r="H339">
        <v>1669</v>
      </c>
      <c r="I339" s="9">
        <f>VLOOKUP(G339,[3]Hoja1!$G$8515:$H$8621,2,FALSE)</f>
        <v>1830</v>
      </c>
      <c r="J339" s="5">
        <f t="shared" si="16"/>
        <v>8.797814207650273E-2</v>
      </c>
      <c r="K339">
        <f>VLOOKUP(G339,[5]Estimado_modelo!$G$2:$H$424,2,FALSE)</f>
        <v>2135</v>
      </c>
      <c r="L339">
        <f t="shared" si="17"/>
        <v>-0.16666666666666666</v>
      </c>
    </row>
    <row r="340" spans="1:12">
      <c r="A340">
        <v>2026</v>
      </c>
      <c r="B340">
        <v>28</v>
      </c>
      <c r="C340" t="s">
        <v>10</v>
      </c>
      <c r="D340" t="s">
        <v>8</v>
      </c>
      <c r="E340" s="2" t="s">
        <v>88</v>
      </c>
      <c r="F340" t="s">
        <v>16</v>
      </c>
      <c r="G340" t="str">
        <f t="shared" si="15"/>
        <v>28021SNOW BUBBLES</v>
      </c>
      <c r="H340">
        <v>1487</v>
      </c>
      <c r="I340" s="9">
        <f>VLOOKUP(G340,[2]Astroflores!$G$2:$H$110,2,FALSE)</f>
        <v>1480</v>
      </c>
      <c r="J340" s="5">
        <f t="shared" si="16"/>
        <v>-4.72972972972973E-3</v>
      </c>
      <c r="K340">
        <f>VLOOKUP(G340,[5]Estimado_modelo!$G$2:$H$424,2,FALSE)</f>
        <v>1741</v>
      </c>
      <c r="L340">
        <f t="shared" si="17"/>
        <v>-0.17635135135135135</v>
      </c>
    </row>
    <row r="341" spans="1:12">
      <c r="A341">
        <v>2026</v>
      </c>
      <c r="B341">
        <v>26</v>
      </c>
      <c r="C341" t="s">
        <v>10</v>
      </c>
      <c r="D341" t="s">
        <v>8</v>
      </c>
      <c r="E341" s="2" t="s">
        <v>91</v>
      </c>
      <c r="F341" t="s">
        <v>31</v>
      </c>
      <c r="G341" t="str">
        <f t="shared" si="15"/>
        <v>26031VELVET BLOSSOMS</v>
      </c>
      <c r="H341">
        <v>643</v>
      </c>
      <c r="I341" s="9">
        <f>VLOOKUP(G341,[4]Astroflores!$G$2:$H$109,2,FALSE)</f>
        <v>640</v>
      </c>
      <c r="J341" s="5">
        <f t="shared" si="16"/>
        <v>-4.6874999999999998E-3</v>
      </c>
      <c r="K341">
        <f>VLOOKUP(G341,[5]Estimado_modelo!$G$2:$H$424,2,FALSE)</f>
        <v>731</v>
      </c>
      <c r="L341">
        <f t="shared" si="17"/>
        <v>-0.14218749999999999</v>
      </c>
    </row>
    <row r="342" spans="1:12">
      <c r="A342">
        <v>2026</v>
      </c>
      <c r="B342">
        <v>28</v>
      </c>
      <c r="C342" t="s">
        <v>7</v>
      </c>
      <c r="D342" t="s">
        <v>8</v>
      </c>
      <c r="E342" s="2" t="s">
        <v>101</v>
      </c>
      <c r="F342" t="s">
        <v>58</v>
      </c>
      <c r="G342" t="str">
        <f t="shared" si="15"/>
        <v>28013COUNTRY BLUES</v>
      </c>
      <c r="H342">
        <v>1502</v>
      </c>
      <c r="I342" s="9">
        <f>VLOOKUP(G342,[2]Astroflores!$G$2:$H$110,2,FALSE)</f>
        <v>1440</v>
      </c>
      <c r="J342" s="5">
        <f t="shared" si="16"/>
        <v>-4.3055555555555555E-2</v>
      </c>
      <c r="K342">
        <f>VLOOKUP(G342,[5]Estimado_modelo!$G$2:$H$424,2,FALSE)</f>
        <v>1631</v>
      </c>
      <c r="L342">
        <f t="shared" si="17"/>
        <v>-0.13263888888888889</v>
      </c>
    </row>
    <row r="343" spans="1:12">
      <c r="A343">
        <v>2026</v>
      </c>
      <c r="B343">
        <v>27</v>
      </c>
      <c r="C343" t="s">
        <v>10</v>
      </c>
      <c r="D343" t="s">
        <v>8</v>
      </c>
      <c r="E343" s="2" t="s">
        <v>91</v>
      </c>
      <c r="F343" t="s">
        <v>11</v>
      </c>
      <c r="G343" t="str">
        <f t="shared" si="15"/>
        <v>27031SOMERSET</v>
      </c>
      <c r="H343">
        <v>991</v>
      </c>
      <c r="I343" s="9">
        <f>VLOOKUP(G343,[3]Hoja1!$G$8515:$H$8621,2,FALSE)</f>
        <v>720</v>
      </c>
      <c r="J343" s="5">
        <f t="shared" si="16"/>
        <v>-0.37638888888888888</v>
      </c>
      <c r="K343">
        <f>VLOOKUP(G343,[5]Estimado_modelo!$G$2:$H$424,2,FALSE)</f>
        <v>872</v>
      </c>
      <c r="L343">
        <f t="shared" si="17"/>
        <v>-0.21111111111111111</v>
      </c>
    </row>
    <row r="344" spans="1:12">
      <c r="A344">
        <v>2026</v>
      </c>
      <c r="B344">
        <v>26</v>
      </c>
      <c r="C344" t="s">
        <v>10</v>
      </c>
      <c r="D344" t="s">
        <v>8</v>
      </c>
      <c r="E344" s="2" t="s">
        <v>88</v>
      </c>
      <c r="F344" t="s">
        <v>27</v>
      </c>
      <c r="G344" t="str">
        <f t="shared" si="15"/>
        <v>26021KELLY</v>
      </c>
      <c r="H344">
        <v>800</v>
      </c>
      <c r="I344" s="9">
        <f>VLOOKUP(G344,[4]Astroflores!$G$2:$H$109,2,FALSE)</f>
        <v>775</v>
      </c>
      <c r="J344" s="5">
        <f t="shared" si="16"/>
        <v>-3.2258064516129031E-2</v>
      </c>
      <c r="K344">
        <f>VLOOKUP(G344,[5]Estimado_modelo!$G$2:$H$424,2,FALSE)</f>
        <v>901</v>
      </c>
      <c r="L344">
        <f t="shared" si="17"/>
        <v>-0.16258064516129031</v>
      </c>
    </row>
    <row r="345" spans="1:12">
      <c r="A345">
        <v>2026</v>
      </c>
      <c r="B345">
        <v>28</v>
      </c>
      <c r="C345" t="s">
        <v>10</v>
      </c>
      <c r="D345" t="s">
        <v>8</v>
      </c>
      <c r="E345" s="2" t="s">
        <v>89</v>
      </c>
      <c r="F345" t="s">
        <v>17</v>
      </c>
      <c r="G345" t="str">
        <f t="shared" si="15"/>
        <v>28022FRUITY BUBBLES</v>
      </c>
      <c r="H345">
        <v>5177</v>
      </c>
      <c r="I345" s="9">
        <f>VLOOKUP(G345,[2]Astroflores!$G$2:$H$110,2,FALSE)</f>
        <v>5425</v>
      </c>
      <c r="J345" s="5">
        <f t="shared" si="16"/>
        <v>4.5714285714285714E-2</v>
      </c>
      <c r="K345">
        <f>VLOOKUP(G345,[5]Estimado_modelo!$G$2:$H$424,2,FALSE)</f>
        <v>6260</v>
      </c>
      <c r="L345">
        <f t="shared" si="17"/>
        <v>-0.15391705069124423</v>
      </c>
    </row>
    <row r="346" spans="1:12">
      <c r="A346">
        <v>2026</v>
      </c>
      <c r="B346">
        <v>26</v>
      </c>
      <c r="C346" t="s">
        <v>7</v>
      </c>
      <c r="D346" t="s">
        <v>8</v>
      </c>
      <c r="E346" s="2" t="s">
        <v>86</v>
      </c>
      <c r="F346" t="s">
        <v>62</v>
      </c>
      <c r="G346" t="str">
        <f t="shared" si="15"/>
        <v>26019TABATHA</v>
      </c>
      <c r="H346">
        <v>2672</v>
      </c>
      <c r="I346" s="9">
        <f>VLOOKUP(G346,[4]Astroflores!$G$2:$H$109,2,FALSE)</f>
        <v>2280</v>
      </c>
      <c r="J346" s="5">
        <f t="shared" si="16"/>
        <v>-0.17192982456140352</v>
      </c>
      <c r="K346">
        <f>VLOOKUP(G346,[5]Estimado_modelo!$G$2:$H$424,2,FALSE)</f>
        <v>2725</v>
      </c>
      <c r="L346">
        <f t="shared" si="17"/>
        <v>-0.19517543859649122</v>
      </c>
    </row>
    <row r="347" spans="1:12">
      <c r="A347">
        <v>2026</v>
      </c>
      <c r="B347">
        <v>26</v>
      </c>
      <c r="C347" t="s">
        <v>10</v>
      </c>
      <c r="D347" t="s">
        <v>8</v>
      </c>
      <c r="E347" s="2" t="s">
        <v>86</v>
      </c>
      <c r="F347" t="s">
        <v>12</v>
      </c>
      <c r="G347" t="str">
        <f t="shared" si="15"/>
        <v>26019BELLINA</v>
      </c>
      <c r="H347">
        <v>1915</v>
      </c>
      <c r="I347" s="9">
        <f>VLOOKUP(G347,[4]Astroflores!$G$2:$H$109,2,FALSE)</f>
        <v>1800</v>
      </c>
      <c r="J347" s="5">
        <f t="shared" si="16"/>
        <v>-6.3888888888888884E-2</v>
      </c>
      <c r="K347">
        <f>VLOOKUP(G347,[5]Estimado_modelo!$G$2:$H$424,2,FALSE)</f>
        <v>2117</v>
      </c>
      <c r="L347">
        <f t="shared" si="17"/>
        <v>-0.17611111111111111</v>
      </c>
    </row>
    <row r="348" spans="1:12">
      <c r="A348">
        <v>2026</v>
      </c>
      <c r="B348">
        <v>27</v>
      </c>
      <c r="C348" t="s">
        <v>7</v>
      </c>
      <c r="D348" t="s">
        <v>8</v>
      </c>
      <c r="E348" s="2" t="s">
        <v>103</v>
      </c>
      <c r="F348" t="s">
        <v>43</v>
      </c>
      <c r="G348" t="str">
        <f t="shared" si="15"/>
        <v>27024COTOPAXI</v>
      </c>
      <c r="H348">
        <v>4005</v>
      </c>
      <c r="I348" s="9">
        <f>VLOOKUP(G348,[3]Hoja1!$G$8515:$H$8621,2,FALSE)</f>
        <v>3150</v>
      </c>
      <c r="J348" s="5">
        <f t="shared" si="16"/>
        <v>-0.27142857142857141</v>
      </c>
      <c r="K348">
        <f>VLOOKUP(G348,[5]Estimado_modelo!$G$2:$H$424,2,FALSE)</f>
        <v>3671</v>
      </c>
      <c r="L348">
        <f t="shared" si="17"/>
        <v>-0.1653968253968254</v>
      </c>
    </row>
    <row r="349" spans="1:12">
      <c r="A349">
        <v>2026</v>
      </c>
      <c r="B349">
        <v>29</v>
      </c>
      <c r="C349" t="s">
        <v>10</v>
      </c>
      <c r="D349" t="s">
        <v>8</v>
      </c>
      <c r="E349" s="2" t="s">
        <v>88</v>
      </c>
      <c r="F349" t="s">
        <v>26</v>
      </c>
      <c r="G349" t="str">
        <f t="shared" si="15"/>
        <v>29021FLAME CLUB</v>
      </c>
      <c r="H349">
        <v>1491</v>
      </c>
      <c r="I349" s="9">
        <f>VLOOKUP(G349,[1]Estimado_modelo!$G$2:$I$421,3,FALSE)</f>
        <v>1450</v>
      </c>
      <c r="J349" s="5">
        <f t="shared" si="16"/>
        <v>-2.8275862068965516E-2</v>
      </c>
      <c r="K349">
        <f>VLOOKUP(G349,[5]Estimado_modelo!$G$2:$H$424,2,FALSE)</f>
        <v>1674</v>
      </c>
      <c r="L349">
        <f t="shared" si="17"/>
        <v>-0.15448275862068966</v>
      </c>
    </row>
    <row r="350" spans="1:12">
      <c r="A350">
        <v>2026</v>
      </c>
      <c r="B350">
        <v>28</v>
      </c>
      <c r="C350" t="s">
        <v>7</v>
      </c>
      <c r="D350" t="s">
        <v>8</v>
      </c>
      <c r="E350" s="2" t="s">
        <v>78</v>
      </c>
      <c r="F350" t="s">
        <v>46</v>
      </c>
      <c r="G350" t="str">
        <f t="shared" si="15"/>
        <v>28005GOLDFINCH</v>
      </c>
      <c r="H350">
        <v>1214</v>
      </c>
      <c r="I350" s="9">
        <f>VLOOKUP(G350,[2]Astroflores!$G$2:$H$110,2,FALSE)</f>
        <v>1125</v>
      </c>
      <c r="J350" s="5">
        <f t="shared" si="16"/>
        <v>-7.9111111111111104E-2</v>
      </c>
      <c r="K350">
        <f>VLOOKUP(G350,[5]Estimado_modelo!$G$2:$H$424,2,FALSE)</f>
        <v>1315</v>
      </c>
      <c r="L350">
        <f t="shared" si="17"/>
        <v>-0.16888888888888889</v>
      </c>
    </row>
    <row r="351" spans="1:12">
      <c r="A351">
        <v>2026</v>
      </c>
      <c r="B351">
        <v>29</v>
      </c>
      <c r="C351" t="s">
        <v>7</v>
      </c>
      <c r="D351" t="s">
        <v>8</v>
      </c>
      <c r="E351" s="2" t="s">
        <v>101</v>
      </c>
      <c r="F351" t="s">
        <v>58</v>
      </c>
      <c r="G351" t="str">
        <f t="shared" si="15"/>
        <v>29013COUNTRY BLUES</v>
      </c>
      <c r="H351">
        <v>1430</v>
      </c>
      <c r="I351" s="9">
        <f>VLOOKUP(G351,[1]Estimado_modelo!$G$2:$I$421,3,FALSE)</f>
        <v>1400</v>
      </c>
      <c r="J351" s="5">
        <f t="shared" si="16"/>
        <v>-2.1428571428571429E-2</v>
      </c>
      <c r="K351">
        <f>VLOOKUP(G351,[5]Estimado_modelo!$G$2:$H$424,2,FALSE)</f>
        <v>1607</v>
      </c>
      <c r="L351">
        <f t="shared" si="17"/>
        <v>-0.14785714285714285</v>
      </c>
    </row>
    <row r="352" spans="1:12">
      <c r="A352">
        <v>2026</v>
      </c>
      <c r="B352">
        <v>26</v>
      </c>
      <c r="C352" t="s">
        <v>7</v>
      </c>
      <c r="D352" t="s">
        <v>8</v>
      </c>
      <c r="E352" s="2" t="s">
        <v>100</v>
      </c>
      <c r="F352" t="s">
        <v>36</v>
      </c>
      <c r="G352" t="str">
        <f t="shared" si="15"/>
        <v>26012LIGHT HOUSE</v>
      </c>
      <c r="H352">
        <v>1850</v>
      </c>
      <c r="I352" s="9">
        <f>VLOOKUP(G352,[4]Astroflores!$G$2:$H$109,2,FALSE)</f>
        <v>1680</v>
      </c>
      <c r="J352" s="5">
        <f t="shared" si="16"/>
        <v>-0.10119047619047619</v>
      </c>
      <c r="K352">
        <f>VLOOKUP(G352,[5]Estimado_modelo!$G$2:$H$424,2,FALSE)</f>
        <v>2038</v>
      </c>
      <c r="L352">
        <f t="shared" si="17"/>
        <v>-0.21309523809523809</v>
      </c>
    </row>
    <row r="353" spans="1:12">
      <c r="A353">
        <v>2026</v>
      </c>
      <c r="B353">
        <v>29</v>
      </c>
      <c r="C353" t="s">
        <v>10</v>
      </c>
      <c r="D353" t="s">
        <v>8</v>
      </c>
      <c r="E353" s="2" t="s">
        <v>93</v>
      </c>
      <c r="F353" t="s">
        <v>32</v>
      </c>
      <c r="G353" t="str">
        <f t="shared" si="15"/>
        <v>29033CREAMY FOLIES</v>
      </c>
      <c r="H353">
        <v>806</v>
      </c>
      <c r="I353" s="9">
        <f>VLOOKUP(G353,[1]Estimado_modelo!$G$2:$I$421,3,FALSE)</f>
        <v>780</v>
      </c>
      <c r="J353" s="5">
        <f t="shared" si="16"/>
        <v>-3.3333333333333333E-2</v>
      </c>
      <c r="K353">
        <f>VLOOKUP(G353,[5]Estimado_modelo!$G$2:$H$424,2,FALSE)</f>
        <v>926</v>
      </c>
      <c r="L353">
        <f t="shared" si="17"/>
        <v>-0.18717948717948718</v>
      </c>
    </row>
    <row r="354" spans="1:12">
      <c r="A354">
        <v>2026</v>
      </c>
      <c r="B354">
        <v>26</v>
      </c>
      <c r="C354" t="s">
        <v>7</v>
      </c>
      <c r="D354" t="s">
        <v>8</v>
      </c>
      <c r="E354" s="2" t="s">
        <v>78</v>
      </c>
      <c r="F354" t="s">
        <v>34</v>
      </c>
      <c r="G354" t="str">
        <f t="shared" si="15"/>
        <v>26005EXPLORER</v>
      </c>
      <c r="H354">
        <v>2102</v>
      </c>
      <c r="I354" s="9">
        <f>VLOOKUP(G354,[4]Astroflores!$G$2:$H$109,2,FALSE)</f>
        <v>2075</v>
      </c>
      <c r="J354" s="5">
        <f t="shared" si="16"/>
        <v>-1.3012048192771084E-2</v>
      </c>
      <c r="K354">
        <f>VLOOKUP(G354,[5]Estimado_modelo!$G$2:$H$424,2,FALSE)</f>
        <v>2493</v>
      </c>
      <c r="L354">
        <f t="shared" si="17"/>
        <v>-0.20144578313253012</v>
      </c>
    </row>
    <row r="355" spans="1:12">
      <c r="A355">
        <v>2026</v>
      </c>
      <c r="B355">
        <v>28</v>
      </c>
      <c r="C355" t="s">
        <v>10</v>
      </c>
      <c r="D355" t="s">
        <v>8</v>
      </c>
      <c r="E355" s="2" t="s">
        <v>88</v>
      </c>
      <c r="F355" t="s">
        <v>25</v>
      </c>
      <c r="G355" t="str">
        <f t="shared" si="15"/>
        <v>28021ELEGANT ROSEVER</v>
      </c>
      <c r="H355">
        <v>641</v>
      </c>
      <c r="I355" s="9">
        <f>VLOOKUP(G355,[2]Astroflores!$G$2:$H$110,2,FALSE)</f>
        <v>630</v>
      </c>
      <c r="J355" s="5">
        <f t="shared" si="16"/>
        <v>-1.7460317460317461E-2</v>
      </c>
      <c r="K355">
        <f>VLOOKUP(G355,[5]Estimado_modelo!$G$2:$H$424,2,FALSE)</f>
        <v>767</v>
      </c>
      <c r="L355">
        <f t="shared" si="17"/>
        <v>-0.21746031746031746</v>
      </c>
    </row>
    <row r="356" spans="1:12">
      <c r="A356">
        <v>2026</v>
      </c>
      <c r="B356">
        <v>26</v>
      </c>
      <c r="C356" t="s">
        <v>10</v>
      </c>
      <c r="D356" t="s">
        <v>8</v>
      </c>
      <c r="E356" s="2" t="s">
        <v>88</v>
      </c>
      <c r="F356" t="s">
        <v>26</v>
      </c>
      <c r="G356" t="str">
        <f t="shared" si="15"/>
        <v>26021FLAME CLUB</v>
      </c>
      <c r="H356">
        <v>1928</v>
      </c>
      <c r="I356" s="9">
        <f>VLOOKUP(G356,[4]Astroflores!$G$2:$H$109,2,FALSE)</f>
        <v>1700</v>
      </c>
      <c r="J356" s="5">
        <f t="shared" si="16"/>
        <v>-0.13411764705882354</v>
      </c>
      <c r="K356">
        <f>VLOOKUP(G356,[5]Estimado_modelo!$G$2:$H$424,2,FALSE)</f>
        <v>2079</v>
      </c>
      <c r="L356">
        <f t="shared" si="17"/>
        <v>-0.22294117647058823</v>
      </c>
    </row>
    <row r="357" spans="1:12">
      <c r="A357">
        <v>2026</v>
      </c>
      <c r="B357">
        <v>26</v>
      </c>
      <c r="C357" t="s">
        <v>10</v>
      </c>
      <c r="D357" t="s">
        <v>8</v>
      </c>
      <c r="E357" s="2" t="s">
        <v>89</v>
      </c>
      <c r="F357" t="s">
        <v>19</v>
      </c>
      <c r="G357" t="str">
        <f t="shared" si="15"/>
        <v>26022GOOD PEACH</v>
      </c>
      <c r="H357">
        <v>2252</v>
      </c>
      <c r="I357" s="9">
        <f>VLOOKUP(G357,[4]Astroflores!$G$2:$H$109,2,FALSE)</f>
        <v>2130</v>
      </c>
      <c r="J357" s="5">
        <f t="shared" si="16"/>
        <v>-5.7276995305164322E-2</v>
      </c>
      <c r="K357">
        <f>VLOOKUP(G357,[5]Estimado_modelo!$G$2:$H$424,2,FALSE)</f>
        <v>2672</v>
      </c>
      <c r="L357">
        <f t="shared" si="17"/>
        <v>-0.25446009389671359</v>
      </c>
    </row>
    <row r="358" spans="1:12">
      <c r="A358">
        <v>2026</v>
      </c>
      <c r="B358">
        <v>27</v>
      </c>
      <c r="C358" t="s">
        <v>10</v>
      </c>
      <c r="D358" t="s">
        <v>8</v>
      </c>
      <c r="E358" s="2" t="s">
        <v>86</v>
      </c>
      <c r="F358" t="s">
        <v>12</v>
      </c>
      <c r="G358" t="str">
        <f t="shared" si="15"/>
        <v>27019BELLINA</v>
      </c>
      <c r="H358">
        <v>1722</v>
      </c>
      <c r="I358" s="9">
        <f>VLOOKUP(G358,[3]Hoja1!$G$8515:$H$8621,2,FALSE)</f>
        <v>1590</v>
      </c>
      <c r="J358" s="5">
        <f t="shared" si="16"/>
        <v>-8.3018867924528297E-2</v>
      </c>
      <c r="K358">
        <f>VLOOKUP(G358,[5]Estimado_modelo!$G$2:$H$424,2,FALSE)</f>
        <v>1982</v>
      </c>
      <c r="L358">
        <f t="shared" si="17"/>
        <v>-0.24654088050314465</v>
      </c>
    </row>
    <row r="359" spans="1:12">
      <c r="A359">
        <v>2026</v>
      </c>
      <c r="B359">
        <v>28</v>
      </c>
      <c r="C359" t="s">
        <v>10</v>
      </c>
      <c r="D359" t="s">
        <v>8</v>
      </c>
      <c r="E359" s="2" t="s">
        <v>88</v>
      </c>
      <c r="F359" t="s">
        <v>27</v>
      </c>
      <c r="G359" t="str">
        <f t="shared" si="15"/>
        <v>28021KELLY</v>
      </c>
      <c r="H359">
        <v>636</v>
      </c>
      <c r="I359" s="9">
        <f>VLOOKUP(G359,[2]Astroflores!$G$2:$H$110,2,FALSE)</f>
        <v>575</v>
      </c>
      <c r="J359" s="5">
        <f t="shared" si="16"/>
        <v>-0.10608695652173913</v>
      </c>
      <c r="K359">
        <f>VLOOKUP(G359,[5]Estimado_modelo!$G$2:$H$424,2,FALSE)</f>
        <v>696</v>
      </c>
      <c r="L359">
        <f t="shared" si="17"/>
        <v>-0.21043478260869566</v>
      </c>
    </row>
    <row r="360" spans="1:12">
      <c r="A360">
        <v>2026</v>
      </c>
      <c r="B360">
        <v>28</v>
      </c>
      <c r="C360" t="s">
        <v>7</v>
      </c>
      <c r="D360" t="s">
        <v>8</v>
      </c>
      <c r="E360" s="2" t="s">
        <v>95</v>
      </c>
      <c r="F360" t="s">
        <v>40</v>
      </c>
      <c r="G360" t="str">
        <f t="shared" si="15"/>
        <v>28003DEEP PURPLE</v>
      </c>
      <c r="H360">
        <v>14393</v>
      </c>
      <c r="I360" s="9">
        <f>VLOOKUP(G360,[2]Astroflores!$G$2:$H$110,2,FALSE)</f>
        <v>14220</v>
      </c>
      <c r="J360" s="5">
        <f t="shared" si="16"/>
        <v>-1.2165963431786216E-2</v>
      </c>
      <c r="K360">
        <f>VLOOKUP(G360,[5]Estimado_modelo!$G$2:$H$424,2,FALSE)</f>
        <v>17163</v>
      </c>
      <c r="L360">
        <f t="shared" si="17"/>
        <v>-0.20696202531645569</v>
      </c>
    </row>
    <row r="361" spans="1:12">
      <c r="A361">
        <v>2026</v>
      </c>
      <c r="B361">
        <v>26</v>
      </c>
      <c r="C361" t="s">
        <v>7</v>
      </c>
      <c r="D361" t="s">
        <v>8</v>
      </c>
      <c r="E361" s="2" t="s">
        <v>99</v>
      </c>
      <c r="F361" t="s">
        <v>9</v>
      </c>
      <c r="G361" t="str">
        <f t="shared" si="15"/>
        <v>26011LUMIA</v>
      </c>
      <c r="H361">
        <v>1630</v>
      </c>
      <c r="I361" s="9">
        <f>VLOOKUP(G361,[4]Astroflores!$G$2:$H$109,2,FALSE)</f>
        <v>1500</v>
      </c>
      <c r="J361" s="5">
        <f t="shared" si="16"/>
        <v>-8.666666666666667E-2</v>
      </c>
      <c r="K361">
        <f>VLOOKUP(G361,[5]Estimado_modelo!$G$2:$H$424,2,FALSE)</f>
        <v>1872</v>
      </c>
      <c r="L361">
        <f t="shared" si="17"/>
        <v>-0.248</v>
      </c>
    </row>
    <row r="362" spans="1:12">
      <c r="A362">
        <v>2026</v>
      </c>
      <c r="B362">
        <v>29</v>
      </c>
      <c r="C362" t="s">
        <v>7</v>
      </c>
      <c r="D362" t="s">
        <v>8</v>
      </c>
      <c r="E362" s="2" t="s">
        <v>86</v>
      </c>
      <c r="F362" t="s">
        <v>62</v>
      </c>
      <c r="G362" t="str">
        <f t="shared" si="15"/>
        <v>29019TABATHA</v>
      </c>
      <c r="H362">
        <v>2620</v>
      </c>
      <c r="I362" s="9">
        <f>VLOOKUP(G362,[1]Estimado_modelo!$G$2:$I$421,3,FALSE)</f>
        <v>2490</v>
      </c>
      <c r="J362" s="5">
        <f t="shared" si="16"/>
        <v>-5.2208835341365459E-2</v>
      </c>
      <c r="K362">
        <f>VLOOKUP(G362,[5]Estimado_modelo!$G$2:$H$424,2,FALSE)</f>
        <v>3014</v>
      </c>
      <c r="L362">
        <f t="shared" si="17"/>
        <v>-0.21044176706827308</v>
      </c>
    </row>
    <row r="363" spans="1:12">
      <c r="A363">
        <v>2026</v>
      </c>
      <c r="B363">
        <v>28</v>
      </c>
      <c r="C363" t="s">
        <v>7</v>
      </c>
      <c r="D363" t="s">
        <v>8</v>
      </c>
      <c r="E363" s="2" t="s">
        <v>86</v>
      </c>
      <c r="F363" t="s">
        <v>62</v>
      </c>
      <c r="G363" t="str">
        <f t="shared" si="15"/>
        <v>28019TABATHA</v>
      </c>
      <c r="H363">
        <v>2575</v>
      </c>
      <c r="I363" s="9">
        <f>VLOOKUP(G363,[2]Astroflores!$G$2:$H$110,2,FALSE)</f>
        <v>2250</v>
      </c>
      <c r="J363" s="5">
        <f t="shared" si="16"/>
        <v>-0.14444444444444443</v>
      </c>
      <c r="K363">
        <f>VLOOKUP(G363,[5]Estimado_modelo!$G$2:$H$424,2,FALSE)</f>
        <v>2763</v>
      </c>
      <c r="L363">
        <f t="shared" si="17"/>
        <v>-0.22800000000000001</v>
      </c>
    </row>
    <row r="364" spans="1:12">
      <c r="A364">
        <v>2026</v>
      </c>
      <c r="B364">
        <v>29</v>
      </c>
      <c r="C364" t="s">
        <v>7</v>
      </c>
      <c r="D364" t="s">
        <v>8</v>
      </c>
      <c r="E364" s="2" t="s">
        <v>102</v>
      </c>
      <c r="F364" t="s">
        <v>66</v>
      </c>
      <c r="G364" t="str">
        <f t="shared" si="15"/>
        <v>29023FRUTTETO</v>
      </c>
      <c r="H364">
        <v>7307</v>
      </c>
      <c r="I364" s="9">
        <f>VLOOKUP(G364,[1]Estimado_modelo!$G$2:$I$421,3,FALSE)</f>
        <v>6960</v>
      </c>
      <c r="J364" s="5">
        <f t="shared" si="16"/>
        <v>-4.985632183908046E-2</v>
      </c>
      <c r="K364">
        <f>VLOOKUP(G364,[5]Estimado_modelo!$G$2:$H$424,2,FALSE)</f>
        <v>8612</v>
      </c>
      <c r="L364">
        <f t="shared" si="17"/>
        <v>-0.23735632183908045</v>
      </c>
    </row>
    <row r="365" spans="1:12">
      <c r="A365">
        <v>2026</v>
      </c>
      <c r="B365">
        <v>28</v>
      </c>
      <c r="C365" t="s">
        <v>7</v>
      </c>
      <c r="D365" t="s">
        <v>8</v>
      </c>
      <c r="E365" s="2" t="s">
        <v>88</v>
      </c>
      <c r="F365" t="s">
        <v>64</v>
      </c>
      <c r="G365" t="str">
        <f t="shared" si="15"/>
        <v>28021SHOW GIRL</v>
      </c>
      <c r="H365">
        <v>1464</v>
      </c>
      <c r="I365" s="9">
        <f>VLOOKUP(G365,[2]Astroflores!$G$2:$H$110,2,FALSE)</f>
        <v>1225</v>
      </c>
      <c r="J365" s="5">
        <f t="shared" si="16"/>
        <v>-0.19510204081632654</v>
      </c>
      <c r="K365">
        <f>VLOOKUP(G365,[5]Estimado_modelo!$G$2:$H$424,2,FALSE)</f>
        <v>1519</v>
      </c>
      <c r="L365">
        <f t="shared" si="17"/>
        <v>-0.24</v>
      </c>
    </row>
    <row r="366" spans="1:12">
      <c r="A366">
        <v>2026</v>
      </c>
      <c r="B366">
        <v>26</v>
      </c>
      <c r="C366" t="s">
        <v>7</v>
      </c>
      <c r="D366" t="s">
        <v>8</v>
      </c>
      <c r="E366" s="2" t="s">
        <v>96</v>
      </c>
      <c r="F366" t="s">
        <v>48</v>
      </c>
      <c r="G366" t="str">
        <f t="shared" si="15"/>
        <v>26006ATOMIC</v>
      </c>
      <c r="H366">
        <v>1473</v>
      </c>
      <c r="I366" s="9">
        <f>VLOOKUP(G366,[4]Astroflores!$G$2:$H$109,2,FALSE)</f>
        <v>1200</v>
      </c>
      <c r="J366" s="5">
        <f t="shared" si="16"/>
        <v>-0.22750000000000001</v>
      </c>
      <c r="K366">
        <f>VLOOKUP(G366,[5]Estimado_modelo!$G$2:$H$424,2,FALSE)</f>
        <v>1535</v>
      </c>
      <c r="L366">
        <f t="shared" si="17"/>
        <v>-0.27916666666666667</v>
      </c>
    </row>
    <row r="367" spans="1:12">
      <c r="A367">
        <v>2026</v>
      </c>
      <c r="B367">
        <v>28</v>
      </c>
      <c r="C367" t="s">
        <v>7</v>
      </c>
      <c r="D367" t="s">
        <v>8</v>
      </c>
      <c r="E367" s="2" t="s">
        <v>105</v>
      </c>
      <c r="F367" t="s">
        <v>68</v>
      </c>
      <c r="G367" t="str">
        <f t="shared" si="15"/>
        <v>28026LOLA</v>
      </c>
      <c r="H367">
        <v>4449</v>
      </c>
      <c r="I367" s="9">
        <f>VLOOKUP(G367,[2]Astroflores!$G$2:$H$110,2,FALSE)</f>
        <v>4250</v>
      </c>
      <c r="J367" s="5">
        <f t="shared" si="16"/>
        <v>-4.6823529411764708E-2</v>
      </c>
      <c r="K367">
        <f>VLOOKUP(G367,[5]Estimado_modelo!$G$2:$H$424,2,FALSE)</f>
        <v>5146</v>
      </c>
      <c r="L367">
        <f t="shared" si="17"/>
        <v>-0.21082352941176472</v>
      </c>
    </row>
    <row r="368" spans="1:12">
      <c r="A368">
        <v>2026</v>
      </c>
      <c r="B368">
        <v>26</v>
      </c>
      <c r="C368" t="s">
        <v>10</v>
      </c>
      <c r="D368" t="s">
        <v>8</v>
      </c>
      <c r="E368" s="2" t="s">
        <v>89</v>
      </c>
      <c r="F368" t="s">
        <v>29</v>
      </c>
      <c r="G368" t="str">
        <f t="shared" si="15"/>
        <v>26022MIRABEL</v>
      </c>
      <c r="H368">
        <v>1989</v>
      </c>
      <c r="I368" s="9">
        <f>VLOOKUP(G368,[4]Astroflores!$G$2:$H$109,2,FALSE)</f>
        <v>1600</v>
      </c>
      <c r="J368" s="5">
        <f t="shared" si="16"/>
        <v>-0.24312500000000001</v>
      </c>
      <c r="K368">
        <f>VLOOKUP(G368,[5]Estimado_modelo!$G$2:$H$424,2,FALSE)</f>
        <v>2061</v>
      </c>
      <c r="L368">
        <f t="shared" si="17"/>
        <v>-0.28812500000000002</v>
      </c>
    </row>
    <row r="369" spans="1:12">
      <c r="A369">
        <v>2026</v>
      </c>
      <c r="B369">
        <v>28</v>
      </c>
      <c r="C369" t="s">
        <v>7</v>
      </c>
      <c r="D369" t="s">
        <v>8</v>
      </c>
      <c r="E369" s="2" t="s">
        <v>105</v>
      </c>
      <c r="F369" t="s">
        <v>69</v>
      </c>
      <c r="G369" t="str">
        <f t="shared" si="15"/>
        <v>28026PALOMA</v>
      </c>
      <c r="H369">
        <v>5468</v>
      </c>
      <c r="I369" s="9">
        <f>VLOOKUP(G369,[2]Astroflores!$G$2:$H$110,2,FALSE)</f>
        <v>4850</v>
      </c>
      <c r="J369" s="5">
        <f t="shared" si="16"/>
        <v>-0.12742268041237115</v>
      </c>
      <c r="K369">
        <f>VLOOKUP(G369,[5]Estimado_modelo!$G$2:$H$424,2,FALSE)</f>
        <v>5997</v>
      </c>
      <c r="L369">
        <f t="shared" si="17"/>
        <v>-0.23649484536082474</v>
      </c>
    </row>
    <row r="370" spans="1:12">
      <c r="A370">
        <v>2026</v>
      </c>
      <c r="B370">
        <v>29</v>
      </c>
      <c r="C370" t="s">
        <v>7</v>
      </c>
      <c r="D370" t="s">
        <v>8</v>
      </c>
      <c r="E370" s="2" t="s">
        <v>77</v>
      </c>
      <c r="F370" t="s">
        <v>38</v>
      </c>
      <c r="G370" t="str">
        <f t="shared" si="15"/>
        <v>29004SWEETNESS</v>
      </c>
      <c r="H370">
        <v>676</v>
      </c>
      <c r="I370" s="9">
        <f>VLOOKUP(G370,[1]Estimado_modelo!$G$2:$I$421,3,FALSE)</f>
        <v>540</v>
      </c>
      <c r="J370" s="5">
        <f t="shared" si="16"/>
        <v>-0.25185185185185183</v>
      </c>
      <c r="K370">
        <f>VLOOKUP(G370,[5]Estimado_modelo!$G$2:$H$424,2,FALSE)</f>
        <v>651</v>
      </c>
      <c r="L370">
        <f t="shared" si="17"/>
        <v>-0.20555555555555555</v>
      </c>
    </row>
    <row r="371" spans="1:12">
      <c r="A371">
        <v>2026</v>
      </c>
      <c r="B371">
        <v>26</v>
      </c>
      <c r="C371" t="s">
        <v>7</v>
      </c>
      <c r="D371" t="s">
        <v>8</v>
      </c>
      <c r="E371" s="2" t="s">
        <v>88</v>
      </c>
      <c r="F371" t="s">
        <v>64</v>
      </c>
      <c r="G371" t="str">
        <f t="shared" si="15"/>
        <v>26021SHOW GIRL</v>
      </c>
      <c r="H371">
        <v>1907</v>
      </c>
      <c r="I371" s="9">
        <f>VLOOKUP(G371,[4]Astroflores!$G$2:$H$109,2,FALSE)</f>
        <v>1600</v>
      </c>
      <c r="J371" s="5">
        <f t="shared" si="16"/>
        <v>-0.19187499999999999</v>
      </c>
      <c r="K371">
        <f>VLOOKUP(G371,[5]Estimado_modelo!$G$2:$H$424,2,FALSE)</f>
        <v>2063</v>
      </c>
      <c r="L371">
        <f t="shared" si="17"/>
        <v>-0.28937499999999999</v>
      </c>
    </row>
    <row r="372" spans="1:12">
      <c r="A372">
        <v>2026</v>
      </c>
      <c r="B372">
        <v>29</v>
      </c>
      <c r="C372" t="s">
        <v>7</v>
      </c>
      <c r="D372" t="s">
        <v>8</v>
      </c>
      <c r="E372" s="2" t="s">
        <v>79</v>
      </c>
      <c r="F372" t="s">
        <v>43</v>
      </c>
      <c r="G372" t="str">
        <f t="shared" si="15"/>
        <v>29007COTOPAXI</v>
      </c>
      <c r="H372">
        <v>6520</v>
      </c>
      <c r="I372" s="9">
        <f>VLOOKUP(G372,[1]Estimado_modelo!$G$2:$I$421,3,FALSE)</f>
        <v>5850</v>
      </c>
      <c r="J372" s="5">
        <f t="shared" si="16"/>
        <v>-0.11452991452991453</v>
      </c>
      <c r="K372">
        <f>VLOOKUP(G372,[5]Estimado_modelo!$G$2:$H$424,2,FALSE)</f>
        <v>7314</v>
      </c>
      <c r="L372">
        <f t="shared" si="17"/>
        <v>-0.25025641025641027</v>
      </c>
    </row>
    <row r="373" spans="1:12">
      <c r="A373">
        <v>2026</v>
      </c>
      <c r="B373">
        <v>26</v>
      </c>
      <c r="C373" t="s">
        <v>7</v>
      </c>
      <c r="D373" t="s">
        <v>8</v>
      </c>
      <c r="E373" s="2" t="s">
        <v>101</v>
      </c>
      <c r="F373" t="s">
        <v>58</v>
      </c>
      <c r="G373" t="str">
        <f t="shared" si="15"/>
        <v>26013COUNTRY BLUES</v>
      </c>
      <c r="H373">
        <v>1439</v>
      </c>
      <c r="I373" s="9">
        <f>VLOOKUP(G373,[4]Astroflores!$G$2:$H$109,2,FALSE)</f>
        <v>1180</v>
      </c>
      <c r="J373" s="5">
        <f t="shared" si="16"/>
        <v>-0.21949152542372882</v>
      </c>
      <c r="K373">
        <f>VLOOKUP(G373,[5]Estimado_modelo!$G$2:$H$424,2,FALSE)</f>
        <v>1507</v>
      </c>
      <c r="L373">
        <f t="shared" si="17"/>
        <v>-0.27711864406779663</v>
      </c>
    </row>
    <row r="374" spans="1:12">
      <c r="A374">
        <v>2026</v>
      </c>
      <c r="B374">
        <v>27</v>
      </c>
      <c r="C374" t="s">
        <v>10</v>
      </c>
      <c r="D374" t="s">
        <v>8</v>
      </c>
      <c r="E374" s="2" t="s">
        <v>79</v>
      </c>
      <c r="F374" t="s">
        <v>16</v>
      </c>
      <c r="G374" t="str">
        <f t="shared" si="15"/>
        <v>27007SNOW BUBBLES</v>
      </c>
      <c r="H374">
        <v>788</v>
      </c>
      <c r="I374" s="9">
        <f>VLOOKUP(G374,[3]Hoja1!$G$8515:$H$8621,2,FALSE)</f>
        <v>900</v>
      </c>
      <c r="J374" s="5">
        <f t="shared" si="16"/>
        <v>0.12444444444444444</v>
      </c>
      <c r="K374">
        <f>VLOOKUP(G374,[5]Estimado_modelo!$G$2:$H$424,2,FALSE)</f>
        <v>1184</v>
      </c>
      <c r="L374">
        <f t="shared" si="17"/>
        <v>-0.31555555555555553</v>
      </c>
    </row>
    <row r="375" spans="1:12">
      <c r="A375">
        <v>2026</v>
      </c>
      <c r="B375">
        <v>27</v>
      </c>
      <c r="C375" t="s">
        <v>10</v>
      </c>
      <c r="D375" t="s">
        <v>8</v>
      </c>
      <c r="E375" s="2" t="s">
        <v>78</v>
      </c>
      <c r="F375" t="s">
        <v>13</v>
      </c>
      <c r="G375" t="str">
        <f t="shared" si="15"/>
        <v>27005ELBA</v>
      </c>
      <c r="H375">
        <v>7119</v>
      </c>
      <c r="I375" s="9">
        <f>VLOOKUP(G375,[3]Hoja1!$G$8515:$H$8621,2,FALSE)</f>
        <v>6660</v>
      </c>
      <c r="J375" s="5">
        <f t="shared" si="16"/>
        <v>-6.8918918918918923E-2</v>
      </c>
      <c r="K375">
        <f>VLOOKUP(G375,[5]Estimado_modelo!$G$2:$H$424,2,FALSE)</f>
        <v>8423</v>
      </c>
      <c r="L375">
        <f t="shared" si="17"/>
        <v>-0.26471471471471469</v>
      </c>
    </row>
    <row r="376" spans="1:12">
      <c r="A376">
        <v>2026</v>
      </c>
      <c r="B376">
        <v>29</v>
      </c>
      <c r="C376" t="s">
        <v>7</v>
      </c>
      <c r="D376" t="s">
        <v>8</v>
      </c>
      <c r="E376" s="2" t="s">
        <v>95</v>
      </c>
      <c r="F376" t="s">
        <v>39</v>
      </c>
      <c r="G376" t="str">
        <f t="shared" si="15"/>
        <v>29003CABARET</v>
      </c>
      <c r="H376">
        <v>7140</v>
      </c>
      <c r="I376" s="9">
        <f>VLOOKUP(G376,[1]Estimado_modelo!$G$2:$I$421,3,FALSE)</f>
        <v>6870</v>
      </c>
      <c r="J376" s="5">
        <f t="shared" si="16"/>
        <v>-3.9301310043668124E-2</v>
      </c>
      <c r="K376">
        <f>VLOOKUP(G376,[5]Estimado_modelo!$G$2:$H$424,2,FALSE)</f>
        <v>8640</v>
      </c>
      <c r="L376">
        <f t="shared" si="17"/>
        <v>-0.2576419213973799</v>
      </c>
    </row>
    <row r="377" spans="1:12">
      <c r="A377">
        <v>2026</v>
      </c>
      <c r="B377">
        <v>27</v>
      </c>
      <c r="C377" t="s">
        <v>10</v>
      </c>
      <c r="D377" t="s">
        <v>8</v>
      </c>
      <c r="E377" s="2" t="s">
        <v>85</v>
      </c>
      <c r="F377" t="s">
        <v>22</v>
      </c>
      <c r="G377" t="str">
        <f t="shared" si="15"/>
        <v>27018COSMO</v>
      </c>
      <c r="H377">
        <v>3313</v>
      </c>
      <c r="I377" s="9">
        <f>VLOOKUP(G377,[3]Hoja1!$G$8515:$H$8621,2,FALSE)</f>
        <v>2875</v>
      </c>
      <c r="J377" s="5">
        <f t="shared" si="16"/>
        <v>-0.15234782608695652</v>
      </c>
      <c r="K377">
        <f>VLOOKUP(G377,[5]Estimado_modelo!$G$2:$H$424,2,FALSE)</f>
        <v>3619</v>
      </c>
      <c r="L377">
        <f t="shared" si="17"/>
        <v>-0.25878260869565217</v>
      </c>
    </row>
    <row r="378" spans="1:12">
      <c r="A378">
        <v>2026</v>
      </c>
      <c r="B378">
        <v>28</v>
      </c>
      <c r="C378" t="s">
        <v>10</v>
      </c>
      <c r="D378" t="s">
        <v>8</v>
      </c>
      <c r="E378" s="2" t="s">
        <v>78</v>
      </c>
      <c r="F378" t="s">
        <v>15</v>
      </c>
      <c r="G378" t="str">
        <f t="shared" si="15"/>
        <v>28005SUSPIRO</v>
      </c>
      <c r="H378">
        <v>3627</v>
      </c>
      <c r="I378" s="9">
        <f>VLOOKUP(G378,[2]Astroflores!$G$2:$H$110,2,FALSE)</f>
        <v>2970</v>
      </c>
      <c r="J378" s="5">
        <f t="shared" si="16"/>
        <v>-0.22121212121212122</v>
      </c>
      <c r="K378">
        <f>VLOOKUP(G378,[5]Estimado_modelo!$G$2:$H$424,2,FALSE)</f>
        <v>3744</v>
      </c>
      <c r="L378">
        <f t="shared" si="17"/>
        <v>-0.26060606060606062</v>
      </c>
    </row>
    <row r="379" spans="1:12">
      <c r="A379">
        <v>2026</v>
      </c>
      <c r="B379">
        <v>26</v>
      </c>
      <c r="C379" t="s">
        <v>10</v>
      </c>
      <c r="D379" t="s">
        <v>8</v>
      </c>
      <c r="E379" s="2" t="s">
        <v>88</v>
      </c>
      <c r="F379" t="s">
        <v>28</v>
      </c>
      <c r="G379" t="str">
        <f t="shared" si="15"/>
        <v>26021LEILA</v>
      </c>
      <c r="H379">
        <v>2454</v>
      </c>
      <c r="I379" s="9">
        <f>VLOOKUP(G379,[4]Astroflores!$G$2:$H$109,2,FALSE)</f>
        <v>1850</v>
      </c>
      <c r="J379" s="5">
        <f t="shared" si="16"/>
        <v>-0.32648648648648648</v>
      </c>
      <c r="K379">
        <f>VLOOKUP(G379,[5]Estimado_modelo!$G$2:$H$424,2,FALSE)</f>
        <v>2449</v>
      </c>
      <c r="L379">
        <f t="shared" si="17"/>
        <v>-0.32378378378378381</v>
      </c>
    </row>
    <row r="380" spans="1:12">
      <c r="A380">
        <v>2026</v>
      </c>
      <c r="B380">
        <v>27</v>
      </c>
      <c r="C380" t="s">
        <v>10</v>
      </c>
      <c r="D380" t="s">
        <v>8</v>
      </c>
      <c r="E380" s="2" t="s">
        <v>88</v>
      </c>
      <c r="F380" t="s">
        <v>25</v>
      </c>
      <c r="G380" t="str">
        <f t="shared" si="15"/>
        <v>27021ELEGANT ROSEVER</v>
      </c>
      <c r="H380">
        <v>919</v>
      </c>
      <c r="I380" s="9">
        <f>VLOOKUP(G380,[3]Hoja1!$G$8515:$H$8621,2,FALSE)</f>
        <v>840</v>
      </c>
      <c r="J380" s="5">
        <f t="shared" si="16"/>
        <v>-9.4047619047619047E-2</v>
      </c>
      <c r="K380">
        <f>VLOOKUP(G380,[5]Estimado_modelo!$G$2:$H$424,2,FALSE)</f>
        <v>1087</v>
      </c>
      <c r="L380">
        <f t="shared" si="17"/>
        <v>-0.29404761904761906</v>
      </c>
    </row>
    <row r="381" spans="1:12">
      <c r="A381">
        <v>2026</v>
      </c>
      <c r="B381">
        <v>28</v>
      </c>
      <c r="C381" t="s">
        <v>7</v>
      </c>
      <c r="D381" t="s">
        <v>8</v>
      </c>
      <c r="E381" s="2" t="s">
        <v>77</v>
      </c>
      <c r="F381" t="s">
        <v>40</v>
      </c>
      <c r="G381" t="str">
        <f t="shared" si="15"/>
        <v>28004DEEP PURPLE</v>
      </c>
      <c r="H381">
        <v>16283</v>
      </c>
      <c r="I381" s="9">
        <f>VLOOKUP(G381,[2]Astroflores!$G$2:$H$110,2,FALSE)</f>
        <v>16920</v>
      </c>
      <c r="J381" s="5">
        <f t="shared" si="16"/>
        <v>3.7647754137115838E-2</v>
      </c>
      <c r="K381">
        <f>VLOOKUP(G381,[5]Estimado_modelo!$G$2:$H$424,2,FALSE)</f>
        <v>22031</v>
      </c>
      <c r="L381">
        <f t="shared" si="17"/>
        <v>-0.30206855791962173</v>
      </c>
    </row>
    <row r="382" spans="1:12">
      <c r="A382">
        <v>2026</v>
      </c>
      <c r="B382">
        <v>26</v>
      </c>
      <c r="C382" t="s">
        <v>10</v>
      </c>
      <c r="D382" t="s">
        <v>8</v>
      </c>
      <c r="E382" s="2" t="s">
        <v>79</v>
      </c>
      <c r="F382" t="s">
        <v>16</v>
      </c>
      <c r="G382" t="str">
        <f t="shared" si="15"/>
        <v>26007SNOW BUBBLES</v>
      </c>
      <c r="H382">
        <v>744</v>
      </c>
      <c r="I382" s="9">
        <f>VLOOKUP(G382,[4]Astroflores!$G$2:$H$109,2,FALSE)</f>
        <v>960</v>
      </c>
      <c r="J382" s="5">
        <f t="shared" si="16"/>
        <v>0.22500000000000001</v>
      </c>
      <c r="K382">
        <f>VLOOKUP(G382,[5]Estimado_modelo!$G$2:$H$424,2,FALSE)</f>
        <v>1252</v>
      </c>
      <c r="L382">
        <f t="shared" si="17"/>
        <v>-0.30416666666666664</v>
      </c>
    </row>
    <row r="383" spans="1:12">
      <c r="A383">
        <v>2026</v>
      </c>
      <c r="B383">
        <v>29</v>
      </c>
      <c r="C383" t="s">
        <v>7</v>
      </c>
      <c r="D383" t="s">
        <v>8</v>
      </c>
      <c r="E383" s="2" t="s">
        <v>77</v>
      </c>
      <c r="F383" t="s">
        <v>45</v>
      </c>
      <c r="G383" t="str">
        <f t="shared" si="15"/>
        <v>29004HOT MERENGUE</v>
      </c>
      <c r="H383">
        <v>3208</v>
      </c>
      <c r="I383" s="9">
        <f>VLOOKUP(G383,[1]Estimado_modelo!$G$2:$I$421,3,FALSE)</f>
        <v>2610</v>
      </c>
      <c r="J383" s="5">
        <f t="shared" si="16"/>
        <v>-0.22911877394636015</v>
      </c>
      <c r="K383">
        <f>VLOOKUP(G383,[5]Estimado_modelo!$G$2:$H$424,2,FALSE)</f>
        <v>3354</v>
      </c>
      <c r="L383">
        <f t="shared" si="17"/>
        <v>-0.28505747126436781</v>
      </c>
    </row>
    <row r="384" spans="1:12">
      <c r="A384">
        <v>2026</v>
      </c>
      <c r="B384">
        <v>28</v>
      </c>
      <c r="C384" t="s">
        <v>10</v>
      </c>
      <c r="D384" t="s">
        <v>8</v>
      </c>
      <c r="E384" s="2" t="s">
        <v>88</v>
      </c>
      <c r="F384" t="s">
        <v>26</v>
      </c>
      <c r="G384" t="str">
        <f t="shared" si="15"/>
        <v>28021FLAME CLUB</v>
      </c>
      <c r="H384">
        <v>1680</v>
      </c>
      <c r="I384" s="9">
        <f>VLOOKUP(G384,[2]Astroflores!$G$2:$H$110,2,FALSE)</f>
        <v>1400</v>
      </c>
      <c r="J384" s="5">
        <f t="shared" si="16"/>
        <v>-0.2</v>
      </c>
      <c r="K384">
        <f>VLOOKUP(G384,[5]Estimado_modelo!$G$2:$H$424,2,FALSE)</f>
        <v>1815</v>
      </c>
      <c r="L384">
        <f t="shared" si="17"/>
        <v>-0.29642857142857143</v>
      </c>
    </row>
    <row r="385" spans="1:12">
      <c r="A385">
        <v>2026</v>
      </c>
      <c r="B385">
        <v>29</v>
      </c>
      <c r="C385" t="s">
        <v>7</v>
      </c>
      <c r="D385" t="s">
        <v>8</v>
      </c>
      <c r="E385" s="2" t="s">
        <v>77</v>
      </c>
      <c r="F385" t="s">
        <v>44</v>
      </c>
      <c r="G385" t="str">
        <f t="shared" si="15"/>
        <v>29004HOT EXPLORER</v>
      </c>
      <c r="H385">
        <v>2160</v>
      </c>
      <c r="I385" s="9">
        <f>VLOOKUP(G385,[1]Estimado_modelo!$G$2:$I$421,3,FALSE)</f>
        <v>1675</v>
      </c>
      <c r="J385" s="5">
        <f t="shared" si="16"/>
        <v>-0.28955223880597014</v>
      </c>
      <c r="K385">
        <f>VLOOKUP(G385,[5]Estimado_modelo!$G$2:$H$424,2,FALSE)</f>
        <v>2176</v>
      </c>
      <c r="L385">
        <f t="shared" si="17"/>
        <v>-0.29910447761194031</v>
      </c>
    </row>
    <row r="386" spans="1:12">
      <c r="A386">
        <v>2026</v>
      </c>
      <c r="B386">
        <v>28</v>
      </c>
      <c r="C386" t="s">
        <v>10</v>
      </c>
      <c r="D386" t="s">
        <v>8</v>
      </c>
      <c r="E386" s="2" t="s">
        <v>91</v>
      </c>
      <c r="F386" t="s">
        <v>11</v>
      </c>
      <c r="G386" t="str">
        <f t="shared" ref="G386:G420" si="18">+B386&amp;E386&amp;F386</f>
        <v>28031SOMERSET</v>
      </c>
      <c r="H386">
        <v>817</v>
      </c>
      <c r="I386" s="9">
        <f>VLOOKUP(G386,[2]Astroflores!$G$2:$H$110,2,FALSE)</f>
        <v>520</v>
      </c>
      <c r="J386" s="5">
        <f t="shared" ref="J386:J420" si="19">+(I386-H386)/I386</f>
        <v>-0.57115384615384612</v>
      </c>
      <c r="K386">
        <f>VLOOKUP(G386,[5]Estimado_modelo!$G$2:$H$424,2,FALSE)</f>
        <v>705</v>
      </c>
      <c r="L386">
        <f t="shared" ref="L386:L417" si="20">+(I386-K386)/I386</f>
        <v>-0.35576923076923078</v>
      </c>
    </row>
    <row r="387" spans="1:12">
      <c r="A387">
        <v>2026</v>
      </c>
      <c r="B387">
        <v>29</v>
      </c>
      <c r="C387" t="s">
        <v>10</v>
      </c>
      <c r="D387" t="s">
        <v>8</v>
      </c>
      <c r="E387" s="2" t="s">
        <v>78</v>
      </c>
      <c r="F387" t="s">
        <v>14</v>
      </c>
      <c r="G387" t="str">
        <f t="shared" si="18"/>
        <v>29005HOT BUBBLES</v>
      </c>
      <c r="H387">
        <v>880</v>
      </c>
      <c r="I387" s="9">
        <f>VLOOKUP(G387,[1]Estimado_modelo!$G$2:$I$421,3,FALSE)</f>
        <v>1080</v>
      </c>
      <c r="J387" s="5">
        <f t="shared" si="19"/>
        <v>0.18518518518518517</v>
      </c>
      <c r="K387">
        <f>VLOOKUP(G387,[5]Estimado_modelo!$G$2:$H$424,2,FALSE)</f>
        <v>1449</v>
      </c>
      <c r="L387">
        <f t="shared" si="20"/>
        <v>-0.34166666666666667</v>
      </c>
    </row>
    <row r="388" spans="1:12">
      <c r="A388">
        <v>2026</v>
      </c>
      <c r="B388">
        <v>29</v>
      </c>
      <c r="C388" t="s">
        <v>7</v>
      </c>
      <c r="D388" t="s">
        <v>8</v>
      </c>
      <c r="E388" s="2" t="s">
        <v>84</v>
      </c>
      <c r="F388" t="s">
        <v>51</v>
      </c>
      <c r="G388" t="str">
        <f t="shared" si="18"/>
        <v>29017FREEDOM</v>
      </c>
      <c r="H388">
        <v>6589</v>
      </c>
      <c r="I388" s="9">
        <f>VLOOKUP(G388,[1]Estimado_modelo!$G$2:$I$421,3,FALSE)</f>
        <v>5400</v>
      </c>
      <c r="J388" s="5">
        <f t="shared" si="19"/>
        <v>-0.22018518518518518</v>
      </c>
      <c r="K388">
        <f>VLOOKUP(G388,[5]Estimado_modelo!$G$2:$H$424,2,FALSE)</f>
        <v>7198</v>
      </c>
      <c r="L388">
        <f t="shared" si="20"/>
        <v>-0.33296296296296296</v>
      </c>
    </row>
    <row r="389" spans="1:12">
      <c r="A389">
        <v>2026</v>
      </c>
      <c r="B389">
        <v>29</v>
      </c>
      <c r="C389" t="s">
        <v>7</v>
      </c>
      <c r="D389" t="s">
        <v>8</v>
      </c>
      <c r="E389" s="2" t="s">
        <v>97</v>
      </c>
      <c r="F389" t="s">
        <v>40</v>
      </c>
      <c r="G389" t="str">
        <f t="shared" si="18"/>
        <v>29008DEEP PURPLE</v>
      </c>
      <c r="H389">
        <v>6732</v>
      </c>
      <c r="I389" s="9">
        <f>VLOOKUP(G389,[1]Estimado_modelo!$G$2:$I$421,3,FALSE)</f>
        <v>5670</v>
      </c>
      <c r="J389" s="5">
        <f t="shared" si="19"/>
        <v>-0.1873015873015873</v>
      </c>
      <c r="K389">
        <f>VLOOKUP(G389,[5]Estimado_modelo!$G$2:$H$424,2,FALSE)</f>
        <v>7562</v>
      </c>
      <c r="L389">
        <f t="shared" si="20"/>
        <v>-0.33368606701940035</v>
      </c>
    </row>
    <row r="390" spans="1:12">
      <c r="A390">
        <v>2026</v>
      </c>
      <c r="B390">
        <v>26</v>
      </c>
      <c r="C390" t="s">
        <v>10</v>
      </c>
      <c r="D390" t="s">
        <v>8</v>
      </c>
      <c r="E390" s="2" t="s">
        <v>88</v>
      </c>
      <c r="F390" t="s">
        <v>16</v>
      </c>
      <c r="G390" t="str">
        <f t="shared" si="18"/>
        <v>26021SNOW BUBBLES</v>
      </c>
      <c r="H390">
        <v>1809</v>
      </c>
      <c r="I390" s="9">
        <f>VLOOKUP(G390,[4]Astroflores!$G$2:$H$109,2,FALSE)</f>
        <v>1380</v>
      </c>
      <c r="J390" s="5">
        <f t="shared" si="19"/>
        <v>-0.31086956521739129</v>
      </c>
      <c r="K390">
        <f>VLOOKUP(G390,[5]Estimado_modelo!$G$2:$H$424,2,FALSE)</f>
        <v>1903</v>
      </c>
      <c r="L390">
        <f t="shared" si="20"/>
        <v>-0.37898550724637681</v>
      </c>
    </row>
    <row r="391" spans="1:12">
      <c r="A391">
        <v>2026</v>
      </c>
      <c r="B391">
        <v>28</v>
      </c>
      <c r="C391" t="s">
        <v>7</v>
      </c>
      <c r="D391" t="s">
        <v>8</v>
      </c>
      <c r="E391" s="2" t="s">
        <v>97</v>
      </c>
      <c r="F391" t="s">
        <v>51</v>
      </c>
      <c r="G391" t="str">
        <f t="shared" si="18"/>
        <v>28008FREEDOM</v>
      </c>
      <c r="H391">
        <v>5360</v>
      </c>
      <c r="I391" s="9">
        <f>VLOOKUP(G391,[2]Astroflores!$G$2:$H$110,2,FALSE)</f>
        <v>3960</v>
      </c>
      <c r="J391" s="5">
        <f t="shared" si="19"/>
        <v>-0.35353535353535354</v>
      </c>
      <c r="K391">
        <f>VLOOKUP(G391,[5]Estimado_modelo!$G$2:$H$424,2,FALSE)</f>
        <v>5312</v>
      </c>
      <c r="L391">
        <f t="shared" si="20"/>
        <v>-0.34141414141414139</v>
      </c>
    </row>
    <row r="392" spans="1:12">
      <c r="A392">
        <v>2026</v>
      </c>
      <c r="B392">
        <v>27</v>
      </c>
      <c r="C392" t="s">
        <v>10</v>
      </c>
      <c r="D392" t="s">
        <v>8</v>
      </c>
      <c r="E392" s="2" t="s">
        <v>78</v>
      </c>
      <c r="F392" t="s">
        <v>15</v>
      </c>
      <c r="G392" t="str">
        <f t="shared" si="18"/>
        <v>27005SUSPIRO</v>
      </c>
      <c r="H392">
        <v>4561</v>
      </c>
      <c r="I392" s="9">
        <f>VLOOKUP(G392,[3]Hoja1!$G$8515:$H$8621,2,FALSE)</f>
        <v>3300</v>
      </c>
      <c r="J392" s="5">
        <f t="shared" si="19"/>
        <v>-0.38212121212121214</v>
      </c>
      <c r="K392">
        <f>VLOOKUP(G392,[5]Estimado_modelo!$G$2:$H$424,2,FALSE)</f>
        <v>4507</v>
      </c>
      <c r="L392">
        <f t="shared" si="20"/>
        <v>-0.36575757575757578</v>
      </c>
    </row>
    <row r="393" spans="1:12">
      <c r="A393">
        <v>2026</v>
      </c>
      <c r="B393">
        <v>27</v>
      </c>
      <c r="C393" t="s">
        <v>10</v>
      </c>
      <c r="D393" t="s">
        <v>8</v>
      </c>
      <c r="E393" s="2" t="s">
        <v>89</v>
      </c>
      <c r="F393" t="s">
        <v>29</v>
      </c>
      <c r="G393" t="str">
        <f t="shared" si="18"/>
        <v>27022MIRABEL</v>
      </c>
      <c r="H393">
        <v>1835</v>
      </c>
      <c r="I393" s="9">
        <f>VLOOKUP(G393,[3]Hoja1!$G$8515:$H$8621,2,FALSE)</f>
        <v>1840</v>
      </c>
      <c r="J393" s="5">
        <f t="shared" si="19"/>
        <v>2.717391304347826E-3</v>
      </c>
      <c r="K393">
        <f>VLOOKUP(G393,[5]Estimado_modelo!$G$2:$H$424,2,FALSE)</f>
        <v>2490</v>
      </c>
      <c r="L393">
        <f t="shared" si="20"/>
        <v>-0.35326086956521741</v>
      </c>
    </row>
    <row r="394" spans="1:12">
      <c r="A394">
        <v>2026</v>
      </c>
      <c r="B394">
        <v>28</v>
      </c>
      <c r="C394" t="s">
        <v>7</v>
      </c>
      <c r="D394" t="s">
        <v>8</v>
      </c>
      <c r="E394" s="2" t="s">
        <v>77</v>
      </c>
      <c r="F394" t="s">
        <v>45</v>
      </c>
      <c r="G394" t="str">
        <f t="shared" si="18"/>
        <v>28004HOT MERENGUE</v>
      </c>
      <c r="H394">
        <v>3411</v>
      </c>
      <c r="I394" s="9">
        <f>VLOOKUP(G394,[2]Astroflores!$G$2:$H$110,2,FALSE)</f>
        <v>2790</v>
      </c>
      <c r="J394" s="5">
        <f t="shared" si="19"/>
        <v>-0.22258064516129034</v>
      </c>
      <c r="K394">
        <f>VLOOKUP(G394,[5]Estimado_modelo!$G$2:$H$424,2,FALSE)</f>
        <v>3772</v>
      </c>
      <c r="L394">
        <f t="shared" si="20"/>
        <v>-0.35197132616487453</v>
      </c>
    </row>
    <row r="395" spans="1:12">
      <c r="A395">
        <v>2026</v>
      </c>
      <c r="B395">
        <v>29</v>
      </c>
      <c r="C395" t="s">
        <v>7</v>
      </c>
      <c r="D395" t="s">
        <v>8</v>
      </c>
      <c r="E395" s="2" t="s">
        <v>105</v>
      </c>
      <c r="F395" t="s">
        <v>69</v>
      </c>
      <c r="G395" t="str">
        <f t="shared" si="18"/>
        <v>29026PALOMA</v>
      </c>
      <c r="H395">
        <v>5293</v>
      </c>
      <c r="I395" s="9">
        <f>VLOOKUP(G395,[1]Estimado_modelo!$G$2:$I$421,3,FALSE)</f>
        <v>4675</v>
      </c>
      <c r="J395" s="5">
        <f t="shared" si="19"/>
        <v>-0.13219251336898397</v>
      </c>
      <c r="K395">
        <f>VLOOKUP(G395,[5]Estimado_modelo!$G$2:$H$424,2,FALSE)</f>
        <v>6442</v>
      </c>
      <c r="L395">
        <f t="shared" si="20"/>
        <v>-0.37796791443850269</v>
      </c>
    </row>
    <row r="396" spans="1:12">
      <c r="A396">
        <v>2026</v>
      </c>
      <c r="B396">
        <v>29</v>
      </c>
      <c r="C396" t="s">
        <v>7</v>
      </c>
      <c r="D396" t="s">
        <v>8</v>
      </c>
      <c r="E396" s="2" t="s">
        <v>94</v>
      </c>
      <c r="F396" t="s">
        <v>33</v>
      </c>
      <c r="G396" t="str">
        <f t="shared" si="18"/>
        <v>29001BELIEVE IN PINK</v>
      </c>
      <c r="H396">
        <v>1730</v>
      </c>
      <c r="I396" s="9">
        <f>VLOOKUP(G396,[1]Estimado_modelo!$G$2:$I$421,3,FALSE)</f>
        <v>1350</v>
      </c>
      <c r="J396" s="5">
        <f t="shared" si="19"/>
        <v>-0.2814814814814815</v>
      </c>
      <c r="K396">
        <f>VLOOKUP(G396,[5]Estimado_modelo!$G$2:$H$424,2,FALSE)</f>
        <v>1849</v>
      </c>
      <c r="L396">
        <f t="shared" si="20"/>
        <v>-0.36962962962962964</v>
      </c>
    </row>
    <row r="397" spans="1:12">
      <c r="A397">
        <v>2026</v>
      </c>
      <c r="B397">
        <v>26</v>
      </c>
      <c r="C397" t="s">
        <v>10</v>
      </c>
      <c r="D397" t="s">
        <v>8</v>
      </c>
      <c r="E397" s="2" t="s">
        <v>91</v>
      </c>
      <c r="F397" t="s">
        <v>11</v>
      </c>
      <c r="G397" t="str">
        <f t="shared" si="18"/>
        <v>26031SOMERSET</v>
      </c>
      <c r="H397">
        <v>1318</v>
      </c>
      <c r="I397" s="9">
        <f>VLOOKUP(G397,[4]Astroflores!$G$2:$H$109,2,FALSE)</f>
        <v>1240</v>
      </c>
      <c r="J397" s="5">
        <f t="shared" si="19"/>
        <v>-6.2903225806451607E-2</v>
      </c>
      <c r="K397">
        <f>VLOOKUP(G397,[5]Estimado_modelo!$G$2:$H$424,2,FALSE)</f>
        <v>1764</v>
      </c>
      <c r="L397">
        <f t="shared" si="20"/>
        <v>-0.42258064516129035</v>
      </c>
    </row>
    <row r="398" spans="1:12">
      <c r="A398">
        <v>2026</v>
      </c>
      <c r="B398">
        <v>27</v>
      </c>
      <c r="C398" t="s">
        <v>7</v>
      </c>
      <c r="D398" t="s">
        <v>8</v>
      </c>
      <c r="E398" s="2" t="s">
        <v>101</v>
      </c>
      <c r="F398" t="s">
        <v>58</v>
      </c>
      <c r="G398" t="str">
        <f t="shared" si="18"/>
        <v>27013COUNTRY BLUES</v>
      </c>
      <c r="H398">
        <v>1664</v>
      </c>
      <c r="I398" s="9">
        <f>VLOOKUP(G398,[3]Hoja1!$G$8515:$H$8621,2,FALSE)</f>
        <v>1240</v>
      </c>
      <c r="J398" s="5">
        <f t="shared" si="19"/>
        <v>-0.34193548387096773</v>
      </c>
      <c r="K398">
        <f>VLOOKUP(G398,[5]Estimado_modelo!$G$2:$H$424,2,FALSE)</f>
        <v>1763</v>
      </c>
      <c r="L398">
        <f t="shared" si="20"/>
        <v>-0.42177419354838708</v>
      </c>
    </row>
    <row r="399" spans="1:12">
      <c r="A399">
        <v>2026</v>
      </c>
      <c r="B399">
        <v>26</v>
      </c>
      <c r="C399" t="s">
        <v>7</v>
      </c>
      <c r="D399" t="s">
        <v>8</v>
      </c>
      <c r="E399" s="2" t="s">
        <v>101</v>
      </c>
      <c r="F399" t="s">
        <v>9</v>
      </c>
      <c r="G399" t="str">
        <f t="shared" si="18"/>
        <v>26013LUMIA</v>
      </c>
      <c r="H399">
        <v>576</v>
      </c>
      <c r="I399" s="9">
        <f>VLOOKUP(G399,[4]Astroflores!$G$2:$H$109,2,FALSE)</f>
        <v>570</v>
      </c>
      <c r="J399" s="5">
        <f t="shared" si="19"/>
        <v>-1.0526315789473684E-2</v>
      </c>
      <c r="K399">
        <f>VLOOKUP(G399,[5]Estimado_modelo!$G$2:$H$424,2,FALSE)</f>
        <v>841</v>
      </c>
      <c r="L399">
        <f t="shared" si="20"/>
        <v>-0.47543859649122805</v>
      </c>
    </row>
    <row r="400" spans="1:12">
      <c r="A400">
        <v>2026</v>
      </c>
      <c r="B400">
        <v>29</v>
      </c>
      <c r="C400" t="s">
        <v>7</v>
      </c>
      <c r="D400" t="s">
        <v>8</v>
      </c>
      <c r="E400" s="2" t="s">
        <v>78</v>
      </c>
      <c r="F400" t="s">
        <v>46</v>
      </c>
      <c r="G400" t="str">
        <f t="shared" si="18"/>
        <v>29005GOLDFINCH</v>
      </c>
      <c r="H400">
        <v>1220</v>
      </c>
      <c r="I400" s="9">
        <f>VLOOKUP(G400,[1]Estimado_modelo!$G$2:$I$421,3,FALSE)</f>
        <v>900</v>
      </c>
      <c r="J400" s="5">
        <f t="shared" si="19"/>
        <v>-0.35555555555555557</v>
      </c>
      <c r="K400">
        <f>VLOOKUP(G400,[5]Estimado_modelo!$G$2:$H$424,2,FALSE)</f>
        <v>1297</v>
      </c>
      <c r="L400">
        <f t="shared" si="20"/>
        <v>-0.44111111111111112</v>
      </c>
    </row>
    <row r="401" spans="1:12">
      <c r="A401">
        <v>2026</v>
      </c>
      <c r="B401">
        <v>26</v>
      </c>
      <c r="C401" t="s">
        <v>7</v>
      </c>
      <c r="D401" t="s">
        <v>8</v>
      </c>
      <c r="E401" s="2" t="s">
        <v>95</v>
      </c>
      <c r="F401" t="s">
        <v>41</v>
      </c>
      <c r="G401" t="str">
        <f t="shared" si="18"/>
        <v>26003JOCKER</v>
      </c>
      <c r="H401">
        <v>869</v>
      </c>
      <c r="I401" s="9">
        <f>VLOOKUP(G401,[4]Astroflores!$G$2:$H$109,2,FALSE)</f>
        <v>750</v>
      </c>
      <c r="J401" s="5">
        <f t="shared" si="19"/>
        <v>-0.15866666666666668</v>
      </c>
      <c r="K401">
        <f>VLOOKUP(G401,[5]Estimado_modelo!$G$2:$H$424,2,FALSE)</f>
        <v>1134</v>
      </c>
      <c r="L401">
        <f t="shared" si="20"/>
        <v>-0.51200000000000001</v>
      </c>
    </row>
    <row r="402" spans="1:12">
      <c r="A402">
        <v>2026</v>
      </c>
      <c r="B402">
        <v>29</v>
      </c>
      <c r="C402" t="s">
        <v>10</v>
      </c>
      <c r="D402" t="s">
        <v>8</v>
      </c>
      <c r="E402" s="2" t="s">
        <v>88</v>
      </c>
      <c r="F402" t="s">
        <v>27</v>
      </c>
      <c r="G402" t="str">
        <f t="shared" si="18"/>
        <v>29021KELLY</v>
      </c>
      <c r="H402">
        <v>587</v>
      </c>
      <c r="I402" s="9">
        <f>VLOOKUP(G402,[1]Estimado_modelo!$G$2:$I$421,3,FALSE)</f>
        <v>450</v>
      </c>
      <c r="J402" s="5">
        <f t="shared" si="19"/>
        <v>-0.30444444444444446</v>
      </c>
      <c r="K402">
        <f>VLOOKUP(G402,[5]Estimado_modelo!$G$2:$H$424,2,FALSE)</f>
        <v>669</v>
      </c>
      <c r="L402">
        <f t="shared" si="20"/>
        <v>-0.48666666666666669</v>
      </c>
    </row>
    <row r="403" spans="1:12">
      <c r="A403">
        <v>2026</v>
      </c>
      <c r="B403">
        <v>26</v>
      </c>
      <c r="C403" t="s">
        <v>7</v>
      </c>
      <c r="D403" t="s">
        <v>8</v>
      </c>
      <c r="E403" s="2" t="s">
        <v>77</v>
      </c>
      <c r="F403" t="s">
        <v>38</v>
      </c>
      <c r="G403" t="str">
        <f t="shared" si="18"/>
        <v>26004SWEETNESS</v>
      </c>
      <c r="H403">
        <v>648</v>
      </c>
      <c r="I403" s="9">
        <f>VLOOKUP(G403,[4]Astroflores!$G$2:$H$109,2,FALSE)</f>
        <v>540</v>
      </c>
      <c r="J403" s="5">
        <f t="shared" si="19"/>
        <v>-0.2</v>
      </c>
      <c r="K403">
        <f>VLOOKUP(G403,[5]Estimado_modelo!$G$2:$H$424,2,FALSE)</f>
        <v>822</v>
      </c>
      <c r="L403">
        <f t="shared" si="20"/>
        <v>-0.52222222222222225</v>
      </c>
    </row>
    <row r="404" spans="1:12">
      <c r="A404">
        <v>2026</v>
      </c>
      <c r="B404">
        <v>29</v>
      </c>
      <c r="C404" t="s">
        <v>7</v>
      </c>
      <c r="D404" t="s">
        <v>8</v>
      </c>
      <c r="E404" s="2" t="s">
        <v>105</v>
      </c>
      <c r="F404" t="s">
        <v>68</v>
      </c>
      <c r="G404" t="str">
        <f t="shared" si="18"/>
        <v>29026LOLA</v>
      </c>
      <c r="H404">
        <v>4550</v>
      </c>
      <c r="I404" s="9">
        <f>VLOOKUP(G404,[1]Estimado_modelo!$G$2:$I$421,3,FALSE)</f>
        <v>3400</v>
      </c>
      <c r="J404" s="5">
        <f t="shared" si="19"/>
        <v>-0.33823529411764708</v>
      </c>
      <c r="K404">
        <f>VLOOKUP(G404,[5]Estimado_modelo!$G$2:$H$424,2,FALSE)</f>
        <v>5255</v>
      </c>
      <c r="L404">
        <f t="shared" si="20"/>
        <v>-0.5455882352941176</v>
      </c>
    </row>
    <row r="405" spans="1:12">
      <c r="A405">
        <v>2026</v>
      </c>
      <c r="B405">
        <v>26</v>
      </c>
      <c r="C405" t="s">
        <v>10</v>
      </c>
      <c r="D405" t="s">
        <v>8</v>
      </c>
      <c r="E405" s="2" t="s">
        <v>88</v>
      </c>
      <c r="F405" t="s">
        <v>25</v>
      </c>
      <c r="G405" t="str">
        <f t="shared" si="18"/>
        <v>26021ELEGANT ROSEVER</v>
      </c>
      <c r="H405">
        <v>821</v>
      </c>
      <c r="I405" s="9">
        <f>VLOOKUP(G405,[4]Astroflores!$G$2:$H$109,2,FALSE)</f>
        <v>630</v>
      </c>
      <c r="J405" s="5">
        <f t="shared" si="19"/>
        <v>-0.30317460317460315</v>
      </c>
      <c r="K405">
        <f>VLOOKUP(G405,[5]Estimado_modelo!$G$2:$H$424,2,FALSE)</f>
        <v>1045</v>
      </c>
      <c r="L405">
        <f t="shared" si="20"/>
        <v>-0.65873015873015872</v>
      </c>
    </row>
    <row r="406" spans="1:12">
      <c r="A406">
        <v>2026</v>
      </c>
      <c r="B406">
        <v>27</v>
      </c>
      <c r="C406" t="s">
        <v>7</v>
      </c>
      <c r="D406" t="s">
        <v>8</v>
      </c>
      <c r="E406" s="2" t="s">
        <v>96</v>
      </c>
      <c r="F406" t="s">
        <v>48</v>
      </c>
      <c r="G406" t="str">
        <f t="shared" si="18"/>
        <v>27006ATOMIC</v>
      </c>
      <c r="H406">
        <v>1972</v>
      </c>
      <c r="I406" s="9">
        <f>VLOOKUP(G406,[3]Hoja1!$G$8515:$H$8621,2,FALSE)</f>
        <v>1275</v>
      </c>
      <c r="J406" s="5">
        <f t="shared" si="19"/>
        <v>-0.54666666666666663</v>
      </c>
      <c r="K406">
        <f>VLOOKUP(G406,[5]Estimado_modelo!$G$2:$H$424,2,FALSE)</f>
        <v>1995</v>
      </c>
      <c r="L406">
        <f t="shared" si="20"/>
        <v>-0.56470588235294117</v>
      </c>
    </row>
    <row r="407" spans="1:12">
      <c r="A407">
        <v>2026</v>
      </c>
      <c r="B407">
        <v>27</v>
      </c>
      <c r="C407" t="s">
        <v>10</v>
      </c>
      <c r="D407" t="s">
        <v>8</v>
      </c>
      <c r="E407" s="2" t="s">
        <v>88</v>
      </c>
      <c r="F407" t="s">
        <v>16</v>
      </c>
      <c r="G407" t="str">
        <f t="shared" si="18"/>
        <v>27021SNOW BUBBLES</v>
      </c>
      <c r="H407">
        <v>2007</v>
      </c>
      <c r="I407" s="9">
        <f>VLOOKUP(G407,[3]Hoja1!$G$8515:$H$8621,2,FALSE)</f>
        <v>1520</v>
      </c>
      <c r="J407" s="5">
        <f t="shared" si="19"/>
        <v>-0.32039473684210529</v>
      </c>
      <c r="K407">
        <f>VLOOKUP(G407,[5]Estimado_modelo!$G$2:$H$424,2,FALSE)</f>
        <v>2471</v>
      </c>
      <c r="L407">
        <f t="shared" si="20"/>
        <v>-0.62565789473684208</v>
      </c>
    </row>
    <row r="408" spans="1:12">
      <c r="A408">
        <v>2026</v>
      </c>
      <c r="B408">
        <v>27</v>
      </c>
      <c r="C408" t="s">
        <v>7</v>
      </c>
      <c r="D408" t="s">
        <v>8</v>
      </c>
      <c r="E408" s="2" t="s">
        <v>77</v>
      </c>
      <c r="F408" t="s">
        <v>38</v>
      </c>
      <c r="G408" t="str">
        <f t="shared" si="18"/>
        <v>27004SWEETNESS</v>
      </c>
      <c r="H408">
        <v>517</v>
      </c>
      <c r="I408" s="9">
        <f>VLOOKUP(G408,[3]Hoja1!$G$8515:$H$8621,2,FALSE)</f>
        <v>510</v>
      </c>
      <c r="J408" s="5">
        <f t="shared" si="19"/>
        <v>-1.3725490196078431E-2</v>
      </c>
      <c r="K408">
        <f>VLOOKUP(G408,[5]Estimado_modelo!$G$2:$H$424,2,FALSE)</f>
        <v>830</v>
      </c>
      <c r="L408">
        <f t="shared" si="20"/>
        <v>-0.62745098039215685</v>
      </c>
    </row>
    <row r="409" spans="1:12">
      <c r="A409">
        <v>2026</v>
      </c>
      <c r="B409">
        <v>27</v>
      </c>
      <c r="C409" t="s">
        <v>10</v>
      </c>
      <c r="D409" t="s">
        <v>8</v>
      </c>
      <c r="E409" s="2" t="s">
        <v>88</v>
      </c>
      <c r="F409" t="s">
        <v>26</v>
      </c>
      <c r="G409" t="str">
        <f t="shared" si="18"/>
        <v>27021FLAME CLUB</v>
      </c>
      <c r="H409">
        <v>2031</v>
      </c>
      <c r="I409" s="9">
        <f>VLOOKUP(G409,[3]Hoja1!$G$8515:$H$8621,2,FALSE)</f>
        <v>1250</v>
      </c>
      <c r="J409" s="5">
        <f t="shared" si="19"/>
        <v>-0.62480000000000002</v>
      </c>
      <c r="K409">
        <f>VLOOKUP(G409,[5]Estimado_modelo!$G$2:$H$424,2,FALSE)</f>
        <v>2135</v>
      </c>
      <c r="L409">
        <f t="shared" si="20"/>
        <v>-0.70799999999999996</v>
      </c>
    </row>
    <row r="410" spans="1:12">
      <c r="A410">
        <v>2026</v>
      </c>
      <c r="B410">
        <v>29</v>
      </c>
      <c r="C410" t="s">
        <v>7</v>
      </c>
      <c r="D410" t="s">
        <v>8</v>
      </c>
      <c r="E410" s="2" t="s">
        <v>97</v>
      </c>
      <c r="F410" t="s">
        <v>51</v>
      </c>
      <c r="G410" t="str">
        <f t="shared" si="18"/>
        <v>29008FREEDOM</v>
      </c>
      <c r="H410">
        <v>4871</v>
      </c>
      <c r="I410" s="9">
        <f>VLOOKUP(G410,[1]Estimado_modelo!$G$2:$I$421,3,FALSE)</f>
        <v>2610</v>
      </c>
      <c r="J410" s="5">
        <f t="shared" si="19"/>
        <v>-0.86628352490421456</v>
      </c>
      <c r="K410">
        <f>VLOOKUP(G410,[5]Estimado_modelo!$G$2:$H$424,2,FALSE)</f>
        <v>4498</v>
      </c>
      <c r="L410">
        <f t="shared" si="20"/>
        <v>-0.7233716475095785</v>
      </c>
    </row>
    <row r="411" spans="1:12">
      <c r="A411">
        <v>2026</v>
      </c>
      <c r="B411">
        <v>29</v>
      </c>
      <c r="C411" t="s">
        <v>7</v>
      </c>
      <c r="D411" t="s">
        <v>8</v>
      </c>
      <c r="E411" s="2" t="s">
        <v>96</v>
      </c>
      <c r="F411" t="s">
        <v>48</v>
      </c>
      <c r="G411" t="str">
        <f t="shared" si="18"/>
        <v>29006ATOMIC</v>
      </c>
      <c r="H411">
        <v>1602</v>
      </c>
      <c r="I411" s="9">
        <f>VLOOKUP(G411,[1]Estimado_modelo!$G$2:$I$421,3,FALSE)</f>
        <v>950</v>
      </c>
      <c r="J411" s="5">
        <f t="shared" si="19"/>
        <v>-0.68631578947368421</v>
      </c>
      <c r="K411">
        <f>VLOOKUP(G411,[5]Estimado_modelo!$G$2:$H$424,2,FALSE)</f>
        <v>1762</v>
      </c>
      <c r="L411">
        <f t="shared" si="20"/>
        <v>-0.85473684210526313</v>
      </c>
    </row>
    <row r="412" spans="1:12">
      <c r="A412">
        <v>2026</v>
      </c>
      <c r="B412">
        <v>29</v>
      </c>
      <c r="C412" t="s">
        <v>7</v>
      </c>
      <c r="D412" t="s">
        <v>8</v>
      </c>
      <c r="E412" s="2" t="s">
        <v>95</v>
      </c>
      <c r="F412" t="s">
        <v>40</v>
      </c>
      <c r="G412" t="str">
        <f t="shared" si="18"/>
        <v>29003DEEP PURPLE</v>
      </c>
      <c r="H412">
        <v>14388</v>
      </c>
      <c r="I412" s="9">
        <f>VLOOKUP(G412,[1]Estimado_modelo!$G$2:$I$421,3,FALSE)</f>
        <v>8820</v>
      </c>
      <c r="J412" s="5">
        <f t="shared" si="19"/>
        <v>-0.63129251700680267</v>
      </c>
      <c r="K412">
        <f>VLOOKUP(G412,[5]Estimado_modelo!$G$2:$H$424,2,FALSE)</f>
        <v>16904</v>
      </c>
      <c r="L412">
        <f t="shared" si="20"/>
        <v>-0.91655328798185942</v>
      </c>
    </row>
    <row r="413" spans="1:12">
      <c r="A413">
        <v>2026</v>
      </c>
      <c r="B413">
        <v>28</v>
      </c>
      <c r="C413" t="s">
        <v>7</v>
      </c>
      <c r="D413" t="s">
        <v>8</v>
      </c>
      <c r="E413" s="2" t="s">
        <v>96</v>
      </c>
      <c r="F413" t="s">
        <v>48</v>
      </c>
      <c r="G413" t="str">
        <f t="shared" si="18"/>
        <v>28006ATOMIC</v>
      </c>
      <c r="H413">
        <v>1916</v>
      </c>
      <c r="I413" s="9">
        <f>VLOOKUP(G413,[2]Astroflores!$G$2:$H$110,2,FALSE)</f>
        <v>1100</v>
      </c>
      <c r="J413" s="5">
        <f t="shared" si="19"/>
        <v>-0.74181818181818182</v>
      </c>
      <c r="K413">
        <f>VLOOKUP(G413,[5]Estimado_modelo!$G$2:$H$424,2,FALSE)</f>
        <v>2088</v>
      </c>
      <c r="L413">
        <f t="shared" si="20"/>
        <v>-0.89818181818181819</v>
      </c>
    </row>
    <row r="414" spans="1:12">
      <c r="A414">
        <v>2026</v>
      </c>
      <c r="B414">
        <v>29</v>
      </c>
      <c r="C414" t="s">
        <v>7</v>
      </c>
      <c r="D414" t="s">
        <v>8</v>
      </c>
      <c r="E414" s="2" t="s">
        <v>77</v>
      </c>
      <c r="F414" t="s">
        <v>40</v>
      </c>
      <c r="G414" t="str">
        <f t="shared" si="18"/>
        <v>29004DEEP PURPLE</v>
      </c>
      <c r="H414">
        <v>17358</v>
      </c>
      <c r="I414" s="9">
        <f>VLOOKUP(G414,[1]Estimado_modelo!$G$2:$I$421,3,FALSE)</f>
        <v>12060</v>
      </c>
      <c r="J414" s="5">
        <f t="shared" si="19"/>
        <v>-0.4393034825870647</v>
      </c>
      <c r="K414">
        <f>VLOOKUP(G414,[5]Estimado_modelo!$G$2:$H$424,2,FALSE)</f>
        <v>23919</v>
      </c>
      <c r="L414">
        <f t="shared" si="20"/>
        <v>-0.98333333333333328</v>
      </c>
    </row>
    <row r="415" spans="1:12">
      <c r="A415">
        <v>2026</v>
      </c>
      <c r="B415">
        <v>27</v>
      </c>
      <c r="C415" t="s">
        <v>10</v>
      </c>
      <c r="D415" t="s">
        <v>8</v>
      </c>
      <c r="E415" s="2" t="s">
        <v>88</v>
      </c>
      <c r="F415" t="s">
        <v>28</v>
      </c>
      <c r="G415" t="str">
        <f t="shared" si="18"/>
        <v>27021LEILA</v>
      </c>
      <c r="H415">
        <v>4524</v>
      </c>
      <c r="I415" s="9">
        <f>VLOOKUP(G415,[3]Hoja1!$G$8515:$H$8621,2,FALSE)</f>
        <v>1300</v>
      </c>
      <c r="J415" s="5">
        <f t="shared" si="19"/>
        <v>-2.48</v>
      </c>
      <c r="K415">
        <f>VLOOKUP(G415,[5]Estimado_modelo!$G$2:$H$424,2,FALSE)</f>
        <v>4533</v>
      </c>
      <c r="L415">
        <f t="shared" si="20"/>
        <v>-2.4869230769230768</v>
      </c>
    </row>
    <row r="416" spans="1:12">
      <c r="A416">
        <v>2026</v>
      </c>
      <c r="B416">
        <v>29</v>
      </c>
      <c r="C416" t="s">
        <v>10</v>
      </c>
      <c r="D416" t="s">
        <v>8</v>
      </c>
      <c r="E416" s="2" t="s">
        <v>88</v>
      </c>
      <c r="F416" t="s">
        <v>28</v>
      </c>
      <c r="G416" t="str">
        <f t="shared" si="18"/>
        <v>29021LEILA</v>
      </c>
      <c r="H416">
        <v>2998</v>
      </c>
      <c r="I416" s="9">
        <f>VLOOKUP(G416,[1]Estimado_modelo!$G$2:$I$421,3,FALSE)</f>
        <v>700</v>
      </c>
      <c r="J416" s="5">
        <f t="shared" si="19"/>
        <v>-3.2828571428571429</v>
      </c>
      <c r="K416">
        <f>VLOOKUP(G416,[5]Estimado_modelo!$G$2:$H$424,2,FALSE)</f>
        <v>2951</v>
      </c>
      <c r="L416">
        <f t="shared" si="20"/>
        <v>-3.2157142857142857</v>
      </c>
    </row>
    <row r="417" spans="1:12">
      <c r="A417">
        <v>2026</v>
      </c>
      <c r="B417">
        <v>28</v>
      </c>
      <c r="C417" t="s">
        <v>10</v>
      </c>
      <c r="D417" t="s">
        <v>8</v>
      </c>
      <c r="E417" s="2" t="s">
        <v>88</v>
      </c>
      <c r="F417" t="s">
        <v>28</v>
      </c>
      <c r="G417" t="str">
        <f t="shared" si="18"/>
        <v>28021LEILA</v>
      </c>
      <c r="H417">
        <v>3710</v>
      </c>
      <c r="I417" s="9">
        <f>VLOOKUP(G417,[2]Astroflores!$G$2:$H$110,2,FALSE)</f>
        <v>850</v>
      </c>
      <c r="J417" s="5">
        <f t="shared" si="19"/>
        <v>-3.3647058823529412</v>
      </c>
      <c r="K417">
        <f>VLOOKUP(G417,[5]Estimado_modelo!$G$2:$H$424,2,FALSE)</f>
        <v>3908</v>
      </c>
      <c r="L417">
        <f t="shared" si="20"/>
        <v>-3.5976470588235294</v>
      </c>
    </row>
    <row r="418" spans="1:12">
      <c r="A418">
        <v>2026</v>
      </c>
      <c r="B418">
        <v>27</v>
      </c>
      <c r="C418" t="s">
        <v>7</v>
      </c>
      <c r="D418" t="s">
        <v>8</v>
      </c>
      <c r="E418" s="2" t="s">
        <v>94</v>
      </c>
      <c r="F418" t="s">
        <v>73</v>
      </c>
      <c r="G418" t="str">
        <f t="shared" si="18"/>
        <v>27001IDOLE</v>
      </c>
      <c r="H418">
        <v>1265</v>
      </c>
      <c r="I418" s="9" t="e">
        <f>VLOOKUP(G418,[3]Hoja1!$G$8515:$H$8621,2,FALSE)</f>
        <v>#N/A</v>
      </c>
      <c r="J418" s="5" t="e">
        <f t="shared" si="19"/>
        <v>#N/A</v>
      </c>
    </row>
    <row r="419" spans="1:12">
      <c r="A419">
        <v>2026</v>
      </c>
      <c r="B419">
        <v>28</v>
      </c>
      <c r="C419" t="s">
        <v>7</v>
      </c>
      <c r="D419" t="s">
        <v>8</v>
      </c>
      <c r="E419" s="2" t="s">
        <v>94</v>
      </c>
      <c r="F419" t="s">
        <v>73</v>
      </c>
      <c r="G419" t="str">
        <f t="shared" si="18"/>
        <v>28001IDOLE</v>
      </c>
      <c r="H419">
        <v>1689</v>
      </c>
      <c r="I419" s="9" t="e">
        <f>VLOOKUP(G419,[2]Astroflores!$G$2:$H$110,2,FALSE)</f>
        <v>#N/A</v>
      </c>
      <c r="J419" s="5" t="e">
        <f t="shared" si="19"/>
        <v>#N/A</v>
      </c>
    </row>
    <row r="420" spans="1:12">
      <c r="A420">
        <v>2026</v>
      </c>
      <c r="B420">
        <v>29</v>
      </c>
      <c r="C420" t="s">
        <v>7</v>
      </c>
      <c r="D420" t="s">
        <v>8</v>
      </c>
      <c r="E420" s="2" t="s">
        <v>94</v>
      </c>
      <c r="F420" t="s">
        <v>73</v>
      </c>
      <c r="G420" t="str">
        <f t="shared" si="18"/>
        <v>29001IDOLE</v>
      </c>
      <c r="H420">
        <v>1744</v>
      </c>
      <c r="I420" s="9" t="e">
        <f>VLOOKUP(G420,[1]Estimado_modelo!$G$2:$I$421,3,FALSE)</f>
        <v>#N/A</v>
      </c>
      <c r="J420" s="5" t="e">
        <f t="shared" si="19"/>
        <v>#N/A</v>
      </c>
    </row>
  </sheetData>
  <autoFilter ref="A1:L1">
    <sortState ref="A2:L420">
      <sortCondition descending="1" ref="L1"/>
    </sortState>
  </autoFilter>
  <pageMargins left="0.75" right="0.75" top="1" bottom="1" header="0.5" footer="0.5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E1" workbookViewId="0">
      <selection activeCell="F18" sqref="F18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Estimado_modelo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2026-07-23T20:03:15Z</dcterms:created>
  <dcterms:modified xsi:type="dcterms:W3CDTF">2026-07-30T22:01:49Z</dcterms:modified>
</cp:coreProperties>
</file>