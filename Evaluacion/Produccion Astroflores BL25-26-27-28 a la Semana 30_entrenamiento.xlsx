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5" yWindow="-1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Hoja1!$A$1:$K$9484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156" i="1"/>
  <c r="G9156"/>
  <c r="K9155"/>
  <c r="G9155"/>
  <c r="K9375"/>
  <c r="G9375"/>
  <c r="K9374"/>
  <c r="G9374"/>
  <c r="K9373"/>
  <c r="G9373"/>
  <c r="K9144"/>
  <c r="G9144"/>
  <c r="K9143"/>
  <c r="G9143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K9264"/>
  <c r="G9264"/>
  <c r="K9263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4"/>
  <c r="G9154"/>
  <c r="K9153"/>
  <c r="G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K9142"/>
  <c r="G9142"/>
  <c r="K9141"/>
  <c r="G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G8917"/>
  <c r="H8917" s="1"/>
  <c r="K8917" s="1"/>
  <c r="G8916"/>
  <c r="H8916" s="1"/>
  <c r="K8916" s="1"/>
  <c r="G8915"/>
  <c r="H8915" s="1"/>
  <c r="K8915" s="1"/>
  <c r="G8914"/>
  <c r="H8914" s="1"/>
  <c r="K8914" s="1"/>
  <c r="G8913"/>
  <c r="H8913" s="1"/>
  <c r="K8913" s="1"/>
  <c r="G8912"/>
  <c r="H8912" s="1"/>
  <c r="K8912" s="1"/>
  <c r="G8911"/>
  <c r="H8911" s="1"/>
  <c r="K8911" s="1"/>
  <c r="G8910"/>
  <c r="H8910" s="1"/>
  <c r="K8910" s="1"/>
  <c r="G8909"/>
  <c r="H8909" s="1"/>
  <c r="K8909" s="1"/>
  <c r="G8908"/>
  <c r="H8908" s="1"/>
  <c r="K8908" s="1"/>
  <c r="G8907"/>
  <c r="H8907" s="1"/>
  <c r="K8907" s="1"/>
  <c r="G8906"/>
  <c r="H8906" s="1"/>
  <c r="K8906" s="1"/>
  <c r="G8905"/>
  <c r="H8905" s="1"/>
  <c r="K8905" s="1"/>
  <c r="G8904"/>
  <c r="H8904" s="1"/>
  <c r="K8904" s="1"/>
  <c r="G8903"/>
  <c r="H8903" s="1"/>
  <c r="K8903" s="1"/>
  <c r="G8902"/>
  <c r="H8902" s="1"/>
  <c r="K8902" s="1"/>
  <c r="G8901"/>
  <c r="H8901" s="1"/>
  <c r="K8901" s="1"/>
  <c r="G8900"/>
  <c r="H8900" s="1"/>
  <c r="K8900" s="1"/>
  <c r="G8899"/>
  <c r="H8899" s="1"/>
  <c r="K8899" s="1"/>
  <c r="G8898"/>
  <c r="H8898" s="1"/>
  <c r="K8898" s="1"/>
  <c r="G8897"/>
  <c r="H8897" s="1"/>
  <c r="K8897" s="1"/>
  <c r="G8896"/>
  <c r="H8896" s="1"/>
  <c r="K8896" s="1"/>
  <c r="G8895"/>
  <c r="H8895" s="1"/>
  <c r="K8895" s="1"/>
  <c r="G8894"/>
  <c r="H8894" s="1"/>
  <c r="K8894" s="1"/>
  <c r="G8893"/>
  <c r="H8893" s="1"/>
  <c r="K8893" s="1"/>
  <c r="G8892"/>
  <c r="H8892" s="1"/>
  <c r="K8892" s="1"/>
  <c r="G8891"/>
  <c r="H8891" s="1"/>
  <c r="K8891" s="1"/>
  <c r="G8890"/>
  <c r="H8890" s="1"/>
  <c r="K8890" s="1"/>
  <c r="G8889"/>
  <c r="H8889" s="1"/>
  <c r="K8889" s="1"/>
  <c r="G8888"/>
  <c r="H8888" s="1"/>
  <c r="K8888" s="1"/>
  <c r="G8887"/>
  <c r="H8887" s="1"/>
  <c r="K8887" s="1"/>
  <c r="G8886"/>
  <c r="H8886" s="1"/>
  <c r="K8886" s="1"/>
  <c r="G8885"/>
  <c r="H8885" s="1"/>
  <c r="K8885" s="1"/>
  <c r="G8884"/>
  <c r="H8884" s="1"/>
  <c r="K8884" s="1"/>
  <c r="G8883"/>
  <c r="H8883" s="1"/>
  <c r="K8883" s="1"/>
  <c r="G8882"/>
  <c r="H8882" s="1"/>
  <c r="K8882" s="1"/>
  <c r="G8881"/>
  <c r="H8881" s="1"/>
  <c r="K8881" s="1"/>
  <c r="G8880"/>
  <c r="H8880" s="1"/>
  <c r="K8880" s="1"/>
  <c r="G8879"/>
  <c r="H8879" s="1"/>
  <c r="K8879" s="1"/>
  <c r="G8878"/>
  <c r="H8878" s="1"/>
  <c r="K8878" s="1"/>
  <c r="G8877"/>
  <c r="H8877" s="1"/>
  <c r="K8877" s="1"/>
  <c r="G8876"/>
  <c r="H8876" s="1"/>
  <c r="K8876" s="1"/>
  <c r="G8875"/>
  <c r="H8875" s="1"/>
  <c r="K8875" s="1"/>
  <c r="G8874"/>
  <c r="H8874" s="1"/>
  <c r="K8874" s="1"/>
  <c r="G8873"/>
  <c r="H8873" s="1"/>
  <c r="K8873" s="1"/>
  <c r="G8872"/>
  <c r="H8872" s="1"/>
  <c r="K8872" s="1"/>
  <c r="G8871"/>
  <c r="H8871" s="1"/>
  <c r="K8871" s="1"/>
  <c r="G8870"/>
  <c r="H8870" s="1"/>
  <c r="K8870" s="1"/>
  <c r="G8869"/>
  <c r="H8869" s="1"/>
  <c r="K8869" s="1"/>
  <c r="G8868"/>
  <c r="H8868" s="1"/>
  <c r="K8868" s="1"/>
  <c r="G8867"/>
  <c r="H8867" s="1"/>
  <c r="K8867" s="1"/>
  <c r="G8866"/>
  <c r="H8866" s="1"/>
  <c r="K8866" s="1"/>
  <c r="G8865"/>
  <c r="H8865" s="1"/>
  <c r="K8865" s="1"/>
  <c r="G8864"/>
  <c r="H8864" s="1"/>
  <c r="K8864" s="1"/>
  <c r="G8863"/>
  <c r="H8863" s="1"/>
  <c r="K8863" s="1"/>
  <c r="G8862"/>
  <c r="H8862" s="1"/>
  <c r="K8862" s="1"/>
  <c r="G8861"/>
  <c r="H8861" s="1"/>
  <c r="K8861" s="1"/>
  <c r="G8860"/>
  <c r="H8860" s="1"/>
  <c r="K8860" s="1"/>
  <c r="G8859"/>
  <c r="H8859" s="1"/>
  <c r="K8859" s="1"/>
  <c r="G8858"/>
  <c r="H8858" s="1"/>
  <c r="K8858" s="1"/>
  <c r="G8857"/>
  <c r="H8857" s="1"/>
  <c r="K8857" s="1"/>
  <c r="G8856"/>
  <c r="H8856" s="1"/>
  <c r="K8856" s="1"/>
  <c r="G8855"/>
  <c r="H8855" s="1"/>
  <c r="K8855" s="1"/>
  <c r="G8854"/>
  <c r="H8854" s="1"/>
  <c r="K8854" s="1"/>
  <c r="G8853"/>
  <c r="H8853" s="1"/>
  <c r="K8853" s="1"/>
  <c r="G8852"/>
  <c r="H8852" s="1"/>
  <c r="K8852" s="1"/>
  <c r="G8851"/>
  <c r="H8851" s="1"/>
  <c r="K8851" s="1"/>
  <c r="G8850"/>
  <c r="H8850" s="1"/>
  <c r="K8850" s="1"/>
  <c r="G8849"/>
  <c r="H8849" s="1"/>
  <c r="K8849" s="1"/>
  <c r="G8848"/>
  <c r="H8848" s="1"/>
  <c r="K8848" s="1"/>
  <c r="G8847"/>
  <c r="H8847" s="1"/>
  <c r="K8847" s="1"/>
  <c r="G8846"/>
  <c r="H8846" s="1"/>
  <c r="K8846" s="1"/>
  <c r="G8845"/>
  <c r="H8845" s="1"/>
  <c r="K8845" s="1"/>
  <c r="G8844"/>
  <c r="H8844" s="1"/>
  <c r="K8844" s="1"/>
  <c r="G8843"/>
  <c r="H8843" s="1"/>
  <c r="K8843" s="1"/>
  <c r="G8842"/>
  <c r="H8842" s="1"/>
  <c r="K8842" s="1"/>
  <c r="G8841"/>
  <c r="H8841" s="1"/>
  <c r="K8841" s="1"/>
  <c r="G8840"/>
  <c r="H8840" s="1"/>
  <c r="K8840" s="1"/>
  <c r="G8839"/>
  <c r="H8839" s="1"/>
  <c r="K8839" s="1"/>
  <c r="G8838"/>
  <c r="H8838" s="1"/>
  <c r="K8838" s="1"/>
  <c r="G8837"/>
  <c r="H8837" s="1"/>
  <c r="K8837" s="1"/>
  <c r="G8836"/>
  <c r="H8836" s="1"/>
  <c r="K8836" s="1"/>
  <c r="G8835"/>
  <c r="H8835" s="1"/>
  <c r="K8835" s="1"/>
  <c r="G8834"/>
  <c r="H8834" s="1"/>
  <c r="K8834" s="1"/>
  <c r="G8833"/>
  <c r="H8833" s="1"/>
  <c r="K8833" s="1"/>
  <c r="G8832"/>
  <c r="H8832" s="1"/>
  <c r="K8832" s="1"/>
  <c r="G8831"/>
  <c r="H8831" s="1"/>
  <c r="K8831" s="1"/>
  <c r="G8830"/>
  <c r="H8830" s="1"/>
  <c r="K8830" s="1"/>
  <c r="G8829"/>
  <c r="H8829" s="1"/>
  <c r="K8829" s="1"/>
  <c r="G8828"/>
  <c r="H8828" s="1"/>
  <c r="K8828" s="1"/>
  <c r="G8827"/>
  <c r="H8827" s="1"/>
  <c r="K8827" s="1"/>
  <c r="G8826"/>
  <c r="H8826" s="1"/>
  <c r="K8826" s="1"/>
  <c r="G8825"/>
  <c r="H8825" s="1"/>
  <c r="K8825" s="1"/>
  <c r="G8824"/>
  <c r="H8824" s="1"/>
  <c r="K8824" s="1"/>
  <c r="G8823"/>
  <c r="H8823" s="1"/>
  <c r="K8823" s="1"/>
  <c r="G8822"/>
  <c r="H8822" s="1"/>
  <c r="K8822" s="1"/>
  <c r="G8821"/>
  <c r="H8821" s="1"/>
  <c r="K8821" s="1"/>
  <c r="G8820"/>
  <c r="H8820" s="1"/>
  <c r="K8820" s="1"/>
  <c r="G8819"/>
  <c r="H8819" s="1"/>
  <c r="K8819" s="1"/>
  <c r="G8818"/>
  <c r="H8818" s="1"/>
  <c r="K8818" s="1"/>
  <c r="G8817"/>
  <c r="H8817" s="1"/>
  <c r="K8817" s="1"/>
  <c r="G8816"/>
  <c r="H8816" s="1"/>
  <c r="K8816" s="1"/>
  <c r="G8815"/>
  <c r="H8815" s="1"/>
  <c r="K8815" s="1"/>
  <c r="G8814"/>
  <c r="H8814" s="1"/>
  <c r="K8814" s="1"/>
  <c r="G8813"/>
  <c r="H8813" s="1"/>
  <c r="K8813" s="1"/>
  <c r="G8812"/>
  <c r="H8812" s="1"/>
  <c r="K8812" s="1"/>
  <c r="G8811"/>
  <c r="H8811" s="1"/>
  <c r="K8811" s="1"/>
  <c r="G8810"/>
  <c r="H8810" s="1"/>
  <c r="K8810" s="1"/>
  <c r="G8809"/>
  <c r="H8809" s="1"/>
  <c r="K8809" s="1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K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K8583" s="1"/>
  <c r="G8582"/>
  <c r="H8582" s="1"/>
  <c r="K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K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K8567" s="1"/>
  <c r="G8566"/>
  <c r="H8566" s="1"/>
  <c r="K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K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K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K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K8535" s="1"/>
  <c r="G8534"/>
  <c r="H8534" s="1"/>
  <c r="K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G8528"/>
  <c r="H8528" s="1"/>
  <c r="G8527"/>
  <c r="H8527" s="1"/>
  <c r="K8527" s="1"/>
  <c r="G8526"/>
  <c r="H8526" s="1"/>
  <c r="K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G8520"/>
  <c r="H8520" s="1"/>
  <c r="G8519"/>
  <c r="H8519" s="1"/>
  <c r="K8519" s="1"/>
  <c r="G8518"/>
  <c r="H8518" s="1"/>
  <c r="K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K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G8503"/>
  <c r="H8503" s="1"/>
  <c r="K8503" s="1"/>
  <c r="G8502"/>
  <c r="H8502" s="1"/>
  <c r="K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G8496"/>
  <c r="H8496" s="1"/>
  <c r="K8496" s="1"/>
  <c r="G8495"/>
  <c r="H8495" s="1"/>
  <c r="K8495" s="1"/>
  <c r="G8494"/>
  <c r="H8494" s="1"/>
  <c r="K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G8375"/>
  <c r="H8375" s="1"/>
  <c r="K8375" s="1"/>
  <c r="G8374"/>
  <c r="H8374" s="1"/>
  <c r="K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K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0"/>
  <c r="K8586"/>
  <c r="K8584"/>
  <c r="K8576"/>
  <c r="K8570"/>
  <c r="K8568"/>
  <c r="K8563"/>
  <c r="K8562"/>
  <c r="K8560"/>
  <c r="K8559"/>
  <c r="K8554"/>
  <c r="K8552"/>
  <c r="K8546"/>
  <c r="K8544"/>
  <c r="K8538"/>
  <c r="K8536"/>
  <c r="K8530"/>
  <c r="K8529"/>
  <c r="K8528"/>
  <c r="K8521"/>
  <c r="K8520"/>
  <c r="K8506"/>
  <c r="K8504"/>
  <c r="K8498"/>
  <c r="K8497"/>
  <c r="K8378"/>
  <c r="K8376"/>
  <c r="K8362"/>
  <c r="K8352"/>
  <c r="K8297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<sst xmlns="http://schemas.openxmlformats.org/spreadsheetml/2006/main" count="38053" uniqueCount="227">
  <si>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</si>
  <si>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</si>
  <si>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</si>
  <si>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</si>
  <si>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</si>
  <si>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</si>
  <si>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</si>
  <si>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</si>
  <si>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</si>
  <si>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</si>
  <si>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</si>
  <si>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</si>
  <si>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</si>
  <si>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</si>
  <si>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</si>
  <si>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</si>
  <si>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</si>
  <si>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</si>
  <si>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</si>
  <si>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</si>
  <si>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</si>
  <si>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</si>
  <si>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</si>
  <si>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</si>
  <si>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</si>
  <si>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</si>
  <si>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</si>
  <si>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</si>
  <si>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</si>
  <si>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</si>
  <si>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</si>
  <si>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</si>
  <si>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</si>
  <si>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</si>
  <si>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</si>
  <si>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</si>
  <si>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</si>
  <si>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</si>
  <si>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</si>
  <si>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</si>
  <si>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</si>
  <si>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</si>
  <si>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</si>
  <si>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</si>
  <si>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</si>
  <si>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</si>
  <si>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</si>
  <si>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</si>
  <si>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</si>
  <si>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</si>
  <si>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</si>
  <si>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</si>
  <si>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</si>
  <si>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</si>
  <si>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</si>
  <si>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</si>
  <si>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</si>
  <si>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</si>
  <si>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</si>
  <si>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</si>
  <si>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</si>
  <si>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</si>
  <si>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</si>
  <si>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</si>
  <si>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</si>
  <si>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</si>
  <si>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</si>
  <si>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</si>
  <si>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</si>
  <si>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</si>
  <si>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</si>
  <si>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</si>
  <si>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</si>
  <si>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</si>
  <si>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</si>
  <si>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</si>
  <si>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</si>
  <si>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</si>
  <si>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</si>
  <si>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</si>
  <si>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</si>
  <si>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</si>
  <si>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</si>
  <si>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</si>
  <si>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</si>
  <si>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</si>
  <si>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</si>
  <si>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</si>
  <si>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</si>
  <si>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</si>
  <si>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</si>
  <si>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</si>
  <si>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</si>
  <si>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</si>
  <si>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</si>
  <si>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</si>
  <si>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</si>
  <si>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</si>
  <si>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</si>
  <si>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</si>
  <si>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</si>
  <si>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</si>
  <si>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</si>
  <si>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</si>
  <si>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</si>
  <si>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</si>
  <si>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</si>
  <si>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</si>
  <si>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</si>
  <si>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</si>
  <si>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</si>
  <si>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</si>
  <si>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</si>
  <si>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</si>
  <si>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</si>
  <si>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</si>
  <si>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</si>
  <si>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</si>
  <si>
    <t>002SOMERSET</t>
  </si>
  <si>
    <t>004BELLINA</t>
  </si>
  <si>
    <t>005ELBA</t>
  </si>
  <si>
    <t>005HOT BUBBLES</t>
  </si>
  <si>
    <t>005SUSPIRO</t>
  </si>
  <si>
    <t>007SNOW BUBBLES</t>
  </si>
  <si>
    <t>009HOT BUBBLES</t>
  </si>
  <si>
    <t>014FRUITY BUBBLES</t>
  </si>
  <si>
    <t>015FELLINI</t>
  </si>
  <si>
    <t>016GOOD PEACH</t>
  </si>
  <si>
    <t>016GOOD YELLOW</t>
  </si>
  <si>
    <t>017ORANGE STAR</t>
  </si>
  <si>
    <t>018COSMO</t>
  </si>
  <si>
    <t>018RUBICON</t>
  </si>
  <si>
    <t>019BELLINA</t>
  </si>
  <si>
    <t>020SUMMER DANCE</t>
  </si>
  <si>
    <t>021ELEGANT ROSEVER</t>
  </si>
  <si>
    <t>021FLAME CLUB</t>
  </si>
  <si>
    <t>021KELLY</t>
  </si>
  <si>
    <t>021LEILA</t>
  </si>
  <si>
    <t>021SNOW BUBBLES</t>
  </si>
  <si>
    <t>022FRUITY BUBBLES</t>
  </si>
  <si>
    <t>022GOOD PEACH</t>
  </si>
  <si>
    <t>022MIRABEL</t>
  </si>
  <si>
    <t>026PURPLE BUBBLY</t>
  </si>
  <si>
    <t>030MIRABEL</t>
  </si>
  <si>
    <t>030SOMERSET</t>
  </si>
  <si>
    <t>03182989</t>
  </si>
  <si>
    <t>031RUBICON</t>
  </si>
  <si>
    <t>031SOMERSET</t>
  </si>
  <si>
    <t>031VELVET BLOSSOMS</t>
  </si>
  <si>
    <t>032ELBA</t>
  </si>
  <si>
    <t>032MIRABEL</t>
  </si>
  <si>
    <t>033CREAMY FOLIES</t>
  </si>
  <si>
    <t>033HOT BUBBLES</t>
  </si>
  <si>
    <t>001BELIEVE IN PINK</t>
  </si>
  <si>
    <t>001EXPLORER</t>
  </si>
  <si>
    <t>001GRACE KELLY</t>
  </si>
  <si>
    <t>001IDOLE</t>
  </si>
  <si>
    <t>001LIGHT HOUSE</t>
  </si>
  <si>
    <t>001LUMIA</t>
  </si>
  <si>
    <t>001MOMENTUM</t>
  </si>
  <si>
    <t>002SUMMER ROMANCE</t>
  </si>
  <si>
    <t>002SWEETNESS</t>
  </si>
  <si>
    <t>003CABARET</t>
  </si>
  <si>
    <t>003DEEP PURPLE</t>
  </si>
  <si>
    <t>003EXPLORER</t>
  </si>
  <si>
    <t>003JOCKER</t>
  </si>
  <si>
    <t>003QUICKSAND</t>
  </si>
  <si>
    <t>004COTOPAXI</t>
  </si>
  <si>
    <t>004DEEP PURPLE</t>
  </si>
  <si>
    <t>004HOT EXPLORER</t>
  </si>
  <si>
    <t>004HOT MERENGUE</t>
  </si>
  <si>
    <t>004SWEETNESS</t>
  </si>
  <si>
    <t>005EXPLORER</t>
  </si>
  <si>
    <t>005GOLDFINCH</t>
  </si>
  <si>
    <t>005JOCKER</t>
  </si>
  <si>
    <t>005VENDELA</t>
  </si>
  <si>
    <t>006ATOMIC</t>
  </si>
  <si>
    <t>006EXPLORER</t>
  </si>
  <si>
    <t>006MONDIAL</t>
  </si>
  <si>
    <t>007COTOPAXI</t>
  </si>
  <si>
    <t>007REDIANT</t>
  </si>
  <si>
    <t>007SUMMER ROMANCE</t>
  </si>
  <si>
    <t>007VENDELA</t>
  </si>
  <si>
    <t>008DEEP PURPLE</t>
  </si>
  <si>
    <t>008FREEDOM</t>
  </si>
  <si>
    <t>008JOCKER</t>
  </si>
  <si>
    <t>008LUMIA</t>
  </si>
  <si>
    <t>010COOLDOWN</t>
  </si>
  <si>
    <t>010VIOLET HILL</t>
  </si>
  <si>
    <t>011BRIGHTON</t>
  </si>
  <si>
    <t>011CANDLELIGHT</t>
  </si>
  <si>
    <t>011CAYENNE</t>
  </si>
  <si>
    <t>011LUMIA</t>
  </si>
  <si>
    <t>011STARDUST</t>
  </si>
  <si>
    <t>012DEEP PURPLE</t>
  </si>
  <si>
    <t>012LIGHT HOUSE</t>
  </si>
  <si>
    <t>013COUNTRY BLUES</t>
  </si>
  <si>
    <t>013LORRAINE</t>
  </si>
  <si>
    <t>013LUMIA</t>
  </si>
  <si>
    <t>013VENDELA</t>
  </si>
  <si>
    <t>014STARDUST</t>
  </si>
  <si>
    <t>015JOCKER</t>
  </si>
  <si>
    <t>016DREAM IN PEACH</t>
  </si>
  <si>
    <t>016NINA</t>
  </si>
  <si>
    <t>017FREEDOM</t>
  </si>
  <si>
    <t>017GOLDFINCH</t>
  </si>
  <si>
    <t>018BRIGHTON</t>
  </si>
  <si>
    <t>019BRIGHTON</t>
  </si>
  <si>
    <t>019TABATHA</t>
  </si>
  <si>
    <t>020BRIGHTON</t>
  </si>
  <si>
    <t>020TYCOON</t>
  </si>
  <si>
    <t>021SHOW GIRL</t>
  </si>
  <si>
    <t>022CORAL REEF</t>
  </si>
  <si>
    <t>023COTOPAXI</t>
  </si>
  <si>
    <t>023FRUTTETO</t>
  </si>
  <si>
    <t>024COTOPAXI</t>
  </si>
  <si>
    <t>024SWEETNESS</t>
  </si>
  <si>
    <t>024TYCOON</t>
  </si>
  <si>
    <t>025PINK MONDIAL</t>
  </si>
  <si>
    <t>026LOLA</t>
  </si>
  <si>
    <t>026PALOMA</t>
  </si>
  <si>
    <t>027SATISFACTION</t>
  </si>
  <si>
    <t>027TIFFANY</t>
  </si>
  <si>
    <t>028COTOPAXI</t>
  </si>
  <si>
    <t>028DEEP PURPLE</t>
  </si>
  <si>
    <t>029PINK FLOYD</t>
  </si>
  <si>
    <t>030EXPLORER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</si>
</sst>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3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8520</v>
          </cell>
        </row>
        <row r="3">
          <cell r="G3" t="str">
            <v>004BELLINA</v>
          </cell>
          <cell r="H3">
            <v>2370</v>
          </cell>
        </row>
        <row r="4">
          <cell r="G4" t="str">
            <v>005ELBA</v>
          </cell>
          <cell r="H4">
            <v>7080</v>
          </cell>
        </row>
        <row r="5">
          <cell r="G5" t="str">
            <v>005HOT BUBBLES</v>
          </cell>
          <cell r="H5">
            <v>1280</v>
          </cell>
        </row>
        <row r="6">
          <cell r="G6" t="str">
            <v>005SUSPIRO</v>
          </cell>
          <cell r="H6">
            <v>3660</v>
          </cell>
        </row>
        <row r="7">
          <cell r="G7" t="str">
            <v>007SNOW BUBBLES</v>
          </cell>
          <cell r="H7">
            <v>1500</v>
          </cell>
        </row>
        <row r="8">
          <cell r="G8" t="str">
            <v>009HOT BUBBLES</v>
          </cell>
          <cell r="H8">
            <v>8520</v>
          </cell>
        </row>
        <row r="9">
          <cell r="G9" t="str">
            <v>014FRUITY BUBBLES</v>
          </cell>
          <cell r="H9">
            <v>3975</v>
          </cell>
        </row>
        <row r="10">
          <cell r="G10" t="str">
            <v>015FELLINI</v>
          </cell>
          <cell r="H10">
            <v>6660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4050</v>
          </cell>
        </row>
        <row r="13">
          <cell r="G13" t="str">
            <v>017ORANGE STAR</v>
          </cell>
          <cell r="H13">
            <v>1475</v>
          </cell>
        </row>
        <row r="14">
          <cell r="G14" t="str">
            <v>018COSMO</v>
          </cell>
          <cell r="H14">
            <v>4625</v>
          </cell>
        </row>
        <row r="15">
          <cell r="G15" t="str">
            <v>018RUBICON</v>
          </cell>
          <cell r="H15">
            <v>3510</v>
          </cell>
        </row>
        <row r="16">
          <cell r="G16" t="str">
            <v>019BELLINA</v>
          </cell>
          <cell r="H16">
            <v>2190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1425</v>
          </cell>
        </row>
        <row r="20">
          <cell r="G20" t="str">
            <v>021KELLY</v>
          </cell>
          <cell r="H20">
            <v>475</v>
          </cell>
        </row>
        <row r="21">
          <cell r="G21" t="str">
            <v>021LEILA</v>
          </cell>
          <cell r="H21">
            <v>875</v>
          </cell>
        </row>
        <row r="22">
          <cell r="G22" t="str">
            <v>021PISTACHIO KISS</v>
          </cell>
          <cell r="H22">
            <v>600</v>
          </cell>
        </row>
        <row r="23">
          <cell r="G23" t="str">
            <v>021SNOW BUBBLES</v>
          </cell>
          <cell r="H23">
            <v>2720</v>
          </cell>
        </row>
        <row r="24">
          <cell r="G24" t="str">
            <v>022FRUITY BUBBLES</v>
          </cell>
          <cell r="H24">
            <v>5000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2380</v>
          </cell>
        </row>
        <row r="27">
          <cell r="G27" t="str">
            <v>030MIRABEL</v>
          </cell>
          <cell r="H27">
            <v>6960</v>
          </cell>
        </row>
        <row r="28">
          <cell r="G28" t="str">
            <v>030SOMERSET</v>
          </cell>
          <cell r="H28">
            <v>3720</v>
          </cell>
        </row>
        <row r="29">
          <cell r="G29" t="str">
            <v>03182989</v>
          </cell>
          <cell r="H29">
            <v>720</v>
          </cell>
        </row>
        <row r="30">
          <cell r="G30" t="str">
            <v>031RUBICON</v>
          </cell>
          <cell r="H30">
            <v>2400</v>
          </cell>
        </row>
        <row r="31">
          <cell r="G31" t="str">
            <v>031SOMERSET</v>
          </cell>
          <cell r="H31">
            <v>900</v>
          </cell>
        </row>
        <row r="32">
          <cell r="G32" t="str">
            <v>031VELVET BLOSSOMS</v>
          </cell>
          <cell r="H32">
            <v>1020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2100</v>
          </cell>
        </row>
        <row r="35">
          <cell r="G35" t="str">
            <v>033CREAMY FOLIES</v>
          </cell>
          <cell r="H35">
            <v>1170</v>
          </cell>
        </row>
        <row r="36">
          <cell r="G36" t="str">
            <v>033HOT BUBBLES</v>
          </cell>
          <cell r="H36">
            <v>4920</v>
          </cell>
        </row>
        <row r="37">
          <cell r="G37" t="str">
            <v>001BELIEVE IN PINK</v>
          </cell>
          <cell r="H37">
            <v>1470</v>
          </cell>
        </row>
        <row r="38">
          <cell r="G38" t="str">
            <v>001EXPLORER</v>
          </cell>
          <cell r="H38">
            <v>3875</v>
          </cell>
        </row>
        <row r="39">
          <cell r="G39" t="str">
            <v>001GRACE KELLY</v>
          </cell>
          <cell r="H39">
            <v>2310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3510</v>
          </cell>
        </row>
        <row r="42">
          <cell r="G42" t="str">
            <v>001MOMENTUM</v>
          </cell>
          <cell r="H42">
            <v>4525</v>
          </cell>
        </row>
        <row r="43">
          <cell r="G43" t="str">
            <v>002SUMMER ROMANCE</v>
          </cell>
          <cell r="H43">
            <v>1500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6450</v>
          </cell>
        </row>
        <row r="46">
          <cell r="G46" t="str">
            <v>003DEEP PURPLE</v>
          </cell>
          <cell r="H46">
            <v>10170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2220</v>
          </cell>
        </row>
        <row r="50">
          <cell r="G50" t="str">
            <v>004COTOPAXI</v>
          </cell>
          <cell r="H50">
            <v>1440</v>
          </cell>
        </row>
        <row r="51">
          <cell r="G51" t="str">
            <v>004DEEP PURPLE</v>
          </cell>
          <cell r="H51">
            <v>12150</v>
          </cell>
        </row>
        <row r="52">
          <cell r="G52" t="str">
            <v>004HOT EXPLORER</v>
          </cell>
          <cell r="H52">
            <v>1375</v>
          </cell>
        </row>
        <row r="53">
          <cell r="G53" t="str">
            <v>004HOT MERENGUE</v>
          </cell>
          <cell r="H53">
            <v>2400</v>
          </cell>
        </row>
        <row r="54">
          <cell r="G54" t="str">
            <v>004SWEETNESS</v>
          </cell>
          <cell r="H54">
            <v>690</v>
          </cell>
        </row>
        <row r="55">
          <cell r="G55" t="str">
            <v>005EXPLORER</v>
          </cell>
          <cell r="H55">
            <v>1650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3150</v>
          </cell>
        </row>
        <row r="58">
          <cell r="G58" t="str">
            <v>005VENDELA</v>
          </cell>
          <cell r="H58">
            <v>2100</v>
          </cell>
        </row>
        <row r="59">
          <cell r="G59" t="str">
            <v>006ATOMIC</v>
          </cell>
          <cell r="H59">
            <v>900</v>
          </cell>
        </row>
        <row r="60">
          <cell r="G60" t="str">
            <v>006EXPLORER</v>
          </cell>
          <cell r="H60">
            <v>6075</v>
          </cell>
        </row>
        <row r="61">
          <cell r="G61" t="str">
            <v>006MONDIAL</v>
          </cell>
          <cell r="H61">
            <v>10650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6060</v>
          </cell>
        </row>
        <row r="64">
          <cell r="G64" t="str">
            <v>007REDIANT</v>
          </cell>
          <cell r="H64">
            <v>2070</v>
          </cell>
        </row>
        <row r="65">
          <cell r="G65" t="str">
            <v>007SUMMER ROMANCE</v>
          </cell>
          <cell r="H65">
            <v>575</v>
          </cell>
        </row>
        <row r="66">
          <cell r="G66" t="str">
            <v>007VENDELA</v>
          </cell>
          <cell r="H66">
            <v>11430</v>
          </cell>
        </row>
        <row r="67">
          <cell r="G67" t="str">
            <v>008DEEP PURPLE</v>
          </cell>
          <cell r="H67">
            <v>5880</v>
          </cell>
        </row>
        <row r="68">
          <cell r="G68" t="str">
            <v>008FREEDOM</v>
          </cell>
          <cell r="H68">
            <v>5070</v>
          </cell>
        </row>
        <row r="69">
          <cell r="G69" t="str">
            <v>008JOCKER</v>
          </cell>
          <cell r="H69">
            <v>5550</v>
          </cell>
        </row>
        <row r="70">
          <cell r="G70" t="str">
            <v>008LUMIA</v>
          </cell>
          <cell r="H70">
            <v>2490</v>
          </cell>
        </row>
        <row r="71">
          <cell r="G71" t="str">
            <v>010COOLDOWN</v>
          </cell>
          <cell r="H71">
            <v>4225</v>
          </cell>
        </row>
        <row r="72">
          <cell r="G72" t="str">
            <v>010VIOLET HILL</v>
          </cell>
          <cell r="H72">
            <v>5040</v>
          </cell>
        </row>
        <row r="73">
          <cell r="G73" t="str">
            <v>011BRIGHTON</v>
          </cell>
          <cell r="H73">
            <v>4000</v>
          </cell>
        </row>
        <row r="74">
          <cell r="G74" t="str">
            <v>011CANDLELIGHT</v>
          </cell>
          <cell r="H74">
            <v>3860</v>
          </cell>
        </row>
        <row r="75">
          <cell r="G75" t="str">
            <v>011CAYENNE</v>
          </cell>
          <cell r="H75">
            <v>1410</v>
          </cell>
        </row>
        <row r="76">
          <cell r="G76" t="str">
            <v>011LUMIA</v>
          </cell>
          <cell r="H76">
            <v>1950</v>
          </cell>
        </row>
        <row r="77">
          <cell r="G77" t="str">
            <v>011STARDUST</v>
          </cell>
          <cell r="H77">
            <v>4175</v>
          </cell>
        </row>
        <row r="78">
          <cell r="G78" t="str">
            <v>012DEEP PURPLE</v>
          </cell>
          <cell r="H78">
            <v>21930</v>
          </cell>
        </row>
        <row r="79">
          <cell r="G79" t="str">
            <v>012LIGHT HOUSE</v>
          </cell>
          <cell r="H79">
            <v>1590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4250</v>
          </cell>
        </row>
        <row r="82">
          <cell r="G82" t="str">
            <v>013LUMIA</v>
          </cell>
          <cell r="H82">
            <v>840</v>
          </cell>
        </row>
        <row r="83">
          <cell r="G83" t="str">
            <v>013VENDELA</v>
          </cell>
          <cell r="H83">
            <v>12840</v>
          </cell>
        </row>
        <row r="84">
          <cell r="G84" t="str">
            <v>014STARDUST</v>
          </cell>
          <cell r="H84">
            <v>7775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1770</v>
          </cell>
        </row>
        <row r="87">
          <cell r="G87" t="str">
            <v>016NINA</v>
          </cell>
          <cell r="H87">
            <v>3750</v>
          </cell>
        </row>
        <row r="88">
          <cell r="G88" t="str">
            <v>017FREEDOM</v>
          </cell>
          <cell r="H88">
            <v>6990</v>
          </cell>
        </row>
        <row r="89">
          <cell r="G89" t="str">
            <v>017GOLDFINCH</v>
          </cell>
          <cell r="H89">
            <v>4350</v>
          </cell>
        </row>
        <row r="90">
          <cell r="G90" t="str">
            <v>018BRIGHTON</v>
          </cell>
          <cell r="H90">
            <v>2400</v>
          </cell>
        </row>
        <row r="91">
          <cell r="G91" t="str">
            <v>019BRIGHTON</v>
          </cell>
          <cell r="H91">
            <v>7875</v>
          </cell>
        </row>
        <row r="92">
          <cell r="G92" t="str">
            <v>019TABATHA</v>
          </cell>
          <cell r="H92">
            <v>3600</v>
          </cell>
        </row>
        <row r="93">
          <cell r="G93" t="str">
            <v>020BRIGHTON</v>
          </cell>
          <cell r="H93">
            <v>6625</v>
          </cell>
        </row>
        <row r="94">
          <cell r="G94" t="str">
            <v>020TYCOON</v>
          </cell>
          <cell r="H94">
            <v>1200</v>
          </cell>
        </row>
        <row r="95">
          <cell r="G95" t="str">
            <v>021SHOW GIRL</v>
          </cell>
          <cell r="H95">
            <v>1375</v>
          </cell>
        </row>
        <row r="96">
          <cell r="G96" t="str">
            <v>022CORAL REEF</v>
          </cell>
          <cell r="H96">
            <v>2475</v>
          </cell>
        </row>
        <row r="97">
          <cell r="G97" t="str">
            <v>023COTOPAXI</v>
          </cell>
          <cell r="H97">
            <v>7980</v>
          </cell>
        </row>
        <row r="98">
          <cell r="G98" t="str">
            <v>023FRUTTETO</v>
          </cell>
          <cell r="H98">
            <v>6630</v>
          </cell>
        </row>
        <row r="99">
          <cell r="G99" t="str">
            <v>024COTOPAXI</v>
          </cell>
          <cell r="H99">
            <v>5430</v>
          </cell>
        </row>
        <row r="100">
          <cell r="G100" t="str">
            <v>024SWEETNESS</v>
          </cell>
          <cell r="H100">
            <v>2400</v>
          </cell>
        </row>
        <row r="101">
          <cell r="G101" t="str">
            <v>024TYCOON</v>
          </cell>
          <cell r="H101">
            <v>4500</v>
          </cell>
        </row>
        <row r="102">
          <cell r="G102" t="str">
            <v>025PINK MONDIAL</v>
          </cell>
          <cell r="H102">
            <v>8675</v>
          </cell>
        </row>
        <row r="103">
          <cell r="G103" t="str">
            <v>026LOLA</v>
          </cell>
          <cell r="H103">
            <v>3600</v>
          </cell>
        </row>
        <row r="104">
          <cell r="G104" t="str">
            <v>026PALOMA</v>
          </cell>
          <cell r="H104">
            <v>4750</v>
          </cell>
        </row>
        <row r="105">
          <cell r="G105" t="str">
            <v>027SATISFACTION</v>
          </cell>
          <cell r="H105">
            <v>6120</v>
          </cell>
        </row>
        <row r="106">
          <cell r="G106" t="str">
            <v>027TIFFANY</v>
          </cell>
          <cell r="H106">
            <v>6570</v>
          </cell>
        </row>
        <row r="107">
          <cell r="G107" t="str">
            <v>028COTOPAXI</v>
          </cell>
          <cell r="H107">
            <v>6930</v>
          </cell>
        </row>
        <row r="108">
          <cell r="G108" t="str">
            <v>028DEEP PURPLE</v>
          </cell>
          <cell r="H108">
            <v>9450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3025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484"/>
  <sheetViews>
    <sheetView tabSelected="1" topLeftCell="G9128" zoomScaleNormal="100" workbookViewId="0">
      <selection activeCell="H9024" sqref="H9024:H9154"/>
    </sheetView>
  </sheetViews>
  <sheetFormatPr baseColWidth="10" defaultRowHeight="14.25"/>
  <cols>
    <col min="1" max="1" width="5.5" bestFit="1" customWidth="1"/>
    <col min="2" max="2" width="9" bestFit="1" customWidth="1"/>
    <col min="3" max="3" width="11.125" customWidth="1"/>
    <col min="4" max="4" width="14.75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7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7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7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7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7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7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7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7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7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7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7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7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7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7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7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7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7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7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7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7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7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7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7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7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7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7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7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7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7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7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7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7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7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7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7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7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7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7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7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7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7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7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7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7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7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7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7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7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7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7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7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7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7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7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7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7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7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7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7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7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7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7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7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7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7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7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7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7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7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7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7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7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7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7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7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7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7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7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7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7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7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7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7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7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7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7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7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7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7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7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7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7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7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7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7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7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7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7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7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7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7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7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7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7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7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7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 hidden="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 hidden="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 hidden="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 hidden="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f>VLOOKUP(G8809,[7]Astroflores!$G$2:$H$110,2,FALSE)</f>
        <v>8520</v>
      </c>
      <c r="I8809" s="6">
        <v>4121.4642855494085</v>
      </c>
      <c r="J8809" s="5">
        <v>31200</v>
      </c>
      <c r="K8809" s="6">
        <f t="shared" si="362"/>
        <v>2.0672264539262528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f>VLOOKUP(G8810,[7]Astroflores!$G$2:$H$110,2,FALSE)</f>
        <v>2370</v>
      </c>
      <c r="I8810" s="6">
        <v>1056.7857142434418</v>
      </c>
      <c r="J8810" s="5">
        <v>8000</v>
      </c>
      <c r="K8810" s="6">
        <f t="shared" si="362"/>
        <v>2.2426495438544936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f>VLOOKUP(G8811,[7]Astroflores!$G$2:$H$110,2,FALSE)</f>
        <v>7080</v>
      </c>
      <c r="I8811" s="6">
        <v>2641.9642856076484</v>
      </c>
      <c r="J8811" s="5">
        <v>19996</v>
      </c>
      <c r="K8811" s="6">
        <f t="shared" si="362"/>
        <v>2.6798242650625417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f>VLOOKUP(G8812,[7]Astroflores!$G$2:$H$110,2,FALSE)</f>
        <v>1280</v>
      </c>
      <c r="I8812" s="6">
        <v>528.39285712153003</v>
      </c>
      <c r="J8812" s="5">
        <v>4000</v>
      </c>
      <c r="K8812" s="6">
        <f t="shared" si="362"/>
        <v>2.4224400136158555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f>VLOOKUP(G8813,[7]Astroflores!$G$2:$H$110,2,FALSE)</f>
        <v>3660</v>
      </c>
      <c r="I8813" s="6">
        <v>1902.2142856375078</v>
      </c>
      <c r="J8813" s="5">
        <v>14400</v>
      </c>
      <c r="K8813" s="6">
        <f t="shared" si="362"/>
        <v>1.9240734483146771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f>VLOOKUP(G8814,[7]Astroflores!$G$2:$H$110,2,FALSE)</f>
        <v>1500</v>
      </c>
      <c r="I8814" s="6">
        <v>634.05652706821195</v>
      </c>
      <c r="J8814" s="5">
        <v>4800</v>
      </c>
      <c r="K8814" s="6">
        <f t="shared" si="362"/>
        <v>2.3657196731903207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f>VLOOKUP(G8815,[7]Astroflores!$G$2:$H$110,2,FALSE)</f>
        <v>8520</v>
      </c>
      <c r="I8815" s="6">
        <v>4487.9999999102474</v>
      </c>
      <c r="J8815" s="5">
        <v>31740</v>
      </c>
      <c r="K8815" s="6">
        <f t="shared" si="362"/>
        <v>1.8983957219630985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f>VLOOKUP(G8816,[7]Astroflores!$G$2:$H$110,2,FALSE)</f>
        <v>3975</v>
      </c>
      <c r="I8816" s="6">
        <v>1702.8</v>
      </c>
      <c r="J8816" s="5">
        <v>12900</v>
      </c>
      <c r="K8816" s="6">
        <f t="shared" si="362"/>
        <v>2.3343904157857649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f>VLOOKUP(G8817,[7]Astroflores!$G$2:$H$110,2,FALSE)</f>
        <v>6660</v>
      </c>
      <c r="I8817" s="6">
        <v>3009.6</v>
      </c>
      <c r="J8817" s="5">
        <v>22800</v>
      </c>
      <c r="K8817" s="6">
        <f t="shared" si="362"/>
        <v>2.2129186602870816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f>VLOOKUP(G8818,[7]Astroflores!$G$2:$H$110,2,FALSE)</f>
        <v>3270</v>
      </c>
      <c r="I8818" s="6">
        <v>1386</v>
      </c>
      <c r="J8818" s="5">
        <v>10500</v>
      </c>
      <c r="K8818" s="6">
        <f t="shared" si="362"/>
        <v>2.3593073593073592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f>VLOOKUP(G8819,[7]Astroflores!$G$2:$H$110,2,FALSE)</f>
        <v>4050</v>
      </c>
      <c r="I8819" s="6">
        <v>1386</v>
      </c>
      <c r="J8819" s="5">
        <v>10500</v>
      </c>
      <c r="K8819" s="6">
        <f t="shared" si="362"/>
        <v>2.9220779220779223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f>VLOOKUP(G8820,[7]Astroflores!$G$2:$H$110,2,FALSE)</f>
        <v>1475</v>
      </c>
      <c r="I8820" s="6">
        <v>1029.5999999999999</v>
      </c>
      <c r="J8820" s="5">
        <v>7800</v>
      </c>
      <c r="K8820" s="6">
        <f t="shared" si="362"/>
        <v>1.4325951825951828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f>VLOOKUP(G8821,[7]Astroflores!$G$2:$H$110,2,FALSE)</f>
        <v>4625</v>
      </c>
      <c r="I8821" s="6">
        <v>2653.2</v>
      </c>
      <c r="J8821" s="5">
        <v>20100</v>
      </c>
      <c r="K8821" s="6">
        <f t="shared" si="362"/>
        <v>1.7431780491481985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f>VLOOKUP(G8822,[7]Astroflores!$G$2:$H$110,2,FALSE)</f>
        <v>3510</v>
      </c>
      <c r="I8822" s="6">
        <v>1768.8</v>
      </c>
      <c r="J8822" s="5">
        <v>13400</v>
      </c>
      <c r="K8822" s="6">
        <f t="shared" si="362"/>
        <v>1.9843962008141114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f>VLOOKUP(G8823,[7]Astroflores!$G$2:$H$110,2,FALSE)</f>
        <v>2190</v>
      </c>
      <c r="I8823" s="6">
        <v>1029.5999999999999</v>
      </c>
      <c r="J8823" s="5">
        <v>7800</v>
      </c>
      <c r="K8823" s="6">
        <f t="shared" si="362"/>
        <v>2.1270396270396272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f>VLOOKUP(G8824,[7]Astroflores!$G$2:$H$110,2,FALSE)</f>
        <v>3625</v>
      </c>
      <c r="I8824" s="6">
        <v>1346.4</v>
      </c>
      <c r="J8824" s="5">
        <v>10200</v>
      </c>
      <c r="K8824" s="6">
        <f t="shared" si="362"/>
        <v>2.6923648247177656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f>VLOOKUP(G8825,[7]Astroflores!$G$2:$H$110,2,FALSE)</f>
        <v>1020</v>
      </c>
      <c r="I8825" s="6">
        <v>440.18999062500001</v>
      </c>
      <c r="J8825" s="5">
        <v>3200</v>
      </c>
      <c r="K8825" s="6">
        <f t="shared" si="362"/>
        <v>2.3171812665521125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f>VLOOKUP(G8826,[7]Astroflores!$G$2:$H$110,2,FALSE)</f>
        <v>1425</v>
      </c>
      <c r="I8826" s="6">
        <v>880.38</v>
      </c>
      <c r="J8826" s="5">
        <v>6400</v>
      </c>
      <c r="K8826" s="6">
        <f t="shared" si="362"/>
        <v>1.6186192326041027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f>VLOOKUP(G8827,[7]Astroflores!$G$2:$H$110,2,FALSE)</f>
        <v>475</v>
      </c>
      <c r="I8827" s="6">
        <v>330.14249999999998</v>
      </c>
      <c r="J8827" s="5">
        <v>2400</v>
      </c>
      <c r="K8827" s="6">
        <f t="shared" si="362"/>
        <v>1.4387726512036469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f>VLOOKUP(G8828,[7]Astroflores!$G$2:$H$110,2,FALSE)</f>
        <v>875</v>
      </c>
      <c r="I8828" s="6">
        <v>1650.7125000000001</v>
      </c>
      <c r="J8828" s="5">
        <v>12000</v>
      </c>
      <c r="K8828" s="6">
        <f t="shared" si="362"/>
        <v>0.53007413465397513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f>VLOOKUP(G8829,[7]Astroflores!$G$2:$H$110,2,FALSE)</f>
        <v>2720</v>
      </c>
      <c r="I8829" s="6">
        <v>1287.0000000000018</v>
      </c>
      <c r="J8829" s="5">
        <v>9400</v>
      </c>
      <c r="K8829" s="6">
        <f t="shared" si="362"/>
        <v>2.1134421134421104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f>VLOOKUP(G8830,[7]Astroflores!$G$2:$H$110,2,FALSE)</f>
        <v>5000</v>
      </c>
      <c r="I8830" s="6">
        <v>2641.14</v>
      </c>
      <c r="J8830" s="5">
        <v>19200</v>
      </c>
      <c r="K8830" s="6">
        <f t="shared" si="362"/>
        <v>1.8931219094784828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f>VLOOKUP(G8831,[7]Astroflores!$G$2:$H$110,2,FALSE)</f>
        <v>2190</v>
      </c>
      <c r="I8831" s="6">
        <v>880.38</v>
      </c>
      <c r="J8831" s="5">
        <v>6400</v>
      </c>
      <c r="K8831" s="6">
        <f t="shared" si="362"/>
        <v>2.4875621890547266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f>VLOOKUP(G8832,[7]Astroflores!$G$2:$H$110,2,FALSE)</f>
        <v>2380</v>
      </c>
      <c r="I8832" s="6">
        <v>880.38</v>
      </c>
      <c r="J8832" s="5">
        <v>6400</v>
      </c>
      <c r="K8832" s="6">
        <f t="shared" si="362"/>
        <v>2.7033780867352735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 t="e">
        <f>VLOOKUP(G8833,[7]Astroflores!$G$2:$H$110,2,FALSE)</f>
        <v>#N/A</v>
      </c>
      <c r="I8833" s="6">
        <v>1755.4</v>
      </c>
      <c r="J8833" s="5">
        <v>12800</v>
      </c>
      <c r="K8833" s="6" t="e">
        <f t="shared" si="362"/>
        <v>#N/A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f>VLOOKUP(G8834,[7]Astroflores!$G$2:$H$110,2,FALSE)</f>
        <v>6960</v>
      </c>
      <c r="I8834" s="6">
        <v>2413.6749943750001</v>
      </c>
      <c r="J8834" s="5">
        <v>17600</v>
      </c>
      <c r="K8834" s="6">
        <f t="shared" si="362"/>
        <v>2.8835696670927442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f>VLOOKUP(G8835,[7]Astroflores!$G$2:$H$110,2,FALSE)</f>
        <v>3720</v>
      </c>
      <c r="I8835" s="6">
        <v>1645.6875</v>
      </c>
      <c r="J8835" s="5">
        <v>12000</v>
      </c>
      <c r="K8835" s="6">
        <f t="shared" si="362"/>
        <v>2.2604534579013329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f>VLOOKUP(G8836,[7]Astroflores!$G$2:$H$110,2,FALSE)</f>
        <v>720</v>
      </c>
      <c r="I8836" s="6">
        <v>726.32013058333712</v>
      </c>
      <c r="J8836" s="5">
        <v>5712</v>
      </c>
      <c r="K8836" s="6">
        <f t="shared" si="362"/>
        <v>0.99129842294435488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f>VLOOKUP(G8837,[7]Astroflores!$G$2:$H$110,2,FALSE)</f>
        <v>2400</v>
      </c>
      <c r="I8837" s="6">
        <v>924.39958333667107</v>
      </c>
      <c r="J8837" s="5">
        <v>6720</v>
      </c>
      <c r="K8837" s="6">
        <f t="shared" si="362"/>
        <v>2.5962798374887495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f>VLOOKUP(G8838,[7]Astroflores!$G$2:$H$110,2,FALSE)</f>
        <v>900</v>
      </c>
      <c r="I8838" s="6">
        <v>1122.485208333339</v>
      </c>
      <c r="J8838" s="5">
        <v>8160</v>
      </c>
      <c r="K8838" s="6">
        <f t="shared" si="362"/>
        <v>0.80179230275676949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f>VLOOKUP(G8839,[7]Astroflores!$G$2:$H$110,2,FALSE)</f>
        <v>1020</v>
      </c>
      <c r="I8839" s="6">
        <v>396.17125000000198</v>
      </c>
      <c r="J8839" s="5">
        <v>2880</v>
      </c>
      <c r="K8839" s="6">
        <f t="shared" si="362"/>
        <v>2.5746441721856264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f>VLOOKUP(G8840,[7]Astroflores!$G$2:$H$110,2,FALSE)</f>
        <v>3090</v>
      </c>
      <c r="I8840" s="6">
        <v>1535.9749999999999</v>
      </c>
      <c r="J8840" s="5">
        <v>11200</v>
      </c>
      <c r="K8840" s="6">
        <f t="shared" si="362"/>
        <v>2.0117514933511287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f>VLOOKUP(G8841,[7]Astroflores!$G$2:$H$110,2,FALSE)</f>
        <v>2100</v>
      </c>
      <c r="I8841" s="6">
        <v>1535.9749999999999</v>
      </c>
      <c r="J8841" s="5">
        <v>11200</v>
      </c>
      <c r="K8841" s="6">
        <f t="shared" si="362"/>
        <v>1.367209752762903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f>VLOOKUP(G8842,[7]Astroflores!$G$2:$H$110,2,FALSE)</f>
        <v>1170</v>
      </c>
      <c r="I8842" s="6">
        <v>594.25687500000299</v>
      </c>
      <c r="J8842" s="5">
        <v>4320</v>
      </c>
      <c r="K8842" s="6">
        <f t="shared" si="362"/>
        <v>1.9688455434360672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f>VLOOKUP(G8843,[7]Astroflores!$G$2:$H$110,2,FALSE)</f>
        <v>4920</v>
      </c>
      <c r="I8843" s="6">
        <v>2575.1131250013459</v>
      </c>
      <c r="J8843" s="5">
        <v>18720</v>
      </c>
      <c r="K8843" s="6">
        <f t="shared" si="362"/>
        <v>1.9105956752860822</v>
      </c>
    </row>
    <row r="8844" spans="1:11" hidden="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f>VLOOKUP(G8844,[7]Astroflores!$G$2:$H$110,2,FALSE)</f>
        <v>1470</v>
      </c>
      <c r="I8844" s="6">
        <v>528.37931032368999</v>
      </c>
      <c r="J8844" s="5">
        <v>4000</v>
      </c>
      <c r="K8844" s="6">
        <f t="shared" ref="K8844:K8849" si="363">IFERROR(H8844/I8844,"")</f>
        <v>2.782092279691013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f>VLOOKUP(G8845,[7]Astroflores!$G$2:$H$110,2,FALSE)</f>
        <v>3875</v>
      </c>
      <c r="I8845" s="6">
        <v>2272.0310343918732</v>
      </c>
      <c r="J8845" s="5">
        <v>17200</v>
      </c>
      <c r="K8845" s="6">
        <f t="shared" si="363"/>
        <v>1.7055224780576881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f>VLOOKUP(G8846,[7]Astroflores!$G$2:$H$110,2,FALSE)</f>
        <v>2310</v>
      </c>
      <c r="I8846" s="6">
        <v>1162.4344827121224</v>
      </c>
      <c r="J8846" s="5">
        <v>8800</v>
      </c>
      <c r="K8846" s="6">
        <f t="shared" si="363"/>
        <v>1.987208771207859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f>VLOOKUP(G8847,[7]Astroflores!$G$2:$H$110,2,FALSE)</f>
        <v>2040</v>
      </c>
      <c r="I8847" s="6">
        <v>1056.7586206473827</v>
      </c>
      <c r="J8847" s="5">
        <v>8000</v>
      </c>
      <c r="K8847" s="6">
        <f t="shared" si="363"/>
        <v>1.9304313777447797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f>VLOOKUP(G8848,[7]Astroflores!$G$2:$H$110,2,FALSE)</f>
        <v>3510</v>
      </c>
      <c r="I8848" s="6">
        <v>1109.596551679753</v>
      </c>
      <c r="J8848" s="5">
        <v>8400</v>
      </c>
      <c r="K8848" s="6">
        <f t="shared" si="363"/>
        <v>3.1633119215145515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f>VLOOKUP(G8849,[7]Astroflores!$G$2:$H$110,2,FALSE)</f>
        <v>4525</v>
      </c>
      <c r="I8849" s="6">
        <v>1902.1655171652881</v>
      </c>
      <c r="J8849" s="5">
        <v>14400</v>
      </c>
      <c r="K8849" s="6">
        <f t="shared" si="363"/>
        <v>2.3788676427818984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f>VLOOKUP(G8850,[7]Astroflores!$G$2:$H$110,2,FALSE)</f>
        <v>1500</v>
      </c>
      <c r="I8850" s="6">
        <v>951.10714281909407</v>
      </c>
      <c r="J8850" s="5">
        <v>7200</v>
      </c>
      <c r="K8850" s="6">
        <f t="shared" ref="K8850:K8912" si="364">+H8850/I8850</f>
        <v>1.5771093838639254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5">
        <f>VLOOKUP(G8851,[7]Astroflores!$G$2:$H$110,2,FALSE)</f>
        <v>6870</v>
      </c>
      <c r="I8851" s="6">
        <v>3804.4285712763772</v>
      </c>
      <c r="J8851" s="5">
        <v>28800</v>
      </c>
      <c r="K8851" s="6">
        <f t="shared" si="364"/>
        <v>1.8057902445241942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5">
        <f>VLOOKUP(G8852,[7]Astroflores!$G$2:$H$110,2,FALSE)</f>
        <v>6450</v>
      </c>
      <c r="I8852" s="6">
        <v>2641.8965516184649</v>
      </c>
      <c r="J8852" s="5">
        <v>20000</v>
      </c>
      <c r="K8852" s="6">
        <f t="shared" si="364"/>
        <v>2.4414279189125079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5">
        <f>VLOOKUP(G8853,[7]Astroflores!$G$2:$H$110,2,FALSE)</f>
        <v>10170</v>
      </c>
      <c r="I8853" s="6">
        <v>3592.9793102010913</v>
      </c>
      <c r="J8853" s="5">
        <v>26044</v>
      </c>
      <c r="K8853" s="6">
        <f t="shared" si="364"/>
        <v>2.8305200564683481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5">
        <f>VLOOKUP(G8854,[7]Astroflores!$G$2:$H$110,2,FALSE)</f>
        <v>2125</v>
      </c>
      <c r="I8854" s="6">
        <v>1268.1103447768633</v>
      </c>
      <c r="J8854" s="5">
        <v>9600</v>
      </c>
      <c r="K8854" s="6">
        <f t="shared" si="364"/>
        <v>1.675721682070116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5">
        <f>VLOOKUP(G8855,[7]Astroflores!$G$2:$H$110,2,FALSE)</f>
        <v>1300</v>
      </c>
      <c r="I8855" s="6">
        <v>528.37931032368999</v>
      </c>
      <c r="J8855" s="5">
        <v>4000</v>
      </c>
      <c r="K8855" s="6">
        <f t="shared" si="364"/>
        <v>2.460353716733549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5">
        <f>VLOOKUP(G8856,[7]Astroflores!$G$2:$H$110,2,FALSE)</f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5">
        <f>VLOOKUP(G8857,[7]Astroflores!$G$2:$H$110,2,FALSE)</f>
        <v>1440</v>
      </c>
      <c r="I8857" s="6">
        <v>528.3915024419166</v>
      </c>
      <c r="J8857" s="5">
        <v>4000</v>
      </c>
      <c r="K8857" s="6">
        <f t="shared" si="364"/>
        <v>2.7252520022467466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5">
        <f>VLOOKUP(G8858,[7]Astroflores!$G$2:$H$110,2,FALSE)</f>
        <v>12150</v>
      </c>
      <c r="I8858" s="6">
        <v>3910.1071427007282</v>
      </c>
      <c r="J8858" s="5">
        <v>29260</v>
      </c>
      <c r="K8858" s="6">
        <f t="shared" si="364"/>
        <v>3.1073317319913492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5">
        <f>VLOOKUP(G8859,[7]Astroflores!$G$2:$H$110,2,FALSE)</f>
        <v>1375</v>
      </c>
      <c r="I8859" s="6">
        <v>1902.2142856381945</v>
      </c>
      <c r="J8859" s="5">
        <v>14400</v>
      </c>
      <c r="K8859" s="6">
        <f t="shared" si="364"/>
        <v>0.72284180093763006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5">
        <f>VLOOKUP(G8860,[7]Astroflores!$G$2:$H$110,2,FALSE)</f>
        <v>2400</v>
      </c>
      <c r="I8860" s="6">
        <v>1162.4642856677858</v>
      </c>
      <c r="J8860" s="5">
        <v>8800</v>
      </c>
      <c r="K8860" s="6">
        <f t="shared" si="364"/>
        <v>2.0645795570582224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5">
        <f>VLOOKUP(G8861,[7]Astroflores!$G$2:$H$110,2,FALSE)</f>
        <v>690</v>
      </c>
      <c r="I8861" s="6">
        <v>317.03571427303262</v>
      </c>
      <c r="J8861" s="5">
        <v>2400</v>
      </c>
      <c r="K8861" s="6">
        <f t="shared" si="364"/>
        <v>2.1764109497322086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5">
        <f>VLOOKUP(G8862,[7]Astroflores!$G$2:$H$110,2,FALSE)</f>
        <v>1650</v>
      </c>
      <c r="I8862" s="6">
        <v>951.10714281875391</v>
      </c>
      <c r="J8862" s="5">
        <v>7200</v>
      </c>
      <c r="K8862" s="6">
        <f t="shared" si="364"/>
        <v>1.7348203222509384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5">
        <f>VLOOKUP(G8863,[7]Astroflores!$G$2:$H$110,2,FALSE)</f>
        <v>900</v>
      </c>
      <c r="I8863" s="6">
        <v>898.26785710660101</v>
      </c>
      <c r="J8863" s="5">
        <v>6800</v>
      </c>
      <c r="K8863" s="6">
        <f t="shared" si="364"/>
        <v>1.0019283144550872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5">
        <f>VLOOKUP(G8864,[7]Astroflores!$G$2:$H$110,2,FALSE)</f>
        <v>3150</v>
      </c>
      <c r="I8864" s="6">
        <v>1162.4642856673661</v>
      </c>
      <c r="J8864" s="5">
        <v>8800</v>
      </c>
      <c r="K8864" s="6">
        <f t="shared" si="364"/>
        <v>2.7097606686398952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5">
        <f>VLOOKUP(G8865,[7]Astroflores!$G$2:$H$110,2,FALSE)</f>
        <v>2100</v>
      </c>
      <c r="I8865" s="6">
        <v>686.91071425798896</v>
      </c>
      <c r="J8865" s="5">
        <v>5200</v>
      </c>
      <c r="K8865" s="6">
        <f t="shared" si="364"/>
        <v>3.0571658825680874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5">
        <f>VLOOKUP(G8866,[7]Astroflores!$G$2:$H$110,2,FALSE)</f>
        <v>900</v>
      </c>
      <c r="I8866" s="6">
        <v>845.428571394752</v>
      </c>
      <c r="J8866" s="5">
        <v>6400</v>
      </c>
      <c r="K8866" s="6">
        <f t="shared" si="364"/>
        <v>1.0645488341081475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5">
        <f>VLOOKUP(G8867,[7]Astroflores!$G$2:$H$110,2,FALSE)</f>
        <v>6075</v>
      </c>
      <c r="I8867" s="6">
        <v>3910.1071427007355</v>
      </c>
      <c r="J8867" s="5">
        <v>29600</v>
      </c>
      <c r="K8867" s="6">
        <f t="shared" si="364"/>
        <v>1.5536658659956717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5">
        <f>VLOOKUP(G8868,[7]Astroflores!$G$2:$H$110,2,FALSE)</f>
        <v>10650</v>
      </c>
      <c r="I8868" s="6">
        <v>4015.7857141250793</v>
      </c>
      <c r="J8868" s="5">
        <v>30400</v>
      </c>
      <c r="K8868" s="6">
        <f t="shared" si="364"/>
        <v>2.6520339376027486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5">
        <f>VLOOKUP(G8869,[7]Astroflores!$G$2:$H$110,2,FALSE)</f>
        <v>6060</v>
      </c>
      <c r="I8869" s="6">
        <v>2747.5751230427709</v>
      </c>
      <c r="J8869" s="5">
        <v>20800</v>
      </c>
      <c r="K8869" s="6">
        <f t="shared" si="364"/>
        <v>2.2055811865441997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5">
        <f>VLOOKUP(G8870,[7]Astroflores!$G$2:$H$110,2,FALSE)</f>
        <v>2070</v>
      </c>
      <c r="I8870" s="6">
        <v>1056.75862064738</v>
      </c>
      <c r="J8870" s="5">
        <v>9600</v>
      </c>
      <c r="K8870" s="6">
        <f t="shared" si="364"/>
        <v>1.9588200744763256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5">
        <f>VLOOKUP(G8871,[7]Astroflores!$G$2:$H$110,2,FALSE)</f>
        <v>575</v>
      </c>
      <c r="I8871" s="6">
        <v>317.02758619421581</v>
      </c>
      <c r="J8871" s="5">
        <v>2640</v>
      </c>
      <c r="K8871" s="6">
        <f t="shared" si="364"/>
        <v>1.8137222911817725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5" t="e">
        <f>VLOOKUP(G8872,[7]Astroflores!$G$2:$H$110,2,FALSE)</f>
        <v>#N/A</v>
      </c>
      <c r="I8872" s="6">
        <v>52.837931032368999</v>
      </c>
      <c r="J8872" s="5">
        <v>440</v>
      </c>
      <c r="K8872" s="6" t="e">
        <f t="shared" si="364"/>
        <v>#N/A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5">
        <f>VLOOKUP(G8873,[7]Astroflores!$G$2:$H$110,2,FALSE)</f>
        <v>11430</v>
      </c>
      <c r="I8873" s="6">
        <v>3592.9793102011122</v>
      </c>
      <c r="J8873" s="5">
        <v>27820</v>
      </c>
      <c r="K8873" s="6">
        <f t="shared" si="364"/>
        <v>3.1812039572697182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5">
        <f>VLOOKUP(G8874,[7]Astroflores!$G$2:$H$110,2,FALSE)</f>
        <v>5880</v>
      </c>
      <c r="I8874" s="6">
        <v>1585.2222221588099</v>
      </c>
      <c r="J8874" s="5">
        <v>11490</v>
      </c>
      <c r="K8874" s="6">
        <f t="shared" si="364"/>
        <v>3.7092591296079704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5">
        <f>VLOOKUP(G8875,[7]Astroflores!$G$2:$H$110,2,FALSE)</f>
        <v>5070</v>
      </c>
      <c r="I8875" s="6">
        <v>2219.311111022334</v>
      </c>
      <c r="J8875" s="5">
        <v>16800</v>
      </c>
      <c r="K8875" s="6">
        <f t="shared" si="364"/>
        <v>2.284492685509282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5">
        <f>VLOOKUP(G8876,[7]Astroflores!$G$2:$H$110,2,FALSE)</f>
        <v>5550</v>
      </c>
      <c r="I8876" s="6">
        <v>2959.0814813631118</v>
      </c>
      <c r="J8876" s="5">
        <v>22400</v>
      </c>
      <c r="K8876" s="6">
        <f t="shared" si="364"/>
        <v>1.875582012511319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5" t="e">
        <f>VLOOKUP(G8877,[7]Astroflores!$G$2:$H$110,2,FALSE)</f>
        <v>#N/A</v>
      </c>
      <c r="I8877" s="6">
        <v>1796.5851851133182</v>
      </c>
      <c r="J8877" s="5">
        <v>13600</v>
      </c>
      <c r="K8877" s="6" t="e">
        <f t="shared" si="364"/>
        <v>#N/A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5">
        <f>VLOOKUP(G8878,[7]Astroflores!$G$2:$H$110,2,FALSE)</f>
        <v>4225</v>
      </c>
      <c r="I8878" s="6">
        <v>1912.3542857142861</v>
      </c>
      <c r="J8878" s="5">
        <v>16320</v>
      </c>
      <c r="K8878" s="6">
        <f t="shared" si="364"/>
        <v>2.2093186558378299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5">
        <f>VLOOKUP(G8879,[7]Astroflores!$G$2:$H$110,2,FALSE)</f>
        <v>5040</v>
      </c>
      <c r="I8879" s="6">
        <v>2812.2857142428579</v>
      </c>
      <c r="J8879" s="5">
        <v>20000</v>
      </c>
      <c r="K8879" s="6">
        <f t="shared" si="364"/>
        <v>1.792136543763976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5">
        <f>VLOOKUP(G8880,[7]Astroflores!$G$2:$H$110,2,FALSE)</f>
        <v>4000</v>
      </c>
      <c r="I8880" s="6">
        <v>1768.8376470588223</v>
      </c>
      <c r="J8880" s="5">
        <v>12800</v>
      </c>
      <c r="K8880" s="6">
        <f t="shared" si="364"/>
        <v>2.2613720409281752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5">
        <f>VLOOKUP(G8881,[7]Astroflores!$G$2:$H$110,2,FALSE)</f>
        <v>3860</v>
      </c>
      <c r="I8881" s="6">
        <v>2263.7999998868127</v>
      </c>
      <c r="J8881" s="5">
        <v>17920</v>
      </c>
      <c r="K8881" s="6">
        <f t="shared" si="364"/>
        <v>1.7050976235502233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5">
        <f>VLOOKUP(G8882,[7]Astroflores!$G$2:$H$110,2,FALSE)</f>
        <v>1410</v>
      </c>
      <c r="I8882" s="6">
        <v>994.97117647058747</v>
      </c>
      <c r="J8882" s="5">
        <v>7200</v>
      </c>
      <c r="K8882" s="6">
        <f t="shared" si="364"/>
        <v>1.4171264789816564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5">
        <f>VLOOKUP(G8883,[7]Astroflores!$G$2:$H$110,2,FALSE)</f>
        <v>1950</v>
      </c>
      <c r="I8883" s="6">
        <v>994.97117647058747</v>
      </c>
      <c r="J8883" s="5">
        <v>7920</v>
      </c>
      <c r="K8883" s="6">
        <f t="shared" si="364"/>
        <v>1.9598557688044185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5">
        <f>VLOOKUP(G8884,[7]Astroflores!$G$2:$H$110,2,FALSE)</f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5">
        <f>VLOOKUP(G8885,[7]Astroflores!$G$2:$H$110,2,FALSE)</f>
        <v>21930</v>
      </c>
      <c r="I8885" s="6">
        <v>6727.0499997982479</v>
      </c>
      <c r="J8885" s="5">
        <v>49210</v>
      </c>
      <c r="K8885" s="6">
        <f t="shared" si="364"/>
        <v>3.2599727964944081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5">
        <f>VLOOKUP(G8886,[7]Astroflores!$G$2:$H$110,2,FALSE)</f>
        <v>1590</v>
      </c>
      <c r="I8886" s="6">
        <v>994.95</v>
      </c>
      <c r="J8886" s="5">
        <v>7200</v>
      </c>
      <c r="K8886" s="6">
        <f t="shared" si="364"/>
        <v>1.5980702547866725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5">
        <f>VLOOKUP(G8887,[7]Astroflores!$G$2:$H$110,2,FALSE)</f>
        <v>1400</v>
      </c>
      <c r="I8887" s="6">
        <v>831.6</v>
      </c>
      <c r="J8887" s="5">
        <v>6300</v>
      </c>
      <c r="K8887" s="6">
        <f t="shared" si="364"/>
        <v>1.6835016835016834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5">
        <f>VLOOKUP(G8888,[7]Astroflores!$G$2:$H$110,2,FALSE)</f>
        <v>4250</v>
      </c>
      <c r="I8888" s="6">
        <v>1267.2</v>
      </c>
      <c r="J8888" s="5">
        <v>9600</v>
      </c>
      <c r="K8888" s="6">
        <f t="shared" si="364"/>
        <v>3.3538510101010099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5">
        <f>VLOOKUP(G8889,[7]Astroflores!$G$2:$H$110,2,FALSE)</f>
        <v>840</v>
      </c>
      <c r="I8889" s="6">
        <v>316.8</v>
      </c>
      <c r="J8889" s="5">
        <v>2400</v>
      </c>
      <c r="K8889" s="6">
        <f t="shared" si="364"/>
        <v>2.6515151515151514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5">
        <f>VLOOKUP(G8890,[7]Astroflores!$G$2:$H$110,2,FALSE)</f>
        <v>12840</v>
      </c>
      <c r="I8890" s="6">
        <v>3603.6</v>
      </c>
      <c r="J8890" s="5">
        <v>27296</v>
      </c>
      <c r="K8890" s="6">
        <f t="shared" si="364"/>
        <v>3.5631035631035632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5">
        <f>VLOOKUP(G8891,[7]Astroflores!$G$2:$H$110,2,FALSE)</f>
        <v>7775</v>
      </c>
      <c r="I8891" s="6">
        <v>3682.8</v>
      </c>
      <c r="J8891" s="5">
        <v>27900</v>
      </c>
      <c r="K8891" s="6">
        <f t="shared" si="364"/>
        <v>2.1111654176170305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5">
        <f>VLOOKUP(G8892,[7]Astroflores!$G$2:$H$110,2,FALSE)</f>
        <v>6175</v>
      </c>
      <c r="I8892" s="6">
        <v>2376</v>
      </c>
      <c r="J8892" s="5">
        <v>18000</v>
      </c>
      <c r="K8892" s="6">
        <f t="shared" si="364"/>
        <v>2.5989057239057241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5">
        <f>VLOOKUP(G8893,[7]Astroflores!$G$2:$H$110,2,FALSE)</f>
        <v>1770</v>
      </c>
      <c r="I8893" s="6">
        <v>950.4</v>
      </c>
      <c r="J8893" s="5">
        <v>7200</v>
      </c>
      <c r="K8893" s="6">
        <f t="shared" si="364"/>
        <v>1.8623737373737375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5">
        <f>VLOOKUP(G8894,[7]Astroflores!$G$2:$H$110,2,FALSE)</f>
        <v>3750</v>
      </c>
      <c r="I8894" s="6">
        <v>1346.4</v>
      </c>
      <c r="J8894" s="5">
        <v>10200</v>
      </c>
      <c r="K8894" s="6">
        <f t="shared" si="364"/>
        <v>2.785204991087344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5">
        <f>VLOOKUP(G8895,[7]Astroflores!$G$2:$H$110,2,FALSE)</f>
        <v>6990</v>
      </c>
      <c r="I8895" s="6">
        <v>2851.2</v>
      </c>
      <c r="J8895" s="5">
        <v>21600</v>
      </c>
      <c r="K8895" s="6">
        <f t="shared" si="364"/>
        <v>2.4515993265993266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5">
        <f>VLOOKUP(G8896,[7]Astroflores!$G$2:$H$110,2,FALSE)</f>
        <v>4350</v>
      </c>
      <c r="I8896" s="6">
        <v>2138.4</v>
      </c>
      <c r="J8896" s="5">
        <v>16200</v>
      </c>
      <c r="K8896" s="6">
        <f t="shared" si="364"/>
        <v>2.0342312008978674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5">
        <f>VLOOKUP(G8897,[7]Astroflores!$G$2:$H$110,2,FALSE)</f>
        <v>2400</v>
      </c>
      <c r="I8897" s="6">
        <v>963.6</v>
      </c>
      <c r="J8897" s="5">
        <v>7570</v>
      </c>
      <c r="K8897" s="6">
        <f t="shared" si="364"/>
        <v>2.4906600249066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5">
        <f>VLOOKUP(G8898,[7]Astroflores!$G$2:$H$110,2,FALSE)</f>
        <v>7875</v>
      </c>
      <c r="I8898" s="6">
        <v>3168</v>
      </c>
      <c r="J8898" s="5">
        <v>24000</v>
      </c>
      <c r="K8898" s="6">
        <f t="shared" si="364"/>
        <v>2.4857954545454546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5">
        <f>VLOOKUP(G8899,[7]Astroflores!$G$2:$H$110,2,FALSE)</f>
        <v>3600</v>
      </c>
      <c r="I8899" s="6">
        <v>1188</v>
      </c>
      <c r="J8899" s="5">
        <v>9000</v>
      </c>
      <c r="K8899" s="6">
        <f t="shared" si="364"/>
        <v>3.0303030303030303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5">
        <f>VLOOKUP(G8900,[7]Astroflores!$G$2:$H$110,2,FALSE)</f>
        <v>6625</v>
      </c>
      <c r="I8900" s="6">
        <v>2732.4</v>
      </c>
      <c r="J8900" s="5">
        <v>20700</v>
      </c>
      <c r="K8900" s="6">
        <f t="shared" si="364"/>
        <v>2.4246084028692723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5">
        <f>VLOOKUP(G8901,[7]Astroflores!$G$2:$H$110,2,FALSE)</f>
        <v>1200</v>
      </c>
      <c r="I8901" s="6">
        <v>673.2</v>
      </c>
      <c r="J8901" s="5">
        <v>5100</v>
      </c>
      <c r="K8901" s="6">
        <f t="shared" si="364"/>
        <v>1.7825311942959001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5">
        <f>VLOOKUP(G8902,[7]Astroflores!$G$2:$H$110,2,FALSE)</f>
        <v>1375</v>
      </c>
      <c r="I8902" s="6">
        <v>1100.4749999999999</v>
      </c>
      <c r="J8902" s="5">
        <v>8000</v>
      </c>
      <c r="K8902" s="6">
        <f t="shared" si="364"/>
        <v>1.2494604602557988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5">
        <f>VLOOKUP(G8903,[7]Astroflores!$G$2:$H$110,2,FALSE)</f>
        <v>2475</v>
      </c>
      <c r="I8903" s="6">
        <v>1287</v>
      </c>
      <c r="J8903" s="5">
        <v>9400</v>
      </c>
      <c r="K8903" s="6">
        <f t="shared" si="364"/>
        <v>1.9230769230769231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5">
        <f>VLOOKUP(G8904,[7]Astroflores!$G$2:$H$110,2,FALSE)</f>
        <v>7980</v>
      </c>
      <c r="I8904" s="6">
        <v>2641.14</v>
      </c>
      <c r="J8904" s="5">
        <v>19200</v>
      </c>
      <c r="K8904" s="6">
        <f t="shared" si="364"/>
        <v>3.0214225675276585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5">
        <f>VLOOKUP(G8905,[7]Astroflores!$G$2:$H$110,2,FALSE)</f>
        <v>6630</v>
      </c>
      <c r="I8905" s="6">
        <v>2641.14</v>
      </c>
      <c r="J8905" s="5">
        <v>19200</v>
      </c>
      <c r="K8905" s="6">
        <f t="shared" si="364"/>
        <v>2.5102796519684683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5">
        <f>VLOOKUP(G8906,[7]Astroflores!$G$2:$H$110,2,FALSE)</f>
        <v>5430</v>
      </c>
      <c r="I8906" s="6">
        <v>1430.6174906250001</v>
      </c>
      <c r="J8906" s="5">
        <v>10400</v>
      </c>
      <c r="K8906" s="6">
        <f t="shared" si="364"/>
        <v>3.7955638286148536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5">
        <f>VLOOKUP(G8907,[7]Astroflores!$G$2:$H$110,2,FALSE)</f>
        <v>2400</v>
      </c>
      <c r="I8907" s="6">
        <v>1430.6175000000001</v>
      </c>
      <c r="J8907" s="5">
        <v>10400</v>
      </c>
      <c r="K8907" s="6">
        <f t="shared" si="364"/>
        <v>1.6775972613224708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5">
        <f>VLOOKUP(G8908,[7]Astroflores!$G$2:$H$110,2,FALSE)</f>
        <v>4500</v>
      </c>
      <c r="I8908" s="6">
        <v>2861.2350000000001</v>
      </c>
      <c r="J8908" s="5">
        <v>20800</v>
      </c>
      <c r="K8908" s="6">
        <f t="shared" si="364"/>
        <v>1.5727474324898163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5">
        <f>VLOOKUP(G8909,[7]Astroflores!$G$2:$H$110,2,FALSE)</f>
        <v>8675</v>
      </c>
      <c r="I8909" s="6">
        <v>3071.9505625000002</v>
      </c>
      <c r="J8909" s="5">
        <v>22400</v>
      </c>
      <c r="K8909" s="6">
        <f t="shared" si="364"/>
        <v>2.823938674631584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5">
        <f>VLOOKUP(G8910,[7]Astroflores!$G$2:$H$110,2,FALSE)</f>
        <v>3600</v>
      </c>
      <c r="I8910" s="6">
        <v>1097.125</v>
      </c>
      <c r="J8910" s="5">
        <v>8000</v>
      </c>
      <c r="K8910" s="6">
        <f t="shared" si="364"/>
        <v>3.2813034066309674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5">
        <f>VLOOKUP(G8911,[7]Astroflores!$G$2:$H$110,2,FALSE)</f>
        <v>4750</v>
      </c>
      <c r="I8911" s="6">
        <v>2852.5250000000001</v>
      </c>
      <c r="J8911" s="5">
        <v>20800</v>
      </c>
      <c r="K8911" s="6">
        <f t="shared" si="364"/>
        <v>1.6651913655445614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5">
        <f>VLOOKUP(G8912,[7]Astroflores!$G$2:$H$110,2,FALSE)</f>
        <v>6120</v>
      </c>
      <c r="I8912" s="6">
        <v>2633.1</v>
      </c>
      <c r="J8912" s="5">
        <v>19200</v>
      </c>
      <c r="K8912" s="6">
        <f t="shared" si="364"/>
        <v>2.3242565796969354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5">
        <f>VLOOKUP(G8913,[7]Astroflores!$G$2:$H$110,2,FALSE)</f>
        <v>6570</v>
      </c>
      <c r="I8913" s="6">
        <v>2633.1</v>
      </c>
      <c r="J8913" s="5">
        <v>19200</v>
      </c>
      <c r="K8913" s="6">
        <f t="shared" ref="K8913:K8917" si="366">+H8913/I8913</f>
        <v>2.4951577987922979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5">
        <f>VLOOKUP(G8914,[7]Astroflores!$G$2:$H$110,2,FALSE)</f>
        <v>6930</v>
      </c>
      <c r="I8914" s="6">
        <v>2852.5250000000001</v>
      </c>
      <c r="J8914" s="5">
        <v>20800</v>
      </c>
      <c r="K8914" s="6">
        <f t="shared" si="366"/>
        <v>2.4294265606786967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5">
        <f>VLOOKUP(G8915,[7]Astroflores!$G$2:$H$110,2,FALSE)</f>
        <v>9450</v>
      </c>
      <c r="I8915" s="6">
        <v>2852.5250000000001</v>
      </c>
      <c r="J8915" s="5">
        <v>20800</v>
      </c>
      <c r="K8915" s="6">
        <f t="shared" si="366"/>
        <v>3.3128544009254957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5">
        <f>VLOOKUP(G8916,[7]Astroflores!$G$2:$H$110,2,FALSE)</f>
        <v>4350</v>
      </c>
      <c r="I8916" s="6">
        <v>3071.95</v>
      </c>
      <c r="J8916" s="5">
        <v>22400</v>
      </c>
      <c r="K8916" s="6">
        <f t="shared" si="366"/>
        <v>1.4160386725044354</v>
      </c>
    </row>
    <row r="8917" spans="1:11" ht="13.5" hidden="1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5">
        <f>VLOOKUP(G8917,[7]Astroflores!$G$2:$H$110,2,FALSE)</f>
        <v>3025</v>
      </c>
      <c r="I8917" s="6">
        <v>1645.6875</v>
      </c>
      <c r="J8917" s="5">
        <v>12000</v>
      </c>
      <c r="K8917" s="6">
        <f t="shared" si="366"/>
        <v>1.8381375564923474</v>
      </c>
    </row>
    <row r="8918" spans="1:11" hidden="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 t="shared" ref="G8918:G8979" si="367">+E8918&amp;F8918</f>
        <v>002SOMERSET</v>
      </c>
      <c r="H8918" s="5">
        <v>10120</v>
      </c>
      <c r="I8918" s="6">
        <v>4121.4642855494085</v>
      </c>
      <c r="J8918" s="5">
        <v>31200</v>
      </c>
      <c r="K8918" s="6">
        <f t="shared" ref="K8918:K8952" si="368">+H8918/I8918</f>
        <v>2.4554379945696803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si="367"/>
        <v>004BELLINA</v>
      </c>
      <c r="H8919" s="5">
        <v>2055</v>
      </c>
      <c r="I8919" s="6">
        <v>1056.7857142434418</v>
      </c>
      <c r="J8919" s="5">
        <v>8000</v>
      </c>
      <c r="K8919" s="6">
        <f t="shared" si="368"/>
        <v>1.9445758703042129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7"/>
        <v>005ELBA</v>
      </c>
      <c r="H8920" s="5">
        <v>9090</v>
      </c>
      <c r="I8920" s="6">
        <v>2641.9642856076484</v>
      </c>
      <c r="J8920" s="5">
        <v>19996</v>
      </c>
      <c r="K8920" s="6">
        <f t="shared" si="368"/>
        <v>3.4406218318387718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7"/>
        <v>005HOT BUBBLES</v>
      </c>
      <c r="H8921" s="5">
        <v>1260</v>
      </c>
      <c r="I8921" s="6">
        <v>528.39285712153003</v>
      </c>
      <c r="J8921" s="5">
        <v>4000</v>
      </c>
      <c r="K8921" s="6">
        <f t="shared" si="368"/>
        <v>2.384589388403108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7"/>
        <v>005SUSPIRO</v>
      </c>
      <c r="H8922" s="5">
        <v>3000</v>
      </c>
      <c r="I8922" s="6">
        <v>1902.2142856375078</v>
      </c>
      <c r="J8922" s="5">
        <v>14400</v>
      </c>
      <c r="K8922" s="6">
        <f t="shared" si="368"/>
        <v>1.5771093838644894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7"/>
        <v>007SNOW BUBBLES</v>
      </c>
      <c r="H8923" s="5">
        <v>1300</v>
      </c>
      <c r="I8923" s="6">
        <v>634.05652706821195</v>
      </c>
      <c r="J8923" s="5">
        <v>4800</v>
      </c>
      <c r="K8923" s="6">
        <f t="shared" si="368"/>
        <v>2.0502903834316113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7"/>
        <v>009HOT BUBBLES</v>
      </c>
      <c r="H8924" s="5">
        <v>9360</v>
      </c>
      <c r="I8924" s="6">
        <v>4487.9999999102474</v>
      </c>
      <c r="J8924" s="5">
        <v>31740</v>
      </c>
      <c r="K8924" s="6">
        <f t="shared" si="368"/>
        <v>2.0855614973679111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7"/>
        <v>014FRUITY BUBBLES</v>
      </c>
      <c r="H8925" s="5">
        <v>4550</v>
      </c>
      <c r="I8925" s="6">
        <v>1702.8</v>
      </c>
      <c r="J8925" s="5">
        <v>12900</v>
      </c>
      <c r="K8925" s="6">
        <f t="shared" si="368"/>
        <v>2.6720695325346489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7"/>
        <v>015FELLINI</v>
      </c>
      <c r="H8926" s="5">
        <v>7700</v>
      </c>
      <c r="I8926" s="6">
        <v>3009.6</v>
      </c>
      <c r="J8926" s="5">
        <v>22800</v>
      </c>
      <c r="K8926" s="6">
        <f t="shared" si="368"/>
        <v>2.5584795321637426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7"/>
        <v>016GOOD PEACH</v>
      </c>
      <c r="H8927" s="5">
        <v>2760</v>
      </c>
      <c r="I8927" s="6">
        <v>1386</v>
      </c>
      <c r="J8927" s="5">
        <v>10500</v>
      </c>
      <c r="K8927" s="6">
        <f t="shared" si="368"/>
        <v>1.9913419913419914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7"/>
        <v>016GOOD YELLOW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7"/>
        <v>017ORANGE STAR</v>
      </c>
      <c r="H8929" s="5">
        <v>2575</v>
      </c>
      <c r="I8929" s="6">
        <v>1029.5999999999999</v>
      </c>
      <c r="J8929" s="5">
        <v>7800</v>
      </c>
      <c r="K8929" s="6">
        <f t="shared" si="368"/>
        <v>2.5009712509712512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7"/>
        <v>018COSMO</v>
      </c>
      <c r="H8930" s="5">
        <v>6275</v>
      </c>
      <c r="I8930" s="6">
        <v>2653.2</v>
      </c>
      <c r="J8930" s="5">
        <v>20100</v>
      </c>
      <c r="K8930" s="6">
        <f t="shared" si="368"/>
        <v>2.3650685964118803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7"/>
        <v>018RUBICON</v>
      </c>
      <c r="H8931" s="5">
        <v>5820</v>
      </c>
      <c r="I8931" s="6">
        <v>1768.8</v>
      </c>
      <c r="J8931" s="5">
        <v>13400</v>
      </c>
      <c r="K8931" s="6">
        <f t="shared" si="368"/>
        <v>3.2903663500678428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7"/>
        <v>019BELLINA</v>
      </c>
      <c r="H8932" s="5">
        <v>2520</v>
      </c>
      <c r="I8932" s="6">
        <v>1029.5999999999999</v>
      </c>
      <c r="J8932" s="5">
        <v>7800</v>
      </c>
      <c r="K8932" s="6">
        <f t="shared" si="368"/>
        <v>2.4475524475524479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7"/>
        <v>020SUMMER DANCE</v>
      </c>
      <c r="H8933" s="5">
        <v>4450</v>
      </c>
      <c r="I8933" s="6">
        <v>1346.4</v>
      </c>
      <c r="J8933" s="5">
        <v>10200</v>
      </c>
      <c r="K8933" s="6">
        <f t="shared" si="368"/>
        <v>3.3051099227569813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7"/>
        <v>021ELEGANT ROSEVER</v>
      </c>
      <c r="H8934" s="5">
        <v>540</v>
      </c>
      <c r="I8934" s="6">
        <v>440.18999062500001</v>
      </c>
      <c r="J8934" s="5">
        <v>3200</v>
      </c>
      <c r="K8934" s="6">
        <f t="shared" si="368"/>
        <v>1.2267430234687653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7"/>
        <v>021FLAME CLUB</v>
      </c>
      <c r="H8935" s="5">
        <v>1850</v>
      </c>
      <c r="I8935" s="6">
        <v>880.38</v>
      </c>
      <c r="J8935" s="5">
        <v>6400</v>
      </c>
      <c r="K8935" s="6">
        <f t="shared" si="368"/>
        <v>2.1013653195211157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7"/>
        <v>021KELLY</v>
      </c>
      <c r="H8936" s="5">
        <v>675</v>
      </c>
      <c r="I8936" s="6">
        <v>330.14249999999998</v>
      </c>
      <c r="J8936" s="5">
        <v>2400</v>
      </c>
      <c r="K8936" s="6">
        <f t="shared" si="368"/>
        <v>2.0445716622367613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7"/>
        <v>021LEILA</v>
      </c>
      <c r="H8937" s="5">
        <v>2525</v>
      </c>
      <c r="I8937" s="6">
        <v>1650.7125000000001</v>
      </c>
      <c r="J8937" s="5">
        <v>12000</v>
      </c>
      <c r="K8937" s="6">
        <f t="shared" si="368"/>
        <v>1.529642502858614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7"/>
        <v>021SNOW BUBBLES</v>
      </c>
      <c r="H8938" s="5">
        <v>3080</v>
      </c>
      <c r="I8938" s="6">
        <v>1287.0000000000018</v>
      </c>
      <c r="J8938" s="5">
        <v>9400</v>
      </c>
      <c r="K8938" s="6">
        <f t="shared" si="368"/>
        <v>2.39316239316239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7"/>
        <v>022FRUITY BUBBLES</v>
      </c>
      <c r="H8939" s="5">
        <v>3975</v>
      </c>
      <c r="I8939" s="6">
        <v>2641.14</v>
      </c>
      <c r="J8939" s="5">
        <v>19200</v>
      </c>
      <c r="K8939" s="6">
        <f t="shared" si="368"/>
        <v>1.5050319180353939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7"/>
        <v>022GOOD PEACH</v>
      </c>
      <c r="H8940" s="5">
        <v>1890</v>
      </c>
      <c r="I8940" s="6">
        <v>880.38</v>
      </c>
      <c r="J8940" s="5">
        <v>6400</v>
      </c>
      <c r="K8940" s="6">
        <f t="shared" si="368"/>
        <v>2.1468002453485995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7"/>
        <v>022MIRABEL</v>
      </c>
      <c r="H8941" s="5">
        <v>1300</v>
      </c>
      <c r="I8941" s="6">
        <v>880.38</v>
      </c>
      <c r="J8941" s="5">
        <v>6400</v>
      </c>
      <c r="K8941" s="6">
        <f t="shared" si="368"/>
        <v>1.4766350893932165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7"/>
        <v>026PURPLE BUBBLY</v>
      </c>
      <c r="H8942" s="5">
        <v>1110</v>
      </c>
      <c r="I8942" s="6">
        <v>1755.4</v>
      </c>
      <c r="J8942" s="5">
        <v>12800</v>
      </c>
      <c r="K8942" s="6">
        <f t="shared" si="368"/>
        <v>0.63233451065284263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7"/>
        <v>030MIRABEL</v>
      </c>
      <c r="H8943" s="5">
        <v>4040</v>
      </c>
      <c r="I8943" s="6">
        <v>2413.6749943750001</v>
      </c>
      <c r="J8943" s="5">
        <v>17600</v>
      </c>
      <c r="K8943" s="6">
        <f t="shared" si="368"/>
        <v>1.6737961860710755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7"/>
        <v>030SOMERSET</v>
      </c>
      <c r="H8944" s="5">
        <v>4920</v>
      </c>
      <c r="I8944" s="6">
        <v>1645.6875</v>
      </c>
      <c r="J8944" s="5">
        <v>12000</v>
      </c>
      <c r="K8944" s="6">
        <f t="shared" si="368"/>
        <v>2.9896319927082144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7"/>
        <v>03182989</v>
      </c>
      <c r="H8945" s="5">
        <v>820</v>
      </c>
      <c r="I8945" s="6">
        <v>726.32013058333712</v>
      </c>
      <c r="J8945" s="5">
        <v>5712</v>
      </c>
      <c r="K8945" s="6">
        <f t="shared" si="368"/>
        <v>1.1289787594644043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7"/>
        <v>031RUBICON</v>
      </c>
      <c r="H8946" s="5">
        <v>2100</v>
      </c>
      <c r="I8946" s="6">
        <v>924.39958333667107</v>
      </c>
      <c r="J8946" s="5">
        <v>6720</v>
      </c>
      <c r="K8946" s="6">
        <f t="shared" si="368"/>
        <v>2.2717448578026556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7"/>
        <v>031SOMERSET</v>
      </c>
      <c r="H8947" s="5">
        <v>2160</v>
      </c>
      <c r="I8947" s="6">
        <v>1122.485208333339</v>
      </c>
      <c r="J8947" s="5">
        <v>8160</v>
      </c>
      <c r="K8947" s="6">
        <f t="shared" si="368"/>
        <v>1.9243015266162469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7"/>
        <v>031VELVET BLOSSOMS</v>
      </c>
      <c r="H8948" s="5">
        <v>300</v>
      </c>
      <c r="I8948" s="6">
        <v>396.17125000000198</v>
      </c>
      <c r="J8948" s="5">
        <v>2880</v>
      </c>
      <c r="K8948" s="6">
        <f t="shared" si="368"/>
        <v>0.75724828593694904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7"/>
        <v>032ELBA</v>
      </c>
      <c r="H8949" s="5">
        <v>3150</v>
      </c>
      <c r="I8949" s="6">
        <v>1535.9749999999999</v>
      </c>
      <c r="J8949" s="5">
        <v>11200</v>
      </c>
      <c r="K8949" s="6">
        <f t="shared" si="368"/>
        <v>2.0508146291443548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7"/>
        <v>032MIRABEL</v>
      </c>
      <c r="H8950" s="5">
        <v>1740</v>
      </c>
      <c r="I8950" s="6">
        <v>1535.9749999999999</v>
      </c>
      <c r="J8950" s="5">
        <v>11200</v>
      </c>
      <c r="K8950" s="6">
        <f t="shared" si="368"/>
        <v>1.1328309380035484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7"/>
        <v>033CREAMY FOLIES</v>
      </c>
      <c r="H8951" s="5">
        <v>1110</v>
      </c>
      <c r="I8951" s="6">
        <v>594.25687500000299</v>
      </c>
      <c r="J8951" s="5">
        <v>4320</v>
      </c>
      <c r="K8951" s="6">
        <f t="shared" si="368"/>
        <v>1.8678791053111408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7"/>
        <v>033HOT BUBBLES</v>
      </c>
      <c r="H8952" s="5">
        <v>2280</v>
      </c>
      <c r="I8952" s="6">
        <v>2575.1131250013459</v>
      </c>
      <c r="J8952" s="5">
        <v>18720</v>
      </c>
      <c r="K8952" s="6">
        <f t="shared" si="368"/>
        <v>0.88539799586428203</v>
      </c>
    </row>
    <row r="8953" spans="1:11" hidden="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7"/>
        <v>001BELIEVE IN PINK</v>
      </c>
      <c r="H8953" s="5">
        <v>1890</v>
      </c>
      <c r="I8953" s="6">
        <v>528.37931032368999</v>
      </c>
      <c r="J8953" s="5">
        <v>4000</v>
      </c>
      <c r="K8953" s="6">
        <f t="shared" ref="K8953:K8958" si="369">IFERROR(H8953/I8953,"")</f>
        <v>3.5769757881741597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7"/>
        <v>001EXPLORER</v>
      </c>
      <c r="H8954" s="5">
        <v>3825</v>
      </c>
      <c r="I8954" s="6">
        <v>2272.0310343918732</v>
      </c>
      <c r="J8954" s="5">
        <v>17200</v>
      </c>
      <c r="K8954" s="6">
        <f t="shared" si="369"/>
        <v>1.6835157364053308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7"/>
        <v>001GRACE KELLY</v>
      </c>
      <c r="H8955" s="5">
        <v>2100</v>
      </c>
      <c r="I8955" s="6">
        <v>1162.4344827121224</v>
      </c>
      <c r="J8955" s="5">
        <v>8800</v>
      </c>
      <c r="K8955" s="6">
        <f t="shared" si="369"/>
        <v>1.8065534283707809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7"/>
        <v>001LIGHT HOUSE</v>
      </c>
      <c r="H8956" s="5">
        <v>2100</v>
      </c>
      <c r="I8956" s="6">
        <v>1056.7586206473827</v>
      </c>
      <c r="J8956" s="5">
        <v>8000</v>
      </c>
      <c r="K8956" s="6">
        <f t="shared" si="369"/>
        <v>1.9872087712078614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7"/>
        <v>001LUMIA</v>
      </c>
      <c r="H8957" s="5">
        <v>2760</v>
      </c>
      <c r="I8957" s="6">
        <v>1109.596551679753</v>
      </c>
      <c r="J8957" s="5">
        <v>8400</v>
      </c>
      <c r="K8957" s="6">
        <f t="shared" si="369"/>
        <v>2.4873905707635791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7"/>
        <v>001MOMENTUM</v>
      </c>
      <c r="H8958" s="5">
        <v>4450</v>
      </c>
      <c r="I8958" s="6">
        <v>1902.1655171652881</v>
      </c>
      <c r="J8958" s="5">
        <v>14400</v>
      </c>
      <c r="K8958" s="6">
        <f t="shared" si="369"/>
        <v>2.3394388973214251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7"/>
        <v>002SUMMER ROMANCE</v>
      </c>
      <c r="H8959" s="5">
        <v>875</v>
      </c>
      <c r="I8959" s="6">
        <v>951.10714281909407</v>
      </c>
      <c r="J8959" s="5">
        <v>7200</v>
      </c>
      <c r="K8959" s="6">
        <f t="shared" ref="K8959:K9019" si="370">+H8959/I8959</f>
        <v>0.91998047392062321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7"/>
        <v>002SWEETNESS</v>
      </c>
      <c r="H8960" s="5">
        <v>8640</v>
      </c>
      <c r="I8960" s="6">
        <v>3804.4285712763772</v>
      </c>
      <c r="J8960" s="5">
        <v>28800</v>
      </c>
      <c r="K8960" s="6">
        <f t="shared" si="370"/>
        <v>2.2710375127640523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7"/>
        <v>003CABARET</v>
      </c>
      <c r="H8961" s="5">
        <v>8820</v>
      </c>
      <c r="I8961" s="6">
        <v>2641.8965516184649</v>
      </c>
      <c r="J8961" s="5">
        <v>20000</v>
      </c>
      <c r="K8961" s="6">
        <f t="shared" si="370"/>
        <v>3.338510735629197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7"/>
        <v>003DEEP PURPLE</v>
      </c>
      <c r="H8962" s="5">
        <v>14970</v>
      </c>
      <c r="I8962" s="6">
        <v>3592.9793102010913</v>
      </c>
      <c r="J8962" s="5">
        <v>26044</v>
      </c>
      <c r="K8962" s="6">
        <f t="shared" si="370"/>
        <v>4.1664587261879227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7"/>
        <v>003EXPLORER</v>
      </c>
      <c r="H8963" s="5">
        <v>2525</v>
      </c>
      <c r="I8963" s="6">
        <v>1268.1103447768633</v>
      </c>
      <c r="J8963" s="5">
        <v>9600</v>
      </c>
      <c r="K8963" s="6">
        <f t="shared" si="370"/>
        <v>1.9911516457539025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7"/>
        <v>003JOCKER</v>
      </c>
      <c r="H8964" s="5">
        <v>1475</v>
      </c>
      <c r="I8964" s="6">
        <v>528.37931032368999</v>
      </c>
      <c r="J8964" s="5">
        <v>4000</v>
      </c>
      <c r="K8964" s="6">
        <f t="shared" si="370"/>
        <v>2.7915551786015267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7"/>
        <v>003QUICKSAND</v>
      </c>
      <c r="H8965" s="5">
        <v>2250</v>
      </c>
      <c r="I8965" s="6">
        <v>1162.4344827121247</v>
      </c>
      <c r="J8965" s="5">
        <v>8800</v>
      </c>
      <c r="K8965" s="6">
        <f t="shared" si="370"/>
        <v>1.93559295896869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7"/>
        <v>004COTOPAXI</v>
      </c>
      <c r="H8966" s="5">
        <v>1110</v>
      </c>
      <c r="I8966" s="6">
        <v>528.3915024419166</v>
      </c>
      <c r="J8966" s="5">
        <v>4000</v>
      </c>
      <c r="K8966" s="6">
        <f t="shared" si="370"/>
        <v>2.1007150850652008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7"/>
        <v>004DEEP PURPLE</v>
      </c>
      <c r="H8967" s="5">
        <v>18660</v>
      </c>
      <c r="I8967" s="6">
        <v>3910.1071427007282</v>
      </c>
      <c r="J8967" s="5">
        <v>29260</v>
      </c>
      <c r="K8967" s="6">
        <f t="shared" si="370"/>
        <v>4.772247746416344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7"/>
        <v>004HOT EXPLORER</v>
      </c>
      <c r="H8968" s="5">
        <v>2825</v>
      </c>
      <c r="I8968" s="6">
        <v>1902.2142856381945</v>
      </c>
      <c r="J8968" s="5">
        <v>14400</v>
      </c>
      <c r="K8968" s="6">
        <f t="shared" si="370"/>
        <v>1.4851113364718582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7"/>
        <v>004HOT MERENGUE</v>
      </c>
      <c r="H8969" s="5">
        <v>2850</v>
      </c>
      <c r="I8969" s="6">
        <v>1162.4642856677858</v>
      </c>
      <c r="J8969" s="5">
        <v>8800</v>
      </c>
      <c r="K8969" s="6">
        <f t="shared" si="370"/>
        <v>2.4516882240066389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7"/>
        <v>004SWEETNESS</v>
      </c>
      <c r="H8970" s="5">
        <v>1050</v>
      </c>
      <c r="I8970" s="6">
        <v>317.03571427303262</v>
      </c>
      <c r="J8970" s="5">
        <v>2400</v>
      </c>
      <c r="K8970" s="6">
        <f t="shared" si="370"/>
        <v>3.3119297061142303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7"/>
        <v>005EXPLORER</v>
      </c>
      <c r="H8971" s="5">
        <v>1300</v>
      </c>
      <c r="I8971" s="6">
        <v>951.10714281875391</v>
      </c>
      <c r="J8971" s="5">
        <v>7200</v>
      </c>
      <c r="K8971" s="6">
        <f t="shared" si="370"/>
        <v>1.3668281326825575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7"/>
        <v>005GOLDFINCH</v>
      </c>
      <c r="H8972" s="5">
        <v>1025</v>
      </c>
      <c r="I8972" s="6">
        <v>898.26785710660101</v>
      </c>
      <c r="J8972" s="5">
        <v>6800</v>
      </c>
      <c r="K8972" s="6">
        <f t="shared" si="370"/>
        <v>1.1410850247960718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7"/>
        <v>005JOCKER</v>
      </c>
      <c r="H8973" s="5">
        <v>3075</v>
      </c>
      <c r="I8973" s="6">
        <v>1162.4642856673661</v>
      </c>
      <c r="J8973" s="5">
        <v>8800</v>
      </c>
      <c r="K8973" s="6">
        <f t="shared" si="370"/>
        <v>2.6452425574818026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7"/>
        <v>005VENDELA</v>
      </c>
      <c r="H8974" s="5">
        <v>2340</v>
      </c>
      <c r="I8974" s="6">
        <v>686.91071425798896</v>
      </c>
      <c r="J8974" s="5">
        <v>5200</v>
      </c>
      <c r="K8974" s="6">
        <f t="shared" si="370"/>
        <v>3.406556269147297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7"/>
        <v>006ATOMIC</v>
      </c>
      <c r="H8975" s="5">
        <v>1475</v>
      </c>
      <c r="I8975" s="6">
        <v>845.428571394752</v>
      </c>
      <c r="J8975" s="5">
        <v>6400</v>
      </c>
      <c r="K8975" s="6">
        <f t="shared" si="370"/>
        <v>1.7446772558994641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7"/>
        <v>006EXPLORER</v>
      </c>
      <c r="H8976" s="5">
        <v>6375</v>
      </c>
      <c r="I8976" s="6">
        <v>3910.1071427007355</v>
      </c>
      <c r="J8976" s="5">
        <v>29600</v>
      </c>
      <c r="K8976" s="6">
        <f t="shared" si="370"/>
        <v>1.6303901062917543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7"/>
        <v>006MONDIAL</v>
      </c>
      <c r="H8977" s="5">
        <v>8700</v>
      </c>
      <c r="I8977" s="6">
        <v>4015.7857141250793</v>
      </c>
      <c r="J8977" s="5">
        <v>30400</v>
      </c>
      <c r="K8977" s="6">
        <f t="shared" si="370"/>
        <v>2.1664502588867522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7"/>
        <v>007COTOPAXI</v>
      </c>
      <c r="H8978" s="5">
        <v>7140</v>
      </c>
      <c r="I8978" s="6">
        <v>2747.5751230427709</v>
      </c>
      <c r="J8978" s="5">
        <v>20800</v>
      </c>
      <c r="K8978" s="6">
        <f t="shared" si="370"/>
        <v>2.5986550613738588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7"/>
        <v>007REDIANT</v>
      </c>
      <c r="H8979" s="5">
        <v>1500</v>
      </c>
      <c r="I8979" s="6">
        <v>1056.75862064738</v>
      </c>
      <c r="J8979" s="5">
        <v>9600</v>
      </c>
      <c r="K8979" s="6">
        <f t="shared" si="370"/>
        <v>1.4194348365770475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ref="G8980:G9043" si="371">+E8980&amp;F8980</f>
        <v>007VENDELA</v>
      </c>
      <c r="H8980" s="5">
        <v>13260</v>
      </c>
      <c r="I8980" s="6">
        <v>3592.9793102011122</v>
      </c>
      <c r="J8980" s="5">
        <v>27820</v>
      </c>
      <c r="K8980" s="6">
        <f t="shared" si="370"/>
        <v>3.6905305751003028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71"/>
        <v>008DEEP PURPLE</v>
      </c>
      <c r="H8981" s="5">
        <v>8790</v>
      </c>
      <c r="I8981" s="6">
        <v>1585.2222221588099</v>
      </c>
      <c r="J8981" s="5">
        <v>11490</v>
      </c>
      <c r="K8981" s="6">
        <f t="shared" si="370"/>
        <v>5.5449639029343638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71"/>
        <v>008FREEDOM</v>
      </c>
      <c r="H8982" s="5">
        <v>4710</v>
      </c>
      <c r="I8982" s="6">
        <v>2219.311111022334</v>
      </c>
      <c r="J8982" s="5">
        <v>16800</v>
      </c>
      <c r="K8982" s="6">
        <f t="shared" si="370"/>
        <v>2.1222801871299248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si="371"/>
        <v>008JOCKER</v>
      </c>
      <c r="H8983" s="5">
        <v>7300</v>
      </c>
      <c r="I8983" s="6">
        <v>2959.0814813631118</v>
      </c>
      <c r="J8983" s="5">
        <v>22400</v>
      </c>
      <c r="K8983" s="6">
        <f t="shared" si="370"/>
        <v>2.4669817461860593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v>1700</v>
      </c>
      <c r="I8984" s="6">
        <v>1912.3542857142861</v>
      </c>
      <c r="J8984" s="5">
        <v>16320</v>
      </c>
      <c r="K8984" s="6">
        <f t="shared" si="370"/>
        <v>0.88895661891699662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v>3330</v>
      </c>
      <c r="I8985" s="6">
        <v>2812.2857142428579</v>
      </c>
      <c r="J8985" s="5">
        <v>20000</v>
      </c>
      <c r="K8985" s="6">
        <f t="shared" si="370"/>
        <v>1.1840902164154841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v>6050</v>
      </c>
      <c r="I8986" s="6">
        <v>1768.8376470588223</v>
      </c>
      <c r="J8986" s="5">
        <v>12800</v>
      </c>
      <c r="K8986" s="6">
        <f t="shared" si="370"/>
        <v>3.4203252119038647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v>6580</v>
      </c>
      <c r="I8987" s="6">
        <v>2263.7999998868127</v>
      </c>
      <c r="J8987" s="5">
        <v>17920</v>
      </c>
      <c r="K8987" s="6">
        <f t="shared" si="370"/>
        <v>2.9066171924768054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v>2610</v>
      </c>
      <c r="I8988" s="6">
        <v>994.97117647058747</v>
      </c>
      <c r="J8988" s="5">
        <v>7200</v>
      </c>
      <c r="K8988" s="6">
        <f t="shared" si="370"/>
        <v>2.6231915674766833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v>3150</v>
      </c>
      <c r="I8989" s="6">
        <v>994.97117647058747</v>
      </c>
      <c r="J8989" s="5">
        <v>7920</v>
      </c>
      <c r="K8989" s="6">
        <f t="shared" si="370"/>
        <v>3.1659208572994455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v>4375</v>
      </c>
      <c r="I8990" s="6">
        <v>2263.7999998868127</v>
      </c>
      <c r="J8990" s="5">
        <v>17920</v>
      </c>
      <c r="K8990" s="6">
        <f t="shared" si="370"/>
        <v>1.9325912184021312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v>24570</v>
      </c>
      <c r="I8991" s="6">
        <v>6727.0499997982479</v>
      </c>
      <c r="J8991" s="5">
        <v>49210</v>
      </c>
      <c r="K8991" s="6">
        <f t="shared" si="370"/>
        <v>3.6524182220641861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v>2010</v>
      </c>
      <c r="I8992" s="6">
        <v>994.95</v>
      </c>
      <c r="J8992" s="5">
        <v>7200</v>
      </c>
      <c r="K8992" s="6">
        <f t="shared" si="370"/>
        <v>2.0202020202020199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v>1925</v>
      </c>
      <c r="I8993" s="6">
        <v>831.6</v>
      </c>
      <c r="J8993" s="5">
        <v>6300</v>
      </c>
      <c r="K8993" s="6">
        <f t="shared" si="370"/>
        <v>2.3148148148148149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v>5625</v>
      </c>
      <c r="I8994" s="6">
        <v>1267.2</v>
      </c>
      <c r="J8994" s="5">
        <v>9600</v>
      </c>
      <c r="K8994" s="6">
        <f t="shared" si="370"/>
        <v>4.4389204545454541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v>1350</v>
      </c>
      <c r="I8995" s="6">
        <v>316.8</v>
      </c>
      <c r="J8995" s="5">
        <v>2400</v>
      </c>
      <c r="K8995" s="6">
        <f t="shared" si="370"/>
        <v>4.2613636363636358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v>11400</v>
      </c>
      <c r="I8996" s="6">
        <v>3603.6</v>
      </c>
      <c r="J8996" s="5">
        <v>27296</v>
      </c>
      <c r="K8996" s="6">
        <f t="shared" si="370"/>
        <v>3.1635031635031634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v>9325</v>
      </c>
      <c r="I8997" s="6">
        <v>3682.8</v>
      </c>
      <c r="J8997" s="5">
        <v>27900</v>
      </c>
      <c r="K8997" s="6">
        <f t="shared" si="370"/>
        <v>2.5320408384924513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v>8775</v>
      </c>
      <c r="I8998" s="6">
        <v>2376</v>
      </c>
      <c r="J8998" s="5">
        <v>18000</v>
      </c>
      <c r="K8998" s="6">
        <f t="shared" si="370"/>
        <v>3.6931818181818183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v>1620</v>
      </c>
      <c r="I8999" s="6">
        <v>950.4</v>
      </c>
      <c r="J8999" s="5">
        <v>7200</v>
      </c>
      <c r="K8999" s="6">
        <f t="shared" si="370"/>
        <v>1.7045454545454546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v>4575</v>
      </c>
      <c r="I9000" s="6">
        <v>1346.4</v>
      </c>
      <c r="J9000" s="5">
        <v>10200</v>
      </c>
      <c r="K9000" s="6">
        <f t="shared" si="370"/>
        <v>3.3979500891265593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v>6120</v>
      </c>
      <c r="I9001" s="6">
        <v>2851.2</v>
      </c>
      <c r="J9001" s="5">
        <v>21600</v>
      </c>
      <c r="K9001" s="6">
        <f t="shared" si="370"/>
        <v>2.1464646464646466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v>3475</v>
      </c>
      <c r="I9002" s="6">
        <v>2138.4</v>
      </c>
      <c r="J9002" s="5">
        <v>16200</v>
      </c>
      <c r="K9002" s="6">
        <f t="shared" si="370"/>
        <v>1.6250467639356527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v>2125</v>
      </c>
      <c r="I9003" s="6">
        <v>963.6</v>
      </c>
      <c r="J9003" s="5">
        <v>7570</v>
      </c>
      <c r="K9003" s="6">
        <f t="shared" si="370"/>
        <v>2.205271897052719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v>9075</v>
      </c>
      <c r="I9004" s="6">
        <v>3168</v>
      </c>
      <c r="J9004" s="5">
        <v>24000</v>
      </c>
      <c r="K9004" s="6">
        <f t="shared" si="370"/>
        <v>2.8645833333333335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v>3690</v>
      </c>
      <c r="I9005" s="6">
        <v>1188</v>
      </c>
      <c r="J9005" s="5">
        <v>9000</v>
      </c>
      <c r="K9005" s="6">
        <f t="shared" si="370"/>
        <v>3.106060606060606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v>5350</v>
      </c>
      <c r="I9006" s="6">
        <v>2732.4</v>
      </c>
      <c r="J9006" s="5">
        <v>20700</v>
      </c>
      <c r="K9006" s="6">
        <f t="shared" si="370"/>
        <v>1.9579856536378275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v>1200</v>
      </c>
      <c r="I9007" s="6">
        <v>673.2</v>
      </c>
      <c r="J9007" s="5">
        <v>5100</v>
      </c>
      <c r="K9007" s="6">
        <f t="shared" si="370"/>
        <v>1.7825311942959001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v>1550</v>
      </c>
      <c r="I9008" s="6">
        <v>1100.4749999999999</v>
      </c>
      <c r="J9008" s="5">
        <v>8000</v>
      </c>
      <c r="K9008" s="6">
        <f t="shared" si="370"/>
        <v>1.4084827006519913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v>2475</v>
      </c>
      <c r="I9009" s="6">
        <v>1287</v>
      </c>
      <c r="J9009" s="5">
        <v>9400</v>
      </c>
      <c r="K9009" s="6">
        <f t="shared" si="370"/>
        <v>1.9230769230769231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v>6120</v>
      </c>
      <c r="I9010" s="6">
        <v>2641.14</v>
      </c>
      <c r="J9010" s="5">
        <v>19200</v>
      </c>
      <c r="K9010" s="6">
        <f t="shared" si="370"/>
        <v>2.317181217201663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v>8250</v>
      </c>
      <c r="I9011" s="6">
        <v>2641.14</v>
      </c>
      <c r="J9011" s="5">
        <v>19200</v>
      </c>
      <c r="K9011" s="6">
        <f t="shared" si="370"/>
        <v>3.1236511506394966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v>2640</v>
      </c>
      <c r="I9012" s="6">
        <v>1430.6174906250001</v>
      </c>
      <c r="J9012" s="5">
        <v>10400</v>
      </c>
      <c r="K9012" s="6">
        <f t="shared" si="370"/>
        <v>1.8453569995475532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v>1680</v>
      </c>
      <c r="I9013" s="6">
        <v>1430.6175000000001</v>
      </c>
      <c r="J9013" s="5">
        <v>10400</v>
      </c>
      <c r="K9013" s="6">
        <f t="shared" si="370"/>
        <v>1.1743180829257296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v>2610</v>
      </c>
      <c r="I9014" s="6">
        <v>2861.2350000000001</v>
      </c>
      <c r="J9014" s="5">
        <v>20800</v>
      </c>
      <c r="K9014" s="6">
        <f t="shared" si="370"/>
        <v>0.9121935108440935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v>5725</v>
      </c>
      <c r="I9015" s="6">
        <v>3071.9505625000002</v>
      </c>
      <c r="J9015" s="5">
        <v>22400</v>
      </c>
      <c r="K9015" s="6">
        <f t="shared" si="370"/>
        <v>1.8636367622208438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v>5250</v>
      </c>
      <c r="I9016" s="6">
        <v>1097.125</v>
      </c>
      <c r="J9016" s="5">
        <v>8000</v>
      </c>
      <c r="K9016" s="6">
        <f t="shared" si="370"/>
        <v>4.7852341346701603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v>7075</v>
      </c>
      <c r="I9017" s="6">
        <v>2852.5250000000001</v>
      </c>
      <c r="J9017" s="5">
        <v>20800</v>
      </c>
      <c r="K9017" s="6">
        <f t="shared" si="370"/>
        <v>2.4802587181532152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v>7440</v>
      </c>
      <c r="I9018" s="6">
        <v>2633.1</v>
      </c>
      <c r="J9018" s="5">
        <v>19200</v>
      </c>
      <c r="K9018" s="6">
        <f t="shared" si="370"/>
        <v>2.8255668223766666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v>6270</v>
      </c>
      <c r="I9019" s="6">
        <v>2633.1</v>
      </c>
      <c r="J9019" s="5">
        <v>19200</v>
      </c>
      <c r="K9019" s="6">
        <f t="shared" si="370"/>
        <v>2.3812236527287229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v>3480</v>
      </c>
      <c r="I9020" s="6">
        <v>2852.5250000000001</v>
      </c>
      <c r="J9020" s="5">
        <v>20800</v>
      </c>
      <c r="K9020" s="6">
        <f t="shared" ref="K9020:K9058" si="372">+H9020/I9020</f>
        <v>1.2199717793884366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v>11430</v>
      </c>
      <c r="I9021" s="6">
        <v>2852.5250000000001</v>
      </c>
      <c r="J9021" s="5">
        <v>20800</v>
      </c>
      <c r="K9021" s="6">
        <f t="shared" si="372"/>
        <v>4.0069762754051235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v>6125</v>
      </c>
      <c r="I9022" s="6">
        <v>3071.95</v>
      </c>
      <c r="J9022" s="5">
        <v>22400</v>
      </c>
      <c r="K9022" s="6">
        <f t="shared" si="372"/>
        <v>1.993847556112567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v>1875</v>
      </c>
      <c r="I9023" s="6">
        <v>1645.6875</v>
      </c>
      <c r="J9023" s="5">
        <v>12000</v>
      </c>
      <c r="K9023" s="6">
        <f t="shared" si="372"/>
        <v>1.1393414606357526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si="371"/>
        <v>002SOMERSET</v>
      </c>
      <c r="H9024" s="5">
        <v>8860</v>
      </c>
      <c r="I9024" s="6">
        <v>4121.4642855494085</v>
      </c>
      <c r="J9024" s="5">
        <v>31200</v>
      </c>
      <c r="K9024" s="6">
        <f t="shared" si="372"/>
        <v>2.149721406312981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1"/>
        <v>004BELLINA</v>
      </c>
      <c r="H9025" s="5">
        <v>1470</v>
      </c>
      <c r="I9025" s="6">
        <v>1056.7857142434418</v>
      </c>
      <c r="J9025" s="5">
        <v>8000</v>
      </c>
      <c r="K9025" s="6">
        <f t="shared" si="372"/>
        <v>1.3910104765679769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1"/>
        <v>005ELBA</v>
      </c>
      <c r="H9026" s="5">
        <v>7200</v>
      </c>
      <c r="I9026" s="6">
        <v>2641.9642856076484</v>
      </c>
      <c r="J9026" s="5">
        <v>19996</v>
      </c>
      <c r="K9026" s="6">
        <f t="shared" si="372"/>
        <v>2.7252450153178391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1"/>
        <v>005HOT BUBBLES</v>
      </c>
      <c r="H9027" s="5">
        <v>1160</v>
      </c>
      <c r="I9027" s="6">
        <v>528.39285712153003</v>
      </c>
      <c r="J9027" s="5">
        <v>4000</v>
      </c>
      <c r="K9027" s="6">
        <f t="shared" si="372"/>
        <v>2.1953362623393691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1"/>
        <v>005SUSPIRO</v>
      </c>
      <c r="H9028" s="5">
        <v>2490</v>
      </c>
      <c r="I9028" s="6">
        <v>1902.2142856375078</v>
      </c>
      <c r="J9028" s="5">
        <v>14400</v>
      </c>
      <c r="K9028" s="6">
        <f t="shared" si="372"/>
        <v>1.3090007886075263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1"/>
        <v>007SNOW BUBBLES</v>
      </c>
      <c r="H9029" s="5">
        <v>1100</v>
      </c>
      <c r="I9029" s="6">
        <v>634.05652706821195</v>
      </c>
      <c r="J9029" s="5">
        <v>4800</v>
      </c>
      <c r="K9029" s="6">
        <f t="shared" si="372"/>
        <v>1.7348610936729016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1"/>
        <v>009HOT BUBBLES</v>
      </c>
      <c r="H9030" s="5">
        <v>9660</v>
      </c>
      <c r="I9030" s="6">
        <v>4487.9999999102474</v>
      </c>
      <c r="J9030" s="5">
        <v>31740</v>
      </c>
      <c r="K9030" s="6">
        <f t="shared" si="372"/>
        <v>2.1524064171553441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1"/>
        <v>014FRUITY BUBBLES</v>
      </c>
      <c r="H9031" s="5">
        <v>3625</v>
      </c>
      <c r="I9031" s="6">
        <v>1702.8</v>
      </c>
      <c r="J9031" s="5">
        <v>12900</v>
      </c>
      <c r="K9031" s="6">
        <f t="shared" si="372"/>
        <v>2.1288466055907915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1"/>
        <v>015FELLINI</v>
      </c>
      <c r="H9032" s="5">
        <v>6700</v>
      </c>
      <c r="I9032" s="6">
        <v>3009.6</v>
      </c>
      <c r="J9032" s="5">
        <v>22800</v>
      </c>
      <c r="K9032" s="6">
        <f t="shared" si="372"/>
        <v>2.2262094630515685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1"/>
        <v>016GOOD PEACH</v>
      </c>
      <c r="H9033" s="5">
        <v>2670</v>
      </c>
      <c r="I9033" s="6">
        <v>1386</v>
      </c>
      <c r="J9033" s="5">
        <v>10500</v>
      </c>
      <c r="K9033" s="6">
        <f t="shared" si="372"/>
        <v>1.9264069264069263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1"/>
        <v>016GOOD YELLOW</v>
      </c>
      <c r="H9034" s="5">
        <v>2910</v>
      </c>
      <c r="I9034" s="6">
        <v>1386</v>
      </c>
      <c r="J9034" s="5">
        <v>10500</v>
      </c>
      <c r="K9034" s="6">
        <f t="shared" si="372"/>
        <v>2.0995670995670994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1"/>
        <v>017ORANGE STAR</v>
      </c>
      <c r="H9035" s="5">
        <v>1875</v>
      </c>
      <c r="I9035" s="6">
        <v>1029.5999999999999</v>
      </c>
      <c r="J9035" s="5">
        <v>7800</v>
      </c>
      <c r="K9035" s="6">
        <f t="shared" si="372"/>
        <v>1.8210955710955712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1"/>
        <v>018COSMO</v>
      </c>
      <c r="H9036" s="5">
        <v>5825</v>
      </c>
      <c r="I9036" s="6">
        <v>2653.2</v>
      </c>
      <c r="J9036" s="5">
        <v>20100</v>
      </c>
      <c r="K9036" s="6">
        <f t="shared" si="372"/>
        <v>2.1954620835217851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1"/>
        <v>018RUBICON</v>
      </c>
      <c r="H9037" s="5">
        <v>4980</v>
      </c>
      <c r="I9037" s="6">
        <v>1768.8</v>
      </c>
      <c r="J9037" s="5">
        <v>13400</v>
      </c>
      <c r="K9037" s="6">
        <f t="shared" si="372"/>
        <v>2.8154681139755766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1"/>
        <v>019BELLINA</v>
      </c>
      <c r="H9038" s="5">
        <v>2010</v>
      </c>
      <c r="I9038" s="6">
        <v>1029.5999999999999</v>
      </c>
      <c r="J9038" s="5">
        <v>7800</v>
      </c>
      <c r="K9038" s="6">
        <f t="shared" si="372"/>
        <v>1.9522144522144524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1"/>
        <v>020SUMMER DANCE</v>
      </c>
      <c r="H9039" s="5">
        <v>4350</v>
      </c>
      <c r="I9039" s="6">
        <v>1346.4</v>
      </c>
      <c r="J9039" s="5">
        <v>10200</v>
      </c>
      <c r="K9039" s="6">
        <f t="shared" si="372"/>
        <v>3.2308377896613187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1"/>
        <v>021ELEGANT ROSEVER</v>
      </c>
      <c r="H9040" s="5">
        <v>510</v>
      </c>
      <c r="I9040" s="6">
        <v>440.18999062500001</v>
      </c>
      <c r="J9040" s="5">
        <v>3200</v>
      </c>
      <c r="K9040" s="6">
        <f t="shared" si="372"/>
        <v>1.1585906332760563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1"/>
        <v>021FLAME CLUB</v>
      </c>
      <c r="H9041" s="5">
        <v>2075</v>
      </c>
      <c r="I9041" s="6">
        <v>880.38</v>
      </c>
      <c r="J9041" s="5">
        <v>6400</v>
      </c>
      <c r="K9041" s="6">
        <f t="shared" si="372"/>
        <v>2.3569367773007111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1"/>
        <v>021KELLY</v>
      </c>
      <c r="H9042" s="5">
        <v>650</v>
      </c>
      <c r="I9042" s="6">
        <v>330.14249999999998</v>
      </c>
      <c r="J9042" s="5">
        <v>2400</v>
      </c>
      <c r="K9042" s="6">
        <f t="shared" si="372"/>
        <v>1.9688467858576222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1"/>
        <v>021LEILA</v>
      </c>
      <c r="H9043" s="5">
        <v>2200</v>
      </c>
      <c r="I9043" s="6">
        <v>1650.7125000000001</v>
      </c>
      <c r="J9043" s="5">
        <v>12000</v>
      </c>
      <c r="K9043" s="6">
        <f t="shared" si="372"/>
        <v>1.3327578242728517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3">+E9044&amp;F9044</f>
        <v>021SNOW BUBBLES</v>
      </c>
      <c r="H9044" s="5">
        <v>3880</v>
      </c>
      <c r="I9044" s="6">
        <v>1287.0000000000018</v>
      </c>
      <c r="J9044" s="5">
        <v>9400</v>
      </c>
      <c r="K9044" s="6">
        <f t="shared" si="372"/>
        <v>3.0147630147630107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3"/>
        <v>022FRUITY BUBBLES</v>
      </c>
      <c r="H9045" s="5">
        <v>5725</v>
      </c>
      <c r="I9045" s="6">
        <v>2641.14</v>
      </c>
      <c r="J9045" s="5">
        <v>19200</v>
      </c>
      <c r="K9045" s="6">
        <f t="shared" si="372"/>
        <v>2.1676245863528627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3"/>
        <v>022GOOD PEACH</v>
      </c>
      <c r="H9046" s="5">
        <v>2130</v>
      </c>
      <c r="I9046" s="6">
        <v>880.38</v>
      </c>
      <c r="J9046" s="5">
        <v>6400</v>
      </c>
      <c r="K9046" s="6">
        <f t="shared" si="372"/>
        <v>2.4194098003135012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3"/>
        <v>022MIRABEL</v>
      </c>
      <c r="H9047" s="5">
        <v>1760</v>
      </c>
      <c r="I9047" s="6">
        <v>880.38</v>
      </c>
      <c r="J9047" s="5">
        <v>6400</v>
      </c>
      <c r="K9047" s="6">
        <f t="shared" si="372"/>
        <v>1.9991367364092778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3"/>
        <v>026PURPLE BUBBLY</v>
      </c>
      <c r="H9048" s="5">
        <v>510</v>
      </c>
      <c r="I9048" s="6">
        <v>1755.4</v>
      </c>
      <c r="J9048" s="5">
        <v>12800</v>
      </c>
      <c r="K9048" s="6">
        <f t="shared" si="372"/>
        <v>0.29053207246211687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3"/>
        <v>030MIRABEL</v>
      </c>
      <c r="H9049" s="5">
        <v>3920</v>
      </c>
      <c r="I9049" s="6">
        <v>2413.6749943750001</v>
      </c>
      <c r="J9049" s="5">
        <v>17600</v>
      </c>
      <c r="K9049" s="6">
        <f t="shared" si="372"/>
        <v>1.6240794676729249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3"/>
        <v>030SOMERSET</v>
      </c>
      <c r="H9050" s="5">
        <v>4240</v>
      </c>
      <c r="I9050" s="6">
        <v>1645.6875</v>
      </c>
      <c r="J9050" s="5">
        <v>12000</v>
      </c>
      <c r="K9050" s="6">
        <f t="shared" si="372"/>
        <v>2.5764308229843151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3"/>
        <v>03182989</v>
      </c>
      <c r="H9051" s="5">
        <v>1680</v>
      </c>
      <c r="I9051" s="6">
        <v>726.32013058333712</v>
      </c>
      <c r="J9051" s="5">
        <v>5712</v>
      </c>
      <c r="K9051" s="6">
        <f t="shared" si="372"/>
        <v>2.313029653536828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3"/>
        <v>031RUBICON</v>
      </c>
      <c r="H9052" s="5">
        <v>2040</v>
      </c>
      <c r="I9052" s="6">
        <v>924.39958333667107</v>
      </c>
      <c r="J9052" s="5">
        <v>6720</v>
      </c>
      <c r="K9052" s="6">
        <f t="shared" si="372"/>
        <v>2.206837861865437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3"/>
        <v>031SOMERSET</v>
      </c>
      <c r="H9053" s="5">
        <v>2640</v>
      </c>
      <c r="I9053" s="6">
        <v>1122.485208333339</v>
      </c>
      <c r="J9053" s="5">
        <v>8160</v>
      </c>
      <c r="K9053" s="6">
        <f t="shared" si="372"/>
        <v>2.3519240880865238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3"/>
        <v>031VELVET BLOSSOMS</v>
      </c>
      <c r="H9054" s="5">
        <v>500</v>
      </c>
      <c r="I9054" s="6">
        <v>396.17125000000198</v>
      </c>
      <c r="J9054" s="5">
        <v>2880</v>
      </c>
      <c r="K9054" s="6">
        <f t="shared" si="372"/>
        <v>1.2620804765615816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3"/>
        <v>032ELBA</v>
      </c>
      <c r="H9055" s="5">
        <v>2850</v>
      </c>
      <c r="I9055" s="6">
        <v>1535.9749999999999</v>
      </c>
      <c r="J9055" s="5">
        <v>11200</v>
      </c>
      <c r="K9055" s="6">
        <f t="shared" si="372"/>
        <v>1.8554989501782257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3"/>
        <v>032MIRABEL</v>
      </c>
      <c r="H9056" s="5">
        <v>2140</v>
      </c>
      <c r="I9056" s="6">
        <v>1535.9749999999999</v>
      </c>
      <c r="J9056" s="5">
        <v>11200</v>
      </c>
      <c r="K9056" s="6">
        <f t="shared" si="372"/>
        <v>1.3932518432917202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3"/>
        <v>033CREAMY FOLIES</v>
      </c>
      <c r="H9057" s="5">
        <v>1410</v>
      </c>
      <c r="I9057" s="6">
        <v>594.25687500000299</v>
      </c>
      <c r="J9057" s="5">
        <v>4320</v>
      </c>
      <c r="K9057" s="6">
        <f t="shared" si="372"/>
        <v>2.3727112959357735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3"/>
        <v>033HOT BUBBLES</v>
      </c>
      <c r="H9058" s="5">
        <v>2660</v>
      </c>
      <c r="I9058" s="6">
        <v>2575.1131250013459</v>
      </c>
      <c r="J9058" s="5">
        <v>18720</v>
      </c>
      <c r="K9058" s="6">
        <f t="shared" si="372"/>
        <v>1.032964328508329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3"/>
        <v>001BELIEVE IN PINK</v>
      </c>
      <c r="H9059" s="5">
        <v>1410</v>
      </c>
      <c r="I9059" s="6">
        <v>528.37931032368999</v>
      </c>
      <c r="J9059" s="5">
        <v>4000</v>
      </c>
      <c r="K9059" s="6">
        <f t="shared" ref="K9059:K9064" si="374">IFERROR(H9059/I9059,"")</f>
        <v>2.6685374927648495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3"/>
        <v>001EXPLORER</v>
      </c>
      <c r="H9060" s="5">
        <v>3400</v>
      </c>
      <c r="I9060" s="6">
        <v>2272.0310343918732</v>
      </c>
      <c r="J9060" s="5">
        <v>17200</v>
      </c>
      <c r="K9060" s="6">
        <f t="shared" si="374"/>
        <v>1.4964584323602941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3"/>
        <v>001GRACE KELLY</v>
      </c>
      <c r="H9061" s="5">
        <v>1530</v>
      </c>
      <c r="I9061" s="6">
        <v>1162.4344827121224</v>
      </c>
      <c r="J9061" s="5">
        <v>8800</v>
      </c>
      <c r="K9061" s="6">
        <f t="shared" si="374"/>
        <v>1.3162032120987117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3"/>
        <v>001LIGHT HOUSE</v>
      </c>
      <c r="H9062" s="5">
        <v>1590</v>
      </c>
      <c r="I9062" s="6">
        <v>1056.7586206473827</v>
      </c>
      <c r="J9062" s="5">
        <v>8000</v>
      </c>
      <c r="K9062" s="6">
        <f t="shared" si="374"/>
        <v>1.5046009267716665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3"/>
        <v>001LUMIA</v>
      </c>
      <c r="H9063" s="5">
        <v>3310</v>
      </c>
      <c r="I9063" s="6">
        <v>1109.596551679753</v>
      </c>
      <c r="J9063" s="5">
        <v>8400</v>
      </c>
      <c r="K9063" s="6">
        <f t="shared" si="374"/>
        <v>2.983066227980959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3"/>
        <v>001MOMENTUM</v>
      </c>
      <c r="H9064" s="5">
        <v>4200</v>
      </c>
      <c r="I9064" s="6">
        <v>1902.1655171652881</v>
      </c>
      <c r="J9064" s="5">
        <v>14400</v>
      </c>
      <c r="K9064" s="6">
        <f t="shared" si="374"/>
        <v>2.2080097457865135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3"/>
        <v>002SUMMER ROMANCE</v>
      </c>
      <c r="H9065" s="5">
        <v>1150</v>
      </c>
      <c r="I9065" s="6">
        <v>951.10714281909407</v>
      </c>
      <c r="J9065" s="5">
        <v>7200</v>
      </c>
      <c r="K9065" s="6">
        <f t="shared" ref="K9065:K9128" si="375">+H9065/I9065</f>
        <v>1.2091171942956762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3"/>
        <v>002SWEETNESS</v>
      </c>
      <c r="H9066" s="5">
        <v>7080</v>
      </c>
      <c r="I9066" s="6">
        <v>3804.4285712763772</v>
      </c>
      <c r="J9066" s="5">
        <v>28800</v>
      </c>
      <c r="K9066" s="6">
        <f t="shared" si="375"/>
        <v>1.8609890729594316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3"/>
        <v>003CABARET</v>
      </c>
      <c r="H9067" s="5">
        <v>4920</v>
      </c>
      <c r="I9067" s="6">
        <v>2641.8965516184649</v>
      </c>
      <c r="J9067" s="5">
        <v>20000</v>
      </c>
      <c r="K9067" s="6">
        <f t="shared" si="375"/>
        <v>1.8622985055890759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3"/>
        <v>003DEEP PURPLE</v>
      </c>
      <c r="H9068" s="5">
        <v>9930</v>
      </c>
      <c r="I9068" s="6">
        <v>3592.9793102010913</v>
      </c>
      <c r="J9068" s="5">
        <v>26044</v>
      </c>
      <c r="K9068" s="6">
        <f t="shared" si="375"/>
        <v>2.7637231229823698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3"/>
        <v>003EXPLORER</v>
      </c>
      <c r="H9069" s="5">
        <v>2050</v>
      </c>
      <c r="I9069" s="6">
        <v>1268.1103447768633</v>
      </c>
      <c r="J9069" s="5">
        <v>9600</v>
      </c>
      <c r="K9069" s="6">
        <f t="shared" si="375"/>
        <v>1.6165785638794059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3"/>
        <v>003JOCKER</v>
      </c>
      <c r="H9070" s="5">
        <v>1200</v>
      </c>
      <c r="I9070" s="6">
        <v>528.37931032368999</v>
      </c>
      <c r="J9070" s="5">
        <v>4000</v>
      </c>
      <c r="K9070" s="6">
        <f t="shared" si="375"/>
        <v>2.2710957385232762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3"/>
        <v>003QUICKSAND</v>
      </c>
      <c r="H9071" s="5">
        <v>2190</v>
      </c>
      <c r="I9071" s="6">
        <v>1162.4344827121247</v>
      </c>
      <c r="J9071" s="5">
        <v>8800</v>
      </c>
      <c r="K9071" s="6">
        <f t="shared" si="375"/>
        <v>1.883977146729525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3"/>
        <v>004COTOPAXI</v>
      </c>
      <c r="H9072" s="5">
        <v>1380</v>
      </c>
      <c r="I9072" s="6">
        <v>528.3915024419166</v>
      </c>
      <c r="J9072" s="5">
        <v>4000</v>
      </c>
      <c r="K9072" s="6">
        <f t="shared" si="375"/>
        <v>2.6116998354864656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3"/>
        <v>004DEEP PURPLE</v>
      </c>
      <c r="H9073" s="5">
        <v>12570</v>
      </c>
      <c r="I9073" s="6">
        <v>3910.1071427007282</v>
      </c>
      <c r="J9073" s="5">
        <v>29260</v>
      </c>
      <c r="K9073" s="6">
        <f t="shared" si="375"/>
        <v>3.2147456684058651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3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5"/>
        <v>1.2091171942956722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3"/>
        <v>004HOT MERENGUE</v>
      </c>
      <c r="H9075" s="5">
        <v>2220</v>
      </c>
      <c r="I9075" s="6">
        <v>1162.4642856677858</v>
      </c>
      <c r="J9075" s="5">
        <v>8800</v>
      </c>
      <c r="K9075" s="6">
        <f t="shared" si="375"/>
        <v>1.9097360902788556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3"/>
        <v>004SWEETNESS</v>
      </c>
      <c r="H9076" s="5">
        <v>840</v>
      </c>
      <c r="I9076" s="6">
        <v>317.03571427303262</v>
      </c>
      <c r="J9076" s="5">
        <v>2400</v>
      </c>
      <c r="K9076" s="6">
        <f t="shared" si="375"/>
        <v>2.649543764891384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3"/>
        <v>005EXPLORER</v>
      </c>
      <c r="H9077" s="5">
        <v>1000</v>
      </c>
      <c r="I9077" s="6">
        <v>951.10714281875391</v>
      </c>
      <c r="J9077" s="5">
        <v>7200</v>
      </c>
      <c r="K9077" s="6">
        <f t="shared" si="375"/>
        <v>1.0514062559096597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3"/>
        <v>005GOLDFINCH</v>
      </c>
      <c r="H9078" s="5">
        <v>825</v>
      </c>
      <c r="I9078" s="6">
        <v>898.26785710660101</v>
      </c>
      <c r="J9078" s="5">
        <v>6800</v>
      </c>
      <c r="K9078" s="6">
        <f t="shared" si="375"/>
        <v>0.91843428825049678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3"/>
        <v>005JOCKER</v>
      </c>
      <c r="H9079" s="5">
        <v>1950</v>
      </c>
      <c r="I9079" s="6">
        <v>1162.4642856673661</v>
      </c>
      <c r="J9079" s="5">
        <v>8800</v>
      </c>
      <c r="K9079" s="6">
        <f t="shared" si="375"/>
        <v>1.6774708901104112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3"/>
        <v>005VENDELA</v>
      </c>
      <c r="H9080" s="5">
        <v>2190</v>
      </c>
      <c r="I9080" s="6">
        <v>686.91071425798896</v>
      </c>
      <c r="J9080" s="5">
        <v>5200</v>
      </c>
      <c r="K9080" s="6">
        <f t="shared" si="375"/>
        <v>3.1881872775352909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3"/>
        <v>006ATOMIC</v>
      </c>
      <c r="H9081" s="5">
        <v>925</v>
      </c>
      <c r="I9081" s="6">
        <v>845.428571394752</v>
      </c>
      <c r="J9081" s="5">
        <v>6400</v>
      </c>
      <c r="K9081" s="6">
        <f t="shared" si="375"/>
        <v>1.0941196350555962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3"/>
        <v>006EXPLORER</v>
      </c>
      <c r="H9082" s="5">
        <v>5375</v>
      </c>
      <c r="I9082" s="6">
        <v>3910.1071427007355</v>
      </c>
      <c r="J9082" s="5">
        <v>29600</v>
      </c>
      <c r="K9082" s="6">
        <f t="shared" si="375"/>
        <v>1.3746426386381458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3"/>
        <v>006MONDIAL</v>
      </c>
      <c r="H9083" s="5">
        <v>6250</v>
      </c>
      <c r="I9083" s="6">
        <v>4015.7857141250793</v>
      </c>
      <c r="J9083" s="5">
        <v>30400</v>
      </c>
      <c r="K9083" s="6">
        <f t="shared" si="375"/>
        <v>1.5563579446025519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3"/>
        <v>007COTOPAXI</v>
      </c>
      <c r="H9084" s="5">
        <v>5730</v>
      </c>
      <c r="I9084" s="6">
        <v>2747.5751230427709</v>
      </c>
      <c r="J9084" s="5">
        <v>20800</v>
      </c>
      <c r="K9084" s="6">
        <f t="shared" si="375"/>
        <v>2.0854752803462482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3"/>
        <v>007REDIANT</v>
      </c>
      <c r="H9085" s="5">
        <v>1200</v>
      </c>
      <c r="I9085" s="6">
        <v>1056.75862064738</v>
      </c>
      <c r="J9085" s="5">
        <v>9600</v>
      </c>
      <c r="K9085" s="6">
        <f t="shared" si="375"/>
        <v>1.1355478692616381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3"/>
        <v>007SUMMER ROMANCE</v>
      </c>
      <c r="H9086" s="5">
        <v>300</v>
      </c>
      <c r="I9086" s="6">
        <v>317.02758619421581</v>
      </c>
      <c r="J9086" s="5">
        <v>2640</v>
      </c>
      <c r="K9086" s="6">
        <f t="shared" si="375"/>
        <v>0.94628989105135963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3"/>
        <v>007TOPACIO</v>
      </c>
      <c r="H9087" s="5">
        <v>0</v>
      </c>
      <c r="I9087" s="6">
        <v>52.837931032368999</v>
      </c>
      <c r="J9087" s="5">
        <v>440</v>
      </c>
      <c r="K9087" s="6">
        <f t="shared" si="375"/>
        <v>0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3"/>
        <v>007VENDELA</v>
      </c>
      <c r="H9088" s="5">
        <v>14790</v>
      </c>
      <c r="I9088" s="6">
        <v>3592.9793102011122</v>
      </c>
      <c r="J9088" s="5">
        <v>27820</v>
      </c>
      <c r="K9088" s="6">
        <f t="shared" si="375"/>
        <v>4.1163610260734149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3"/>
        <v>008DEEP PURPLE</v>
      </c>
      <c r="H9089" s="5">
        <v>5970</v>
      </c>
      <c r="I9089" s="6">
        <v>1585.2222221588099</v>
      </c>
      <c r="J9089" s="5">
        <v>11490</v>
      </c>
      <c r="K9089" s="6">
        <f t="shared" si="375"/>
        <v>3.7660335040407453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3"/>
        <v>008FREEDOM</v>
      </c>
      <c r="H9090" s="5">
        <v>3330</v>
      </c>
      <c r="I9090" s="6">
        <v>2219.311111022334</v>
      </c>
      <c r="J9090" s="5">
        <v>16800</v>
      </c>
      <c r="K9090" s="6">
        <f t="shared" si="375"/>
        <v>1.500465610009055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3"/>
        <v>008JOCKER</v>
      </c>
      <c r="H9091" s="5">
        <v>4975</v>
      </c>
      <c r="I9091" s="6">
        <v>2959.0814813631118</v>
      </c>
      <c r="J9091" s="5">
        <v>22400</v>
      </c>
      <c r="K9091" s="6">
        <f t="shared" si="375"/>
        <v>1.6812649571610472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3"/>
        <v>008SUMMER ROMANCE</v>
      </c>
      <c r="H9092" s="5">
        <v>0</v>
      </c>
      <c r="I9092" s="6">
        <v>1796.5851851133182</v>
      </c>
      <c r="J9092" s="5">
        <v>13600</v>
      </c>
      <c r="K9092" s="6">
        <f t="shared" si="375"/>
        <v>0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3"/>
        <v>010COOLDOWN</v>
      </c>
      <c r="H9093" s="5">
        <v>1600</v>
      </c>
      <c r="I9093" s="6">
        <v>1912.3542857142861</v>
      </c>
      <c r="J9093" s="5">
        <v>16320</v>
      </c>
      <c r="K9093" s="6">
        <f t="shared" si="375"/>
        <v>0.83666505309834982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3"/>
        <v>010VIOLET HILL</v>
      </c>
      <c r="H9094" s="5">
        <v>2700</v>
      </c>
      <c r="I9094" s="6">
        <v>2812.2857142428579</v>
      </c>
      <c r="J9094" s="5">
        <v>20000</v>
      </c>
      <c r="K9094" s="6">
        <f t="shared" si="375"/>
        <v>0.96007314844498715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3"/>
        <v>011BRIGHTON</v>
      </c>
      <c r="H9095" s="5">
        <v>4375</v>
      </c>
      <c r="I9095" s="6">
        <v>1768.8376470588223</v>
      </c>
      <c r="J9095" s="5">
        <v>12800</v>
      </c>
      <c r="K9095" s="6">
        <f t="shared" si="375"/>
        <v>2.4733756697651916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3"/>
        <v>011CANDLELIGHT</v>
      </c>
      <c r="H9096" s="5">
        <v>3880</v>
      </c>
      <c r="I9096" s="6">
        <v>2263.7999998868127</v>
      </c>
      <c r="J9096" s="5">
        <v>17920</v>
      </c>
      <c r="K9096" s="6">
        <f t="shared" si="375"/>
        <v>1.7139323262629187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3"/>
        <v>011CAYENNE</v>
      </c>
      <c r="H9097" s="5">
        <v>1140</v>
      </c>
      <c r="I9097" s="6">
        <v>994.97117647058747</v>
      </c>
      <c r="J9097" s="5">
        <v>7200</v>
      </c>
      <c r="K9097" s="6">
        <f t="shared" si="375"/>
        <v>1.1457618340702755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3"/>
        <v>011LUMIA</v>
      </c>
      <c r="H9098" s="5">
        <v>2930</v>
      </c>
      <c r="I9098" s="6">
        <v>994.97117647058747</v>
      </c>
      <c r="J9098" s="5">
        <v>7920</v>
      </c>
      <c r="K9098" s="6">
        <f t="shared" si="375"/>
        <v>2.9448089244086906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3"/>
        <v>011STARDUST</v>
      </c>
      <c r="H9099" s="5">
        <v>2825</v>
      </c>
      <c r="I9099" s="6">
        <v>2263.7999998868127</v>
      </c>
      <c r="J9099" s="5">
        <v>17920</v>
      </c>
      <c r="K9099" s="6">
        <f t="shared" si="375"/>
        <v>1.2479017581682335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3"/>
        <v>012DEEP PURPLE</v>
      </c>
      <c r="H9100" s="5">
        <v>17400</v>
      </c>
      <c r="I9100" s="6">
        <v>6727.0499997982479</v>
      </c>
      <c r="J9100" s="5">
        <v>49210</v>
      </c>
      <c r="K9100" s="6">
        <f t="shared" si="375"/>
        <v>2.5865721230735383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3"/>
        <v>012LIGHT HOUSE</v>
      </c>
      <c r="H9101" s="5">
        <v>1740</v>
      </c>
      <c r="I9101" s="6">
        <v>994.95</v>
      </c>
      <c r="J9101" s="5">
        <v>7200</v>
      </c>
      <c r="K9101" s="6">
        <f t="shared" si="375"/>
        <v>1.748831599577868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3"/>
        <v>013COUNTRY BLUES</v>
      </c>
      <c r="H9102" s="5">
        <v>1375</v>
      </c>
      <c r="I9102" s="6">
        <v>831.6</v>
      </c>
      <c r="J9102" s="5">
        <v>6300</v>
      </c>
      <c r="K9102" s="6">
        <f t="shared" si="375"/>
        <v>1.6534391534391535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3"/>
        <v>013LORRAINE</v>
      </c>
      <c r="H9103" s="5">
        <v>4300</v>
      </c>
      <c r="I9103" s="6">
        <v>1267.2</v>
      </c>
      <c r="J9103" s="5">
        <v>9600</v>
      </c>
      <c r="K9103" s="6">
        <f t="shared" si="375"/>
        <v>3.3933080808080809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3"/>
        <v>013LUMIA</v>
      </c>
      <c r="H9104" s="5">
        <v>1000</v>
      </c>
      <c r="I9104" s="6">
        <v>316.8</v>
      </c>
      <c r="J9104" s="5">
        <v>2400</v>
      </c>
      <c r="K9104" s="6">
        <f t="shared" si="375"/>
        <v>3.1565656565656566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3"/>
        <v>013VENDELA</v>
      </c>
      <c r="H9105" s="5">
        <v>11280</v>
      </c>
      <c r="I9105" s="6">
        <v>3603.6</v>
      </c>
      <c r="J9105" s="5">
        <v>27296</v>
      </c>
      <c r="K9105" s="6">
        <f t="shared" si="375"/>
        <v>3.1302031302031303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3"/>
        <v>014STARDUST</v>
      </c>
      <c r="H9106" s="5">
        <v>5850</v>
      </c>
      <c r="I9106" s="6">
        <v>3682.8</v>
      </c>
      <c r="J9106" s="5">
        <v>27900</v>
      </c>
      <c r="K9106" s="6">
        <f t="shared" si="375"/>
        <v>1.5884652981427174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6">+E9107&amp;F9107</f>
        <v>015JOCKER</v>
      </c>
      <c r="H9107" s="5">
        <v>4825</v>
      </c>
      <c r="I9107" s="6">
        <v>2376</v>
      </c>
      <c r="J9107" s="5">
        <v>18000</v>
      </c>
      <c r="K9107" s="6">
        <f t="shared" si="375"/>
        <v>2.0307239057239057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6"/>
        <v>016DREAM IN PEACH</v>
      </c>
      <c r="H9108" s="5">
        <v>810</v>
      </c>
      <c r="I9108" s="6">
        <v>950.4</v>
      </c>
      <c r="J9108" s="5">
        <v>7200</v>
      </c>
      <c r="K9108" s="6">
        <f t="shared" si="375"/>
        <v>0.85227272727272729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6"/>
        <v>016NINA</v>
      </c>
      <c r="H9109" s="5">
        <v>3275</v>
      </c>
      <c r="I9109" s="6">
        <v>1346.4</v>
      </c>
      <c r="J9109" s="5">
        <v>10200</v>
      </c>
      <c r="K9109" s="6">
        <f t="shared" si="375"/>
        <v>2.4324123588829472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6"/>
        <v>017FREEDOM</v>
      </c>
      <c r="H9110" s="5">
        <v>5190</v>
      </c>
      <c r="I9110" s="6">
        <v>2851.2</v>
      </c>
      <c r="J9110" s="5">
        <v>21600</v>
      </c>
      <c r="K9110" s="6">
        <f t="shared" si="375"/>
        <v>1.8202861952861955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6"/>
        <v>017GOLDFINCH</v>
      </c>
      <c r="H9111" s="5">
        <v>2600</v>
      </c>
      <c r="I9111" s="6">
        <v>2138.4</v>
      </c>
      <c r="J9111" s="5">
        <v>16200</v>
      </c>
      <c r="K9111" s="6">
        <f t="shared" si="375"/>
        <v>1.2158623269734381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6"/>
        <v>018BRIGHTON</v>
      </c>
      <c r="H9112" s="5">
        <v>1725</v>
      </c>
      <c r="I9112" s="6">
        <v>963.6</v>
      </c>
      <c r="J9112" s="5">
        <v>7570</v>
      </c>
      <c r="K9112" s="6">
        <f t="shared" si="375"/>
        <v>1.790161892901619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6"/>
        <v>019BRIGHTON</v>
      </c>
      <c r="H9113" s="5">
        <v>6250</v>
      </c>
      <c r="I9113" s="6">
        <v>3168</v>
      </c>
      <c r="J9113" s="5">
        <v>24000</v>
      </c>
      <c r="K9113" s="6">
        <f t="shared" si="375"/>
        <v>1.9728535353535352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6"/>
        <v>019TABATHA</v>
      </c>
      <c r="H9114" s="5">
        <v>2400</v>
      </c>
      <c r="I9114" s="6">
        <v>1188</v>
      </c>
      <c r="J9114" s="5">
        <v>9000</v>
      </c>
      <c r="K9114" s="6">
        <f t="shared" si="375"/>
        <v>2.0202020202020203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6"/>
        <v>020BRIGHTON</v>
      </c>
      <c r="H9115" s="5">
        <v>4200</v>
      </c>
      <c r="I9115" s="6">
        <v>2732.4</v>
      </c>
      <c r="J9115" s="5">
        <v>20700</v>
      </c>
      <c r="K9115" s="6">
        <f t="shared" si="375"/>
        <v>1.5371102327624067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6"/>
        <v>020TYCOON</v>
      </c>
      <c r="H9116" s="5">
        <v>720</v>
      </c>
      <c r="I9116" s="6">
        <v>673.2</v>
      </c>
      <c r="J9116" s="5">
        <v>5100</v>
      </c>
      <c r="K9116" s="6">
        <f t="shared" si="375"/>
        <v>1.0695187165775399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6"/>
        <v>021SHOW GIRL</v>
      </c>
      <c r="H9117" s="5">
        <v>1525</v>
      </c>
      <c r="I9117" s="6">
        <v>1100.4749999999999</v>
      </c>
      <c r="J9117" s="5">
        <v>8000</v>
      </c>
      <c r="K9117" s="6">
        <f t="shared" si="375"/>
        <v>1.3857652377382494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6"/>
        <v>022CORAL REEF</v>
      </c>
      <c r="H9118" s="5">
        <v>2150</v>
      </c>
      <c r="I9118" s="6">
        <v>1287</v>
      </c>
      <c r="J9118" s="5">
        <v>9400</v>
      </c>
      <c r="K9118" s="6">
        <f t="shared" si="375"/>
        <v>1.6705516705516705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6"/>
        <v>023COTOPAXI</v>
      </c>
      <c r="H9119" s="5">
        <v>7140</v>
      </c>
      <c r="I9119" s="6">
        <v>2641.14</v>
      </c>
      <c r="J9119" s="5">
        <v>19200</v>
      </c>
      <c r="K9119" s="6">
        <f t="shared" si="375"/>
        <v>2.7033780867352735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6"/>
        <v>023FRUTTETO</v>
      </c>
      <c r="H9120" s="5">
        <v>4620</v>
      </c>
      <c r="I9120" s="6">
        <v>2641.14</v>
      </c>
      <c r="J9120" s="5">
        <v>19200</v>
      </c>
      <c r="K9120" s="6">
        <f t="shared" si="375"/>
        <v>1.7492446443581182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6"/>
        <v>024COTOPAXI</v>
      </c>
      <c r="H9121" s="5">
        <v>3180</v>
      </c>
      <c r="I9121" s="6">
        <v>1430.6174906250001</v>
      </c>
      <c r="J9121" s="5">
        <v>10400</v>
      </c>
      <c r="K9121" s="6">
        <f t="shared" si="375"/>
        <v>2.2228163858186436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6"/>
        <v>024SWEETNESS</v>
      </c>
      <c r="H9122" s="5">
        <v>1680</v>
      </c>
      <c r="I9122" s="6">
        <v>1430.6175000000001</v>
      </c>
      <c r="J9122" s="5">
        <v>10400</v>
      </c>
      <c r="K9122" s="6">
        <f t="shared" si="375"/>
        <v>1.1743180829257296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6"/>
        <v>024TYCOON</v>
      </c>
      <c r="H9123" s="5">
        <v>2370</v>
      </c>
      <c r="I9123" s="6">
        <v>2861.2350000000001</v>
      </c>
      <c r="J9123" s="5">
        <v>20800</v>
      </c>
      <c r="K9123" s="6">
        <f t="shared" si="375"/>
        <v>0.82831364777797001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6"/>
        <v>025PINK MONDIAL</v>
      </c>
      <c r="H9124" s="5">
        <v>4625</v>
      </c>
      <c r="I9124" s="6">
        <v>3071.9505625000002</v>
      </c>
      <c r="J9124" s="5">
        <v>22400</v>
      </c>
      <c r="K9124" s="6">
        <f t="shared" si="375"/>
        <v>1.5055580830168389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6"/>
        <v>026LOLA</v>
      </c>
      <c r="H9125" s="5">
        <v>2775</v>
      </c>
      <c r="I9125" s="6">
        <v>1097.125</v>
      </c>
      <c r="J9125" s="5">
        <v>8000</v>
      </c>
      <c r="K9125" s="6">
        <f t="shared" si="375"/>
        <v>2.5293380426113705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6"/>
        <v>026PALOMA</v>
      </c>
      <c r="H9126" s="5">
        <v>4775</v>
      </c>
      <c r="I9126" s="6">
        <v>2852.5250000000001</v>
      </c>
      <c r="J9126" s="5">
        <v>20800</v>
      </c>
      <c r="K9126" s="6">
        <f t="shared" si="375"/>
        <v>1.6739555306263749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6"/>
        <v>027SATISFACTION</v>
      </c>
      <c r="H9127" s="5">
        <v>4680</v>
      </c>
      <c r="I9127" s="6">
        <v>2633.1</v>
      </c>
      <c r="J9127" s="5">
        <v>19200</v>
      </c>
      <c r="K9127" s="6">
        <f t="shared" si="375"/>
        <v>1.7773726785917741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6"/>
        <v>027TIFFANY</v>
      </c>
      <c r="H9128" s="5">
        <v>4350</v>
      </c>
      <c r="I9128" s="6">
        <v>2633.1</v>
      </c>
      <c r="J9128" s="5">
        <v>19200</v>
      </c>
      <c r="K9128" s="6">
        <f t="shared" si="375"/>
        <v>1.6520451179218412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6"/>
        <v>028COTOPAXI</v>
      </c>
      <c r="H9129" s="5">
        <v>4650</v>
      </c>
      <c r="I9129" s="6">
        <v>2852.5250000000001</v>
      </c>
      <c r="J9129" s="5">
        <v>20800</v>
      </c>
      <c r="K9129" s="6">
        <f t="shared" ref="K9129:K9191" si="377">+H9129/I9129</f>
        <v>1.6301347052173074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6"/>
        <v>028DEEP PURPLE</v>
      </c>
      <c r="H9130" s="5">
        <v>8490</v>
      </c>
      <c r="I9130" s="6">
        <v>2852.5250000000001</v>
      </c>
      <c r="J9130" s="5">
        <v>20800</v>
      </c>
      <c r="K9130" s="6">
        <f t="shared" si="377"/>
        <v>2.9763104617838581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6"/>
        <v>029PINK FLOYD</v>
      </c>
      <c r="H9131" s="5">
        <v>4775</v>
      </c>
      <c r="I9131" s="6">
        <v>3071.95</v>
      </c>
      <c r="J9131" s="5">
        <v>22400</v>
      </c>
      <c r="K9131" s="6">
        <f t="shared" si="377"/>
        <v>1.5543872784387767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6"/>
        <v>030EXPLORER</v>
      </c>
      <c r="H9132" s="5">
        <v>1675</v>
      </c>
      <c r="I9132" s="6">
        <v>1645.6875</v>
      </c>
      <c r="J9132" s="5">
        <v>12000</v>
      </c>
      <c r="K9132" s="6">
        <f t="shared" si="377"/>
        <v>1.0178117048346056</v>
      </c>
    </row>
    <row r="9133" spans="1:11" hidden="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6"/>
        <v>008LUMIA</v>
      </c>
      <c r="H9133" s="5">
        <v>3570</v>
      </c>
      <c r="I9133" s="6">
        <v>1796.5851851133182</v>
      </c>
      <c r="J9133" s="5">
        <v>13600</v>
      </c>
      <c r="K9133" s="6">
        <f t="shared" si="377"/>
        <v>1.9871031051471266</v>
      </c>
    </row>
    <row r="9134" spans="1:11" hidden="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420</v>
      </c>
      <c r="I9134" s="6">
        <v>1796.5851851133182</v>
      </c>
      <c r="J9134" s="5">
        <v>13600</v>
      </c>
      <c r="K9134" s="6">
        <f t="shared" si="377"/>
        <v>0.23377683589966197</v>
      </c>
    </row>
    <row r="9135" spans="1:11" hidden="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7710</v>
      </c>
      <c r="I9135" s="6">
        <v>1796.5851851133182</v>
      </c>
      <c r="J9135" s="5">
        <v>13600</v>
      </c>
      <c r="K9135" s="6">
        <f t="shared" si="377"/>
        <v>4.291474773300938</v>
      </c>
    </row>
    <row r="9136" spans="1:11" hidden="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3810</v>
      </c>
      <c r="I9136" s="6">
        <v>1796.5851851133182</v>
      </c>
      <c r="J9136" s="5">
        <v>13600</v>
      </c>
      <c r="K9136" s="6">
        <f t="shared" si="377"/>
        <v>2.1206898685183622</v>
      </c>
    </row>
    <row r="9137" spans="1:11" hidden="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7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7"/>
        <v>1.8034213055116781</v>
      </c>
    </row>
    <row r="9138" spans="1:11" hidden="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7"/>
        <v>1.5863428150334205</v>
      </c>
    </row>
    <row r="9139" spans="1:11" hidden="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v>4440</v>
      </c>
      <c r="I9139" s="6">
        <v>1796.5851851133182</v>
      </c>
      <c r="J9139" s="5">
        <v>13600</v>
      </c>
      <c r="K9139" s="6">
        <f t="shared" si="377"/>
        <v>2.4713551223678549</v>
      </c>
    </row>
    <row r="9140" spans="1:11" hidden="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2100</v>
      </c>
      <c r="I9140" s="6">
        <v>1796.5851851133182</v>
      </c>
      <c r="J9140" s="5">
        <v>13600</v>
      </c>
      <c r="K9140" s="6">
        <f t="shared" si="377"/>
        <v>1.1688841794983098</v>
      </c>
    </row>
    <row r="9141" spans="1:11" hidden="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2190</v>
      </c>
      <c r="I9141" s="6">
        <v>1796.5851851133164</v>
      </c>
      <c r="J9141" s="5">
        <v>13600</v>
      </c>
      <c r="K9141" s="6">
        <f t="shared" si="377"/>
        <v>1.2189792157625243</v>
      </c>
    </row>
    <row r="9142" spans="1:1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1620</v>
      </c>
      <c r="I9142" s="6">
        <v>1796.5851851133164</v>
      </c>
      <c r="J9142" s="5">
        <v>13600</v>
      </c>
      <c r="K9142" s="6">
        <f t="shared" si="377"/>
        <v>0.90171065275583995</v>
      </c>
    </row>
    <row r="9143" spans="1:11" hidden="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8">+E9143&amp;F9143</f>
        <v>008LUMIA</v>
      </c>
      <c r="H9143" s="5">
        <v>3570</v>
      </c>
      <c r="I9143" s="6">
        <v>1796.5851851133164</v>
      </c>
      <c r="J9143" s="5">
        <v>13600</v>
      </c>
      <c r="K9143" s="6">
        <f t="shared" ref="K9143" si="379">+H9143/I9143</f>
        <v>1.9871031051471286</v>
      </c>
    </row>
    <row r="9144" spans="1:11" hidden="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0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1">+H9144/I9144</f>
        <v>1.0352974161270754</v>
      </c>
    </row>
    <row r="9145" spans="1:11" hidden="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200</v>
      </c>
      <c r="I9145" s="6">
        <v>220.095</v>
      </c>
      <c r="J9145" s="5">
        <v>6400</v>
      </c>
      <c r="K9145" s="6">
        <f t="shared" si="377"/>
        <v>0.90869851654967171</v>
      </c>
    </row>
    <row r="9146" spans="1:11" hidden="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125</v>
      </c>
      <c r="I9146" s="6">
        <v>220.095</v>
      </c>
      <c r="J9146" s="5">
        <v>6400</v>
      </c>
      <c r="K9146" s="6">
        <f t="shared" si="377"/>
        <v>0.56793657284354482</v>
      </c>
    </row>
    <row r="9147" spans="1:11" hidden="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 hidden="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5">
        <v>25</v>
      </c>
      <c r="I9148" s="6">
        <v>880.38</v>
      </c>
      <c r="J9148" s="5">
        <v>6400</v>
      </c>
      <c r="K9148" s="6">
        <f t="shared" si="377"/>
        <v>2.8396828642177241E-2</v>
      </c>
    </row>
    <row r="9149" spans="1:11" hidden="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7">
        <f>VLOOKUP(G9149,[5]Astroflores!$G$2:$H$110,2,FALSE)</f>
        <v>75</v>
      </c>
      <c r="I9149" s="6">
        <v>880.38</v>
      </c>
      <c r="J9149" s="5">
        <v>6400</v>
      </c>
      <c r="K9149" s="6">
        <f t="shared" si="377"/>
        <v>8.5190485926531723E-2</v>
      </c>
    </row>
    <row r="9150" spans="1:11" hidden="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7"/>
        <v>8.5190485926531723E-2</v>
      </c>
    </row>
    <row r="9151" spans="1:11" hidden="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7"/>
        <v>5.6793657284354503E-2</v>
      </c>
    </row>
    <row r="9152" spans="1:11" hidden="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7"/>
        <v>8.5190485926531764E-2</v>
      </c>
    </row>
    <row r="9153" spans="1:11" hidden="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150</v>
      </c>
      <c r="I9153" s="6">
        <v>880.37999999999965</v>
      </c>
      <c r="J9153" s="5">
        <v>6400</v>
      </c>
      <c r="K9153" s="6">
        <f t="shared" si="377"/>
        <v>0.17038097185306353</v>
      </c>
    </row>
    <row r="9154" spans="1:1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6"/>
        <v>021PISTACHIO KISS</v>
      </c>
      <c r="H9154" s="5">
        <v>75</v>
      </c>
      <c r="I9154" s="6">
        <v>880.37999999999965</v>
      </c>
      <c r="J9154" s="5">
        <v>6400</v>
      </c>
      <c r="K9154" s="6">
        <f t="shared" si="377"/>
        <v>8.5190485926531764E-2</v>
      </c>
    </row>
    <row r="9155" spans="1:11" hidden="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2">+E9155&amp;F9155</f>
        <v>021PISTACHIO KISS</v>
      </c>
      <c r="H9155" s="5">
        <v>200</v>
      </c>
      <c r="I9155" s="6">
        <v>880.37999999999965</v>
      </c>
      <c r="J9155" s="5">
        <v>6400</v>
      </c>
      <c r="K9155" s="6">
        <f t="shared" ref="K9155:K9156" si="383">+H9155/I9155</f>
        <v>0.22717462913741801</v>
      </c>
    </row>
    <row r="9156" spans="1:11" hidden="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2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3"/>
        <v>0.14198414321088626</v>
      </c>
    </row>
    <row r="9157" spans="1:11" hidden="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6"/>
        <v>002SOMERSET</v>
      </c>
      <c r="H9157" s="5">
        <v>9760</v>
      </c>
      <c r="I9157" s="6">
        <v>4121.4642855494085</v>
      </c>
      <c r="J9157" s="5">
        <v>31200</v>
      </c>
      <c r="K9157" s="6">
        <f t="shared" si="377"/>
        <v>2.3680903979249091</v>
      </c>
    </row>
    <row r="9158" spans="1:11" hidden="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6"/>
        <v>004BELLINA</v>
      </c>
      <c r="H9158" s="5">
        <v>1020</v>
      </c>
      <c r="I9158" s="6">
        <v>1056.7857142434418</v>
      </c>
      <c r="J9158" s="5">
        <v>8000</v>
      </c>
      <c r="K9158" s="6">
        <f t="shared" si="377"/>
        <v>0.96519094292471874</v>
      </c>
    </row>
    <row r="9159" spans="1:11" hidden="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6"/>
        <v>005ELBA</v>
      </c>
      <c r="H9159" s="5">
        <v>8340</v>
      </c>
      <c r="I9159" s="6">
        <v>2641.9642856076484</v>
      </c>
      <c r="J9159" s="5">
        <v>19996</v>
      </c>
      <c r="K9159" s="6">
        <f t="shared" si="377"/>
        <v>3.1567421427431639</v>
      </c>
    </row>
    <row r="9160" spans="1:11" hidden="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6"/>
        <v>005HOT BUBBLES</v>
      </c>
      <c r="H9160" s="5">
        <v>1560</v>
      </c>
      <c r="I9160" s="6">
        <v>528.39285712153003</v>
      </c>
      <c r="J9160" s="5">
        <v>4000</v>
      </c>
      <c r="K9160" s="6">
        <f t="shared" si="377"/>
        <v>2.9523487665943238</v>
      </c>
    </row>
    <row r="9161" spans="1:11" hidden="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6"/>
        <v>005SUSPIRO</v>
      </c>
      <c r="H9161" s="5">
        <v>3330</v>
      </c>
      <c r="I9161" s="6">
        <v>1902.2142856375078</v>
      </c>
      <c r="J9161" s="5">
        <v>14400</v>
      </c>
      <c r="K9161" s="6">
        <f t="shared" si="377"/>
        <v>1.7505914160895832</v>
      </c>
    </row>
    <row r="9162" spans="1:11" hidden="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6"/>
        <v>007SNOW BUBBLES</v>
      </c>
      <c r="H9162" s="5">
        <v>1180</v>
      </c>
      <c r="I9162" s="6">
        <v>634.05652706821195</v>
      </c>
      <c r="J9162" s="5">
        <v>4800</v>
      </c>
      <c r="K9162" s="6">
        <f t="shared" si="377"/>
        <v>1.8610328095763855</v>
      </c>
    </row>
    <row r="9163" spans="1:11" hidden="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6"/>
        <v>009HOT BUBBLES</v>
      </c>
      <c r="H9163" s="5">
        <v>11820</v>
      </c>
      <c r="I9163" s="6">
        <v>4487.9999999102474</v>
      </c>
      <c r="J9163" s="5">
        <v>31740</v>
      </c>
      <c r="K9163" s="6">
        <f t="shared" si="377"/>
        <v>2.633689839624862</v>
      </c>
    </row>
    <row r="9164" spans="1:11" hidden="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6"/>
        <v>014FRUITY BUBBLES</v>
      </c>
      <c r="H9164" s="5">
        <v>3000</v>
      </c>
      <c r="I9164" s="6">
        <v>1702.8</v>
      </c>
      <c r="J9164" s="5">
        <v>12900</v>
      </c>
      <c r="K9164" s="6">
        <f t="shared" si="377"/>
        <v>1.7618040873854828</v>
      </c>
    </row>
    <row r="9165" spans="1:11" hidden="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6"/>
        <v>015FELLINI</v>
      </c>
      <c r="H9165" s="5">
        <v>6960</v>
      </c>
      <c r="I9165" s="6">
        <v>3009.6</v>
      </c>
      <c r="J9165" s="5">
        <v>22800</v>
      </c>
      <c r="K9165" s="6">
        <f t="shared" si="377"/>
        <v>2.3125996810207337</v>
      </c>
    </row>
    <row r="9166" spans="1:11" hidden="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6"/>
        <v>016GOOD PEACH</v>
      </c>
      <c r="H9166" s="5">
        <v>3360</v>
      </c>
      <c r="I9166" s="6">
        <v>1386</v>
      </c>
      <c r="J9166" s="5">
        <v>10500</v>
      </c>
      <c r="K9166" s="6">
        <f t="shared" si="377"/>
        <v>2.4242424242424243</v>
      </c>
    </row>
    <row r="9167" spans="1:11" hidden="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6"/>
        <v>016GOOD YELLOW</v>
      </c>
      <c r="H9167" s="5">
        <v>3120</v>
      </c>
      <c r="I9167" s="6">
        <v>1386</v>
      </c>
      <c r="J9167" s="5">
        <v>10500</v>
      </c>
      <c r="K9167" s="6">
        <f t="shared" si="377"/>
        <v>2.2510822510822512</v>
      </c>
    </row>
    <row r="9168" spans="1:11" hidden="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6"/>
        <v>017ORANGE STAR</v>
      </c>
      <c r="H9168" s="5">
        <v>1375</v>
      </c>
      <c r="I9168" s="6">
        <v>1029.5999999999999</v>
      </c>
      <c r="J9168" s="5">
        <v>7800</v>
      </c>
      <c r="K9168" s="6">
        <f t="shared" si="377"/>
        <v>1.3354700854700856</v>
      </c>
    </row>
    <row r="9169" spans="1:11" hidden="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6"/>
        <v>018COSMO</v>
      </c>
      <c r="H9169" s="5">
        <v>4575</v>
      </c>
      <c r="I9169" s="6">
        <v>2653.2</v>
      </c>
      <c r="J9169" s="5">
        <v>20100</v>
      </c>
      <c r="K9169" s="6">
        <f t="shared" si="377"/>
        <v>1.724332881049299</v>
      </c>
    </row>
    <row r="9170" spans="1:11" hidden="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6"/>
        <v>018RUBICON</v>
      </c>
      <c r="H9170" s="5">
        <v>4770</v>
      </c>
      <c r="I9170" s="6">
        <v>1768.8</v>
      </c>
      <c r="J9170" s="5">
        <v>13400</v>
      </c>
      <c r="K9170" s="6">
        <f t="shared" si="377"/>
        <v>2.6967435549525103</v>
      </c>
    </row>
    <row r="9171" spans="1:11" hidden="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6"/>
        <v>019BELLINA</v>
      </c>
      <c r="H9171" s="5">
        <v>1770</v>
      </c>
      <c r="I9171" s="6">
        <v>1029.5999999999999</v>
      </c>
      <c r="J9171" s="5">
        <v>7800</v>
      </c>
      <c r="K9171" s="6">
        <f t="shared" si="377"/>
        <v>1.7191142191142192</v>
      </c>
    </row>
    <row r="9172" spans="1:11" hidden="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6"/>
        <v>020SUMMER DANCE</v>
      </c>
      <c r="H9172" s="5">
        <v>4000</v>
      </c>
      <c r="I9172" s="6">
        <v>1346.4</v>
      </c>
      <c r="J9172" s="5">
        <v>10200</v>
      </c>
      <c r="K9172" s="6">
        <f t="shared" si="377"/>
        <v>2.9708853238265003</v>
      </c>
    </row>
    <row r="9173" spans="1:11" hidden="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6"/>
        <v>021ELEGANT ROSEVER</v>
      </c>
      <c r="H9173" s="5">
        <v>420</v>
      </c>
      <c r="I9173" s="6">
        <v>440.18999062500001</v>
      </c>
      <c r="J9173" s="5">
        <v>3200</v>
      </c>
      <c r="K9173" s="6">
        <f t="shared" si="377"/>
        <v>0.95413346269792865</v>
      </c>
    </row>
    <row r="9174" spans="1:11" hidden="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6"/>
        <v>021FLAME CLUB</v>
      </c>
      <c r="H9174" s="5">
        <v>1975</v>
      </c>
      <c r="I9174" s="6">
        <v>880.38</v>
      </c>
      <c r="J9174" s="5">
        <v>6400</v>
      </c>
      <c r="K9174" s="6">
        <f t="shared" si="377"/>
        <v>2.2433494627320023</v>
      </c>
    </row>
    <row r="9175" spans="1:11" hidden="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4">+E9175&amp;F9175</f>
        <v>021KELLY</v>
      </c>
      <c r="H9175" s="5">
        <v>675</v>
      </c>
      <c r="I9175" s="6">
        <v>330.14249999999998</v>
      </c>
      <c r="J9175" s="5">
        <v>2400</v>
      </c>
      <c r="K9175" s="6">
        <f t="shared" si="377"/>
        <v>2.0445716622367613</v>
      </c>
    </row>
    <row r="9176" spans="1:11" hidden="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4"/>
        <v>021LEILA</v>
      </c>
      <c r="H9176" s="5">
        <v>2175</v>
      </c>
      <c r="I9176" s="6">
        <v>1650.7125000000001</v>
      </c>
      <c r="J9176" s="5">
        <v>12000</v>
      </c>
      <c r="K9176" s="6">
        <f t="shared" si="377"/>
        <v>1.317612848997024</v>
      </c>
    </row>
    <row r="9177" spans="1:11" hidden="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4"/>
        <v>021SNOW BUBBLES</v>
      </c>
      <c r="H9177" s="5">
        <v>2900</v>
      </c>
      <c r="I9177" s="6">
        <v>1287.0000000000018</v>
      </c>
      <c r="J9177" s="5">
        <v>9400</v>
      </c>
      <c r="K9177" s="6">
        <f t="shared" si="377"/>
        <v>2.25330225330225</v>
      </c>
    </row>
    <row r="9178" spans="1:11" hidden="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4"/>
        <v>022FRUITY BUBBLES</v>
      </c>
      <c r="H9178" s="5">
        <v>5375</v>
      </c>
      <c r="I9178" s="6">
        <v>2641.14</v>
      </c>
      <c r="J9178" s="5">
        <v>19200</v>
      </c>
      <c r="K9178" s="6">
        <f t="shared" si="377"/>
        <v>2.0351060526893692</v>
      </c>
    </row>
    <row r="9179" spans="1:11" hidden="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4"/>
        <v>022GOOD PEACH</v>
      </c>
      <c r="H9179" s="5">
        <v>1980</v>
      </c>
      <c r="I9179" s="6">
        <v>880.38</v>
      </c>
      <c r="J9179" s="5">
        <v>6400</v>
      </c>
      <c r="K9179" s="6">
        <f t="shared" si="377"/>
        <v>2.2490288284604376</v>
      </c>
    </row>
    <row r="9180" spans="1:11" hidden="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4"/>
        <v>022MIRABEL</v>
      </c>
      <c r="H9180" s="5">
        <v>1760</v>
      </c>
      <c r="I9180" s="6">
        <v>880.38</v>
      </c>
      <c r="J9180" s="5">
        <v>6400</v>
      </c>
      <c r="K9180" s="6">
        <f t="shared" si="377"/>
        <v>1.9991367364092778</v>
      </c>
    </row>
    <row r="9181" spans="1:11" hidden="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4"/>
        <v>026PURPLE BUBBLY</v>
      </c>
      <c r="H9181" s="5">
        <v>430</v>
      </c>
      <c r="I9181" s="6">
        <v>1755.4</v>
      </c>
      <c r="J9181" s="5">
        <v>12800</v>
      </c>
      <c r="K9181" s="6">
        <f t="shared" si="377"/>
        <v>0.24495841403668678</v>
      </c>
    </row>
    <row r="9182" spans="1:11" hidden="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4"/>
        <v>030MIRABEL</v>
      </c>
      <c r="H9182" s="5">
        <v>4960</v>
      </c>
      <c r="I9182" s="6">
        <v>2413.6749943750001</v>
      </c>
      <c r="J9182" s="5">
        <v>17600</v>
      </c>
      <c r="K9182" s="6">
        <f t="shared" si="377"/>
        <v>2.0549576937902314</v>
      </c>
    </row>
    <row r="9183" spans="1:11" hidden="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4"/>
        <v>030SOMERSET</v>
      </c>
      <c r="H9183" s="5">
        <v>3520</v>
      </c>
      <c r="I9183" s="6">
        <v>1645.6875</v>
      </c>
      <c r="J9183" s="5">
        <v>12000</v>
      </c>
      <c r="K9183" s="6">
        <f t="shared" si="377"/>
        <v>2.1389237021001861</v>
      </c>
    </row>
    <row r="9184" spans="1:11" hidden="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4"/>
        <v>03182989</v>
      </c>
      <c r="H9184" s="5">
        <v>1300</v>
      </c>
      <c r="I9184" s="6">
        <v>726.32013058333712</v>
      </c>
      <c r="J9184" s="5">
        <v>5712</v>
      </c>
      <c r="K9184" s="6">
        <f t="shared" si="377"/>
        <v>1.7898443747606407</v>
      </c>
    </row>
    <row r="9185" spans="1:11" hidden="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4"/>
        <v>031RUBICON</v>
      </c>
      <c r="H9185" s="5">
        <v>2250</v>
      </c>
      <c r="I9185" s="6">
        <v>924.39958333667107</v>
      </c>
      <c r="J9185" s="5">
        <v>6720</v>
      </c>
      <c r="K9185" s="6">
        <f t="shared" si="377"/>
        <v>2.4340123476457025</v>
      </c>
    </row>
    <row r="9186" spans="1:11" hidden="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4"/>
        <v>031SOMERSET</v>
      </c>
      <c r="H9186" s="5">
        <v>2500</v>
      </c>
      <c r="I9186" s="6">
        <v>1122.485208333339</v>
      </c>
      <c r="J9186" s="5">
        <v>8160</v>
      </c>
      <c r="K9186" s="6">
        <f t="shared" si="377"/>
        <v>2.2272008409910264</v>
      </c>
    </row>
    <row r="9187" spans="1:11" hidden="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4"/>
        <v>031VELVET BLOSSOMS</v>
      </c>
      <c r="H9187" s="5">
        <v>380</v>
      </c>
      <c r="I9187" s="6">
        <v>396.17125000000198</v>
      </c>
      <c r="J9187" s="5">
        <v>2880</v>
      </c>
      <c r="K9187" s="6">
        <f t="shared" si="377"/>
        <v>0.95918116218680205</v>
      </c>
    </row>
    <row r="9188" spans="1:11" hidden="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4"/>
        <v>032ELBA</v>
      </c>
      <c r="H9188" s="5">
        <v>2670</v>
      </c>
      <c r="I9188" s="6">
        <v>1535.9749999999999</v>
      </c>
      <c r="J9188" s="5">
        <v>11200</v>
      </c>
      <c r="K9188" s="6">
        <f t="shared" si="377"/>
        <v>1.7383095427985482</v>
      </c>
    </row>
    <row r="9189" spans="1:11" hidden="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4"/>
        <v>032MIRABEL</v>
      </c>
      <c r="H9189" s="5">
        <v>2040</v>
      </c>
      <c r="I9189" s="6">
        <v>1535.9749999999999</v>
      </c>
      <c r="J9189" s="5">
        <v>11200</v>
      </c>
      <c r="K9189" s="6">
        <f t="shared" si="377"/>
        <v>1.3281466169696774</v>
      </c>
    </row>
    <row r="9190" spans="1:11" hidden="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4"/>
        <v>033CREAMY FOLIES</v>
      </c>
      <c r="H9190" s="5">
        <v>1260</v>
      </c>
      <c r="I9190" s="6">
        <v>594.25687500000299</v>
      </c>
      <c r="J9190" s="5">
        <v>4320</v>
      </c>
      <c r="K9190" s="6">
        <f t="shared" si="377"/>
        <v>2.120295200623457</v>
      </c>
    </row>
    <row r="9191" spans="1:11" hidden="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4"/>
        <v>033HOT BUBBLES</v>
      </c>
      <c r="H9191" s="5">
        <v>2560</v>
      </c>
      <c r="I9191" s="6">
        <v>2575.1131250013459</v>
      </c>
      <c r="J9191" s="5">
        <v>18720</v>
      </c>
      <c r="K9191" s="6">
        <f t="shared" si="377"/>
        <v>0.9941310830756851</v>
      </c>
    </row>
    <row r="9192" spans="1:11" hidden="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4"/>
        <v>001BELIEVE IN PINK</v>
      </c>
      <c r="H9192" s="5">
        <v>1110</v>
      </c>
      <c r="I9192" s="6">
        <v>528.37931032368999</v>
      </c>
      <c r="J9192" s="5">
        <v>4000</v>
      </c>
      <c r="K9192" s="6">
        <f t="shared" ref="K9192:K9198" si="385">IFERROR(H9192/I9192,"")</f>
        <v>2.1007635581340303</v>
      </c>
    </row>
    <row r="9193" spans="1:11" hidden="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4"/>
        <v>001EXPLORER</v>
      </c>
      <c r="H9193" s="5">
        <v>3000</v>
      </c>
      <c r="I9193" s="6">
        <v>2272.0310343918732</v>
      </c>
      <c r="J9193" s="5">
        <v>17200</v>
      </c>
      <c r="K9193" s="6">
        <f t="shared" si="385"/>
        <v>1.3204044991414361</v>
      </c>
    </row>
    <row r="9194" spans="1:11" hidden="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4"/>
        <v>001GRACE KELLY</v>
      </c>
      <c r="H9194" s="5">
        <v>1290</v>
      </c>
      <c r="I9194" s="6">
        <v>1162.4344827121224</v>
      </c>
      <c r="J9194" s="5">
        <v>8800</v>
      </c>
      <c r="K9194" s="6">
        <f t="shared" si="385"/>
        <v>1.109739963142051</v>
      </c>
    </row>
    <row r="9195" spans="1:11" hidden="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4"/>
        <v>001IDOLE</v>
      </c>
      <c r="H9195" s="5">
        <v>1225</v>
      </c>
      <c r="I9195" s="6">
        <v>1162.4344827121181</v>
      </c>
      <c r="J9195" s="5">
        <v>8800</v>
      </c>
      <c r="K9195" s="6">
        <f t="shared" si="385"/>
        <v>1.0538228332162929</v>
      </c>
    </row>
    <row r="9196" spans="1:11" hidden="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4"/>
        <v>001LIGHT HOUSE</v>
      </c>
      <c r="H9196" s="5">
        <v>1560</v>
      </c>
      <c r="I9196" s="6">
        <v>1056.7586206473827</v>
      </c>
      <c r="J9196" s="5">
        <v>8000</v>
      </c>
      <c r="K9196" s="6">
        <f t="shared" si="385"/>
        <v>1.4762122300401257</v>
      </c>
    </row>
    <row r="9197" spans="1:11" hidden="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4"/>
        <v>001LUMIA</v>
      </c>
      <c r="H9197" s="5">
        <v>1770</v>
      </c>
      <c r="I9197" s="6">
        <v>1109.596551679753</v>
      </c>
      <c r="J9197" s="5">
        <v>8400</v>
      </c>
      <c r="K9197" s="6">
        <f t="shared" si="385"/>
        <v>1.5951743877722953</v>
      </c>
    </row>
    <row r="9198" spans="1:11" hidden="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4"/>
        <v>001MOMENTUM</v>
      </c>
      <c r="H9198" s="5">
        <v>3475</v>
      </c>
      <c r="I9198" s="6">
        <v>1902.1655171652881</v>
      </c>
      <c r="J9198" s="5">
        <v>14400</v>
      </c>
      <c r="K9198" s="6">
        <f t="shared" si="385"/>
        <v>1.8268652063352702</v>
      </c>
    </row>
    <row r="9199" spans="1:11" hidden="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4"/>
        <v>002SUMMER ROMANCE</v>
      </c>
      <c r="H9199" s="5">
        <v>1450</v>
      </c>
      <c r="I9199" s="6">
        <v>951.10714281909407</v>
      </c>
      <c r="J9199" s="5">
        <v>7200</v>
      </c>
      <c r="K9199" s="6">
        <f t="shared" ref="K9199:K9261" si="386">+H9199/I9199</f>
        <v>1.5245390710684612</v>
      </c>
    </row>
    <row r="9200" spans="1:11" hidden="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4"/>
        <v>002SWEETNESS</v>
      </c>
      <c r="H9200" s="5">
        <v>5850</v>
      </c>
      <c r="I9200" s="6">
        <v>3804.4285712763772</v>
      </c>
      <c r="J9200" s="5">
        <v>28800</v>
      </c>
      <c r="K9200" s="6">
        <f t="shared" si="386"/>
        <v>1.5376816492673269</v>
      </c>
    </row>
    <row r="9201" spans="1:11" hidden="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4"/>
        <v>003CABARET</v>
      </c>
      <c r="H9201" s="5">
        <v>5010</v>
      </c>
      <c r="I9201" s="6">
        <v>2641.8965516184649</v>
      </c>
      <c r="J9201" s="5">
        <v>20000</v>
      </c>
      <c r="K9201" s="6">
        <f t="shared" si="386"/>
        <v>1.8963649416669248</v>
      </c>
    </row>
    <row r="9202" spans="1:11" hidden="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4"/>
        <v>003DEEP PURPLE</v>
      </c>
      <c r="H9202" s="5">
        <v>7650</v>
      </c>
      <c r="I9202" s="6">
        <v>3592.9793102010913</v>
      </c>
      <c r="J9202" s="5">
        <v>26044</v>
      </c>
      <c r="K9202" s="6">
        <f t="shared" si="386"/>
        <v>2.1291522548655717</v>
      </c>
    </row>
    <row r="9203" spans="1:11" hidden="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4"/>
        <v>003EXPLORER</v>
      </c>
      <c r="H9203" s="5">
        <v>2175</v>
      </c>
      <c r="I9203" s="6">
        <v>1268.1103447768633</v>
      </c>
      <c r="J9203" s="5">
        <v>9600</v>
      </c>
      <c r="K9203" s="6">
        <f t="shared" si="386"/>
        <v>1.7151504275305893</v>
      </c>
    </row>
    <row r="9204" spans="1:11" hidden="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4"/>
        <v>003JOCKER</v>
      </c>
      <c r="H9204" s="5">
        <v>1000</v>
      </c>
      <c r="I9204" s="6">
        <v>528.37931032368999</v>
      </c>
      <c r="J9204" s="5">
        <v>4000</v>
      </c>
      <c r="K9204" s="6">
        <f t="shared" si="386"/>
        <v>1.8925797821027301</v>
      </c>
    </row>
    <row r="9205" spans="1:11" hidden="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4"/>
        <v>003QUICKSAND</v>
      </c>
      <c r="H9205" s="5">
        <v>1560</v>
      </c>
      <c r="I9205" s="6">
        <v>1162.4344827121247</v>
      </c>
      <c r="J9205" s="5">
        <v>8800</v>
      </c>
      <c r="K9205" s="6">
        <f t="shared" si="386"/>
        <v>1.3420111182182917</v>
      </c>
    </row>
    <row r="9206" spans="1:11" hidden="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4"/>
        <v>004COTOPAXI</v>
      </c>
      <c r="H9206" s="5">
        <v>720</v>
      </c>
      <c r="I9206" s="6">
        <v>528.3915024419166</v>
      </c>
      <c r="J9206" s="5">
        <v>4000</v>
      </c>
      <c r="K9206" s="6">
        <f t="shared" si="386"/>
        <v>1.3626260011233733</v>
      </c>
    </row>
    <row r="9207" spans="1:11" hidden="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4"/>
        <v>004DEEP PURPLE</v>
      </c>
      <c r="H9207" s="5">
        <v>9930</v>
      </c>
      <c r="I9207" s="6">
        <v>3910.1071427007282</v>
      </c>
      <c r="J9207" s="5">
        <v>29260</v>
      </c>
      <c r="K9207" s="6">
        <f t="shared" si="386"/>
        <v>2.5395723538003372</v>
      </c>
    </row>
    <row r="9208" spans="1:11" hidden="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4"/>
        <v>004HOT EXPLORER</v>
      </c>
      <c r="H9208" s="5">
        <v>2300</v>
      </c>
      <c r="I9208" s="6">
        <v>1902.2142856381945</v>
      </c>
      <c r="J9208" s="5">
        <v>14400</v>
      </c>
      <c r="K9208" s="6">
        <f t="shared" si="386"/>
        <v>1.2091171942956722</v>
      </c>
    </row>
    <row r="9209" spans="1:11" hidden="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4"/>
        <v>004HOT MERENGUE</v>
      </c>
      <c r="H9209" s="5">
        <v>2250</v>
      </c>
      <c r="I9209" s="6">
        <v>1162.4642856677858</v>
      </c>
      <c r="J9209" s="5">
        <v>8800</v>
      </c>
      <c r="K9209" s="6">
        <f t="shared" si="386"/>
        <v>1.9355433347420834</v>
      </c>
    </row>
    <row r="9210" spans="1:11" hidden="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4"/>
        <v>004SWEETNESS</v>
      </c>
      <c r="H9210" s="5">
        <v>720</v>
      </c>
      <c r="I9210" s="6">
        <v>317.03571427303262</v>
      </c>
      <c r="J9210" s="5">
        <v>2400</v>
      </c>
      <c r="K9210" s="6">
        <f t="shared" si="386"/>
        <v>2.2710375127640434</v>
      </c>
    </row>
    <row r="9211" spans="1:11" hidden="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4"/>
        <v>005EXPLORER</v>
      </c>
      <c r="H9211" s="5">
        <v>1075</v>
      </c>
      <c r="I9211" s="6">
        <v>951.10714281875391</v>
      </c>
      <c r="J9211" s="5">
        <v>7200</v>
      </c>
      <c r="K9211" s="6">
        <f t="shared" si="386"/>
        <v>1.1302617251028841</v>
      </c>
    </row>
    <row r="9212" spans="1:11" hidden="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4"/>
        <v>005GOLDFINCH</v>
      </c>
      <c r="H9212" s="5">
        <v>750</v>
      </c>
      <c r="I9212" s="6">
        <v>898.26785710660101</v>
      </c>
      <c r="J9212" s="5">
        <v>6800</v>
      </c>
      <c r="K9212" s="6">
        <f t="shared" si="386"/>
        <v>0.8349402620459061</v>
      </c>
    </row>
    <row r="9213" spans="1:11" hidden="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4"/>
        <v>005JOCKER</v>
      </c>
      <c r="H9213" s="5">
        <v>2050</v>
      </c>
      <c r="I9213" s="6">
        <v>1162.4642856673661</v>
      </c>
      <c r="J9213" s="5">
        <v>8800</v>
      </c>
      <c r="K9213" s="6">
        <f t="shared" si="386"/>
        <v>1.7634950383212016</v>
      </c>
    </row>
    <row r="9214" spans="1:11" hidden="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4"/>
        <v>005VENDELA</v>
      </c>
      <c r="H9214" s="5">
        <v>2490</v>
      </c>
      <c r="I9214" s="6">
        <v>686.91071425798896</v>
      </c>
      <c r="J9214" s="5">
        <v>5200</v>
      </c>
      <c r="K9214" s="6">
        <f t="shared" si="386"/>
        <v>3.6249252607593037</v>
      </c>
    </row>
    <row r="9215" spans="1:11" hidden="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4"/>
        <v>006ATOMIC</v>
      </c>
      <c r="H9215" s="5">
        <v>725</v>
      </c>
      <c r="I9215" s="6">
        <v>845.428571394752</v>
      </c>
      <c r="J9215" s="5">
        <v>6400</v>
      </c>
      <c r="K9215" s="6">
        <f t="shared" si="386"/>
        <v>0.85755322747600771</v>
      </c>
    </row>
    <row r="9216" spans="1:11" hidden="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4"/>
        <v>006EXPLORER</v>
      </c>
      <c r="H9216" s="5">
        <v>5175</v>
      </c>
      <c r="I9216" s="6">
        <v>3910.1071427007355</v>
      </c>
      <c r="J9216" s="5">
        <v>29600</v>
      </c>
      <c r="K9216" s="6">
        <f t="shared" si="386"/>
        <v>1.3234931451074241</v>
      </c>
    </row>
    <row r="9217" spans="1:11" hidden="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4"/>
        <v>006MONDIAL</v>
      </c>
      <c r="H9217" s="5">
        <v>5200</v>
      </c>
      <c r="I9217" s="6">
        <v>4015.7857141250793</v>
      </c>
      <c r="J9217" s="5">
        <v>30400</v>
      </c>
      <c r="K9217" s="6">
        <f t="shared" si="386"/>
        <v>1.2948898099093233</v>
      </c>
    </row>
    <row r="9218" spans="1:11" hidden="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4"/>
        <v>007COTOPAXI</v>
      </c>
      <c r="H9218" s="5">
        <v>4800</v>
      </c>
      <c r="I9218" s="6">
        <v>2747.5751230427709</v>
      </c>
      <c r="J9218" s="5">
        <v>20800</v>
      </c>
      <c r="K9218" s="6">
        <f t="shared" si="386"/>
        <v>1.7469949992429303</v>
      </c>
    </row>
    <row r="9219" spans="1:11" hidden="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4"/>
        <v>007REDIANT</v>
      </c>
      <c r="H9219" s="5">
        <v>1410</v>
      </c>
      <c r="I9219" s="6">
        <v>1056.75862064738</v>
      </c>
      <c r="J9219" s="5">
        <v>9600</v>
      </c>
      <c r="K9219" s="6">
        <f t="shared" si="386"/>
        <v>1.3342687463824248</v>
      </c>
    </row>
    <row r="9220" spans="1:11" hidden="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4"/>
        <v>007SUMMER ROMANCE</v>
      </c>
      <c r="H9220" s="5">
        <v>0</v>
      </c>
      <c r="I9220" s="6">
        <v>317.02758619421581</v>
      </c>
      <c r="J9220" s="5">
        <v>2640</v>
      </c>
      <c r="K9220" s="6">
        <f t="shared" si="386"/>
        <v>0</v>
      </c>
    </row>
    <row r="9221" spans="1:11" hidden="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4"/>
        <v>007TOPACIO</v>
      </c>
      <c r="H9221" s="5">
        <v>0</v>
      </c>
      <c r="I9221" s="6">
        <v>52.837931032368999</v>
      </c>
      <c r="J9221" s="5">
        <v>440</v>
      </c>
      <c r="K9221" s="6">
        <f t="shared" si="386"/>
        <v>0</v>
      </c>
    </row>
    <row r="9222" spans="1:11" hidden="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4"/>
        <v>007VENDELA</v>
      </c>
      <c r="H9222" s="5">
        <v>13350</v>
      </c>
      <c r="I9222" s="6">
        <v>3592.9793102011122</v>
      </c>
      <c r="J9222" s="5">
        <v>27820</v>
      </c>
      <c r="K9222" s="6">
        <f t="shared" si="386"/>
        <v>3.7155794251575447</v>
      </c>
    </row>
    <row r="9223" spans="1:11" hidden="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4"/>
        <v>008DEEP PURPLE</v>
      </c>
      <c r="H9223" s="5">
        <v>4620</v>
      </c>
      <c r="I9223" s="6">
        <v>1585.2222221588099</v>
      </c>
      <c r="J9223" s="5">
        <v>11490</v>
      </c>
      <c r="K9223" s="6">
        <f t="shared" si="386"/>
        <v>2.9144178875491198</v>
      </c>
    </row>
    <row r="9224" spans="1:11" hidden="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4"/>
        <v>008FREEDOM</v>
      </c>
      <c r="H9224" s="5">
        <v>3720</v>
      </c>
      <c r="I9224" s="6">
        <v>2219.311111022334</v>
      </c>
      <c r="J9224" s="5">
        <v>16800</v>
      </c>
      <c r="K9224" s="6">
        <f t="shared" si="386"/>
        <v>1.6761958165866921</v>
      </c>
    </row>
    <row r="9225" spans="1:11" hidden="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4"/>
        <v>008JOCKER</v>
      </c>
      <c r="H9225" s="5">
        <v>4200</v>
      </c>
      <c r="I9225" s="6">
        <v>2959.0814813631118</v>
      </c>
      <c r="J9225" s="5">
        <v>22400</v>
      </c>
      <c r="K9225" s="6">
        <f t="shared" si="386"/>
        <v>1.4193593608193764</v>
      </c>
    </row>
    <row r="9226" spans="1:11" hidden="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4"/>
        <v>010COOLDOWN</v>
      </c>
      <c r="H9226" s="5">
        <v>1275</v>
      </c>
      <c r="I9226" s="6">
        <v>1912.3542857142861</v>
      </c>
      <c r="J9226" s="5">
        <v>16320</v>
      </c>
      <c r="K9226" s="6">
        <f t="shared" si="386"/>
        <v>0.66671746418774747</v>
      </c>
    </row>
    <row r="9227" spans="1:11" hidden="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4"/>
        <v>010VIOLET HILL</v>
      </c>
      <c r="H9227" s="5">
        <v>2970</v>
      </c>
      <c r="I9227" s="6">
        <v>2812.2857142428579</v>
      </c>
      <c r="J9227" s="5">
        <v>20000</v>
      </c>
      <c r="K9227" s="6">
        <f t="shared" si="386"/>
        <v>1.0560804632894858</v>
      </c>
    </row>
    <row r="9228" spans="1:11" hidden="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4"/>
        <v>011BRIGHTON</v>
      </c>
      <c r="H9228" s="5">
        <v>3600</v>
      </c>
      <c r="I9228" s="6">
        <v>1768.8376470588223</v>
      </c>
      <c r="J9228" s="5">
        <v>12800</v>
      </c>
      <c r="K9228" s="6">
        <f t="shared" si="386"/>
        <v>2.0352348368353574</v>
      </c>
    </row>
    <row r="9229" spans="1:11" hidden="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4"/>
        <v>011CANDLELIGHT</v>
      </c>
      <c r="H9229" s="5">
        <v>3720</v>
      </c>
      <c r="I9229" s="6">
        <v>2263.7999998868127</v>
      </c>
      <c r="J9229" s="5">
        <v>17920</v>
      </c>
      <c r="K9229" s="6">
        <f t="shared" si="386"/>
        <v>1.643254704561355</v>
      </c>
    </row>
    <row r="9230" spans="1:11" hidden="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4"/>
        <v>011CAYENNE</v>
      </c>
      <c r="H9230" s="5">
        <v>1680</v>
      </c>
      <c r="I9230" s="6">
        <v>994.97117647058747</v>
      </c>
      <c r="J9230" s="5">
        <v>7200</v>
      </c>
      <c r="K9230" s="6">
        <f t="shared" si="386"/>
        <v>1.6884911238930376</v>
      </c>
    </row>
    <row r="9231" spans="1:11" hidden="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4"/>
        <v>011LUMIA</v>
      </c>
      <c r="H9231" s="5">
        <v>1740</v>
      </c>
      <c r="I9231" s="6">
        <v>994.97117647058747</v>
      </c>
      <c r="J9231" s="5">
        <v>7920</v>
      </c>
      <c r="K9231" s="6">
        <f t="shared" si="386"/>
        <v>1.7487943783177888</v>
      </c>
    </row>
    <row r="9232" spans="1:11" hidden="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4"/>
        <v>011STARDUST</v>
      </c>
      <c r="H9232" s="5">
        <v>2525</v>
      </c>
      <c r="I9232" s="6">
        <v>2263.7999998868127</v>
      </c>
      <c r="J9232" s="5">
        <v>17920</v>
      </c>
      <c r="K9232" s="6">
        <f t="shared" si="386"/>
        <v>1.1153812174778015</v>
      </c>
    </row>
    <row r="9233" spans="1:11" hidden="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4"/>
        <v>012DEEP PURPLE</v>
      </c>
      <c r="H9233" s="5">
        <v>14010</v>
      </c>
      <c r="I9233" s="6">
        <v>6727.0499997982479</v>
      </c>
      <c r="J9233" s="5">
        <v>49210</v>
      </c>
      <c r="K9233" s="6">
        <f t="shared" si="386"/>
        <v>2.0826365197850731</v>
      </c>
    </row>
    <row r="9234" spans="1:11" hidden="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4"/>
        <v>012LIGHT HOUSE</v>
      </c>
      <c r="H9234" s="5">
        <v>1380</v>
      </c>
      <c r="I9234" s="6">
        <v>994.95</v>
      </c>
      <c r="J9234" s="5">
        <v>7200</v>
      </c>
      <c r="K9234" s="6">
        <f t="shared" si="386"/>
        <v>1.3870043720789988</v>
      </c>
    </row>
    <row r="9235" spans="1:11" hidden="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4"/>
        <v>013COUNTRY BLUES</v>
      </c>
      <c r="H9235" s="5">
        <v>1250</v>
      </c>
      <c r="I9235" s="6">
        <v>831.6</v>
      </c>
      <c r="J9235" s="5">
        <v>6300</v>
      </c>
      <c r="K9235" s="6">
        <f t="shared" si="386"/>
        <v>1.5031265031265031</v>
      </c>
    </row>
    <row r="9236" spans="1:11" hidden="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4"/>
        <v>013LORRAINE</v>
      </c>
      <c r="H9236" s="5">
        <v>3175</v>
      </c>
      <c r="I9236" s="6">
        <v>1267.2</v>
      </c>
      <c r="J9236" s="5">
        <v>9600</v>
      </c>
      <c r="K9236" s="6">
        <f t="shared" si="386"/>
        <v>2.5055239898989896</v>
      </c>
    </row>
    <row r="9237" spans="1:11" hidden="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4"/>
        <v>013LUMIA</v>
      </c>
      <c r="H9237" s="5">
        <v>570</v>
      </c>
      <c r="I9237" s="6">
        <v>316.8</v>
      </c>
      <c r="J9237" s="5">
        <v>2400</v>
      </c>
      <c r="K9237" s="6">
        <f t="shared" si="386"/>
        <v>1.7992424242424241</v>
      </c>
    </row>
    <row r="9238" spans="1:11" hidden="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7">+E9238&amp;F9238</f>
        <v>013VENDELA</v>
      </c>
      <c r="H9238" s="5">
        <v>9480</v>
      </c>
      <c r="I9238" s="6">
        <v>3603.6</v>
      </c>
      <c r="J9238" s="5">
        <v>27296</v>
      </c>
      <c r="K9238" s="6">
        <f t="shared" si="386"/>
        <v>2.6307026307026309</v>
      </c>
    </row>
    <row r="9239" spans="1:11" hidden="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7"/>
        <v>014STARDUST</v>
      </c>
      <c r="H9239" s="5">
        <v>4400</v>
      </c>
      <c r="I9239" s="6">
        <v>3682.8</v>
      </c>
      <c r="J9239" s="5">
        <v>27900</v>
      </c>
      <c r="K9239" s="6">
        <f t="shared" si="386"/>
        <v>1.1947431302270011</v>
      </c>
    </row>
    <row r="9240" spans="1:11" hidden="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7"/>
        <v>015JOCKER</v>
      </c>
      <c r="H9240" s="5">
        <v>3250</v>
      </c>
      <c r="I9240" s="6">
        <v>2376</v>
      </c>
      <c r="J9240" s="5">
        <v>18000</v>
      </c>
      <c r="K9240" s="6">
        <f t="shared" si="386"/>
        <v>1.3678451178451179</v>
      </c>
    </row>
    <row r="9241" spans="1:11" hidden="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7"/>
        <v>016DREAM IN PEACH</v>
      </c>
      <c r="H9241" s="5">
        <v>450</v>
      </c>
      <c r="I9241" s="6">
        <v>950.4</v>
      </c>
      <c r="J9241" s="5">
        <v>7200</v>
      </c>
      <c r="K9241" s="6">
        <f t="shared" si="386"/>
        <v>0.47348484848484851</v>
      </c>
    </row>
    <row r="9242" spans="1:11" hidden="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7"/>
        <v>016NINA</v>
      </c>
      <c r="H9242" s="5">
        <v>3075</v>
      </c>
      <c r="I9242" s="6">
        <v>1346.4</v>
      </c>
      <c r="J9242" s="5">
        <v>10200</v>
      </c>
      <c r="K9242" s="6">
        <f t="shared" si="386"/>
        <v>2.2838680926916219</v>
      </c>
    </row>
    <row r="9243" spans="1:11" hidden="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7"/>
        <v>017FREEDOM</v>
      </c>
      <c r="H9243" s="5">
        <v>5040</v>
      </c>
      <c r="I9243" s="6">
        <v>2851.2</v>
      </c>
      <c r="J9243" s="5">
        <v>21600</v>
      </c>
      <c r="K9243" s="6">
        <f t="shared" si="386"/>
        <v>1.7676767676767677</v>
      </c>
    </row>
    <row r="9244" spans="1:11" hidden="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7"/>
        <v>017GOLDFINCH</v>
      </c>
      <c r="H9244" s="5">
        <v>2425</v>
      </c>
      <c r="I9244" s="6">
        <v>2138.4</v>
      </c>
      <c r="J9244" s="5">
        <v>16200</v>
      </c>
      <c r="K9244" s="6">
        <f t="shared" si="386"/>
        <v>1.134025439580995</v>
      </c>
    </row>
    <row r="9245" spans="1:11" hidden="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7"/>
        <v>018BRIGHTON</v>
      </c>
      <c r="H9245" s="5">
        <v>1450</v>
      </c>
      <c r="I9245" s="6">
        <v>963.6</v>
      </c>
      <c r="J9245" s="5">
        <v>7570</v>
      </c>
      <c r="K9245" s="6">
        <f t="shared" si="386"/>
        <v>1.5047737650477375</v>
      </c>
    </row>
    <row r="9246" spans="1:11" hidden="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7"/>
        <v>019BRIGHTON</v>
      </c>
      <c r="H9246" s="5">
        <v>4950</v>
      </c>
      <c r="I9246" s="6">
        <v>3168</v>
      </c>
      <c r="J9246" s="5">
        <v>24000</v>
      </c>
      <c r="K9246" s="6">
        <f t="shared" si="386"/>
        <v>1.5625</v>
      </c>
    </row>
    <row r="9247" spans="1:11" hidden="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7"/>
        <v>019TABATHA</v>
      </c>
      <c r="H9247" s="5">
        <v>2490</v>
      </c>
      <c r="I9247" s="6">
        <v>1188</v>
      </c>
      <c r="J9247" s="5">
        <v>9000</v>
      </c>
      <c r="K9247" s="6">
        <f t="shared" si="386"/>
        <v>2.095959595959596</v>
      </c>
    </row>
    <row r="9248" spans="1:11" hidden="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7"/>
        <v>020BRIGHTON</v>
      </c>
      <c r="H9248" s="5">
        <v>4625</v>
      </c>
      <c r="I9248" s="6">
        <v>2732.4</v>
      </c>
      <c r="J9248" s="5">
        <v>20700</v>
      </c>
      <c r="K9248" s="6">
        <f t="shared" si="386"/>
        <v>1.6926511491728882</v>
      </c>
    </row>
    <row r="9249" spans="1:11" hidden="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7"/>
        <v>020TYCOON</v>
      </c>
      <c r="H9249" s="5">
        <v>930</v>
      </c>
      <c r="I9249" s="6">
        <v>673.2</v>
      </c>
      <c r="J9249" s="5">
        <v>5100</v>
      </c>
      <c r="K9249" s="6">
        <f t="shared" si="386"/>
        <v>1.3814616755793225</v>
      </c>
    </row>
    <row r="9250" spans="1:11" hidden="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7"/>
        <v>021SHOW GIRL</v>
      </c>
      <c r="H9250" s="5">
        <v>1275</v>
      </c>
      <c r="I9250" s="6">
        <v>1100.4749999999999</v>
      </c>
      <c r="J9250" s="5">
        <v>8000</v>
      </c>
      <c r="K9250" s="6">
        <f t="shared" si="386"/>
        <v>1.1585906086008315</v>
      </c>
    </row>
    <row r="9251" spans="1:11" hidden="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7"/>
        <v>022CORAL REEF</v>
      </c>
      <c r="H9251" s="5">
        <v>2025</v>
      </c>
      <c r="I9251" s="6">
        <v>1287</v>
      </c>
      <c r="J9251" s="5">
        <v>9400</v>
      </c>
      <c r="K9251" s="6">
        <f t="shared" si="386"/>
        <v>1.5734265734265733</v>
      </c>
    </row>
    <row r="9252" spans="1:11" hidden="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7"/>
        <v>023COTOPAXI</v>
      </c>
      <c r="H9252" s="5">
        <v>5400</v>
      </c>
      <c r="I9252" s="6">
        <v>2641.14</v>
      </c>
      <c r="J9252" s="5">
        <v>19200</v>
      </c>
      <c r="K9252" s="6">
        <f t="shared" si="386"/>
        <v>2.0445716622367613</v>
      </c>
    </row>
    <row r="9253" spans="1:11" hidden="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7"/>
        <v>023FRUTTETO</v>
      </c>
      <c r="H9253" s="5">
        <v>3330</v>
      </c>
      <c r="I9253" s="6">
        <v>2641.14</v>
      </c>
      <c r="J9253" s="5">
        <v>19200</v>
      </c>
      <c r="K9253" s="6">
        <f t="shared" si="386"/>
        <v>1.2608191917126697</v>
      </c>
    </row>
    <row r="9254" spans="1:11" hidden="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7"/>
        <v>024COTOPAXI</v>
      </c>
      <c r="H9254" s="5">
        <v>2610</v>
      </c>
      <c r="I9254" s="6">
        <v>1430.6174906250001</v>
      </c>
      <c r="J9254" s="5">
        <v>10400</v>
      </c>
      <c r="K9254" s="6">
        <f t="shared" si="386"/>
        <v>1.8243870336436037</v>
      </c>
    </row>
    <row r="9255" spans="1:11" hidden="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7"/>
        <v>024SWEETNESS</v>
      </c>
      <c r="H9255" s="5">
        <v>1470</v>
      </c>
      <c r="I9255" s="6">
        <v>1430.6175000000001</v>
      </c>
      <c r="J9255" s="5">
        <v>10400</v>
      </c>
      <c r="K9255" s="6">
        <f t="shared" si="386"/>
        <v>1.0275283225600134</v>
      </c>
    </row>
    <row r="9256" spans="1:11" hidden="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7"/>
        <v>024TYCOON</v>
      </c>
      <c r="H9256" s="5">
        <v>2640</v>
      </c>
      <c r="I9256" s="6">
        <v>2861.2350000000001</v>
      </c>
      <c r="J9256" s="5">
        <v>20800</v>
      </c>
      <c r="K9256" s="6">
        <f t="shared" si="386"/>
        <v>0.92267849372735899</v>
      </c>
    </row>
    <row r="9257" spans="1:11" hidden="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7"/>
        <v>025PINK MONDIAL</v>
      </c>
      <c r="H9257" s="5">
        <v>4600</v>
      </c>
      <c r="I9257" s="6">
        <v>3071.9505625000002</v>
      </c>
      <c r="J9257" s="5">
        <v>22400</v>
      </c>
      <c r="K9257" s="6">
        <f t="shared" si="386"/>
        <v>1.4974199312167478</v>
      </c>
    </row>
    <row r="9258" spans="1:11" hidden="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7"/>
        <v>026LOLA</v>
      </c>
      <c r="H9258" s="5">
        <v>3000</v>
      </c>
      <c r="I9258" s="6">
        <v>1097.125</v>
      </c>
      <c r="J9258" s="5">
        <v>8000</v>
      </c>
      <c r="K9258" s="6">
        <f t="shared" si="386"/>
        <v>2.734419505525806</v>
      </c>
    </row>
    <row r="9259" spans="1:11" hidden="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7"/>
        <v>026PALOMA</v>
      </c>
      <c r="H9259" s="5">
        <v>4225</v>
      </c>
      <c r="I9259" s="6">
        <v>2852.5250000000001</v>
      </c>
      <c r="J9259" s="5">
        <v>20800</v>
      </c>
      <c r="K9259" s="6">
        <f t="shared" si="386"/>
        <v>1.4811438988264782</v>
      </c>
    </row>
    <row r="9260" spans="1:11" hidden="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7"/>
        <v>027SATISFACTION</v>
      </c>
      <c r="H9260" s="5">
        <v>3900</v>
      </c>
      <c r="I9260" s="6">
        <v>2633.1</v>
      </c>
      <c r="J9260" s="5">
        <v>19200</v>
      </c>
      <c r="K9260" s="6">
        <f t="shared" si="386"/>
        <v>1.4811438988264785</v>
      </c>
    </row>
    <row r="9261" spans="1:11" hidden="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7"/>
        <v>027TIFFANY</v>
      </c>
      <c r="H9261" s="5">
        <v>3750</v>
      </c>
      <c r="I9261" s="6">
        <v>2633.1</v>
      </c>
      <c r="J9261" s="5">
        <v>19200</v>
      </c>
      <c r="K9261" s="6">
        <f t="shared" si="386"/>
        <v>1.4241768257946907</v>
      </c>
    </row>
    <row r="9262" spans="1:11" hidden="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7"/>
        <v>028COTOPAXI</v>
      </c>
      <c r="H9262" s="5">
        <v>3840</v>
      </c>
      <c r="I9262" s="6">
        <v>2852.5250000000001</v>
      </c>
      <c r="J9262" s="5">
        <v>20800</v>
      </c>
      <c r="K9262" s="6">
        <f t="shared" ref="K9262:K9265" si="388">+H9262/I9262</f>
        <v>1.3461757565665506</v>
      </c>
    </row>
    <row r="9263" spans="1:11" hidden="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7"/>
        <v>028DEEP PURPLE</v>
      </c>
      <c r="H9263" s="5">
        <v>7950</v>
      </c>
      <c r="I9263" s="6">
        <v>2852.5250000000001</v>
      </c>
      <c r="J9263" s="5">
        <v>20800</v>
      </c>
      <c r="K9263" s="6">
        <f t="shared" si="388"/>
        <v>2.7870044960166869</v>
      </c>
    </row>
    <row r="9264" spans="1:11" hidden="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7"/>
        <v>029PINK FLOYD</v>
      </c>
      <c r="H9264" s="5">
        <v>4300</v>
      </c>
      <c r="I9264" s="6">
        <v>3071.95</v>
      </c>
      <c r="J9264" s="5">
        <v>22400</v>
      </c>
      <c r="K9264" s="6">
        <f t="shared" si="388"/>
        <v>1.3997623659239247</v>
      </c>
    </row>
    <row r="9265" spans="1:11" hidden="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7"/>
        <v>030EXPLORER</v>
      </c>
      <c r="H9265" s="5">
        <v>1675</v>
      </c>
      <c r="I9265" s="6">
        <v>1645.6875</v>
      </c>
      <c r="J9265" s="5">
        <v>12000</v>
      </c>
      <c r="K9265" s="6">
        <f t="shared" si="388"/>
        <v>1.0178117048346056</v>
      </c>
    </row>
    <row r="9266" spans="1:11" hidden="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150</v>
      </c>
      <c r="I9266" s="6">
        <v>880.37999999999965</v>
      </c>
      <c r="J9266" s="5">
        <v>6400</v>
      </c>
      <c r="K9266" s="6">
        <v>8.5190485926531764E-2</v>
      </c>
    </row>
    <row r="9267" spans="1:11" hidden="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89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0">+H9267/I9267</f>
        <v>2.0623738096682098</v>
      </c>
    </row>
    <row r="9268" spans="1:11" hidden="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89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0"/>
        <v>0.97938492737949401</v>
      </c>
    </row>
    <row r="9269" spans="1:11" hidden="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89"/>
        <v>005ELBA</v>
      </c>
      <c r="H9269" s="5">
        <v>9270</v>
      </c>
      <c r="I9269" s="6">
        <v>2641.9642856076484</v>
      </c>
      <c r="J9269" s="5">
        <v>19996</v>
      </c>
      <c r="K9269" s="6">
        <f t="shared" si="390"/>
        <v>3.5087529572217182</v>
      </c>
    </row>
    <row r="9270" spans="1:11" hidden="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89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0"/>
        <v>3.406556269147297</v>
      </c>
    </row>
    <row r="9271" spans="1:11" hidden="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89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0"/>
        <v>1.7348203222509384</v>
      </c>
    </row>
    <row r="9272" spans="1:11" hidden="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89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0"/>
        <v>2.1449191703592239</v>
      </c>
    </row>
    <row r="9273" spans="1:11" hidden="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89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0"/>
        <v>2.905525846760423</v>
      </c>
    </row>
    <row r="9274" spans="1:11" hidden="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89"/>
        <v>014FRUITY BUBBLES</v>
      </c>
      <c r="H9274" s="5">
        <v>2375</v>
      </c>
      <c r="I9274" s="6">
        <v>1702.8</v>
      </c>
      <c r="J9274" s="5">
        <v>12900</v>
      </c>
      <c r="K9274" s="6">
        <f t="shared" si="390"/>
        <v>1.3947615691801738</v>
      </c>
    </row>
    <row r="9275" spans="1:11" hidden="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89"/>
        <v>015FELLINI</v>
      </c>
      <c r="H9275" s="5">
        <v>5380</v>
      </c>
      <c r="I9275" s="6">
        <v>3009.6</v>
      </c>
      <c r="J9275" s="5">
        <v>22800</v>
      </c>
      <c r="K9275" s="6">
        <f t="shared" si="390"/>
        <v>1.7876129718234981</v>
      </c>
    </row>
    <row r="9276" spans="1:11" hidden="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89"/>
        <v>016GOOD PEACH</v>
      </c>
      <c r="H9276" s="5">
        <v>3300</v>
      </c>
      <c r="I9276" s="6">
        <v>1386</v>
      </c>
      <c r="J9276" s="5">
        <v>10500</v>
      </c>
      <c r="K9276" s="6">
        <f t="shared" si="390"/>
        <v>2.3809523809523809</v>
      </c>
    </row>
    <row r="9277" spans="1:11" hidden="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89"/>
        <v>016GOOD YELLOW</v>
      </c>
      <c r="H9277" s="5">
        <v>2880</v>
      </c>
      <c r="I9277" s="6">
        <v>1386</v>
      </c>
      <c r="J9277" s="5">
        <v>10500</v>
      </c>
      <c r="K9277" s="6">
        <f t="shared" si="390"/>
        <v>2.0779220779220777</v>
      </c>
    </row>
    <row r="9278" spans="1:11" hidden="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89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0"/>
        <v>1.1412198912198914</v>
      </c>
    </row>
    <row r="9279" spans="1:11" hidden="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89"/>
        <v>018COSMO</v>
      </c>
      <c r="H9279" s="5">
        <v>3750</v>
      </c>
      <c r="I9279" s="6">
        <v>2653.2</v>
      </c>
      <c r="J9279" s="5">
        <v>20100</v>
      </c>
      <c r="K9279" s="6">
        <f t="shared" si="390"/>
        <v>1.4133876074174583</v>
      </c>
    </row>
    <row r="9280" spans="1:11" hidden="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89"/>
        <v>018RUBICON</v>
      </c>
      <c r="H9280" s="5">
        <v>4530</v>
      </c>
      <c r="I9280" s="6">
        <v>1768.8</v>
      </c>
      <c r="J9280" s="5">
        <v>13400</v>
      </c>
      <c r="K9280" s="6">
        <f t="shared" si="390"/>
        <v>2.5610583446404345</v>
      </c>
    </row>
    <row r="9281" spans="1:11" hidden="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89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0"/>
        <v>1.7482517482517483</v>
      </c>
    </row>
    <row r="9282" spans="1:11" hidden="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89"/>
        <v>020SUMMER DANCE</v>
      </c>
      <c r="H9282" s="5">
        <v>3025</v>
      </c>
      <c r="I9282" s="6">
        <v>1346.4</v>
      </c>
      <c r="J9282" s="5">
        <v>10200</v>
      </c>
      <c r="K9282" s="6">
        <f t="shared" si="390"/>
        <v>2.2467320261437909</v>
      </c>
    </row>
    <row r="9283" spans="1:11" hidden="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89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0"/>
        <v>0.68152390192709189</v>
      </c>
    </row>
    <row r="9284" spans="1:11" hidden="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89"/>
        <v>021FLAME CLUB</v>
      </c>
      <c r="H9284" s="5">
        <v>1600</v>
      </c>
      <c r="I9284" s="6">
        <v>880.38</v>
      </c>
      <c r="J9284" s="5">
        <v>6400</v>
      </c>
      <c r="K9284" s="6">
        <f t="shared" si="390"/>
        <v>1.8173970330993434</v>
      </c>
    </row>
    <row r="9285" spans="1:11" hidden="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89"/>
        <v>021KELLY</v>
      </c>
      <c r="H9285" s="5">
        <v>550</v>
      </c>
      <c r="I9285" s="6">
        <v>330.14249999999998</v>
      </c>
      <c r="J9285" s="5">
        <v>2400</v>
      </c>
      <c r="K9285" s="6">
        <f t="shared" si="390"/>
        <v>1.6659472803410649</v>
      </c>
    </row>
    <row r="9286" spans="1:11" hidden="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89"/>
        <v>021LEILA</v>
      </c>
      <c r="H9286" s="5">
        <v>2400</v>
      </c>
      <c r="I9286" s="6">
        <v>1650.7125000000001</v>
      </c>
      <c r="J9286" s="5">
        <v>12000</v>
      </c>
      <c r="K9286" s="6">
        <f t="shared" si="390"/>
        <v>1.4539176264794746</v>
      </c>
    </row>
    <row r="9287" spans="1:11" hidden="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89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0"/>
        <v>1.8026418026418001</v>
      </c>
    </row>
    <row r="9288" spans="1:11" hidden="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89"/>
        <v>022FRUITY BUBBLES</v>
      </c>
      <c r="H9288" s="5">
        <v>5100</v>
      </c>
      <c r="I9288" s="6">
        <v>2641.14</v>
      </c>
      <c r="J9288" s="5">
        <v>19200</v>
      </c>
      <c r="K9288" s="6">
        <f t="shared" si="390"/>
        <v>1.9309843476680526</v>
      </c>
    </row>
    <row r="9289" spans="1:11" hidden="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89"/>
        <v>022GOOD PEACH</v>
      </c>
      <c r="H9289" s="5">
        <v>2160</v>
      </c>
      <c r="I9289" s="6">
        <v>880.38</v>
      </c>
      <c r="J9289" s="5">
        <v>6400</v>
      </c>
      <c r="K9289" s="6">
        <f t="shared" si="390"/>
        <v>2.4534859946841139</v>
      </c>
    </row>
    <row r="9290" spans="1:11" hidden="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89"/>
        <v>022MIRABEL</v>
      </c>
      <c r="H9290" s="5">
        <v>1720</v>
      </c>
      <c r="I9290" s="6">
        <v>880.38</v>
      </c>
      <c r="J9290" s="5">
        <v>6400</v>
      </c>
      <c r="K9290" s="6">
        <f t="shared" si="390"/>
        <v>1.9537018105817943</v>
      </c>
    </row>
    <row r="9291" spans="1:11" hidden="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89"/>
        <v>026PURPLE BUBBLY</v>
      </c>
      <c r="H9291" s="5">
        <v>480</v>
      </c>
      <c r="I9291" s="6">
        <v>1755.4</v>
      </c>
      <c r="J9291" s="5">
        <v>12800</v>
      </c>
      <c r="K9291" s="6">
        <f t="shared" si="390"/>
        <v>0.27344195055258058</v>
      </c>
    </row>
    <row r="9292" spans="1:11" hidden="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89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0"/>
        <v>1.7815157426004022</v>
      </c>
    </row>
    <row r="9293" spans="1:11" hidden="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89"/>
        <v>030SOMERSET</v>
      </c>
      <c r="H9293" s="5">
        <v>2600</v>
      </c>
      <c r="I9293" s="6">
        <v>1645.6875</v>
      </c>
      <c r="J9293" s="5">
        <v>12000</v>
      </c>
      <c r="K9293" s="6">
        <f t="shared" si="390"/>
        <v>1.5798868254149101</v>
      </c>
    </row>
    <row r="9294" spans="1:11" hidden="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89"/>
        <v>03182989</v>
      </c>
      <c r="H9294" s="5">
        <v>1820</v>
      </c>
      <c r="I9294" s="6">
        <v>726.32013058333712</v>
      </c>
      <c r="J9294" s="5">
        <v>5712</v>
      </c>
      <c r="K9294" s="6">
        <f t="shared" si="390"/>
        <v>2.505782124664897</v>
      </c>
    </row>
    <row r="9295" spans="1:11" hidden="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89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0"/>
        <v>2.04457037202239</v>
      </c>
    </row>
    <row r="9296" spans="1:11" hidden="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89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0"/>
        <v>2.2093832342630981</v>
      </c>
    </row>
    <row r="9297" spans="1:11" hidden="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89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0"/>
        <v>0.7067650668744857</v>
      </c>
    </row>
    <row r="9298" spans="1:11" hidden="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89"/>
        <v>032ELBA</v>
      </c>
      <c r="H9298" s="5">
        <v>3060</v>
      </c>
      <c r="I9298" s="6">
        <v>1535.9749999999999</v>
      </c>
      <c r="J9298" s="5">
        <v>11200</v>
      </c>
      <c r="K9298" s="6">
        <f t="shared" si="390"/>
        <v>1.9922199254545159</v>
      </c>
    </row>
    <row r="9299" spans="1:11" hidden="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89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0"/>
        <v>1.2109572095899999</v>
      </c>
    </row>
    <row r="9300" spans="1:11" hidden="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89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0"/>
        <v>2.4231945149982366</v>
      </c>
    </row>
    <row r="9301" spans="1:11" hidden="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89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0"/>
        <v>1.0950975212005594</v>
      </c>
    </row>
    <row r="9302" spans="1:11" hidden="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89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1">IFERROR(H9302/I9302,"")</f>
        <v>1.8736539842817028</v>
      </c>
    </row>
    <row r="9303" spans="1:11" hidden="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89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1"/>
        <v>1.1883640492272924</v>
      </c>
    </row>
    <row r="9304" spans="1:11" hidden="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89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1"/>
        <v>1.3678190243378769</v>
      </c>
    </row>
    <row r="9305" spans="1:11" hidden="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89"/>
        <v>001IDOLE</v>
      </c>
      <c r="H9305" s="5">
        <v>1120</v>
      </c>
      <c r="I9305" s="6">
        <v>1162.4344827121181</v>
      </c>
      <c r="J9305" s="5">
        <v>8800</v>
      </c>
      <c r="K9305" s="6">
        <f t="shared" si="391"/>
        <v>0.96349516179775341</v>
      </c>
    </row>
    <row r="9306" spans="1:11" hidden="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89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1"/>
        <v>1.0787704757985535</v>
      </c>
    </row>
    <row r="9307" spans="1:11" hidden="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89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1"/>
        <v>1.721721885107341</v>
      </c>
    </row>
    <row r="9308" spans="1:11" hidden="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89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2">+H9308/I9308</f>
        <v>2.2079531374094956</v>
      </c>
    </row>
    <row r="9309" spans="1:11" hidden="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89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2"/>
        <v>1.600766024621884</v>
      </c>
    </row>
    <row r="9310" spans="1:11" hidden="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89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2"/>
        <v>1.6238334530441332</v>
      </c>
    </row>
    <row r="9311" spans="1:11" hidden="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89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2"/>
        <v>1.6281752537207312</v>
      </c>
    </row>
    <row r="9312" spans="1:11" hidden="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89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2"/>
        <v>1.6560073093398793</v>
      </c>
    </row>
    <row r="9313" spans="1:11" hidden="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89"/>
        <v>003JOCKER</v>
      </c>
      <c r="H9313" s="5">
        <v>900</v>
      </c>
      <c r="I9313" s="6">
        <v>528.37931032368999</v>
      </c>
      <c r="J9313" s="5">
        <v>4000</v>
      </c>
      <c r="K9313" s="6">
        <f t="shared" si="392"/>
        <v>1.7033218038924571</v>
      </c>
    </row>
    <row r="9314" spans="1:11" hidden="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89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2"/>
        <v>1.4452427426966219</v>
      </c>
    </row>
    <row r="9315" spans="1:11" hidden="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89"/>
        <v>004COTOPAXI</v>
      </c>
      <c r="H9315" s="5">
        <v>720</v>
      </c>
      <c r="I9315" s="6">
        <v>528.3915024419166</v>
      </c>
      <c r="J9315" s="5">
        <v>4000</v>
      </c>
      <c r="K9315" s="6">
        <f t="shared" si="392"/>
        <v>1.3626260011233733</v>
      </c>
    </row>
    <row r="9316" spans="1:11" hidden="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89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2"/>
        <v>2.0638820639646247</v>
      </c>
    </row>
    <row r="9317" spans="1:11" hidden="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89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2"/>
        <v>1.2879726634888682</v>
      </c>
    </row>
    <row r="9318" spans="1:11" hidden="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89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2"/>
        <v>1.6000491567201223</v>
      </c>
    </row>
    <row r="9319" spans="1:11" hidden="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89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2"/>
        <v>2.1764109497322086</v>
      </c>
    </row>
    <row r="9320" spans="1:11" hidden="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89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2"/>
        <v>1.6033945402622309</v>
      </c>
    </row>
    <row r="9321" spans="1:11" hidden="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89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2"/>
        <v>0.75144623584131554</v>
      </c>
    </row>
    <row r="9322" spans="1:11" hidden="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89"/>
        <v>005JOCKER</v>
      </c>
      <c r="H9322" s="5">
        <v>1950</v>
      </c>
      <c r="I9322" s="6">
        <v>1162.4642856673661</v>
      </c>
      <c r="J9322" s="5">
        <v>8800</v>
      </c>
      <c r="K9322" s="6">
        <f t="shared" si="392"/>
        <v>1.6774708901104112</v>
      </c>
    </row>
    <row r="9323" spans="1:11" hidden="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89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2"/>
        <v>3.5812514624369021</v>
      </c>
    </row>
    <row r="9324" spans="1:11" hidden="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89"/>
        <v>006ATOMIC</v>
      </c>
      <c r="H9324" s="5">
        <v>650</v>
      </c>
      <c r="I9324" s="6">
        <v>845.428571394752</v>
      </c>
      <c r="J9324" s="5">
        <v>6400</v>
      </c>
      <c r="K9324" s="6">
        <f t="shared" si="392"/>
        <v>0.7688408246336621</v>
      </c>
    </row>
    <row r="9325" spans="1:11" hidden="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89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2"/>
        <v>1.3810363253294859</v>
      </c>
    </row>
    <row r="9326" spans="1:11" hidden="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89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2"/>
        <v>1.4443001725911684</v>
      </c>
    </row>
    <row r="9327" spans="1:11" hidden="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89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2"/>
        <v>2.7624358425528839</v>
      </c>
    </row>
    <row r="9328" spans="1:11" hidden="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89"/>
        <v>007REDIANT</v>
      </c>
      <c r="H9328" s="5">
        <v>1350</v>
      </c>
      <c r="I9328" s="6">
        <v>1056.75862064738</v>
      </c>
      <c r="J9328" s="5">
        <v>9600</v>
      </c>
      <c r="K9328" s="6">
        <f t="shared" si="392"/>
        <v>1.2774913529193428</v>
      </c>
    </row>
    <row r="9329" spans="1:11" hidden="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89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2"/>
        <v>0</v>
      </c>
    </row>
    <row r="9330" spans="1:11" hidden="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3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2"/>
        <v>0</v>
      </c>
    </row>
    <row r="9331" spans="1:11" hidden="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3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2"/>
        <v>3.3648955243561587</v>
      </c>
    </row>
    <row r="9332" spans="1:11" hidden="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3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2"/>
        <v>2.1006518540126771</v>
      </c>
    </row>
    <row r="9333" spans="1:11" hidden="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3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2"/>
        <v>1.7573020657763707</v>
      </c>
    </row>
    <row r="9334" spans="1:11" hidden="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3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2"/>
        <v>1.4784993341868504</v>
      </c>
    </row>
    <row r="9335" spans="1:11" hidden="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3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2"/>
        <v>1.2680704711021864</v>
      </c>
    </row>
    <row r="9336" spans="1:11" hidden="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3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2"/>
        <v>1.0774154221438188</v>
      </c>
    </row>
    <row r="9337" spans="1:11" hidden="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3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2"/>
        <v>1.8373647832541422</v>
      </c>
    </row>
    <row r="9338" spans="1:11" hidden="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3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2"/>
        <v>1.9259651913676097</v>
      </c>
    </row>
    <row r="9339" spans="1:11" hidden="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3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2"/>
        <v>1.4472781061940321</v>
      </c>
    </row>
    <row r="9340" spans="1:11" hidden="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3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2"/>
        <v>1.1043378390869323</v>
      </c>
    </row>
    <row r="9341" spans="1:11" hidden="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3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2"/>
        <v>1.7570852008465072</v>
      </c>
    </row>
    <row r="9342" spans="1:11" hidden="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3"/>
        <v>012LIGHT HOUSE</v>
      </c>
      <c r="H9342" s="5">
        <v>1140</v>
      </c>
      <c r="I9342" s="6">
        <v>994.95</v>
      </c>
      <c r="J9342" s="5">
        <v>7200</v>
      </c>
      <c r="K9342" s="6">
        <f t="shared" si="392"/>
        <v>1.145786220413086</v>
      </c>
    </row>
    <row r="9343" spans="1:11" hidden="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3"/>
        <v>013COUNTRY BLUES</v>
      </c>
      <c r="H9343" s="5">
        <v>1475</v>
      </c>
      <c r="I9343" s="6">
        <v>831.6</v>
      </c>
      <c r="J9343" s="5">
        <v>6300</v>
      </c>
      <c r="K9343" s="6">
        <f t="shared" si="392"/>
        <v>1.7736892736892735</v>
      </c>
    </row>
    <row r="9344" spans="1:11" hidden="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3"/>
        <v>013LORRAINE</v>
      </c>
      <c r="H9344" s="5">
        <v>2200</v>
      </c>
      <c r="I9344" s="6">
        <v>1267.2</v>
      </c>
      <c r="J9344" s="5">
        <v>9600</v>
      </c>
      <c r="K9344" s="6">
        <f t="shared" si="392"/>
        <v>1.7361111111111109</v>
      </c>
    </row>
    <row r="9345" spans="1:11" hidden="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3"/>
        <v>013VENDELA</v>
      </c>
      <c r="H9345" s="5">
        <v>7320</v>
      </c>
      <c r="I9345" s="6">
        <v>3603.6</v>
      </c>
      <c r="J9345" s="5">
        <v>27296</v>
      </c>
      <c r="K9345" s="6">
        <f t="shared" si="392"/>
        <v>2.0313020313020314</v>
      </c>
    </row>
    <row r="9346" spans="1:11" hidden="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3"/>
        <v>014STARDUST</v>
      </c>
      <c r="H9346" s="5">
        <v>3500</v>
      </c>
      <c r="I9346" s="6">
        <v>3682.8</v>
      </c>
      <c r="J9346" s="5">
        <v>27900</v>
      </c>
      <c r="K9346" s="6">
        <f t="shared" si="392"/>
        <v>0.95036385358966002</v>
      </c>
    </row>
    <row r="9347" spans="1:11" hidden="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3"/>
        <v>015JOCKER</v>
      </c>
      <c r="H9347" s="5">
        <v>2450</v>
      </c>
      <c r="I9347" s="6">
        <v>2376</v>
      </c>
      <c r="J9347" s="5">
        <v>18000</v>
      </c>
      <c r="K9347" s="6">
        <f t="shared" si="392"/>
        <v>1.0311447811447811</v>
      </c>
    </row>
    <row r="9348" spans="1:11" hidden="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3"/>
        <v>016DREAM IN PEACH</v>
      </c>
      <c r="H9348" s="5">
        <v>420</v>
      </c>
      <c r="I9348" s="6">
        <v>950.4</v>
      </c>
      <c r="J9348" s="5">
        <v>7200</v>
      </c>
      <c r="K9348" s="6">
        <f t="shared" si="392"/>
        <v>0.44191919191919193</v>
      </c>
    </row>
    <row r="9349" spans="1:11" hidden="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3"/>
        <v>016NINA</v>
      </c>
      <c r="H9349" s="5">
        <v>2825</v>
      </c>
      <c r="I9349" s="6">
        <v>1346.4</v>
      </c>
      <c r="J9349" s="5">
        <v>10200</v>
      </c>
      <c r="K9349" s="6">
        <f t="shared" si="392"/>
        <v>2.0981877599524656</v>
      </c>
    </row>
    <row r="9350" spans="1:11" hidden="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3"/>
        <v>017FREEDOM</v>
      </c>
      <c r="H9350" s="5">
        <v>4380</v>
      </c>
      <c r="I9350" s="6">
        <v>2851.2</v>
      </c>
      <c r="J9350" s="5">
        <v>21600</v>
      </c>
      <c r="K9350" s="6">
        <f t="shared" si="392"/>
        <v>1.5361952861952863</v>
      </c>
    </row>
    <row r="9351" spans="1:11" hidden="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3"/>
        <v>017GOLDFINCH</v>
      </c>
      <c r="H9351" s="5">
        <v>2025</v>
      </c>
      <c r="I9351" s="6">
        <v>2138.4</v>
      </c>
      <c r="J9351" s="5">
        <v>16200</v>
      </c>
      <c r="K9351" s="6">
        <f t="shared" si="392"/>
        <v>0.94696969696969691</v>
      </c>
    </row>
    <row r="9352" spans="1:11" hidden="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3"/>
        <v>018BRIGHTON</v>
      </c>
      <c r="H9352" s="5">
        <v>1500</v>
      </c>
      <c r="I9352" s="6">
        <v>963.6</v>
      </c>
      <c r="J9352" s="5">
        <v>7570</v>
      </c>
      <c r="K9352" s="6">
        <f t="shared" si="392"/>
        <v>1.5566625155666252</v>
      </c>
    </row>
    <row r="9353" spans="1:11" hidden="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3"/>
        <v>019BRIGHTON</v>
      </c>
      <c r="H9353" s="5">
        <v>4650</v>
      </c>
      <c r="I9353" s="6">
        <v>3168</v>
      </c>
      <c r="J9353" s="5">
        <v>24000</v>
      </c>
      <c r="K9353" s="6">
        <f t="shared" si="392"/>
        <v>1.4678030303030303</v>
      </c>
    </row>
    <row r="9354" spans="1:11" hidden="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3"/>
        <v>019TABATHA</v>
      </c>
      <c r="H9354" s="5">
        <v>1830</v>
      </c>
      <c r="I9354" s="6">
        <v>1188</v>
      </c>
      <c r="J9354" s="5">
        <v>9000</v>
      </c>
      <c r="K9354" s="6">
        <f t="shared" si="392"/>
        <v>1.5404040404040404</v>
      </c>
    </row>
    <row r="9355" spans="1:11" hidden="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3"/>
        <v>020BRIGHTON</v>
      </c>
      <c r="H9355" s="5">
        <v>3975</v>
      </c>
      <c r="I9355" s="6">
        <v>2732.4</v>
      </c>
      <c r="J9355" s="5">
        <v>20700</v>
      </c>
      <c r="K9355" s="6">
        <f t="shared" si="392"/>
        <v>1.4547650417215634</v>
      </c>
    </row>
    <row r="9356" spans="1:11" hidden="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3"/>
        <v>020TYCOON</v>
      </c>
      <c r="H9356" s="5">
        <v>720</v>
      </c>
      <c r="I9356" s="6">
        <v>673.2</v>
      </c>
      <c r="J9356" s="5">
        <v>5100</v>
      </c>
      <c r="K9356" s="6">
        <f t="shared" si="392"/>
        <v>1.0695187165775399</v>
      </c>
    </row>
    <row r="9357" spans="1:11" hidden="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3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2"/>
        <v>1.6583747927031511</v>
      </c>
    </row>
    <row r="9358" spans="1:11" hidden="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3"/>
        <v>022CORAL REEF</v>
      </c>
      <c r="H9358" s="5">
        <v>1325</v>
      </c>
      <c r="I9358" s="6">
        <v>1287</v>
      </c>
      <c r="J9358" s="5">
        <v>9400</v>
      </c>
      <c r="K9358" s="6">
        <f t="shared" si="392"/>
        <v>1.0295260295260296</v>
      </c>
    </row>
    <row r="9359" spans="1:11" hidden="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3"/>
        <v>023COTOPAXI</v>
      </c>
      <c r="H9359" s="5">
        <v>6960</v>
      </c>
      <c r="I9359" s="6">
        <v>2641.14</v>
      </c>
      <c r="J9359" s="5">
        <v>19200</v>
      </c>
      <c r="K9359" s="6">
        <f t="shared" si="392"/>
        <v>2.635225697994048</v>
      </c>
    </row>
    <row r="9360" spans="1:11" hidden="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3"/>
        <v>023FRUTTETO</v>
      </c>
      <c r="H9360" s="5">
        <v>3780</v>
      </c>
      <c r="I9360" s="6">
        <v>2641.14</v>
      </c>
      <c r="J9360" s="5">
        <v>19200</v>
      </c>
      <c r="K9360" s="6">
        <f t="shared" si="392"/>
        <v>1.431200163565733</v>
      </c>
    </row>
    <row r="9361" spans="1:11" hidden="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3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2"/>
        <v>2.5583358402818352</v>
      </c>
    </row>
    <row r="9362" spans="1:11" hidden="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3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2"/>
        <v>1.3211078432914458</v>
      </c>
    </row>
    <row r="9363" spans="1:11" hidden="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3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2"/>
        <v>1.1428631342759332</v>
      </c>
    </row>
    <row r="9364" spans="1:11" hidden="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3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2"/>
        <v>1.2451372254139261</v>
      </c>
    </row>
    <row r="9365" spans="1:11" hidden="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3"/>
        <v>026LOLA</v>
      </c>
      <c r="H9365" s="5">
        <v>3300</v>
      </c>
      <c r="I9365" s="6">
        <v>1097.125</v>
      </c>
      <c r="J9365" s="5">
        <v>8000</v>
      </c>
      <c r="K9365" s="6">
        <f t="shared" si="392"/>
        <v>3.0078614560783867</v>
      </c>
    </row>
    <row r="9366" spans="1:11" hidden="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3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2"/>
        <v>1.5249647242355457</v>
      </c>
    </row>
    <row r="9367" spans="1:11" hidden="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3"/>
        <v>027SATISFACTION</v>
      </c>
      <c r="H9367" s="5">
        <v>4830</v>
      </c>
      <c r="I9367" s="6">
        <v>2633.1</v>
      </c>
      <c r="J9367" s="5">
        <v>19200</v>
      </c>
      <c r="K9367" s="6">
        <f t="shared" si="392"/>
        <v>1.8343397516235616</v>
      </c>
    </row>
    <row r="9368" spans="1:11" hidden="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3"/>
        <v>027TIFFANY</v>
      </c>
      <c r="H9368" s="5">
        <v>4770</v>
      </c>
      <c r="I9368" s="6">
        <v>2633.1</v>
      </c>
      <c r="J9368" s="5">
        <v>19200</v>
      </c>
      <c r="K9368" s="6">
        <f t="shared" si="392"/>
        <v>1.8115529224108466</v>
      </c>
    </row>
    <row r="9369" spans="1:11" hidden="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3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4">+H9369/I9369</f>
        <v>1.850991665279007</v>
      </c>
    </row>
    <row r="9370" spans="1:11" hidden="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3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4"/>
        <v>2.4399435587768732</v>
      </c>
    </row>
    <row r="9371" spans="1:11" hidden="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3"/>
        <v>029PINK FLOYD</v>
      </c>
      <c r="H9371" s="5">
        <v>3200</v>
      </c>
      <c r="I9371" s="6">
        <v>3071.95</v>
      </c>
      <c r="J9371" s="5">
        <v>22400</v>
      </c>
      <c r="K9371" s="6">
        <f t="shared" si="394"/>
        <v>1.0416836211526881</v>
      </c>
    </row>
    <row r="9372" spans="1:11" hidden="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3"/>
        <v>030EXPLORER</v>
      </c>
      <c r="H9372" s="5">
        <v>1200</v>
      </c>
      <c r="I9372" s="6">
        <v>1645.6875</v>
      </c>
      <c r="J9372" s="5">
        <v>12000</v>
      </c>
      <c r="K9372" s="6">
        <f t="shared" si="394"/>
        <v>0.72917853480688166</v>
      </c>
    </row>
    <row r="9373" spans="1:11" hidden="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3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5">IFERROR(H9373/I9373,"")</f>
        <v>1.0814741612015562</v>
      </c>
    </row>
    <row r="9374" spans="1:11" hidden="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3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6">+H9374/I9374</f>
        <v>1.5678846150435348</v>
      </c>
    </row>
    <row r="9375" spans="1:11" hidden="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3"/>
        <v>013LUMIA</v>
      </c>
      <c r="H9375" s="5">
        <v>330</v>
      </c>
      <c r="I9375" s="6">
        <v>316.8</v>
      </c>
      <c r="J9375" s="5">
        <v>2400</v>
      </c>
      <c r="K9375" s="6">
        <f t="shared" si="396"/>
        <v>1.0416666666666665</v>
      </c>
    </row>
    <row r="9376" spans="1:11" hidden="1">
      <c r="A9376" s="4">
        <v>2026</v>
      </c>
      <c r="B9376">
        <v>35</v>
      </c>
      <c r="C9376" t="s">
        <v>10</v>
      </c>
      <c r="D9376" t="s">
        <v>11</v>
      </c>
      <c r="E9376" t="s">
        <v>12</v>
      </c>
      <c r="F9376" t="s">
        <v>13</v>
      </c>
      <c r="G9376" t="s">
        <v>118</v>
      </c>
      <c r="H9376" s="5">
        <v>7540</v>
      </c>
      <c r="I9376" s="6">
        <v>4121.4642855494085</v>
      </c>
      <c r="J9376" s="5">
        <v>31200</v>
      </c>
      <c r="K9376" s="6">
        <v>1.829446885282153</v>
      </c>
    </row>
    <row r="9377" spans="1:11" hidden="1">
      <c r="A9377" s="4">
        <v>2026</v>
      </c>
      <c r="B9377">
        <v>35</v>
      </c>
      <c r="C9377" t="s">
        <v>10</v>
      </c>
      <c r="D9377" t="s">
        <v>11</v>
      </c>
      <c r="E9377" t="s">
        <v>14</v>
      </c>
      <c r="F9377" t="s">
        <v>15</v>
      </c>
      <c r="G9377" t="s">
        <v>119</v>
      </c>
      <c r="H9377" s="5">
        <v>1350</v>
      </c>
      <c r="I9377" s="6">
        <v>1056.7857142434418</v>
      </c>
      <c r="J9377" s="5">
        <v>8000</v>
      </c>
      <c r="K9377" s="6">
        <v>1.2774586009297748</v>
      </c>
    </row>
    <row r="9378" spans="1:11" hidden="1">
      <c r="A9378" s="4">
        <v>2026</v>
      </c>
      <c r="B9378">
        <v>35</v>
      </c>
      <c r="C9378" t="s">
        <v>10</v>
      </c>
      <c r="D9378" t="s">
        <v>11</v>
      </c>
      <c r="E9378" t="s">
        <v>16</v>
      </c>
      <c r="F9378" t="s">
        <v>17</v>
      </c>
      <c r="G9378" t="s">
        <v>120</v>
      </c>
      <c r="H9378" s="5">
        <v>7530</v>
      </c>
      <c r="I9378" s="6">
        <v>2641.9642856076484</v>
      </c>
      <c r="J9378" s="5">
        <v>19996</v>
      </c>
      <c r="K9378" s="6">
        <v>2.850152078519907</v>
      </c>
    </row>
    <row r="9379" spans="1:11" hidden="1">
      <c r="A9379" s="4">
        <v>2026</v>
      </c>
      <c r="B9379">
        <v>35</v>
      </c>
      <c r="C9379" t="s">
        <v>10</v>
      </c>
      <c r="D9379" t="s">
        <v>11</v>
      </c>
      <c r="E9379" t="s">
        <v>16</v>
      </c>
      <c r="F9379" t="s">
        <v>18</v>
      </c>
      <c r="G9379" t="s">
        <v>121</v>
      </c>
      <c r="H9379" s="5">
        <v>1380</v>
      </c>
      <c r="I9379" s="6">
        <v>528.39285712153003</v>
      </c>
      <c r="J9379" s="5">
        <v>4000</v>
      </c>
      <c r="K9379" s="6">
        <v>2.6116931396795944</v>
      </c>
    </row>
    <row r="9380" spans="1:11" hidden="1">
      <c r="A9380" s="4">
        <v>2026</v>
      </c>
      <c r="B9380">
        <v>35</v>
      </c>
      <c r="C9380" t="s">
        <v>10</v>
      </c>
      <c r="D9380" t="s">
        <v>11</v>
      </c>
      <c r="E9380" t="s">
        <v>16</v>
      </c>
      <c r="F9380" t="s">
        <v>19</v>
      </c>
      <c r="G9380" t="s">
        <v>122</v>
      </c>
      <c r="H9380" s="5">
        <v>3750</v>
      </c>
      <c r="I9380" s="6">
        <v>1902.2142856375078</v>
      </c>
      <c r="J9380" s="5">
        <v>14400</v>
      </c>
      <c r="K9380" s="6">
        <v>1.9713867298306118</v>
      </c>
    </row>
    <row r="9381" spans="1:11" hidden="1">
      <c r="A9381" s="4">
        <v>2026</v>
      </c>
      <c r="B9381">
        <v>35</v>
      </c>
      <c r="C9381" t="s">
        <v>10</v>
      </c>
      <c r="D9381" t="s">
        <v>11</v>
      </c>
      <c r="E9381" t="s">
        <v>20</v>
      </c>
      <c r="F9381" t="s">
        <v>21</v>
      </c>
      <c r="G9381" t="s">
        <v>123</v>
      </c>
      <c r="H9381" s="5">
        <v>1340</v>
      </c>
      <c r="I9381" s="6">
        <v>634.05652706821195</v>
      </c>
      <c r="J9381" s="5">
        <v>4800</v>
      </c>
      <c r="K9381" s="6">
        <v>2.113376241383353</v>
      </c>
    </row>
    <row r="9382" spans="1:11" hidden="1">
      <c r="A9382" s="4">
        <v>2026</v>
      </c>
      <c r="B9382">
        <v>35</v>
      </c>
      <c r="C9382" t="s">
        <v>10</v>
      </c>
      <c r="D9382" t="s">
        <v>11</v>
      </c>
      <c r="E9382" t="s">
        <v>22</v>
      </c>
      <c r="F9382" t="s">
        <v>18</v>
      </c>
      <c r="G9382" t="s">
        <v>124</v>
      </c>
      <c r="H9382" s="5">
        <v>13160</v>
      </c>
      <c r="I9382" s="6">
        <v>4487.9999999102474</v>
      </c>
      <c r="J9382" s="5">
        <v>31740</v>
      </c>
      <c r="K9382" s="6">
        <v>2.9322638146753963</v>
      </c>
    </row>
    <row r="9383" spans="1:11" hidden="1">
      <c r="A9383" s="4">
        <v>2026</v>
      </c>
      <c r="B9383">
        <v>35</v>
      </c>
      <c r="C9383" t="s">
        <v>10</v>
      </c>
      <c r="D9383" t="s">
        <v>11</v>
      </c>
      <c r="E9383" t="s">
        <v>23</v>
      </c>
      <c r="F9383" t="s">
        <v>24</v>
      </c>
      <c r="G9383" t="s">
        <v>125</v>
      </c>
      <c r="H9383" s="5">
        <v>2700</v>
      </c>
      <c r="I9383" s="6">
        <v>1702.8</v>
      </c>
      <c r="J9383" s="5">
        <v>12900</v>
      </c>
      <c r="K9383" s="6">
        <v>1.5856236786469344</v>
      </c>
    </row>
    <row r="9384" spans="1:11" hidden="1">
      <c r="A9384" s="4">
        <v>2026</v>
      </c>
      <c r="B9384">
        <v>35</v>
      </c>
      <c r="C9384" t="s">
        <v>10</v>
      </c>
      <c r="D9384" t="s">
        <v>11</v>
      </c>
      <c r="E9384" t="s">
        <v>25</v>
      </c>
      <c r="F9384" t="s">
        <v>26</v>
      </c>
      <c r="G9384" t="s">
        <v>126</v>
      </c>
      <c r="H9384" s="5">
        <v>6420</v>
      </c>
      <c r="I9384" s="6">
        <v>3009.6</v>
      </c>
      <c r="J9384" s="5">
        <v>22800</v>
      </c>
      <c r="K9384" s="6">
        <v>2.1331738437001597</v>
      </c>
    </row>
    <row r="9385" spans="1:11" hidden="1">
      <c r="A9385" s="4">
        <v>2026</v>
      </c>
      <c r="B9385">
        <v>35</v>
      </c>
      <c r="C9385" t="s">
        <v>10</v>
      </c>
      <c r="D9385" t="s">
        <v>11</v>
      </c>
      <c r="E9385" t="s">
        <v>27</v>
      </c>
      <c r="F9385" t="s">
        <v>28</v>
      </c>
      <c r="G9385" t="s">
        <v>127</v>
      </c>
      <c r="H9385" s="5">
        <v>4170</v>
      </c>
      <c r="I9385" s="6">
        <v>1386</v>
      </c>
      <c r="J9385" s="5">
        <v>10500</v>
      </c>
      <c r="K9385" s="6">
        <v>3.0086580086580086</v>
      </c>
    </row>
    <row r="9386" spans="1:11" hidden="1">
      <c r="A9386" s="4">
        <v>2026</v>
      </c>
      <c r="B9386">
        <v>35</v>
      </c>
      <c r="C9386" t="s">
        <v>10</v>
      </c>
      <c r="D9386" t="s">
        <v>11</v>
      </c>
      <c r="E9386" t="s">
        <v>27</v>
      </c>
      <c r="F9386" t="s">
        <v>29</v>
      </c>
      <c r="G9386" t="s">
        <v>128</v>
      </c>
      <c r="H9386" s="5">
        <v>3720</v>
      </c>
      <c r="I9386" s="6">
        <v>1386</v>
      </c>
      <c r="J9386" s="5">
        <v>10500</v>
      </c>
      <c r="K9386" s="6">
        <v>2.6839826839826841</v>
      </c>
    </row>
    <row r="9387" spans="1:11" hidden="1">
      <c r="A9387" s="4">
        <v>2026</v>
      </c>
      <c r="B9387">
        <v>35</v>
      </c>
      <c r="C9387" t="s">
        <v>10</v>
      </c>
      <c r="D9387" t="s">
        <v>11</v>
      </c>
      <c r="E9387" t="s">
        <v>30</v>
      </c>
      <c r="F9387" t="s">
        <v>31</v>
      </c>
      <c r="G9387" t="s">
        <v>129</v>
      </c>
      <c r="H9387" s="5">
        <v>1025</v>
      </c>
      <c r="I9387" s="6">
        <v>1029.5999999999999</v>
      </c>
      <c r="J9387" s="5">
        <v>7800</v>
      </c>
      <c r="K9387" s="6">
        <v>0.99553224553224562</v>
      </c>
    </row>
    <row r="9388" spans="1:11" hidden="1">
      <c r="A9388" s="4">
        <v>2026</v>
      </c>
      <c r="B9388">
        <v>35</v>
      </c>
      <c r="C9388" t="s">
        <v>10</v>
      </c>
      <c r="D9388" t="s">
        <v>11</v>
      </c>
      <c r="E9388" t="s">
        <v>32</v>
      </c>
      <c r="F9388" t="s">
        <v>33</v>
      </c>
      <c r="G9388" t="s">
        <v>130</v>
      </c>
      <c r="H9388" s="5">
        <v>3925</v>
      </c>
      <c r="I9388" s="6">
        <v>2653.2</v>
      </c>
      <c r="J9388" s="5">
        <v>20100</v>
      </c>
      <c r="K9388" s="6">
        <v>1.4793456957636064</v>
      </c>
    </row>
    <row r="9389" spans="1:11" hidden="1">
      <c r="A9389" s="4">
        <v>2026</v>
      </c>
      <c r="B9389">
        <v>35</v>
      </c>
      <c r="C9389" t="s">
        <v>10</v>
      </c>
      <c r="D9389" t="s">
        <v>11</v>
      </c>
      <c r="E9389" t="s">
        <v>32</v>
      </c>
      <c r="F9389" t="s">
        <v>34</v>
      </c>
      <c r="G9389" t="s">
        <v>131</v>
      </c>
      <c r="H9389" s="5">
        <v>5280</v>
      </c>
      <c r="I9389" s="6">
        <v>1768.8</v>
      </c>
      <c r="J9389" s="5">
        <v>13400</v>
      </c>
      <c r="K9389" s="6">
        <v>2.9850746268656718</v>
      </c>
    </row>
    <row r="9390" spans="1:11" hidden="1">
      <c r="A9390" s="4">
        <v>2026</v>
      </c>
      <c r="B9390">
        <v>35</v>
      </c>
      <c r="C9390" t="s">
        <v>10</v>
      </c>
      <c r="D9390" t="s">
        <v>11</v>
      </c>
      <c r="E9390" t="s">
        <v>35</v>
      </c>
      <c r="F9390" t="s">
        <v>15</v>
      </c>
      <c r="G9390" t="s">
        <v>132</v>
      </c>
      <c r="H9390" s="5">
        <v>1935</v>
      </c>
      <c r="I9390" s="6">
        <v>1029.5999999999999</v>
      </c>
      <c r="J9390" s="5">
        <v>7800</v>
      </c>
      <c r="K9390" s="6">
        <v>1.8793706293706296</v>
      </c>
    </row>
    <row r="9391" spans="1:11" hidden="1">
      <c r="A9391" s="4">
        <v>2026</v>
      </c>
      <c r="B9391">
        <v>35</v>
      </c>
      <c r="C9391" t="s">
        <v>10</v>
      </c>
      <c r="D9391" t="s">
        <v>11</v>
      </c>
      <c r="E9391" t="s">
        <v>36</v>
      </c>
      <c r="F9391" t="s">
        <v>37</v>
      </c>
      <c r="G9391" t="s">
        <v>133</v>
      </c>
      <c r="H9391" s="5">
        <v>3150</v>
      </c>
      <c r="I9391" s="6">
        <v>1346.4</v>
      </c>
      <c r="J9391" s="5">
        <v>10200</v>
      </c>
      <c r="K9391" s="6">
        <v>2.3395721925133688</v>
      </c>
    </row>
    <row r="9392" spans="1:11" hidden="1">
      <c r="A9392" s="4">
        <v>2026</v>
      </c>
      <c r="B9392">
        <v>35</v>
      </c>
      <c r="C9392" t="s">
        <v>10</v>
      </c>
      <c r="D9392" t="s">
        <v>11</v>
      </c>
      <c r="E9392" t="s">
        <v>38</v>
      </c>
      <c r="F9392" t="s">
        <v>39</v>
      </c>
      <c r="G9392" t="s">
        <v>134</v>
      </c>
      <c r="H9392" s="5">
        <v>300</v>
      </c>
      <c r="I9392" s="6">
        <v>440.18999062500001</v>
      </c>
      <c r="J9392" s="5">
        <v>3200</v>
      </c>
      <c r="K9392" s="6">
        <v>0.68152390192709189</v>
      </c>
    </row>
    <row r="9393" spans="1:11" hidden="1">
      <c r="A9393" s="4">
        <v>2026</v>
      </c>
      <c r="B9393">
        <v>35</v>
      </c>
      <c r="C9393" t="s">
        <v>10</v>
      </c>
      <c r="D9393" t="s">
        <v>11</v>
      </c>
      <c r="E9393" t="s">
        <v>38</v>
      </c>
      <c r="F9393" t="s">
        <v>40</v>
      </c>
      <c r="G9393" t="s">
        <v>135</v>
      </c>
      <c r="H9393" s="5">
        <v>1625</v>
      </c>
      <c r="I9393" s="6">
        <v>880.38</v>
      </c>
      <c r="J9393" s="5">
        <v>6400</v>
      </c>
      <c r="K9393" s="6">
        <v>1.8457938617415208</v>
      </c>
    </row>
    <row r="9394" spans="1:11" hidden="1">
      <c r="A9394" s="4">
        <v>2026</v>
      </c>
      <c r="B9394">
        <v>35</v>
      </c>
      <c r="C9394" t="s">
        <v>10</v>
      </c>
      <c r="D9394" t="s">
        <v>11</v>
      </c>
      <c r="E9394" t="s">
        <v>38</v>
      </c>
      <c r="F9394" t="s">
        <v>41</v>
      </c>
      <c r="G9394" t="s">
        <v>136</v>
      </c>
      <c r="H9394" s="5">
        <v>600</v>
      </c>
      <c r="I9394" s="6">
        <v>330.14249999999998</v>
      </c>
      <c r="J9394" s="5">
        <v>2400</v>
      </c>
      <c r="K9394" s="6">
        <v>1.8173970330993436</v>
      </c>
    </row>
    <row r="9395" spans="1:11" hidden="1">
      <c r="A9395" s="4">
        <v>2026</v>
      </c>
      <c r="B9395">
        <v>35</v>
      </c>
      <c r="C9395" t="s">
        <v>10</v>
      </c>
      <c r="D9395" t="s">
        <v>11</v>
      </c>
      <c r="E9395" t="s">
        <v>38</v>
      </c>
      <c r="F9395" t="s">
        <v>42</v>
      </c>
      <c r="G9395" t="s">
        <v>137</v>
      </c>
      <c r="H9395" s="5">
        <v>2650</v>
      </c>
      <c r="I9395" s="6">
        <v>1650.7125000000001</v>
      </c>
      <c r="J9395" s="5">
        <v>12000</v>
      </c>
      <c r="K9395" s="6">
        <v>1.6053673792377534</v>
      </c>
    </row>
    <row r="9396" spans="1:11" hidden="1">
      <c r="A9396" s="4">
        <v>2026</v>
      </c>
      <c r="B9396">
        <v>35</v>
      </c>
      <c r="C9396" t="s">
        <v>10</v>
      </c>
      <c r="D9396" t="s">
        <v>11</v>
      </c>
      <c r="E9396" t="s">
        <v>38</v>
      </c>
      <c r="F9396" t="s">
        <v>21</v>
      </c>
      <c r="G9396" t="s">
        <v>138</v>
      </c>
      <c r="H9396" s="5">
        <v>2500</v>
      </c>
      <c r="I9396" s="6">
        <v>1287.0000000000018</v>
      </c>
      <c r="J9396" s="5">
        <v>9400</v>
      </c>
      <c r="K9396" s="6">
        <v>1.9425019425019399</v>
      </c>
    </row>
    <row r="9397" spans="1:11" hidden="1">
      <c r="A9397" s="4">
        <v>2026</v>
      </c>
      <c r="B9397">
        <v>35</v>
      </c>
      <c r="C9397" t="s">
        <v>10</v>
      </c>
      <c r="D9397" t="s">
        <v>11</v>
      </c>
      <c r="E9397" t="s">
        <v>43</v>
      </c>
      <c r="F9397" t="s">
        <v>24</v>
      </c>
      <c r="G9397" t="s">
        <v>139</v>
      </c>
      <c r="H9397" s="5">
        <v>4200</v>
      </c>
      <c r="I9397" s="6">
        <v>2641.14</v>
      </c>
      <c r="J9397" s="5">
        <v>19200</v>
      </c>
      <c r="K9397" s="6">
        <v>1.5902224039619257</v>
      </c>
    </row>
    <row r="9398" spans="1:11" hidden="1">
      <c r="A9398" s="4">
        <v>2026</v>
      </c>
      <c r="B9398">
        <v>35</v>
      </c>
      <c r="C9398" t="s">
        <v>10</v>
      </c>
      <c r="D9398" t="s">
        <v>11</v>
      </c>
      <c r="E9398" t="s">
        <v>43</v>
      </c>
      <c r="F9398" t="s">
        <v>28</v>
      </c>
      <c r="G9398" t="s">
        <v>140</v>
      </c>
      <c r="H9398" s="5">
        <v>2190</v>
      </c>
      <c r="I9398" s="6">
        <v>880.38</v>
      </c>
      <c r="J9398" s="5">
        <v>6400</v>
      </c>
      <c r="K9398" s="6">
        <v>2.4875621890547266</v>
      </c>
    </row>
    <row r="9399" spans="1:11" hidden="1">
      <c r="A9399" s="4">
        <v>2026</v>
      </c>
      <c r="B9399">
        <v>35</v>
      </c>
      <c r="C9399" t="s">
        <v>10</v>
      </c>
      <c r="D9399" t="s">
        <v>11</v>
      </c>
      <c r="E9399" t="s">
        <v>43</v>
      </c>
      <c r="F9399" t="s">
        <v>44</v>
      </c>
      <c r="G9399" t="s">
        <v>141</v>
      </c>
      <c r="H9399" s="5">
        <v>1580</v>
      </c>
      <c r="I9399" s="6">
        <v>880.38</v>
      </c>
      <c r="J9399" s="5">
        <v>6400</v>
      </c>
      <c r="K9399" s="6">
        <v>1.7946795701856018</v>
      </c>
    </row>
    <row r="9400" spans="1:11" hidden="1">
      <c r="A9400" s="4">
        <v>2026</v>
      </c>
      <c r="B9400">
        <v>35</v>
      </c>
      <c r="C9400" t="s">
        <v>10</v>
      </c>
      <c r="D9400" t="s">
        <v>11</v>
      </c>
      <c r="E9400" t="s">
        <v>45</v>
      </c>
      <c r="F9400" t="s">
        <v>46</v>
      </c>
      <c r="G9400" t="s">
        <v>142</v>
      </c>
      <c r="H9400" s="5">
        <v>470</v>
      </c>
      <c r="I9400" s="6">
        <v>1755.4</v>
      </c>
      <c r="J9400" s="5">
        <v>12800</v>
      </c>
      <c r="K9400" s="6">
        <v>0.26774524324940185</v>
      </c>
    </row>
    <row r="9401" spans="1:11" hidden="1">
      <c r="A9401" s="4">
        <v>2026</v>
      </c>
      <c r="B9401">
        <v>35</v>
      </c>
      <c r="C9401" t="s">
        <v>10</v>
      </c>
      <c r="D9401" t="s">
        <v>11</v>
      </c>
      <c r="E9401" t="s">
        <v>47</v>
      </c>
      <c r="F9401" t="s">
        <v>44</v>
      </c>
      <c r="G9401" t="s">
        <v>143</v>
      </c>
      <c r="H9401" s="5">
        <v>4880</v>
      </c>
      <c r="I9401" s="6">
        <v>2413.6749943750001</v>
      </c>
      <c r="J9401" s="5">
        <v>17600</v>
      </c>
      <c r="K9401" s="6">
        <v>2.0218132148581307</v>
      </c>
    </row>
    <row r="9402" spans="1:11" hidden="1">
      <c r="A9402" s="4">
        <v>2026</v>
      </c>
      <c r="B9402">
        <v>35</v>
      </c>
      <c r="C9402" t="s">
        <v>10</v>
      </c>
      <c r="D9402" t="s">
        <v>11</v>
      </c>
      <c r="E9402" t="s">
        <v>47</v>
      </c>
      <c r="F9402" t="s">
        <v>13</v>
      </c>
      <c r="G9402" t="s">
        <v>144</v>
      </c>
      <c r="H9402" s="5">
        <v>2440</v>
      </c>
      <c r="I9402" s="6">
        <v>1645.6875</v>
      </c>
      <c r="J9402" s="5">
        <v>12000</v>
      </c>
      <c r="K9402" s="6">
        <v>1.4826630207739926</v>
      </c>
    </row>
    <row r="9403" spans="1:11" hidden="1">
      <c r="A9403" s="4">
        <v>2026</v>
      </c>
      <c r="B9403">
        <v>35</v>
      </c>
      <c r="C9403" t="s">
        <v>10</v>
      </c>
      <c r="D9403" t="s">
        <v>11</v>
      </c>
      <c r="E9403" t="s">
        <v>48</v>
      </c>
      <c r="F9403" t="s">
        <v>49</v>
      </c>
      <c r="G9403" t="s">
        <v>145</v>
      </c>
      <c r="H9403" s="5">
        <v>2620</v>
      </c>
      <c r="I9403" s="6">
        <v>726.32013058333712</v>
      </c>
      <c r="J9403" s="5">
        <v>5712</v>
      </c>
      <c r="K9403" s="6">
        <v>3.6072248168252914</v>
      </c>
    </row>
    <row r="9404" spans="1:11" hidden="1">
      <c r="A9404" s="4">
        <v>2026</v>
      </c>
      <c r="B9404">
        <v>35</v>
      </c>
      <c r="C9404" t="s">
        <v>10</v>
      </c>
      <c r="D9404" t="s">
        <v>11</v>
      </c>
      <c r="E9404" t="s">
        <v>48</v>
      </c>
      <c r="F9404" t="s">
        <v>34</v>
      </c>
      <c r="G9404" t="s">
        <v>146</v>
      </c>
      <c r="H9404" s="5">
        <v>2310</v>
      </c>
      <c r="I9404" s="6">
        <v>924.39958333667107</v>
      </c>
      <c r="J9404" s="5">
        <v>6720</v>
      </c>
      <c r="K9404" s="6">
        <v>2.4989193435829211</v>
      </c>
    </row>
    <row r="9405" spans="1:11" hidden="1">
      <c r="A9405" s="4">
        <v>2026</v>
      </c>
      <c r="B9405">
        <v>35</v>
      </c>
      <c r="C9405" t="s">
        <v>10</v>
      </c>
      <c r="D9405" t="s">
        <v>11</v>
      </c>
      <c r="E9405" t="s">
        <v>48</v>
      </c>
      <c r="F9405" t="s">
        <v>13</v>
      </c>
      <c r="G9405" t="s">
        <v>147</v>
      </c>
      <c r="H9405" s="5">
        <v>3520</v>
      </c>
      <c r="I9405" s="6">
        <v>1122.485208333339</v>
      </c>
      <c r="J9405" s="5">
        <v>8160</v>
      </c>
      <c r="K9405" s="6">
        <v>3.1358987841153652</v>
      </c>
    </row>
    <row r="9406" spans="1:11" hidden="1">
      <c r="A9406" s="4">
        <v>2026</v>
      </c>
      <c r="B9406">
        <v>35</v>
      </c>
      <c r="C9406" t="s">
        <v>10</v>
      </c>
      <c r="D9406" t="s">
        <v>11</v>
      </c>
      <c r="E9406" t="s">
        <v>48</v>
      </c>
      <c r="F9406" t="s">
        <v>50</v>
      </c>
      <c r="G9406" t="s">
        <v>148</v>
      </c>
      <c r="H9406" s="5">
        <v>680</v>
      </c>
      <c r="I9406" s="6">
        <v>396.17125000000198</v>
      </c>
      <c r="J9406" s="5">
        <v>2880</v>
      </c>
      <c r="K9406" s="6">
        <v>1.716429448123751</v>
      </c>
    </row>
    <row r="9407" spans="1:11" hidden="1">
      <c r="A9407" s="4">
        <v>2026</v>
      </c>
      <c r="B9407">
        <v>35</v>
      </c>
      <c r="C9407" t="s">
        <v>10</v>
      </c>
      <c r="D9407" t="s">
        <v>11</v>
      </c>
      <c r="E9407" t="s">
        <v>51</v>
      </c>
      <c r="F9407" t="s">
        <v>17</v>
      </c>
      <c r="G9407" t="s">
        <v>149</v>
      </c>
      <c r="H9407" s="5">
        <v>3270</v>
      </c>
      <c r="I9407" s="6">
        <v>1535.9749999999999</v>
      </c>
      <c r="J9407" s="5">
        <v>11200</v>
      </c>
      <c r="K9407" s="6">
        <v>2.1289409007308064</v>
      </c>
    </row>
    <row r="9408" spans="1:11" hidden="1">
      <c r="A9408" s="4">
        <v>2026</v>
      </c>
      <c r="B9408">
        <v>35</v>
      </c>
      <c r="C9408" t="s">
        <v>10</v>
      </c>
      <c r="D9408" t="s">
        <v>11</v>
      </c>
      <c r="E9408" t="s">
        <v>51</v>
      </c>
      <c r="F9408" t="s">
        <v>44</v>
      </c>
      <c r="G9408" t="s">
        <v>150</v>
      </c>
      <c r="H9408" s="5">
        <v>1900</v>
      </c>
      <c r="I9408" s="6">
        <v>1535.9749999999999</v>
      </c>
      <c r="J9408" s="5">
        <v>11200</v>
      </c>
      <c r="K9408" s="6">
        <v>1.2369993001188171</v>
      </c>
    </row>
    <row r="9409" spans="1:11" hidden="1">
      <c r="A9409" s="4">
        <v>2026</v>
      </c>
      <c r="B9409">
        <v>35</v>
      </c>
      <c r="C9409" t="s">
        <v>10</v>
      </c>
      <c r="D9409" t="s">
        <v>11</v>
      </c>
      <c r="E9409" t="s">
        <v>52</v>
      </c>
      <c r="F9409" t="s">
        <v>53</v>
      </c>
      <c r="G9409" t="s">
        <v>151</v>
      </c>
      <c r="H9409" s="5">
        <v>1620</v>
      </c>
      <c r="I9409" s="6">
        <v>594.25687500000299</v>
      </c>
      <c r="J9409" s="5">
        <v>4320</v>
      </c>
      <c r="K9409" s="6">
        <v>2.7260938293730161</v>
      </c>
    </row>
    <row r="9410" spans="1:11" hidden="1">
      <c r="A9410" s="4">
        <v>2026</v>
      </c>
      <c r="B9410">
        <v>35</v>
      </c>
      <c r="C9410" t="s">
        <v>10</v>
      </c>
      <c r="D9410" t="s">
        <v>11</v>
      </c>
      <c r="E9410" t="s">
        <v>52</v>
      </c>
      <c r="F9410" t="s">
        <v>18</v>
      </c>
      <c r="G9410" t="s">
        <v>152</v>
      </c>
      <c r="H9410" s="5">
        <v>4200</v>
      </c>
      <c r="I9410" s="6">
        <v>2575.1131250013459</v>
      </c>
      <c r="J9410" s="5">
        <v>18720</v>
      </c>
      <c r="K9410" s="6">
        <v>1.6309963081710459</v>
      </c>
    </row>
    <row r="9411" spans="1:11" hidden="1">
      <c r="A9411" s="4">
        <v>2026</v>
      </c>
      <c r="B9411">
        <v>35</v>
      </c>
      <c r="C9411" t="s">
        <v>54</v>
      </c>
      <c r="D9411" t="s">
        <v>11</v>
      </c>
      <c r="E9411" t="s">
        <v>55</v>
      </c>
      <c r="F9411" t="s">
        <v>56</v>
      </c>
      <c r="G9411" t="s">
        <v>153</v>
      </c>
      <c r="H9411" s="5">
        <v>1530</v>
      </c>
      <c r="I9411" s="6">
        <v>528.37931032368999</v>
      </c>
      <c r="J9411" s="5">
        <v>4000</v>
      </c>
      <c r="K9411" s="6">
        <v>2.895647066617177</v>
      </c>
    </row>
    <row r="9412" spans="1:11" hidden="1">
      <c r="A9412" s="4">
        <v>2026</v>
      </c>
      <c r="B9412">
        <v>35</v>
      </c>
      <c r="C9412" t="s">
        <v>54</v>
      </c>
      <c r="D9412" t="s">
        <v>11</v>
      </c>
      <c r="E9412" t="s">
        <v>55</v>
      </c>
      <c r="F9412" t="s">
        <v>57</v>
      </c>
      <c r="G9412" t="s">
        <v>154</v>
      </c>
      <c r="H9412" s="5">
        <v>2950</v>
      </c>
      <c r="I9412" s="6">
        <v>2272.0310343918732</v>
      </c>
      <c r="J9412" s="5">
        <v>17200</v>
      </c>
      <c r="K9412" s="6">
        <v>1.2983977574890788</v>
      </c>
    </row>
    <row r="9413" spans="1:11" hidden="1">
      <c r="A9413" s="4">
        <v>2026</v>
      </c>
      <c r="B9413">
        <v>35</v>
      </c>
      <c r="C9413" t="s">
        <v>54</v>
      </c>
      <c r="D9413" t="s">
        <v>11</v>
      </c>
      <c r="E9413" t="s">
        <v>55</v>
      </c>
      <c r="F9413" t="s">
        <v>58</v>
      </c>
      <c r="G9413" t="s">
        <v>155</v>
      </c>
      <c r="H9413" s="5">
        <v>1350</v>
      </c>
      <c r="I9413" s="6">
        <v>1162.4344827121224</v>
      </c>
      <c r="J9413" s="5">
        <v>8800</v>
      </c>
      <c r="K9413" s="6">
        <v>1.1613557753812163</v>
      </c>
    </row>
    <row r="9414" spans="1:11" hidden="1">
      <c r="A9414" s="4">
        <v>2026</v>
      </c>
      <c r="B9414">
        <v>35</v>
      </c>
      <c r="C9414" t="s">
        <v>54</v>
      </c>
      <c r="D9414" t="s">
        <v>11</v>
      </c>
      <c r="E9414" t="s">
        <v>55</v>
      </c>
      <c r="F9414" t="s">
        <v>59</v>
      </c>
      <c r="G9414" t="s">
        <v>156</v>
      </c>
      <c r="H9414" s="5">
        <v>1505</v>
      </c>
      <c r="I9414" s="6">
        <v>1162.4344827121181</v>
      </c>
      <c r="J9414" s="5">
        <v>8800</v>
      </c>
      <c r="K9414" s="6">
        <v>1.2946966236657311</v>
      </c>
    </row>
    <row r="9415" spans="1:11" hidden="1">
      <c r="A9415" s="4">
        <v>2026</v>
      </c>
      <c r="B9415">
        <v>35</v>
      </c>
      <c r="C9415" t="s">
        <v>54</v>
      </c>
      <c r="D9415" t="s">
        <v>11</v>
      </c>
      <c r="E9415" t="s">
        <v>55</v>
      </c>
      <c r="F9415" t="s">
        <v>60</v>
      </c>
      <c r="G9415" t="s">
        <v>157</v>
      </c>
      <c r="H9415" s="5">
        <v>1140</v>
      </c>
      <c r="I9415" s="6">
        <v>1056.7586206473827</v>
      </c>
      <c r="J9415" s="5">
        <v>8000</v>
      </c>
      <c r="K9415" s="6">
        <v>1.0787704757985535</v>
      </c>
    </row>
    <row r="9416" spans="1:11" hidden="1">
      <c r="A9416" s="4">
        <v>2026</v>
      </c>
      <c r="B9416">
        <v>35</v>
      </c>
      <c r="C9416" t="s">
        <v>54</v>
      </c>
      <c r="D9416" t="s">
        <v>11</v>
      </c>
      <c r="E9416" t="s">
        <v>55</v>
      </c>
      <c r="F9416" t="s">
        <v>61</v>
      </c>
      <c r="G9416" t="s">
        <v>158</v>
      </c>
      <c r="H9416" s="5">
        <v>1500</v>
      </c>
      <c r="I9416" s="6">
        <v>1109.596551679753</v>
      </c>
      <c r="J9416" s="5">
        <v>8400</v>
      </c>
      <c r="K9416" s="6">
        <v>1.3518427015019452</v>
      </c>
    </row>
    <row r="9417" spans="1:11" hidden="1">
      <c r="A9417" s="4">
        <v>2026</v>
      </c>
      <c r="B9417">
        <v>35</v>
      </c>
      <c r="C9417" t="s">
        <v>54</v>
      </c>
      <c r="D9417" t="s">
        <v>11</v>
      </c>
      <c r="E9417" t="s">
        <v>55</v>
      </c>
      <c r="F9417" t="s">
        <v>62</v>
      </c>
      <c r="G9417" t="s">
        <v>159</v>
      </c>
      <c r="H9417" s="5">
        <v>4775</v>
      </c>
      <c r="I9417" s="6">
        <v>1902.1655171652881</v>
      </c>
      <c r="J9417" s="5">
        <v>14400</v>
      </c>
      <c r="K9417" s="6">
        <v>2.51029679431681</v>
      </c>
    </row>
    <row r="9418" spans="1:11" hidden="1">
      <c r="A9418" s="4">
        <v>2026</v>
      </c>
      <c r="B9418">
        <v>35</v>
      </c>
      <c r="C9418" t="s">
        <v>54</v>
      </c>
      <c r="D9418" t="s">
        <v>11</v>
      </c>
      <c r="E9418" t="s">
        <v>12</v>
      </c>
      <c r="F9418" t="s">
        <v>63</v>
      </c>
      <c r="G9418" t="s">
        <v>160</v>
      </c>
      <c r="H9418" s="5">
        <v>1450</v>
      </c>
      <c r="I9418" s="6">
        <v>951.10714281909407</v>
      </c>
      <c r="J9418" s="5">
        <v>7200</v>
      </c>
      <c r="K9418" s="6">
        <v>1.5245390710684612</v>
      </c>
    </row>
    <row r="9419" spans="1:11" hidden="1">
      <c r="A9419" s="4">
        <v>2026</v>
      </c>
      <c r="B9419">
        <v>35</v>
      </c>
      <c r="C9419" t="s">
        <v>54</v>
      </c>
      <c r="D9419" t="s">
        <v>11</v>
      </c>
      <c r="E9419" t="s">
        <v>12</v>
      </c>
      <c r="F9419" t="s">
        <v>64</v>
      </c>
      <c r="G9419" t="s">
        <v>161</v>
      </c>
      <c r="H9419" s="5">
        <v>6930</v>
      </c>
      <c r="I9419" s="6">
        <v>3804.4285712763772</v>
      </c>
      <c r="J9419" s="5">
        <v>28800</v>
      </c>
      <c r="K9419" s="6">
        <v>1.8215613383628335</v>
      </c>
    </row>
    <row r="9420" spans="1:11" hidden="1">
      <c r="A9420" s="4">
        <v>2026</v>
      </c>
      <c r="B9420">
        <v>35</v>
      </c>
      <c r="C9420" t="s">
        <v>54</v>
      </c>
      <c r="D9420" t="s">
        <v>11</v>
      </c>
      <c r="E9420" t="s">
        <v>65</v>
      </c>
      <c r="F9420" t="s">
        <v>66</v>
      </c>
      <c r="G9420" t="s">
        <v>162</v>
      </c>
      <c r="H9420" s="5">
        <v>4230</v>
      </c>
      <c r="I9420" s="6">
        <v>2641.8965516184649</v>
      </c>
      <c r="J9420" s="5">
        <v>20000</v>
      </c>
      <c r="K9420" s="6">
        <v>1.6011224956589005</v>
      </c>
    </row>
    <row r="9421" spans="1:11" hidden="1">
      <c r="A9421" s="4">
        <v>2026</v>
      </c>
      <c r="B9421">
        <v>35</v>
      </c>
      <c r="C9421" t="s">
        <v>54</v>
      </c>
      <c r="D9421" t="s">
        <v>11</v>
      </c>
      <c r="E9421" t="s">
        <v>65</v>
      </c>
      <c r="F9421" t="s">
        <v>67</v>
      </c>
      <c r="G9421" t="s">
        <v>163</v>
      </c>
      <c r="H9421" s="5">
        <v>6060</v>
      </c>
      <c r="I9421" s="6">
        <v>3592.9793102010913</v>
      </c>
      <c r="J9421" s="5">
        <v>26044</v>
      </c>
      <c r="K9421" s="6">
        <v>1.6866225705209628</v>
      </c>
    </row>
    <row r="9422" spans="1:11" hidden="1">
      <c r="A9422" s="4">
        <v>2026</v>
      </c>
      <c r="B9422">
        <v>35</v>
      </c>
      <c r="C9422" t="s">
        <v>54</v>
      </c>
      <c r="D9422" t="s">
        <v>11</v>
      </c>
      <c r="E9422" t="s">
        <v>65</v>
      </c>
      <c r="F9422" t="s">
        <v>57</v>
      </c>
      <c r="G9422" t="s">
        <v>164</v>
      </c>
      <c r="H9422" s="5">
        <v>1975</v>
      </c>
      <c r="I9422" s="6">
        <v>1268.1103447768633</v>
      </c>
      <c r="J9422" s="5">
        <v>9600</v>
      </c>
      <c r="K9422" s="6">
        <v>1.5574354456886961</v>
      </c>
    </row>
    <row r="9423" spans="1:11" hidden="1">
      <c r="A9423" s="4">
        <v>2026</v>
      </c>
      <c r="B9423">
        <v>35</v>
      </c>
      <c r="C9423" t="s">
        <v>54</v>
      </c>
      <c r="D9423" t="s">
        <v>11</v>
      </c>
      <c r="E9423" t="s">
        <v>65</v>
      </c>
      <c r="F9423" t="s">
        <v>68</v>
      </c>
      <c r="G9423" t="s">
        <v>165</v>
      </c>
      <c r="H9423" s="5">
        <v>550</v>
      </c>
      <c r="I9423" s="6">
        <v>528.37931032368999</v>
      </c>
      <c r="J9423" s="5">
        <v>4000</v>
      </c>
      <c r="K9423" s="6">
        <v>1.0409188801565015</v>
      </c>
    </row>
    <row r="9424" spans="1:11" hidden="1">
      <c r="A9424" s="4">
        <v>2026</v>
      </c>
      <c r="B9424">
        <v>35</v>
      </c>
      <c r="C9424" t="s">
        <v>54</v>
      </c>
      <c r="D9424" t="s">
        <v>11</v>
      </c>
      <c r="E9424" t="s">
        <v>65</v>
      </c>
      <c r="F9424" t="s">
        <v>69</v>
      </c>
      <c r="G9424" t="s">
        <v>166</v>
      </c>
      <c r="H9424" s="5">
        <v>1470</v>
      </c>
      <c r="I9424" s="6">
        <v>1162.4344827121247</v>
      </c>
      <c r="J9424" s="5">
        <v>8800</v>
      </c>
      <c r="K9424" s="6">
        <v>1.2645873998595443</v>
      </c>
    </row>
    <row r="9425" spans="1:11" hidden="1">
      <c r="A9425" s="4">
        <v>2026</v>
      </c>
      <c r="B9425">
        <v>35</v>
      </c>
      <c r="C9425" t="s">
        <v>54</v>
      </c>
      <c r="D9425" t="s">
        <v>11</v>
      </c>
      <c r="E9425" t="s">
        <v>14</v>
      </c>
      <c r="F9425" t="s">
        <v>70</v>
      </c>
      <c r="G9425" t="s">
        <v>167</v>
      </c>
      <c r="H9425" s="5">
        <v>1560</v>
      </c>
      <c r="I9425" s="6">
        <v>528.3915024419166</v>
      </c>
      <c r="J9425" s="5">
        <v>4000</v>
      </c>
      <c r="K9425" s="6">
        <v>2.952356335767309</v>
      </c>
    </row>
    <row r="9426" spans="1:11" hidden="1">
      <c r="A9426" s="4">
        <v>2026</v>
      </c>
      <c r="B9426">
        <v>35</v>
      </c>
      <c r="C9426" t="s">
        <v>54</v>
      </c>
      <c r="D9426" t="s">
        <v>11</v>
      </c>
      <c r="E9426" t="s">
        <v>14</v>
      </c>
      <c r="F9426" t="s">
        <v>67</v>
      </c>
      <c r="G9426" t="s">
        <v>168</v>
      </c>
      <c r="H9426" s="5">
        <v>6210</v>
      </c>
      <c r="I9426" s="6">
        <v>3910.1071427007282</v>
      </c>
      <c r="J9426" s="5">
        <v>29260</v>
      </c>
      <c r="K9426" s="6">
        <v>1.588191774128912</v>
      </c>
    </row>
    <row r="9427" spans="1:11" hidden="1">
      <c r="A9427" s="4">
        <v>2026</v>
      </c>
      <c r="B9427">
        <v>35</v>
      </c>
      <c r="C9427" t="s">
        <v>54</v>
      </c>
      <c r="D9427" t="s">
        <v>11</v>
      </c>
      <c r="E9427" t="s">
        <v>14</v>
      </c>
      <c r="F9427" t="s">
        <v>71</v>
      </c>
      <c r="G9427" t="s">
        <v>169</v>
      </c>
      <c r="H9427" s="5">
        <v>3025</v>
      </c>
      <c r="I9427" s="6">
        <v>1902.2142856381945</v>
      </c>
      <c r="J9427" s="5">
        <v>14400</v>
      </c>
      <c r="K9427" s="6">
        <v>1.5902519620627862</v>
      </c>
    </row>
    <row r="9428" spans="1:11" hidden="1">
      <c r="A9428" s="4">
        <v>2026</v>
      </c>
      <c r="B9428">
        <v>35</v>
      </c>
      <c r="C9428" t="s">
        <v>54</v>
      </c>
      <c r="D9428" t="s">
        <v>11</v>
      </c>
      <c r="E9428" t="s">
        <v>14</v>
      </c>
      <c r="F9428" t="s">
        <v>72</v>
      </c>
      <c r="G9428" t="s">
        <v>170</v>
      </c>
      <c r="H9428" s="5">
        <v>2010</v>
      </c>
      <c r="I9428" s="6">
        <v>1162.4642856677858</v>
      </c>
      <c r="J9428" s="5">
        <v>8800</v>
      </c>
      <c r="K9428" s="6">
        <v>1.7290853790362612</v>
      </c>
    </row>
    <row r="9429" spans="1:11" hidden="1">
      <c r="A9429" s="4">
        <v>2026</v>
      </c>
      <c r="B9429">
        <v>35</v>
      </c>
      <c r="C9429" t="s">
        <v>54</v>
      </c>
      <c r="D9429" t="s">
        <v>11</v>
      </c>
      <c r="E9429" t="s">
        <v>14</v>
      </c>
      <c r="F9429" t="s">
        <v>64</v>
      </c>
      <c r="G9429" t="s">
        <v>171</v>
      </c>
      <c r="H9429" s="5">
        <v>720</v>
      </c>
      <c r="I9429" s="6">
        <v>317.03571427303262</v>
      </c>
      <c r="J9429" s="5">
        <v>2400</v>
      </c>
      <c r="K9429" s="6">
        <v>2.2710375127640434</v>
      </c>
    </row>
    <row r="9430" spans="1:11" hidden="1">
      <c r="A9430" s="4">
        <v>2026</v>
      </c>
      <c r="B9430">
        <v>35</v>
      </c>
      <c r="C9430" t="s">
        <v>54</v>
      </c>
      <c r="D9430" t="s">
        <v>11</v>
      </c>
      <c r="E9430" t="s">
        <v>16</v>
      </c>
      <c r="F9430" t="s">
        <v>57</v>
      </c>
      <c r="G9430" t="s">
        <v>172</v>
      </c>
      <c r="H9430" s="5">
        <v>925</v>
      </c>
      <c r="I9430" s="6">
        <v>951.10714281875391</v>
      </c>
      <c r="J9430" s="5">
        <v>7200</v>
      </c>
      <c r="K9430" s="6">
        <v>0.97255078671643513</v>
      </c>
    </row>
    <row r="9431" spans="1:11" hidden="1">
      <c r="A9431" s="4">
        <v>2026</v>
      </c>
      <c r="B9431">
        <v>35</v>
      </c>
      <c r="C9431" t="s">
        <v>54</v>
      </c>
      <c r="D9431" t="s">
        <v>11</v>
      </c>
      <c r="E9431" t="s">
        <v>16</v>
      </c>
      <c r="F9431" t="s">
        <v>73</v>
      </c>
      <c r="G9431" t="s">
        <v>173</v>
      </c>
      <c r="H9431" s="5">
        <v>750</v>
      </c>
      <c r="I9431" s="6">
        <v>898.26785710660101</v>
      </c>
      <c r="J9431" s="5">
        <v>6800</v>
      </c>
      <c r="K9431" s="6">
        <v>0.8349402620459061</v>
      </c>
    </row>
    <row r="9432" spans="1:11" hidden="1">
      <c r="A9432" s="4">
        <v>2026</v>
      </c>
      <c r="B9432">
        <v>35</v>
      </c>
      <c r="C9432" t="s">
        <v>54</v>
      </c>
      <c r="D9432" t="s">
        <v>11</v>
      </c>
      <c r="E9432" t="s">
        <v>16</v>
      </c>
      <c r="F9432" t="s">
        <v>68</v>
      </c>
      <c r="G9432" t="s">
        <v>174</v>
      </c>
      <c r="H9432" s="5">
        <v>1350</v>
      </c>
      <c r="I9432" s="6">
        <v>1162.4642856673661</v>
      </c>
      <c r="J9432" s="5">
        <v>8800</v>
      </c>
      <c r="K9432" s="6">
        <v>1.1613260008456694</v>
      </c>
    </row>
    <row r="9433" spans="1:11" hidden="1">
      <c r="A9433" s="4">
        <v>2026</v>
      </c>
      <c r="B9433">
        <v>35</v>
      </c>
      <c r="C9433" t="s">
        <v>54</v>
      </c>
      <c r="D9433" t="s">
        <v>11</v>
      </c>
      <c r="E9433" t="s">
        <v>16</v>
      </c>
      <c r="F9433" t="s">
        <v>74</v>
      </c>
      <c r="G9433" t="s">
        <v>175</v>
      </c>
      <c r="H9433" s="5">
        <v>1920</v>
      </c>
      <c r="I9433" s="6">
        <v>686.91071425798896</v>
      </c>
      <c r="J9433" s="5">
        <v>5200</v>
      </c>
      <c r="K9433" s="6">
        <v>2.7951230926336796</v>
      </c>
    </row>
    <row r="9434" spans="1:11" hidden="1">
      <c r="A9434" s="4">
        <v>2026</v>
      </c>
      <c r="B9434">
        <v>35</v>
      </c>
      <c r="C9434" t="s">
        <v>54</v>
      </c>
      <c r="D9434" t="s">
        <v>11</v>
      </c>
      <c r="E9434" t="s">
        <v>75</v>
      </c>
      <c r="F9434" t="s">
        <v>76</v>
      </c>
      <c r="G9434" t="s">
        <v>176</v>
      </c>
      <c r="H9434" s="5">
        <v>650</v>
      </c>
      <c r="I9434" s="6">
        <v>845.428571394752</v>
      </c>
      <c r="J9434" s="5">
        <v>6400</v>
      </c>
      <c r="K9434" s="6">
        <v>0.7688408246336621</v>
      </c>
    </row>
    <row r="9435" spans="1:11" hidden="1">
      <c r="A9435" s="4">
        <v>2026</v>
      </c>
      <c r="B9435">
        <v>35</v>
      </c>
      <c r="C9435" t="s">
        <v>54</v>
      </c>
      <c r="D9435" t="s">
        <v>11</v>
      </c>
      <c r="E9435" t="s">
        <v>75</v>
      </c>
      <c r="F9435" t="s">
        <v>57</v>
      </c>
      <c r="G9435" t="s">
        <v>177</v>
      </c>
      <c r="H9435" s="5">
        <v>5450</v>
      </c>
      <c r="I9435" s="6">
        <v>3910.1071427007355</v>
      </c>
      <c r="J9435" s="5">
        <v>29600</v>
      </c>
      <c r="K9435" s="6">
        <v>1.3938236987121664</v>
      </c>
    </row>
    <row r="9436" spans="1:11" hidden="1">
      <c r="A9436" s="4">
        <v>2026</v>
      </c>
      <c r="B9436">
        <v>35</v>
      </c>
      <c r="C9436" t="s">
        <v>54</v>
      </c>
      <c r="D9436" t="s">
        <v>11</v>
      </c>
      <c r="E9436" t="s">
        <v>75</v>
      </c>
      <c r="F9436" t="s">
        <v>77</v>
      </c>
      <c r="G9436" t="s">
        <v>178</v>
      </c>
      <c r="H9436" s="5">
        <v>4825</v>
      </c>
      <c r="I9436" s="6">
        <v>4015.7857141250793</v>
      </c>
      <c r="J9436" s="5">
        <v>30400</v>
      </c>
      <c r="K9436" s="6">
        <v>1.2015083332331702</v>
      </c>
    </row>
    <row r="9437" spans="1:11" hidden="1">
      <c r="A9437" s="4">
        <v>2026</v>
      </c>
      <c r="B9437">
        <v>35</v>
      </c>
      <c r="C9437" t="s">
        <v>54</v>
      </c>
      <c r="D9437" t="s">
        <v>11</v>
      </c>
      <c r="E9437" t="s">
        <v>20</v>
      </c>
      <c r="F9437" t="s">
        <v>70</v>
      </c>
      <c r="G9437" t="s">
        <v>179</v>
      </c>
      <c r="H9437" s="5">
        <v>8490</v>
      </c>
      <c r="I9437" s="6">
        <v>2747.5751230427709</v>
      </c>
      <c r="J9437" s="5">
        <v>20800</v>
      </c>
      <c r="K9437" s="6">
        <v>3.0899974049109331</v>
      </c>
    </row>
    <row r="9438" spans="1:11" hidden="1">
      <c r="A9438" s="4">
        <v>2026</v>
      </c>
      <c r="B9438">
        <v>35</v>
      </c>
      <c r="C9438" t="s">
        <v>54</v>
      </c>
      <c r="D9438" t="s">
        <v>11</v>
      </c>
      <c r="E9438" t="s">
        <v>20</v>
      </c>
      <c r="F9438" t="s">
        <v>78</v>
      </c>
      <c r="G9438" t="s">
        <v>180</v>
      </c>
      <c r="H9438" s="5">
        <v>1650</v>
      </c>
      <c r="I9438" s="6">
        <v>1056.75862064738</v>
      </c>
      <c r="J9438" s="5">
        <v>9600</v>
      </c>
      <c r="K9438" s="6">
        <v>1.5613783202347522</v>
      </c>
    </row>
    <row r="9439" spans="1:11" hidden="1">
      <c r="A9439" s="4">
        <v>2026</v>
      </c>
      <c r="B9439">
        <v>35</v>
      </c>
      <c r="C9439" t="s">
        <v>54</v>
      </c>
      <c r="D9439" t="s">
        <v>11</v>
      </c>
      <c r="E9439" t="s">
        <v>20</v>
      </c>
      <c r="F9439" t="s">
        <v>63</v>
      </c>
      <c r="G9439" t="s">
        <v>181</v>
      </c>
      <c r="H9439" s="5">
        <v>0</v>
      </c>
      <c r="I9439" s="6">
        <v>369.86551722658481</v>
      </c>
      <c r="J9439" s="5">
        <v>3080</v>
      </c>
      <c r="K9439" s="6">
        <v>0</v>
      </c>
    </row>
    <row r="9440" spans="1:11" hidden="1">
      <c r="A9440" s="4">
        <v>2026</v>
      </c>
      <c r="B9440">
        <v>35</v>
      </c>
      <c r="C9440" t="s">
        <v>54</v>
      </c>
      <c r="D9440" t="s">
        <v>11</v>
      </c>
      <c r="E9440" t="s">
        <v>20</v>
      </c>
      <c r="F9440" t="s">
        <v>74</v>
      </c>
      <c r="G9440" t="s">
        <v>182</v>
      </c>
      <c r="H9440" s="5">
        <v>12090</v>
      </c>
      <c r="I9440" s="6">
        <v>3592.9793102011122</v>
      </c>
      <c r="J9440" s="5">
        <v>27820</v>
      </c>
      <c r="K9440" s="6">
        <v>3.3648955243561587</v>
      </c>
    </row>
    <row r="9441" spans="1:11" hidden="1">
      <c r="A9441" s="4">
        <v>2026</v>
      </c>
      <c r="B9441">
        <v>35</v>
      </c>
      <c r="C9441" t="s">
        <v>54</v>
      </c>
      <c r="D9441" t="s">
        <v>11</v>
      </c>
      <c r="E9441" t="s">
        <v>79</v>
      </c>
      <c r="F9441" t="s">
        <v>67</v>
      </c>
      <c r="G9441" t="s">
        <v>183</v>
      </c>
      <c r="H9441" s="5">
        <v>1920</v>
      </c>
      <c r="I9441" s="6">
        <v>1585.2222221588099</v>
      </c>
      <c r="J9441" s="5">
        <v>11490</v>
      </c>
      <c r="K9441" s="6">
        <v>1.2111866545658678</v>
      </c>
    </row>
    <row r="9442" spans="1:11" hidden="1">
      <c r="A9442" s="4">
        <v>2026</v>
      </c>
      <c r="B9442">
        <v>35</v>
      </c>
      <c r="C9442" t="s">
        <v>54</v>
      </c>
      <c r="D9442" t="s">
        <v>11</v>
      </c>
      <c r="E9442" t="s">
        <v>79</v>
      </c>
      <c r="F9442" t="s">
        <v>81</v>
      </c>
      <c r="G9442" t="s">
        <v>184</v>
      </c>
      <c r="H9442" s="5">
        <v>3060</v>
      </c>
      <c r="I9442" s="6">
        <v>2219.311111022334</v>
      </c>
      <c r="J9442" s="5">
        <v>16800</v>
      </c>
      <c r="K9442" s="6">
        <v>1.378806236224537</v>
      </c>
    </row>
    <row r="9443" spans="1:11" hidden="1">
      <c r="A9443" s="4">
        <v>2026</v>
      </c>
      <c r="B9443">
        <v>35</v>
      </c>
      <c r="C9443" t="s">
        <v>54</v>
      </c>
      <c r="D9443" t="s">
        <v>11</v>
      </c>
      <c r="E9443" t="s">
        <v>79</v>
      </c>
      <c r="F9443" t="s">
        <v>68</v>
      </c>
      <c r="G9443" t="s">
        <v>185</v>
      </c>
      <c r="H9443" s="5">
        <v>4700</v>
      </c>
      <c r="I9443" s="6">
        <v>2959.0814813631118</v>
      </c>
      <c r="J9443" s="5">
        <v>22400</v>
      </c>
      <c r="K9443" s="6">
        <v>1.5883307132978737</v>
      </c>
    </row>
    <row r="9444" spans="1:11" hidden="1">
      <c r="A9444" s="4">
        <v>2026</v>
      </c>
      <c r="B9444">
        <v>35</v>
      </c>
      <c r="C9444" t="s">
        <v>54</v>
      </c>
      <c r="D9444" t="s">
        <v>11</v>
      </c>
      <c r="E9444" t="s">
        <v>79</v>
      </c>
      <c r="F9444" t="s">
        <v>61</v>
      </c>
      <c r="G9444" t="s">
        <v>186</v>
      </c>
      <c r="H9444" s="5">
        <v>0</v>
      </c>
      <c r="I9444" s="6">
        <v>1796.5851851133182</v>
      </c>
      <c r="J9444" s="5">
        <v>13600</v>
      </c>
      <c r="K9444" s="6">
        <v>0</v>
      </c>
    </row>
    <row r="9445" spans="1:11" hidden="1">
      <c r="A9445" s="4">
        <v>2026</v>
      </c>
      <c r="B9445">
        <v>35</v>
      </c>
      <c r="C9445" t="s">
        <v>54</v>
      </c>
      <c r="D9445" t="s">
        <v>11</v>
      </c>
      <c r="E9445" t="s">
        <v>82</v>
      </c>
      <c r="F9445" t="s">
        <v>83</v>
      </c>
      <c r="G9445" t="s">
        <v>187</v>
      </c>
      <c r="H9445" s="5">
        <v>2575</v>
      </c>
      <c r="I9445" s="6">
        <v>1912.3542857142861</v>
      </c>
      <c r="J9445" s="5">
        <v>16320</v>
      </c>
      <c r="K9445" s="6">
        <v>1.3465078198301568</v>
      </c>
    </row>
    <row r="9446" spans="1:11" hidden="1">
      <c r="A9446" s="4">
        <v>2026</v>
      </c>
      <c r="B9446">
        <v>35</v>
      </c>
      <c r="C9446" t="s">
        <v>54</v>
      </c>
      <c r="D9446" t="s">
        <v>11</v>
      </c>
      <c r="E9446" t="s">
        <v>82</v>
      </c>
      <c r="F9446" t="s">
        <v>84</v>
      </c>
      <c r="G9446" t="s">
        <v>188</v>
      </c>
      <c r="H9446" s="5">
        <v>3570</v>
      </c>
      <c r="I9446" s="6">
        <v>2812.2857142428579</v>
      </c>
      <c r="J9446" s="5">
        <v>20000</v>
      </c>
      <c r="K9446" s="6">
        <v>1.2694300518328163</v>
      </c>
    </row>
    <row r="9447" spans="1:11" hidden="1">
      <c r="A9447" s="4">
        <v>2026</v>
      </c>
      <c r="B9447">
        <v>35</v>
      </c>
      <c r="C9447" t="s">
        <v>54</v>
      </c>
      <c r="D9447" t="s">
        <v>11</v>
      </c>
      <c r="E9447" t="s">
        <v>85</v>
      </c>
      <c r="F9447" t="s">
        <v>86</v>
      </c>
      <c r="G9447" t="s">
        <v>189</v>
      </c>
      <c r="H9447" s="5">
        <v>3450</v>
      </c>
      <c r="I9447" s="6">
        <v>1768.8376470588223</v>
      </c>
      <c r="J9447" s="5">
        <v>12800</v>
      </c>
      <c r="K9447" s="6">
        <v>1.9504333853005509</v>
      </c>
    </row>
    <row r="9448" spans="1:11" hidden="1">
      <c r="A9448" s="4">
        <v>2026</v>
      </c>
      <c r="B9448">
        <v>35</v>
      </c>
      <c r="C9448" t="s">
        <v>54</v>
      </c>
      <c r="D9448" t="s">
        <v>11</v>
      </c>
      <c r="E9448" t="s">
        <v>85</v>
      </c>
      <c r="F9448" t="s">
        <v>87</v>
      </c>
      <c r="G9448" t="s">
        <v>190</v>
      </c>
      <c r="H9448" s="5">
        <v>5120</v>
      </c>
      <c r="I9448" s="6">
        <v>2263.7999998868127</v>
      </c>
      <c r="J9448" s="5">
        <v>17920</v>
      </c>
      <c r="K9448" s="6">
        <v>2.2616838944500373</v>
      </c>
    </row>
    <row r="9449" spans="1:11" hidden="1">
      <c r="A9449" s="4">
        <v>2026</v>
      </c>
      <c r="B9449">
        <v>35</v>
      </c>
      <c r="C9449" t="s">
        <v>54</v>
      </c>
      <c r="D9449" t="s">
        <v>11</v>
      </c>
      <c r="E9449" t="s">
        <v>85</v>
      </c>
      <c r="F9449" t="s">
        <v>88</v>
      </c>
      <c r="G9449" t="s">
        <v>191</v>
      </c>
      <c r="H9449" s="5">
        <v>1020</v>
      </c>
      <c r="I9449" s="6">
        <v>994.97117647058747</v>
      </c>
      <c r="J9449" s="5">
        <v>7200</v>
      </c>
      <c r="K9449" s="6">
        <v>1.0251553252207728</v>
      </c>
    </row>
    <row r="9450" spans="1:11" hidden="1">
      <c r="A9450" s="4">
        <v>2026</v>
      </c>
      <c r="B9450">
        <v>35</v>
      </c>
      <c r="C9450" t="s">
        <v>54</v>
      </c>
      <c r="D9450" t="s">
        <v>11</v>
      </c>
      <c r="E9450" t="s">
        <v>85</v>
      </c>
      <c r="F9450" t="s">
        <v>61</v>
      </c>
      <c r="G9450" t="s">
        <v>192</v>
      </c>
      <c r="H9450" s="5">
        <v>1200</v>
      </c>
      <c r="I9450" s="6">
        <v>994.97117647058747</v>
      </c>
      <c r="J9450" s="5">
        <v>7920</v>
      </c>
      <c r="K9450" s="6">
        <v>1.2060650884950268</v>
      </c>
    </row>
    <row r="9451" spans="1:11" hidden="1">
      <c r="A9451" s="4">
        <v>2026</v>
      </c>
      <c r="B9451">
        <v>35</v>
      </c>
      <c r="C9451" t="s">
        <v>54</v>
      </c>
      <c r="D9451" t="s">
        <v>11</v>
      </c>
      <c r="E9451" t="s">
        <v>85</v>
      </c>
      <c r="F9451" t="s">
        <v>89</v>
      </c>
      <c r="G9451" t="s">
        <v>193</v>
      </c>
      <c r="H9451" s="5">
        <v>2775</v>
      </c>
      <c r="I9451" s="6">
        <v>2263.7999998868127</v>
      </c>
      <c r="J9451" s="5">
        <v>17920</v>
      </c>
      <c r="K9451" s="6">
        <v>1.2258150013864948</v>
      </c>
    </row>
    <row r="9452" spans="1:11" hidden="1">
      <c r="A9452" s="4">
        <v>2026</v>
      </c>
      <c r="B9452">
        <v>35</v>
      </c>
      <c r="C9452" t="s">
        <v>54</v>
      </c>
      <c r="D9452" t="s">
        <v>11</v>
      </c>
      <c r="E9452" t="s">
        <v>90</v>
      </c>
      <c r="F9452" t="s">
        <v>67</v>
      </c>
      <c r="G9452" t="s">
        <v>194</v>
      </c>
      <c r="H9452" s="5">
        <v>9570</v>
      </c>
      <c r="I9452" s="6">
        <v>6727.0499997982479</v>
      </c>
      <c r="J9452" s="5">
        <v>49210</v>
      </c>
      <c r="K9452" s="6">
        <v>1.4226146676904461</v>
      </c>
    </row>
    <row r="9453" spans="1:11" hidden="1">
      <c r="A9453" s="4">
        <v>2026</v>
      </c>
      <c r="B9453">
        <v>35</v>
      </c>
      <c r="C9453" t="s">
        <v>54</v>
      </c>
      <c r="D9453" t="s">
        <v>11</v>
      </c>
      <c r="E9453" t="s">
        <v>90</v>
      </c>
      <c r="F9453" t="s">
        <v>60</v>
      </c>
      <c r="G9453" t="s">
        <v>195</v>
      </c>
      <c r="H9453" s="5">
        <v>1080</v>
      </c>
      <c r="I9453" s="6">
        <v>994.95</v>
      </c>
      <c r="J9453" s="5">
        <v>7200</v>
      </c>
      <c r="K9453" s="6">
        <v>1.0854816824966078</v>
      </c>
    </row>
    <row r="9454" spans="1:11" hidden="1">
      <c r="A9454" s="4">
        <v>2026</v>
      </c>
      <c r="B9454">
        <v>35</v>
      </c>
      <c r="C9454" t="s">
        <v>54</v>
      </c>
      <c r="D9454" t="s">
        <v>11</v>
      </c>
      <c r="E9454" t="s">
        <v>91</v>
      </c>
      <c r="F9454" t="s">
        <v>92</v>
      </c>
      <c r="G9454" t="s">
        <v>196</v>
      </c>
      <c r="H9454" s="5">
        <v>1425</v>
      </c>
      <c r="I9454" s="6">
        <v>831.6</v>
      </c>
      <c r="J9454" s="5">
        <v>6300</v>
      </c>
      <c r="K9454" s="6">
        <v>1.7135642135642135</v>
      </c>
    </row>
    <row r="9455" spans="1:11" hidden="1">
      <c r="A9455" s="4">
        <v>2026</v>
      </c>
      <c r="B9455">
        <v>35</v>
      </c>
      <c r="C9455" t="s">
        <v>54</v>
      </c>
      <c r="D9455" t="s">
        <v>11</v>
      </c>
      <c r="E9455" t="s">
        <v>91</v>
      </c>
      <c r="F9455" t="s">
        <v>93</v>
      </c>
      <c r="G9455" t="s">
        <v>197</v>
      </c>
      <c r="H9455" s="5">
        <v>2300</v>
      </c>
      <c r="I9455" s="6">
        <v>1267.2</v>
      </c>
      <c r="J9455" s="5">
        <v>9600</v>
      </c>
      <c r="K9455" s="6">
        <v>1.8150252525252524</v>
      </c>
    </row>
    <row r="9456" spans="1:11" hidden="1">
      <c r="A9456" s="4">
        <v>2026</v>
      </c>
      <c r="B9456">
        <v>35</v>
      </c>
      <c r="C9456" t="s">
        <v>54</v>
      </c>
      <c r="D9456" t="s">
        <v>11</v>
      </c>
      <c r="E9456" t="s">
        <v>91</v>
      </c>
      <c r="F9456" t="s">
        <v>61</v>
      </c>
      <c r="G9456" t="s">
        <v>198</v>
      </c>
      <c r="H9456" s="5">
        <v>270</v>
      </c>
      <c r="I9456" s="6">
        <v>316.8</v>
      </c>
      <c r="J9456" s="5">
        <v>2400</v>
      </c>
      <c r="K9456" s="6">
        <v>0.85227272727272729</v>
      </c>
    </row>
    <row r="9457" spans="1:11" hidden="1">
      <c r="A9457" s="4">
        <v>2026</v>
      </c>
      <c r="B9457">
        <v>35</v>
      </c>
      <c r="C9457" t="s">
        <v>54</v>
      </c>
      <c r="D9457" t="s">
        <v>11</v>
      </c>
      <c r="E9457" t="s">
        <v>91</v>
      </c>
      <c r="F9457" t="s">
        <v>74</v>
      </c>
      <c r="G9457" t="s">
        <v>199</v>
      </c>
      <c r="H9457" s="5">
        <v>8700</v>
      </c>
      <c r="I9457" s="6">
        <v>3603.6</v>
      </c>
      <c r="J9457" s="5">
        <v>27296</v>
      </c>
      <c r="K9457" s="6">
        <v>2.4142524142524144</v>
      </c>
    </row>
    <row r="9458" spans="1:11" hidden="1">
      <c r="A9458" s="4">
        <v>2026</v>
      </c>
      <c r="B9458">
        <v>35</v>
      </c>
      <c r="C9458" t="s">
        <v>54</v>
      </c>
      <c r="D9458" t="s">
        <v>11</v>
      </c>
      <c r="E9458" t="s">
        <v>23</v>
      </c>
      <c r="F9458" t="s">
        <v>89</v>
      </c>
      <c r="G9458" t="s">
        <v>200</v>
      </c>
      <c r="H9458" s="5">
        <v>5300</v>
      </c>
      <c r="I9458" s="6">
        <v>3682.8</v>
      </c>
      <c r="J9458" s="5">
        <v>27900</v>
      </c>
      <c r="K9458" s="6">
        <v>1.4391224068643422</v>
      </c>
    </row>
    <row r="9459" spans="1:11" hidden="1">
      <c r="A9459" s="4">
        <v>2026</v>
      </c>
      <c r="B9459">
        <v>35</v>
      </c>
      <c r="C9459" t="s">
        <v>54</v>
      </c>
      <c r="D9459" t="s">
        <v>11</v>
      </c>
      <c r="E9459" t="s">
        <v>25</v>
      </c>
      <c r="F9459" t="s">
        <v>68</v>
      </c>
      <c r="G9459" t="s">
        <v>201</v>
      </c>
      <c r="H9459" s="5">
        <v>2775</v>
      </c>
      <c r="I9459" s="6">
        <v>2376</v>
      </c>
      <c r="J9459" s="5">
        <v>18000</v>
      </c>
      <c r="K9459" s="6">
        <v>1.167929292929293</v>
      </c>
    </row>
    <row r="9460" spans="1:11" hidden="1">
      <c r="A9460" s="4">
        <v>2026</v>
      </c>
      <c r="B9460">
        <v>35</v>
      </c>
      <c r="C9460" t="s">
        <v>54</v>
      </c>
      <c r="D9460" t="s">
        <v>11</v>
      </c>
      <c r="E9460" t="s">
        <v>27</v>
      </c>
      <c r="F9460" t="s">
        <v>94</v>
      </c>
      <c r="G9460" t="s">
        <v>202</v>
      </c>
      <c r="H9460" s="5">
        <v>660</v>
      </c>
      <c r="I9460" s="6">
        <v>950.4</v>
      </c>
      <c r="J9460" s="5">
        <v>7200</v>
      </c>
      <c r="K9460" s="6">
        <v>0.69444444444444442</v>
      </c>
    </row>
    <row r="9461" spans="1:11" hidden="1">
      <c r="A9461" s="4">
        <v>2026</v>
      </c>
      <c r="B9461">
        <v>35</v>
      </c>
      <c r="C9461" t="s">
        <v>54</v>
      </c>
      <c r="D9461" t="s">
        <v>11</v>
      </c>
      <c r="E9461" t="s">
        <v>27</v>
      </c>
      <c r="F9461" t="s">
        <v>95</v>
      </c>
      <c r="G9461" t="s">
        <v>203</v>
      </c>
      <c r="H9461" s="5">
        <v>2450</v>
      </c>
      <c r="I9461" s="6">
        <v>1346.4</v>
      </c>
      <c r="J9461" s="5">
        <v>10200</v>
      </c>
      <c r="K9461" s="6">
        <v>1.8196672608437312</v>
      </c>
    </row>
    <row r="9462" spans="1:11" hidden="1">
      <c r="A9462" s="4">
        <v>2026</v>
      </c>
      <c r="B9462">
        <v>35</v>
      </c>
      <c r="C9462" t="s">
        <v>54</v>
      </c>
      <c r="D9462" t="s">
        <v>11</v>
      </c>
      <c r="E9462" t="s">
        <v>30</v>
      </c>
      <c r="F9462" t="s">
        <v>81</v>
      </c>
      <c r="G9462" t="s">
        <v>204</v>
      </c>
      <c r="H9462" s="5">
        <v>3360</v>
      </c>
      <c r="I9462" s="6">
        <v>2851.2</v>
      </c>
      <c r="J9462" s="5">
        <v>21600</v>
      </c>
      <c r="K9462" s="6">
        <v>1.1784511784511784</v>
      </c>
    </row>
    <row r="9463" spans="1:11" hidden="1">
      <c r="A9463" s="4">
        <v>2026</v>
      </c>
      <c r="B9463">
        <v>35</v>
      </c>
      <c r="C9463" t="s">
        <v>54</v>
      </c>
      <c r="D9463" t="s">
        <v>11</v>
      </c>
      <c r="E9463" t="s">
        <v>30</v>
      </c>
      <c r="F9463" t="s">
        <v>73</v>
      </c>
      <c r="G9463" t="s">
        <v>205</v>
      </c>
      <c r="H9463" s="5">
        <v>1750</v>
      </c>
      <c r="I9463" s="6">
        <v>2138.4</v>
      </c>
      <c r="J9463" s="5">
        <v>16200</v>
      </c>
      <c r="K9463" s="6">
        <v>0.81836887392442947</v>
      </c>
    </row>
    <row r="9464" spans="1:11" hidden="1">
      <c r="A9464" s="4">
        <v>2026</v>
      </c>
      <c r="B9464">
        <v>35</v>
      </c>
      <c r="C9464" t="s">
        <v>54</v>
      </c>
      <c r="D9464" t="s">
        <v>11</v>
      </c>
      <c r="E9464" t="s">
        <v>32</v>
      </c>
      <c r="F9464" t="s">
        <v>86</v>
      </c>
      <c r="G9464" t="s">
        <v>206</v>
      </c>
      <c r="H9464" s="5">
        <v>1425</v>
      </c>
      <c r="I9464" s="6">
        <v>963.6</v>
      </c>
      <c r="J9464" s="5">
        <v>7570</v>
      </c>
      <c r="K9464" s="6">
        <v>1.4788293897882938</v>
      </c>
    </row>
    <row r="9465" spans="1:11" hidden="1">
      <c r="A9465" s="4">
        <v>2026</v>
      </c>
      <c r="B9465">
        <v>35</v>
      </c>
      <c r="C9465" t="s">
        <v>54</v>
      </c>
      <c r="D9465" t="s">
        <v>11</v>
      </c>
      <c r="E9465" t="s">
        <v>35</v>
      </c>
      <c r="F9465" t="s">
        <v>86</v>
      </c>
      <c r="G9465" t="s">
        <v>207</v>
      </c>
      <c r="H9465" s="5">
        <v>4575</v>
      </c>
      <c r="I9465" s="6">
        <v>3168</v>
      </c>
      <c r="J9465" s="5">
        <v>24000</v>
      </c>
      <c r="K9465" s="6">
        <v>1.4441287878787878</v>
      </c>
    </row>
    <row r="9466" spans="1:11" hidden="1">
      <c r="A9466" s="4">
        <v>2026</v>
      </c>
      <c r="B9466">
        <v>35</v>
      </c>
      <c r="C9466" t="s">
        <v>54</v>
      </c>
      <c r="D9466" t="s">
        <v>11</v>
      </c>
      <c r="E9466" t="s">
        <v>35</v>
      </c>
      <c r="F9466" t="s">
        <v>96</v>
      </c>
      <c r="G9466" t="s">
        <v>208</v>
      </c>
      <c r="H9466" s="5">
        <v>1980</v>
      </c>
      <c r="I9466" s="6">
        <v>1188</v>
      </c>
      <c r="J9466" s="5">
        <v>9000</v>
      </c>
      <c r="K9466" s="6">
        <v>1.6666666666666667</v>
      </c>
    </row>
    <row r="9467" spans="1:11" hidden="1">
      <c r="A9467" s="4">
        <v>2026</v>
      </c>
      <c r="B9467">
        <v>35</v>
      </c>
      <c r="C9467" t="s">
        <v>54</v>
      </c>
      <c r="D9467" t="s">
        <v>11</v>
      </c>
      <c r="E9467" t="s">
        <v>36</v>
      </c>
      <c r="F9467" t="s">
        <v>86</v>
      </c>
      <c r="G9467" t="s">
        <v>209</v>
      </c>
      <c r="H9467" s="5">
        <v>4500</v>
      </c>
      <c r="I9467" s="6">
        <v>2732.4</v>
      </c>
      <c r="J9467" s="5">
        <v>20700</v>
      </c>
      <c r="K9467" s="6">
        <v>1.6469038208168643</v>
      </c>
    </row>
    <row r="9468" spans="1:11" hidden="1">
      <c r="A9468" s="4">
        <v>2026</v>
      </c>
      <c r="B9468">
        <v>35</v>
      </c>
      <c r="C9468" t="s">
        <v>54</v>
      </c>
      <c r="D9468" t="s">
        <v>11</v>
      </c>
      <c r="E9468" t="s">
        <v>36</v>
      </c>
      <c r="F9468" t="s">
        <v>97</v>
      </c>
      <c r="G9468" t="s">
        <v>210</v>
      </c>
      <c r="H9468" s="5">
        <v>540</v>
      </c>
      <c r="I9468" s="6">
        <v>673.2</v>
      </c>
      <c r="J9468" s="5">
        <v>5100</v>
      </c>
      <c r="K9468" s="6">
        <v>0.80213903743315507</v>
      </c>
    </row>
    <row r="9469" spans="1:11" hidden="1">
      <c r="A9469" s="4">
        <v>2026</v>
      </c>
      <c r="B9469">
        <v>35</v>
      </c>
      <c r="C9469" t="s">
        <v>54</v>
      </c>
      <c r="D9469" t="s">
        <v>11</v>
      </c>
      <c r="E9469" t="s">
        <v>38</v>
      </c>
      <c r="F9469" t="s">
        <v>98</v>
      </c>
      <c r="G9469" t="s">
        <v>211</v>
      </c>
      <c r="H9469" s="5">
        <v>2075</v>
      </c>
      <c r="I9469" s="6">
        <v>1100.4749999999999</v>
      </c>
      <c r="J9469" s="5">
        <v>8000</v>
      </c>
      <c r="K9469" s="6">
        <v>1.8855494218405691</v>
      </c>
    </row>
    <row r="9470" spans="1:11" hidden="1">
      <c r="A9470" s="4">
        <v>2026</v>
      </c>
      <c r="B9470">
        <v>35</v>
      </c>
      <c r="C9470" t="s">
        <v>54</v>
      </c>
      <c r="D9470" t="s">
        <v>11</v>
      </c>
      <c r="E9470" t="s">
        <v>43</v>
      </c>
      <c r="F9470" t="s">
        <v>99</v>
      </c>
      <c r="G9470" t="s">
        <v>212</v>
      </c>
      <c r="H9470" s="5">
        <v>1875</v>
      </c>
      <c r="I9470" s="6">
        <v>1287</v>
      </c>
      <c r="J9470" s="5">
        <v>9400</v>
      </c>
      <c r="K9470" s="6">
        <v>1.4568764568764569</v>
      </c>
    </row>
    <row r="9471" spans="1:11" hidden="1">
      <c r="A9471" s="4">
        <v>2026</v>
      </c>
      <c r="B9471">
        <v>35</v>
      </c>
      <c r="C9471" t="s">
        <v>54</v>
      </c>
      <c r="D9471" t="s">
        <v>11</v>
      </c>
      <c r="E9471" t="s">
        <v>100</v>
      </c>
      <c r="F9471" t="s">
        <v>70</v>
      </c>
      <c r="G9471" t="s">
        <v>213</v>
      </c>
      <c r="H9471" s="5">
        <v>8250</v>
      </c>
      <c r="I9471" s="6">
        <v>2641.14</v>
      </c>
      <c r="J9471" s="5">
        <v>19200</v>
      </c>
      <c r="K9471" s="6">
        <v>3.1236511506394966</v>
      </c>
    </row>
    <row r="9472" spans="1:11" hidden="1">
      <c r="A9472" s="4">
        <v>2026</v>
      </c>
      <c r="B9472">
        <v>35</v>
      </c>
      <c r="C9472" t="s">
        <v>54</v>
      </c>
      <c r="D9472" t="s">
        <v>11</v>
      </c>
      <c r="E9472" t="s">
        <v>100</v>
      </c>
      <c r="F9472" t="s">
        <v>101</v>
      </c>
      <c r="G9472" t="s">
        <v>214</v>
      </c>
      <c r="H9472" s="5">
        <v>4410</v>
      </c>
      <c r="I9472" s="6">
        <v>2641.14</v>
      </c>
      <c r="J9472" s="5">
        <v>19200</v>
      </c>
      <c r="K9472" s="6">
        <v>1.669733524160022</v>
      </c>
    </row>
    <row r="9473" spans="1:11" hidden="1">
      <c r="A9473" s="4">
        <v>2026</v>
      </c>
      <c r="B9473">
        <v>35</v>
      </c>
      <c r="C9473" t="s">
        <v>54</v>
      </c>
      <c r="D9473" t="s">
        <v>11</v>
      </c>
      <c r="E9473" t="s">
        <v>102</v>
      </c>
      <c r="F9473" t="s">
        <v>70</v>
      </c>
      <c r="G9473" t="s">
        <v>215</v>
      </c>
      <c r="H9473" s="5">
        <v>4410</v>
      </c>
      <c r="I9473" s="6">
        <v>1430.6174906250001</v>
      </c>
      <c r="J9473" s="5">
        <v>10400</v>
      </c>
      <c r="K9473" s="6">
        <v>3.0825849878805718</v>
      </c>
    </row>
    <row r="9474" spans="1:11" hidden="1">
      <c r="A9474" s="4">
        <v>2026</v>
      </c>
      <c r="B9474">
        <v>35</v>
      </c>
      <c r="C9474" t="s">
        <v>54</v>
      </c>
      <c r="D9474" t="s">
        <v>11</v>
      </c>
      <c r="E9474" t="s">
        <v>102</v>
      </c>
      <c r="F9474" t="s">
        <v>64</v>
      </c>
      <c r="G9474" t="s">
        <v>216</v>
      </c>
      <c r="H9474" s="5">
        <v>2370</v>
      </c>
      <c r="I9474" s="6">
        <v>1430.6175000000001</v>
      </c>
      <c r="J9474" s="5">
        <v>10400</v>
      </c>
      <c r="K9474" s="6">
        <v>1.65662729555594</v>
      </c>
    </row>
    <row r="9475" spans="1:11" hidden="1">
      <c r="A9475" s="4">
        <v>2026</v>
      </c>
      <c r="B9475">
        <v>35</v>
      </c>
      <c r="C9475" t="s">
        <v>54</v>
      </c>
      <c r="D9475" t="s">
        <v>11</v>
      </c>
      <c r="E9475" t="s">
        <v>102</v>
      </c>
      <c r="F9475" t="s">
        <v>97</v>
      </c>
      <c r="G9475" t="s">
        <v>217</v>
      </c>
      <c r="H9475" s="5">
        <v>4590</v>
      </c>
      <c r="I9475" s="6">
        <v>2861.2350000000001</v>
      </c>
      <c r="J9475" s="5">
        <v>20800</v>
      </c>
      <c r="K9475" s="6">
        <v>1.6042023811396127</v>
      </c>
    </row>
    <row r="9476" spans="1:11" hidden="1">
      <c r="A9476" s="4">
        <v>2026</v>
      </c>
      <c r="B9476">
        <v>35</v>
      </c>
      <c r="C9476" t="s">
        <v>54</v>
      </c>
      <c r="D9476" t="s">
        <v>11</v>
      </c>
      <c r="E9476" t="s">
        <v>103</v>
      </c>
      <c r="F9476" t="s">
        <v>104</v>
      </c>
      <c r="G9476" t="s">
        <v>218</v>
      </c>
      <c r="H9476" s="5">
        <v>3300</v>
      </c>
      <c r="I9476" s="6">
        <v>3071.9505625000002</v>
      </c>
      <c r="J9476" s="5">
        <v>22400</v>
      </c>
      <c r="K9476" s="6">
        <v>1.0742360376120148</v>
      </c>
    </row>
    <row r="9477" spans="1:11" hidden="1">
      <c r="A9477" s="4">
        <v>2026</v>
      </c>
      <c r="B9477">
        <v>35</v>
      </c>
      <c r="C9477" t="s">
        <v>54</v>
      </c>
      <c r="D9477" t="s">
        <v>11</v>
      </c>
      <c r="E9477" t="s">
        <v>45</v>
      </c>
      <c r="F9477" t="s">
        <v>105</v>
      </c>
      <c r="G9477" t="s">
        <v>219</v>
      </c>
      <c r="H9477" s="5">
        <v>2700</v>
      </c>
      <c r="I9477" s="6">
        <v>1097.125</v>
      </c>
      <c r="J9477" s="5">
        <v>8000</v>
      </c>
      <c r="K9477" s="6">
        <v>2.4609775549732253</v>
      </c>
    </row>
    <row r="9478" spans="1:11" hidden="1">
      <c r="A9478" s="4">
        <v>2026</v>
      </c>
      <c r="B9478">
        <v>35</v>
      </c>
      <c r="C9478" t="s">
        <v>54</v>
      </c>
      <c r="D9478" t="s">
        <v>11</v>
      </c>
      <c r="E9478" t="s">
        <v>45</v>
      </c>
      <c r="F9478" t="s">
        <v>106</v>
      </c>
      <c r="G9478" t="s">
        <v>220</v>
      </c>
      <c r="H9478" s="5">
        <v>3425</v>
      </c>
      <c r="I9478" s="6">
        <v>2852.5250000000001</v>
      </c>
      <c r="J9478" s="5">
        <v>20800</v>
      </c>
      <c r="K9478" s="6">
        <v>1.200690616208447</v>
      </c>
    </row>
    <row r="9479" spans="1:11" hidden="1">
      <c r="A9479" s="4">
        <v>2026</v>
      </c>
      <c r="B9479">
        <v>35</v>
      </c>
      <c r="C9479" t="s">
        <v>54</v>
      </c>
      <c r="D9479" t="s">
        <v>11</v>
      </c>
      <c r="E9479" t="s">
        <v>107</v>
      </c>
      <c r="F9479" t="s">
        <v>108</v>
      </c>
      <c r="G9479" t="s">
        <v>221</v>
      </c>
      <c r="H9479" s="5">
        <v>5550</v>
      </c>
      <c r="I9479" s="6">
        <v>2633.1</v>
      </c>
      <c r="J9479" s="5">
        <v>19200</v>
      </c>
      <c r="K9479" s="6">
        <v>2.1077817021761422</v>
      </c>
    </row>
    <row r="9480" spans="1:11" hidden="1">
      <c r="A9480" s="4">
        <v>2026</v>
      </c>
      <c r="B9480">
        <v>35</v>
      </c>
      <c r="C9480" t="s">
        <v>54</v>
      </c>
      <c r="D9480" t="s">
        <v>11</v>
      </c>
      <c r="E9480" t="s">
        <v>107</v>
      </c>
      <c r="F9480" t="s">
        <v>109</v>
      </c>
      <c r="G9480" t="s">
        <v>222</v>
      </c>
      <c r="H9480" s="5">
        <v>6360</v>
      </c>
      <c r="I9480" s="6">
        <v>2633.1</v>
      </c>
      <c r="J9480" s="5">
        <v>19200</v>
      </c>
      <c r="K9480" s="6">
        <v>2.4154038965477955</v>
      </c>
    </row>
    <row r="9481" spans="1:11" hidden="1">
      <c r="A9481" s="4">
        <v>2026</v>
      </c>
      <c r="B9481">
        <v>35</v>
      </c>
      <c r="C9481" t="s">
        <v>54</v>
      </c>
      <c r="D9481" t="s">
        <v>11</v>
      </c>
      <c r="E9481" t="s">
        <v>110</v>
      </c>
      <c r="F9481" t="s">
        <v>70</v>
      </c>
      <c r="G9481" t="s">
        <v>223</v>
      </c>
      <c r="H9481" s="5">
        <v>6420</v>
      </c>
      <c r="I9481" s="6">
        <v>2852.5250000000001</v>
      </c>
      <c r="J9481" s="5">
        <v>20800</v>
      </c>
      <c r="K9481" s="6">
        <v>2.250637593009702</v>
      </c>
    </row>
    <row r="9482" spans="1:11" hidden="1">
      <c r="A9482" s="4">
        <v>2026</v>
      </c>
      <c r="B9482">
        <v>35</v>
      </c>
      <c r="C9482" t="s">
        <v>54</v>
      </c>
      <c r="D9482" t="s">
        <v>11</v>
      </c>
      <c r="E9482" t="s">
        <v>110</v>
      </c>
      <c r="F9482" t="s">
        <v>67</v>
      </c>
      <c r="G9482" t="s">
        <v>224</v>
      </c>
      <c r="H9482" s="5">
        <v>6240</v>
      </c>
      <c r="I9482" s="6">
        <v>2852.5250000000001</v>
      </c>
      <c r="J9482" s="5">
        <v>20800</v>
      </c>
      <c r="K9482" s="6">
        <v>2.1875356044206447</v>
      </c>
    </row>
    <row r="9483" spans="1:11" hidden="1">
      <c r="A9483" s="4">
        <v>2026</v>
      </c>
      <c r="B9483">
        <v>35</v>
      </c>
      <c r="C9483" t="s">
        <v>54</v>
      </c>
      <c r="D9483" t="s">
        <v>11</v>
      </c>
      <c r="E9483" t="s">
        <v>111</v>
      </c>
      <c r="F9483" t="s">
        <v>112</v>
      </c>
      <c r="G9483" t="s">
        <v>225</v>
      </c>
      <c r="H9483" s="5">
        <v>2725</v>
      </c>
      <c r="I9483" s="6">
        <v>3071.95</v>
      </c>
      <c r="J9483" s="5">
        <v>22400</v>
      </c>
      <c r="K9483" s="6">
        <v>0.88705870863783598</v>
      </c>
    </row>
    <row r="9484" spans="1:11" hidden="1">
      <c r="A9484" s="4">
        <v>2026</v>
      </c>
      <c r="B9484">
        <v>35</v>
      </c>
      <c r="C9484" t="s">
        <v>54</v>
      </c>
      <c r="D9484" t="s">
        <v>11</v>
      </c>
      <c r="E9484" t="s">
        <v>47</v>
      </c>
      <c r="F9484" t="s">
        <v>57</v>
      </c>
      <c r="G9484" t="s">
        <v>226</v>
      </c>
      <c r="H9484" s="5">
        <v>1525</v>
      </c>
      <c r="I9484" s="6">
        <v>1645.6875</v>
      </c>
      <c r="J9484" s="5">
        <v>12000</v>
      </c>
      <c r="K9484" s="6">
        <v>0.9266643879837454</v>
      </c>
    </row>
  </sheetData>
  <autoFilter ref="A1:K9484">
    <filterColumn colId="0">
      <filters>
        <filter val="2026"/>
      </filters>
    </filterColumn>
    <filterColumn colId="1">
      <filters>
        <filter val="32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2026-08-12T19:31:48Z</dcterms:modified>
</cp:coreProperties>
</file>